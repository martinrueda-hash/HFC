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Oxford Economics" sheetId="3" state="visible" r:id="rId5"/>
    <sheet name="Raw data" sheetId="4" state="visible" r:id="rId6"/>
    <sheet name="Market levels" sheetId="5" state="visible" r:id="rId7"/>
    <sheet name="Dashboard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Short code (optional)</t>
        </r>
      </text>
    </comment>
    <comment ref="C5" authorId="0">
      <text>
        <r>
          <rPr>
            <sz val="10"/>
            <rFont val="Arial"/>
            <family val="2"/>
          </rPr>
          <t xml:space="preserve">Residential, or Commercial (commercial + healthcare + multi family)</t>
        </r>
      </text>
    </comment>
    <comment ref="D5" authorId="0">
      <text>
        <r>
          <rPr>
            <sz val="10"/>
            <rFont val="Arial"/>
            <family val="2"/>
          </rPr>
          <t xml:space="preserve">Heating, Cooling or Sanitary</t>
        </r>
      </text>
    </comment>
    <comment ref="E5" authorId="0">
      <text>
        <r>
          <rPr>
            <sz val="10"/>
            <rFont val="Arial"/>
            <family val="2"/>
          </rPr>
          <t xml:space="preserve">Location name exactly as in the Oxford Economics export</t>
        </r>
      </text>
    </comment>
    <comment ref="F5" authorId="0">
      <text>
        <r>
          <rPr>
            <sz val="10"/>
            <rFont val="Arial"/>
            <family val="2"/>
          </rPr>
          <t xml:space="preserve">Construction work done for the end market (Oxford Economics, 2023 prices); same for every application</t>
        </r>
      </text>
    </comment>
    <comment ref="G5" authorId="0">
      <text>
        <r>
          <rPr>
            <sz val="10"/>
            <rFont val="Arial"/>
            <family val="2"/>
          </rPr>
          <t xml:space="preserve">Total addressable market: spend on this HVAC / sanitary application in the base year (your estimate)</t>
        </r>
      </text>
    </comment>
    <comment ref="H5" authorId="0">
      <text>
        <r>
          <rPr>
            <sz val="10"/>
            <rFont val="Arial"/>
            <family val="2"/>
          </rPr>
          <t xml:space="preserve">Leave empty to use the construction growth of the end market</t>
        </r>
      </text>
    </comment>
    <comment ref="I5" authorId="0">
      <text>
        <r>
          <rPr>
            <sz val="10"/>
            <rFont val="Arial"/>
            <family val="2"/>
          </rPr>
          <t xml:space="preserve">Leave empty to use the construction growth of the end market</t>
        </r>
      </text>
    </comment>
    <comment ref="J5" authorId="0">
      <text>
        <r>
          <rPr>
            <sz val="10"/>
            <rFont val="Arial"/>
            <family val="2"/>
          </rPr>
          <t xml:space="preserve">Serviceable addressable market: the part of the TAM within HFC's current geographical and technology reach (your estimate)</t>
        </r>
      </text>
    </comment>
    <comment ref="K5" authorId="0">
      <text>
        <r>
          <rPr>
            <sz val="10"/>
            <rFont val="Arial"/>
            <family val="2"/>
          </rPr>
          <t xml:space="preserve">From Market levels: needs the export to include the start year</t>
        </r>
      </text>
    </comment>
    <comment ref="L5" authorId="0">
      <text>
        <r>
          <rPr>
            <sz val="10"/>
            <rFont val="Arial"/>
            <family val="2"/>
          </rPr>
          <t xml:space="preserve">From Market levels</t>
        </r>
      </text>
    </comment>
    <comment ref="M5" authorId="0">
      <text>
        <r>
          <rPr>
            <sz val="10"/>
            <rFont val="Arial"/>
            <family val="2"/>
          </rPr>
          <t xml:space="preserve">From Market levels</t>
        </r>
      </text>
    </comment>
    <comment ref="N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O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P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Q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R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S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T5" authorId="0">
      <text>
        <r>
          <rPr>
            <sz val="10"/>
            <rFont val="Arial"/>
            <family val="2"/>
          </rPr>
          <t xml:space="preserve">From Market levels (Oxford Economics)</t>
        </r>
      </text>
    </comment>
    <comment ref="U5" authorId="0">
      <text>
        <r>
          <rPr>
            <sz val="10"/>
            <rFont val="Arial"/>
            <family val="2"/>
          </rPr>
          <t xml:space="preserve">Actual sales in the base year</t>
        </r>
      </text>
    </comment>
    <comment ref="X5" authorId="0">
      <text>
        <r>
          <rPr>
            <sz val="10"/>
            <rFont val="Arial"/>
            <family val="2"/>
          </rPr>
          <t xml:space="preserve">Business plan</t>
        </r>
      </text>
    </comment>
    <comment ref="Y5" authorId="0">
      <text>
        <r>
          <rPr>
            <sz val="10"/>
            <rFont val="Arial"/>
            <family val="2"/>
          </rPr>
          <t xml:space="preserve">Leave empty to use HFC sales / SAM</t>
        </r>
      </text>
    </comment>
    <comment ref="Z5" authorId="0">
      <text>
        <r>
          <rPr>
            <sz val="10"/>
            <rFont val="Arial"/>
            <family val="2"/>
          </rPr>
          <t xml:space="preserve">Leave empty to grow sales and market by their current-year growth</t>
        </r>
      </text>
    </comment>
    <comment ref="AA5" authorId="0">
      <text>
        <r>
          <rPr>
            <sz val="10"/>
            <rFont val="Arial"/>
            <family val="2"/>
          </rPr>
          <t xml:space="preserve">1-5 score: price level and margin potential of the market (5 = best)</t>
        </r>
      </text>
    </comment>
    <comment ref="AB5" authorId="0">
      <text>
        <r>
          <rPr>
            <sz val="10"/>
            <rFont val="Arial"/>
            <family val="2"/>
          </rPr>
          <t xml:space="preserve">1-5 score: 5 = benign competition, 1 = very fierce</t>
        </r>
      </text>
    </comment>
    <comment ref="AC5" authorId="0">
      <text>
        <r>
          <rPr>
            <sz val="10"/>
            <rFont val="Arial"/>
            <family val="2"/>
          </rPr>
          <t xml:space="preserve">1-5 score: HFC access to distributors, installers, specifiers</t>
        </r>
      </text>
    </comment>
    <comment ref="AD5" authorId="0">
      <text>
        <r>
          <rPr>
            <sz val="10"/>
            <rFont val="Arial"/>
            <family val="2"/>
          </rPr>
          <t xml:space="preserve">1-5 score: fit of the HFC range with local norms and demand</t>
        </r>
      </text>
    </comment>
  </commentList>
</comments>
</file>

<file path=xl/sharedStrings.xml><?xml version="1.0" encoding="utf-8"?>
<sst xmlns="http://schemas.openxmlformats.org/spreadsheetml/2006/main" count="3899" uniqueCount="275">
  <si>
    <t xml:space="preserve">Market intelligence Dashboard - data template</t>
  </si>
  <si>
    <t xml:space="preserve">Update the blue cells, save, and upload the file in the dashboard</t>
  </si>
  <si>
    <t xml:space="preserve">How to update the dashboard</t>
  </si>
  <si>
    <t xml:space="preserve">1</t>
  </si>
  <si>
    <t xml:space="preserve">Oxford Economics: paste the latest download (level values) at cell A6, header row included. Market growth for every country updates automatically.</t>
  </si>
  <si>
    <t xml:space="preserve">2</t>
  </si>
  <si>
    <t xml:space="preserve">Raw data: one row per country, end market and application (heating, cooling, sanitary). Update the blue cells: SAM, HFC sales and growth, and the four 1-5 scores.</t>
  </si>
  <si>
    <t xml:space="preserve">3</t>
  </si>
  <si>
    <t xml:space="preserve">Settings: check the company name, the current year and the Oxford Economics series names. Weights and zone lines are set in the dashboard.</t>
  </si>
  <si>
    <t xml:space="preserve">4</t>
  </si>
  <si>
    <t xml:space="preserve">Dashboard data: nothing to type. Check that every country appears and that the check column shows no red cells.</t>
  </si>
  <si>
    <t xml:space="preserve">5</t>
  </si>
  <si>
    <t xml:space="preserve">Save the file (.xlsx), open the dashboard, go to 'Update the figures' and click 'Upload Excel'.</t>
  </si>
  <si>
    <t xml:space="preserve">How the market figures are built</t>
  </si>
  <si>
    <t xml:space="preserve">End markets</t>
  </si>
  <si>
    <t xml:space="preserve">Residential = Oxford Economics 'Residential - Total' minus 'Multi Family'. Commercial = 'Non-Residential Building - Commercial' plus healthcare (if set in Settings) plus 'Multi Family'. Each is built for New and Renovation; total = both.</t>
  </si>
  <si>
    <t xml:space="preserve">Market levels</t>
  </si>
  <si>
    <t xml:space="preserve">Shows the resulting construction work done per country, end market and year (US$ m, 2023 prices).</t>
  </si>
  <si>
    <t xml:space="preserve">Growth rates</t>
  </si>
  <si>
    <t xml:space="preserve">CAGR last 5 years = (base year / base year - 5)^(1/5) - 1. Growth this year = current year / base year - 1. CAGR next 5 years = (current year + 5 / current year)^(1/5) - 1.</t>
  </si>
  <si>
    <t xml:space="preserve">History</t>
  </si>
  <si>
    <t xml:space="preserve">The 5-year history needs the export to start 6 years before the current year (e.g. 2020 for 2026). With a shorter export it stays empty.</t>
  </si>
  <si>
    <t xml:space="preserve">Series names</t>
  </si>
  <si>
    <t xml:space="preserve">If Oxford Economics renames a series, update its name in Settings; everything else follows.</t>
  </si>
  <si>
    <t xml:space="preserve">Total market</t>
  </si>
  <si>
    <t xml:space="preserve">Construction work done for the end market (Oxford Economics, US$ m, 2023 prices). The same for each application of a country and end market.</t>
  </si>
  <si>
    <t xml:space="preserve">TAM</t>
  </si>
  <si>
    <t xml:space="preserve">Total addressable market: spend on all HVAC and sanitary applications (heating, cooling, sanitary), in EUR m. Its CAGRs follow construction growth unless you fill the optional TAM CAGR columns.</t>
  </si>
  <si>
    <t xml:space="preserve">SAM</t>
  </si>
  <si>
    <t xml:space="preserve">Serviceable addressable market: the part of the TAM within HFC's current geographical and technology reach, in EUR m. Used for market size, market share and the matrix.</t>
  </si>
  <si>
    <t xml:space="preserve">Renovation / new build</t>
  </si>
  <si>
    <t xml:space="preserve">Calculated from the New and Renovation series: renovation share of the base year and the same three growth rates for each.</t>
  </si>
  <si>
    <t xml:space="preserve">Qualitative scores</t>
  </si>
  <si>
    <t xml:space="preserve">Profitability, competitive intensity, channel access and product fit: type a whole score from 1 to 5 (5 = most favourable for HFC).</t>
  </si>
  <si>
    <t xml:space="preserve">Conventions</t>
  </si>
  <si>
    <t xml:space="preserve">Blue cells</t>
  </si>
  <si>
    <t xml:space="preserve">Inputs: type or paste your figures here.</t>
  </si>
  <si>
    <t xml:space="preserve">Green cells</t>
  </si>
  <si>
    <t xml:space="preserve">Formulas: do not overwrite.</t>
  </si>
  <si>
    <t xml:space="preserve">Percentages</t>
  </si>
  <si>
    <t xml:space="preserve">Type them as percentages (3.2%) or decimals (0.032). Growth rates can be negative.</t>
  </si>
  <si>
    <t xml:space="preserve">Rows</t>
  </si>
  <si>
    <t xml:space="preserve">Room for 120 rows in Raw data (for example 20 countries x 2 end markets x 3 applications). Empty rows are ignored.</t>
  </si>
  <si>
    <t xml:space="preserve">Market growth and total market are real Oxford Economics data. SAM, HFC figures and qualitative scores in the sample rows are illustrative, not HFC data.</t>
  </si>
  <si>
    <t xml:space="preserve">Settings</t>
  </si>
  <si>
    <t xml:space="preserve">Company, year and Oxford Economics series. Matrix weights and zone lines are set in the dashboard.</t>
  </si>
  <si>
    <t xml:space="preserve">Setting</t>
  </si>
  <si>
    <t xml:space="preserve">Value</t>
  </si>
  <si>
    <t xml:space="preserve">Key (used by the dashboard, do not edit)</t>
  </si>
  <si>
    <t xml:space="preserve">Notes</t>
  </si>
  <si>
    <t xml:space="preserve">General</t>
  </si>
  <si>
    <t xml:space="preserve">Company name</t>
  </si>
  <si>
    <t xml:space="preserve">HFC</t>
  </si>
  <si>
    <t xml:space="preserve">company</t>
  </si>
  <si>
    <t xml:space="preserve">Shown in column headers and labels</t>
  </si>
  <si>
    <t xml:space="preserve">Current year</t>
  </si>
  <si>
    <t xml:space="preserve">currentYear</t>
  </si>
  <si>
    <t xml:space="preserve">Base year = current year - 1 (sizes and sales); history = 5 years to the base year; outlook = current year + 5</t>
  </si>
  <si>
    <t xml:space="preserve">Currency label</t>
  </si>
  <si>
    <t xml:space="preserve">EUR m</t>
  </si>
  <si>
    <t xml:space="preserve">currency</t>
  </si>
  <si>
    <t xml:space="preserve">Unit of SAM and HFC sales</t>
  </si>
  <si>
    <t xml:space="preserve">EUR per US$</t>
  </si>
  <si>
    <t xml:space="preserve">usdEur</t>
  </si>
  <si>
    <t xml:space="preserve">Converts the total market (Oxford Economics, US$) to EUR to compare it with TAM in the dashboard funnel</t>
  </si>
  <si>
    <t xml:space="preserve">Oxford Economics series (Indicator column of the export)</t>
  </si>
  <si>
    <t xml:space="preserve">Residential total - new</t>
  </si>
  <si>
    <t xml:space="preserve">Work Done - Residential - Total - New</t>
  </si>
  <si>
    <t xml:space="preserve">oe.res_total_new</t>
  </si>
  <si>
    <t xml:space="preserve">Residential = Residential total - Multi family (new and renovation separately)</t>
  </si>
  <si>
    <t xml:space="preserve">Residential total - renovation</t>
  </si>
  <si>
    <t xml:space="preserve">Work Done - Residential - Total - Renovation</t>
  </si>
  <si>
    <t xml:space="preserve">oe.res_total_reno</t>
  </si>
  <si>
    <t xml:space="preserve">Multi family - new</t>
  </si>
  <si>
    <t xml:space="preserve">Work Done - Residential - Multi Family - New</t>
  </si>
  <si>
    <t xml:space="preserve">oe.res_mf_new</t>
  </si>
  <si>
    <t xml:space="preserve">Multi family is counted in Commercial</t>
  </si>
  <si>
    <t xml:space="preserve">Multi family - renovation</t>
  </si>
  <si>
    <t xml:space="preserve">Work Done - Residential - Multi Family - Renovation</t>
  </si>
  <si>
    <t xml:space="preserve">oe.res_mf_reno</t>
  </si>
  <si>
    <t xml:space="preserve">Commercial - new</t>
  </si>
  <si>
    <t xml:space="preserve">Work Done - Non-Residential Building - Commercial - New</t>
  </si>
  <si>
    <t xml:space="preserve">oe.com_new</t>
  </si>
  <si>
    <t xml:space="preserve">Commercial end market = Commercial + Healthcare + Multi family (commercial already includes offices, retail and hotels)</t>
  </si>
  <si>
    <t xml:space="preserve">Commercial - renovation</t>
  </si>
  <si>
    <t xml:space="preserve">Work Done - Non-Residential Building - Commercial - Renovation</t>
  </si>
  <si>
    <t xml:space="preserve">oe.com_reno</t>
  </si>
  <si>
    <t xml:space="preserve">Healthcare - new (optional)</t>
  </si>
  <si>
    <t xml:space="preserve">oe.health_new</t>
  </si>
  <si>
    <t xml:space="preserve">Optional: type the exact Indicator name from the export; it is added to Commercial. Empty = not included</t>
  </si>
  <si>
    <t xml:space="preserve">Healthcare - renovation (optional)</t>
  </si>
  <si>
    <t xml:space="preserve">oe.health_reno</t>
  </si>
  <si>
    <t xml:space="preserve">Oxford Economics</t>
  </si>
  <si>
    <t xml:space="preserve">Paste the full Oxford Economics download here, header row in row 6 (cell A6). Level values, any years.</t>
  </si>
  <si>
    <t xml:space="preserve">To update: select A6, paste the new export (all columns, header row included) over the old one, and delete any leftover rows below. Columns needed: Location, Indicator and one column per year. Nothing else to change.</t>
  </si>
  <si>
    <t xml:space="preserve">Current data: Oxecon_download_-_9_October_2026_split.xlsx</t>
  </si>
  <si>
    <t xml:space="preserve">Location</t>
  </si>
  <si>
    <t xml:space="preserve">Indicator</t>
  </si>
  <si>
    <t xml:space="preserve">Units</t>
  </si>
  <si>
    <t xml:space="preserve">Scale</t>
  </si>
  <si>
    <t xml:space="preserve">Measurement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</si>
  <si>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</si>
  <si>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</si>
  <si>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</si>
  <si>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</si>
  <si>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</si>
  <si>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</si>
  <si>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</si>
  <si>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</si>
  <si>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</si>
  <si>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</si>
  <si>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</si>
  <si>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</si>
  <si>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</si>
  <si>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</si>
  <si>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</si>
  <si>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Source</t>
  </si>
  <si>
    <t xml:space="preserve">Seasonally adjusted</t>
  </si>
  <si>
    <t xml:space="preserve">Base year price</t>
  </si>
  <si>
    <t xml:space="preserve">Base year index</t>
  </si>
  <si>
    <t xml:space="preserve">Historical end</t>
  </si>
  <si>
    <t xml:space="preserve">Date of last update</t>
  </si>
  <si>
    <t xml:space="preserve">Source details</t>
  </si>
  <si>
    <t xml:space="preserve">Additional source details</t>
  </si>
  <si>
    <t xml:space="preserve">Contact email</t>
  </si>
  <si>
    <t xml:space="preserve">Location code</t>
  </si>
  <si>
    <t xml:space="preserve">Indicator code</t>
  </si>
  <si>
    <t xml:space="preserve">Austria</t>
  </si>
  <si>
    <t xml:space="preserve">Work Done - Non-Residential Building - Hotels - Renovation</t>
  </si>
  <si>
    <t xml:space="preserve">US$</t>
  </si>
  <si>
    <t xml:space="preserve">Millions: 2023 prices</t>
  </si>
  <si>
    <t xml:space="preserve">Level values</t>
  </si>
  <si>
    <t xml:space="preserve">No</t>
  </si>
  <si>
    <t xml:space="preserve">08-October-2026</t>
  </si>
  <si>
    <t xml:space="preserve">Euroconstruct / Eurostat / Oxford Economics</t>
  </si>
  <si>
    <t xml:space="preserve">NA</t>
  </si>
  <si>
    <t xml:space="preserve">nfearnley@oxfordeconomics.com</t>
  </si>
  <si>
    <t xml:space="preserve">AUT</t>
  </si>
  <si>
    <t xml:space="preserve">WDNCHO_RT$</t>
  </si>
  <si>
    <t xml:space="preserve">Work Done - Non-Residential Building - Retail - New</t>
  </si>
  <si>
    <t xml:space="preserve">WDNCRE_NT$</t>
  </si>
  <si>
    <t xml:space="preserve">Work Done - Non-Residential Building - Retail - Renovation</t>
  </si>
  <si>
    <t xml:space="preserve">WDNCRE_RT$</t>
  </si>
  <si>
    <t xml:space="preserve">Work Done - Non-Residential Building - Offices - New</t>
  </si>
  <si>
    <t xml:space="preserve">WDNCOF_NT$</t>
  </si>
  <si>
    <t xml:space="preserve">WDRALL_NT$</t>
  </si>
  <si>
    <t xml:space="preserve">Work Done - Non-Residential Building - Offices - Renovation</t>
  </si>
  <si>
    <t xml:space="preserve">WDNCOF_RT$</t>
  </si>
  <si>
    <t xml:space="preserve">WDRMUL_NT$</t>
  </si>
  <si>
    <t xml:space="preserve">WDRALL_RT$</t>
  </si>
  <si>
    <t xml:space="preserve">WDNCTT_NT$</t>
  </si>
  <si>
    <t xml:space="preserve">WDRMUL_RT$</t>
  </si>
  <si>
    <t xml:space="preserve">WDNCTT_RT$</t>
  </si>
  <si>
    <t xml:space="preserve">Work Done - Non-Residential Building - Hotels - New</t>
  </si>
  <si>
    <t xml:space="preserve">WDNCHO_NT$</t>
  </si>
  <si>
    <t xml:space="preserve">Belgium</t>
  </si>
  <si>
    <t xml:space="preserve">BEL</t>
  </si>
  <si>
    <t xml:space="preserve">Switzerland</t>
  </si>
  <si>
    <t xml:space="preserve">CHE</t>
  </si>
  <si>
    <t xml:space="preserve">Czech Republic</t>
  </si>
  <si>
    <t xml:space="preserve">CZE</t>
  </si>
  <si>
    <t xml:space="preserve">Germany</t>
  </si>
  <si>
    <t xml:space="preserve">DEU</t>
  </si>
  <si>
    <t xml:space="preserve">Denmark</t>
  </si>
  <si>
    <t xml:space="preserve">DNK</t>
  </si>
  <si>
    <t xml:space="preserve">Spain</t>
  </si>
  <si>
    <t xml:space="preserve">ESP</t>
  </si>
  <si>
    <t xml:space="preserve">Finland</t>
  </si>
  <si>
    <t xml:space="preserve">FIN</t>
  </si>
  <si>
    <t xml:space="preserve">France</t>
  </si>
  <si>
    <t xml:space="preserve">FRA</t>
  </si>
  <si>
    <t xml:space="preserve">Hungary</t>
  </si>
  <si>
    <t xml:space="preserve">HUN</t>
  </si>
  <si>
    <t xml:space="preserve">Ireland</t>
  </si>
  <si>
    <t xml:space="preserve">IRL</t>
  </si>
  <si>
    <t xml:space="preserve">Italy</t>
  </si>
  <si>
    <t xml:space="preserve">ITA</t>
  </si>
  <si>
    <t xml:space="preserve">Netherlands</t>
  </si>
  <si>
    <t xml:space="preserve">NLD</t>
  </si>
  <si>
    <t xml:space="preserve">Norway</t>
  </si>
  <si>
    <t xml:space="preserve">NOR</t>
  </si>
  <si>
    <t xml:space="preserve">Poland</t>
  </si>
  <si>
    <t xml:space="preserve">POL</t>
  </si>
  <si>
    <t xml:space="preserve">Portugal</t>
  </si>
  <si>
    <t xml:space="preserve">PRT</t>
  </si>
  <si>
    <t xml:space="preserve">Slovak Republic</t>
  </si>
  <si>
    <t xml:space="preserve">SVK</t>
  </si>
  <si>
    <t xml:space="preserve">Sweden</t>
  </si>
  <si>
    <t xml:space="preserve">SWE</t>
  </si>
  <si>
    <t xml:space="preserve">United Kingdom</t>
  </si>
  <si>
    <t xml:space="preserve">GBR</t>
  </si>
  <si>
    <t xml:space="preserve">Raw data</t>
  </si>
  <si>
    <t xml:space="preserve">One row per country and end market. Blue cells are inputs; green cells are calculated from the Oxford Economics sheet.</t>
  </si>
  <si>
    <t xml:space="preserve">Market growth comes from Oxford Economics (green). TAM, SAM (incl. the split by application), HFC figures and scores in the sample rows are DUMMY data for testing: replace them with your own. Add countries in the empty rows.</t>
  </si>
  <si>
    <t xml:space="preserve">Country / end market</t>
  </si>
  <si>
    <t xml:space="preserve">Market (construction work done, Oxford Economics)</t>
  </si>
  <si>
    <t xml:space="preserve">Renovation / new build split (Oxford Economics)</t>
  </si>
  <si>
    <t xml:space="preserve">Qualitative scores (1-5, 5 = most favourable)</t>
  </si>
  <si>
    <t xml:space="preserve">Country</t>
  </si>
  <si>
    <t xml:space="preserve">Code</t>
  </si>
  <si>
    <t xml:space="preserve">End market</t>
  </si>
  <si>
    <t xml:space="preserve">Application</t>
  </si>
  <si>
    <t xml:space="preserve">Oxford Economics
location</t>
  </si>
  <si>
    <t xml:space="preserve">Renovation share
of market</t>
  </si>
  <si>
    <t xml:space="preserve">Profitability</t>
  </si>
  <si>
    <t xml:space="preserve">Competitive
intensity</t>
  </si>
  <si>
    <t xml:space="preserve">Channel
access</t>
  </si>
  <si>
    <t xml:space="preserve">Product
fit</t>
  </si>
  <si>
    <t xml:space="preserve">PL</t>
  </si>
  <si>
    <t xml:space="preserve">Residential</t>
  </si>
  <si>
    <t xml:space="preserve">Heating</t>
  </si>
  <si>
    <t xml:space="preserve">Cooling</t>
  </si>
  <si>
    <t xml:space="preserve">Sanitary</t>
  </si>
  <si>
    <t xml:space="preserve">Commercial</t>
  </si>
  <si>
    <t xml:space="preserve">CZ</t>
  </si>
  <si>
    <t xml:space="preserve">HU</t>
  </si>
  <si>
    <t xml:space="preserve">NL</t>
  </si>
  <si>
    <t xml:space="preserve">SE</t>
  </si>
  <si>
    <t xml:space="preserve">NO</t>
  </si>
  <si>
    <t xml:space="preserve">FI</t>
  </si>
  <si>
    <t xml:space="preserve">DK</t>
  </si>
  <si>
    <t xml:space="preserve">DE</t>
  </si>
  <si>
    <t xml:space="preserve">AT</t>
  </si>
  <si>
    <t xml:space="preserve">CH</t>
  </si>
  <si>
    <t xml:space="preserve">UK</t>
  </si>
  <si>
    <t xml:space="preserve">FR</t>
  </si>
  <si>
    <t xml:space="preserve">IT</t>
  </si>
  <si>
    <t xml:space="preserve">BE</t>
  </si>
  <si>
    <t xml:space="preserve">ES</t>
  </si>
  <si>
    <t xml:space="preserve">PT</t>
  </si>
  <si>
    <t xml:space="preserve">Construction work done per country and end market (US$ m, 2023 prices), calculated from the Oxford Economics sheet. Do not type here.</t>
  </si>
  <si>
    <t xml:space="preserve">Residential = Residential total - Multi family. Commercial = Commercial + Healthcare (if set) + Multi family. Each for renovation and new build; total = both. Empty = year or series not in the export.</t>
  </si>
  <si>
    <t xml:space="preserve">Total (renovation + new build)</t>
  </si>
  <si>
    <t xml:space="preserve">Renovation</t>
  </si>
  <si>
    <t xml:space="preserve">New build</t>
  </si>
  <si>
    <t xml:space="preserve">Oxford Economics location</t>
  </si>
  <si>
    <t xml:space="preserve">Dashboard data</t>
  </si>
  <si>
    <t xml:space="preserve">Calculated from Raw data and Settings. Do not type here: this is the table the dashboard reads.</t>
  </si>
  <si>
    <t xml:space="preserve">Percentages are plain numbers (3.2 = 3.2%). Check column: more than ±0.5 pp means the renovation / new build split does not add up to the total.</t>
  </si>
  <si>
    <t xml:space="preserve">Profitability score</t>
  </si>
  <si>
    <t xml:space="preserve">Competitive intensity score</t>
  </si>
  <si>
    <t xml:space="preserve">Channel access score</t>
  </si>
  <si>
    <t xml:space="preserve">Product fit score</t>
  </si>
  <si>
    <t xml:space="preserve">Renovation share (%)</t>
  </si>
  <si>
    <t xml:space="preserve">Check: renovation + new build vs. total, growth CY (pp)</t>
  </si>
  <si>
    <t xml:space="preserve">country</t>
  </si>
  <si>
    <t xml:space="preserve">code</t>
  </si>
  <si>
    <t xml:space="preserve">segment</t>
  </si>
  <si>
    <t xml:space="preserve">market_size</t>
  </si>
  <si>
    <t xml:space="preserve">hfc_sales</t>
  </si>
  <si>
    <t xml:space="preserve">mkt_cagr_hist</t>
  </si>
  <si>
    <t xml:space="preserve">mkt_growth_cy</t>
  </si>
  <si>
    <t xml:space="preserve">mkt_cagr_fwd</t>
  </si>
  <si>
    <t xml:space="preserve">hfc_cagr_hist</t>
  </si>
  <si>
    <t xml:space="preserve">hfc_growth_cy</t>
  </si>
  <si>
    <t xml:space="preserve">hfc_cagr_bp</t>
  </si>
  <si>
    <t xml:space="preserve">ms_cy</t>
  </si>
  <si>
    <t xml:space="preserve">ms_py</t>
  </si>
  <si>
    <t xml:space="preserve">profitability</t>
  </si>
  <si>
    <t xml:space="preserve">competitive_intensity</t>
  </si>
  <si>
    <t xml:space="preserve">channel_access</t>
  </si>
  <si>
    <t xml:space="preserve">product_fit</t>
  </si>
  <si>
    <t xml:space="preserve">reno_share</t>
  </si>
  <si>
    <t xml:space="preserve">mkt_reno_cagr_hist</t>
  </si>
  <si>
    <t xml:space="preserve">mkt_reno_growth_cy</t>
  </si>
  <si>
    <t xml:space="preserve">mkt_reno_cagr_fwd</t>
  </si>
  <si>
    <t xml:space="preserve">mkt_nb_cagr_hist</t>
  </si>
  <si>
    <t xml:space="preserve">mkt_nb_growth_cy</t>
  </si>
  <si>
    <t xml:space="preserve">mkt_nb_cagr_fwd</t>
  </si>
  <si>
    <t xml:space="preserve">application</t>
  </si>
  <si>
    <t xml:space="preserve">total_market</t>
  </si>
  <si>
    <t xml:space="preserve">tam</t>
  </si>
  <si>
    <t xml:space="preserve">tam_cagr_hist</t>
  </si>
  <si>
    <t xml:space="preserve">tam_cagr_fwd</t>
  </si>
  <si>
    <t xml:space="preserve">check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</si>
</sst>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"/>
    <numFmt numFmtId="167" formatCode="0.00"/>
    <numFmt numFmtId="168" formatCode="#,##0.0"/>
    <numFmt numFmtId="169" formatCode="#,##0"/>
    <numFmt numFmtId="170" formatCode="0.0%"/>
    <numFmt numFmtId="171" formatCode="0%"/>
    <numFmt numFmtId="172" formatCode="0.0"/>
    <numFmt numFmtId="173" formatCode="\+0.0;\-0.0;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CE0E2D"/>
      <name val="Arial"/>
      <family val="0"/>
      <charset val="1"/>
    </font>
    <font>
      <b val="true"/>
      <sz val="10"/>
      <color rgb="FFCE0E2D"/>
      <name val="Arial"/>
      <family val="0"/>
      <charset val="1"/>
    </font>
    <font>
      <sz val="10"/>
      <color rgb="FF505050"/>
      <name val="Arial"/>
      <family val="0"/>
      <charset val="1"/>
    </font>
    <font>
      <b val="true"/>
      <sz val="10"/>
      <color rgb="FF19191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CE0E2D"/>
      <name val="Arial"/>
      <family val="0"/>
      <charset val="1"/>
    </font>
    <font>
      <sz val="10"/>
      <color rgb="FF191919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C8C8C"/>
      <name val="Arial"/>
      <family val="0"/>
      <charset val="1"/>
    </font>
    <font>
      <i val="true"/>
      <sz val="9"/>
      <color rgb="FF5050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E0E2D"/>
      <name val="Arial"/>
      <family val="0"/>
      <charset val="1"/>
    </font>
    <font>
      <b val="true"/>
      <sz val="9"/>
      <color rgb="FF50505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sz val="9"/>
      <color rgb="FF008000"/>
      <name val="Arial"/>
      <family val="0"/>
      <charset val="1"/>
    </font>
    <font>
      <sz val="9"/>
      <color rgb="FF19191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E0E2D"/>
        <bgColor rgb="FF993300"/>
      </patternFill>
    </fill>
    <fill>
      <patternFill patternType="solid">
        <fgColor rgb="FFFCF1F1"/>
        <bgColor rgb="FFFFFFFF"/>
      </patternFill>
    </fill>
    <fill>
      <patternFill patternType="solid">
        <fgColor rgb="FF505050"/>
        <bgColor rgb="FF666699"/>
      </patternFill>
    </fill>
    <fill>
      <patternFill patternType="solid">
        <fgColor rgb="FF191919"/>
        <bgColor rgb="FF000000"/>
      </patternFill>
    </fill>
    <fill>
      <patternFill patternType="solid">
        <fgColor rgb="FF7A7A7A"/>
        <bgColor rgb="FF8C8C8C"/>
      </patternFill>
    </fill>
    <fill>
      <patternFill patternType="solid">
        <fgColor rgb="FFDD6556"/>
        <bgColor rgb="FFE49587"/>
      </patternFill>
    </fill>
    <fill>
      <patternFill patternType="solid">
        <fgColor rgb="FFE49587"/>
        <bgColor rgb="FFFF99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E0E2D"/>
      </bottom>
      <diagonal/>
    </border>
    <border diagonalUp="false" diagonalDown="false"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 diagonalUp="false" diagonalDown="false">
      <left/>
      <right/>
      <top/>
      <bottom style="thin">
        <color rgb="FFE4E4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E0E2D"/>
      </font>
      <fill>
        <patternFill>
          <bgColor rgb="FFF4E4DC"/>
        </patternFill>
      </fill>
    </dxf>
  </dxfs>
  <colors>
    <indexedColors>
      <rgbColor rgb="FF000000"/>
      <rgbColor rgb="FFFFFFFF"/>
      <rgbColor rgb="FFCE0E2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CF1F1"/>
      <rgbColor rgb="FFCCFFFF"/>
      <rgbColor rgb="FF660066"/>
      <rgbColor rgb="FFE49587"/>
      <rgbColor rgb="FF0066CC"/>
      <rgbColor rgb="FFE4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E4DC"/>
      <rgbColor rgb="FF3366FF"/>
      <rgbColor rgb="FF33CCCC"/>
      <rgbColor rgb="FF99CC00"/>
      <rgbColor rgb="FFFFCC00"/>
      <rgbColor rgb="FFFF9900"/>
      <rgbColor rgb="FFDD6556"/>
      <rgbColor rgb="FF666699"/>
      <rgbColor rgb="FF8C8C8C"/>
      <rgbColor rgb="FF003366"/>
      <rgbColor rgb="FF339966"/>
      <rgbColor rgb="FF191919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6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5" customFormat="false" ht="15" hidden="false" customHeight="false" outlineLevel="0" collapsed="false">
      <c r="B5" s="4" t="s">
        <v>2</v>
      </c>
    </row>
    <row r="6" customFormat="false" ht="31.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  <c r="H6" s="6"/>
    </row>
    <row r="7" customFormat="false" ht="31.5" hidden="false" customHeight="true" outlineLevel="0" collapsed="false">
      <c r="B7" s="5" t="s">
        <v>5</v>
      </c>
      <c r="C7" s="6" t="s">
        <v>6</v>
      </c>
      <c r="D7" s="6"/>
      <c r="E7" s="6"/>
      <c r="F7" s="6"/>
      <c r="G7" s="6"/>
      <c r="H7" s="6"/>
    </row>
    <row r="8" customFormat="false" ht="31.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6"/>
    </row>
    <row r="9" customFormat="false" ht="31.5" hidden="false" customHeight="true" outlineLevel="0" collapsed="false">
      <c r="B9" s="5" t="s">
        <v>9</v>
      </c>
      <c r="C9" s="6" t="s">
        <v>10</v>
      </c>
      <c r="D9" s="6"/>
      <c r="E9" s="6"/>
      <c r="F9" s="6"/>
      <c r="G9" s="6"/>
      <c r="H9" s="6"/>
    </row>
    <row r="10" customFormat="false" ht="31.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  <c r="H10" s="6"/>
    </row>
    <row r="12" customFormat="false" ht="15" hidden="false" customHeight="false" outlineLevel="0" collapsed="false">
      <c r="B12" s="4" t="s">
        <v>13</v>
      </c>
    </row>
    <row r="13" customFormat="false" ht="31.5" hidden="false" customHeight="true" outlineLevel="0" collapsed="false">
      <c r="B13" s="7" t="s">
        <v>14</v>
      </c>
      <c r="C13" s="6" t="s">
        <v>15</v>
      </c>
      <c r="D13" s="6"/>
      <c r="E13" s="6"/>
      <c r="F13" s="6"/>
      <c r="G13" s="6"/>
      <c r="H13" s="6"/>
    </row>
    <row r="14" customFormat="false" ht="31.5" hidden="false" customHeight="true" outlineLevel="0" collapsed="false">
      <c r="B14" s="7" t="s">
        <v>16</v>
      </c>
      <c r="C14" s="6" t="s">
        <v>17</v>
      </c>
      <c r="D14" s="6"/>
      <c r="E14" s="6"/>
      <c r="F14" s="6"/>
      <c r="G14" s="6"/>
      <c r="H14" s="6"/>
    </row>
    <row r="15" customFormat="false" ht="31.5" hidden="false" customHeight="true" outlineLevel="0" collapsed="false">
      <c r="B15" s="7" t="s">
        <v>18</v>
      </c>
      <c r="C15" s="6" t="s">
        <v>19</v>
      </c>
      <c r="D15" s="6"/>
      <c r="E15" s="6"/>
      <c r="F15" s="6"/>
      <c r="G15" s="6"/>
      <c r="H15" s="6"/>
    </row>
    <row r="16" customFormat="false" ht="31.5" hidden="false" customHeight="true" outlineLevel="0" collapsed="false">
      <c r="B16" s="7" t="s">
        <v>20</v>
      </c>
      <c r="C16" s="6" t="s">
        <v>21</v>
      </c>
      <c r="D16" s="6"/>
      <c r="E16" s="6"/>
      <c r="F16" s="6"/>
      <c r="G16" s="6"/>
      <c r="H16" s="6"/>
    </row>
    <row r="17" customFormat="false" ht="31.5" hidden="false" customHeight="true" outlineLevel="0" collapsed="false">
      <c r="B17" s="7" t="s">
        <v>22</v>
      </c>
      <c r="C17" s="6" t="s">
        <v>23</v>
      </c>
      <c r="D17" s="6"/>
      <c r="E17" s="6"/>
      <c r="F17" s="6"/>
      <c r="G17" s="6"/>
      <c r="H17" s="6"/>
    </row>
    <row r="18" customFormat="false" ht="31.5" hidden="false" customHeight="true" outlineLevel="0" collapsed="false">
      <c r="B18" s="7" t="s">
        <v>24</v>
      </c>
      <c r="C18" s="6" t="s">
        <v>25</v>
      </c>
      <c r="D18" s="6"/>
      <c r="E18" s="6"/>
      <c r="F18" s="6"/>
      <c r="G18" s="6"/>
      <c r="H18" s="6"/>
    </row>
    <row r="19" customFormat="false" ht="31.5" hidden="false" customHeight="true" outlineLevel="0" collapsed="false">
      <c r="B19" s="7" t="s">
        <v>26</v>
      </c>
      <c r="C19" s="6" t="s">
        <v>27</v>
      </c>
      <c r="D19" s="6"/>
      <c r="E19" s="6"/>
      <c r="F19" s="6"/>
      <c r="G19" s="6"/>
      <c r="H19" s="6"/>
    </row>
    <row r="20" customFormat="false" ht="31.5" hidden="false" customHeight="true" outlineLevel="0" collapsed="false">
      <c r="B20" s="7" t="s">
        <v>28</v>
      </c>
      <c r="C20" s="6" t="s">
        <v>29</v>
      </c>
      <c r="D20" s="6"/>
      <c r="E20" s="6"/>
      <c r="F20" s="6"/>
      <c r="G20" s="6"/>
      <c r="H20" s="6"/>
    </row>
    <row r="21" customFormat="false" ht="31.5" hidden="false" customHeight="true" outlineLevel="0" collapsed="false">
      <c r="B21" s="7" t="s">
        <v>30</v>
      </c>
      <c r="C21" s="6" t="s">
        <v>31</v>
      </c>
      <c r="D21" s="6"/>
      <c r="E21" s="6"/>
      <c r="F21" s="6"/>
      <c r="G21" s="6"/>
      <c r="H21" s="6"/>
    </row>
    <row r="22" customFormat="false" ht="31.5" hidden="false" customHeight="true" outlineLevel="0" collapsed="false">
      <c r="B22" s="7" t="s">
        <v>32</v>
      </c>
      <c r="C22" s="6" t="s">
        <v>33</v>
      </c>
      <c r="D22" s="6"/>
      <c r="E22" s="6"/>
      <c r="F22" s="6"/>
      <c r="G22" s="6"/>
      <c r="H22" s="6"/>
    </row>
    <row r="24" customFormat="false" ht="15" hidden="false" customHeight="false" outlineLevel="0" collapsed="false">
      <c r="B24" s="4" t="s">
        <v>34</v>
      </c>
    </row>
    <row r="25" customFormat="false" ht="31.5" hidden="false" customHeight="true" outlineLevel="0" collapsed="false">
      <c r="B25" s="8" t="s">
        <v>35</v>
      </c>
      <c r="C25" s="6" t="s">
        <v>36</v>
      </c>
      <c r="D25" s="6"/>
      <c r="E25" s="6"/>
      <c r="F25" s="6"/>
      <c r="G25" s="6"/>
      <c r="H25" s="6"/>
    </row>
    <row r="26" customFormat="false" ht="31.5" hidden="false" customHeight="true" outlineLevel="0" collapsed="false">
      <c r="B26" s="9" t="s">
        <v>37</v>
      </c>
      <c r="C26" s="6" t="s">
        <v>38</v>
      </c>
      <c r="D26" s="6"/>
      <c r="E26" s="6"/>
      <c r="F26" s="6"/>
      <c r="G26" s="6"/>
      <c r="H26" s="6"/>
    </row>
    <row r="27" customFormat="false" ht="31.5" hidden="false" customHeight="true" outlineLevel="0" collapsed="false">
      <c r="B27" s="7" t="s">
        <v>39</v>
      </c>
      <c r="C27" s="6" t="s">
        <v>40</v>
      </c>
      <c r="D27" s="6"/>
      <c r="E27" s="6"/>
      <c r="F27" s="6"/>
      <c r="G27" s="6"/>
      <c r="H27" s="6"/>
    </row>
    <row r="28" customFormat="false" ht="31.5" hidden="false" customHeight="true" outlineLevel="0" collapsed="false">
      <c r="B28" s="7" t="s">
        <v>41</v>
      </c>
      <c r="C28" s="6" t="s">
        <v>42</v>
      </c>
      <c r="D28" s="6"/>
      <c r="E28" s="6"/>
      <c r="F28" s="6"/>
      <c r="G28" s="6"/>
      <c r="H28" s="6"/>
    </row>
    <row r="30" customFormat="false" ht="15" hidden="false" customHeight="false" outlineLevel="0" collapsed="false">
      <c r="B30" s="10" t="s">
        <v>43</v>
      </c>
    </row>
  </sheetData>
  <mergeCells count="19">
    <mergeCell ref="C6:H6"/>
    <mergeCell ref="C7:H7"/>
    <mergeCell ref="C8:H8"/>
    <mergeCell ref="C9:H9"/>
    <mergeCell ref="C10:H10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5:H25"/>
    <mergeCell ref="C26:H26"/>
    <mergeCell ref="C27:H27"/>
    <mergeCell ref="C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5050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44</v>
      </c>
      <c r="B1" s="2"/>
      <c r="C1" s="2"/>
      <c r="D1" s="2"/>
    </row>
    <row r="2" customFormat="false" ht="18" hidden="false" customHeight="true" outlineLevel="0" collapsed="false">
      <c r="A2" s="3" t="s">
        <v>45</v>
      </c>
      <c r="B2" s="2"/>
      <c r="C2" s="2"/>
      <c r="D2" s="2"/>
    </row>
    <row r="4" customFormat="false" ht="15" hidden="false" customHeight="false" outlineLevel="0" collapsed="false">
      <c r="A4" s="11" t="s">
        <v>46</v>
      </c>
      <c r="B4" s="11" t="s">
        <v>47</v>
      </c>
      <c r="C4" s="11" t="s">
        <v>48</v>
      </c>
      <c r="D4" s="11" t="s">
        <v>49</v>
      </c>
    </row>
    <row r="5" customFormat="false" ht="15" hidden="false" customHeight="false" outlineLevel="0" collapsed="false">
      <c r="A5" s="12" t="s">
        <v>50</v>
      </c>
    </row>
    <row r="6" customFormat="false" ht="15" hidden="false" customHeight="false" outlineLevel="0" collapsed="false">
      <c r="A6" s="13" t="s">
        <v>51</v>
      </c>
      <c r="B6" s="14" t="s">
        <v>52</v>
      </c>
      <c r="C6" s="15" t="s">
        <v>53</v>
      </c>
      <c r="D6" s="16" t="s">
        <v>54</v>
      </c>
    </row>
    <row r="7" customFormat="false" ht="22.35" hidden="false" customHeight="false" outlineLevel="0" collapsed="false">
      <c r="A7" s="13" t="s">
        <v>55</v>
      </c>
      <c r="B7" s="17" t="n">
        <v>2026</v>
      </c>
      <c r="C7" s="15" t="s">
        <v>56</v>
      </c>
      <c r="D7" s="16" t="s">
        <v>57</v>
      </c>
    </row>
    <row r="8" customFormat="false" ht="15" hidden="false" customHeight="false" outlineLevel="0" collapsed="false">
      <c r="A8" s="13" t="s">
        <v>58</v>
      </c>
      <c r="B8" s="14" t="s">
        <v>59</v>
      </c>
      <c r="C8" s="15" t="s">
        <v>60</v>
      </c>
      <c r="D8" s="16" t="s">
        <v>61</v>
      </c>
    </row>
    <row r="9" customFormat="false" ht="22.35" hidden="false" customHeight="false" outlineLevel="0" collapsed="false">
      <c r="A9" s="13" t="s">
        <v>62</v>
      </c>
      <c r="B9" s="18" t="n">
        <v>0.92</v>
      </c>
      <c r="C9" s="15" t="s">
        <v>63</v>
      </c>
      <c r="D9" s="16" t="s">
        <v>64</v>
      </c>
    </row>
    <row r="11" customFormat="false" ht="15" hidden="false" customHeight="false" outlineLevel="0" collapsed="false">
      <c r="A11" s="12" t="s">
        <v>65</v>
      </c>
    </row>
    <row r="12" customFormat="false" ht="15" hidden="false" customHeight="false" outlineLevel="0" collapsed="false">
      <c r="A12" s="13" t="s">
        <v>66</v>
      </c>
      <c r="B12" s="14" t="s">
        <v>67</v>
      </c>
      <c r="C12" s="15" t="s">
        <v>68</v>
      </c>
      <c r="D12" s="16" t="s">
        <v>69</v>
      </c>
    </row>
    <row r="13" customFormat="false" ht="15" hidden="false" customHeight="false" outlineLevel="0" collapsed="false">
      <c r="A13" s="13" t="s">
        <v>70</v>
      </c>
      <c r="B13" s="14" t="s">
        <v>71</v>
      </c>
      <c r="C13" s="15" t="s">
        <v>72</v>
      </c>
      <c r="D13" s="16"/>
    </row>
    <row r="14" customFormat="false" ht="15" hidden="false" customHeight="false" outlineLevel="0" collapsed="false">
      <c r="A14" s="13" t="s">
        <v>73</v>
      </c>
      <c r="B14" s="14" t="s">
        <v>74</v>
      </c>
      <c r="C14" s="15" t="s">
        <v>75</v>
      </c>
      <c r="D14" s="16" t="s">
        <v>76</v>
      </c>
    </row>
    <row r="15" customFormat="false" ht="15" hidden="false" customHeight="false" outlineLevel="0" collapsed="false">
      <c r="A15" s="13" t="s">
        <v>77</v>
      </c>
      <c r="B15" s="14" t="s">
        <v>78</v>
      </c>
      <c r="C15" s="15" t="s">
        <v>79</v>
      </c>
      <c r="D15" s="16"/>
    </row>
    <row r="16" customFormat="false" ht="22.35" hidden="false" customHeight="false" outlineLevel="0" collapsed="false">
      <c r="A16" s="13" t="s">
        <v>80</v>
      </c>
      <c r="B16" s="14" t="s">
        <v>81</v>
      </c>
      <c r="C16" s="15" t="s">
        <v>82</v>
      </c>
      <c r="D16" s="16" t="s">
        <v>83</v>
      </c>
    </row>
    <row r="17" customFormat="false" ht="15" hidden="false" customHeight="false" outlineLevel="0" collapsed="false">
      <c r="A17" s="13" t="s">
        <v>84</v>
      </c>
      <c r="B17" s="14" t="s">
        <v>85</v>
      </c>
      <c r="C17" s="15" t="s">
        <v>86</v>
      </c>
      <c r="D17" s="16"/>
    </row>
    <row r="18" customFormat="false" ht="22.35" hidden="false" customHeight="false" outlineLevel="0" collapsed="false">
      <c r="A18" s="13" t="s">
        <v>87</v>
      </c>
      <c r="B18" s="14"/>
      <c r="C18" s="15" t="s">
        <v>88</v>
      </c>
      <c r="D18" s="16" t="s">
        <v>89</v>
      </c>
    </row>
    <row r="19" customFormat="false" ht="15" hidden="false" customHeight="false" outlineLevel="0" collapsed="false">
      <c r="A19" s="13" t="s">
        <v>90</v>
      </c>
      <c r="B19" s="14"/>
      <c r="C19" s="15" t="s">
        <v>91</v>
      </c>
      <c r="D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AE2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1" min="3" style="0" width="11"/>
  </cols>
  <sheetData>
    <row r="1" customFormat="false" ht="27.75" hidden="false" customHeight="true" outlineLevel="0" collapsed="false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10" t="s">
        <v>94</v>
      </c>
    </row>
    <row r="4" customFormat="false" ht="15" hidden="false" customHeight="false" outlineLevel="0" collapsed="false">
      <c r="A4" s="19" t="s">
        <v>95</v>
      </c>
    </row>
    <row r="6" customFormat="false" ht="32.8" hidden="false" customHeight="false" outlineLevel="0" collapsed="false">
      <c r="A6" s="20" t="s">
        <v>96</v>
      </c>
      <c r="B6" s="20" t="s">
        <v>97</v>
      </c>
      <c r="C6" s="20" t="s">
        <v>98</v>
      </c>
      <c r="D6" s="20" t="s">
        <v>99</v>
      </c>
      <c r="E6" s="20" t="s">
        <v>100</v>
      </c>
      <c r="F6" s="20" t="s">
        <v>101</v>
      </c>
      <c r="G6" s="20" t="s">
        <v>102</v>
      </c>
      <c r="H6" s="20" t="s">
        <v>103</v>
      </c>
      <c r="I6" s="20" t="s">
        <v>104</v>
      </c>
      <c r="J6" s="20" t="s">
        <v>105</v>
      </c>
      <c r="K6" s="20" t="s">
        <v>106</v>
      </c>
      <c r="L6" s="20" t="s">
        <v>107</v>
      </c>
      <c r="M6" s="20" t="s">
        <v>108</v>
      </c>
      <c r="N6" s="20" t="s">
        <v>109</v>
      </c>
      <c r="O6" s="20" t="s">
        <v>110</v>
      </c>
      <c r="P6" s="20" t="s">
        <v>111</v>
      </c>
      <c r="Q6" s="20" t="s">
        <v>112</v>
      </c>
      <c r="R6" s="20" t="s">
        <v>113</v>
      </c>
      <c r="S6" s="20" t="s">
        <v>114</v>
      </c>
      <c r="T6" s="20" t="s">
        <v>115</v>
      </c>
      <c r="U6" s="20" t="s">
        <v>116</v>
      </c>
      <c r="V6" s="20" t="s">
        <v>117</v>
      </c>
      <c r="W6" s="20" t="s">
        <v>118</v>
      </c>
      <c r="X6" s="20" t="s">
        <v>119</v>
      </c>
      <c r="Y6" s="20" t="s">
        <v>120</v>
      </c>
      <c r="Z6" s="20" t="s">
        <v>121</v>
      </c>
      <c r="AA6" s="20" t="s">
        <v>122</v>
      </c>
      <c r="AB6" s="20" t="s">
        <v>123</v>
      </c>
      <c r="AC6" s="20" t="s">
        <v>124</v>
      </c>
      <c r="AD6" s="20" t="s">
        <v>125</v>
      </c>
      <c r="AE6" s="20" t="s">
        <v>126</v>
      </c>
    </row>
    <row r="7" customFormat="false" ht="15" hidden="false" customHeight="false" outlineLevel="0" collapsed="false">
      <c r="A7" s="21" t="s">
        <v>127</v>
      </c>
      <c r="B7" s="21" t="s">
        <v>128</v>
      </c>
      <c r="C7" s="21" t="s">
        <v>129</v>
      </c>
      <c r="D7" s="21" t="s">
        <v>130</v>
      </c>
      <c r="E7" s="21" t="s">
        <v>131</v>
      </c>
      <c r="F7" s="22" t="n">
        <v>446.55</v>
      </c>
      <c r="G7" s="22" t="n">
        <v>412.2</v>
      </c>
      <c r="H7" s="22" t="n">
        <v>393.98</v>
      </c>
      <c r="I7" s="22" t="n">
        <v>365.17</v>
      </c>
      <c r="J7" s="22" t="n">
        <v>358.09</v>
      </c>
      <c r="K7" s="22" t="n">
        <v>336.75</v>
      </c>
      <c r="L7" s="22" t="n">
        <v>356.15</v>
      </c>
      <c r="M7" s="22" t="n">
        <v>377.49</v>
      </c>
      <c r="N7" s="22" t="n">
        <v>398.9</v>
      </c>
      <c r="O7" s="22" t="n">
        <v>414.23</v>
      </c>
      <c r="P7" s="22" t="n">
        <v>432.07</v>
      </c>
      <c r="Q7" s="22" t="n">
        <v>447.11</v>
      </c>
      <c r="R7" s="22" t="n">
        <v>460.82</v>
      </c>
      <c r="S7" s="22" t="n">
        <v>472.35</v>
      </c>
      <c r="T7" s="22" t="n">
        <v>484.17</v>
      </c>
      <c r="U7" s="21"/>
      <c r="V7" s="21" t="s">
        <v>132</v>
      </c>
      <c r="W7" s="21" t="s">
        <v>104</v>
      </c>
      <c r="X7" s="21"/>
      <c r="Y7" s="21" t="s">
        <v>105</v>
      </c>
      <c r="Z7" s="21" t="s">
        <v>133</v>
      </c>
      <c r="AA7" s="21" t="s">
        <v>134</v>
      </c>
      <c r="AB7" s="21" t="s">
        <v>135</v>
      </c>
      <c r="AC7" s="21" t="s">
        <v>136</v>
      </c>
      <c r="AD7" s="21" t="s">
        <v>137</v>
      </c>
      <c r="AE7" s="21" t="s">
        <v>138</v>
      </c>
    </row>
    <row r="8" customFormat="false" ht="15" hidden="false" customHeight="false" outlineLevel="0" collapsed="false">
      <c r="A8" s="21" t="s">
        <v>127</v>
      </c>
      <c r="B8" s="21" t="s">
        <v>139</v>
      </c>
      <c r="C8" s="21" t="s">
        <v>129</v>
      </c>
      <c r="D8" s="21" t="s">
        <v>130</v>
      </c>
      <c r="E8" s="21" t="s">
        <v>131</v>
      </c>
      <c r="F8" s="22" t="n">
        <v>3175.33</v>
      </c>
      <c r="G8" s="22" t="n">
        <v>3364.6</v>
      </c>
      <c r="H8" s="22" t="n">
        <v>2806.75</v>
      </c>
      <c r="I8" s="22" t="n">
        <v>2541.79</v>
      </c>
      <c r="J8" s="22" t="n">
        <v>2477.22</v>
      </c>
      <c r="K8" s="22" t="n">
        <v>2310.94</v>
      </c>
      <c r="L8" s="22" t="n">
        <v>2435.73</v>
      </c>
      <c r="M8" s="22" t="n">
        <v>2534.43</v>
      </c>
      <c r="N8" s="22" t="n">
        <v>2656.74</v>
      </c>
      <c r="O8" s="22" t="n">
        <v>2746.79</v>
      </c>
      <c r="P8" s="22" t="n">
        <v>2820.76</v>
      </c>
      <c r="Q8" s="22" t="n">
        <v>2882.71</v>
      </c>
      <c r="R8" s="22" t="n">
        <v>2939.6</v>
      </c>
      <c r="S8" s="22" t="n">
        <v>2990.58</v>
      </c>
      <c r="T8" s="22" t="n">
        <v>3041.43</v>
      </c>
      <c r="U8" s="21"/>
      <c r="V8" s="21" t="s">
        <v>132</v>
      </c>
      <c r="W8" s="21" t="s">
        <v>104</v>
      </c>
      <c r="X8" s="21"/>
      <c r="Y8" s="21" t="s">
        <v>105</v>
      </c>
      <c r="Z8" s="21" t="s">
        <v>133</v>
      </c>
      <c r="AA8" s="21" t="s">
        <v>134</v>
      </c>
      <c r="AB8" s="21" t="s">
        <v>135</v>
      </c>
      <c r="AC8" s="21" t="s">
        <v>136</v>
      </c>
      <c r="AD8" s="21" t="s">
        <v>137</v>
      </c>
      <c r="AE8" s="21" t="s">
        <v>140</v>
      </c>
    </row>
    <row r="9" customFormat="false" ht="15" hidden="false" customHeight="false" outlineLevel="0" collapsed="false">
      <c r="A9" s="21" t="s">
        <v>127</v>
      </c>
      <c r="B9" s="21" t="s">
        <v>141</v>
      </c>
      <c r="C9" s="21" t="s">
        <v>129</v>
      </c>
      <c r="D9" s="21" t="s">
        <v>130</v>
      </c>
      <c r="E9" s="21" t="s">
        <v>131</v>
      </c>
      <c r="F9" s="22" t="n">
        <v>1372.81</v>
      </c>
      <c r="G9" s="22" t="n">
        <v>1309.04</v>
      </c>
      <c r="H9" s="22" t="n">
        <v>1263.96</v>
      </c>
      <c r="I9" s="22" t="n">
        <v>1177.88</v>
      </c>
      <c r="J9" s="22" t="n">
        <v>1162.3</v>
      </c>
      <c r="K9" s="22" t="n">
        <v>1088.32</v>
      </c>
      <c r="L9" s="22" t="n">
        <v>1149.84</v>
      </c>
      <c r="M9" s="22" t="n">
        <v>1199.51</v>
      </c>
      <c r="N9" s="22" t="n">
        <v>1255.19</v>
      </c>
      <c r="O9" s="22" t="n">
        <v>1292.26</v>
      </c>
      <c r="P9" s="22" t="n">
        <v>1320.48</v>
      </c>
      <c r="Q9" s="22" t="n">
        <v>1342.76</v>
      </c>
      <c r="R9" s="22" t="n">
        <v>1362.61</v>
      </c>
      <c r="S9" s="22" t="n">
        <v>1379.99</v>
      </c>
      <c r="T9" s="22" t="n">
        <v>1397.76</v>
      </c>
      <c r="U9" s="21"/>
      <c r="V9" s="21" t="s">
        <v>132</v>
      </c>
      <c r="W9" s="21" t="s">
        <v>104</v>
      </c>
      <c r="X9" s="21"/>
      <c r="Y9" s="21" t="s">
        <v>105</v>
      </c>
      <c r="Z9" s="21" t="s">
        <v>133</v>
      </c>
      <c r="AA9" s="21" t="s">
        <v>134</v>
      </c>
      <c r="AB9" s="21" t="s">
        <v>135</v>
      </c>
      <c r="AC9" s="21" t="s">
        <v>136</v>
      </c>
      <c r="AD9" s="21" t="s">
        <v>137</v>
      </c>
      <c r="AE9" s="21" t="s">
        <v>142</v>
      </c>
    </row>
    <row r="10" customFormat="false" ht="15" hidden="false" customHeight="false" outlineLevel="0" collapsed="false">
      <c r="A10" s="21" t="s">
        <v>127</v>
      </c>
      <c r="B10" s="21" t="s">
        <v>143</v>
      </c>
      <c r="C10" s="21" t="s">
        <v>129</v>
      </c>
      <c r="D10" s="21" t="s">
        <v>130</v>
      </c>
      <c r="E10" s="21" t="s">
        <v>131</v>
      </c>
      <c r="F10" s="22" t="n">
        <v>2929.16</v>
      </c>
      <c r="G10" s="22" t="n">
        <v>2899.22</v>
      </c>
      <c r="H10" s="22" t="n">
        <v>2685.23</v>
      </c>
      <c r="I10" s="22" t="n">
        <v>2503.46</v>
      </c>
      <c r="J10" s="22" t="n">
        <v>2408.19</v>
      </c>
      <c r="K10" s="22" t="n">
        <v>2246.4</v>
      </c>
      <c r="L10" s="22" t="n">
        <v>2392.59</v>
      </c>
      <c r="M10" s="22" t="n">
        <v>2487.62</v>
      </c>
      <c r="N10" s="22" t="n">
        <v>2567.07</v>
      </c>
      <c r="O10" s="22" t="n">
        <v>2632.63</v>
      </c>
      <c r="P10" s="22" t="n">
        <v>2679.86</v>
      </c>
      <c r="Q10" s="22" t="n">
        <v>2714.48</v>
      </c>
      <c r="R10" s="22" t="n">
        <v>2742.96</v>
      </c>
      <c r="S10" s="22" t="n">
        <v>2766.29</v>
      </c>
      <c r="T10" s="22" t="n">
        <v>2794.5</v>
      </c>
      <c r="U10" s="21"/>
      <c r="V10" s="21" t="s">
        <v>132</v>
      </c>
      <c r="W10" s="21" t="s">
        <v>104</v>
      </c>
      <c r="X10" s="21"/>
      <c r="Y10" s="21" t="s">
        <v>105</v>
      </c>
      <c r="Z10" s="21" t="s">
        <v>133</v>
      </c>
      <c r="AA10" s="21" t="s">
        <v>134</v>
      </c>
      <c r="AB10" s="21" t="s">
        <v>135</v>
      </c>
      <c r="AC10" s="21" t="s">
        <v>136</v>
      </c>
      <c r="AD10" s="21" t="s">
        <v>137</v>
      </c>
      <c r="AE10" s="21" t="s">
        <v>144</v>
      </c>
    </row>
    <row r="11" customFormat="false" ht="15" hidden="false" customHeight="false" outlineLevel="0" collapsed="false">
      <c r="A11" s="21" t="s">
        <v>127</v>
      </c>
      <c r="B11" s="21" t="s">
        <v>67</v>
      </c>
      <c r="C11" s="21" t="s">
        <v>129</v>
      </c>
      <c r="D11" s="21" t="s">
        <v>130</v>
      </c>
      <c r="E11" s="21" t="s">
        <v>131</v>
      </c>
      <c r="F11" s="22" t="n">
        <v>19467.85</v>
      </c>
      <c r="G11" s="22" t="n">
        <v>19073.22</v>
      </c>
      <c r="H11" s="22" t="n">
        <v>18746.98</v>
      </c>
      <c r="I11" s="22" t="n">
        <v>15840.27</v>
      </c>
      <c r="J11" s="22" t="n">
        <v>13922.12</v>
      </c>
      <c r="K11" s="22" t="n">
        <v>13237.68</v>
      </c>
      <c r="L11" s="22" t="n">
        <v>12875.72</v>
      </c>
      <c r="M11" s="22" t="n">
        <v>13044.5</v>
      </c>
      <c r="N11" s="22" t="n">
        <v>13569.31</v>
      </c>
      <c r="O11" s="22" t="n">
        <v>14089.78</v>
      </c>
      <c r="P11" s="22" t="n">
        <v>14537.82</v>
      </c>
      <c r="Q11" s="22" t="n">
        <v>15001.4</v>
      </c>
      <c r="R11" s="22" t="n">
        <v>15333.69</v>
      </c>
      <c r="S11" s="22" t="n">
        <v>15600.15</v>
      </c>
      <c r="T11" s="22" t="n">
        <v>15838.75</v>
      </c>
      <c r="U11" s="21"/>
      <c r="V11" s="21" t="s">
        <v>132</v>
      </c>
      <c r="W11" s="21" t="s">
        <v>104</v>
      </c>
      <c r="X11" s="21"/>
      <c r="Y11" s="21" t="s">
        <v>105</v>
      </c>
      <c r="Z11" s="21" t="s">
        <v>133</v>
      </c>
      <c r="AA11" s="21" t="s">
        <v>134</v>
      </c>
      <c r="AB11" s="21" t="s">
        <v>135</v>
      </c>
      <c r="AC11" s="21" t="s">
        <v>136</v>
      </c>
      <c r="AD11" s="21" t="s">
        <v>137</v>
      </c>
      <c r="AE11" s="21" t="s">
        <v>145</v>
      </c>
    </row>
    <row r="12" customFormat="false" ht="15" hidden="false" customHeight="false" outlineLevel="0" collapsed="false">
      <c r="A12" s="21" t="s">
        <v>127</v>
      </c>
      <c r="B12" s="21" t="s">
        <v>146</v>
      </c>
      <c r="C12" s="21" t="s">
        <v>129</v>
      </c>
      <c r="D12" s="21" t="s">
        <v>130</v>
      </c>
      <c r="E12" s="21" t="s">
        <v>131</v>
      </c>
      <c r="F12" s="22" t="n">
        <v>1258.54</v>
      </c>
      <c r="G12" s="22" t="n">
        <v>1196.28</v>
      </c>
      <c r="H12" s="22" t="n">
        <v>1157.25</v>
      </c>
      <c r="I12" s="22" t="n">
        <v>1081.48</v>
      </c>
      <c r="J12" s="22" t="n">
        <v>1069.3</v>
      </c>
      <c r="K12" s="22" t="n">
        <v>996.93</v>
      </c>
      <c r="L12" s="22" t="n">
        <v>1053.64</v>
      </c>
      <c r="M12" s="22" t="n">
        <v>1104.75</v>
      </c>
      <c r="N12" s="22" t="n">
        <v>1160.28</v>
      </c>
      <c r="O12" s="22" t="n">
        <v>1207.03</v>
      </c>
      <c r="P12" s="22" t="n">
        <v>1245.33</v>
      </c>
      <c r="Q12" s="22" t="n">
        <v>1277.89</v>
      </c>
      <c r="R12" s="22" t="n">
        <v>1306.54</v>
      </c>
      <c r="S12" s="22" t="n">
        <v>1332.73</v>
      </c>
      <c r="T12" s="22" t="n">
        <v>1361.68</v>
      </c>
      <c r="U12" s="21"/>
      <c r="V12" s="21" t="s">
        <v>132</v>
      </c>
      <c r="W12" s="21" t="s">
        <v>104</v>
      </c>
      <c r="X12" s="21"/>
      <c r="Y12" s="21" t="s">
        <v>105</v>
      </c>
      <c r="Z12" s="21" t="s">
        <v>133</v>
      </c>
      <c r="AA12" s="21" t="s">
        <v>134</v>
      </c>
      <c r="AB12" s="21" t="s">
        <v>135</v>
      </c>
      <c r="AC12" s="21" t="s">
        <v>136</v>
      </c>
      <c r="AD12" s="21" t="s">
        <v>137</v>
      </c>
      <c r="AE12" s="21" t="s">
        <v>147</v>
      </c>
    </row>
    <row r="13" customFormat="false" ht="15" hidden="false" customHeight="false" outlineLevel="0" collapsed="false">
      <c r="A13" s="21" t="s">
        <v>127</v>
      </c>
      <c r="B13" s="21" t="s">
        <v>74</v>
      </c>
      <c r="C13" s="21" t="s">
        <v>129</v>
      </c>
      <c r="D13" s="21" t="s">
        <v>130</v>
      </c>
      <c r="E13" s="21" t="s">
        <v>131</v>
      </c>
      <c r="F13" s="22" t="n">
        <v>13443.4</v>
      </c>
      <c r="G13" s="22" t="n">
        <v>12641.85</v>
      </c>
      <c r="H13" s="22" t="n">
        <v>12111.45</v>
      </c>
      <c r="I13" s="22" t="n">
        <v>10463.36</v>
      </c>
      <c r="J13" s="22" t="n">
        <v>9361.11</v>
      </c>
      <c r="K13" s="22" t="n">
        <v>8775.75</v>
      </c>
      <c r="L13" s="22" t="n">
        <v>8245.32</v>
      </c>
      <c r="M13" s="22" t="n">
        <v>8128.5</v>
      </c>
      <c r="N13" s="22" t="n">
        <v>8411.93</v>
      </c>
      <c r="O13" s="22" t="n">
        <v>8747.29</v>
      </c>
      <c r="P13" s="22" t="n">
        <v>9075.62</v>
      </c>
      <c r="Q13" s="22" t="n">
        <v>9418.56</v>
      </c>
      <c r="R13" s="22" t="n">
        <v>9709.49</v>
      </c>
      <c r="S13" s="22" t="n">
        <v>9939.84</v>
      </c>
      <c r="T13" s="22" t="n">
        <v>10139.95</v>
      </c>
      <c r="U13" s="21"/>
      <c r="V13" s="21" t="s">
        <v>132</v>
      </c>
      <c r="W13" s="21" t="s">
        <v>104</v>
      </c>
      <c r="X13" s="21"/>
      <c r="Y13" s="21" t="s">
        <v>105</v>
      </c>
      <c r="Z13" s="21" t="s">
        <v>133</v>
      </c>
      <c r="AA13" s="21" t="s">
        <v>134</v>
      </c>
      <c r="AB13" s="21" t="s">
        <v>135</v>
      </c>
      <c r="AC13" s="21" t="s">
        <v>136</v>
      </c>
      <c r="AD13" s="21" t="s">
        <v>137</v>
      </c>
      <c r="AE13" s="21" t="s">
        <v>148</v>
      </c>
    </row>
    <row r="14" customFormat="false" ht="15" hidden="false" customHeight="false" outlineLevel="0" collapsed="false">
      <c r="A14" s="21" t="s">
        <v>127</v>
      </c>
      <c r="B14" s="21" t="s">
        <v>71</v>
      </c>
      <c r="C14" s="21" t="s">
        <v>129</v>
      </c>
      <c r="D14" s="21" t="s">
        <v>130</v>
      </c>
      <c r="E14" s="21" t="s">
        <v>131</v>
      </c>
      <c r="F14" s="22" t="n">
        <v>8652.69</v>
      </c>
      <c r="G14" s="22" t="n">
        <v>8390.41</v>
      </c>
      <c r="H14" s="22" t="n">
        <v>8512.93</v>
      </c>
      <c r="I14" s="22" t="n">
        <v>8594.05</v>
      </c>
      <c r="J14" s="22" t="n">
        <v>8906.58</v>
      </c>
      <c r="K14" s="22" t="n">
        <v>8875.05</v>
      </c>
      <c r="L14" s="22" t="n">
        <v>9672.79</v>
      </c>
      <c r="M14" s="22" t="n">
        <v>10196.48</v>
      </c>
      <c r="N14" s="22" t="n">
        <v>10457.62</v>
      </c>
      <c r="O14" s="22" t="n">
        <v>10632.24</v>
      </c>
      <c r="P14" s="22" t="n">
        <v>10765.78</v>
      </c>
      <c r="Q14" s="22" t="n">
        <v>10788.73</v>
      </c>
      <c r="R14" s="22" t="n">
        <v>10858.44</v>
      </c>
      <c r="S14" s="22" t="n">
        <v>10955.43</v>
      </c>
      <c r="T14" s="22" t="n">
        <v>11101.78</v>
      </c>
      <c r="U14" s="21"/>
      <c r="V14" s="21" t="s">
        <v>132</v>
      </c>
      <c r="W14" s="21" t="s">
        <v>104</v>
      </c>
      <c r="X14" s="21"/>
      <c r="Y14" s="21" t="s">
        <v>105</v>
      </c>
      <c r="Z14" s="21" t="s">
        <v>133</v>
      </c>
      <c r="AA14" s="21" t="s">
        <v>134</v>
      </c>
      <c r="AB14" s="21" t="s">
        <v>135</v>
      </c>
      <c r="AC14" s="21" t="s">
        <v>136</v>
      </c>
      <c r="AD14" s="21" t="s">
        <v>137</v>
      </c>
      <c r="AE14" s="21" t="s">
        <v>149</v>
      </c>
    </row>
    <row r="15" customFormat="false" ht="15" hidden="false" customHeight="false" outlineLevel="0" collapsed="false">
      <c r="A15" s="21" t="s">
        <v>127</v>
      </c>
      <c r="B15" s="21" t="s">
        <v>81</v>
      </c>
      <c r="C15" s="21" t="s">
        <v>129</v>
      </c>
      <c r="D15" s="21" t="s">
        <v>130</v>
      </c>
      <c r="E15" s="21" t="s">
        <v>131</v>
      </c>
      <c r="F15" s="22" t="n">
        <v>6656.74</v>
      </c>
      <c r="G15" s="22" t="n">
        <v>6719.45</v>
      </c>
      <c r="H15" s="22" t="n">
        <v>6165.92</v>
      </c>
      <c r="I15" s="22" t="n">
        <v>5727.03</v>
      </c>
      <c r="J15" s="22" t="n">
        <v>5512.36</v>
      </c>
      <c r="K15" s="22" t="n">
        <v>5148.52</v>
      </c>
      <c r="L15" s="22" t="n">
        <v>5468.66</v>
      </c>
      <c r="M15" s="22" t="n">
        <v>5687.15</v>
      </c>
      <c r="N15" s="22" t="n">
        <v>5931.12</v>
      </c>
      <c r="O15" s="22" t="n">
        <v>6121.09</v>
      </c>
      <c r="P15" s="22" t="n">
        <v>6261.99</v>
      </c>
      <c r="Q15" s="22" t="n">
        <v>6382.53</v>
      </c>
      <c r="R15" s="22" t="n">
        <v>6490.75</v>
      </c>
      <c r="S15" s="22" t="n">
        <v>6584.58</v>
      </c>
      <c r="T15" s="22" t="n">
        <v>6683.55</v>
      </c>
      <c r="U15" s="21"/>
      <c r="V15" s="21" t="s">
        <v>132</v>
      </c>
      <c r="W15" s="21" t="s">
        <v>104</v>
      </c>
      <c r="X15" s="21"/>
      <c r="Y15" s="21" t="s">
        <v>105</v>
      </c>
      <c r="Z15" s="21" t="s">
        <v>133</v>
      </c>
      <c r="AA15" s="21" t="s">
        <v>134</v>
      </c>
      <c r="AB15" s="21" t="s">
        <v>135</v>
      </c>
      <c r="AC15" s="21" t="s">
        <v>136</v>
      </c>
      <c r="AD15" s="21" t="s">
        <v>137</v>
      </c>
      <c r="AE15" s="21" t="s">
        <v>150</v>
      </c>
    </row>
    <row r="16" customFormat="false" ht="15" hidden="false" customHeight="false" outlineLevel="0" collapsed="false">
      <c r="A16" s="21" t="s">
        <v>127</v>
      </c>
      <c r="B16" s="21" t="s">
        <v>78</v>
      </c>
      <c r="C16" s="21" t="s">
        <v>129</v>
      </c>
      <c r="D16" s="21" t="s">
        <v>130</v>
      </c>
      <c r="E16" s="21" t="s">
        <v>131</v>
      </c>
      <c r="F16" s="22" t="n">
        <v>5186.26</v>
      </c>
      <c r="G16" s="22" t="n">
        <v>5142.76</v>
      </c>
      <c r="H16" s="22" t="n">
        <v>5270.72</v>
      </c>
      <c r="I16" s="22" t="n">
        <v>5307.07</v>
      </c>
      <c r="J16" s="22" t="n">
        <v>5504.38</v>
      </c>
      <c r="K16" s="22" t="n">
        <v>5612.39</v>
      </c>
      <c r="L16" s="22" t="n">
        <v>6385.62</v>
      </c>
      <c r="M16" s="22" t="n">
        <v>6769.77</v>
      </c>
      <c r="N16" s="22" t="n">
        <v>6831.45</v>
      </c>
      <c r="O16" s="22" t="n">
        <v>6859</v>
      </c>
      <c r="P16" s="22" t="n">
        <v>6880.54</v>
      </c>
      <c r="Q16" s="22" t="n">
        <v>6859.57</v>
      </c>
      <c r="R16" s="22" t="n">
        <v>6851.74</v>
      </c>
      <c r="S16" s="22" t="n">
        <v>6887.68</v>
      </c>
      <c r="T16" s="22" t="n">
        <v>6971.33</v>
      </c>
      <c r="U16" s="21"/>
      <c r="V16" s="21" t="s">
        <v>132</v>
      </c>
      <c r="W16" s="21" t="s">
        <v>104</v>
      </c>
      <c r="X16" s="21"/>
      <c r="Y16" s="21" t="s">
        <v>105</v>
      </c>
      <c r="Z16" s="21" t="s">
        <v>133</v>
      </c>
      <c r="AA16" s="21" t="s">
        <v>134</v>
      </c>
      <c r="AB16" s="21" t="s">
        <v>135</v>
      </c>
      <c r="AC16" s="21" t="s">
        <v>136</v>
      </c>
      <c r="AD16" s="21" t="s">
        <v>137</v>
      </c>
      <c r="AE16" s="21" t="s">
        <v>151</v>
      </c>
    </row>
    <row r="17" customFormat="false" ht="15" hidden="false" customHeight="false" outlineLevel="0" collapsed="false">
      <c r="A17" s="21" t="s">
        <v>127</v>
      </c>
      <c r="B17" s="21" t="s">
        <v>85</v>
      </c>
      <c r="C17" s="21" t="s">
        <v>129</v>
      </c>
      <c r="D17" s="21" t="s">
        <v>130</v>
      </c>
      <c r="E17" s="21" t="s">
        <v>131</v>
      </c>
      <c r="F17" s="22" t="n">
        <v>3077.89</v>
      </c>
      <c r="G17" s="22" t="n">
        <v>2917.53</v>
      </c>
      <c r="H17" s="22" t="n">
        <v>2815.19</v>
      </c>
      <c r="I17" s="22" t="n">
        <v>2624.53</v>
      </c>
      <c r="J17" s="22" t="n">
        <v>2589.7</v>
      </c>
      <c r="K17" s="22" t="n">
        <v>2421.99</v>
      </c>
      <c r="L17" s="22" t="n">
        <v>2559.63</v>
      </c>
      <c r="M17" s="22" t="n">
        <v>2681.75</v>
      </c>
      <c r="N17" s="22" t="n">
        <v>2814.37</v>
      </c>
      <c r="O17" s="22" t="n">
        <v>2913.52</v>
      </c>
      <c r="P17" s="22" t="n">
        <v>2997.87</v>
      </c>
      <c r="Q17" s="22" t="n">
        <v>3067.76</v>
      </c>
      <c r="R17" s="22" t="n">
        <v>3129.97</v>
      </c>
      <c r="S17" s="22" t="n">
        <v>3185.06</v>
      </c>
      <c r="T17" s="22" t="n">
        <v>3243.6</v>
      </c>
      <c r="U17" s="21"/>
      <c r="V17" s="21" t="s">
        <v>132</v>
      </c>
      <c r="W17" s="21" t="s">
        <v>104</v>
      </c>
      <c r="X17" s="21"/>
      <c r="Y17" s="21" t="s">
        <v>105</v>
      </c>
      <c r="Z17" s="21" t="s">
        <v>133</v>
      </c>
      <c r="AA17" s="21" t="s">
        <v>134</v>
      </c>
      <c r="AB17" s="21" t="s">
        <v>135</v>
      </c>
      <c r="AC17" s="21" t="s">
        <v>136</v>
      </c>
      <c r="AD17" s="21" t="s">
        <v>137</v>
      </c>
      <c r="AE17" s="21" t="s">
        <v>152</v>
      </c>
    </row>
    <row r="18" customFormat="false" ht="15" hidden="false" customHeight="false" outlineLevel="0" collapsed="false">
      <c r="A18" s="21" t="s">
        <v>127</v>
      </c>
      <c r="B18" s="21" t="s">
        <v>153</v>
      </c>
      <c r="C18" s="21" t="s">
        <v>129</v>
      </c>
      <c r="D18" s="21" t="s">
        <v>130</v>
      </c>
      <c r="E18" s="21" t="s">
        <v>131</v>
      </c>
      <c r="F18" s="22" t="n">
        <v>552.24</v>
      </c>
      <c r="G18" s="22" t="n">
        <v>455.63</v>
      </c>
      <c r="H18" s="22" t="n">
        <v>673.94</v>
      </c>
      <c r="I18" s="22" t="n">
        <v>681.78</v>
      </c>
      <c r="J18" s="22" t="n">
        <v>626.95</v>
      </c>
      <c r="K18" s="22" t="n">
        <v>591.18</v>
      </c>
      <c r="L18" s="22" t="n">
        <v>640.35</v>
      </c>
      <c r="M18" s="22" t="n">
        <v>665.1</v>
      </c>
      <c r="N18" s="22" t="n">
        <v>707.3</v>
      </c>
      <c r="O18" s="22" t="n">
        <v>741.67</v>
      </c>
      <c r="P18" s="22" t="n">
        <v>761.37</v>
      </c>
      <c r="Q18" s="22" t="n">
        <v>785.34</v>
      </c>
      <c r="R18" s="22" t="n">
        <v>808.19</v>
      </c>
      <c r="S18" s="22" t="n">
        <v>827.72</v>
      </c>
      <c r="T18" s="22" t="n">
        <v>847.62</v>
      </c>
      <c r="U18" s="21"/>
      <c r="V18" s="21" t="s">
        <v>132</v>
      </c>
      <c r="W18" s="21" t="s">
        <v>104</v>
      </c>
      <c r="X18" s="21"/>
      <c r="Y18" s="21" t="s">
        <v>105</v>
      </c>
      <c r="Z18" s="21" t="s">
        <v>133</v>
      </c>
      <c r="AA18" s="21" t="s">
        <v>134</v>
      </c>
      <c r="AB18" s="21" t="s">
        <v>135</v>
      </c>
      <c r="AC18" s="21" t="s">
        <v>136</v>
      </c>
      <c r="AD18" s="21" t="s">
        <v>137</v>
      </c>
      <c r="AE18" s="21" t="s">
        <v>154</v>
      </c>
    </row>
    <row r="19" customFormat="false" ht="15" hidden="false" customHeight="false" outlineLevel="0" collapsed="false">
      <c r="A19" s="21" t="s">
        <v>155</v>
      </c>
      <c r="B19" s="21" t="s">
        <v>128</v>
      </c>
      <c r="C19" s="21" t="s">
        <v>129</v>
      </c>
      <c r="D19" s="21" t="s">
        <v>130</v>
      </c>
      <c r="E19" s="21" t="s">
        <v>131</v>
      </c>
      <c r="F19" s="22" t="n">
        <v>330.32</v>
      </c>
      <c r="G19" s="22" t="n">
        <v>364.12</v>
      </c>
      <c r="H19" s="22" t="n">
        <v>373.16</v>
      </c>
      <c r="I19" s="22" t="n">
        <v>381.38</v>
      </c>
      <c r="J19" s="22" t="n">
        <v>373.45</v>
      </c>
      <c r="K19" s="22" t="n">
        <v>372.79</v>
      </c>
      <c r="L19" s="22" t="n">
        <v>393.51</v>
      </c>
      <c r="M19" s="22" t="n">
        <v>403.49</v>
      </c>
      <c r="N19" s="22" t="n">
        <v>410.97</v>
      </c>
      <c r="O19" s="22" t="n">
        <v>423.92</v>
      </c>
      <c r="P19" s="22" t="n">
        <v>436.98</v>
      </c>
      <c r="Q19" s="22" t="n">
        <v>447.73</v>
      </c>
      <c r="R19" s="22" t="n">
        <v>457.95</v>
      </c>
      <c r="S19" s="22" t="n">
        <v>474.8</v>
      </c>
      <c r="T19" s="22" t="n">
        <v>481.91</v>
      </c>
      <c r="U19" s="21"/>
      <c r="V19" s="21" t="s">
        <v>132</v>
      </c>
      <c r="W19" s="21" t="s">
        <v>104</v>
      </c>
      <c r="X19" s="21"/>
      <c r="Y19" s="21" t="s">
        <v>105</v>
      </c>
      <c r="Z19" s="21" t="s">
        <v>133</v>
      </c>
      <c r="AA19" s="21" t="s">
        <v>134</v>
      </c>
      <c r="AB19" s="21" t="s">
        <v>135</v>
      </c>
      <c r="AC19" s="21" t="s">
        <v>136</v>
      </c>
      <c r="AD19" s="21" t="s">
        <v>156</v>
      </c>
      <c r="AE19" s="21" t="s">
        <v>138</v>
      </c>
    </row>
    <row r="20" customFormat="false" ht="15" hidden="false" customHeight="false" outlineLevel="0" collapsed="false">
      <c r="A20" s="21" t="s">
        <v>155</v>
      </c>
      <c r="B20" s="21" t="s">
        <v>139</v>
      </c>
      <c r="C20" s="21" t="s">
        <v>129</v>
      </c>
      <c r="D20" s="21" t="s">
        <v>130</v>
      </c>
      <c r="E20" s="21" t="s">
        <v>131</v>
      </c>
      <c r="F20" s="22" t="n">
        <v>2542.43</v>
      </c>
      <c r="G20" s="22" t="n">
        <v>2560.5</v>
      </c>
      <c r="H20" s="22" t="n">
        <v>2468.34</v>
      </c>
      <c r="I20" s="22" t="n">
        <v>2301.4</v>
      </c>
      <c r="J20" s="22" t="n">
        <v>2302.47</v>
      </c>
      <c r="K20" s="22" t="n">
        <v>2373.7</v>
      </c>
      <c r="L20" s="22" t="n">
        <v>2487.57</v>
      </c>
      <c r="M20" s="22" t="n">
        <v>2598.87</v>
      </c>
      <c r="N20" s="22" t="n">
        <v>2636.42</v>
      </c>
      <c r="O20" s="22" t="n">
        <v>2656.75</v>
      </c>
      <c r="P20" s="22" t="n">
        <v>2675.73</v>
      </c>
      <c r="Q20" s="22" t="n">
        <v>2746.67</v>
      </c>
      <c r="R20" s="22" t="n">
        <v>2832.98</v>
      </c>
      <c r="S20" s="22" t="n">
        <v>2905.68</v>
      </c>
      <c r="T20" s="22" t="n">
        <v>2970.19</v>
      </c>
      <c r="U20" s="21"/>
      <c r="V20" s="21" t="s">
        <v>132</v>
      </c>
      <c r="W20" s="21" t="s">
        <v>104</v>
      </c>
      <c r="X20" s="21"/>
      <c r="Y20" s="21" t="s">
        <v>105</v>
      </c>
      <c r="Z20" s="21" t="s">
        <v>133</v>
      </c>
      <c r="AA20" s="21" t="s">
        <v>134</v>
      </c>
      <c r="AB20" s="21" t="s">
        <v>135</v>
      </c>
      <c r="AC20" s="21" t="s">
        <v>136</v>
      </c>
      <c r="AD20" s="21" t="s">
        <v>156</v>
      </c>
      <c r="AE20" s="21" t="s">
        <v>140</v>
      </c>
    </row>
    <row r="21" customFormat="false" ht="15" hidden="false" customHeight="false" outlineLevel="0" collapsed="false">
      <c r="A21" s="21" t="s">
        <v>155</v>
      </c>
      <c r="B21" s="21" t="s">
        <v>141</v>
      </c>
      <c r="C21" s="21" t="s">
        <v>129</v>
      </c>
      <c r="D21" s="21" t="s">
        <v>130</v>
      </c>
      <c r="E21" s="21" t="s">
        <v>131</v>
      </c>
      <c r="F21" s="22" t="n">
        <v>2216.45</v>
      </c>
      <c r="G21" s="22" t="n">
        <v>2471.31</v>
      </c>
      <c r="H21" s="22" t="n">
        <v>2538</v>
      </c>
      <c r="I21" s="22" t="n">
        <v>2588.31</v>
      </c>
      <c r="J21" s="22" t="n">
        <v>2525.32</v>
      </c>
      <c r="K21" s="22" t="n">
        <v>2651</v>
      </c>
      <c r="L21" s="22" t="n">
        <v>2774.95</v>
      </c>
      <c r="M21" s="22" t="n">
        <v>2930.34</v>
      </c>
      <c r="N21" s="22" t="n">
        <v>2954.53</v>
      </c>
      <c r="O21" s="22" t="n">
        <v>3031.39</v>
      </c>
      <c r="P21" s="22" t="n">
        <v>3119.89</v>
      </c>
      <c r="Q21" s="22" t="n">
        <v>3195</v>
      </c>
      <c r="R21" s="22" t="n">
        <v>3261.73</v>
      </c>
      <c r="S21" s="22" t="n">
        <v>3374.2</v>
      </c>
      <c r="T21" s="22" t="n">
        <v>3419.44</v>
      </c>
      <c r="U21" s="21"/>
      <c r="V21" s="21" t="s">
        <v>132</v>
      </c>
      <c r="W21" s="21" t="s">
        <v>104</v>
      </c>
      <c r="X21" s="21"/>
      <c r="Y21" s="21" t="s">
        <v>105</v>
      </c>
      <c r="Z21" s="21" t="s">
        <v>133</v>
      </c>
      <c r="AA21" s="21" t="s">
        <v>134</v>
      </c>
      <c r="AB21" s="21" t="s">
        <v>135</v>
      </c>
      <c r="AC21" s="21" t="s">
        <v>136</v>
      </c>
      <c r="AD21" s="21" t="s">
        <v>156</v>
      </c>
      <c r="AE21" s="21" t="s">
        <v>142</v>
      </c>
    </row>
    <row r="22" customFormat="false" ht="15" hidden="false" customHeight="false" outlineLevel="0" collapsed="false">
      <c r="A22" s="21" t="s">
        <v>155</v>
      </c>
      <c r="B22" s="21" t="s">
        <v>143</v>
      </c>
      <c r="C22" s="21" t="s">
        <v>129</v>
      </c>
      <c r="D22" s="21" t="s">
        <v>130</v>
      </c>
      <c r="E22" s="21" t="s">
        <v>131</v>
      </c>
      <c r="F22" s="22" t="n">
        <v>1178.19</v>
      </c>
      <c r="G22" s="22" t="n">
        <v>1361.09</v>
      </c>
      <c r="H22" s="22" t="n">
        <v>1304.03</v>
      </c>
      <c r="I22" s="22" t="n">
        <v>1423.44</v>
      </c>
      <c r="J22" s="22" t="n">
        <v>1518.38</v>
      </c>
      <c r="K22" s="22" t="n">
        <v>1569.44</v>
      </c>
      <c r="L22" s="22" t="n">
        <v>1652.75</v>
      </c>
      <c r="M22" s="22" t="n">
        <v>1685.98</v>
      </c>
      <c r="N22" s="22" t="n">
        <v>1702.94</v>
      </c>
      <c r="O22" s="22" t="n">
        <v>1729.68</v>
      </c>
      <c r="P22" s="22" t="n">
        <v>1758.95</v>
      </c>
      <c r="Q22" s="22" t="n">
        <v>1823.09</v>
      </c>
      <c r="R22" s="22" t="n">
        <v>1894.44</v>
      </c>
      <c r="S22" s="22" t="n">
        <v>1957.58</v>
      </c>
      <c r="T22" s="22" t="n">
        <v>2015.64</v>
      </c>
      <c r="U22" s="21"/>
      <c r="V22" s="21" t="s">
        <v>132</v>
      </c>
      <c r="W22" s="21" t="s">
        <v>104</v>
      </c>
      <c r="X22" s="21"/>
      <c r="Y22" s="21" t="s">
        <v>105</v>
      </c>
      <c r="Z22" s="21" t="s">
        <v>133</v>
      </c>
      <c r="AA22" s="21" t="s">
        <v>134</v>
      </c>
      <c r="AB22" s="21" t="s">
        <v>135</v>
      </c>
      <c r="AC22" s="21" t="s">
        <v>136</v>
      </c>
      <c r="AD22" s="21" t="s">
        <v>156</v>
      </c>
      <c r="AE22" s="21" t="s">
        <v>144</v>
      </c>
    </row>
    <row r="23" customFormat="false" ht="15" hidden="false" customHeight="false" outlineLevel="0" collapsed="false">
      <c r="A23" s="21" t="s">
        <v>155</v>
      </c>
      <c r="B23" s="21" t="s">
        <v>67</v>
      </c>
      <c r="C23" s="21" t="s">
        <v>129</v>
      </c>
      <c r="D23" s="21" t="s">
        <v>130</v>
      </c>
      <c r="E23" s="21" t="s">
        <v>131</v>
      </c>
      <c r="F23" s="22" t="n">
        <v>7409.55</v>
      </c>
      <c r="G23" s="22" t="n">
        <v>7848.43</v>
      </c>
      <c r="H23" s="22" t="n">
        <v>7552.35</v>
      </c>
      <c r="I23" s="22" t="n">
        <v>7170.64</v>
      </c>
      <c r="J23" s="22" t="n">
        <v>6917.61</v>
      </c>
      <c r="K23" s="22" t="n">
        <v>6629.28</v>
      </c>
      <c r="L23" s="22" t="n">
        <v>6346.15</v>
      </c>
      <c r="M23" s="22" t="n">
        <v>6321.61</v>
      </c>
      <c r="N23" s="22" t="n">
        <v>6409.47</v>
      </c>
      <c r="O23" s="22" t="n">
        <v>6523.82</v>
      </c>
      <c r="P23" s="22" t="n">
        <v>6731.22</v>
      </c>
      <c r="Q23" s="22" t="n">
        <v>7062.85</v>
      </c>
      <c r="R23" s="22" t="n">
        <v>7407.74</v>
      </c>
      <c r="S23" s="22" t="n">
        <v>7690.76</v>
      </c>
      <c r="T23" s="22" t="n">
        <v>7915.76</v>
      </c>
      <c r="U23" s="21"/>
      <c r="V23" s="21" t="s">
        <v>132</v>
      </c>
      <c r="W23" s="21" t="s">
        <v>104</v>
      </c>
      <c r="X23" s="21"/>
      <c r="Y23" s="21" t="s">
        <v>105</v>
      </c>
      <c r="Z23" s="21" t="s">
        <v>133</v>
      </c>
      <c r="AA23" s="21" t="s">
        <v>134</v>
      </c>
      <c r="AB23" s="21" t="s">
        <v>135</v>
      </c>
      <c r="AC23" s="21" t="s">
        <v>136</v>
      </c>
      <c r="AD23" s="21" t="s">
        <v>156</v>
      </c>
      <c r="AE23" s="21" t="s">
        <v>145</v>
      </c>
    </row>
    <row r="24" customFormat="false" ht="15" hidden="false" customHeight="false" outlineLevel="0" collapsed="false">
      <c r="A24" s="21" t="s">
        <v>155</v>
      </c>
      <c r="B24" s="21" t="s">
        <v>146</v>
      </c>
      <c r="C24" s="21" t="s">
        <v>129</v>
      </c>
      <c r="D24" s="21" t="s">
        <v>130</v>
      </c>
      <c r="E24" s="21" t="s">
        <v>131</v>
      </c>
      <c r="F24" s="22" t="n">
        <v>1333.51</v>
      </c>
      <c r="G24" s="22" t="n">
        <v>1481.69</v>
      </c>
      <c r="H24" s="22" t="n">
        <v>1512.38</v>
      </c>
      <c r="I24" s="22" t="n">
        <v>1547.82</v>
      </c>
      <c r="J24" s="22" t="n">
        <v>1517.35</v>
      </c>
      <c r="K24" s="22" t="n">
        <v>1599.65</v>
      </c>
      <c r="L24" s="22" t="n">
        <v>1689.25</v>
      </c>
      <c r="M24" s="22" t="n">
        <v>1731.97</v>
      </c>
      <c r="N24" s="22" t="n">
        <v>1758.15</v>
      </c>
      <c r="O24" s="22" t="n">
        <v>1827.02</v>
      </c>
      <c r="P24" s="22" t="n">
        <v>1888.15</v>
      </c>
      <c r="Q24" s="22" t="n">
        <v>1919.75</v>
      </c>
      <c r="R24" s="22" t="n">
        <v>1967.55</v>
      </c>
      <c r="S24" s="22" t="n">
        <v>2053.94</v>
      </c>
      <c r="T24" s="22" t="n">
        <v>2105.43</v>
      </c>
      <c r="U24" s="21"/>
      <c r="V24" s="21" t="s">
        <v>132</v>
      </c>
      <c r="W24" s="21" t="s">
        <v>104</v>
      </c>
      <c r="X24" s="21"/>
      <c r="Y24" s="21" t="s">
        <v>105</v>
      </c>
      <c r="Z24" s="21" t="s">
        <v>133</v>
      </c>
      <c r="AA24" s="21" t="s">
        <v>134</v>
      </c>
      <c r="AB24" s="21" t="s">
        <v>135</v>
      </c>
      <c r="AC24" s="21" t="s">
        <v>136</v>
      </c>
      <c r="AD24" s="21" t="s">
        <v>156</v>
      </c>
      <c r="AE24" s="21" t="s">
        <v>147</v>
      </c>
    </row>
    <row r="25" customFormat="false" ht="15" hidden="false" customHeight="false" outlineLevel="0" collapsed="false">
      <c r="A25" s="21" t="s">
        <v>155</v>
      </c>
      <c r="B25" s="21" t="s">
        <v>74</v>
      </c>
      <c r="C25" s="21" t="s">
        <v>129</v>
      </c>
      <c r="D25" s="21" t="s">
        <v>130</v>
      </c>
      <c r="E25" s="21" t="s">
        <v>131</v>
      </c>
      <c r="F25" s="22" t="n">
        <v>3794.23</v>
      </c>
      <c r="G25" s="22" t="n">
        <v>4161.34</v>
      </c>
      <c r="H25" s="22" t="n">
        <v>4053.26</v>
      </c>
      <c r="I25" s="22" t="n">
        <v>3876.71</v>
      </c>
      <c r="J25" s="22" t="n">
        <v>3870.07</v>
      </c>
      <c r="K25" s="22" t="n">
        <v>3818.83</v>
      </c>
      <c r="L25" s="22" t="n">
        <v>3767.33</v>
      </c>
      <c r="M25" s="22" t="n">
        <v>3731.43</v>
      </c>
      <c r="N25" s="22" t="n">
        <v>3762.76</v>
      </c>
      <c r="O25" s="22" t="n">
        <v>3824.4</v>
      </c>
      <c r="P25" s="22" t="n">
        <v>3945.55</v>
      </c>
      <c r="Q25" s="22" t="n">
        <v>4147.73</v>
      </c>
      <c r="R25" s="22" t="n">
        <v>4380.75</v>
      </c>
      <c r="S25" s="22" t="n">
        <v>4594.3</v>
      </c>
      <c r="T25" s="22" t="n">
        <v>4780.44</v>
      </c>
      <c r="U25" s="21"/>
      <c r="V25" s="21" t="s">
        <v>132</v>
      </c>
      <c r="W25" s="21" t="s">
        <v>104</v>
      </c>
      <c r="X25" s="21"/>
      <c r="Y25" s="21" t="s">
        <v>105</v>
      </c>
      <c r="Z25" s="21" t="s">
        <v>133</v>
      </c>
      <c r="AA25" s="21" t="s">
        <v>134</v>
      </c>
      <c r="AB25" s="21" t="s">
        <v>135</v>
      </c>
      <c r="AC25" s="21" t="s">
        <v>136</v>
      </c>
      <c r="AD25" s="21" t="s">
        <v>156</v>
      </c>
      <c r="AE25" s="21" t="s">
        <v>148</v>
      </c>
    </row>
    <row r="26" customFormat="false" ht="15" hidden="false" customHeight="false" outlineLevel="0" collapsed="false">
      <c r="A26" s="21" t="s">
        <v>155</v>
      </c>
      <c r="B26" s="21" t="s">
        <v>71</v>
      </c>
      <c r="C26" s="21" t="s">
        <v>129</v>
      </c>
      <c r="D26" s="21" t="s">
        <v>130</v>
      </c>
      <c r="E26" s="21" t="s">
        <v>131</v>
      </c>
      <c r="F26" s="22" t="n">
        <v>12358.9</v>
      </c>
      <c r="G26" s="22" t="n">
        <v>13944.75</v>
      </c>
      <c r="H26" s="22" t="n">
        <v>14304.67</v>
      </c>
      <c r="I26" s="22" t="n">
        <v>14242.54</v>
      </c>
      <c r="J26" s="22" t="n">
        <v>14832.31</v>
      </c>
      <c r="K26" s="22" t="n">
        <v>14708.7</v>
      </c>
      <c r="L26" s="22" t="n">
        <v>14603.21</v>
      </c>
      <c r="M26" s="22" t="n">
        <v>14925.29</v>
      </c>
      <c r="N26" s="22" t="n">
        <v>15624.56</v>
      </c>
      <c r="O26" s="22" t="n">
        <v>16247.82</v>
      </c>
      <c r="P26" s="22" t="n">
        <v>16847.72</v>
      </c>
      <c r="Q26" s="22" t="n">
        <v>17186.45</v>
      </c>
      <c r="R26" s="22" t="n">
        <v>17559.75</v>
      </c>
      <c r="S26" s="22" t="n">
        <v>17917.69</v>
      </c>
      <c r="T26" s="22" t="n">
        <v>18272.47</v>
      </c>
      <c r="U26" s="21"/>
      <c r="V26" s="21" t="s">
        <v>132</v>
      </c>
      <c r="W26" s="21" t="s">
        <v>104</v>
      </c>
      <c r="X26" s="21"/>
      <c r="Y26" s="21" t="s">
        <v>105</v>
      </c>
      <c r="Z26" s="21" t="s">
        <v>133</v>
      </c>
      <c r="AA26" s="21" t="s">
        <v>134</v>
      </c>
      <c r="AB26" s="21" t="s">
        <v>135</v>
      </c>
      <c r="AC26" s="21" t="s">
        <v>136</v>
      </c>
      <c r="AD26" s="21" t="s">
        <v>156</v>
      </c>
      <c r="AE26" s="21" t="s">
        <v>149</v>
      </c>
    </row>
    <row r="27" customFormat="false" ht="15" hidden="false" customHeight="false" outlineLevel="0" collapsed="false">
      <c r="A27" s="21" t="s">
        <v>155</v>
      </c>
      <c r="B27" s="21" t="s">
        <v>81</v>
      </c>
      <c r="C27" s="21" t="s">
        <v>129</v>
      </c>
      <c r="D27" s="21" t="s">
        <v>130</v>
      </c>
      <c r="E27" s="21" t="s">
        <v>131</v>
      </c>
      <c r="F27" s="22" t="n">
        <v>3961.49</v>
      </c>
      <c r="G27" s="22" t="n">
        <v>4199.98</v>
      </c>
      <c r="H27" s="22" t="n">
        <v>4103.04</v>
      </c>
      <c r="I27" s="22" t="n">
        <v>4069.66</v>
      </c>
      <c r="J27" s="22" t="n">
        <v>4186.19</v>
      </c>
      <c r="K27" s="22" t="n">
        <v>4304.56</v>
      </c>
      <c r="L27" s="22" t="n">
        <v>4496.49</v>
      </c>
      <c r="M27" s="22" t="n">
        <v>4652.84</v>
      </c>
      <c r="N27" s="22" t="n">
        <v>4717.78</v>
      </c>
      <c r="O27" s="22" t="n">
        <v>4775.32</v>
      </c>
      <c r="P27" s="22" t="n">
        <v>4832.25</v>
      </c>
      <c r="Q27" s="22" t="n">
        <v>4982.67</v>
      </c>
      <c r="R27" s="22" t="n">
        <v>5158.79</v>
      </c>
      <c r="S27" s="22" t="n">
        <v>5312.55</v>
      </c>
      <c r="T27" s="22" t="n">
        <v>5452.21</v>
      </c>
      <c r="U27" s="21"/>
      <c r="V27" s="21" t="s">
        <v>132</v>
      </c>
      <c r="W27" s="21" t="s">
        <v>104</v>
      </c>
      <c r="X27" s="21"/>
      <c r="Y27" s="21" t="s">
        <v>105</v>
      </c>
      <c r="Z27" s="21" t="s">
        <v>133</v>
      </c>
      <c r="AA27" s="21" t="s">
        <v>134</v>
      </c>
      <c r="AB27" s="21" t="s">
        <v>135</v>
      </c>
      <c r="AC27" s="21" t="s">
        <v>136</v>
      </c>
      <c r="AD27" s="21" t="s">
        <v>156</v>
      </c>
      <c r="AE27" s="21" t="s">
        <v>150</v>
      </c>
    </row>
    <row r="28" customFormat="false" ht="15" hidden="false" customHeight="false" outlineLevel="0" collapsed="false">
      <c r="A28" s="21" t="s">
        <v>155</v>
      </c>
      <c r="B28" s="21" t="s">
        <v>78</v>
      </c>
      <c r="C28" s="21" t="s">
        <v>129</v>
      </c>
      <c r="D28" s="21" t="s">
        <v>130</v>
      </c>
      <c r="E28" s="21" t="s">
        <v>131</v>
      </c>
      <c r="F28" s="22" t="n">
        <v>5664.38</v>
      </c>
      <c r="G28" s="22" t="n">
        <v>6409.8</v>
      </c>
      <c r="H28" s="22" t="n">
        <v>6588.63</v>
      </c>
      <c r="I28" s="22" t="n">
        <v>6590.1</v>
      </c>
      <c r="J28" s="22" t="n">
        <v>6896.76</v>
      </c>
      <c r="K28" s="22" t="n">
        <v>6915.85</v>
      </c>
      <c r="L28" s="22" t="n">
        <v>6897.52</v>
      </c>
      <c r="M28" s="22" t="n">
        <v>7153.94</v>
      </c>
      <c r="N28" s="22" t="n">
        <v>7596.75</v>
      </c>
      <c r="O28" s="22" t="n">
        <v>8004.55</v>
      </c>
      <c r="P28" s="22" t="n">
        <v>8369.25</v>
      </c>
      <c r="Q28" s="22" t="n">
        <v>8586.95</v>
      </c>
      <c r="R28" s="22" t="n">
        <v>8848.47</v>
      </c>
      <c r="S28" s="22" t="n">
        <v>9118.04</v>
      </c>
      <c r="T28" s="22" t="n">
        <v>9375.69</v>
      </c>
      <c r="U28" s="21"/>
      <c r="V28" s="21" t="s">
        <v>132</v>
      </c>
      <c r="W28" s="21" t="s">
        <v>104</v>
      </c>
      <c r="X28" s="21"/>
      <c r="Y28" s="21" t="s">
        <v>105</v>
      </c>
      <c r="Z28" s="21" t="s">
        <v>133</v>
      </c>
      <c r="AA28" s="21" t="s">
        <v>134</v>
      </c>
      <c r="AB28" s="21" t="s">
        <v>135</v>
      </c>
      <c r="AC28" s="21" t="s">
        <v>136</v>
      </c>
      <c r="AD28" s="21" t="s">
        <v>156</v>
      </c>
      <c r="AE28" s="21" t="s">
        <v>151</v>
      </c>
    </row>
    <row r="29" customFormat="false" ht="15" hidden="false" customHeight="false" outlineLevel="0" collapsed="false">
      <c r="A29" s="21" t="s">
        <v>155</v>
      </c>
      <c r="B29" s="21" t="s">
        <v>85</v>
      </c>
      <c r="C29" s="21" t="s">
        <v>129</v>
      </c>
      <c r="D29" s="21" t="s">
        <v>130</v>
      </c>
      <c r="E29" s="21" t="s">
        <v>131</v>
      </c>
      <c r="F29" s="22" t="n">
        <v>3880.28</v>
      </c>
      <c r="G29" s="22" t="n">
        <v>4317.12</v>
      </c>
      <c r="H29" s="22" t="n">
        <v>4423.54</v>
      </c>
      <c r="I29" s="22" t="n">
        <v>4517.51</v>
      </c>
      <c r="J29" s="22" t="n">
        <v>4416.13</v>
      </c>
      <c r="K29" s="22" t="n">
        <v>4623.45</v>
      </c>
      <c r="L29" s="22" t="n">
        <v>4857.71</v>
      </c>
      <c r="M29" s="22" t="n">
        <v>5065.8</v>
      </c>
      <c r="N29" s="22" t="n">
        <v>5123.64</v>
      </c>
      <c r="O29" s="22" t="n">
        <v>5282.33</v>
      </c>
      <c r="P29" s="22" t="n">
        <v>5445.02</v>
      </c>
      <c r="Q29" s="22" t="n">
        <v>5562.49</v>
      </c>
      <c r="R29" s="22" t="n">
        <v>5687.23</v>
      </c>
      <c r="S29" s="22" t="n">
        <v>5902.93</v>
      </c>
      <c r="T29" s="22" t="n">
        <v>6006.77</v>
      </c>
      <c r="U29" s="21"/>
      <c r="V29" s="21" t="s">
        <v>132</v>
      </c>
      <c r="W29" s="21" t="s">
        <v>104</v>
      </c>
      <c r="X29" s="21"/>
      <c r="Y29" s="21" t="s">
        <v>105</v>
      </c>
      <c r="Z29" s="21" t="s">
        <v>133</v>
      </c>
      <c r="AA29" s="21" t="s">
        <v>134</v>
      </c>
      <c r="AB29" s="21" t="s">
        <v>135</v>
      </c>
      <c r="AC29" s="21" t="s">
        <v>136</v>
      </c>
      <c r="AD29" s="21" t="s">
        <v>156</v>
      </c>
      <c r="AE29" s="21" t="s">
        <v>152</v>
      </c>
    </row>
    <row r="30" customFormat="false" ht="15" hidden="false" customHeight="false" outlineLevel="0" collapsed="false">
      <c r="A30" s="21" t="s">
        <v>155</v>
      </c>
      <c r="B30" s="21" t="s">
        <v>153</v>
      </c>
      <c r="C30" s="21" t="s">
        <v>129</v>
      </c>
      <c r="D30" s="21" t="s">
        <v>130</v>
      </c>
      <c r="E30" s="21" t="s">
        <v>131</v>
      </c>
      <c r="F30" s="22" t="n">
        <v>240.88</v>
      </c>
      <c r="G30" s="22" t="n">
        <v>278.39</v>
      </c>
      <c r="H30" s="22" t="n">
        <v>330.67</v>
      </c>
      <c r="I30" s="22" t="n">
        <v>344.82</v>
      </c>
      <c r="J30" s="22" t="n">
        <v>365.34</v>
      </c>
      <c r="K30" s="22" t="n">
        <v>361.42</v>
      </c>
      <c r="L30" s="22" t="n">
        <v>356.16</v>
      </c>
      <c r="M30" s="22" t="n">
        <v>368</v>
      </c>
      <c r="N30" s="22" t="n">
        <v>378.42</v>
      </c>
      <c r="O30" s="22" t="n">
        <v>388.89</v>
      </c>
      <c r="P30" s="22" t="n">
        <v>397.58</v>
      </c>
      <c r="Q30" s="22" t="n">
        <v>412.9</v>
      </c>
      <c r="R30" s="22" t="n">
        <v>431.37</v>
      </c>
      <c r="S30" s="22" t="n">
        <v>449.3</v>
      </c>
      <c r="T30" s="22" t="n">
        <v>466.38</v>
      </c>
      <c r="U30" s="21"/>
      <c r="V30" s="21" t="s">
        <v>132</v>
      </c>
      <c r="W30" s="21" t="s">
        <v>104</v>
      </c>
      <c r="X30" s="21"/>
      <c r="Y30" s="21" t="s">
        <v>105</v>
      </c>
      <c r="Z30" s="21" t="s">
        <v>133</v>
      </c>
      <c r="AA30" s="21" t="s">
        <v>134</v>
      </c>
      <c r="AB30" s="21" t="s">
        <v>135</v>
      </c>
      <c r="AC30" s="21" t="s">
        <v>136</v>
      </c>
      <c r="AD30" s="21" t="s">
        <v>156</v>
      </c>
      <c r="AE30" s="21" t="s">
        <v>154</v>
      </c>
    </row>
    <row r="31" customFormat="false" ht="15" hidden="false" customHeight="false" outlineLevel="0" collapsed="false">
      <c r="A31" s="21" t="s">
        <v>157</v>
      </c>
      <c r="B31" s="21" t="s">
        <v>128</v>
      </c>
      <c r="C31" s="21" t="s">
        <v>129</v>
      </c>
      <c r="D31" s="21" t="s">
        <v>130</v>
      </c>
      <c r="E31" s="21" t="s">
        <v>131</v>
      </c>
      <c r="F31" s="22" t="n">
        <v>192.55</v>
      </c>
      <c r="G31" s="22" t="n">
        <v>197.48</v>
      </c>
      <c r="H31" s="22" t="n">
        <v>200.01</v>
      </c>
      <c r="I31" s="22" t="n">
        <v>199.32</v>
      </c>
      <c r="J31" s="22" t="n">
        <v>198.78</v>
      </c>
      <c r="K31" s="22" t="n">
        <v>179.58</v>
      </c>
      <c r="L31" s="22" t="n">
        <v>163.15</v>
      </c>
      <c r="M31" s="22" t="n">
        <v>159.36</v>
      </c>
      <c r="N31" s="22" t="n">
        <v>160.42</v>
      </c>
      <c r="O31" s="22" t="n">
        <v>161.82</v>
      </c>
      <c r="P31" s="22" t="n">
        <v>161.35</v>
      </c>
      <c r="Q31" s="22" t="n">
        <v>160.79</v>
      </c>
      <c r="R31" s="22" t="n">
        <v>160.54</v>
      </c>
      <c r="S31" s="22" t="n">
        <v>160.6</v>
      </c>
      <c r="T31" s="22" t="n">
        <v>160.81</v>
      </c>
      <c r="U31" s="21"/>
      <c r="V31" s="21" t="s">
        <v>132</v>
      </c>
      <c r="W31" s="21" t="s">
        <v>104</v>
      </c>
      <c r="X31" s="21"/>
      <c r="Y31" s="21" t="s">
        <v>105</v>
      </c>
      <c r="Z31" s="21" t="s">
        <v>133</v>
      </c>
      <c r="AA31" s="21" t="s">
        <v>134</v>
      </c>
      <c r="AB31" s="21" t="s">
        <v>135</v>
      </c>
      <c r="AC31" s="21" t="s">
        <v>136</v>
      </c>
      <c r="AD31" s="21" t="s">
        <v>158</v>
      </c>
      <c r="AE31" s="21" t="s">
        <v>138</v>
      </c>
    </row>
    <row r="32" customFormat="false" ht="15" hidden="false" customHeight="false" outlineLevel="0" collapsed="false">
      <c r="A32" s="21" t="s">
        <v>157</v>
      </c>
      <c r="B32" s="21" t="s">
        <v>139</v>
      </c>
      <c r="C32" s="21" t="s">
        <v>129</v>
      </c>
      <c r="D32" s="21" t="s">
        <v>130</v>
      </c>
      <c r="E32" s="21" t="s">
        <v>131</v>
      </c>
      <c r="F32" s="22" t="n">
        <v>1275.56</v>
      </c>
      <c r="G32" s="22" t="n">
        <v>1151.15</v>
      </c>
      <c r="H32" s="22" t="n">
        <v>940.2</v>
      </c>
      <c r="I32" s="22" t="n">
        <v>889.35</v>
      </c>
      <c r="J32" s="22" t="n">
        <v>870.73</v>
      </c>
      <c r="K32" s="22" t="n">
        <v>889.47</v>
      </c>
      <c r="L32" s="22" t="n">
        <v>925.05</v>
      </c>
      <c r="M32" s="22" t="n">
        <v>953.01</v>
      </c>
      <c r="N32" s="22" t="n">
        <v>966.25</v>
      </c>
      <c r="O32" s="22" t="n">
        <v>985.66</v>
      </c>
      <c r="P32" s="22" t="n">
        <v>1000.35</v>
      </c>
      <c r="Q32" s="22" t="n">
        <v>1014.54</v>
      </c>
      <c r="R32" s="22" t="n">
        <v>1027.45</v>
      </c>
      <c r="S32" s="22" t="n">
        <v>1040.26</v>
      </c>
      <c r="T32" s="22" t="n">
        <v>1053.65</v>
      </c>
      <c r="U32" s="21"/>
      <c r="V32" s="21" t="s">
        <v>132</v>
      </c>
      <c r="W32" s="21" t="s">
        <v>104</v>
      </c>
      <c r="X32" s="21"/>
      <c r="Y32" s="21" t="s">
        <v>105</v>
      </c>
      <c r="Z32" s="21" t="s">
        <v>133</v>
      </c>
      <c r="AA32" s="21" t="s">
        <v>134</v>
      </c>
      <c r="AB32" s="21" t="s">
        <v>135</v>
      </c>
      <c r="AC32" s="21" t="s">
        <v>136</v>
      </c>
      <c r="AD32" s="21" t="s">
        <v>158</v>
      </c>
      <c r="AE32" s="21" t="s">
        <v>140</v>
      </c>
    </row>
    <row r="33" customFormat="false" ht="15" hidden="false" customHeight="false" outlineLevel="0" collapsed="false">
      <c r="A33" s="21" t="s">
        <v>157</v>
      </c>
      <c r="B33" s="21" t="s">
        <v>141</v>
      </c>
      <c r="C33" s="21" t="s">
        <v>129</v>
      </c>
      <c r="D33" s="21" t="s">
        <v>130</v>
      </c>
      <c r="E33" s="21" t="s">
        <v>131</v>
      </c>
      <c r="F33" s="22" t="n">
        <v>1200.03</v>
      </c>
      <c r="G33" s="22" t="n">
        <v>1264.43</v>
      </c>
      <c r="H33" s="22" t="n">
        <v>1290.19</v>
      </c>
      <c r="I33" s="22" t="n">
        <v>1290.32</v>
      </c>
      <c r="J33" s="22" t="n">
        <v>1290.4</v>
      </c>
      <c r="K33" s="22" t="n">
        <v>1279.89</v>
      </c>
      <c r="L33" s="22" t="n">
        <v>1262.54</v>
      </c>
      <c r="M33" s="22" t="n">
        <v>1294.11</v>
      </c>
      <c r="N33" s="22" t="n">
        <v>1342.79</v>
      </c>
      <c r="O33" s="22" t="n">
        <v>1390.04</v>
      </c>
      <c r="P33" s="22" t="n">
        <v>1425.57</v>
      </c>
      <c r="Q33" s="22" t="n">
        <v>1456.74</v>
      </c>
      <c r="R33" s="22" t="n">
        <v>1486.55</v>
      </c>
      <c r="S33" s="22" t="n">
        <v>1515.93</v>
      </c>
      <c r="T33" s="22" t="n">
        <v>1544.93</v>
      </c>
      <c r="U33" s="21"/>
      <c r="V33" s="21" t="s">
        <v>132</v>
      </c>
      <c r="W33" s="21" t="s">
        <v>104</v>
      </c>
      <c r="X33" s="21"/>
      <c r="Y33" s="21" t="s">
        <v>105</v>
      </c>
      <c r="Z33" s="21" t="s">
        <v>133</v>
      </c>
      <c r="AA33" s="21" t="s">
        <v>134</v>
      </c>
      <c r="AB33" s="21" t="s">
        <v>135</v>
      </c>
      <c r="AC33" s="21" t="s">
        <v>136</v>
      </c>
      <c r="AD33" s="21" t="s">
        <v>158</v>
      </c>
      <c r="AE33" s="21" t="s">
        <v>142</v>
      </c>
    </row>
    <row r="34" customFormat="false" ht="15" hidden="false" customHeight="false" outlineLevel="0" collapsed="false">
      <c r="A34" s="21" t="s">
        <v>157</v>
      </c>
      <c r="B34" s="21" t="s">
        <v>143</v>
      </c>
      <c r="C34" s="21" t="s">
        <v>129</v>
      </c>
      <c r="D34" s="21" t="s">
        <v>130</v>
      </c>
      <c r="E34" s="21" t="s">
        <v>131</v>
      </c>
      <c r="F34" s="22" t="n">
        <v>2051.44</v>
      </c>
      <c r="G34" s="22" t="n">
        <v>1847.82</v>
      </c>
      <c r="H34" s="22" t="n">
        <v>1543.67</v>
      </c>
      <c r="I34" s="22" t="n">
        <v>1490.12</v>
      </c>
      <c r="J34" s="22" t="n">
        <v>1460.53</v>
      </c>
      <c r="K34" s="22" t="n">
        <v>1504.96</v>
      </c>
      <c r="L34" s="22" t="n">
        <v>1578.51</v>
      </c>
      <c r="M34" s="22" t="n">
        <v>1632.39</v>
      </c>
      <c r="N34" s="22" t="n">
        <v>1653.1</v>
      </c>
      <c r="O34" s="22" t="n">
        <v>1682.14</v>
      </c>
      <c r="P34" s="22" t="n">
        <v>1706.52</v>
      </c>
      <c r="Q34" s="22" t="n">
        <v>1731.89</v>
      </c>
      <c r="R34" s="22" t="n">
        <v>1756.41</v>
      </c>
      <c r="S34" s="22" t="n">
        <v>1778.26</v>
      </c>
      <c r="T34" s="22" t="n">
        <v>1799.97</v>
      </c>
      <c r="U34" s="21"/>
      <c r="V34" s="21" t="s">
        <v>132</v>
      </c>
      <c r="W34" s="21" t="s">
        <v>104</v>
      </c>
      <c r="X34" s="21"/>
      <c r="Y34" s="21" t="s">
        <v>105</v>
      </c>
      <c r="Z34" s="21" t="s">
        <v>133</v>
      </c>
      <c r="AA34" s="21" t="s">
        <v>134</v>
      </c>
      <c r="AB34" s="21" t="s">
        <v>135</v>
      </c>
      <c r="AC34" s="21" t="s">
        <v>136</v>
      </c>
      <c r="AD34" s="21" t="s">
        <v>158</v>
      </c>
      <c r="AE34" s="21" t="s">
        <v>144</v>
      </c>
    </row>
    <row r="35" customFormat="false" ht="15" hidden="false" customHeight="false" outlineLevel="0" collapsed="false">
      <c r="A35" s="21" t="s">
        <v>157</v>
      </c>
      <c r="B35" s="21" t="s">
        <v>67</v>
      </c>
      <c r="C35" s="21" t="s">
        <v>129</v>
      </c>
      <c r="D35" s="21" t="s">
        <v>130</v>
      </c>
      <c r="E35" s="21" t="s">
        <v>131</v>
      </c>
      <c r="F35" s="22" t="n">
        <v>23368.08</v>
      </c>
      <c r="G35" s="22" t="n">
        <v>23863.24</v>
      </c>
      <c r="H35" s="22" t="n">
        <v>23310.52</v>
      </c>
      <c r="I35" s="22" t="n">
        <v>22701.32</v>
      </c>
      <c r="J35" s="22" t="n">
        <v>22459.99</v>
      </c>
      <c r="K35" s="22" t="n">
        <v>23276.19</v>
      </c>
      <c r="L35" s="22" t="n">
        <v>24035.43</v>
      </c>
      <c r="M35" s="22" t="n">
        <v>25154.79</v>
      </c>
      <c r="N35" s="22" t="n">
        <v>26556.4</v>
      </c>
      <c r="O35" s="22" t="n">
        <v>27111.44</v>
      </c>
      <c r="P35" s="22" t="n">
        <v>27583.29</v>
      </c>
      <c r="Q35" s="22" t="n">
        <v>28372.63</v>
      </c>
      <c r="R35" s="22" t="n">
        <v>29115.21</v>
      </c>
      <c r="S35" s="22" t="n">
        <v>29855.55</v>
      </c>
      <c r="T35" s="22" t="n">
        <v>30561.11</v>
      </c>
      <c r="U35" s="21"/>
      <c r="V35" s="21" t="s">
        <v>132</v>
      </c>
      <c r="W35" s="21" t="s">
        <v>104</v>
      </c>
      <c r="X35" s="21"/>
      <c r="Y35" s="21" t="s">
        <v>105</v>
      </c>
      <c r="Z35" s="21" t="s">
        <v>133</v>
      </c>
      <c r="AA35" s="21" t="s">
        <v>134</v>
      </c>
      <c r="AB35" s="21" t="s">
        <v>135</v>
      </c>
      <c r="AC35" s="21" t="s">
        <v>136</v>
      </c>
      <c r="AD35" s="21" t="s">
        <v>158</v>
      </c>
      <c r="AE35" s="21" t="s">
        <v>145</v>
      </c>
    </row>
    <row r="36" customFormat="false" ht="15" hidden="false" customHeight="false" outlineLevel="0" collapsed="false">
      <c r="A36" s="21" t="s">
        <v>157</v>
      </c>
      <c r="B36" s="21" t="s">
        <v>146</v>
      </c>
      <c r="C36" s="21" t="s">
        <v>129</v>
      </c>
      <c r="D36" s="21" t="s">
        <v>130</v>
      </c>
      <c r="E36" s="21" t="s">
        <v>131</v>
      </c>
      <c r="F36" s="22" t="n">
        <v>2274.55</v>
      </c>
      <c r="G36" s="22" t="n">
        <v>2378.12</v>
      </c>
      <c r="H36" s="22" t="n">
        <v>2417.85</v>
      </c>
      <c r="I36" s="22" t="n">
        <v>2410.15</v>
      </c>
      <c r="J36" s="22" t="n">
        <v>2402.25</v>
      </c>
      <c r="K36" s="22" t="n">
        <v>2387.37</v>
      </c>
      <c r="L36" s="22" t="n">
        <v>2354.02</v>
      </c>
      <c r="M36" s="22" t="n">
        <v>2413.45</v>
      </c>
      <c r="N36" s="22" t="n">
        <v>2504.69</v>
      </c>
      <c r="O36" s="22" t="n">
        <v>2591.87</v>
      </c>
      <c r="P36" s="22" t="n">
        <v>2657.61</v>
      </c>
      <c r="Q36" s="22" t="n">
        <v>2715.91</v>
      </c>
      <c r="R36" s="22" t="n">
        <v>2772.34</v>
      </c>
      <c r="S36" s="22" t="n">
        <v>2826.84</v>
      </c>
      <c r="T36" s="22" t="n">
        <v>2880.16</v>
      </c>
      <c r="U36" s="21"/>
      <c r="V36" s="21" t="s">
        <v>132</v>
      </c>
      <c r="W36" s="21" t="s">
        <v>104</v>
      </c>
      <c r="X36" s="21"/>
      <c r="Y36" s="21" t="s">
        <v>105</v>
      </c>
      <c r="Z36" s="21" t="s">
        <v>133</v>
      </c>
      <c r="AA36" s="21" t="s">
        <v>134</v>
      </c>
      <c r="AB36" s="21" t="s">
        <v>135</v>
      </c>
      <c r="AC36" s="21" t="s">
        <v>136</v>
      </c>
      <c r="AD36" s="21" t="s">
        <v>158</v>
      </c>
      <c r="AE36" s="21" t="s">
        <v>147</v>
      </c>
    </row>
    <row r="37" customFormat="false" ht="15" hidden="false" customHeight="false" outlineLevel="0" collapsed="false">
      <c r="A37" s="21" t="s">
        <v>157</v>
      </c>
      <c r="B37" s="21" t="s">
        <v>74</v>
      </c>
      <c r="C37" s="21" t="s">
        <v>129</v>
      </c>
      <c r="D37" s="21" t="s">
        <v>130</v>
      </c>
      <c r="E37" s="21" t="s">
        <v>131</v>
      </c>
      <c r="F37" s="22" t="n">
        <v>19616.55</v>
      </c>
      <c r="G37" s="22" t="n">
        <v>19811.42</v>
      </c>
      <c r="H37" s="22" t="n">
        <v>19306.3</v>
      </c>
      <c r="I37" s="22" t="n">
        <v>18767.03</v>
      </c>
      <c r="J37" s="22" t="n">
        <v>18560.3</v>
      </c>
      <c r="K37" s="22" t="n">
        <v>19432.37</v>
      </c>
      <c r="L37" s="22" t="n">
        <v>20323.56</v>
      </c>
      <c r="M37" s="22" t="n">
        <v>21398.35</v>
      </c>
      <c r="N37" s="22" t="n">
        <v>22713.09</v>
      </c>
      <c r="O37" s="22" t="n">
        <v>23386.64</v>
      </c>
      <c r="P37" s="22" t="n">
        <v>23932.34</v>
      </c>
      <c r="Q37" s="22" t="n">
        <v>24752.19</v>
      </c>
      <c r="R37" s="22" t="n">
        <v>25497.34</v>
      </c>
      <c r="S37" s="22" t="n">
        <v>26239.13</v>
      </c>
      <c r="T37" s="22" t="n">
        <v>26957.28</v>
      </c>
      <c r="U37" s="21"/>
      <c r="V37" s="21" t="s">
        <v>132</v>
      </c>
      <c r="W37" s="21" t="s">
        <v>104</v>
      </c>
      <c r="X37" s="21"/>
      <c r="Y37" s="21" t="s">
        <v>105</v>
      </c>
      <c r="Z37" s="21" t="s">
        <v>133</v>
      </c>
      <c r="AA37" s="21" t="s">
        <v>134</v>
      </c>
      <c r="AB37" s="21" t="s">
        <v>135</v>
      </c>
      <c r="AC37" s="21" t="s">
        <v>136</v>
      </c>
      <c r="AD37" s="21" t="s">
        <v>158</v>
      </c>
      <c r="AE37" s="21" t="s">
        <v>148</v>
      </c>
    </row>
    <row r="38" customFormat="false" ht="15" hidden="false" customHeight="false" outlineLevel="0" collapsed="false">
      <c r="A38" s="21" t="s">
        <v>157</v>
      </c>
      <c r="B38" s="21" t="s">
        <v>71</v>
      </c>
      <c r="C38" s="21" t="s">
        <v>129</v>
      </c>
      <c r="D38" s="21" t="s">
        <v>130</v>
      </c>
      <c r="E38" s="21" t="s">
        <v>131</v>
      </c>
      <c r="F38" s="22" t="n">
        <v>10260.57</v>
      </c>
      <c r="G38" s="22" t="n">
        <v>10955.66</v>
      </c>
      <c r="H38" s="22" t="n">
        <v>11035.96</v>
      </c>
      <c r="I38" s="22" t="n">
        <v>10855.95</v>
      </c>
      <c r="J38" s="22" t="n">
        <v>10834.16</v>
      </c>
      <c r="K38" s="22" t="n">
        <v>10763.89</v>
      </c>
      <c r="L38" s="22" t="n">
        <v>10653.05</v>
      </c>
      <c r="M38" s="22" t="n">
        <v>10708.05</v>
      </c>
      <c r="N38" s="22" t="n">
        <v>10937.04</v>
      </c>
      <c r="O38" s="22" t="n">
        <v>10907.28</v>
      </c>
      <c r="P38" s="22" t="n">
        <v>10963.25</v>
      </c>
      <c r="Q38" s="22" t="n">
        <v>11223.78</v>
      </c>
      <c r="R38" s="22" t="n">
        <v>11339.64</v>
      </c>
      <c r="S38" s="22" t="n">
        <v>11430.52</v>
      </c>
      <c r="T38" s="22" t="n">
        <v>11505.11</v>
      </c>
      <c r="U38" s="21"/>
      <c r="V38" s="21" t="s">
        <v>132</v>
      </c>
      <c r="W38" s="21" t="s">
        <v>104</v>
      </c>
      <c r="X38" s="21"/>
      <c r="Y38" s="21" t="s">
        <v>105</v>
      </c>
      <c r="Z38" s="21" t="s">
        <v>133</v>
      </c>
      <c r="AA38" s="21" t="s">
        <v>134</v>
      </c>
      <c r="AB38" s="21" t="s">
        <v>135</v>
      </c>
      <c r="AC38" s="21" t="s">
        <v>136</v>
      </c>
      <c r="AD38" s="21" t="s">
        <v>158</v>
      </c>
      <c r="AE38" s="21" t="s">
        <v>149</v>
      </c>
    </row>
    <row r="39" customFormat="false" ht="15" hidden="false" customHeight="false" outlineLevel="0" collapsed="false">
      <c r="A39" s="21" t="s">
        <v>157</v>
      </c>
      <c r="B39" s="21" t="s">
        <v>81</v>
      </c>
      <c r="C39" s="21" t="s">
        <v>129</v>
      </c>
      <c r="D39" s="21" t="s">
        <v>130</v>
      </c>
      <c r="E39" s="21" t="s">
        <v>131</v>
      </c>
      <c r="F39" s="22" t="n">
        <v>3429.76</v>
      </c>
      <c r="G39" s="22" t="n">
        <v>3087.07</v>
      </c>
      <c r="H39" s="22" t="n">
        <v>2584.17</v>
      </c>
      <c r="I39" s="22" t="n">
        <v>2498.72</v>
      </c>
      <c r="J39" s="22" t="n">
        <v>2454.09</v>
      </c>
      <c r="K39" s="22" t="n">
        <v>2505.52</v>
      </c>
      <c r="L39" s="22" t="n">
        <v>2623.43</v>
      </c>
      <c r="M39" s="22" t="n">
        <v>2712.32</v>
      </c>
      <c r="N39" s="22" t="n">
        <v>2748.47</v>
      </c>
      <c r="O39" s="22" t="n">
        <v>2799.36</v>
      </c>
      <c r="P39" s="22" t="n">
        <v>2839.99</v>
      </c>
      <c r="Q39" s="22" t="n">
        <v>2881.33</v>
      </c>
      <c r="R39" s="22" t="n">
        <v>2920.72</v>
      </c>
      <c r="S39" s="22" t="n">
        <v>2957.41</v>
      </c>
      <c r="T39" s="22" t="n">
        <v>2994.46</v>
      </c>
      <c r="U39" s="21"/>
      <c r="V39" s="21" t="s">
        <v>132</v>
      </c>
      <c r="W39" s="21" t="s">
        <v>104</v>
      </c>
      <c r="X39" s="21"/>
      <c r="Y39" s="21" t="s">
        <v>105</v>
      </c>
      <c r="Z39" s="21" t="s">
        <v>133</v>
      </c>
      <c r="AA39" s="21" t="s">
        <v>134</v>
      </c>
      <c r="AB39" s="21" t="s">
        <v>135</v>
      </c>
      <c r="AC39" s="21" t="s">
        <v>136</v>
      </c>
      <c r="AD39" s="21" t="s">
        <v>158</v>
      </c>
      <c r="AE39" s="21" t="s">
        <v>150</v>
      </c>
    </row>
    <row r="40" customFormat="false" ht="15" hidden="false" customHeight="false" outlineLevel="0" collapsed="false">
      <c r="A40" s="21" t="s">
        <v>157</v>
      </c>
      <c r="B40" s="21" t="s">
        <v>78</v>
      </c>
      <c r="C40" s="21" t="s">
        <v>129</v>
      </c>
      <c r="D40" s="21" t="s">
        <v>130</v>
      </c>
      <c r="E40" s="21" t="s">
        <v>131</v>
      </c>
      <c r="F40" s="22" t="n">
        <v>7231.86</v>
      </c>
      <c r="G40" s="22" t="n">
        <v>7840.39</v>
      </c>
      <c r="H40" s="22" t="n">
        <v>8020.03</v>
      </c>
      <c r="I40" s="22" t="n">
        <v>7924.51</v>
      </c>
      <c r="J40" s="22" t="n">
        <v>7921.19</v>
      </c>
      <c r="K40" s="22" t="n">
        <v>7817.49</v>
      </c>
      <c r="L40" s="22" t="n">
        <v>7628</v>
      </c>
      <c r="M40" s="22" t="n">
        <v>7585.85</v>
      </c>
      <c r="N40" s="22" t="n">
        <v>7641.09</v>
      </c>
      <c r="O40" s="22" t="n">
        <v>7591.04</v>
      </c>
      <c r="P40" s="22" t="n">
        <v>7547.94</v>
      </c>
      <c r="Q40" s="22" t="n">
        <v>7609.19</v>
      </c>
      <c r="R40" s="22" t="n">
        <v>7649.7</v>
      </c>
      <c r="S40" s="22" t="n">
        <v>7676.45</v>
      </c>
      <c r="T40" s="22" t="n">
        <v>7703.78</v>
      </c>
      <c r="U40" s="21"/>
      <c r="V40" s="21" t="s">
        <v>132</v>
      </c>
      <c r="W40" s="21" t="s">
        <v>104</v>
      </c>
      <c r="X40" s="21"/>
      <c r="Y40" s="21" t="s">
        <v>105</v>
      </c>
      <c r="Z40" s="21" t="s">
        <v>133</v>
      </c>
      <c r="AA40" s="21" t="s">
        <v>134</v>
      </c>
      <c r="AB40" s="21" t="s">
        <v>135</v>
      </c>
      <c r="AC40" s="21" t="s">
        <v>136</v>
      </c>
      <c r="AD40" s="21" t="s">
        <v>158</v>
      </c>
      <c r="AE40" s="21" t="s">
        <v>151</v>
      </c>
    </row>
    <row r="41" customFormat="false" ht="15" hidden="false" customHeight="false" outlineLevel="0" collapsed="false">
      <c r="A41" s="21" t="s">
        <v>157</v>
      </c>
      <c r="B41" s="21" t="s">
        <v>85</v>
      </c>
      <c r="C41" s="21" t="s">
        <v>129</v>
      </c>
      <c r="D41" s="21" t="s">
        <v>130</v>
      </c>
      <c r="E41" s="21" t="s">
        <v>131</v>
      </c>
      <c r="F41" s="22" t="n">
        <v>3667.13</v>
      </c>
      <c r="G41" s="22" t="n">
        <v>3840.03</v>
      </c>
      <c r="H41" s="22" t="n">
        <v>3908.05</v>
      </c>
      <c r="I41" s="22" t="n">
        <v>3899.79</v>
      </c>
      <c r="J41" s="22" t="n">
        <v>3891.43</v>
      </c>
      <c r="K41" s="22" t="n">
        <v>3846.84</v>
      </c>
      <c r="L41" s="22" t="n">
        <v>3779.7</v>
      </c>
      <c r="M41" s="22" t="n">
        <v>3866.92</v>
      </c>
      <c r="N41" s="22" t="n">
        <v>4007.9</v>
      </c>
      <c r="O41" s="22" t="n">
        <v>4143.74</v>
      </c>
      <c r="P41" s="22" t="n">
        <v>4244.54</v>
      </c>
      <c r="Q41" s="22" t="n">
        <v>4333.43</v>
      </c>
      <c r="R41" s="22" t="n">
        <v>4419.43</v>
      </c>
      <c r="S41" s="22" t="n">
        <v>4503.37</v>
      </c>
      <c r="T41" s="22" t="n">
        <v>4585.89</v>
      </c>
      <c r="U41" s="21"/>
      <c r="V41" s="21" t="s">
        <v>132</v>
      </c>
      <c r="W41" s="21" t="s">
        <v>104</v>
      </c>
      <c r="X41" s="21"/>
      <c r="Y41" s="21" t="s">
        <v>105</v>
      </c>
      <c r="Z41" s="21" t="s">
        <v>133</v>
      </c>
      <c r="AA41" s="21" t="s">
        <v>134</v>
      </c>
      <c r="AB41" s="21" t="s">
        <v>135</v>
      </c>
      <c r="AC41" s="21" t="s">
        <v>136</v>
      </c>
      <c r="AD41" s="21" t="s">
        <v>158</v>
      </c>
      <c r="AE41" s="21" t="s">
        <v>152</v>
      </c>
    </row>
    <row r="42" customFormat="false" ht="15" hidden="false" customHeight="false" outlineLevel="0" collapsed="false">
      <c r="A42" s="21" t="s">
        <v>157</v>
      </c>
      <c r="B42" s="21" t="s">
        <v>153</v>
      </c>
      <c r="C42" s="21" t="s">
        <v>129</v>
      </c>
      <c r="D42" s="21" t="s">
        <v>130</v>
      </c>
      <c r="E42" s="21" t="s">
        <v>131</v>
      </c>
      <c r="F42" s="22" t="n">
        <v>102.76</v>
      </c>
      <c r="G42" s="22" t="n">
        <v>88.1</v>
      </c>
      <c r="H42" s="22" t="n">
        <v>100.31</v>
      </c>
      <c r="I42" s="22" t="n">
        <v>119.25</v>
      </c>
      <c r="J42" s="22" t="n">
        <v>122.84</v>
      </c>
      <c r="K42" s="22" t="n">
        <v>111.1</v>
      </c>
      <c r="L42" s="22" t="n">
        <v>119.87</v>
      </c>
      <c r="M42" s="22" t="n">
        <v>126.92</v>
      </c>
      <c r="N42" s="22" t="n">
        <v>129.13</v>
      </c>
      <c r="O42" s="22" t="n">
        <v>131.55</v>
      </c>
      <c r="P42" s="22" t="n">
        <v>133.12</v>
      </c>
      <c r="Q42" s="22" t="n">
        <v>134.91</v>
      </c>
      <c r="R42" s="22" t="n">
        <v>136.86</v>
      </c>
      <c r="S42" s="22" t="n">
        <v>138.89</v>
      </c>
      <c r="T42" s="22" t="n">
        <v>140.85</v>
      </c>
      <c r="U42" s="21"/>
      <c r="V42" s="21" t="s">
        <v>132</v>
      </c>
      <c r="W42" s="21" t="s">
        <v>104</v>
      </c>
      <c r="X42" s="21"/>
      <c r="Y42" s="21" t="s">
        <v>105</v>
      </c>
      <c r="Z42" s="21" t="s">
        <v>133</v>
      </c>
      <c r="AA42" s="21" t="s">
        <v>134</v>
      </c>
      <c r="AB42" s="21" t="s">
        <v>135</v>
      </c>
      <c r="AC42" s="21" t="s">
        <v>136</v>
      </c>
      <c r="AD42" s="21" t="s">
        <v>158</v>
      </c>
      <c r="AE42" s="21" t="s">
        <v>154</v>
      </c>
    </row>
    <row r="43" customFormat="false" ht="15" hidden="false" customHeight="false" outlineLevel="0" collapsed="false">
      <c r="A43" s="21" t="s">
        <v>159</v>
      </c>
      <c r="B43" s="21" t="s">
        <v>128</v>
      </c>
      <c r="C43" s="21" t="s">
        <v>129</v>
      </c>
      <c r="D43" s="21" t="s">
        <v>130</v>
      </c>
      <c r="E43" s="21" t="s">
        <v>131</v>
      </c>
      <c r="F43" s="22" t="n">
        <v>197.92</v>
      </c>
      <c r="G43" s="22" t="n">
        <v>217.38</v>
      </c>
      <c r="H43" s="22" t="n">
        <v>201.12</v>
      </c>
      <c r="I43" s="22" t="n">
        <v>199.1</v>
      </c>
      <c r="J43" s="22" t="n">
        <v>200.18</v>
      </c>
      <c r="K43" s="22" t="n">
        <v>191.57</v>
      </c>
      <c r="L43" s="22" t="n">
        <v>202.13</v>
      </c>
      <c r="M43" s="22" t="n">
        <v>212.52</v>
      </c>
      <c r="N43" s="22" t="n">
        <v>229.5</v>
      </c>
      <c r="O43" s="22" t="n">
        <v>249.69</v>
      </c>
      <c r="P43" s="22" t="n">
        <v>266.22</v>
      </c>
      <c r="Q43" s="22" t="n">
        <v>274.98</v>
      </c>
      <c r="R43" s="22" t="n">
        <v>282.81</v>
      </c>
      <c r="S43" s="22" t="n">
        <v>293.94</v>
      </c>
      <c r="T43" s="22" t="n">
        <v>302.7</v>
      </c>
      <c r="U43" s="21"/>
      <c r="V43" s="21" t="s">
        <v>132</v>
      </c>
      <c r="W43" s="21" t="s">
        <v>104</v>
      </c>
      <c r="X43" s="21"/>
      <c r="Y43" s="21" t="s">
        <v>105</v>
      </c>
      <c r="Z43" s="21" t="s">
        <v>133</v>
      </c>
      <c r="AA43" s="21" t="s">
        <v>134</v>
      </c>
      <c r="AB43" s="21" t="s">
        <v>135</v>
      </c>
      <c r="AC43" s="21" t="s">
        <v>136</v>
      </c>
      <c r="AD43" s="21" t="s">
        <v>160</v>
      </c>
      <c r="AE43" s="21" t="s">
        <v>138</v>
      </c>
    </row>
    <row r="44" customFormat="false" ht="15" hidden="false" customHeight="false" outlineLevel="0" collapsed="false">
      <c r="A44" s="21" t="s">
        <v>159</v>
      </c>
      <c r="B44" s="21" t="s">
        <v>139</v>
      </c>
      <c r="C44" s="21" t="s">
        <v>129</v>
      </c>
      <c r="D44" s="21" t="s">
        <v>130</v>
      </c>
      <c r="E44" s="21" t="s">
        <v>131</v>
      </c>
      <c r="F44" s="22" t="n">
        <v>966.78</v>
      </c>
      <c r="G44" s="22" t="n">
        <v>880.1</v>
      </c>
      <c r="H44" s="22" t="n">
        <v>881.3</v>
      </c>
      <c r="I44" s="22" t="n">
        <v>826.19</v>
      </c>
      <c r="J44" s="22" t="n">
        <v>868.73</v>
      </c>
      <c r="K44" s="22" t="n">
        <v>857.24</v>
      </c>
      <c r="L44" s="22" t="n">
        <v>891.27</v>
      </c>
      <c r="M44" s="22" t="n">
        <v>922.25</v>
      </c>
      <c r="N44" s="22" t="n">
        <v>980.02</v>
      </c>
      <c r="O44" s="22" t="n">
        <v>1048.32</v>
      </c>
      <c r="P44" s="22" t="n">
        <v>1098.12</v>
      </c>
      <c r="Q44" s="22" t="n">
        <v>1115.36</v>
      </c>
      <c r="R44" s="22" t="n">
        <v>1128.35</v>
      </c>
      <c r="S44" s="22" t="n">
        <v>1151.27</v>
      </c>
      <c r="T44" s="22" t="n">
        <v>1173.07</v>
      </c>
      <c r="U44" s="21"/>
      <c r="V44" s="21" t="s">
        <v>132</v>
      </c>
      <c r="W44" s="21" t="s">
        <v>104</v>
      </c>
      <c r="X44" s="21"/>
      <c r="Y44" s="21" t="s">
        <v>105</v>
      </c>
      <c r="Z44" s="21" t="s">
        <v>133</v>
      </c>
      <c r="AA44" s="21" t="s">
        <v>134</v>
      </c>
      <c r="AB44" s="21" t="s">
        <v>135</v>
      </c>
      <c r="AC44" s="21" t="s">
        <v>136</v>
      </c>
      <c r="AD44" s="21" t="s">
        <v>160</v>
      </c>
      <c r="AE44" s="21" t="s">
        <v>140</v>
      </c>
    </row>
    <row r="45" customFormat="false" ht="15" hidden="false" customHeight="false" outlineLevel="0" collapsed="false">
      <c r="A45" s="21" t="s">
        <v>159</v>
      </c>
      <c r="B45" s="21" t="s">
        <v>141</v>
      </c>
      <c r="C45" s="21" t="s">
        <v>129</v>
      </c>
      <c r="D45" s="21" t="s">
        <v>130</v>
      </c>
      <c r="E45" s="21" t="s">
        <v>131</v>
      </c>
      <c r="F45" s="22" t="n">
        <v>639.5</v>
      </c>
      <c r="G45" s="22" t="n">
        <v>718.63</v>
      </c>
      <c r="H45" s="22" t="n">
        <v>677.05</v>
      </c>
      <c r="I45" s="22" t="n">
        <v>692.02</v>
      </c>
      <c r="J45" s="22" t="n">
        <v>713.33</v>
      </c>
      <c r="K45" s="22" t="n">
        <v>707.05</v>
      </c>
      <c r="L45" s="22" t="n">
        <v>739.37</v>
      </c>
      <c r="M45" s="22" t="n">
        <v>768.49</v>
      </c>
      <c r="N45" s="22" t="n">
        <v>820.67</v>
      </c>
      <c r="O45" s="22" t="n">
        <v>882.28</v>
      </c>
      <c r="P45" s="22" t="n">
        <v>929.02</v>
      </c>
      <c r="Q45" s="22" t="n">
        <v>948.12</v>
      </c>
      <c r="R45" s="22" t="n">
        <v>963.67</v>
      </c>
      <c r="S45" s="22" t="n">
        <v>988.03</v>
      </c>
      <c r="T45" s="22" t="n">
        <v>1011.76</v>
      </c>
      <c r="U45" s="21"/>
      <c r="V45" s="21" t="s">
        <v>132</v>
      </c>
      <c r="W45" s="21" t="s">
        <v>104</v>
      </c>
      <c r="X45" s="21"/>
      <c r="Y45" s="21" t="s">
        <v>105</v>
      </c>
      <c r="Z45" s="21" t="s">
        <v>133</v>
      </c>
      <c r="AA45" s="21" t="s">
        <v>134</v>
      </c>
      <c r="AB45" s="21" t="s">
        <v>135</v>
      </c>
      <c r="AC45" s="21" t="s">
        <v>136</v>
      </c>
      <c r="AD45" s="21" t="s">
        <v>160</v>
      </c>
      <c r="AE45" s="21" t="s">
        <v>142</v>
      </c>
    </row>
    <row r="46" customFormat="false" ht="15" hidden="false" customHeight="false" outlineLevel="0" collapsed="false">
      <c r="A46" s="21" t="s">
        <v>159</v>
      </c>
      <c r="B46" s="21" t="s">
        <v>143</v>
      </c>
      <c r="C46" s="21" t="s">
        <v>129</v>
      </c>
      <c r="D46" s="21" t="s">
        <v>130</v>
      </c>
      <c r="E46" s="21" t="s">
        <v>131</v>
      </c>
      <c r="F46" s="22" t="n">
        <v>941.11</v>
      </c>
      <c r="G46" s="22" t="n">
        <v>878.11</v>
      </c>
      <c r="H46" s="22" t="n">
        <v>816.48</v>
      </c>
      <c r="I46" s="22" t="n">
        <v>764.49</v>
      </c>
      <c r="J46" s="22" t="n">
        <v>731.93</v>
      </c>
      <c r="K46" s="22" t="n">
        <v>683.48</v>
      </c>
      <c r="L46" s="22" t="n">
        <v>732.56</v>
      </c>
      <c r="M46" s="22" t="n">
        <v>798.4</v>
      </c>
      <c r="N46" s="22" t="n">
        <v>825.21</v>
      </c>
      <c r="O46" s="22" t="n">
        <v>868.28</v>
      </c>
      <c r="P46" s="22" t="n">
        <v>911.87</v>
      </c>
      <c r="Q46" s="22" t="n">
        <v>932.95</v>
      </c>
      <c r="R46" s="22" t="n">
        <v>951.31</v>
      </c>
      <c r="S46" s="22" t="n">
        <v>976.61</v>
      </c>
      <c r="T46" s="22" t="n">
        <v>997.64</v>
      </c>
      <c r="U46" s="21"/>
      <c r="V46" s="21" t="s">
        <v>132</v>
      </c>
      <c r="W46" s="21" t="s">
        <v>104</v>
      </c>
      <c r="X46" s="21"/>
      <c r="Y46" s="21" t="s">
        <v>105</v>
      </c>
      <c r="Z46" s="21" t="s">
        <v>133</v>
      </c>
      <c r="AA46" s="21" t="s">
        <v>134</v>
      </c>
      <c r="AB46" s="21" t="s">
        <v>135</v>
      </c>
      <c r="AC46" s="21" t="s">
        <v>136</v>
      </c>
      <c r="AD46" s="21" t="s">
        <v>160</v>
      </c>
      <c r="AE46" s="21" t="s">
        <v>144</v>
      </c>
    </row>
    <row r="47" customFormat="false" ht="15" hidden="false" customHeight="false" outlineLevel="0" collapsed="false">
      <c r="A47" s="21" t="s">
        <v>159</v>
      </c>
      <c r="B47" s="21" t="s">
        <v>67</v>
      </c>
      <c r="C47" s="21" t="s">
        <v>129</v>
      </c>
      <c r="D47" s="21" t="s">
        <v>130</v>
      </c>
      <c r="E47" s="21" t="s">
        <v>131</v>
      </c>
      <c r="F47" s="22" t="n">
        <v>8408.85</v>
      </c>
      <c r="G47" s="22" t="n">
        <v>8487.92</v>
      </c>
      <c r="H47" s="22" t="n">
        <v>8640.24</v>
      </c>
      <c r="I47" s="22" t="n">
        <v>7871.33</v>
      </c>
      <c r="J47" s="22" t="n">
        <v>7550.1</v>
      </c>
      <c r="K47" s="22" t="n">
        <v>7645.95</v>
      </c>
      <c r="L47" s="22" t="n">
        <v>7947.28</v>
      </c>
      <c r="M47" s="22" t="n">
        <v>8207.32</v>
      </c>
      <c r="N47" s="22" t="n">
        <v>8336.28</v>
      </c>
      <c r="O47" s="22" t="n">
        <v>8473.59</v>
      </c>
      <c r="P47" s="22" t="n">
        <v>8656.78</v>
      </c>
      <c r="Q47" s="22" t="n">
        <v>8859.53</v>
      </c>
      <c r="R47" s="22" t="n">
        <v>9064.23</v>
      </c>
      <c r="S47" s="22" t="n">
        <v>9221.6</v>
      </c>
      <c r="T47" s="22" t="n">
        <v>9353.21</v>
      </c>
      <c r="U47" s="21"/>
      <c r="V47" s="21" t="s">
        <v>132</v>
      </c>
      <c r="W47" s="21" t="s">
        <v>104</v>
      </c>
      <c r="X47" s="21"/>
      <c r="Y47" s="21" t="s">
        <v>105</v>
      </c>
      <c r="Z47" s="21" t="s">
        <v>133</v>
      </c>
      <c r="AA47" s="21" t="s">
        <v>134</v>
      </c>
      <c r="AB47" s="21" t="s">
        <v>135</v>
      </c>
      <c r="AC47" s="21" t="s">
        <v>136</v>
      </c>
      <c r="AD47" s="21" t="s">
        <v>160</v>
      </c>
      <c r="AE47" s="21" t="s">
        <v>145</v>
      </c>
    </row>
    <row r="48" customFormat="false" ht="15" hidden="false" customHeight="false" outlineLevel="0" collapsed="false">
      <c r="A48" s="21" t="s">
        <v>159</v>
      </c>
      <c r="B48" s="21" t="s">
        <v>146</v>
      </c>
      <c r="C48" s="21" t="s">
        <v>129</v>
      </c>
      <c r="D48" s="21" t="s">
        <v>130</v>
      </c>
      <c r="E48" s="21" t="s">
        <v>131</v>
      </c>
      <c r="F48" s="22" t="n">
        <v>533.52</v>
      </c>
      <c r="G48" s="22" t="n">
        <v>602.16</v>
      </c>
      <c r="H48" s="22" t="n">
        <v>572.27</v>
      </c>
      <c r="I48" s="22" t="n">
        <v>587.93</v>
      </c>
      <c r="J48" s="22" t="n">
        <v>610.43</v>
      </c>
      <c r="K48" s="22" t="n">
        <v>594.51</v>
      </c>
      <c r="L48" s="22" t="n">
        <v>616.55</v>
      </c>
      <c r="M48" s="22" t="n">
        <v>648.84</v>
      </c>
      <c r="N48" s="22" t="n">
        <v>684.5</v>
      </c>
      <c r="O48" s="22" t="n">
        <v>727.71</v>
      </c>
      <c r="P48" s="22" t="n">
        <v>761.91</v>
      </c>
      <c r="Q48" s="22" t="n">
        <v>774.47</v>
      </c>
      <c r="R48" s="22" t="n">
        <v>784.09</v>
      </c>
      <c r="S48" s="22" t="n">
        <v>800.6</v>
      </c>
      <c r="T48" s="22" t="n">
        <v>814.91</v>
      </c>
      <c r="U48" s="21"/>
      <c r="V48" s="21" t="s">
        <v>132</v>
      </c>
      <c r="W48" s="21" t="s">
        <v>104</v>
      </c>
      <c r="X48" s="21"/>
      <c r="Y48" s="21" t="s">
        <v>105</v>
      </c>
      <c r="Z48" s="21" t="s">
        <v>133</v>
      </c>
      <c r="AA48" s="21" t="s">
        <v>134</v>
      </c>
      <c r="AB48" s="21" t="s">
        <v>135</v>
      </c>
      <c r="AC48" s="21" t="s">
        <v>136</v>
      </c>
      <c r="AD48" s="21" t="s">
        <v>160</v>
      </c>
      <c r="AE48" s="21" t="s">
        <v>147</v>
      </c>
    </row>
    <row r="49" customFormat="false" ht="15" hidden="false" customHeight="false" outlineLevel="0" collapsed="false">
      <c r="A49" s="21" t="s">
        <v>159</v>
      </c>
      <c r="B49" s="21" t="s">
        <v>74</v>
      </c>
      <c r="C49" s="21" t="s">
        <v>129</v>
      </c>
      <c r="D49" s="21" t="s">
        <v>130</v>
      </c>
      <c r="E49" s="21" t="s">
        <v>131</v>
      </c>
      <c r="F49" s="22" t="n">
        <v>3428.54</v>
      </c>
      <c r="G49" s="22" t="n">
        <v>3492.19</v>
      </c>
      <c r="H49" s="22" t="n">
        <v>3693.76</v>
      </c>
      <c r="I49" s="22" t="n">
        <v>3465.06</v>
      </c>
      <c r="J49" s="22" t="n">
        <v>3512.72</v>
      </c>
      <c r="K49" s="22" t="n">
        <v>3696.75</v>
      </c>
      <c r="L49" s="22" t="n">
        <v>3918.28</v>
      </c>
      <c r="M49" s="22" t="n">
        <v>4099.32</v>
      </c>
      <c r="N49" s="22" t="n">
        <v>4183.14</v>
      </c>
      <c r="O49" s="22" t="n">
        <v>4282.56</v>
      </c>
      <c r="P49" s="22" t="n">
        <v>4369.55</v>
      </c>
      <c r="Q49" s="22" t="n">
        <v>4456.47</v>
      </c>
      <c r="R49" s="22" t="n">
        <v>4543.04</v>
      </c>
      <c r="S49" s="22" t="n">
        <v>4624.43</v>
      </c>
      <c r="T49" s="22" t="n">
        <v>4702.52</v>
      </c>
      <c r="U49" s="21"/>
      <c r="V49" s="21" t="s">
        <v>132</v>
      </c>
      <c r="W49" s="21" t="s">
        <v>104</v>
      </c>
      <c r="X49" s="21"/>
      <c r="Y49" s="21" t="s">
        <v>105</v>
      </c>
      <c r="Z49" s="21" t="s">
        <v>133</v>
      </c>
      <c r="AA49" s="21" t="s">
        <v>134</v>
      </c>
      <c r="AB49" s="21" t="s">
        <v>135</v>
      </c>
      <c r="AC49" s="21" t="s">
        <v>136</v>
      </c>
      <c r="AD49" s="21" t="s">
        <v>160</v>
      </c>
      <c r="AE49" s="21" t="s">
        <v>148</v>
      </c>
    </row>
    <row r="50" customFormat="false" ht="15" hidden="false" customHeight="false" outlineLevel="0" collapsed="false">
      <c r="A50" s="21" t="s">
        <v>159</v>
      </c>
      <c r="B50" s="21" t="s">
        <v>71</v>
      </c>
      <c r="C50" s="21" t="s">
        <v>129</v>
      </c>
      <c r="D50" s="21" t="s">
        <v>130</v>
      </c>
      <c r="E50" s="21" t="s">
        <v>131</v>
      </c>
      <c r="F50" s="22" t="n">
        <v>2714.22</v>
      </c>
      <c r="G50" s="22" t="n">
        <v>2741.14</v>
      </c>
      <c r="H50" s="22" t="n">
        <v>2456.64</v>
      </c>
      <c r="I50" s="22" t="n">
        <v>2814.13</v>
      </c>
      <c r="J50" s="22" t="n">
        <v>2914.1</v>
      </c>
      <c r="K50" s="22" t="n">
        <v>2864.36</v>
      </c>
      <c r="L50" s="22" t="n">
        <v>2709.7</v>
      </c>
      <c r="M50" s="22" t="n">
        <v>2804.14</v>
      </c>
      <c r="N50" s="22" t="n">
        <v>2968.39</v>
      </c>
      <c r="O50" s="22" t="n">
        <v>3124.29</v>
      </c>
      <c r="P50" s="22" t="n">
        <v>3234.3</v>
      </c>
      <c r="Q50" s="22" t="n">
        <v>3324.76</v>
      </c>
      <c r="R50" s="22" t="n">
        <v>3413.27</v>
      </c>
      <c r="S50" s="22" t="n">
        <v>3486.05</v>
      </c>
      <c r="T50" s="22" t="n">
        <v>3545.57</v>
      </c>
      <c r="U50" s="21"/>
      <c r="V50" s="21" t="s">
        <v>132</v>
      </c>
      <c r="W50" s="21" t="s">
        <v>104</v>
      </c>
      <c r="X50" s="21"/>
      <c r="Y50" s="21" t="s">
        <v>105</v>
      </c>
      <c r="Z50" s="21" t="s">
        <v>133</v>
      </c>
      <c r="AA50" s="21" t="s">
        <v>134</v>
      </c>
      <c r="AB50" s="21" t="s">
        <v>135</v>
      </c>
      <c r="AC50" s="21" t="s">
        <v>136</v>
      </c>
      <c r="AD50" s="21" t="s">
        <v>160</v>
      </c>
      <c r="AE50" s="21" t="s">
        <v>149</v>
      </c>
    </row>
    <row r="51" customFormat="false" ht="15" hidden="false" customHeight="false" outlineLevel="0" collapsed="false">
      <c r="A51" s="21" t="s">
        <v>159</v>
      </c>
      <c r="B51" s="21" t="s">
        <v>81</v>
      </c>
      <c r="C51" s="21" t="s">
        <v>129</v>
      </c>
      <c r="D51" s="21" t="s">
        <v>130</v>
      </c>
      <c r="E51" s="21" t="s">
        <v>131</v>
      </c>
      <c r="F51" s="22" t="n">
        <v>1995.32</v>
      </c>
      <c r="G51" s="22" t="n">
        <v>1836.47</v>
      </c>
      <c r="H51" s="22" t="n">
        <v>1792.86</v>
      </c>
      <c r="I51" s="22" t="n">
        <v>1662.61</v>
      </c>
      <c r="J51" s="22" t="n">
        <v>1665.63</v>
      </c>
      <c r="K51" s="22" t="n">
        <v>1597.07</v>
      </c>
      <c r="L51" s="22" t="n">
        <v>1684.47</v>
      </c>
      <c r="M51" s="22" t="n">
        <v>1786.05</v>
      </c>
      <c r="N51" s="22" t="n">
        <v>1877.68</v>
      </c>
      <c r="O51" s="22" t="n">
        <v>1997.7</v>
      </c>
      <c r="P51" s="22" t="n">
        <v>2098.88</v>
      </c>
      <c r="Q51" s="22" t="n">
        <v>2142.56</v>
      </c>
      <c r="R51" s="22" t="n">
        <v>2179.23</v>
      </c>
      <c r="S51" s="22" t="n">
        <v>2233.99</v>
      </c>
      <c r="T51" s="22" t="n">
        <v>2282.38</v>
      </c>
      <c r="U51" s="21"/>
      <c r="V51" s="21" t="s">
        <v>132</v>
      </c>
      <c r="W51" s="21" t="s">
        <v>104</v>
      </c>
      <c r="X51" s="21"/>
      <c r="Y51" s="21" t="s">
        <v>105</v>
      </c>
      <c r="Z51" s="21" t="s">
        <v>133</v>
      </c>
      <c r="AA51" s="21" t="s">
        <v>134</v>
      </c>
      <c r="AB51" s="21" t="s">
        <v>135</v>
      </c>
      <c r="AC51" s="21" t="s">
        <v>136</v>
      </c>
      <c r="AD51" s="21" t="s">
        <v>160</v>
      </c>
      <c r="AE51" s="21" t="s">
        <v>150</v>
      </c>
    </row>
    <row r="52" customFormat="false" ht="15" hidden="false" customHeight="false" outlineLevel="0" collapsed="false">
      <c r="A52" s="21" t="s">
        <v>159</v>
      </c>
      <c r="B52" s="21" t="s">
        <v>78</v>
      </c>
      <c r="C52" s="21" t="s">
        <v>129</v>
      </c>
      <c r="D52" s="21" t="s">
        <v>130</v>
      </c>
      <c r="E52" s="21" t="s">
        <v>131</v>
      </c>
      <c r="F52" s="22" t="n">
        <v>1101.36</v>
      </c>
      <c r="G52" s="22" t="n">
        <v>1097.43</v>
      </c>
      <c r="H52" s="22" t="n">
        <v>888.62</v>
      </c>
      <c r="I52" s="22" t="n">
        <v>959.91</v>
      </c>
      <c r="J52" s="22" t="n">
        <v>909.17</v>
      </c>
      <c r="K52" s="22" t="n">
        <v>977.04</v>
      </c>
      <c r="L52" s="22" t="n">
        <v>1000.32</v>
      </c>
      <c r="M52" s="22" t="n">
        <v>1068.19</v>
      </c>
      <c r="N52" s="22" t="n">
        <v>1159.65</v>
      </c>
      <c r="O52" s="22" t="n">
        <v>1255.36</v>
      </c>
      <c r="P52" s="22" t="n">
        <v>1304.01</v>
      </c>
      <c r="Q52" s="22" t="n">
        <v>1332.82</v>
      </c>
      <c r="R52" s="22" t="n">
        <v>1362.32</v>
      </c>
      <c r="S52" s="22" t="n">
        <v>1401.4</v>
      </c>
      <c r="T52" s="22" t="n">
        <v>1443.19</v>
      </c>
      <c r="U52" s="21"/>
      <c r="V52" s="21" t="s">
        <v>132</v>
      </c>
      <c r="W52" s="21" t="s">
        <v>104</v>
      </c>
      <c r="X52" s="21"/>
      <c r="Y52" s="21" t="s">
        <v>105</v>
      </c>
      <c r="Z52" s="21" t="s">
        <v>133</v>
      </c>
      <c r="AA52" s="21" t="s">
        <v>134</v>
      </c>
      <c r="AB52" s="21" t="s">
        <v>135</v>
      </c>
      <c r="AC52" s="21" t="s">
        <v>136</v>
      </c>
      <c r="AD52" s="21" t="s">
        <v>160</v>
      </c>
      <c r="AE52" s="21" t="s">
        <v>151</v>
      </c>
    </row>
    <row r="53" customFormat="false" ht="15" hidden="false" customHeight="false" outlineLevel="0" collapsed="false">
      <c r="A53" s="21" t="s">
        <v>159</v>
      </c>
      <c r="B53" s="21" t="s">
        <v>85</v>
      </c>
      <c r="C53" s="21" t="s">
        <v>129</v>
      </c>
      <c r="D53" s="21" t="s">
        <v>130</v>
      </c>
      <c r="E53" s="21" t="s">
        <v>131</v>
      </c>
      <c r="F53" s="22" t="n">
        <v>1370.94</v>
      </c>
      <c r="G53" s="22" t="n">
        <v>1538.17</v>
      </c>
      <c r="H53" s="22" t="n">
        <v>1450.44</v>
      </c>
      <c r="I53" s="22" t="n">
        <v>1479.06</v>
      </c>
      <c r="J53" s="22" t="n">
        <v>1523.94</v>
      </c>
      <c r="K53" s="22" t="n">
        <v>1493.13</v>
      </c>
      <c r="L53" s="22" t="n">
        <v>1558.05</v>
      </c>
      <c r="M53" s="22" t="n">
        <v>1629.85</v>
      </c>
      <c r="N53" s="22" t="n">
        <v>1734.67</v>
      </c>
      <c r="O53" s="22" t="n">
        <v>1859.69</v>
      </c>
      <c r="P53" s="22" t="n">
        <v>1957.15</v>
      </c>
      <c r="Q53" s="22" t="n">
        <v>1997.57</v>
      </c>
      <c r="R53" s="22" t="n">
        <v>2030.57</v>
      </c>
      <c r="S53" s="22" t="n">
        <v>2082.57</v>
      </c>
      <c r="T53" s="22" t="n">
        <v>2129.37</v>
      </c>
      <c r="U53" s="21"/>
      <c r="V53" s="21" t="s">
        <v>132</v>
      </c>
      <c r="W53" s="21" t="s">
        <v>104</v>
      </c>
      <c r="X53" s="21"/>
      <c r="Y53" s="21" t="s">
        <v>105</v>
      </c>
      <c r="Z53" s="21" t="s">
        <v>133</v>
      </c>
      <c r="AA53" s="21" t="s">
        <v>134</v>
      </c>
      <c r="AB53" s="21" t="s">
        <v>135</v>
      </c>
      <c r="AC53" s="21" t="s">
        <v>136</v>
      </c>
      <c r="AD53" s="21" t="s">
        <v>160</v>
      </c>
      <c r="AE53" s="21" t="s">
        <v>152</v>
      </c>
    </row>
    <row r="54" customFormat="false" ht="15" hidden="false" customHeight="false" outlineLevel="0" collapsed="false">
      <c r="A54" s="21" t="s">
        <v>159</v>
      </c>
      <c r="B54" s="21" t="s">
        <v>153</v>
      </c>
      <c r="C54" s="21" t="s">
        <v>129</v>
      </c>
      <c r="D54" s="21" t="s">
        <v>130</v>
      </c>
      <c r="E54" s="21" t="s">
        <v>131</v>
      </c>
      <c r="F54" s="22" t="n">
        <v>87.43</v>
      </c>
      <c r="G54" s="22" t="n">
        <v>78.26</v>
      </c>
      <c r="H54" s="22" t="n">
        <v>95.08</v>
      </c>
      <c r="I54" s="22" t="n">
        <v>71.92</v>
      </c>
      <c r="J54" s="22" t="n">
        <v>64.98</v>
      </c>
      <c r="K54" s="22" t="n">
        <v>56.35</v>
      </c>
      <c r="L54" s="22" t="n">
        <v>60.64</v>
      </c>
      <c r="M54" s="22" t="n">
        <v>65.4</v>
      </c>
      <c r="N54" s="22" t="n">
        <v>72.45</v>
      </c>
      <c r="O54" s="22" t="n">
        <v>81.09</v>
      </c>
      <c r="P54" s="22" t="n">
        <v>88.88</v>
      </c>
      <c r="Q54" s="22" t="n">
        <v>94.26</v>
      </c>
      <c r="R54" s="22" t="n">
        <v>99.57</v>
      </c>
      <c r="S54" s="22" t="n">
        <v>106.11</v>
      </c>
      <c r="T54" s="22" t="n">
        <v>111.67</v>
      </c>
      <c r="U54" s="21"/>
      <c r="V54" s="21" t="s">
        <v>132</v>
      </c>
      <c r="W54" s="21" t="s">
        <v>104</v>
      </c>
      <c r="X54" s="21"/>
      <c r="Y54" s="21" t="s">
        <v>105</v>
      </c>
      <c r="Z54" s="21" t="s">
        <v>133</v>
      </c>
      <c r="AA54" s="21" t="s">
        <v>134</v>
      </c>
      <c r="AB54" s="21" t="s">
        <v>135</v>
      </c>
      <c r="AC54" s="21" t="s">
        <v>136</v>
      </c>
      <c r="AD54" s="21" t="s">
        <v>160</v>
      </c>
      <c r="AE54" s="21" t="s">
        <v>154</v>
      </c>
    </row>
    <row r="55" customFormat="false" ht="15" hidden="false" customHeight="false" outlineLevel="0" collapsed="false">
      <c r="A55" s="21" t="s">
        <v>161</v>
      </c>
      <c r="B55" s="21" t="s">
        <v>128</v>
      </c>
      <c r="C55" s="21" t="s">
        <v>129</v>
      </c>
      <c r="D55" s="21" t="s">
        <v>130</v>
      </c>
      <c r="E55" s="21" t="s">
        <v>131</v>
      </c>
      <c r="F55" s="22" t="n">
        <v>644.14</v>
      </c>
      <c r="G55" s="22" t="n">
        <v>620.53</v>
      </c>
      <c r="H55" s="22" t="n">
        <v>518.66</v>
      </c>
      <c r="I55" s="22" t="n">
        <v>460.01</v>
      </c>
      <c r="J55" s="22" t="n">
        <v>449.73</v>
      </c>
      <c r="K55" s="22" t="n">
        <v>442.4</v>
      </c>
      <c r="L55" s="22" t="n">
        <v>441.12</v>
      </c>
      <c r="M55" s="22" t="n">
        <v>453.7</v>
      </c>
      <c r="N55" s="22" t="n">
        <v>468.57</v>
      </c>
      <c r="O55" s="22" t="n">
        <v>489.75</v>
      </c>
      <c r="P55" s="22" t="n">
        <v>526.96</v>
      </c>
      <c r="Q55" s="22" t="n">
        <v>543.24</v>
      </c>
      <c r="R55" s="22" t="n">
        <v>552.04</v>
      </c>
      <c r="S55" s="22" t="n">
        <v>566.73</v>
      </c>
      <c r="T55" s="22" t="n">
        <v>570.65</v>
      </c>
      <c r="U55" s="21"/>
      <c r="V55" s="21" t="s">
        <v>132</v>
      </c>
      <c r="W55" s="21" t="s">
        <v>104</v>
      </c>
      <c r="X55" s="21"/>
      <c r="Y55" s="21" t="s">
        <v>105</v>
      </c>
      <c r="Z55" s="21" t="s">
        <v>133</v>
      </c>
      <c r="AA55" s="21" t="s">
        <v>134</v>
      </c>
      <c r="AB55" s="21" t="s">
        <v>135</v>
      </c>
      <c r="AC55" s="21" t="s">
        <v>136</v>
      </c>
      <c r="AD55" s="21" t="s">
        <v>162</v>
      </c>
      <c r="AE55" s="21" t="s">
        <v>138</v>
      </c>
    </row>
    <row r="56" customFormat="false" ht="15" hidden="false" customHeight="false" outlineLevel="0" collapsed="false">
      <c r="A56" s="21" t="s">
        <v>161</v>
      </c>
      <c r="B56" s="21" t="s">
        <v>139</v>
      </c>
      <c r="C56" s="21" t="s">
        <v>129</v>
      </c>
      <c r="D56" s="21" t="s">
        <v>130</v>
      </c>
      <c r="E56" s="21" t="s">
        <v>131</v>
      </c>
      <c r="F56" s="22" t="n">
        <v>3656.15</v>
      </c>
      <c r="G56" s="22" t="n">
        <v>3228.88</v>
      </c>
      <c r="H56" s="22" t="n">
        <v>2748.58</v>
      </c>
      <c r="I56" s="22" t="n">
        <v>2548.23</v>
      </c>
      <c r="J56" s="22" t="n">
        <v>2787.49</v>
      </c>
      <c r="K56" s="22" t="n">
        <v>2730.12</v>
      </c>
      <c r="L56" s="22" t="n">
        <v>2772.47</v>
      </c>
      <c r="M56" s="22" t="n">
        <v>2930.43</v>
      </c>
      <c r="N56" s="22" t="n">
        <v>3097.79</v>
      </c>
      <c r="O56" s="22" t="n">
        <v>3159.87</v>
      </c>
      <c r="P56" s="22" t="n">
        <v>3210.39</v>
      </c>
      <c r="Q56" s="22" t="n">
        <v>3289.71</v>
      </c>
      <c r="R56" s="22" t="n">
        <v>3325.41</v>
      </c>
      <c r="S56" s="22" t="n">
        <v>3332.08</v>
      </c>
      <c r="T56" s="22" t="n">
        <v>3361.88</v>
      </c>
      <c r="U56" s="21"/>
      <c r="V56" s="21" t="s">
        <v>132</v>
      </c>
      <c r="W56" s="21" t="s">
        <v>104</v>
      </c>
      <c r="X56" s="21"/>
      <c r="Y56" s="21" t="s">
        <v>105</v>
      </c>
      <c r="Z56" s="21" t="s">
        <v>133</v>
      </c>
      <c r="AA56" s="21" t="s">
        <v>134</v>
      </c>
      <c r="AB56" s="21" t="s">
        <v>135</v>
      </c>
      <c r="AC56" s="21" t="s">
        <v>136</v>
      </c>
      <c r="AD56" s="21" t="s">
        <v>162</v>
      </c>
      <c r="AE56" s="21" t="s">
        <v>140</v>
      </c>
    </row>
    <row r="57" customFormat="false" ht="15" hidden="false" customHeight="false" outlineLevel="0" collapsed="false">
      <c r="A57" s="21" t="s">
        <v>161</v>
      </c>
      <c r="B57" s="21" t="s">
        <v>141</v>
      </c>
      <c r="C57" s="21" t="s">
        <v>129</v>
      </c>
      <c r="D57" s="21" t="s">
        <v>130</v>
      </c>
      <c r="E57" s="21" t="s">
        <v>131</v>
      </c>
      <c r="F57" s="22" t="n">
        <v>4655.99</v>
      </c>
      <c r="G57" s="22" t="n">
        <v>4348.82</v>
      </c>
      <c r="H57" s="22" t="n">
        <v>3806.96</v>
      </c>
      <c r="I57" s="22" t="n">
        <v>3559.16</v>
      </c>
      <c r="J57" s="22" t="n">
        <v>3923.99</v>
      </c>
      <c r="K57" s="22" t="n">
        <v>3806.25</v>
      </c>
      <c r="L57" s="22" t="n">
        <v>3922.42</v>
      </c>
      <c r="M57" s="22" t="n">
        <v>4012.96</v>
      </c>
      <c r="N57" s="22" t="n">
        <v>4090.01</v>
      </c>
      <c r="O57" s="22" t="n">
        <v>4238.23</v>
      </c>
      <c r="P57" s="22" t="n">
        <v>4462.9</v>
      </c>
      <c r="Q57" s="22" t="n">
        <v>4635.36</v>
      </c>
      <c r="R57" s="22" t="n">
        <v>4753.3</v>
      </c>
      <c r="S57" s="22" t="n">
        <v>4869.17</v>
      </c>
      <c r="T57" s="22" t="n">
        <v>4922.69</v>
      </c>
      <c r="U57" s="21"/>
      <c r="V57" s="21" t="s">
        <v>132</v>
      </c>
      <c r="W57" s="21" t="s">
        <v>104</v>
      </c>
      <c r="X57" s="21"/>
      <c r="Y57" s="21" t="s">
        <v>105</v>
      </c>
      <c r="Z57" s="21" t="s">
        <v>133</v>
      </c>
      <c r="AA57" s="21" t="s">
        <v>134</v>
      </c>
      <c r="AB57" s="21" t="s">
        <v>135</v>
      </c>
      <c r="AC57" s="21" t="s">
        <v>136</v>
      </c>
      <c r="AD57" s="21" t="s">
        <v>162</v>
      </c>
      <c r="AE57" s="21" t="s">
        <v>142</v>
      </c>
    </row>
    <row r="58" customFormat="false" ht="15" hidden="false" customHeight="false" outlineLevel="0" collapsed="false">
      <c r="A58" s="21" t="s">
        <v>161</v>
      </c>
      <c r="B58" s="21" t="s">
        <v>143</v>
      </c>
      <c r="C58" s="21" t="s">
        <v>129</v>
      </c>
      <c r="D58" s="21" t="s">
        <v>130</v>
      </c>
      <c r="E58" s="21" t="s">
        <v>131</v>
      </c>
      <c r="F58" s="22" t="n">
        <v>8683.23</v>
      </c>
      <c r="G58" s="22" t="n">
        <v>8612.93</v>
      </c>
      <c r="H58" s="22" t="n">
        <v>7423.7</v>
      </c>
      <c r="I58" s="22" t="n">
        <v>7268.94</v>
      </c>
      <c r="J58" s="22" t="n">
        <v>6977.69</v>
      </c>
      <c r="K58" s="22" t="n">
        <v>6753.78</v>
      </c>
      <c r="L58" s="22" t="n">
        <v>6775.89</v>
      </c>
      <c r="M58" s="22" t="n">
        <v>7041.7</v>
      </c>
      <c r="N58" s="22" t="n">
        <v>7498.87</v>
      </c>
      <c r="O58" s="22" t="n">
        <v>7735.65</v>
      </c>
      <c r="P58" s="22" t="n">
        <v>7818.89</v>
      </c>
      <c r="Q58" s="22" t="n">
        <v>7890.75</v>
      </c>
      <c r="R58" s="22" t="n">
        <v>7851.4</v>
      </c>
      <c r="S58" s="22" t="n">
        <v>7784.8</v>
      </c>
      <c r="T58" s="22" t="n">
        <v>7734.97</v>
      </c>
      <c r="U58" s="21"/>
      <c r="V58" s="21" t="s">
        <v>132</v>
      </c>
      <c r="W58" s="21" t="s">
        <v>104</v>
      </c>
      <c r="X58" s="21"/>
      <c r="Y58" s="21" t="s">
        <v>105</v>
      </c>
      <c r="Z58" s="21" t="s">
        <v>133</v>
      </c>
      <c r="AA58" s="21" t="s">
        <v>134</v>
      </c>
      <c r="AB58" s="21" t="s">
        <v>135</v>
      </c>
      <c r="AC58" s="21" t="s">
        <v>136</v>
      </c>
      <c r="AD58" s="21" t="s">
        <v>162</v>
      </c>
      <c r="AE58" s="21" t="s">
        <v>144</v>
      </c>
    </row>
    <row r="59" customFormat="false" ht="15" hidden="false" customHeight="false" outlineLevel="0" collapsed="false">
      <c r="A59" s="21" t="s">
        <v>161</v>
      </c>
      <c r="B59" s="21" t="s">
        <v>67</v>
      </c>
      <c r="C59" s="21" t="s">
        <v>129</v>
      </c>
      <c r="D59" s="21" t="s">
        <v>130</v>
      </c>
      <c r="E59" s="21" t="s">
        <v>131</v>
      </c>
      <c r="F59" s="22" t="n">
        <v>76497.2</v>
      </c>
      <c r="G59" s="22" t="n">
        <v>74114.8</v>
      </c>
      <c r="H59" s="22" t="n">
        <v>62184.84</v>
      </c>
      <c r="I59" s="22" t="n">
        <v>58189.5</v>
      </c>
      <c r="J59" s="22" t="n">
        <v>49122.81</v>
      </c>
      <c r="K59" s="22" t="n">
        <v>46714.3</v>
      </c>
      <c r="L59" s="22" t="n">
        <v>49105.52</v>
      </c>
      <c r="M59" s="22" t="n">
        <v>51270.75</v>
      </c>
      <c r="N59" s="22" t="n">
        <v>52751.93</v>
      </c>
      <c r="O59" s="22" t="n">
        <v>54121.71</v>
      </c>
      <c r="P59" s="22" t="n">
        <v>55317.68</v>
      </c>
      <c r="Q59" s="22" t="n">
        <v>56293.36</v>
      </c>
      <c r="R59" s="22" t="n">
        <v>56789.24</v>
      </c>
      <c r="S59" s="22" t="n">
        <v>57041.88</v>
      </c>
      <c r="T59" s="22" t="n">
        <v>57223.47</v>
      </c>
      <c r="U59" s="21"/>
      <c r="V59" s="21" t="s">
        <v>132</v>
      </c>
      <c r="W59" s="21" t="s">
        <v>104</v>
      </c>
      <c r="X59" s="21"/>
      <c r="Y59" s="21" t="s">
        <v>105</v>
      </c>
      <c r="Z59" s="21" t="s">
        <v>133</v>
      </c>
      <c r="AA59" s="21" t="s">
        <v>134</v>
      </c>
      <c r="AB59" s="21" t="s">
        <v>135</v>
      </c>
      <c r="AC59" s="21" t="s">
        <v>136</v>
      </c>
      <c r="AD59" s="21" t="s">
        <v>162</v>
      </c>
      <c r="AE59" s="21" t="s">
        <v>145</v>
      </c>
    </row>
    <row r="60" customFormat="false" ht="15" hidden="false" customHeight="false" outlineLevel="0" collapsed="false">
      <c r="A60" s="21" t="s">
        <v>161</v>
      </c>
      <c r="B60" s="21" t="s">
        <v>146</v>
      </c>
      <c r="C60" s="21" t="s">
        <v>129</v>
      </c>
      <c r="D60" s="21" t="s">
        <v>130</v>
      </c>
      <c r="E60" s="21" t="s">
        <v>131</v>
      </c>
      <c r="F60" s="22" t="n">
        <v>10616.92</v>
      </c>
      <c r="G60" s="22" t="n">
        <v>10110.21</v>
      </c>
      <c r="H60" s="22" t="n">
        <v>8713.47</v>
      </c>
      <c r="I60" s="22" t="n">
        <v>8730.43</v>
      </c>
      <c r="J60" s="22" t="n">
        <v>8553.32</v>
      </c>
      <c r="K60" s="22" t="n">
        <v>8432.72</v>
      </c>
      <c r="L60" s="22" t="n">
        <v>8739.13</v>
      </c>
      <c r="M60" s="22" t="n">
        <v>9173.74</v>
      </c>
      <c r="N60" s="22" t="n">
        <v>9307.93</v>
      </c>
      <c r="O60" s="22" t="n">
        <v>9582.51</v>
      </c>
      <c r="P60" s="22" t="n">
        <v>10213.88</v>
      </c>
      <c r="Q60" s="22" t="n">
        <v>10611.52</v>
      </c>
      <c r="R60" s="22" t="n">
        <v>10885.27</v>
      </c>
      <c r="S60" s="22" t="n">
        <v>11212.13</v>
      </c>
      <c r="T60" s="22" t="n">
        <v>11405.26</v>
      </c>
      <c r="U60" s="21"/>
      <c r="V60" s="21" t="s">
        <v>132</v>
      </c>
      <c r="W60" s="21" t="s">
        <v>104</v>
      </c>
      <c r="X60" s="21"/>
      <c r="Y60" s="21" t="s">
        <v>105</v>
      </c>
      <c r="Z60" s="21" t="s">
        <v>133</v>
      </c>
      <c r="AA60" s="21" t="s">
        <v>134</v>
      </c>
      <c r="AB60" s="21" t="s">
        <v>135</v>
      </c>
      <c r="AC60" s="21" t="s">
        <v>136</v>
      </c>
      <c r="AD60" s="21" t="s">
        <v>162</v>
      </c>
      <c r="AE60" s="21" t="s">
        <v>147</v>
      </c>
    </row>
    <row r="61" customFormat="false" ht="15" hidden="false" customHeight="false" outlineLevel="0" collapsed="false">
      <c r="A61" s="21" t="s">
        <v>161</v>
      </c>
      <c r="B61" s="21" t="s">
        <v>74</v>
      </c>
      <c r="C61" s="21" t="s">
        <v>129</v>
      </c>
      <c r="D61" s="21" t="s">
        <v>130</v>
      </c>
      <c r="E61" s="21" t="s">
        <v>131</v>
      </c>
      <c r="F61" s="22" t="n">
        <v>42765.97</v>
      </c>
      <c r="G61" s="22" t="n">
        <v>40860.8</v>
      </c>
      <c r="H61" s="22" t="n">
        <v>34707.04</v>
      </c>
      <c r="I61" s="22" t="n">
        <v>35766.95</v>
      </c>
      <c r="J61" s="22" t="n">
        <v>31668.34</v>
      </c>
      <c r="K61" s="22" t="n">
        <v>29884.11</v>
      </c>
      <c r="L61" s="22" t="n">
        <v>31000.86</v>
      </c>
      <c r="M61" s="22" t="n">
        <v>32581.67</v>
      </c>
      <c r="N61" s="22" t="n">
        <v>33616.94</v>
      </c>
      <c r="O61" s="22" t="n">
        <v>34398.2</v>
      </c>
      <c r="P61" s="22" t="n">
        <v>35171.18</v>
      </c>
      <c r="Q61" s="22" t="n">
        <v>35869</v>
      </c>
      <c r="R61" s="22" t="n">
        <v>36255.61</v>
      </c>
      <c r="S61" s="22" t="n">
        <v>36415.06</v>
      </c>
      <c r="T61" s="22" t="n">
        <v>36502.75</v>
      </c>
      <c r="U61" s="21"/>
      <c r="V61" s="21" t="s">
        <v>132</v>
      </c>
      <c r="W61" s="21" t="s">
        <v>104</v>
      </c>
      <c r="X61" s="21"/>
      <c r="Y61" s="21" t="s">
        <v>105</v>
      </c>
      <c r="Z61" s="21" t="s">
        <v>133</v>
      </c>
      <c r="AA61" s="21" t="s">
        <v>134</v>
      </c>
      <c r="AB61" s="21" t="s">
        <v>135</v>
      </c>
      <c r="AC61" s="21" t="s">
        <v>136</v>
      </c>
      <c r="AD61" s="21" t="s">
        <v>162</v>
      </c>
      <c r="AE61" s="21" t="s">
        <v>148</v>
      </c>
    </row>
    <row r="62" customFormat="false" ht="15" hidden="false" customHeight="false" outlineLevel="0" collapsed="false">
      <c r="A62" s="21" t="s">
        <v>161</v>
      </c>
      <c r="B62" s="21" t="s">
        <v>71</v>
      </c>
      <c r="C62" s="21" t="s">
        <v>129</v>
      </c>
      <c r="D62" s="21" t="s">
        <v>130</v>
      </c>
      <c r="E62" s="21" t="s">
        <v>131</v>
      </c>
      <c r="F62" s="22" t="n">
        <v>162866.9</v>
      </c>
      <c r="G62" s="22" t="n">
        <v>158541.8</v>
      </c>
      <c r="H62" s="22" t="n">
        <v>143961.5</v>
      </c>
      <c r="I62" s="22" t="n">
        <v>145094.8</v>
      </c>
      <c r="J62" s="22" t="n">
        <v>140944.3</v>
      </c>
      <c r="K62" s="22" t="n">
        <v>135287.2</v>
      </c>
      <c r="L62" s="22" t="n">
        <v>134420.7</v>
      </c>
      <c r="M62" s="22" t="n">
        <v>136043</v>
      </c>
      <c r="N62" s="22" t="n">
        <v>142472.7</v>
      </c>
      <c r="O62" s="22" t="n">
        <v>149576.1</v>
      </c>
      <c r="P62" s="22" t="n">
        <v>156793</v>
      </c>
      <c r="Q62" s="22" t="n">
        <v>159686</v>
      </c>
      <c r="R62" s="22" t="n">
        <v>161329.2</v>
      </c>
      <c r="S62" s="22" t="n">
        <v>163168.3</v>
      </c>
      <c r="T62" s="22" t="n">
        <v>165136.9</v>
      </c>
      <c r="U62" s="21"/>
      <c r="V62" s="21" t="s">
        <v>132</v>
      </c>
      <c r="W62" s="21" t="s">
        <v>104</v>
      </c>
      <c r="X62" s="21"/>
      <c r="Y62" s="21" t="s">
        <v>105</v>
      </c>
      <c r="Z62" s="21" t="s">
        <v>133</v>
      </c>
      <c r="AA62" s="21" t="s">
        <v>134</v>
      </c>
      <c r="AB62" s="21" t="s">
        <v>135</v>
      </c>
      <c r="AC62" s="21" t="s">
        <v>136</v>
      </c>
      <c r="AD62" s="21" t="s">
        <v>162</v>
      </c>
      <c r="AE62" s="21" t="s">
        <v>149</v>
      </c>
    </row>
    <row r="63" customFormat="false" ht="15" hidden="false" customHeight="false" outlineLevel="0" collapsed="false">
      <c r="A63" s="21" t="s">
        <v>161</v>
      </c>
      <c r="B63" s="21" t="s">
        <v>81</v>
      </c>
      <c r="C63" s="21" t="s">
        <v>129</v>
      </c>
      <c r="D63" s="21" t="s">
        <v>130</v>
      </c>
      <c r="E63" s="21" t="s">
        <v>131</v>
      </c>
      <c r="F63" s="22" t="n">
        <v>12583.39</v>
      </c>
      <c r="G63" s="22" t="n">
        <v>12084.67</v>
      </c>
      <c r="H63" s="22" t="n">
        <v>10481.92</v>
      </c>
      <c r="I63" s="22" t="n">
        <v>10107.73</v>
      </c>
      <c r="J63" s="22" t="n">
        <v>10032.37</v>
      </c>
      <c r="K63" s="22" t="n">
        <v>9738.34</v>
      </c>
      <c r="L63" s="22" t="n">
        <v>9814.04</v>
      </c>
      <c r="M63" s="22" t="n">
        <v>10244.5</v>
      </c>
      <c r="N63" s="22" t="n">
        <v>10877.72</v>
      </c>
      <c r="O63" s="22" t="n">
        <v>11181.18</v>
      </c>
      <c r="P63" s="22" t="n">
        <v>11316.25</v>
      </c>
      <c r="Q63" s="22" t="n">
        <v>11473.37</v>
      </c>
      <c r="R63" s="22" t="n">
        <v>11473.63</v>
      </c>
      <c r="S63" s="22" t="n">
        <v>11412.81</v>
      </c>
      <c r="T63" s="22" t="n">
        <v>11391.29</v>
      </c>
      <c r="U63" s="21"/>
      <c r="V63" s="21" t="s">
        <v>132</v>
      </c>
      <c r="W63" s="21" t="s">
        <v>104</v>
      </c>
      <c r="X63" s="21"/>
      <c r="Y63" s="21" t="s">
        <v>105</v>
      </c>
      <c r="Z63" s="21" t="s">
        <v>133</v>
      </c>
      <c r="AA63" s="21" t="s">
        <v>134</v>
      </c>
      <c r="AB63" s="21" t="s">
        <v>135</v>
      </c>
      <c r="AC63" s="21" t="s">
        <v>136</v>
      </c>
      <c r="AD63" s="21" t="s">
        <v>162</v>
      </c>
      <c r="AE63" s="21" t="s">
        <v>150</v>
      </c>
    </row>
    <row r="64" customFormat="false" ht="15" hidden="false" customHeight="false" outlineLevel="0" collapsed="false">
      <c r="A64" s="21" t="s">
        <v>161</v>
      </c>
      <c r="B64" s="21" t="s">
        <v>78</v>
      </c>
      <c r="C64" s="21" t="s">
        <v>129</v>
      </c>
      <c r="D64" s="21" t="s">
        <v>130</v>
      </c>
      <c r="E64" s="21" t="s">
        <v>131</v>
      </c>
      <c r="F64" s="22" t="n">
        <v>70262.73</v>
      </c>
      <c r="G64" s="22" t="n">
        <v>70071.17</v>
      </c>
      <c r="H64" s="22" t="n">
        <v>63105.55</v>
      </c>
      <c r="I64" s="22" t="n">
        <v>62313.57</v>
      </c>
      <c r="J64" s="22" t="n">
        <v>57590.16</v>
      </c>
      <c r="K64" s="22" t="n">
        <v>56111.04</v>
      </c>
      <c r="L64" s="22" t="n">
        <v>57062.67</v>
      </c>
      <c r="M64" s="22" t="n">
        <v>58152.43</v>
      </c>
      <c r="N64" s="22" t="n">
        <v>61529.71</v>
      </c>
      <c r="O64" s="22" t="n">
        <v>65393.7</v>
      </c>
      <c r="P64" s="22" t="n">
        <v>68785.08</v>
      </c>
      <c r="Q64" s="22" t="n">
        <v>70124.76</v>
      </c>
      <c r="R64" s="22" t="n">
        <v>70914.13</v>
      </c>
      <c r="S64" s="22" t="n">
        <v>71595.52</v>
      </c>
      <c r="T64" s="22" t="n">
        <v>72430.23</v>
      </c>
      <c r="U64" s="21"/>
      <c r="V64" s="21" t="s">
        <v>132</v>
      </c>
      <c r="W64" s="21" t="s">
        <v>104</v>
      </c>
      <c r="X64" s="21"/>
      <c r="Y64" s="21" t="s">
        <v>105</v>
      </c>
      <c r="Z64" s="21" t="s">
        <v>133</v>
      </c>
      <c r="AA64" s="21" t="s">
        <v>134</v>
      </c>
      <c r="AB64" s="21" t="s">
        <v>135</v>
      </c>
      <c r="AC64" s="21" t="s">
        <v>136</v>
      </c>
      <c r="AD64" s="21" t="s">
        <v>162</v>
      </c>
      <c r="AE64" s="21" t="s">
        <v>151</v>
      </c>
    </row>
    <row r="65" customFormat="false" ht="15" hidden="false" customHeight="false" outlineLevel="0" collapsed="false">
      <c r="A65" s="21" t="s">
        <v>161</v>
      </c>
      <c r="B65" s="21" t="s">
        <v>85</v>
      </c>
      <c r="C65" s="21" t="s">
        <v>129</v>
      </c>
      <c r="D65" s="21" t="s">
        <v>130</v>
      </c>
      <c r="E65" s="21" t="s">
        <v>131</v>
      </c>
      <c r="F65" s="22" t="n">
        <v>15917.06</v>
      </c>
      <c r="G65" s="22" t="n">
        <v>15079.56</v>
      </c>
      <c r="H65" s="22" t="n">
        <v>13039.09</v>
      </c>
      <c r="I65" s="22" t="n">
        <v>12749.59</v>
      </c>
      <c r="J65" s="22" t="n">
        <v>12927.04</v>
      </c>
      <c r="K65" s="22" t="n">
        <v>12681.36</v>
      </c>
      <c r="L65" s="22" t="n">
        <v>13102.66</v>
      </c>
      <c r="M65" s="22" t="n">
        <v>13640.4</v>
      </c>
      <c r="N65" s="22" t="n">
        <v>13866.51</v>
      </c>
      <c r="O65" s="22" t="n">
        <v>14310.49</v>
      </c>
      <c r="P65" s="22" t="n">
        <v>15203.75</v>
      </c>
      <c r="Q65" s="22" t="n">
        <v>15790.12</v>
      </c>
      <c r="R65" s="22" t="n">
        <v>16190.61</v>
      </c>
      <c r="S65" s="22" t="n">
        <v>16648.03</v>
      </c>
      <c r="T65" s="22" t="n">
        <v>16898.6</v>
      </c>
      <c r="U65" s="21"/>
      <c r="V65" s="21" t="s">
        <v>132</v>
      </c>
      <c r="W65" s="21" t="s">
        <v>104</v>
      </c>
      <c r="X65" s="21"/>
      <c r="Y65" s="21" t="s">
        <v>105</v>
      </c>
      <c r="Z65" s="21" t="s">
        <v>133</v>
      </c>
      <c r="AA65" s="21" t="s">
        <v>134</v>
      </c>
      <c r="AB65" s="21" t="s">
        <v>135</v>
      </c>
      <c r="AC65" s="21" t="s">
        <v>136</v>
      </c>
      <c r="AD65" s="21" t="s">
        <v>162</v>
      </c>
      <c r="AE65" s="21" t="s">
        <v>152</v>
      </c>
    </row>
    <row r="66" customFormat="false" ht="15" hidden="false" customHeight="false" outlineLevel="0" collapsed="false">
      <c r="A66" s="21" t="s">
        <v>161</v>
      </c>
      <c r="B66" s="21" t="s">
        <v>153</v>
      </c>
      <c r="C66" s="21" t="s">
        <v>129</v>
      </c>
      <c r="D66" s="21" t="s">
        <v>130</v>
      </c>
      <c r="E66" s="21" t="s">
        <v>131</v>
      </c>
      <c r="F66" s="22" t="n">
        <v>244.01</v>
      </c>
      <c r="G66" s="22" t="n">
        <v>242.85</v>
      </c>
      <c r="H66" s="22" t="n">
        <v>309.64</v>
      </c>
      <c r="I66" s="22" t="n">
        <v>290.57</v>
      </c>
      <c r="J66" s="22" t="n">
        <v>267.2</v>
      </c>
      <c r="K66" s="22" t="n">
        <v>254.43</v>
      </c>
      <c r="L66" s="22" t="n">
        <v>265.69</v>
      </c>
      <c r="M66" s="22" t="n">
        <v>272.37</v>
      </c>
      <c r="N66" s="22" t="n">
        <v>281.06</v>
      </c>
      <c r="O66" s="22" t="n">
        <v>285.67</v>
      </c>
      <c r="P66" s="22" t="n">
        <v>286.97</v>
      </c>
      <c r="Q66" s="22" t="n">
        <v>292.91</v>
      </c>
      <c r="R66" s="22" t="n">
        <v>296.82</v>
      </c>
      <c r="S66" s="22" t="n">
        <v>295.94</v>
      </c>
      <c r="T66" s="22" t="n">
        <v>294.43</v>
      </c>
      <c r="U66" s="21"/>
      <c r="V66" s="21" t="s">
        <v>132</v>
      </c>
      <c r="W66" s="21" t="s">
        <v>104</v>
      </c>
      <c r="X66" s="21"/>
      <c r="Y66" s="21" t="s">
        <v>105</v>
      </c>
      <c r="Z66" s="21" t="s">
        <v>133</v>
      </c>
      <c r="AA66" s="21" t="s">
        <v>134</v>
      </c>
      <c r="AB66" s="21" t="s">
        <v>135</v>
      </c>
      <c r="AC66" s="21" t="s">
        <v>136</v>
      </c>
      <c r="AD66" s="21" t="s">
        <v>162</v>
      </c>
      <c r="AE66" s="21" t="s">
        <v>154</v>
      </c>
    </row>
    <row r="67" customFormat="false" ht="15" hidden="false" customHeight="false" outlineLevel="0" collapsed="false">
      <c r="A67" s="21" t="s">
        <v>163</v>
      </c>
      <c r="B67" s="21" t="s">
        <v>128</v>
      </c>
      <c r="C67" s="21" t="s">
        <v>129</v>
      </c>
      <c r="D67" s="21" t="s">
        <v>130</v>
      </c>
      <c r="E67" s="21" t="s">
        <v>131</v>
      </c>
      <c r="F67" s="22" t="n">
        <v>85.66</v>
      </c>
      <c r="G67" s="22" t="n">
        <v>84.36</v>
      </c>
      <c r="H67" s="22" t="n">
        <v>81.89</v>
      </c>
      <c r="I67" s="22" t="n">
        <v>95.87</v>
      </c>
      <c r="J67" s="22" t="n">
        <v>115.43</v>
      </c>
      <c r="K67" s="22" t="n">
        <v>115.13</v>
      </c>
      <c r="L67" s="22" t="n">
        <v>110.25</v>
      </c>
      <c r="M67" s="22" t="n">
        <v>110.72</v>
      </c>
      <c r="N67" s="22" t="n">
        <v>119.99</v>
      </c>
      <c r="O67" s="22" t="n">
        <v>123.1</v>
      </c>
      <c r="P67" s="22" t="n">
        <v>125.44</v>
      </c>
      <c r="Q67" s="22" t="n">
        <v>127.24</v>
      </c>
      <c r="R67" s="22" t="n">
        <v>129.24</v>
      </c>
      <c r="S67" s="22" t="n">
        <v>132.41</v>
      </c>
      <c r="T67" s="22" t="n">
        <v>135</v>
      </c>
      <c r="U67" s="21"/>
      <c r="V67" s="21" t="s">
        <v>132</v>
      </c>
      <c r="W67" s="21" t="s">
        <v>104</v>
      </c>
      <c r="X67" s="21"/>
      <c r="Y67" s="21" t="s">
        <v>105</v>
      </c>
      <c r="Z67" s="21" t="s">
        <v>133</v>
      </c>
      <c r="AA67" s="21" t="s">
        <v>134</v>
      </c>
      <c r="AB67" s="21" t="s">
        <v>135</v>
      </c>
      <c r="AC67" s="21" t="s">
        <v>136</v>
      </c>
      <c r="AD67" s="21" t="s">
        <v>164</v>
      </c>
      <c r="AE67" s="21" t="s">
        <v>138</v>
      </c>
    </row>
    <row r="68" customFormat="false" ht="15" hidden="false" customHeight="false" outlineLevel="0" collapsed="false">
      <c r="A68" s="21" t="s">
        <v>163</v>
      </c>
      <c r="B68" s="21" t="s">
        <v>139</v>
      </c>
      <c r="C68" s="21" t="s">
        <v>129</v>
      </c>
      <c r="D68" s="21" t="s">
        <v>130</v>
      </c>
      <c r="E68" s="21" t="s">
        <v>131</v>
      </c>
      <c r="F68" s="22" t="n">
        <v>1359.8</v>
      </c>
      <c r="G68" s="22" t="n">
        <v>1516.46</v>
      </c>
      <c r="H68" s="22" t="n">
        <v>1448.24</v>
      </c>
      <c r="I68" s="22" t="n">
        <v>1455.48</v>
      </c>
      <c r="J68" s="22" t="n">
        <v>1438.99</v>
      </c>
      <c r="K68" s="22" t="n">
        <v>1408.92</v>
      </c>
      <c r="L68" s="22" t="n">
        <v>1341.49</v>
      </c>
      <c r="M68" s="22" t="n">
        <v>1314.96</v>
      </c>
      <c r="N68" s="22" t="n">
        <v>1399.93</v>
      </c>
      <c r="O68" s="22" t="n">
        <v>1431.55</v>
      </c>
      <c r="P68" s="22" t="n">
        <v>1434.86</v>
      </c>
      <c r="Q68" s="22" t="n">
        <v>1442.57</v>
      </c>
      <c r="R68" s="22" t="n">
        <v>1463.31</v>
      </c>
      <c r="S68" s="22" t="n">
        <v>1484.81</v>
      </c>
      <c r="T68" s="22" t="n">
        <v>1504.16</v>
      </c>
      <c r="U68" s="21"/>
      <c r="V68" s="21" t="s">
        <v>132</v>
      </c>
      <c r="W68" s="21" t="s">
        <v>104</v>
      </c>
      <c r="X68" s="21"/>
      <c r="Y68" s="21" t="s">
        <v>105</v>
      </c>
      <c r="Z68" s="21" t="s">
        <v>133</v>
      </c>
      <c r="AA68" s="21" t="s">
        <v>134</v>
      </c>
      <c r="AB68" s="21" t="s">
        <v>135</v>
      </c>
      <c r="AC68" s="21" t="s">
        <v>136</v>
      </c>
      <c r="AD68" s="21" t="s">
        <v>164</v>
      </c>
      <c r="AE68" s="21" t="s">
        <v>140</v>
      </c>
    </row>
    <row r="69" customFormat="false" ht="15" hidden="false" customHeight="false" outlineLevel="0" collapsed="false">
      <c r="A69" s="21" t="s">
        <v>163</v>
      </c>
      <c r="B69" s="21" t="s">
        <v>141</v>
      </c>
      <c r="C69" s="21" t="s">
        <v>129</v>
      </c>
      <c r="D69" s="21" t="s">
        <v>130</v>
      </c>
      <c r="E69" s="21" t="s">
        <v>131</v>
      </c>
      <c r="F69" s="22" t="n">
        <v>702.66</v>
      </c>
      <c r="G69" s="22" t="n">
        <v>722.51</v>
      </c>
      <c r="H69" s="22" t="n">
        <v>692.8</v>
      </c>
      <c r="I69" s="22" t="n">
        <v>804.38</v>
      </c>
      <c r="J69" s="22" t="n">
        <v>974.46</v>
      </c>
      <c r="K69" s="22" t="n">
        <v>965.03</v>
      </c>
      <c r="L69" s="22" t="n">
        <v>905.85</v>
      </c>
      <c r="M69" s="22" t="n">
        <v>908.56</v>
      </c>
      <c r="N69" s="22" t="n">
        <v>981.97</v>
      </c>
      <c r="O69" s="22" t="n">
        <v>1002.27</v>
      </c>
      <c r="P69" s="22" t="n">
        <v>1023.2</v>
      </c>
      <c r="Q69" s="22" t="n">
        <v>1038.25</v>
      </c>
      <c r="R69" s="22" t="n">
        <v>1052.16</v>
      </c>
      <c r="S69" s="22" t="n">
        <v>1078.48</v>
      </c>
      <c r="T69" s="22" t="n">
        <v>1100.2</v>
      </c>
      <c r="U69" s="21"/>
      <c r="V69" s="21" t="s">
        <v>132</v>
      </c>
      <c r="W69" s="21" t="s">
        <v>104</v>
      </c>
      <c r="X69" s="21"/>
      <c r="Y69" s="21" t="s">
        <v>105</v>
      </c>
      <c r="Z69" s="21" t="s">
        <v>133</v>
      </c>
      <c r="AA69" s="21" t="s">
        <v>134</v>
      </c>
      <c r="AB69" s="21" t="s">
        <v>135</v>
      </c>
      <c r="AC69" s="21" t="s">
        <v>136</v>
      </c>
      <c r="AD69" s="21" t="s">
        <v>164</v>
      </c>
      <c r="AE69" s="21" t="s">
        <v>142</v>
      </c>
    </row>
    <row r="70" customFormat="false" ht="15" hidden="false" customHeight="false" outlineLevel="0" collapsed="false">
      <c r="A70" s="21" t="s">
        <v>163</v>
      </c>
      <c r="B70" s="21" t="s">
        <v>143</v>
      </c>
      <c r="C70" s="21" t="s">
        <v>129</v>
      </c>
      <c r="D70" s="21" t="s">
        <v>130</v>
      </c>
      <c r="E70" s="21" t="s">
        <v>131</v>
      </c>
      <c r="F70" s="22" t="n">
        <v>1130.7</v>
      </c>
      <c r="G70" s="22" t="n">
        <v>1297.23</v>
      </c>
      <c r="H70" s="22" t="n">
        <v>1604.73</v>
      </c>
      <c r="I70" s="22" t="n">
        <v>1784.67</v>
      </c>
      <c r="J70" s="22" t="n">
        <v>1858.2</v>
      </c>
      <c r="K70" s="22" t="n">
        <v>1829.5</v>
      </c>
      <c r="L70" s="22" t="n">
        <v>1771.46</v>
      </c>
      <c r="M70" s="22" t="n">
        <v>1758.08</v>
      </c>
      <c r="N70" s="22" t="n">
        <v>1868.64</v>
      </c>
      <c r="O70" s="22" t="n">
        <v>1907.11</v>
      </c>
      <c r="P70" s="22" t="n">
        <v>1931.05</v>
      </c>
      <c r="Q70" s="22" t="n">
        <v>1956.18</v>
      </c>
      <c r="R70" s="22" t="n">
        <v>1988.32</v>
      </c>
      <c r="S70" s="22" t="n">
        <v>2019.88</v>
      </c>
      <c r="T70" s="22" t="n">
        <v>2045.99</v>
      </c>
      <c r="U70" s="21"/>
      <c r="V70" s="21" t="s">
        <v>132</v>
      </c>
      <c r="W70" s="21" t="s">
        <v>104</v>
      </c>
      <c r="X70" s="21"/>
      <c r="Y70" s="21" t="s">
        <v>105</v>
      </c>
      <c r="Z70" s="21" t="s">
        <v>133</v>
      </c>
      <c r="AA70" s="21" t="s">
        <v>134</v>
      </c>
      <c r="AB70" s="21" t="s">
        <v>135</v>
      </c>
      <c r="AC70" s="21" t="s">
        <v>136</v>
      </c>
      <c r="AD70" s="21" t="s">
        <v>164</v>
      </c>
      <c r="AE70" s="21" t="s">
        <v>144</v>
      </c>
    </row>
    <row r="71" customFormat="false" ht="15" hidden="false" customHeight="false" outlineLevel="0" collapsed="false">
      <c r="A71" s="21" t="s">
        <v>163</v>
      </c>
      <c r="B71" s="21" t="s">
        <v>67</v>
      </c>
      <c r="C71" s="21" t="s">
        <v>129</v>
      </c>
      <c r="D71" s="21" t="s">
        <v>130</v>
      </c>
      <c r="E71" s="21" t="s">
        <v>131</v>
      </c>
      <c r="F71" s="22" t="n">
        <v>4405.12</v>
      </c>
      <c r="G71" s="22" t="n">
        <v>4599.37</v>
      </c>
      <c r="H71" s="22" t="n">
        <v>4190.41</v>
      </c>
      <c r="I71" s="22" t="n">
        <v>3244.41</v>
      </c>
      <c r="J71" s="22" t="n">
        <v>3199.87</v>
      </c>
      <c r="K71" s="22" t="n">
        <v>3216.56</v>
      </c>
      <c r="L71" s="22" t="n">
        <v>3011.68</v>
      </c>
      <c r="M71" s="22" t="n">
        <v>2765.6</v>
      </c>
      <c r="N71" s="22" t="n">
        <v>2718.05</v>
      </c>
      <c r="O71" s="22" t="n">
        <v>2717.64</v>
      </c>
      <c r="P71" s="22" t="n">
        <v>2716.65</v>
      </c>
      <c r="Q71" s="22" t="n">
        <v>2723.23</v>
      </c>
      <c r="R71" s="22" t="n">
        <v>2745.14</v>
      </c>
      <c r="S71" s="22" t="n">
        <v>2780.75</v>
      </c>
      <c r="T71" s="22" t="n">
        <v>2822.64</v>
      </c>
      <c r="U71" s="21"/>
      <c r="V71" s="21" t="s">
        <v>132</v>
      </c>
      <c r="W71" s="21" t="s">
        <v>104</v>
      </c>
      <c r="X71" s="21"/>
      <c r="Y71" s="21" t="s">
        <v>105</v>
      </c>
      <c r="Z71" s="21" t="s">
        <v>133</v>
      </c>
      <c r="AA71" s="21" t="s">
        <v>134</v>
      </c>
      <c r="AB71" s="21" t="s">
        <v>135</v>
      </c>
      <c r="AC71" s="21" t="s">
        <v>136</v>
      </c>
      <c r="AD71" s="21" t="s">
        <v>164</v>
      </c>
      <c r="AE71" s="21" t="s">
        <v>145</v>
      </c>
    </row>
    <row r="72" customFormat="false" ht="15" hidden="false" customHeight="false" outlineLevel="0" collapsed="false">
      <c r="A72" s="21" t="s">
        <v>163</v>
      </c>
      <c r="B72" s="21" t="s">
        <v>146</v>
      </c>
      <c r="C72" s="21" t="s">
        <v>129</v>
      </c>
      <c r="D72" s="21" t="s">
        <v>130</v>
      </c>
      <c r="E72" s="21" t="s">
        <v>131</v>
      </c>
      <c r="F72" s="22" t="n">
        <v>751.15</v>
      </c>
      <c r="G72" s="22" t="n">
        <v>753.11</v>
      </c>
      <c r="H72" s="22" t="n">
        <v>730.38</v>
      </c>
      <c r="I72" s="22" t="n">
        <v>862.17</v>
      </c>
      <c r="J72" s="22" t="n">
        <v>1057.18</v>
      </c>
      <c r="K72" s="22" t="n">
        <v>1030.59</v>
      </c>
      <c r="L72" s="22" t="n">
        <v>991.9</v>
      </c>
      <c r="M72" s="22" t="n">
        <v>1004.46</v>
      </c>
      <c r="N72" s="22" t="n">
        <v>1086.8</v>
      </c>
      <c r="O72" s="22" t="n">
        <v>1105.09</v>
      </c>
      <c r="P72" s="22" t="n">
        <v>1132.26</v>
      </c>
      <c r="Q72" s="22" t="n">
        <v>1148.46</v>
      </c>
      <c r="R72" s="22" t="n">
        <v>1164.8</v>
      </c>
      <c r="S72" s="22" t="n">
        <v>1185.75</v>
      </c>
      <c r="T72" s="22" t="n">
        <v>1210.12</v>
      </c>
      <c r="U72" s="21"/>
      <c r="V72" s="21" t="s">
        <v>132</v>
      </c>
      <c r="W72" s="21" t="s">
        <v>104</v>
      </c>
      <c r="X72" s="21"/>
      <c r="Y72" s="21" t="s">
        <v>105</v>
      </c>
      <c r="Z72" s="21" t="s">
        <v>133</v>
      </c>
      <c r="AA72" s="21" t="s">
        <v>134</v>
      </c>
      <c r="AB72" s="21" t="s">
        <v>135</v>
      </c>
      <c r="AC72" s="21" t="s">
        <v>136</v>
      </c>
      <c r="AD72" s="21" t="s">
        <v>164</v>
      </c>
      <c r="AE72" s="21" t="s">
        <v>147</v>
      </c>
    </row>
    <row r="73" customFormat="false" ht="15" hidden="false" customHeight="false" outlineLevel="0" collapsed="false">
      <c r="A73" s="21" t="s">
        <v>163</v>
      </c>
      <c r="B73" s="21" t="s">
        <v>74</v>
      </c>
      <c r="C73" s="21" t="s">
        <v>129</v>
      </c>
      <c r="D73" s="21" t="s">
        <v>130</v>
      </c>
      <c r="E73" s="21" t="s">
        <v>131</v>
      </c>
      <c r="F73" s="22" t="n">
        <v>1560.61</v>
      </c>
      <c r="G73" s="22" t="n">
        <v>1492.96</v>
      </c>
      <c r="H73" s="22" t="n">
        <v>1290.69</v>
      </c>
      <c r="I73" s="22" t="n">
        <v>1144.95</v>
      </c>
      <c r="J73" s="22" t="n">
        <v>1045.58</v>
      </c>
      <c r="K73" s="22" t="n">
        <v>1010.49</v>
      </c>
      <c r="L73" s="22" t="n">
        <v>946.2</v>
      </c>
      <c r="M73" s="22" t="n">
        <v>927.94</v>
      </c>
      <c r="N73" s="22" t="n">
        <v>946.49</v>
      </c>
      <c r="O73" s="22" t="n">
        <v>962.43</v>
      </c>
      <c r="P73" s="22" t="n">
        <v>968.72</v>
      </c>
      <c r="Q73" s="22" t="n">
        <v>975.85</v>
      </c>
      <c r="R73" s="22" t="n">
        <v>987.46</v>
      </c>
      <c r="S73" s="22" t="n">
        <v>1003.54</v>
      </c>
      <c r="T73" s="22" t="n">
        <v>1022</v>
      </c>
      <c r="U73" s="21"/>
      <c r="V73" s="21" t="s">
        <v>132</v>
      </c>
      <c r="W73" s="21" t="s">
        <v>104</v>
      </c>
      <c r="X73" s="21"/>
      <c r="Y73" s="21" t="s">
        <v>105</v>
      </c>
      <c r="Z73" s="21" t="s">
        <v>133</v>
      </c>
      <c r="AA73" s="21" t="s">
        <v>134</v>
      </c>
      <c r="AB73" s="21" t="s">
        <v>135</v>
      </c>
      <c r="AC73" s="21" t="s">
        <v>136</v>
      </c>
      <c r="AD73" s="21" t="s">
        <v>164</v>
      </c>
      <c r="AE73" s="21" t="s">
        <v>148</v>
      </c>
    </row>
    <row r="74" customFormat="false" ht="15" hidden="false" customHeight="false" outlineLevel="0" collapsed="false">
      <c r="A74" s="21" t="s">
        <v>163</v>
      </c>
      <c r="B74" s="21" t="s">
        <v>71</v>
      </c>
      <c r="C74" s="21" t="s">
        <v>129</v>
      </c>
      <c r="D74" s="21" t="s">
        <v>130</v>
      </c>
      <c r="E74" s="21" t="s">
        <v>131</v>
      </c>
      <c r="F74" s="22" t="n">
        <v>8480.05</v>
      </c>
      <c r="G74" s="22" t="n">
        <v>9719.79</v>
      </c>
      <c r="H74" s="22" t="n">
        <v>9621.59</v>
      </c>
      <c r="I74" s="22" t="n">
        <v>10259.66</v>
      </c>
      <c r="J74" s="22" t="n">
        <v>11659.02</v>
      </c>
      <c r="K74" s="22" t="n">
        <v>11353.19</v>
      </c>
      <c r="L74" s="22" t="n">
        <v>10830.82</v>
      </c>
      <c r="M74" s="22" t="n">
        <v>11427.66</v>
      </c>
      <c r="N74" s="22" t="n">
        <v>11798.88</v>
      </c>
      <c r="O74" s="22" t="n">
        <v>12109.71</v>
      </c>
      <c r="P74" s="22" t="n">
        <v>12326.68</v>
      </c>
      <c r="Q74" s="22" t="n">
        <v>12448.42</v>
      </c>
      <c r="R74" s="22" t="n">
        <v>12517.4</v>
      </c>
      <c r="S74" s="22" t="n">
        <v>12661.89</v>
      </c>
      <c r="T74" s="22" t="n">
        <v>12817.2</v>
      </c>
      <c r="U74" s="21"/>
      <c r="V74" s="21" t="s">
        <v>132</v>
      </c>
      <c r="W74" s="21" t="s">
        <v>104</v>
      </c>
      <c r="X74" s="21"/>
      <c r="Y74" s="21" t="s">
        <v>105</v>
      </c>
      <c r="Z74" s="21" t="s">
        <v>133</v>
      </c>
      <c r="AA74" s="21" t="s">
        <v>134</v>
      </c>
      <c r="AB74" s="21" t="s">
        <v>135</v>
      </c>
      <c r="AC74" s="21" t="s">
        <v>136</v>
      </c>
      <c r="AD74" s="21" t="s">
        <v>164</v>
      </c>
      <c r="AE74" s="21" t="s">
        <v>149</v>
      </c>
    </row>
    <row r="75" customFormat="false" ht="15" hidden="false" customHeight="false" outlineLevel="0" collapsed="false">
      <c r="A75" s="21" t="s">
        <v>163</v>
      </c>
      <c r="B75" s="21" t="s">
        <v>81</v>
      </c>
      <c r="C75" s="21" t="s">
        <v>129</v>
      </c>
      <c r="D75" s="21" t="s">
        <v>130</v>
      </c>
      <c r="E75" s="21" t="s">
        <v>131</v>
      </c>
      <c r="F75" s="22" t="n">
        <v>2590.76</v>
      </c>
      <c r="G75" s="22" t="n">
        <v>2937.63</v>
      </c>
      <c r="H75" s="22" t="n">
        <v>3232.62</v>
      </c>
      <c r="I75" s="22" t="n">
        <v>3428.77</v>
      </c>
      <c r="J75" s="22" t="n">
        <v>3467.36</v>
      </c>
      <c r="K75" s="22" t="n">
        <v>3407.16</v>
      </c>
      <c r="L75" s="22" t="n">
        <v>3270.57</v>
      </c>
      <c r="M75" s="22" t="n">
        <v>3228.66</v>
      </c>
      <c r="N75" s="22" t="n">
        <v>3436.18</v>
      </c>
      <c r="O75" s="22" t="n">
        <v>3513.55</v>
      </c>
      <c r="P75" s="22" t="n">
        <v>3543.23</v>
      </c>
      <c r="Q75" s="22" t="n">
        <v>3577.58</v>
      </c>
      <c r="R75" s="22" t="n">
        <v>3632.82</v>
      </c>
      <c r="S75" s="22" t="n">
        <v>3688.85</v>
      </c>
      <c r="T75" s="22" t="n">
        <v>3736.78</v>
      </c>
      <c r="U75" s="21"/>
      <c r="V75" s="21" t="s">
        <v>132</v>
      </c>
      <c r="W75" s="21" t="s">
        <v>104</v>
      </c>
      <c r="X75" s="21"/>
      <c r="Y75" s="21" t="s">
        <v>105</v>
      </c>
      <c r="Z75" s="21" t="s">
        <v>133</v>
      </c>
      <c r="AA75" s="21" t="s">
        <v>134</v>
      </c>
      <c r="AB75" s="21" t="s">
        <v>135</v>
      </c>
      <c r="AC75" s="21" t="s">
        <v>136</v>
      </c>
      <c r="AD75" s="21" t="s">
        <v>164</v>
      </c>
      <c r="AE75" s="21" t="s">
        <v>150</v>
      </c>
    </row>
    <row r="76" customFormat="false" ht="15" hidden="false" customHeight="false" outlineLevel="0" collapsed="false">
      <c r="A76" s="21" t="s">
        <v>163</v>
      </c>
      <c r="B76" s="21" t="s">
        <v>78</v>
      </c>
      <c r="C76" s="21" t="s">
        <v>129</v>
      </c>
      <c r="D76" s="21" t="s">
        <v>130</v>
      </c>
      <c r="E76" s="21" t="s">
        <v>131</v>
      </c>
      <c r="F76" s="22" t="n">
        <v>1066.41</v>
      </c>
      <c r="G76" s="22" t="n">
        <v>1432.54</v>
      </c>
      <c r="H76" s="22" t="n">
        <v>1430.23</v>
      </c>
      <c r="I76" s="22" t="n">
        <v>1414</v>
      </c>
      <c r="J76" s="22" t="n">
        <v>1502.81</v>
      </c>
      <c r="K76" s="22" t="n">
        <v>1514.08</v>
      </c>
      <c r="L76" s="22" t="n">
        <v>1489.72</v>
      </c>
      <c r="M76" s="22" t="n">
        <v>1507.97</v>
      </c>
      <c r="N76" s="22" t="n">
        <v>1554.01</v>
      </c>
      <c r="O76" s="22" t="n">
        <v>1625.61</v>
      </c>
      <c r="P76" s="22" t="n">
        <v>1686.45</v>
      </c>
      <c r="Q76" s="22" t="n">
        <v>1715.78</v>
      </c>
      <c r="R76" s="22" t="n">
        <v>1730.34</v>
      </c>
      <c r="S76" s="22" t="n">
        <v>1766.1</v>
      </c>
      <c r="T76" s="22" t="n">
        <v>1802.7</v>
      </c>
      <c r="U76" s="21"/>
      <c r="V76" s="21" t="s">
        <v>132</v>
      </c>
      <c r="W76" s="21" t="s">
        <v>104</v>
      </c>
      <c r="X76" s="21"/>
      <c r="Y76" s="21" t="s">
        <v>105</v>
      </c>
      <c r="Z76" s="21" t="s">
        <v>133</v>
      </c>
      <c r="AA76" s="21" t="s">
        <v>134</v>
      </c>
      <c r="AB76" s="21" t="s">
        <v>135</v>
      </c>
      <c r="AC76" s="21" t="s">
        <v>136</v>
      </c>
      <c r="AD76" s="21" t="s">
        <v>164</v>
      </c>
      <c r="AE76" s="21" t="s">
        <v>151</v>
      </c>
    </row>
    <row r="77" customFormat="false" ht="15" hidden="false" customHeight="false" outlineLevel="0" collapsed="false">
      <c r="A77" s="21" t="s">
        <v>163</v>
      </c>
      <c r="B77" s="21" t="s">
        <v>85</v>
      </c>
      <c r="C77" s="21" t="s">
        <v>129</v>
      </c>
      <c r="D77" s="21" t="s">
        <v>130</v>
      </c>
      <c r="E77" s="21" t="s">
        <v>131</v>
      </c>
      <c r="F77" s="22" t="n">
        <v>1539.47</v>
      </c>
      <c r="G77" s="22" t="n">
        <v>1559.98</v>
      </c>
      <c r="H77" s="22" t="n">
        <v>1505.06</v>
      </c>
      <c r="I77" s="22" t="n">
        <v>1762.42</v>
      </c>
      <c r="J77" s="22" t="n">
        <v>2147.07</v>
      </c>
      <c r="K77" s="22" t="n">
        <v>2110.75</v>
      </c>
      <c r="L77" s="22" t="n">
        <v>2008</v>
      </c>
      <c r="M77" s="22" t="n">
        <v>2023.75</v>
      </c>
      <c r="N77" s="22" t="n">
        <v>2188.77</v>
      </c>
      <c r="O77" s="22" t="n">
        <v>2230.45</v>
      </c>
      <c r="P77" s="22" t="n">
        <v>2280.9</v>
      </c>
      <c r="Q77" s="22" t="n">
        <v>2313.95</v>
      </c>
      <c r="R77" s="22" t="n">
        <v>2346.2</v>
      </c>
      <c r="S77" s="22" t="n">
        <v>2396.65</v>
      </c>
      <c r="T77" s="22" t="n">
        <v>2445.32</v>
      </c>
      <c r="U77" s="21"/>
      <c r="V77" s="21" t="s">
        <v>132</v>
      </c>
      <c r="W77" s="21" t="s">
        <v>104</v>
      </c>
      <c r="X77" s="21"/>
      <c r="Y77" s="21" t="s">
        <v>105</v>
      </c>
      <c r="Z77" s="21" t="s">
        <v>133</v>
      </c>
      <c r="AA77" s="21" t="s">
        <v>134</v>
      </c>
      <c r="AB77" s="21" t="s">
        <v>135</v>
      </c>
      <c r="AC77" s="21" t="s">
        <v>136</v>
      </c>
      <c r="AD77" s="21" t="s">
        <v>164</v>
      </c>
      <c r="AE77" s="21" t="s">
        <v>152</v>
      </c>
    </row>
    <row r="78" customFormat="false" ht="15" hidden="false" customHeight="false" outlineLevel="0" collapsed="false">
      <c r="A78" s="21" t="s">
        <v>163</v>
      </c>
      <c r="B78" s="21" t="s">
        <v>153</v>
      </c>
      <c r="C78" s="21" t="s">
        <v>129</v>
      </c>
      <c r="D78" s="21" t="s">
        <v>130</v>
      </c>
      <c r="E78" s="21" t="s">
        <v>131</v>
      </c>
      <c r="F78" s="22" t="n">
        <v>100.26</v>
      </c>
      <c r="G78" s="22" t="n">
        <v>123.94</v>
      </c>
      <c r="H78" s="22" t="n">
        <v>179.65</v>
      </c>
      <c r="I78" s="22" t="n">
        <v>188.61</v>
      </c>
      <c r="J78" s="22" t="n">
        <v>170.17</v>
      </c>
      <c r="K78" s="22" t="n">
        <v>168.74</v>
      </c>
      <c r="L78" s="22" t="n">
        <v>157.63</v>
      </c>
      <c r="M78" s="22" t="n">
        <v>155.62</v>
      </c>
      <c r="N78" s="22" t="n">
        <v>167.6</v>
      </c>
      <c r="O78" s="22" t="n">
        <v>174.9</v>
      </c>
      <c r="P78" s="22" t="n">
        <v>177.31</v>
      </c>
      <c r="Q78" s="22" t="n">
        <v>178.83</v>
      </c>
      <c r="R78" s="22" t="n">
        <v>181.18</v>
      </c>
      <c r="S78" s="22" t="n">
        <v>184.17</v>
      </c>
      <c r="T78" s="22" t="n">
        <v>186.64</v>
      </c>
      <c r="U78" s="21"/>
      <c r="V78" s="21" t="s">
        <v>132</v>
      </c>
      <c r="W78" s="21" t="s">
        <v>104</v>
      </c>
      <c r="X78" s="21"/>
      <c r="Y78" s="21" t="s">
        <v>105</v>
      </c>
      <c r="Z78" s="21" t="s">
        <v>133</v>
      </c>
      <c r="AA78" s="21" t="s">
        <v>134</v>
      </c>
      <c r="AB78" s="21" t="s">
        <v>135</v>
      </c>
      <c r="AC78" s="21" t="s">
        <v>136</v>
      </c>
      <c r="AD78" s="21" t="s">
        <v>164</v>
      </c>
      <c r="AE78" s="21" t="s">
        <v>154</v>
      </c>
    </row>
    <row r="79" customFormat="false" ht="15" hidden="false" customHeight="false" outlineLevel="0" collapsed="false">
      <c r="A79" s="21" t="s">
        <v>165</v>
      </c>
      <c r="B79" s="21" t="s">
        <v>128</v>
      </c>
      <c r="C79" s="21" t="s">
        <v>129</v>
      </c>
      <c r="D79" s="21" t="s">
        <v>130</v>
      </c>
      <c r="E79" s="21" t="s">
        <v>131</v>
      </c>
      <c r="F79" s="22" t="n">
        <v>1788.27</v>
      </c>
      <c r="G79" s="22" t="n">
        <v>1698.57</v>
      </c>
      <c r="H79" s="22" t="n">
        <v>1759.12</v>
      </c>
      <c r="I79" s="22" t="n">
        <v>1850.13</v>
      </c>
      <c r="J79" s="22" t="n">
        <v>1933.57</v>
      </c>
      <c r="K79" s="22" t="n">
        <v>2060.32</v>
      </c>
      <c r="L79" s="22" t="n">
        <v>2087.77</v>
      </c>
      <c r="M79" s="22" t="n">
        <v>2218.97</v>
      </c>
      <c r="N79" s="22" t="n">
        <v>2341.66</v>
      </c>
      <c r="O79" s="22" t="n">
        <v>2485.53</v>
      </c>
      <c r="P79" s="22" t="n">
        <v>2601.53</v>
      </c>
      <c r="Q79" s="22" t="n">
        <v>2654.65</v>
      </c>
      <c r="R79" s="22" t="n">
        <v>2734.05</v>
      </c>
      <c r="S79" s="22" t="n">
        <v>2831.59</v>
      </c>
      <c r="T79" s="22" t="n">
        <v>2892.43</v>
      </c>
      <c r="U79" s="21"/>
      <c r="V79" s="21" t="s">
        <v>132</v>
      </c>
      <c r="W79" s="21" t="s">
        <v>104</v>
      </c>
      <c r="X79" s="21"/>
      <c r="Y79" s="21" t="s">
        <v>105</v>
      </c>
      <c r="Z79" s="21" t="s">
        <v>133</v>
      </c>
      <c r="AA79" s="21" t="s">
        <v>134</v>
      </c>
      <c r="AB79" s="21" t="s">
        <v>135</v>
      </c>
      <c r="AC79" s="21" t="s">
        <v>136</v>
      </c>
      <c r="AD79" s="21" t="s">
        <v>166</v>
      </c>
      <c r="AE79" s="21" t="s">
        <v>138</v>
      </c>
    </row>
    <row r="80" customFormat="false" ht="15" hidden="false" customHeight="false" outlineLevel="0" collapsed="false">
      <c r="A80" s="21" t="s">
        <v>165</v>
      </c>
      <c r="B80" s="21" t="s">
        <v>139</v>
      </c>
      <c r="C80" s="21" t="s">
        <v>129</v>
      </c>
      <c r="D80" s="21" t="s">
        <v>130</v>
      </c>
      <c r="E80" s="21" t="s">
        <v>131</v>
      </c>
      <c r="F80" s="22" t="n">
        <v>5245.9</v>
      </c>
      <c r="G80" s="22" t="n">
        <v>4636.11</v>
      </c>
      <c r="H80" s="22" t="n">
        <v>4325.24</v>
      </c>
      <c r="I80" s="22" t="n">
        <v>4206.07</v>
      </c>
      <c r="J80" s="22" t="n">
        <v>4161.46</v>
      </c>
      <c r="K80" s="22" t="n">
        <v>4634.27</v>
      </c>
      <c r="L80" s="22" t="n">
        <v>4964.65</v>
      </c>
      <c r="M80" s="22" t="n">
        <v>5307.99</v>
      </c>
      <c r="N80" s="22" t="n">
        <v>5453.56</v>
      </c>
      <c r="O80" s="22" t="n">
        <v>5555.31</v>
      </c>
      <c r="P80" s="22" t="n">
        <v>5663.11</v>
      </c>
      <c r="Q80" s="22" t="n">
        <v>5780.99</v>
      </c>
      <c r="R80" s="22" t="n">
        <v>5912.1</v>
      </c>
      <c r="S80" s="22" t="n">
        <v>6022.2</v>
      </c>
      <c r="T80" s="22" t="n">
        <v>6141.01</v>
      </c>
      <c r="U80" s="21"/>
      <c r="V80" s="21" t="s">
        <v>132</v>
      </c>
      <c r="W80" s="21" t="s">
        <v>104</v>
      </c>
      <c r="X80" s="21"/>
      <c r="Y80" s="21" t="s">
        <v>105</v>
      </c>
      <c r="Z80" s="21" t="s">
        <v>133</v>
      </c>
      <c r="AA80" s="21" t="s">
        <v>134</v>
      </c>
      <c r="AB80" s="21" t="s">
        <v>135</v>
      </c>
      <c r="AC80" s="21" t="s">
        <v>136</v>
      </c>
      <c r="AD80" s="21" t="s">
        <v>166</v>
      </c>
      <c r="AE80" s="21" t="s">
        <v>140</v>
      </c>
    </row>
    <row r="81" customFormat="false" ht="15" hidden="false" customHeight="false" outlineLevel="0" collapsed="false">
      <c r="A81" s="21" t="s">
        <v>165</v>
      </c>
      <c r="B81" s="21" t="s">
        <v>141</v>
      </c>
      <c r="C81" s="21" t="s">
        <v>129</v>
      </c>
      <c r="D81" s="21" t="s">
        <v>130</v>
      </c>
      <c r="E81" s="21" t="s">
        <v>131</v>
      </c>
      <c r="F81" s="22" t="n">
        <v>2974.41</v>
      </c>
      <c r="G81" s="22" t="n">
        <v>2854.87</v>
      </c>
      <c r="H81" s="22" t="n">
        <v>2979.28</v>
      </c>
      <c r="I81" s="22" t="n">
        <v>3141.87</v>
      </c>
      <c r="J81" s="22" t="n">
        <v>3284.25</v>
      </c>
      <c r="K81" s="22" t="n">
        <v>3576.72</v>
      </c>
      <c r="L81" s="22" t="n">
        <v>3731.6</v>
      </c>
      <c r="M81" s="22" t="n">
        <v>4043.41</v>
      </c>
      <c r="N81" s="22" t="n">
        <v>4216.21</v>
      </c>
      <c r="O81" s="22" t="n">
        <v>4434.26</v>
      </c>
      <c r="P81" s="22" t="n">
        <v>4665.98</v>
      </c>
      <c r="Q81" s="22" t="n">
        <v>4774.13</v>
      </c>
      <c r="R81" s="22" t="n">
        <v>4941.46</v>
      </c>
      <c r="S81" s="22" t="n">
        <v>5232.02</v>
      </c>
      <c r="T81" s="22" t="n">
        <v>5411.05</v>
      </c>
      <c r="U81" s="21"/>
      <c r="V81" s="21" t="s">
        <v>132</v>
      </c>
      <c r="W81" s="21" t="s">
        <v>104</v>
      </c>
      <c r="X81" s="21"/>
      <c r="Y81" s="21" t="s">
        <v>105</v>
      </c>
      <c r="Z81" s="21" t="s">
        <v>133</v>
      </c>
      <c r="AA81" s="21" t="s">
        <v>134</v>
      </c>
      <c r="AB81" s="21" t="s">
        <v>135</v>
      </c>
      <c r="AC81" s="21" t="s">
        <v>136</v>
      </c>
      <c r="AD81" s="21" t="s">
        <v>166</v>
      </c>
      <c r="AE81" s="21" t="s">
        <v>142</v>
      </c>
    </row>
    <row r="82" customFormat="false" ht="15" hidden="false" customHeight="false" outlineLevel="0" collapsed="false">
      <c r="A82" s="21" t="s">
        <v>165</v>
      </c>
      <c r="B82" s="21" t="s">
        <v>143</v>
      </c>
      <c r="C82" s="21" t="s">
        <v>129</v>
      </c>
      <c r="D82" s="21" t="s">
        <v>130</v>
      </c>
      <c r="E82" s="21" t="s">
        <v>131</v>
      </c>
      <c r="F82" s="22" t="n">
        <v>2191.61</v>
      </c>
      <c r="G82" s="22" t="n">
        <v>2306.57</v>
      </c>
      <c r="H82" s="22" t="n">
        <v>2387.19</v>
      </c>
      <c r="I82" s="22" t="n">
        <v>2404.75</v>
      </c>
      <c r="J82" s="22" t="n">
        <v>2438.51</v>
      </c>
      <c r="K82" s="22" t="n">
        <v>2650.94</v>
      </c>
      <c r="L82" s="22" t="n">
        <v>2859.5</v>
      </c>
      <c r="M82" s="22" t="n">
        <v>3010.49</v>
      </c>
      <c r="N82" s="22" t="n">
        <v>3038.18</v>
      </c>
      <c r="O82" s="22" t="n">
        <v>3053.24</v>
      </c>
      <c r="P82" s="22" t="n">
        <v>3068.16</v>
      </c>
      <c r="Q82" s="22" t="n">
        <v>3116.02</v>
      </c>
      <c r="R82" s="22" t="n">
        <v>3194.97</v>
      </c>
      <c r="S82" s="22" t="n">
        <v>3277.07</v>
      </c>
      <c r="T82" s="22" t="n">
        <v>3366.38</v>
      </c>
      <c r="U82" s="21"/>
      <c r="V82" s="21" t="s">
        <v>132</v>
      </c>
      <c r="W82" s="21" t="s">
        <v>104</v>
      </c>
      <c r="X82" s="21"/>
      <c r="Y82" s="21" t="s">
        <v>105</v>
      </c>
      <c r="Z82" s="21" t="s">
        <v>133</v>
      </c>
      <c r="AA82" s="21" t="s">
        <v>134</v>
      </c>
      <c r="AB82" s="21" t="s">
        <v>135</v>
      </c>
      <c r="AC82" s="21" t="s">
        <v>136</v>
      </c>
      <c r="AD82" s="21" t="s">
        <v>166</v>
      </c>
      <c r="AE82" s="21" t="s">
        <v>144</v>
      </c>
    </row>
    <row r="83" customFormat="false" ht="15" hidden="false" customHeight="false" outlineLevel="0" collapsed="false">
      <c r="A83" s="21" t="s">
        <v>165</v>
      </c>
      <c r="B83" s="21" t="s">
        <v>67</v>
      </c>
      <c r="C83" s="21" t="s">
        <v>129</v>
      </c>
      <c r="D83" s="21" t="s">
        <v>130</v>
      </c>
      <c r="E83" s="21" t="s">
        <v>131</v>
      </c>
      <c r="F83" s="22" t="n">
        <v>45343.33</v>
      </c>
      <c r="G83" s="22" t="n">
        <v>44074</v>
      </c>
      <c r="H83" s="22" t="n">
        <v>50012.69</v>
      </c>
      <c r="I83" s="22" t="n">
        <v>51613.73</v>
      </c>
      <c r="J83" s="22" t="n">
        <v>52355.29</v>
      </c>
      <c r="K83" s="22" t="n">
        <v>57130.59</v>
      </c>
      <c r="L83" s="22" t="n">
        <v>62844.63</v>
      </c>
      <c r="M83" s="22" t="n">
        <v>66992.23</v>
      </c>
      <c r="N83" s="22" t="n">
        <v>69594.13</v>
      </c>
      <c r="O83" s="22" t="n">
        <v>71317.09</v>
      </c>
      <c r="P83" s="22" t="n">
        <v>72644.75</v>
      </c>
      <c r="Q83" s="22" t="n">
        <v>73610.64</v>
      </c>
      <c r="R83" s="22" t="n">
        <v>74640.59</v>
      </c>
      <c r="S83" s="22" t="n">
        <v>75385.59</v>
      </c>
      <c r="T83" s="22" t="n">
        <v>76165.57</v>
      </c>
      <c r="U83" s="21"/>
      <c r="V83" s="21" t="s">
        <v>132</v>
      </c>
      <c r="W83" s="21" t="s">
        <v>104</v>
      </c>
      <c r="X83" s="21"/>
      <c r="Y83" s="21" t="s">
        <v>105</v>
      </c>
      <c r="Z83" s="21" t="s">
        <v>133</v>
      </c>
      <c r="AA83" s="21" t="s">
        <v>134</v>
      </c>
      <c r="AB83" s="21" t="s">
        <v>135</v>
      </c>
      <c r="AC83" s="21" t="s">
        <v>136</v>
      </c>
      <c r="AD83" s="21" t="s">
        <v>166</v>
      </c>
      <c r="AE83" s="21" t="s">
        <v>145</v>
      </c>
    </row>
    <row r="84" customFormat="false" ht="15" hidden="false" customHeight="false" outlineLevel="0" collapsed="false">
      <c r="A84" s="21" t="s">
        <v>165</v>
      </c>
      <c r="B84" s="21" t="s">
        <v>146</v>
      </c>
      <c r="C84" s="21" t="s">
        <v>129</v>
      </c>
      <c r="D84" s="21" t="s">
        <v>130</v>
      </c>
      <c r="E84" s="21" t="s">
        <v>131</v>
      </c>
      <c r="F84" s="22" t="n">
        <v>1233.56</v>
      </c>
      <c r="G84" s="22" t="n">
        <v>1223.8</v>
      </c>
      <c r="H84" s="22" t="n">
        <v>1233.38</v>
      </c>
      <c r="I84" s="22" t="n">
        <v>1335.1</v>
      </c>
      <c r="J84" s="22" t="n">
        <v>1390.47</v>
      </c>
      <c r="K84" s="22" t="n">
        <v>1484.56</v>
      </c>
      <c r="L84" s="22" t="n">
        <v>1564.67</v>
      </c>
      <c r="M84" s="22" t="n">
        <v>1675.59</v>
      </c>
      <c r="N84" s="22" t="n">
        <v>1748.09</v>
      </c>
      <c r="O84" s="22" t="n">
        <v>1848.07</v>
      </c>
      <c r="P84" s="22" t="n">
        <v>1951</v>
      </c>
      <c r="Q84" s="22" t="n">
        <v>2012.27</v>
      </c>
      <c r="R84" s="22" t="n">
        <v>2089.42</v>
      </c>
      <c r="S84" s="22" t="n">
        <v>2188.34</v>
      </c>
      <c r="T84" s="22" t="n">
        <v>2258.59</v>
      </c>
      <c r="U84" s="21"/>
      <c r="V84" s="21" t="s">
        <v>132</v>
      </c>
      <c r="W84" s="21" t="s">
        <v>104</v>
      </c>
      <c r="X84" s="21"/>
      <c r="Y84" s="21" t="s">
        <v>105</v>
      </c>
      <c r="Z84" s="21" t="s">
        <v>133</v>
      </c>
      <c r="AA84" s="21" t="s">
        <v>134</v>
      </c>
      <c r="AB84" s="21" t="s">
        <v>135</v>
      </c>
      <c r="AC84" s="21" t="s">
        <v>136</v>
      </c>
      <c r="AD84" s="21" t="s">
        <v>166</v>
      </c>
      <c r="AE84" s="21" t="s">
        <v>147</v>
      </c>
    </row>
    <row r="85" customFormat="false" ht="15" hidden="false" customHeight="false" outlineLevel="0" collapsed="false">
      <c r="A85" s="21" t="s">
        <v>165</v>
      </c>
      <c r="B85" s="21" t="s">
        <v>74</v>
      </c>
      <c r="C85" s="21" t="s">
        <v>129</v>
      </c>
      <c r="D85" s="21" t="s">
        <v>130</v>
      </c>
      <c r="E85" s="21" t="s">
        <v>131</v>
      </c>
      <c r="F85" s="22" t="n">
        <v>35344.87</v>
      </c>
      <c r="G85" s="22" t="n">
        <v>33613.48</v>
      </c>
      <c r="H85" s="22" t="n">
        <v>38276.8</v>
      </c>
      <c r="I85" s="22" t="n">
        <v>40132.8</v>
      </c>
      <c r="J85" s="22" t="n">
        <v>41105.84</v>
      </c>
      <c r="K85" s="22" t="n">
        <v>44835.73</v>
      </c>
      <c r="L85" s="22" t="n">
        <v>49986.75</v>
      </c>
      <c r="M85" s="22" t="n">
        <v>53372.04</v>
      </c>
      <c r="N85" s="22" t="n">
        <v>55744.41</v>
      </c>
      <c r="O85" s="22" t="n">
        <v>57384.84</v>
      </c>
      <c r="P85" s="22" t="n">
        <v>58643.48</v>
      </c>
      <c r="Q85" s="22" t="n">
        <v>59431.33</v>
      </c>
      <c r="R85" s="22" t="n">
        <v>60205.71</v>
      </c>
      <c r="S85" s="22" t="n">
        <v>60743.57</v>
      </c>
      <c r="T85" s="22" t="n">
        <v>61400.25</v>
      </c>
      <c r="U85" s="21"/>
      <c r="V85" s="21" t="s">
        <v>132</v>
      </c>
      <c r="W85" s="21" t="s">
        <v>104</v>
      </c>
      <c r="X85" s="21"/>
      <c r="Y85" s="21" t="s">
        <v>105</v>
      </c>
      <c r="Z85" s="21" t="s">
        <v>133</v>
      </c>
      <c r="AA85" s="21" t="s">
        <v>134</v>
      </c>
      <c r="AB85" s="21" t="s">
        <v>135</v>
      </c>
      <c r="AC85" s="21" t="s">
        <v>136</v>
      </c>
      <c r="AD85" s="21" t="s">
        <v>166</v>
      </c>
      <c r="AE85" s="21" t="s">
        <v>148</v>
      </c>
    </row>
    <row r="86" customFormat="false" ht="15" hidden="false" customHeight="false" outlineLevel="0" collapsed="false">
      <c r="A86" s="21" t="s">
        <v>165</v>
      </c>
      <c r="B86" s="21" t="s">
        <v>71</v>
      </c>
      <c r="C86" s="21" t="s">
        <v>129</v>
      </c>
      <c r="D86" s="21" t="s">
        <v>130</v>
      </c>
      <c r="E86" s="21" t="s">
        <v>131</v>
      </c>
      <c r="F86" s="22" t="n">
        <v>24550.87</v>
      </c>
      <c r="G86" s="22" t="n">
        <v>23937.56</v>
      </c>
      <c r="H86" s="22" t="n">
        <v>27171.79</v>
      </c>
      <c r="I86" s="22" t="n">
        <v>28349.72</v>
      </c>
      <c r="J86" s="22" t="n">
        <v>28585.65</v>
      </c>
      <c r="K86" s="22" t="n">
        <v>30723.84</v>
      </c>
      <c r="L86" s="22" t="n">
        <v>30204.78</v>
      </c>
      <c r="M86" s="22" t="n">
        <v>29502.94</v>
      </c>
      <c r="N86" s="22" t="n">
        <v>30825.3</v>
      </c>
      <c r="O86" s="22" t="n">
        <v>32869.39</v>
      </c>
      <c r="P86" s="22" t="n">
        <v>34889.63</v>
      </c>
      <c r="Q86" s="22" t="n">
        <v>35991.93</v>
      </c>
      <c r="R86" s="22" t="n">
        <v>37013.28</v>
      </c>
      <c r="S86" s="22" t="n">
        <v>38685.23</v>
      </c>
      <c r="T86" s="22" t="n">
        <v>40725.27</v>
      </c>
      <c r="U86" s="21"/>
      <c r="V86" s="21" t="s">
        <v>132</v>
      </c>
      <c r="W86" s="21" t="s">
        <v>104</v>
      </c>
      <c r="X86" s="21"/>
      <c r="Y86" s="21" t="s">
        <v>105</v>
      </c>
      <c r="Z86" s="21" t="s">
        <v>133</v>
      </c>
      <c r="AA86" s="21" t="s">
        <v>134</v>
      </c>
      <c r="AB86" s="21" t="s">
        <v>135</v>
      </c>
      <c r="AC86" s="21" t="s">
        <v>136</v>
      </c>
      <c r="AD86" s="21" t="s">
        <v>166</v>
      </c>
      <c r="AE86" s="21" t="s">
        <v>149</v>
      </c>
    </row>
    <row r="87" customFormat="false" ht="15" hidden="false" customHeight="false" outlineLevel="0" collapsed="false">
      <c r="A87" s="21" t="s">
        <v>165</v>
      </c>
      <c r="B87" s="21" t="s">
        <v>81</v>
      </c>
      <c r="C87" s="21" t="s">
        <v>129</v>
      </c>
      <c r="D87" s="21" t="s">
        <v>130</v>
      </c>
      <c r="E87" s="21" t="s">
        <v>131</v>
      </c>
      <c r="F87" s="22" t="n">
        <v>8695.9</v>
      </c>
      <c r="G87" s="22" t="n">
        <v>8458.04</v>
      </c>
      <c r="H87" s="22" t="n">
        <v>8796.1</v>
      </c>
      <c r="I87" s="22" t="n">
        <v>9009.08</v>
      </c>
      <c r="J87" s="22" t="n">
        <v>9097.78</v>
      </c>
      <c r="K87" s="22" t="n">
        <v>9943.89</v>
      </c>
      <c r="L87" s="22" t="n">
        <v>10533.53</v>
      </c>
      <c r="M87" s="22" t="n">
        <v>11136.8</v>
      </c>
      <c r="N87" s="22" t="n">
        <v>11485.42</v>
      </c>
      <c r="O87" s="22" t="n">
        <v>11771.46</v>
      </c>
      <c r="P87" s="22" t="n">
        <v>12007.3</v>
      </c>
      <c r="Q87" s="22" t="n">
        <v>12255.48</v>
      </c>
      <c r="R87" s="22" t="n">
        <v>12555.76</v>
      </c>
      <c r="S87" s="22" t="n">
        <v>12836.68</v>
      </c>
      <c r="T87" s="22" t="n">
        <v>13139.78</v>
      </c>
      <c r="U87" s="21"/>
      <c r="V87" s="21" t="s">
        <v>132</v>
      </c>
      <c r="W87" s="21" t="s">
        <v>104</v>
      </c>
      <c r="X87" s="21"/>
      <c r="Y87" s="21" t="s">
        <v>105</v>
      </c>
      <c r="Z87" s="21" t="s">
        <v>133</v>
      </c>
      <c r="AA87" s="21" t="s">
        <v>134</v>
      </c>
      <c r="AB87" s="21" t="s">
        <v>135</v>
      </c>
      <c r="AC87" s="21" t="s">
        <v>136</v>
      </c>
      <c r="AD87" s="21" t="s">
        <v>166</v>
      </c>
      <c r="AE87" s="21" t="s">
        <v>150</v>
      </c>
    </row>
    <row r="88" customFormat="false" ht="15" hidden="false" customHeight="false" outlineLevel="0" collapsed="false">
      <c r="A88" s="21" t="s">
        <v>165</v>
      </c>
      <c r="B88" s="21" t="s">
        <v>78</v>
      </c>
      <c r="C88" s="21" t="s">
        <v>129</v>
      </c>
      <c r="D88" s="21" t="s">
        <v>130</v>
      </c>
      <c r="E88" s="21" t="s">
        <v>131</v>
      </c>
      <c r="F88" s="22" t="n">
        <v>17919.5</v>
      </c>
      <c r="G88" s="22" t="n">
        <v>17952</v>
      </c>
      <c r="H88" s="22" t="n">
        <v>20452.08</v>
      </c>
      <c r="I88" s="22" t="n">
        <v>21186.46</v>
      </c>
      <c r="J88" s="22" t="n">
        <v>21300.92</v>
      </c>
      <c r="K88" s="22" t="n">
        <v>23491.79</v>
      </c>
      <c r="L88" s="22" t="n">
        <v>23190.63</v>
      </c>
      <c r="M88" s="22" t="n">
        <v>22721.62</v>
      </c>
      <c r="N88" s="22" t="n">
        <v>23670.83</v>
      </c>
      <c r="O88" s="22" t="n">
        <v>25285.47</v>
      </c>
      <c r="P88" s="22" t="n">
        <v>26925.27</v>
      </c>
      <c r="Q88" s="22" t="n">
        <v>27879.82</v>
      </c>
      <c r="R88" s="22" t="n">
        <v>28840.05</v>
      </c>
      <c r="S88" s="22" t="n">
        <v>30340.29</v>
      </c>
      <c r="T88" s="22" t="n">
        <v>32128.58</v>
      </c>
      <c r="U88" s="21"/>
      <c r="V88" s="21" t="s">
        <v>132</v>
      </c>
      <c r="W88" s="21" t="s">
        <v>104</v>
      </c>
      <c r="X88" s="21"/>
      <c r="Y88" s="21" t="s">
        <v>105</v>
      </c>
      <c r="Z88" s="21" t="s">
        <v>133</v>
      </c>
      <c r="AA88" s="21" t="s">
        <v>134</v>
      </c>
      <c r="AB88" s="21" t="s">
        <v>135</v>
      </c>
      <c r="AC88" s="21" t="s">
        <v>136</v>
      </c>
      <c r="AD88" s="21" t="s">
        <v>166</v>
      </c>
      <c r="AE88" s="21" t="s">
        <v>151</v>
      </c>
    </row>
    <row r="89" customFormat="false" ht="15" hidden="false" customHeight="false" outlineLevel="0" collapsed="false">
      <c r="A89" s="21" t="s">
        <v>165</v>
      </c>
      <c r="B89" s="21" t="s">
        <v>85</v>
      </c>
      <c r="C89" s="21" t="s">
        <v>129</v>
      </c>
      <c r="D89" s="21" t="s">
        <v>130</v>
      </c>
      <c r="E89" s="21" t="s">
        <v>131</v>
      </c>
      <c r="F89" s="22" t="n">
        <v>5996.24</v>
      </c>
      <c r="G89" s="22" t="n">
        <v>5777.23</v>
      </c>
      <c r="H89" s="22" t="n">
        <v>5971.78</v>
      </c>
      <c r="I89" s="22" t="n">
        <v>6327.1</v>
      </c>
      <c r="J89" s="22" t="n">
        <v>6608.29</v>
      </c>
      <c r="K89" s="22" t="n">
        <v>7121.6</v>
      </c>
      <c r="L89" s="22" t="n">
        <v>7384.03</v>
      </c>
      <c r="M89" s="22" t="n">
        <v>7937.97</v>
      </c>
      <c r="N89" s="22" t="n">
        <v>8305.95</v>
      </c>
      <c r="O89" s="22" t="n">
        <v>8767.87</v>
      </c>
      <c r="P89" s="22" t="n">
        <v>9218.51</v>
      </c>
      <c r="Q89" s="22" t="n">
        <v>9441.05</v>
      </c>
      <c r="R89" s="22" t="n">
        <v>9764.93</v>
      </c>
      <c r="S89" s="22" t="n">
        <v>10251.95</v>
      </c>
      <c r="T89" s="22" t="n">
        <v>10562.06</v>
      </c>
      <c r="U89" s="21"/>
      <c r="V89" s="21" t="s">
        <v>132</v>
      </c>
      <c r="W89" s="21" t="s">
        <v>104</v>
      </c>
      <c r="X89" s="21"/>
      <c r="Y89" s="21" t="s">
        <v>105</v>
      </c>
      <c r="Z89" s="21" t="s">
        <v>133</v>
      </c>
      <c r="AA89" s="21" t="s">
        <v>134</v>
      </c>
      <c r="AB89" s="21" t="s">
        <v>135</v>
      </c>
      <c r="AC89" s="21" t="s">
        <v>136</v>
      </c>
      <c r="AD89" s="21" t="s">
        <v>166</v>
      </c>
      <c r="AE89" s="21" t="s">
        <v>152</v>
      </c>
    </row>
    <row r="90" customFormat="false" ht="15" hidden="false" customHeight="false" outlineLevel="0" collapsed="false">
      <c r="A90" s="21" t="s">
        <v>165</v>
      </c>
      <c r="B90" s="21" t="s">
        <v>153</v>
      </c>
      <c r="C90" s="21" t="s">
        <v>129</v>
      </c>
      <c r="D90" s="21" t="s">
        <v>130</v>
      </c>
      <c r="E90" s="21" t="s">
        <v>131</v>
      </c>
      <c r="F90" s="22" t="n">
        <v>1258.38</v>
      </c>
      <c r="G90" s="22" t="n">
        <v>1515.36</v>
      </c>
      <c r="H90" s="22" t="n">
        <v>2083.66</v>
      </c>
      <c r="I90" s="22" t="n">
        <v>2398.26</v>
      </c>
      <c r="J90" s="22" t="n">
        <v>2497.81</v>
      </c>
      <c r="K90" s="22" t="n">
        <v>2658.68</v>
      </c>
      <c r="L90" s="22" t="n">
        <v>2709.38</v>
      </c>
      <c r="M90" s="22" t="n">
        <v>2818.32</v>
      </c>
      <c r="N90" s="22" t="n">
        <v>2993.68</v>
      </c>
      <c r="O90" s="22" t="n">
        <v>3162.91</v>
      </c>
      <c r="P90" s="22" t="n">
        <v>3276.03</v>
      </c>
      <c r="Q90" s="22" t="n">
        <v>3358.47</v>
      </c>
      <c r="R90" s="22" t="n">
        <v>3448.69</v>
      </c>
      <c r="S90" s="22" t="n">
        <v>3537.41</v>
      </c>
      <c r="T90" s="22" t="n">
        <v>3632.39</v>
      </c>
      <c r="U90" s="21"/>
      <c r="V90" s="21" t="s">
        <v>132</v>
      </c>
      <c r="W90" s="21" t="s">
        <v>104</v>
      </c>
      <c r="X90" s="21"/>
      <c r="Y90" s="21" t="s">
        <v>105</v>
      </c>
      <c r="Z90" s="21" t="s">
        <v>133</v>
      </c>
      <c r="AA90" s="21" t="s">
        <v>134</v>
      </c>
      <c r="AB90" s="21" t="s">
        <v>135</v>
      </c>
      <c r="AC90" s="21" t="s">
        <v>136</v>
      </c>
      <c r="AD90" s="21" t="s">
        <v>166</v>
      </c>
      <c r="AE90" s="21" t="s">
        <v>154</v>
      </c>
    </row>
    <row r="91" customFormat="false" ht="15" hidden="false" customHeight="false" outlineLevel="0" collapsed="false">
      <c r="A91" s="21" t="s">
        <v>167</v>
      </c>
      <c r="B91" s="21" t="s">
        <v>128</v>
      </c>
      <c r="C91" s="21" t="s">
        <v>129</v>
      </c>
      <c r="D91" s="21" t="s">
        <v>130</v>
      </c>
      <c r="E91" s="21" t="s">
        <v>131</v>
      </c>
      <c r="F91" s="22" t="n">
        <v>55.6</v>
      </c>
      <c r="G91" s="22" t="n">
        <v>54.44</v>
      </c>
      <c r="H91" s="22" t="n">
        <v>52.46</v>
      </c>
      <c r="I91" s="22" t="n">
        <v>49.7</v>
      </c>
      <c r="J91" s="22" t="n">
        <v>47.35</v>
      </c>
      <c r="K91" s="22" t="n">
        <v>43.65</v>
      </c>
      <c r="L91" s="22" t="n">
        <v>44.54</v>
      </c>
      <c r="M91" s="22" t="n">
        <v>44.87</v>
      </c>
      <c r="N91" s="22" t="n">
        <v>45.04</v>
      </c>
      <c r="O91" s="22" t="n">
        <v>45.12</v>
      </c>
      <c r="P91" s="22" t="n">
        <v>45.32</v>
      </c>
      <c r="Q91" s="22" t="n">
        <v>45.52</v>
      </c>
      <c r="R91" s="22" t="n">
        <v>45.69</v>
      </c>
      <c r="S91" s="22" t="n">
        <v>45.78</v>
      </c>
      <c r="T91" s="22" t="n">
        <v>45.91</v>
      </c>
      <c r="U91" s="21"/>
      <c r="V91" s="21" t="s">
        <v>132</v>
      </c>
      <c r="W91" s="21" t="s">
        <v>104</v>
      </c>
      <c r="X91" s="21"/>
      <c r="Y91" s="21" t="s">
        <v>105</v>
      </c>
      <c r="Z91" s="21" t="s">
        <v>133</v>
      </c>
      <c r="AA91" s="21" t="s">
        <v>134</v>
      </c>
      <c r="AB91" s="21" t="s">
        <v>135</v>
      </c>
      <c r="AC91" s="21" t="s">
        <v>136</v>
      </c>
      <c r="AD91" s="21" t="s">
        <v>168</v>
      </c>
      <c r="AE91" s="21" t="s">
        <v>138</v>
      </c>
    </row>
    <row r="92" customFormat="false" ht="15" hidden="false" customHeight="false" outlineLevel="0" collapsed="false">
      <c r="A92" s="21" t="s">
        <v>167</v>
      </c>
      <c r="B92" s="21" t="s">
        <v>139</v>
      </c>
      <c r="C92" s="21" t="s">
        <v>129</v>
      </c>
      <c r="D92" s="21" t="s">
        <v>130</v>
      </c>
      <c r="E92" s="21" t="s">
        <v>131</v>
      </c>
      <c r="F92" s="22" t="n">
        <v>341.96</v>
      </c>
      <c r="G92" s="22" t="n">
        <v>319.03</v>
      </c>
      <c r="H92" s="22" t="n">
        <v>302.69</v>
      </c>
      <c r="I92" s="22" t="n">
        <v>230.66</v>
      </c>
      <c r="J92" s="22" t="n">
        <v>274.87</v>
      </c>
      <c r="K92" s="22" t="n">
        <v>259.87</v>
      </c>
      <c r="L92" s="22" t="n">
        <v>261.91</v>
      </c>
      <c r="M92" s="22" t="n">
        <v>262.16</v>
      </c>
      <c r="N92" s="22" t="n">
        <v>261.78</v>
      </c>
      <c r="O92" s="22" t="n">
        <v>261.76</v>
      </c>
      <c r="P92" s="22" t="n">
        <v>262.36</v>
      </c>
      <c r="Q92" s="22" t="n">
        <v>263.64</v>
      </c>
      <c r="R92" s="22" t="n">
        <v>265.02</v>
      </c>
      <c r="S92" s="22" t="n">
        <v>266.26</v>
      </c>
      <c r="T92" s="22" t="n">
        <v>267.41</v>
      </c>
      <c r="U92" s="21"/>
      <c r="V92" s="21" t="s">
        <v>132</v>
      </c>
      <c r="W92" s="21" t="s">
        <v>104</v>
      </c>
      <c r="X92" s="21"/>
      <c r="Y92" s="21" t="s">
        <v>105</v>
      </c>
      <c r="Z92" s="21" t="s">
        <v>133</v>
      </c>
      <c r="AA92" s="21" t="s">
        <v>134</v>
      </c>
      <c r="AB92" s="21" t="s">
        <v>135</v>
      </c>
      <c r="AC92" s="21" t="s">
        <v>136</v>
      </c>
      <c r="AD92" s="21" t="s">
        <v>168</v>
      </c>
      <c r="AE92" s="21" t="s">
        <v>140</v>
      </c>
    </row>
    <row r="93" customFormat="false" ht="15" hidden="false" customHeight="false" outlineLevel="0" collapsed="false">
      <c r="A93" s="21" t="s">
        <v>167</v>
      </c>
      <c r="B93" s="21" t="s">
        <v>141</v>
      </c>
      <c r="C93" s="21" t="s">
        <v>129</v>
      </c>
      <c r="D93" s="21" t="s">
        <v>130</v>
      </c>
      <c r="E93" s="21" t="s">
        <v>131</v>
      </c>
      <c r="F93" s="22" t="n">
        <v>305.52</v>
      </c>
      <c r="G93" s="22" t="n">
        <v>304.23</v>
      </c>
      <c r="H93" s="22" t="n">
        <v>288.24</v>
      </c>
      <c r="I93" s="22" t="n">
        <v>271.8</v>
      </c>
      <c r="J93" s="22" t="n">
        <v>258.86</v>
      </c>
      <c r="K93" s="22" t="n">
        <v>249.58</v>
      </c>
      <c r="L93" s="22" t="n">
        <v>262.25</v>
      </c>
      <c r="M93" s="22" t="n">
        <v>269.29</v>
      </c>
      <c r="N93" s="22" t="n">
        <v>272.94</v>
      </c>
      <c r="O93" s="22" t="n">
        <v>275.3</v>
      </c>
      <c r="P93" s="22" t="n">
        <v>277.79</v>
      </c>
      <c r="Q93" s="22" t="n">
        <v>281.03</v>
      </c>
      <c r="R93" s="22" t="n">
        <v>284.21</v>
      </c>
      <c r="S93" s="22" t="n">
        <v>287.07</v>
      </c>
      <c r="T93" s="22" t="n">
        <v>289.47</v>
      </c>
      <c r="U93" s="21"/>
      <c r="V93" s="21" t="s">
        <v>132</v>
      </c>
      <c r="W93" s="21" t="s">
        <v>104</v>
      </c>
      <c r="X93" s="21"/>
      <c r="Y93" s="21" t="s">
        <v>105</v>
      </c>
      <c r="Z93" s="21" t="s">
        <v>133</v>
      </c>
      <c r="AA93" s="21" t="s">
        <v>134</v>
      </c>
      <c r="AB93" s="21" t="s">
        <v>135</v>
      </c>
      <c r="AC93" s="21" t="s">
        <v>136</v>
      </c>
      <c r="AD93" s="21" t="s">
        <v>168</v>
      </c>
      <c r="AE93" s="21" t="s">
        <v>142</v>
      </c>
    </row>
    <row r="94" customFormat="false" ht="15" hidden="false" customHeight="false" outlineLevel="0" collapsed="false">
      <c r="A94" s="21" t="s">
        <v>167</v>
      </c>
      <c r="B94" s="21" t="s">
        <v>143</v>
      </c>
      <c r="C94" s="21" t="s">
        <v>129</v>
      </c>
      <c r="D94" s="21" t="s">
        <v>130</v>
      </c>
      <c r="E94" s="21" t="s">
        <v>131</v>
      </c>
      <c r="F94" s="22" t="n">
        <v>214.43</v>
      </c>
      <c r="G94" s="22" t="n">
        <v>195.12</v>
      </c>
      <c r="H94" s="22" t="n">
        <v>244.36</v>
      </c>
      <c r="I94" s="22" t="n">
        <v>257.97</v>
      </c>
      <c r="J94" s="22" t="n">
        <v>177.81</v>
      </c>
      <c r="K94" s="22" t="n">
        <v>184.04</v>
      </c>
      <c r="L94" s="22" t="n">
        <v>205.93</v>
      </c>
      <c r="M94" s="22" t="n">
        <v>209.63</v>
      </c>
      <c r="N94" s="22" t="n">
        <v>208.59</v>
      </c>
      <c r="O94" s="22" t="n">
        <v>207.8</v>
      </c>
      <c r="P94" s="22" t="n">
        <v>209.19</v>
      </c>
      <c r="Q94" s="22" t="n">
        <v>210.94</v>
      </c>
      <c r="R94" s="22" t="n">
        <v>212.65</v>
      </c>
      <c r="S94" s="22" t="n">
        <v>214.11</v>
      </c>
      <c r="T94" s="22" t="n">
        <v>215.49</v>
      </c>
      <c r="U94" s="21"/>
      <c r="V94" s="21" t="s">
        <v>132</v>
      </c>
      <c r="W94" s="21" t="s">
        <v>104</v>
      </c>
      <c r="X94" s="21"/>
      <c r="Y94" s="21" t="s">
        <v>105</v>
      </c>
      <c r="Z94" s="21" t="s">
        <v>133</v>
      </c>
      <c r="AA94" s="21" t="s">
        <v>134</v>
      </c>
      <c r="AB94" s="21" t="s">
        <v>135</v>
      </c>
      <c r="AC94" s="21" t="s">
        <v>136</v>
      </c>
      <c r="AD94" s="21" t="s">
        <v>168</v>
      </c>
      <c r="AE94" s="21" t="s">
        <v>144</v>
      </c>
    </row>
    <row r="95" customFormat="false" ht="15" hidden="false" customHeight="false" outlineLevel="0" collapsed="false">
      <c r="A95" s="21" t="s">
        <v>167</v>
      </c>
      <c r="B95" s="21" t="s">
        <v>67</v>
      </c>
      <c r="C95" s="21" t="s">
        <v>129</v>
      </c>
      <c r="D95" s="21" t="s">
        <v>130</v>
      </c>
      <c r="E95" s="21" t="s">
        <v>131</v>
      </c>
      <c r="F95" s="22" t="n">
        <v>3332.91</v>
      </c>
      <c r="G95" s="22" t="n">
        <v>3734.78</v>
      </c>
      <c r="H95" s="22" t="n">
        <v>3693.11</v>
      </c>
      <c r="I95" s="22" t="n">
        <v>2452.44</v>
      </c>
      <c r="J95" s="22" t="n">
        <v>1664.95</v>
      </c>
      <c r="K95" s="22" t="n">
        <v>1606.46</v>
      </c>
      <c r="L95" s="22" t="n">
        <v>1422.29</v>
      </c>
      <c r="M95" s="22" t="n">
        <v>1341.01</v>
      </c>
      <c r="N95" s="22" t="n">
        <v>1435.74</v>
      </c>
      <c r="O95" s="22" t="n">
        <v>1566.83</v>
      </c>
      <c r="P95" s="22" t="n">
        <v>1708.8</v>
      </c>
      <c r="Q95" s="22" t="n">
        <v>1849.57</v>
      </c>
      <c r="R95" s="22" t="n">
        <v>1965.77</v>
      </c>
      <c r="S95" s="22" t="n">
        <v>2056.29</v>
      </c>
      <c r="T95" s="22" t="n">
        <v>2120.64</v>
      </c>
      <c r="U95" s="21"/>
      <c r="V95" s="21" t="s">
        <v>132</v>
      </c>
      <c r="W95" s="21" t="s">
        <v>104</v>
      </c>
      <c r="X95" s="21"/>
      <c r="Y95" s="21" t="s">
        <v>105</v>
      </c>
      <c r="Z95" s="21" t="s">
        <v>133</v>
      </c>
      <c r="AA95" s="21" t="s">
        <v>134</v>
      </c>
      <c r="AB95" s="21" t="s">
        <v>135</v>
      </c>
      <c r="AC95" s="21" t="s">
        <v>136</v>
      </c>
      <c r="AD95" s="21" t="s">
        <v>168</v>
      </c>
      <c r="AE95" s="21" t="s">
        <v>145</v>
      </c>
    </row>
    <row r="96" customFormat="false" ht="15" hidden="false" customHeight="false" outlineLevel="0" collapsed="false">
      <c r="A96" s="21" t="s">
        <v>167</v>
      </c>
      <c r="B96" s="21" t="s">
        <v>146</v>
      </c>
      <c r="C96" s="21" t="s">
        <v>129</v>
      </c>
      <c r="D96" s="21" t="s">
        <v>130</v>
      </c>
      <c r="E96" s="21" t="s">
        <v>131</v>
      </c>
      <c r="F96" s="22" t="n">
        <v>170.59</v>
      </c>
      <c r="G96" s="22" t="n">
        <v>170.07</v>
      </c>
      <c r="H96" s="22" t="n">
        <v>167.65</v>
      </c>
      <c r="I96" s="22" t="n">
        <v>168.4</v>
      </c>
      <c r="J96" s="22" t="n">
        <v>152.67</v>
      </c>
      <c r="K96" s="22" t="n">
        <v>146.5</v>
      </c>
      <c r="L96" s="22" t="n">
        <v>155.82</v>
      </c>
      <c r="M96" s="22" t="n">
        <v>160.58</v>
      </c>
      <c r="N96" s="22" t="n">
        <v>161.56</v>
      </c>
      <c r="O96" s="22" t="n">
        <v>161.27</v>
      </c>
      <c r="P96" s="22" t="n">
        <v>161.08</v>
      </c>
      <c r="Q96" s="22" t="n">
        <v>161.65</v>
      </c>
      <c r="R96" s="22" t="n">
        <v>162.38</v>
      </c>
      <c r="S96" s="22" t="n">
        <v>162.95</v>
      </c>
      <c r="T96" s="22" t="n">
        <v>163.38</v>
      </c>
      <c r="U96" s="21"/>
      <c r="V96" s="21" t="s">
        <v>132</v>
      </c>
      <c r="W96" s="21" t="s">
        <v>104</v>
      </c>
      <c r="X96" s="21"/>
      <c r="Y96" s="21" t="s">
        <v>105</v>
      </c>
      <c r="Z96" s="21" t="s">
        <v>133</v>
      </c>
      <c r="AA96" s="21" t="s">
        <v>134</v>
      </c>
      <c r="AB96" s="21" t="s">
        <v>135</v>
      </c>
      <c r="AC96" s="21" t="s">
        <v>136</v>
      </c>
      <c r="AD96" s="21" t="s">
        <v>168</v>
      </c>
      <c r="AE96" s="21" t="s">
        <v>147</v>
      </c>
    </row>
    <row r="97" customFormat="false" ht="15" hidden="false" customHeight="false" outlineLevel="0" collapsed="false">
      <c r="A97" s="21" t="s">
        <v>167</v>
      </c>
      <c r="B97" s="21" t="s">
        <v>74</v>
      </c>
      <c r="C97" s="21" t="s">
        <v>129</v>
      </c>
      <c r="D97" s="21" t="s">
        <v>130</v>
      </c>
      <c r="E97" s="21" t="s">
        <v>131</v>
      </c>
      <c r="F97" s="22" t="n">
        <v>2659.19</v>
      </c>
      <c r="G97" s="22" t="n">
        <v>2921.77</v>
      </c>
      <c r="H97" s="22" t="n">
        <v>2893.73</v>
      </c>
      <c r="I97" s="22" t="n">
        <v>1985.53</v>
      </c>
      <c r="J97" s="22" t="n">
        <v>1319.12</v>
      </c>
      <c r="K97" s="22" t="n">
        <v>1268.35</v>
      </c>
      <c r="L97" s="22" t="n">
        <v>1112.33</v>
      </c>
      <c r="M97" s="22" t="n">
        <v>1035.29</v>
      </c>
      <c r="N97" s="22" t="n">
        <v>1108.76</v>
      </c>
      <c r="O97" s="22" t="n">
        <v>1218.04</v>
      </c>
      <c r="P97" s="22" t="n">
        <v>1332.77</v>
      </c>
      <c r="Q97" s="22" t="n">
        <v>1446.25</v>
      </c>
      <c r="R97" s="22" t="n">
        <v>1537.68</v>
      </c>
      <c r="S97" s="22" t="n">
        <v>1608.12</v>
      </c>
      <c r="T97" s="22" t="n">
        <v>1658.93</v>
      </c>
      <c r="U97" s="21"/>
      <c r="V97" s="21" t="s">
        <v>132</v>
      </c>
      <c r="W97" s="21" t="s">
        <v>104</v>
      </c>
      <c r="X97" s="21"/>
      <c r="Y97" s="21" t="s">
        <v>105</v>
      </c>
      <c r="Z97" s="21" t="s">
        <v>133</v>
      </c>
      <c r="AA97" s="21" t="s">
        <v>134</v>
      </c>
      <c r="AB97" s="21" t="s">
        <v>135</v>
      </c>
      <c r="AC97" s="21" t="s">
        <v>136</v>
      </c>
      <c r="AD97" s="21" t="s">
        <v>168</v>
      </c>
      <c r="AE97" s="21" t="s">
        <v>148</v>
      </c>
    </row>
    <row r="98" customFormat="false" ht="15" hidden="false" customHeight="false" outlineLevel="0" collapsed="false">
      <c r="A98" s="21" t="s">
        <v>167</v>
      </c>
      <c r="B98" s="21" t="s">
        <v>71</v>
      </c>
      <c r="C98" s="21" t="s">
        <v>129</v>
      </c>
      <c r="D98" s="21" t="s">
        <v>130</v>
      </c>
      <c r="E98" s="21" t="s">
        <v>131</v>
      </c>
      <c r="F98" s="22" t="n">
        <v>4371.11</v>
      </c>
      <c r="G98" s="22" t="n">
        <v>4257.75</v>
      </c>
      <c r="H98" s="22" t="n">
        <v>4172.82</v>
      </c>
      <c r="I98" s="22" t="n">
        <v>4151.23</v>
      </c>
      <c r="J98" s="22" t="n">
        <v>3944.41</v>
      </c>
      <c r="K98" s="22" t="n">
        <v>3852.97</v>
      </c>
      <c r="L98" s="22" t="n">
        <v>3895.12</v>
      </c>
      <c r="M98" s="22" t="n">
        <v>4256.06</v>
      </c>
      <c r="N98" s="22" t="n">
        <v>4466.57</v>
      </c>
      <c r="O98" s="22" t="n">
        <v>4539.39</v>
      </c>
      <c r="P98" s="22" t="n">
        <v>4570.51</v>
      </c>
      <c r="Q98" s="22" t="n">
        <v>4618.03</v>
      </c>
      <c r="R98" s="22" t="n">
        <v>4680.51</v>
      </c>
      <c r="S98" s="22" t="n">
        <v>4738.97</v>
      </c>
      <c r="T98" s="22" t="n">
        <v>4773.2</v>
      </c>
      <c r="U98" s="21"/>
      <c r="V98" s="21" t="s">
        <v>132</v>
      </c>
      <c r="W98" s="21" t="s">
        <v>104</v>
      </c>
      <c r="X98" s="21"/>
      <c r="Y98" s="21" t="s">
        <v>105</v>
      </c>
      <c r="Z98" s="21" t="s">
        <v>133</v>
      </c>
      <c r="AA98" s="21" t="s">
        <v>134</v>
      </c>
      <c r="AB98" s="21" t="s">
        <v>135</v>
      </c>
      <c r="AC98" s="21" t="s">
        <v>136</v>
      </c>
      <c r="AD98" s="21" t="s">
        <v>168</v>
      </c>
      <c r="AE98" s="21" t="s">
        <v>149</v>
      </c>
    </row>
    <row r="99" customFormat="false" ht="15" hidden="false" customHeight="false" outlineLevel="0" collapsed="false">
      <c r="A99" s="21" t="s">
        <v>167</v>
      </c>
      <c r="B99" s="21" t="s">
        <v>81</v>
      </c>
      <c r="C99" s="21" t="s">
        <v>129</v>
      </c>
      <c r="D99" s="21" t="s">
        <v>130</v>
      </c>
      <c r="E99" s="21" t="s">
        <v>131</v>
      </c>
      <c r="F99" s="22" t="n">
        <v>591.06</v>
      </c>
      <c r="G99" s="22" t="n">
        <v>545.53</v>
      </c>
      <c r="H99" s="22" t="n">
        <v>594.71</v>
      </c>
      <c r="I99" s="22" t="n">
        <v>528.85</v>
      </c>
      <c r="J99" s="22" t="n">
        <v>501.78</v>
      </c>
      <c r="K99" s="22" t="n">
        <v>488.34</v>
      </c>
      <c r="L99" s="22" t="n">
        <v>517.16</v>
      </c>
      <c r="M99" s="22" t="n">
        <v>525.21</v>
      </c>
      <c r="N99" s="22" t="n">
        <v>524.63</v>
      </c>
      <c r="O99" s="22" t="n">
        <v>523.95</v>
      </c>
      <c r="P99" s="22" t="n">
        <v>526.04</v>
      </c>
      <c r="Q99" s="22" t="n">
        <v>529.2</v>
      </c>
      <c r="R99" s="22" t="n">
        <v>532.36</v>
      </c>
      <c r="S99" s="22" t="n">
        <v>535.03</v>
      </c>
      <c r="T99" s="22" t="n">
        <v>537.56</v>
      </c>
      <c r="U99" s="21"/>
      <c r="V99" s="21" t="s">
        <v>132</v>
      </c>
      <c r="W99" s="21" t="s">
        <v>104</v>
      </c>
      <c r="X99" s="21"/>
      <c r="Y99" s="21" t="s">
        <v>105</v>
      </c>
      <c r="Z99" s="21" t="s">
        <v>133</v>
      </c>
      <c r="AA99" s="21" t="s">
        <v>134</v>
      </c>
      <c r="AB99" s="21" t="s">
        <v>135</v>
      </c>
      <c r="AC99" s="21" t="s">
        <v>136</v>
      </c>
      <c r="AD99" s="21" t="s">
        <v>168</v>
      </c>
      <c r="AE99" s="21" t="s">
        <v>150</v>
      </c>
    </row>
    <row r="100" customFormat="false" ht="15" hidden="false" customHeight="false" outlineLevel="0" collapsed="false">
      <c r="A100" s="21" t="s">
        <v>167</v>
      </c>
      <c r="B100" s="21" t="s">
        <v>78</v>
      </c>
      <c r="C100" s="21" t="s">
        <v>129</v>
      </c>
      <c r="D100" s="21" t="s">
        <v>130</v>
      </c>
      <c r="E100" s="21" t="s">
        <v>131</v>
      </c>
      <c r="F100" s="22" t="n">
        <v>2708.66</v>
      </c>
      <c r="G100" s="22" t="n">
        <v>2683.39</v>
      </c>
      <c r="H100" s="22" t="n">
        <v>2639.12</v>
      </c>
      <c r="I100" s="22" t="n">
        <v>2641.29</v>
      </c>
      <c r="J100" s="22" t="n">
        <v>2542.03</v>
      </c>
      <c r="K100" s="22" t="n">
        <v>2498.6</v>
      </c>
      <c r="L100" s="22" t="n">
        <v>2562.88</v>
      </c>
      <c r="M100" s="22" t="n">
        <v>2826.57</v>
      </c>
      <c r="N100" s="22" t="n">
        <v>2958.44</v>
      </c>
      <c r="O100" s="22" t="n">
        <v>2991.6</v>
      </c>
      <c r="P100" s="22" t="n">
        <v>2999.88</v>
      </c>
      <c r="Q100" s="22" t="n">
        <v>3013.22</v>
      </c>
      <c r="R100" s="22" t="n">
        <v>3041.77</v>
      </c>
      <c r="S100" s="22" t="n">
        <v>3074.54</v>
      </c>
      <c r="T100" s="22" t="n">
        <v>3098.22</v>
      </c>
      <c r="U100" s="21"/>
      <c r="V100" s="21" t="s">
        <v>132</v>
      </c>
      <c r="W100" s="21" t="s">
        <v>104</v>
      </c>
      <c r="X100" s="21"/>
      <c r="Y100" s="21" t="s">
        <v>105</v>
      </c>
      <c r="Z100" s="21" t="s">
        <v>133</v>
      </c>
      <c r="AA100" s="21" t="s">
        <v>134</v>
      </c>
      <c r="AB100" s="21" t="s">
        <v>135</v>
      </c>
      <c r="AC100" s="21" t="s">
        <v>136</v>
      </c>
      <c r="AD100" s="21" t="s">
        <v>168</v>
      </c>
      <c r="AE100" s="21" t="s">
        <v>151</v>
      </c>
    </row>
    <row r="101" customFormat="false" ht="15" hidden="false" customHeight="false" outlineLevel="0" collapsed="false">
      <c r="A101" s="21" t="s">
        <v>167</v>
      </c>
      <c r="B101" s="21" t="s">
        <v>85</v>
      </c>
      <c r="C101" s="21" t="s">
        <v>129</v>
      </c>
      <c r="D101" s="21" t="s">
        <v>130</v>
      </c>
      <c r="E101" s="21" t="s">
        <v>131</v>
      </c>
      <c r="F101" s="22" t="n">
        <v>531.72</v>
      </c>
      <c r="G101" s="22" t="n">
        <v>528.74</v>
      </c>
      <c r="H101" s="22" t="n">
        <v>508.35</v>
      </c>
      <c r="I101" s="22" t="n">
        <v>489.9</v>
      </c>
      <c r="J101" s="22" t="n">
        <v>458.88</v>
      </c>
      <c r="K101" s="22" t="n">
        <v>439.73</v>
      </c>
      <c r="L101" s="22" t="n">
        <v>462.61</v>
      </c>
      <c r="M101" s="22" t="n">
        <v>474.74</v>
      </c>
      <c r="N101" s="22" t="n">
        <v>479.54</v>
      </c>
      <c r="O101" s="22" t="n">
        <v>481.69</v>
      </c>
      <c r="P101" s="22" t="n">
        <v>484.18</v>
      </c>
      <c r="Q101" s="22" t="n">
        <v>488.2</v>
      </c>
      <c r="R101" s="22" t="n">
        <v>492.29</v>
      </c>
      <c r="S101" s="22" t="n">
        <v>495.8</v>
      </c>
      <c r="T101" s="22" t="n">
        <v>498.76</v>
      </c>
      <c r="U101" s="21"/>
      <c r="V101" s="21" t="s">
        <v>132</v>
      </c>
      <c r="W101" s="21" t="s">
        <v>104</v>
      </c>
      <c r="X101" s="21"/>
      <c r="Y101" s="21" t="s">
        <v>105</v>
      </c>
      <c r="Z101" s="21" t="s">
        <v>133</v>
      </c>
      <c r="AA101" s="21" t="s">
        <v>134</v>
      </c>
      <c r="AB101" s="21" t="s">
        <v>135</v>
      </c>
      <c r="AC101" s="21" t="s">
        <v>136</v>
      </c>
      <c r="AD101" s="21" t="s">
        <v>168</v>
      </c>
      <c r="AE101" s="21" t="s">
        <v>152</v>
      </c>
    </row>
    <row r="102" customFormat="false" ht="15" hidden="false" customHeight="false" outlineLevel="0" collapsed="false">
      <c r="A102" s="21" t="s">
        <v>167</v>
      </c>
      <c r="B102" s="21" t="s">
        <v>153</v>
      </c>
      <c r="C102" s="21" t="s">
        <v>129</v>
      </c>
      <c r="D102" s="21" t="s">
        <v>130</v>
      </c>
      <c r="E102" s="21" t="s">
        <v>131</v>
      </c>
      <c r="F102" s="22" t="n">
        <v>34.67</v>
      </c>
      <c r="G102" s="22" t="n">
        <v>31.38</v>
      </c>
      <c r="H102" s="22" t="n">
        <v>47.67</v>
      </c>
      <c r="I102" s="22" t="n">
        <v>40.23</v>
      </c>
      <c r="J102" s="22" t="n">
        <v>49.1</v>
      </c>
      <c r="K102" s="22" t="n">
        <v>44.43</v>
      </c>
      <c r="L102" s="22" t="n">
        <v>49.32</v>
      </c>
      <c r="M102" s="22" t="n">
        <v>53.42</v>
      </c>
      <c r="N102" s="22" t="n">
        <v>54.26</v>
      </c>
      <c r="O102" s="22" t="n">
        <v>54.39</v>
      </c>
      <c r="P102" s="22" t="n">
        <v>54.5</v>
      </c>
      <c r="Q102" s="22" t="n">
        <v>54.62</v>
      </c>
      <c r="R102" s="22" t="n">
        <v>54.69</v>
      </c>
      <c r="S102" s="22" t="n">
        <v>54.65</v>
      </c>
      <c r="T102" s="22" t="n">
        <v>54.66</v>
      </c>
      <c r="U102" s="21"/>
      <c r="V102" s="21" t="s">
        <v>132</v>
      </c>
      <c r="W102" s="21" t="s">
        <v>104</v>
      </c>
      <c r="X102" s="21"/>
      <c r="Y102" s="21" t="s">
        <v>105</v>
      </c>
      <c r="Z102" s="21" t="s">
        <v>133</v>
      </c>
      <c r="AA102" s="21" t="s">
        <v>134</v>
      </c>
      <c r="AB102" s="21" t="s">
        <v>135</v>
      </c>
      <c r="AC102" s="21" t="s">
        <v>136</v>
      </c>
      <c r="AD102" s="21" t="s">
        <v>168</v>
      </c>
      <c r="AE102" s="21" t="s">
        <v>154</v>
      </c>
    </row>
    <row r="103" customFormat="false" ht="15" hidden="false" customHeight="false" outlineLevel="0" collapsed="false">
      <c r="A103" s="21" t="s">
        <v>169</v>
      </c>
      <c r="B103" s="21" t="s">
        <v>128</v>
      </c>
      <c r="C103" s="21" t="s">
        <v>129</v>
      </c>
      <c r="D103" s="21" t="s">
        <v>130</v>
      </c>
      <c r="E103" s="21" t="s">
        <v>131</v>
      </c>
      <c r="F103" s="22" t="n">
        <v>409.77</v>
      </c>
      <c r="G103" s="22" t="n">
        <v>404.71</v>
      </c>
      <c r="H103" s="22" t="n">
        <v>389.38</v>
      </c>
      <c r="I103" s="22" t="n">
        <v>425.62</v>
      </c>
      <c r="J103" s="22" t="n">
        <v>454.78</v>
      </c>
      <c r="K103" s="22" t="n">
        <v>448.89</v>
      </c>
      <c r="L103" s="22" t="n">
        <v>455.44</v>
      </c>
      <c r="M103" s="22" t="n">
        <v>460.94</v>
      </c>
      <c r="N103" s="22" t="n">
        <v>469.1</v>
      </c>
      <c r="O103" s="22" t="n">
        <v>474.53</v>
      </c>
      <c r="P103" s="22" t="n">
        <v>488.03</v>
      </c>
      <c r="Q103" s="22" t="n">
        <v>489.79</v>
      </c>
      <c r="R103" s="22" t="n">
        <v>493.28</v>
      </c>
      <c r="S103" s="22" t="n">
        <v>505.35</v>
      </c>
      <c r="T103" s="22" t="n">
        <v>508.14</v>
      </c>
      <c r="U103" s="21"/>
      <c r="V103" s="21" t="s">
        <v>132</v>
      </c>
      <c r="W103" s="21" t="s">
        <v>104</v>
      </c>
      <c r="X103" s="21"/>
      <c r="Y103" s="21" t="s">
        <v>105</v>
      </c>
      <c r="Z103" s="21" t="s">
        <v>133</v>
      </c>
      <c r="AA103" s="21" t="s">
        <v>134</v>
      </c>
      <c r="AB103" s="21" t="s">
        <v>135</v>
      </c>
      <c r="AC103" s="21" t="s">
        <v>136</v>
      </c>
      <c r="AD103" s="21" t="s">
        <v>170</v>
      </c>
      <c r="AE103" s="21" t="s">
        <v>138</v>
      </c>
    </row>
    <row r="104" customFormat="false" ht="15" hidden="false" customHeight="false" outlineLevel="0" collapsed="false">
      <c r="A104" s="21" t="s">
        <v>169</v>
      </c>
      <c r="B104" s="21" t="s">
        <v>139</v>
      </c>
      <c r="C104" s="21" t="s">
        <v>129</v>
      </c>
      <c r="D104" s="21" t="s">
        <v>130</v>
      </c>
      <c r="E104" s="21" t="s">
        <v>131</v>
      </c>
      <c r="F104" s="22" t="n">
        <v>5424.7</v>
      </c>
      <c r="G104" s="22" t="n">
        <v>5899.67</v>
      </c>
      <c r="H104" s="22" t="n">
        <v>6181.14</v>
      </c>
      <c r="I104" s="22" t="n">
        <v>5446.16</v>
      </c>
      <c r="J104" s="22" t="n">
        <v>5326.73</v>
      </c>
      <c r="K104" s="22" t="n">
        <v>4968.11</v>
      </c>
      <c r="L104" s="22" t="n">
        <v>5016.49</v>
      </c>
      <c r="M104" s="22" t="n">
        <v>4938.16</v>
      </c>
      <c r="N104" s="22" t="n">
        <v>4997.78</v>
      </c>
      <c r="O104" s="22" t="n">
        <v>5039.87</v>
      </c>
      <c r="P104" s="22" t="n">
        <v>5059.09</v>
      </c>
      <c r="Q104" s="22" t="n">
        <v>5098.72</v>
      </c>
      <c r="R104" s="22" t="n">
        <v>5157.8</v>
      </c>
      <c r="S104" s="22" t="n">
        <v>5209.89</v>
      </c>
      <c r="T104" s="22" t="n">
        <v>5261.67</v>
      </c>
      <c r="U104" s="21"/>
      <c r="V104" s="21" t="s">
        <v>132</v>
      </c>
      <c r="W104" s="21" t="s">
        <v>104</v>
      </c>
      <c r="X104" s="21"/>
      <c r="Y104" s="21" t="s">
        <v>105</v>
      </c>
      <c r="Z104" s="21" t="s">
        <v>133</v>
      </c>
      <c r="AA104" s="21" t="s">
        <v>134</v>
      </c>
      <c r="AB104" s="21" t="s">
        <v>135</v>
      </c>
      <c r="AC104" s="21" t="s">
        <v>136</v>
      </c>
      <c r="AD104" s="21" t="s">
        <v>170</v>
      </c>
      <c r="AE104" s="21" t="s">
        <v>140</v>
      </c>
    </row>
    <row r="105" customFormat="false" ht="15" hidden="false" customHeight="false" outlineLevel="0" collapsed="false">
      <c r="A105" s="21" t="s">
        <v>169</v>
      </c>
      <c r="B105" s="21" t="s">
        <v>141</v>
      </c>
      <c r="C105" s="21" t="s">
        <v>129</v>
      </c>
      <c r="D105" s="21" t="s">
        <v>130</v>
      </c>
      <c r="E105" s="21" t="s">
        <v>131</v>
      </c>
      <c r="F105" s="22" t="n">
        <v>5879.8</v>
      </c>
      <c r="G105" s="22" t="n">
        <v>6164.31</v>
      </c>
      <c r="H105" s="22" t="n">
        <v>6116.14</v>
      </c>
      <c r="I105" s="22" t="n">
        <v>6613.28</v>
      </c>
      <c r="J105" s="22" t="n">
        <v>7158.35</v>
      </c>
      <c r="K105" s="22" t="n">
        <v>7006.74</v>
      </c>
      <c r="L105" s="22" t="n">
        <v>7096.7</v>
      </c>
      <c r="M105" s="22" t="n">
        <v>7200.04</v>
      </c>
      <c r="N105" s="22" t="n">
        <v>7297.97</v>
      </c>
      <c r="O105" s="22" t="n">
        <v>7348.8</v>
      </c>
      <c r="P105" s="22" t="n">
        <v>7545.26</v>
      </c>
      <c r="Q105" s="22" t="n">
        <v>7630.41</v>
      </c>
      <c r="R105" s="22" t="n">
        <v>7697.55</v>
      </c>
      <c r="S105" s="22" t="n">
        <v>7848.89</v>
      </c>
      <c r="T105" s="22" t="n">
        <v>7915.89</v>
      </c>
      <c r="U105" s="21"/>
      <c r="V105" s="21" t="s">
        <v>132</v>
      </c>
      <c r="W105" s="21" t="s">
        <v>104</v>
      </c>
      <c r="X105" s="21"/>
      <c r="Y105" s="21" t="s">
        <v>105</v>
      </c>
      <c r="Z105" s="21" t="s">
        <v>133</v>
      </c>
      <c r="AA105" s="21" t="s">
        <v>134</v>
      </c>
      <c r="AB105" s="21" t="s">
        <v>135</v>
      </c>
      <c r="AC105" s="21" t="s">
        <v>136</v>
      </c>
      <c r="AD105" s="21" t="s">
        <v>170</v>
      </c>
      <c r="AE105" s="21" t="s">
        <v>142</v>
      </c>
    </row>
    <row r="106" customFormat="false" ht="15" hidden="false" customHeight="false" outlineLevel="0" collapsed="false">
      <c r="A106" s="21" t="s">
        <v>169</v>
      </c>
      <c r="B106" s="21" t="s">
        <v>143</v>
      </c>
      <c r="C106" s="21" t="s">
        <v>129</v>
      </c>
      <c r="D106" s="21" t="s">
        <v>130</v>
      </c>
      <c r="E106" s="21" t="s">
        <v>131</v>
      </c>
      <c r="F106" s="22" t="n">
        <v>10685.16</v>
      </c>
      <c r="G106" s="22" t="n">
        <v>11045.53</v>
      </c>
      <c r="H106" s="22" t="n">
        <v>11008.36</v>
      </c>
      <c r="I106" s="22" t="n">
        <v>11204.45</v>
      </c>
      <c r="J106" s="22" t="n">
        <v>9233.35</v>
      </c>
      <c r="K106" s="22" t="n">
        <v>8721.81</v>
      </c>
      <c r="L106" s="22" t="n">
        <v>8799.1</v>
      </c>
      <c r="M106" s="22" t="n">
        <v>8896.87</v>
      </c>
      <c r="N106" s="22" t="n">
        <v>9079.5</v>
      </c>
      <c r="O106" s="22" t="n">
        <v>9163.87</v>
      </c>
      <c r="P106" s="22" t="n">
        <v>9225.5</v>
      </c>
      <c r="Q106" s="22" t="n">
        <v>9292.43</v>
      </c>
      <c r="R106" s="22" t="n">
        <v>9385.63</v>
      </c>
      <c r="S106" s="22" t="n">
        <v>9485.46</v>
      </c>
      <c r="T106" s="22" t="n">
        <v>9571.55</v>
      </c>
      <c r="U106" s="21"/>
      <c r="V106" s="21" t="s">
        <v>132</v>
      </c>
      <c r="W106" s="21" t="s">
        <v>104</v>
      </c>
      <c r="X106" s="21"/>
      <c r="Y106" s="21" t="s">
        <v>105</v>
      </c>
      <c r="Z106" s="21" t="s">
        <v>133</v>
      </c>
      <c r="AA106" s="21" t="s">
        <v>134</v>
      </c>
      <c r="AB106" s="21" t="s">
        <v>135</v>
      </c>
      <c r="AC106" s="21" t="s">
        <v>136</v>
      </c>
      <c r="AD106" s="21" t="s">
        <v>170</v>
      </c>
      <c r="AE106" s="21" t="s">
        <v>144</v>
      </c>
    </row>
    <row r="107" customFormat="false" ht="15" hidden="false" customHeight="false" outlineLevel="0" collapsed="false">
      <c r="A107" s="21" t="s">
        <v>169</v>
      </c>
      <c r="B107" s="21" t="s">
        <v>67</v>
      </c>
      <c r="C107" s="21" t="s">
        <v>129</v>
      </c>
      <c r="D107" s="21" t="s">
        <v>130</v>
      </c>
      <c r="E107" s="21" t="s">
        <v>131</v>
      </c>
      <c r="F107" s="22" t="n">
        <v>45151.69</v>
      </c>
      <c r="G107" s="22" t="n">
        <v>47221.07</v>
      </c>
      <c r="H107" s="22" t="n">
        <v>44327.01</v>
      </c>
      <c r="I107" s="22" t="n">
        <v>39720.55</v>
      </c>
      <c r="J107" s="22" t="n">
        <v>32235.84</v>
      </c>
      <c r="K107" s="22" t="n">
        <v>30632.38</v>
      </c>
      <c r="L107" s="22" t="n">
        <v>30050.44</v>
      </c>
      <c r="M107" s="22" t="n">
        <v>29301.88</v>
      </c>
      <c r="N107" s="22" t="n">
        <v>29069.01</v>
      </c>
      <c r="O107" s="22" t="n">
        <v>29469.72</v>
      </c>
      <c r="P107" s="22" t="n">
        <v>30162.45</v>
      </c>
      <c r="Q107" s="22" t="n">
        <v>31071.05</v>
      </c>
      <c r="R107" s="22" t="n">
        <v>31957.47</v>
      </c>
      <c r="S107" s="22" t="n">
        <v>32471.96</v>
      </c>
      <c r="T107" s="22" t="n">
        <v>32921.27</v>
      </c>
      <c r="U107" s="21"/>
      <c r="V107" s="21" t="s">
        <v>132</v>
      </c>
      <c r="W107" s="21" t="s">
        <v>104</v>
      </c>
      <c r="X107" s="21"/>
      <c r="Y107" s="21" t="s">
        <v>105</v>
      </c>
      <c r="Z107" s="21" t="s">
        <v>133</v>
      </c>
      <c r="AA107" s="21" t="s">
        <v>134</v>
      </c>
      <c r="AB107" s="21" t="s">
        <v>135</v>
      </c>
      <c r="AC107" s="21" t="s">
        <v>136</v>
      </c>
      <c r="AD107" s="21" t="s">
        <v>170</v>
      </c>
      <c r="AE107" s="21" t="s">
        <v>145</v>
      </c>
    </row>
    <row r="108" customFormat="false" ht="15" hidden="false" customHeight="false" outlineLevel="0" collapsed="false">
      <c r="A108" s="21" t="s">
        <v>169</v>
      </c>
      <c r="B108" s="21" t="s">
        <v>146</v>
      </c>
      <c r="C108" s="21" t="s">
        <v>129</v>
      </c>
      <c r="D108" s="21" t="s">
        <v>130</v>
      </c>
      <c r="E108" s="21" t="s">
        <v>131</v>
      </c>
      <c r="F108" s="22" t="n">
        <v>10711.99</v>
      </c>
      <c r="G108" s="22" t="n">
        <v>11482.41</v>
      </c>
      <c r="H108" s="22" t="n">
        <v>10816.72</v>
      </c>
      <c r="I108" s="22" t="n">
        <v>12141.01</v>
      </c>
      <c r="J108" s="22" t="n">
        <v>12483.97</v>
      </c>
      <c r="K108" s="22" t="n">
        <v>12191.08</v>
      </c>
      <c r="L108" s="22" t="n">
        <v>12354.72</v>
      </c>
      <c r="M108" s="22" t="n">
        <v>12562.96</v>
      </c>
      <c r="N108" s="22" t="n">
        <v>12850.07</v>
      </c>
      <c r="O108" s="22" t="n">
        <v>13050.36</v>
      </c>
      <c r="P108" s="22" t="n">
        <v>13265.37</v>
      </c>
      <c r="Q108" s="22" t="n">
        <v>13380.84</v>
      </c>
      <c r="R108" s="22" t="n">
        <v>13506.94</v>
      </c>
      <c r="S108" s="22" t="n">
        <v>13764.12</v>
      </c>
      <c r="T108" s="22" t="n">
        <v>13856.4</v>
      </c>
      <c r="U108" s="21"/>
      <c r="V108" s="21" t="s">
        <v>132</v>
      </c>
      <c r="W108" s="21" t="s">
        <v>104</v>
      </c>
      <c r="X108" s="21"/>
      <c r="Y108" s="21" t="s">
        <v>105</v>
      </c>
      <c r="Z108" s="21" t="s">
        <v>133</v>
      </c>
      <c r="AA108" s="21" t="s">
        <v>134</v>
      </c>
      <c r="AB108" s="21" t="s">
        <v>135</v>
      </c>
      <c r="AC108" s="21" t="s">
        <v>136</v>
      </c>
      <c r="AD108" s="21" t="s">
        <v>170</v>
      </c>
      <c r="AE108" s="21" t="s">
        <v>147</v>
      </c>
    </row>
    <row r="109" customFormat="false" ht="15" hidden="false" customHeight="false" outlineLevel="0" collapsed="false">
      <c r="A109" s="21" t="s">
        <v>169</v>
      </c>
      <c r="B109" s="21" t="s">
        <v>74</v>
      </c>
      <c r="C109" s="21" t="s">
        <v>129</v>
      </c>
      <c r="D109" s="21" t="s">
        <v>130</v>
      </c>
      <c r="E109" s="21" t="s">
        <v>131</v>
      </c>
      <c r="F109" s="22" t="n">
        <v>25842.26</v>
      </c>
      <c r="G109" s="22" t="n">
        <v>25555</v>
      </c>
      <c r="H109" s="22" t="n">
        <v>24073.87</v>
      </c>
      <c r="I109" s="22" t="n">
        <v>23667.81</v>
      </c>
      <c r="J109" s="22" t="n">
        <v>20799.27</v>
      </c>
      <c r="K109" s="22" t="n">
        <v>19941.3</v>
      </c>
      <c r="L109" s="22" t="n">
        <v>19813.58</v>
      </c>
      <c r="M109" s="22" t="n">
        <v>19318.68</v>
      </c>
      <c r="N109" s="22" t="n">
        <v>18903.18</v>
      </c>
      <c r="O109" s="22" t="n">
        <v>18931.63</v>
      </c>
      <c r="P109" s="22" t="n">
        <v>19292.4</v>
      </c>
      <c r="Q109" s="22" t="n">
        <v>19831.45</v>
      </c>
      <c r="R109" s="22" t="n">
        <v>20380.56</v>
      </c>
      <c r="S109" s="22" t="n">
        <v>20754.34</v>
      </c>
      <c r="T109" s="22" t="n">
        <v>21056.45</v>
      </c>
      <c r="U109" s="21"/>
      <c r="V109" s="21" t="s">
        <v>132</v>
      </c>
      <c r="W109" s="21" t="s">
        <v>104</v>
      </c>
      <c r="X109" s="21"/>
      <c r="Y109" s="21" t="s">
        <v>105</v>
      </c>
      <c r="Z109" s="21" t="s">
        <v>133</v>
      </c>
      <c r="AA109" s="21" t="s">
        <v>134</v>
      </c>
      <c r="AB109" s="21" t="s">
        <v>135</v>
      </c>
      <c r="AC109" s="21" t="s">
        <v>136</v>
      </c>
      <c r="AD109" s="21" t="s">
        <v>170</v>
      </c>
      <c r="AE109" s="21" t="s">
        <v>148</v>
      </c>
    </row>
    <row r="110" customFormat="false" ht="15" hidden="false" customHeight="false" outlineLevel="0" collapsed="false">
      <c r="A110" s="21" t="s">
        <v>169</v>
      </c>
      <c r="B110" s="21" t="s">
        <v>71</v>
      </c>
      <c r="C110" s="21" t="s">
        <v>129</v>
      </c>
      <c r="D110" s="21" t="s">
        <v>130</v>
      </c>
      <c r="E110" s="21" t="s">
        <v>131</v>
      </c>
      <c r="F110" s="22" t="n">
        <v>62461.33</v>
      </c>
      <c r="G110" s="22" t="n">
        <v>67431.96</v>
      </c>
      <c r="H110" s="22" t="n">
        <v>65672.79</v>
      </c>
      <c r="I110" s="22" t="n">
        <v>70953.17</v>
      </c>
      <c r="J110" s="22" t="n">
        <v>74900.3</v>
      </c>
      <c r="K110" s="22" t="n">
        <v>76128.6</v>
      </c>
      <c r="L110" s="22" t="n">
        <v>77484.77</v>
      </c>
      <c r="M110" s="22" t="n">
        <v>78871.65</v>
      </c>
      <c r="N110" s="22" t="n">
        <v>79687.1</v>
      </c>
      <c r="O110" s="22" t="n">
        <v>81401.38</v>
      </c>
      <c r="P110" s="22" t="n">
        <v>83109.34</v>
      </c>
      <c r="Q110" s="22" t="n">
        <v>84876.04</v>
      </c>
      <c r="R110" s="22" t="n">
        <v>86061.07</v>
      </c>
      <c r="S110" s="22" t="n">
        <v>86800.82</v>
      </c>
      <c r="T110" s="22" t="n">
        <v>87755.12</v>
      </c>
      <c r="U110" s="21"/>
      <c r="V110" s="21" t="s">
        <v>132</v>
      </c>
      <c r="W110" s="21" t="s">
        <v>104</v>
      </c>
      <c r="X110" s="21"/>
      <c r="Y110" s="21" t="s">
        <v>105</v>
      </c>
      <c r="Z110" s="21" t="s">
        <v>133</v>
      </c>
      <c r="AA110" s="21" t="s">
        <v>134</v>
      </c>
      <c r="AB110" s="21" t="s">
        <v>135</v>
      </c>
      <c r="AC110" s="21" t="s">
        <v>136</v>
      </c>
      <c r="AD110" s="21" t="s">
        <v>170</v>
      </c>
      <c r="AE110" s="21" t="s">
        <v>149</v>
      </c>
    </row>
    <row r="111" customFormat="false" ht="15" hidden="false" customHeight="false" outlineLevel="0" collapsed="false">
      <c r="A111" s="21" t="s">
        <v>169</v>
      </c>
      <c r="B111" s="21" t="s">
        <v>81</v>
      </c>
      <c r="C111" s="21" t="s">
        <v>129</v>
      </c>
      <c r="D111" s="21" t="s">
        <v>130</v>
      </c>
      <c r="E111" s="21" t="s">
        <v>131</v>
      </c>
      <c r="F111" s="22" t="n">
        <v>16342.31</v>
      </c>
      <c r="G111" s="22" t="n">
        <v>17205.76</v>
      </c>
      <c r="H111" s="22" t="n">
        <v>17567.32</v>
      </c>
      <c r="I111" s="22" t="n">
        <v>17033.16</v>
      </c>
      <c r="J111" s="22" t="n">
        <v>14931.98</v>
      </c>
      <c r="K111" s="22" t="n">
        <v>14046.43</v>
      </c>
      <c r="L111" s="22" t="n">
        <v>14175.02</v>
      </c>
      <c r="M111" s="22" t="n">
        <v>14196.59</v>
      </c>
      <c r="N111" s="22" t="n">
        <v>14442.09</v>
      </c>
      <c r="O111" s="22" t="n">
        <v>14573.35</v>
      </c>
      <c r="P111" s="22" t="n">
        <v>14659.18</v>
      </c>
      <c r="Q111" s="22" t="n">
        <v>14773.07</v>
      </c>
      <c r="R111" s="22" t="n">
        <v>14932.86</v>
      </c>
      <c r="S111" s="22" t="n">
        <v>15091.7</v>
      </c>
      <c r="T111" s="22" t="n">
        <v>15236.36</v>
      </c>
      <c r="U111" s="21"/>
      <c r="V111" s="21" t="s">
        <v>132</v>
      </c>
      <c r="W111" s="21" t="s">
        <v>104</v>
      </c>
      <c r="X111" s="21"/>
      <c r="Y111" s="21" t="s">
        <v>105</v>
      </c>
      <c r="Z111" s="21" t="s">
        <v>133</v>
      </c>
      <c r="AA111" s="21" t="s">
        <v>134</v>
      </c>
      <c r="AB111" s="21" t="s">
        <v>135</v>
      </c>
      <c r="AC111" s="21" t="s">
        <v>136</v>
      </c>
      <c r="AD111" s="21" t="s">
        <v>170</v>
      </c>
      <c r="AE111" s="21" t="s">
        <v>150</v>
      </c>
    </row>
    <row r="112" customFormat="false" ht="15" hidden="false" customHeight="false" outlineLevel="0" collapsed="false">
      <c r="A112" s="21" t="s">
        <v>169</v>
      </c>
      <c r="B112" s="21" t="s">
        <v>78</v>
      </c>
      <c r="C112" s="21" t="s">
        <v>129</v>
      </c>
      <c r="D112" s="21" t="s">
        <v>130</v>
      </c>
      <c r="E112" s="21" t="s">
        <v>131</v>
      </c>
      <c r="F112" s="22" t="n">
        <v>30408.68</v>
      </c>
      <c r="G112" s="22" t="n">
        <v>33348.88</v>
      </c>
      <c r="H112" s="22" t="n">
        <v>32195.9</v>
      </c>
      <c r="I112" s="22" t="n">
        <v>34598.3</v>
      </c>
      <c r="J112" s="22" t="n">
        <v>38755.25</v>
      </c>
      <c r="K112" s="22" t="n">
        <v>39315.44</v>
      </c>
      <c r="L112" s="22" t="n">
        <v>40023.02</v>
      </c>
      <c r="M112" s="22" t="n">
        <v>40752.79</v>
      </c>
      <c r="N112" s="22" t="n">
        <v>40854.48</v>
      </c>
      <c r="O112" s="22" t="n">
        <v>41724.81</v>
      </c>
      <c r="P112" s="22" t="n">
        <v>42852.78</v>
      </c>
      <c r="Q112" s="22" t="n">
        <v>43665.13</v>
      </c>
      <c r="R112" s="22" t="n">
        <v>44188.38</v>
      </c>
      <c r="S112" s="22" t="n">
        <v>44527.39</v>
      </c>
      <c r="T112" s="22" t="n">
        <v>44982.39</v>
      </c>
      <c r="U112" s="21"/>
      <c r="V112" s="21" t="s">
        <v>132</v>
      </c>
      <c r="W112" s="21" t="s">
        <v>104</v>
      </c>
      <c r="X112" s="21"/>
      <c r="Y112" s="21" t="s">
        <v>105</v>
      </c>
      <c r="Z112" s="21" t="s">
        <v>133</v>
      </c>
      <c r="AA112" s="21" t="s">
        <v>134</v>
      </c>
      <c r="AB112" s="21" t="s">
        <v>135</v>
      </c>
      <c r="AC112" s="21" t="s">
        <v>136</v>
      </c>
      <c r="AD112" s="21" t="s">
        <v>170</v>
      </c>
      <c r="AE112" s="21" t="s">
        <v>151</v>
      </c>
    </row>
    <row r="113" customFormat="false" ht="15" hidden="false" customHeight="false" outlineLevel="0" collapsed="false">
      <c r="A113" s="21" t="s">
        <v>169</v>
      </c>
      <c r="B113" s="21" t="s">
        <v>85</v>
      </c>
      <c r="C113" s="21" t="s">
        <v>129</v>
      </c>
      <c r="D113" s="21" t="s">
        <v>130</v>
      </c>
      <c r="E113" s="21" t="s">
        <v>131</v>
      </c>
      <c r="F113" s="22" t="n">
        <v>17001.55</v>
      </c>
      <c r="G113" s="22" t="n">
        <v>18051.43</v>
      </c>
      <c r="H113" s="22" t="n">
        <v>17322.24</v>
      </c>
      <c r="I113" s="22" t="n">
        <v>19179.92</v>
      </c>
      <c r="J113" s="22" t="n">
        <v>20097.1</v>
      </c>
      <c r="K113" s="22" t="n">
        <v>19646.7</v>
      </c>
      <c r="L113" s="22" t="n">
        <v>19906.86</v>
      </c>
      <c r="M113" s="22" t="n">
        <v>20223.95</v>
      </c>
      <c r="N113" s="22" t="n">
        <v>20617.14</v>
      </c>
      <c r="O113" s="22" t="n">
        <v>20873.68</v>
      </c>
      <c r="P113" s="22" t="n">
        <v>21298.66</v>
      </c>
      <c r="Q113" s="22" t="n">
        <v>21501.04</v>
      </c>
      <c r="R113" s="22" t="n">
        <v>21697.77</v>
      </c>
      <c r="S113" s="22" t="n">
        <v>22118.36</v>
      </c>
      <c r="T113" s="22" t="n">
        <v>22280.43</v>
      </c>
      <c r="U113" s="21"/>
      <c r="V113" s="21" t="s">
        <v>132</v>
      </c>
      <c r="W113" s="21" t="s">
        <v>104</v>
      </c>
      <c r="X113" s="21"/>
      <c r="Y113" s="21" t="s">
        <v>105</v>
      </c>
      <c r="Z113" s="21" t="s">
        <v>133</v>
      </c>
      <c r="AA113" s="21" t="s">
        <v>134</v>
      </c>
      <c r="AB113" s="21" t="s">
        <v>135</v>
      </c>
      <c r="AC113" s="21" t="s">
        <v>136</v>
      </c>
      <c r="AD113" s="21" t="s">
        <v>170</v>
      </c>
      <c r="AE113" s="21" t="s">
        <v>152</v>
      </c>
    </row>
    <row r="114" customFormat="false" ht="15" hidden="false" customHeight="false" outlineLevel="0" collapsed="false">
      <c r="A114" s="21" t="s">
        <v>169</v>
      </c>
      <c r="B114" s="21" t="s">
        <v>153</v>
      </c>
      <c r="C114" s="21" t="s">
        <v>129</v>
      </c>
      <c r="D114" s="21" t="s">
        <v>130</v>
      </c>
      <c r="E114" s="21" t="s">
        <v>131</v>
      </c>
      <c r="F114" s="22" t="n">
        <v>232.44</v>
      </c>
      <c r="G114" s="22" t="n">
        <v>260.56</v>
      </c>
      <c r="H114" s="22" t="n">
        <v>377.82</v>
      </c>
      <c r="I114" s="22" t="n">
        <v>382.55</v>
      </c>
      <c r="J114" s="22" t="n">
        <v>371.9</v>
      </c>
      <c r="K114" s="22" t="n">
        <v>356.51</v>
      </c>
      <c r="L114" s="22" t="n">
        <v>359.43</v>
      </c>
      <c r="M114" s="22" t="n">
        <v>361.55</v>
      </c>
      <c r="N114" s="22" t="n">
        <v>364.8</v>
      </c>
      <c r="O114" s="22" t="n">
        <v>369.61</v>
      </c>
      <c r="P114" s="22" t="n">
        <v>374.59</v>
      </c>
      <c r="Q114" s="22" t="n">
        <v>381.92</v>
      </c>
      <c r="R114" s="22" t="n">
        <v>389.43</v>
      </c>
      <c r="S114" s="22" t="n">
        <v>396.36</v>
      </c>
      <c r="T114" s="22" t="n">
        <v>403.14</v>
      </c>
      <c r="U114" s="21"/>
      <c r="V114" s="21" t="s">
        <v>132</v>
      </c>
      <c r="W114" s="21" t="s">
        <v>104</v>
      </c>
      <c r="X114" s="21"/>
      <c r="Y114" s="21" t="s">
        <v>105</v>
      </c>
      <c r="Z114" s="21" t="s">
        <v>133</v>
      </c>
      <c r="AA114" s="21" t="s">
        <v>134</v>
      </c>
      <c r="AB114" s="21" t="s">
        <v>135</v>
      </c>
      <c r="AC114" s="21" t="s">
        <v>136</v>
      </c>
      <c r="AD114" s="21" t="s">
        <v>170</v>
      </c>
      <c r="AE114" s="21" t="s">
        <v>154</v>
      </c>
    </row>
    <row r="115" customFormat="false" ht="15" hidden="false" customHeight="false" outlineLevel="0" collapsed="false">
      <c r="A115" s="21" t="s">
        <v>171</v>
      </c>
      <c r="B115" s="21" t="s">
        <v>128</v>
      </c>
      <c r="C115" s="21" t="s">
        <v>129</v>
      </c>
      <c r="D115" s="21" t="s">
        <v>130</v>
      </c>
      <c r="E115" s="21" t="s">
        <v>131</v>
      </c>
      <c r="F115" s="22" t="n">
        <v>24.56</v>
      </c>
      <c r="G115" s="22" t="n">
        <v>26.52</v>
      </c>
      <c r="H115" s="22" t="n">
        <v>28.58</v>
      </c>
      <c r="I115" s="22" t="n">
        <v>26.61</v>
      </c>
      <c r="J115" s="22" t="n">
        <v>25.09</v>
      </c>
      <c r="K115" s="22" t="n">
        <v>23.06</v>
      </c>
      <c r="L115" s="22" t="n">
        <v>23.29</v>
      </c>
      <c r="M115" s="22" t="n">
        <v>24.13</v>
      </c>
      <c r="N115" s="22" t="n">
        <v>24.73</v>
      </c>
      <c r="O115" s="22" t="n">
        <v>25.37</v>
      </c>
      <c r="P115" s="22" t="n">
        <v>25.35</v>
      </c>
      <c r="Q115" s="22" t="n">
        <v>25.09</v>
      </c>
      <c r="R115" s="22" t="n">
        <v>25.05</v>
      </c>
      <c r="S115" s="22" t="n">
        <v>25.15</v>
      </c>
      <c r="T115" s="22" t="n">
        <v>25.31</v>
      </c>
      <c r="U115" s="21"/>
      <c r="V115" s="21" t="s">
        <v>132</v>
      </c>
      <c r="W115" s="21" t="s">
        <v>104</v>
      </c>
      <c r="X115" s="21"/>
      <c r="Y115" s="21" t="s">
        <v>105</v>
      </c>
      <c r="Z115" s="21" t="s">
        <v>133</v>
      </c>
      <c r="AA115" s="21" t="s">
        <v>134</v>
      </c>
      <c r="AB115" s="21" t="s">
        <v>135</v>
      </c>
      <c r="AC115" s="21" t="s">
        <v>136</v>
      </c>
      <c r="AD115" s="21" t="s">
        <v>172</v>
      </c>
      <c r="AE115" s="21" t="s">
        <v>138</v>
      </c>
    </row>
    <row r="116" customFormat="false" ht="15" hidden="false" customHeight="false" outlineLevel="0" collapsed="false">
      <c r="A116" s="21" t="s">
        <v>171</v>
      </c>
      <c r="B116" s="21" t="s">
        <v>139</v>
      </c>
      <c r="C116" s="21" t="s">
        <v>129</v>
      </c>
      <c r="D116" s="21" t="s">
        <v>130</v>
      </c>
      <c r="E116" s="21" t="s">
        <v>131</v>
      </c>
      <c r="F116" s="22" t="n">
        <v>159.49</v>
      </c>
      <c r="G116" s="22" t="n">
        <v>177.45</v>
      </c>
      <c r="H116" s="22" t="n">
        <v>199.36</v>
      </c>
      <c r="I116" s="22" t="n">
        <v>183.55</v>
      </c>
      <c r="J116" s="22" t="n">
        <v>181.6</v>
      </c>
      <c r="K116" s="22" t="n">
        <v>181.35</v>
      </c>
      <c r="L116" s="22" t="n">
        <v>208.55</v>
      </c>
      <c r="M116" s="22" t="n">
        <v>231.12</v>
      </c>
      <c r="N116" s="22" t="n">
        <v>242.72</v>
      </c>
      <c r="O116" s="22" t="n">
        <v>252.61</v>
      </c>
      <c r="P116" s="22" t="n">
        <v>254.11</v>
      </c>
      <c r="Q116" s="22" t="n">
        <v>252.51</v>
      </c>
      <c r="R116" s="22" t="n">
        <v>252.99</v>
      </c>
      <c r="S116" s="22" t="n">
        <v>255.14</v>
      </c>
      <c r="T116" s="22" t="n">
        <v>257.72</v>
      </c>
      <c r="U116" s="21"/>
      <c r="V116" s="21" t="s">
        <v>132</v>
      </c>
      <c r="W116" s="21" t="s">
        <v>104</v>
      </c>
      <c r="X116" s="21"/>
      <c r="Y116" s="21" t="s">
        <v>105</v>
      </c>
      <c r="Z116" s="21" t="s">
        <v>133</v>
      </c>
      <c r="AA116" s="21" t="s">
        <v>134</v>
      </c>
      <c r="AB116" s="21" t="s">
        <v>135</v>
      </c>
      <c r="AC116" s="21" t="s">
        <v>136</v>
      </c>
      <c r="AD116" s="21" t="s">
        <v>172</v>
      </c>
      <c r="AE116" s="21" t="s">
        <v>140</v>
      </c>
    </row>
    <row r="117" customFormat="false" ht="15" hidden="false" customHeight="false" outlineLevel="0" collapsed="false">
      <c r="A117" s="21" t="s">
        <v>171</v>
      </c>
      <c r="B117" s="21" t="s">
        <v>141</v>
      </c>
      <c r="C117" s="21" t="s">
        <v>129</v>
      </c>
      <c r="D117" s="21" t="s">
        <v>130</v>
      </c>
      <c r="E117" s="21" t="s">
        <v>131</v>
      </c>
      <c r="F117" s="22" t="n">
        <v>155.43</v>
      </c>
      <c r="G117" s="22" t="n">
        <v>171.65</v>
      </c>
      <c r="H117" s="22" t="n">
        <v>185.85</v>
      </c>
      <c r="I117" s="22" t="n">
        <v>172.9</v>
      </c>
      <c r="J117" s="22" t="n">
        <v>162.95</v>
      </c>
      <c r="K117" s="22" t="n">
        <v>155.14</v>
      </c>
      <c r="L117" s="22" t="n">
        <v>168.84</v>
      </c>
      <c r="M117" s="22" t="n">
        <v>184.94</v>
      </c>
      <c r="N117" s="22" t="n">
        <v>191.92</v>
      </c>
      <c r="O117" s="22" t="n">
        <v>198.55</v>
      </c>
      <c r="P117" s="22" t="n">
        <v>199.34</v>
      </c>
      <c r="Q117" s="22" t="n">
        <v>197.85</v>
      </c>
      <c r="R117" s="22" t="n">
        <v>197.89</v>
      </c>
      <c r="S117" s="22" t="n">
        <v>199.08</v>
      </c>
      <c r="T117" s="22" t="n">
        <v>200.63</v>
      </c>
      <c r="U117" s="21"/>
      <c r="V117" s="21" t="s">
        <v>132</v>
      </c>
      <c r="W117" s="21" t="s">
        <v>104</v>
      </c>
      <c r="X117" s="21"/>
      <c r="Y117" s="21" t="s">
        <v>105</v>
      </c>
      <c r="Z117" s="21" t="s">
        <v>133</v>
      </c>
      <c r="AA117" s="21" t="s">
        <v>134</v>
      </c>
      <c r="AB117" s="21" t="s">
        <v>135</v>
      </c>
      <c r="AC117" s="21" t="s">
        <v>136</v>
      </c>
      <c r="AD117" s="21" t="s">
        <v>172</v>
      </c>
      <c r="AE117" s="21" t="s">
        <v>142</v>
      </c>
    </row>
    <row r="118" customFormat="false" ht="15" hidden="false" customHeight="false" outlineLevel="0" collapsed="false">
      <c r="A118" s="21" t="s">
        <v>171</v>
      </c>
      <c r="B118" s="21" t="s">
        <v>143</v>
      </c>
      <c r="C118" s="21" t="s">
        <v>129</v>
      </c>
      <c r="D118" s="21" t="s">
        <v>130</v>
      </c>
      <c r="E118" s="21" t="s">
        <v>131</v>
      </c>
      <c r="F118" s="22" t="n">
        <v>611.03</v>
      </c>
      <c r="G118" s="22" t="n">
        <v>689.14</v>
      </c>
      <c r="H118" s="22" t="n">
        <v>670.64</v>
      </c>
      <c r="I118" s="22" t="n">
        <v>567.88</v>
      </c>
      <c r="J118" s="22" t="n">
        <v>632.2</v>
      </c>
      <c r="K118" s="22" t="n">
        <v>611.52</v>
      </c>
      <c r="L118" s="22" t="n">
        <v>662.33</v>
      </c>
      <c r="M118" s="22" t="n">
        <v>708.38</v>
      </c>
      <c r="N118" s="22" t="n">
        <v>741.54</v>
      </c>
      <c r="O118" s="22" t="n">
        <v>773.53</v>
      </c>
      <c r="P118" s="22" t="n">
        <v>783.48</v>
      </c>
      <c r="Q118" s="22" t="n">
        <v>785.97</v>
      </c>
      <c r="R118" s="22" t="n">
        <v>795.3</v>
      </c>
      <c r="S118" s="22" t="n">
        <v>808.57</v>
      </c>
      <c r="T118" s="22" t="n">
        <v>822.57</v>
      </c>
      <c r="U118" s="21"/>
      <c r="V118" s="21" t="s">
        <v>132</v>
      </c>
      <c r="W118" s="21" t="s">
        <v>104</v>
      </c>
      <c r="X118" s="21"/>
      <c r="Y118" s="21" t="s">
        <v>105</v>
      </c>
      <c r="Z118" s="21" t="s">
        <v>133</v>
      </c>
      <c r="AA118" s="21" t="s">
        <v>134</v>
      </c>
      <c r="AB118" s="21" t="s">
        <v>135</v>
      </c>
      <c r="AC118" s="21" t="s">
        <v>136</v>
      </c>
      <c r="AD118" s="21" t="s">
        <v>172</v>
      </c>
      <c r="AE118" s="21" t="s">
        <v>144</v>
      </c>
    </row>
    <row r="119" customFormat="false" ht="15" hidden="false" customHeight="false" outlineLevel="0" collapsed="false">
      <c r="A119" s="21" t="s">
        <v>171</v>
      </c>
      <c r="B119" s="21" t="s">
        <v>67</v>
      </c>
      <c r="C119" s="21" t="s">
        <v>129</v>
      </c>
      <c r="D119" s="21" t="s">
        <v>130</v>
      </c>
      <c r="E119" s="21" t="s">
        <v>131</v>
      </c>
      <c r="F119" s="22" t="n">
        <v>2442.33</v>
      </c>
      <c r="G119" s="22" t="n">
        <v>2347.93</v>
      </c>
      <c r="H119" s="22" t="n">
        <v>2381.62</v>
      </c>
      <c r="I119" s="22" t="n">
        <v>2248.2</v>
      </c>
      <c r="J119" s="22" t="n">
        <v>2103.43</v>
      </c>
      <c r="K119" s="22" t="n">
        <v>2048.56</v>
      </c>
      <c r="L119" s="22" t="n">
        <v>2346.77</v>
      </c>
      <c r="M119" s="22" t="n">
        <v>2359.04</v>
      </c>
      <c r="N119" s="22" t="n">
        <v>2429.98</v>
      </c>
      <c r="O119" s="22" t="n">
        <v>2471.63</v>
      </c>
      <c r="P119" s="22" t="n">
        <v>2485.78</v>
      </c>
      <c r="Q119" s="22" t="n">
        <v>2472.5</v>
      </c>
      <c r="R119" s="22" t="n">
        <v>2483.24</v>
      </c>
      <c r="S119" s="22" t="n">
        <v>2519.81</v>
      </c>
      <c r="T119" s="22" t="n">
        <v>2565.52</v>
      </c>
      <c r="U119" s="21"/>
      <c r="V119" s="21" t="s">
        <v>132</v>
      </c>
      <c r="W119" s="21" t="s">
        <v>104</v>
      </c>
      <c r="X119" s="21"/>
      <c r="Y119" s="21" t="s">
        <v>105</v>
      </c>
      <c r="Z119" s="21" t="s">
        <v>133</v>
      </c>
      <c r="AA119" s="21" t="s">
        <v>134</v>
      </c>
      <c r="AB119" s="21" t="s">
        <v>135</v>
      </c>
      <c r="AC119" s="21" t="s">
        <v>136</v>
      </c>
      <c r="AD119" s="21" t="s">
        <v>172</v>
      </c>
      <c r="AE119" s="21" t="s">
        <v>145</v>
      </c>
    </row>
    <row r="120" customFormat="false" ht="15" hidden="false" customHeight="false" outlineLevel="0" collapsed="false">
      <c r="A120" s="21" t="s">
        <v>171</v>
      </c>
      <c r="B120" s="21" t="s">
        <v>146</v>
      </c>
      <c r="C120" s="21" t="s">
        <v>129</v>
      </c>
      <c r="D120" s="21" t="s">
        <v>130</v>
      </c>
      <c r="E120" s="21" t="s">
        <v>131</v>
      </c>
      <c r="F120" s="22" t="n">
        <v>462.23</v>
      </c>
      <c r="G120" s="22" t="n">
        <v>520.1</v>
      </c>
      <c r="H120" s="22" t="n">
        <v>568.06</v>
      </c>
      <c r="I120" s="22" t="n">
        <v>529.5</v>
      </c>
      <c r="J120" s="22" t="n">
        <v>500.33</v>
      </c>
      <c r="K120" s="22" t="n">
        <v>486.56</v>
      </c>
      <c r="L120" s="22" t="n">
        <v>510.53</v>
      </c>
      <c r="M120" s="22" t="n">
        <v>536.32</v>
      </c>
      <c r="N120" s="22" t="n">
        <v>555.65</v>
      </c>
      <c r="O120" s="22" t="n">
        <v>570.94</v>
      </c>
      <c r="P120" s="22" t="n">
        <v>570.37</v>
      </c>
      <c r="Q120" s="22" t="n">
        <v>564.02</v>
      </c>
      <c r="R120" s="22" t="n">
        <v>562.4</v>
      </c>
      <c r="S120" s="22" t="n">
        <v>564</v>
      </c>
      <c r="T120" s="22" t="n">
        <v>566.68</v>
      </c>
      <c r="U120" s="21"/>
      <c r="V120" s="21" t="s">
        <v>132</v>
      </c>
      <c r="W120" s="21" t="s">
        <v>104</v>
      </c>
      <c r="X120" s="21"/>
      <c r="Y120" s="21" t="s">
        <v>105</v>
      </c>
      <c r="Z120" s="21" t="s">
        <v>133</v>
      </c>
      <c r="AA120" s="21" t="s">
        <v>134</v>
      </c>
      <c r="AB120" s="21" t="s">
        <v>135</v>
      </c>
      <c r="AC120" s="21" t="s">
        <v>136</v>
      </c>
      <c r="AD120" s="21" t="s">
        <v>172</v>
      </c>
      <c r="AE120" s="21" t="s">
        <v>147</v>
      </c>
    </row>
    <row r="121" customFormat="false" ht="15" hidden="false" customHeight="false" outlineLevel="0" collapsed="false">
      <c r="A121" s="21" t="s">
        <v>171</v>
      </c>
      <c r="B121" s="21" t="s">
        <v>74</v>
      </c>
      <c r="C121" s="21" t="s">
        <v>129</v>
      </c>
      <c r="D121" s="21" t="s">
        <v>130</v>
      </c>
      <c r="E121" s="21" t="s">
        <v>131</v>
      </c>
      <c r="F121" s="22" t="n">
        <v>1359.22</v>
      </c>
      <c r="G121" s="22" t="n">
        <v>1117.22</v>
      </c>
      <c r="H121" s="22" t="n">
        <v>1201.75</v>
      </c>
      <c r="I121" s="22" t="n">
        <v>1320.49</v>
      </c>
      <c r="J121" s="22" t="n">
        <v>1212.46</v>
      </c>
      <c r="K121" s="22" t="n">
        <v>1125.61</v>
      </c>
      <c r="L121" s="22" t="n">
        <v>1235.46</v>
      </c>
      <c r="M121" s="22" t="n">
        <v>1408.37</v>
      </c>
      <c r="N121" s="22" t="n">
        <v>1486.65</v>
      </c>
      <c r="O121" s="22" t="n">
        <v>1541.52</v>
      </c>
      <c r="P121" s="22" t="n">
        <v>1575.45</v>
      </c>
      <c r="Q121" s="22" t="n">
        <v>1591.82</v>
      </c>
      <c r="R121" s="22" t="n">
        <v>1612.41</v>
      </c>
      <c r="S121" s="22" t="n">
        <v>1644.65</v>
      </c>
      <c r="T121" s="22" t="n">
        <v>1681.29</v>
      </c>
      <c r="U121" s="21"/>
      <c r="V121" s="21" t="s">
        <v>132</v>
      </c>
      <c r="W121" s="21" t="s">
        <v>104</v>
      </c>
      <c r="X121" s="21"/>
      <c r="Y121" s="21" t="s">
        <v>105</v>
      </c>
      <c r="Z121" s="21" t="s">
        <v>133</v>
      </c>
      <c r="AA121" s="21" t="s">
        <v>134</v>
      </c>
      <c r="AB121" s="21" t="s">
        <v>135</v>
      </c>
      <c r="AC121" s="21" t="s">
        <v>136</v>
      </c>
      <c r="AD121" s="21" t="s">
        <v>172</v>
      </c>
      <c r="AE121" s="21" t="s">
        <v>148</v>
      </c>
    </row>
    <row r="122" customFormat="false" ht="15" hidden="false" customHeight="false" outlineLevel="0" collapsed="false">
      <c r="A122" s="21" t="s">
        <v>171</v>
      </c>
      <c r="B122" s="21" t="s">
        <v>71</v>
      </c>
      <c r="C122" s="21" t="s">
        <v>129</v>
      </c>
      <c r="D122" s="21" t="s">
        <v>130</v>
      </c>
      <c r="E122" s="21" t="s">
        <v>131</v>
      </c>
      <c r="F122" s="22" t="n">
        <v>1813.33</v>
      </c>
      <c r="G122" s="22" t="n">
        <v>2290.73</v>
      </c>
      <c r="H122" s="22" t="n">
        <v>2571.85</v>
      </c>
      <c r="I122" s="22" t="n">
        <v>2264.75</v>
      </c>
      <c r="J122" s="22" t="n">
        <v>2404.47</v>
      </c>
      <c r="K122" s="22" t="n">
        <v>2279.96</v>
      </c>
      <c r="L122" s="22" t="n">
        <v>2485.76</v>
      </c>
      <c r="M122" s="22" t="n">
        <v>2316.88</v>
      </c>
      <c r="N122" s="22" t="n">
        <v>2458.53</v>
      </c>
      <c r="O122" s="22" t="n">
        <v>2577.86</v>
      </c>
      <c r="P122" s="22" t="n">
        <v>2693.98</v>
      </c>
      <c r="Q122" s="22" t="n">
        <v>2784.36</v>
      </c>
      <c r="R122" s="22" t="n">
        <v>2862.77</v>
      </c>
      <c r="S122" s="22" t="n">
        <v>2941.97</v>
      </c>
      <c r="T122" s="22" t="n">
        <v>3015.95</v>
      </c>
      <c r="U122" s="21"/>
      <c r="V122" s="21" t="s">
        <v>132</v>
      </c>
      <c r="W122" s="21" t="s">
        <v>104</v>
      </c>
      <c r="X122" s="21"/>
      <c r="Y122" s="21" t="s">
        <v>105</v>
      </c>
      <c r="Z122" s="21" t="s">
        <v>133</v>
      </c>
      <c r="AA122" s="21" t="s">
        <v>134</v>
      </c>
      <c r="AB122" s="21" t="s">
        <v>135</v>
      </c>
      <c r="AC122" s="21" t="s">
        <v>136</v>
      </c>
      <c r="AD122" s="21" t="s">
        <v>172</v>
      </c>
      <c r="AE122" s="21" t="s">
        <v>149</v>
      </c>
    </row>
    <row r="123" customFormat="false" ht="15" hidden="false" customHeight="false" outlineLevel="0" collapsed="false">
      <c r="A123" s="21" t="s">
        <v>171</v>
      </c>
      <c r="B123" s="21" t="s">
        <v>81</v>
      </c>
      <c r="C123" s="21" t="s">
        <v>129</v>
      </c>
      <c r="D123" s="21" t="s">
        <v>130</v>
      </c>
      <c r="E123" s="21" t="s">
        <v>131</v>
      </c>
      <c r="F123" s="22" t="n">
        <v>784.54</v>
      </c>
      <c r="G123" s="22" t="n">
        <v>886.61</v>
      </c>
      <c r="H123" s="22" t="n">
        <v>900.75</v>
      </c>
      <c r="I123" s="22" t="n">
        <v>780.56</v>
      </c>
      <c r="J123" s="22" t="n">
        <v>841.64</v>
      </c>
      <c r="K123" s="22" t="n">
        <v>814.38</v>
      </c>
      <c r="L123" s="22" t="n">
        <v>891.66</v>
      </c>
      <c r="M123" s="22" t="n">
        <v>961.04</v>
      </c>
      <c r="N123" s="22" t="n">
        <v>1006.47</v>
      </c>
      <c r="O123" s="22" t="n">
        <v>1049.01</v>
      </c>
      <c r="P123" s="22" t="n">
        <v>1060.6</v>
      </c>
      <c r="Q123" s="22" t="n">
        <v>1061.5</v>
      </c>
      <c r="R123" s="22" t="n">
        <v>1071.55</v>
      </c>
      <c r="S123" s="22" t="n">
        <v>1087.34</v>
      </c>
      <c r="T123" s="22" t="n">
        <v>1104.33</v>
      </c>
      <c r="U123" s="21"/>
      <c r="V123" s="21" t="s">
        <v>132</v>
      </c>
      <c r="W123" s="21" t="s">
        <v>104</v>
      </c>
      <c r="X123" s="21"/>
      <c r="Y123" s="21" t="s">
        <v>105</v>
      </c>
      <c r="Z123" s="21" t="s">
        <v>133</v>
      </c>
      <c r="AA123" s="21" t="s">
        <v>134</v>
      </c>
      <c r="AB123" s="21" t="s">
        <v>135</v>
      </c>
      <c r="AC123" s="21" t="s">
        <v>136</v>
      </c>
      <c r="AD123" s="21" t="s">
        <v>172</v>
      </c>
      <c r="AE123" s="21" t="s">
        <v>150</v>
      </c>
    </row>
    <row r="124" customFormat="false" ht="15" hidden="false" customHeight="false" outlineLevel="0" collapsed="false">
      <c r="A124" s="21" t="s">
        <v>171</v>
      </c>
      <c r="B124" s="21" t="s">
        <v>78</v>
      </c>
      <c r="C124" s="21" t="s">
        <v>129</v>
      </c>
      <c r="D124" s="21" t="s">
        <v>130</v>
      </c>
      <c r="E124" s="21" t="s">
        <v>131</v>
      </c>
      <c r="F124" s="22" t="n">
        <v>898.98</v>
      </c>
      <c r="G124" s="22" t="n">
        <v>1259.52</v>
      </c>
      <c r="H124" s="22" t="n">
        <v>1379.07</v>
      </c>
      <c r="I124" s="22" t="n">
        <v>1099.75</v>
      </c>
      <c r="J124" s="22" t="n">
        <v>1222.38</v>
      </c>
      <c r="K124" s="22" t="n">
        <v>1238.52</v>
      </c>
      <c r="L124" s="22" t="n">
        <v>1461.94</v>
      </c>
      <c r="M124" s="22" t="n">
        <v>1244.92</v>
      </c>
      <c r="N124" s="22" t="n">
        <v>1317.88</v>
      </c>
      <c r="O124" s="22" t="n">
        <v>1374.18</v>
      </c>
      <c r="P124" s="22" t="n">
        <v>1427.87</v>
      </c>
      <c r="Q124" s="22" t="n">
        <v>1460.01</v>
      </c>
      <c r="R124" s="22" t="n">
        <v>1495</v>
      </c>
      <c r="S124" s="22" t="n">
        <v>1536.27</v>
      </c>
      <c r="T124" s="22" t="n">
        <v>1577.31</v>
      </c>
      <c r="U124" s="21"/>
      <c r="V124" s="21" t="s">
        <v>132</v>
      </c>
      <c r="W124" s="21" t="s">
        <v>104</v>
      </c>
      <c r="X124" s="21"/>
      <c r="Y124" s="21" t="s">
        <v>105</v>
      </c>
      <c r="Z124" s="21" t="s">
        <v>133</v>
      </c>
      <c r="AA124" s="21" t="s">
        <v>134</v>
      </c>
      <c r="AB124" s="21" t="s">
        <v>135</v>
      </c>
      <c r="AC124" s="21" t="s">
        <v>136</v>
      </c>
      <c r="AD124" s="21" t="s">
        <v>172</v>
      </c>
      <c r="AE124" s="21" t="s">
        <v>151</v>
      </c>
    </row>
    <row r="125" customFormat="false" ht="15" hidden="false" customHeight="false" outlineLevel="0" collapsed="false">
      <c r="A125" s="21" t="s">
        <v>171</v>
      </c>
      <c r="B125" s="21" t="s">
        <v>85</v>
      </c>
      <c r="C125" s="21" t="s">
        <v>129</v>
      </c>
      <c r="D125" s="21" t="s">
        <v>130</v>
      </c>
      <c r="E125" s="21" t="s">
        <v>131</v>
      </c>
      <c r="F125" s="22" t="n">
        <v>642.22</v>
      </c>
      <c r="G125" s="22" t="n">
        <v>718.26</v>
      </c>
      <c r="H125" s="22" t="n">
        <v>782.48</v>
      </c>
      <c r="I125" s="22" t="n">
        <v>729.01</v>
      </c>
      <c r="J125" s="22" t="n">
        <v>688.38</v>
      </c>
      <c r="K125" s="22" t="n">
        <v>664.76</v>
      </c>
      <c r="L125" s="22" t="n">
        <v>702.66</v>
      </c>
      <c r="M125" s="22" t="n">
        <v>745.39</v>
      </c>
      <c r="N125" s="22" t="n">
        <v>772.3</v>
      </c>
      <c r="O125" s="22" t="n">
        <v>794.87</v>
      </c>
      <c r="P125" s="22" t="n">
        <v>795.05</v>
      </c>
      <c r="Q125" s="22" t="n">
        <v>786.96</v>
      </c>
      <c r="R125" s="22" t="n">
        <v>785.34</v>
      </c>
      <c r="S125" s="22" t="n">
        <v>788.24</v>
      </c>
      <c r="T125" s="22" t="n">
        <v>792.62</v>
      </c>
      <c r="U125" s="21"/>
      <c r="V125" s="21" t="s">
        <v>132</v>
      </c>
      <c r="W125" s="21" t="s">
        <v>104</v>
      </c>
      <c r="X125" s="21"/>
      <c r="Y125" s="21" t="s">
        <v>105</v>
      </c>
      <c r="Z125" s="21" t="s">
        <v>133</v>
      </c>
      <c r="AA125" s="21" t="s">
        <v>134</v>
      </c>
      <c r="AB125" s="21" t="s">
        <v>135</v>
      </c>
      <c r="AC125" s="21" t="s">
        <v>136</v>
      </c>
      <c r="AD125" s="21" t="s">
        <v>172</v>
      </c>
      <c r="AE125" s="21" t="s">
        <v>152</v>
      </c>
    </row>
    <row r="126" customFormat="false" ht="15" hidden="false" customHeight="false" outlineLevel="0" collapsed="false">
      <c r="A126" s="21" t="s">
        <v>171</v>
      </c>
      <c r="B126" s="21" t="s">
        <v>153</v>
      </c>
      <c r="C126" s="21" t="s">
        <v>129</v>
      </c>
      <c r="D126" s="21" t="s">
        <v>130</v>
      </c>
      <c r="E126" s="21" t="s">
        <v>131</v>
      </c>
      <c r="F126" s="22" t="n">
        <v>14.02</v>
      </c>
      <c r="G126" s="22" t="n">
        <v>20.02</v>
      </c>
      <c r="H126" s="22" t="n">
        <v>30.75</v>
      </c>
      <c r="I126" s="22" t="n">
        <v>29.13</v>
      </c>
      <c r="J126" s="22" t="n">
        <v>27.84</v>
      </c>
      <c r="K126" s="22" t="n">
        <v>21.51</v>
      </c>
      <c r="L126" s="22" t="n">
        <v>20.78</v>
      </c>
      <c r="M126" s="22" t="n">
        <v>21.54</v>
      </c>
      <c r="N126" s="22" t="n">
        <v>22.2</v>
      </c>
      <c r="O126" s="22" t="n">
        <v>22.87</v>
      </c>
      <c r="P126" s="22" t="n">
        <v>23.01</v>
      </c>
      <c r="Q126" s="22" t="n">
        <v>23.02</v>
      </c>
      <c r="R126" s="22" t="n">
        <v>23.25</v>
      </c>
      <c r="S126" s="22" t="n">
        <v>23.63</v>
      </c>
      <c r="T126" s="22" t="n">
        <v>24.04</v>
      </c>
      <c r="U126" s="21"/>
      <c r="V126" s="21" t="s">
        <v>132</v>
      </c>
      <c r="W126" s="21" t="s">
        <v>104</v>
      </c>
      <c r="X126" s="21"/>
      <c r="Y126" s="21" t="s">
        <v>105</v>
      </c>
      <c r="Z126" s="21" t="s">
        <v>133</v>
      </c>
      <c r="AA126" s="21" t="s">
        <v>134</v>
      </c>
      <c r="AB126" s="21" t="s">
        <v>135</v>
      </c>
      <c r="AC126" s="21" t="s">
        <v>136</v>
      </c>
      <c r="AD126" s="21" t="s">
        <v>172</v>
      </c>
      <c r="AE126" s="21" t="s">
        <v>154</v>
      </c>
    </row>
    <row r="127" customFormat="false" ht="15" hidden="false" customHeight="false" outlineLevel="0" collapsed="false">
      <c r="A127" s="21" t="s">
        <v>173</v>
      </c>
      <c r="B127" s="21" t="s">
        <v>128</v>
      </c>
      <c r="C127" s="21" t="s">
        <v>129</v>
      </c>
      <c r="D127" s="21" t="s">
        <v>130</v>
      </c>
      <c r="E127" s="21" t="s">
        <v>131</v>
      </c>
      <c r="F127" s="22" t="n">
        <v>57.5</v>
      </c>
      <c r="G127" s="22" t="n">
        <v>61.21</v>
      </c>
      <c r="H127" s="22" t="n">
        <v>72.44</v>
      </c>
      <c r="I127" s="22" t="n">
        <v>73.06</v>
      </c>
      <c r="J127" s="22" t="n">
        <v>67.08</v>
      </c>
      <c r="K127" s="22" t="n">
        <v>70.58</v>
      </c>
      <c r="L127" s="22" t="n">
        <v>78.25</v>
      </c>
      <c r="M127" s="22" t="n">
        <v>84.33</v>
      </c>
      <c r="N127" s="22" t="n">
        <v>94.17</v>
      </c>
      <c r="O127" s="22" t="n">
        <v>104.26</v>
      </c>
      <c r="P127" s="22" t="n">
        <v>115.36</v>
      </c>
      <c r="Q127" s="22" t="n">
        <v>120.68</v>
      </c>
      <c r="R127" s="22" t="n">
        <v>126.23</v>
      </c>
      <c r="S127" s="22" t="n">
        <v>138.95</v>
      </c>
      <c r="T127" s="22" t="n">
        <v>145.2</v>
      </c>
      <c r="U127" s="21"/>
      <c r="V127" s="21" t="s">
        <v>132</v>
      </c>
      <c r="W127" s="21" t="s">
        <v>104</v>
      </c>
      <c r="X127" s="21"/>
      <c r="Y127" s="21" t="s">
        <v>105</v>
      </c>
      <c r="Z127" s="21" t="s">
        <v>133</v>
      </c>
      <c r="AA127" s="21" t="s">
        <v>134</v>
      </c>
      <c r="AB127" s="21" t="s">
        <v>135</v>
      </c>
      <c r="AC127" s="21" t="s">
        <v>136</v>
      </c>
      <c r="AD127" s="21" t="s">
        <v>174</v>
      </c>
      <c r="AE127" s="21" t="s">
        <v>138</v>
      </c>
    </row>
    <row r="128" customFormat="false" ht="15" hidden="false" customHeight="false" outlineLevel="0" collapsed="false">
      <c r="A128" s="21" t="s">
        <v>173</v>
      </c>
      <c r="B128" s="21" t="s">
        <v>139</v>
      </c>
      <c r="C128" s="21" t="s">
        <v>129</v>
      </c>
      <c r="D128" s="21" t="s">
        <v>130</v>
      </c>
      <c r="E128" s="21" t="s">
        <v>131</v>
      </c>
      <c r="F128" s="22" t="n">
        <v>290.97</v>
      </c>
      <c r="G128" s="22" t="n">
        <v>231.69</v>
      </c>
      <c r="H128" s="22" t="n">
        <v>392.08</v>
      </c>
      <c r="I128" s="22" t="n">
        <v>460.28</v>
      </c>
      <c r="J128" s="22" t="n">
        <v>429.93</v>
      </c>
      <c r="K128" s="22" t="n">
        <v>438.57</v>
      </c>
      <c r="L128" s="22" t="n">
        <v>410.67</v>
      </c>
      <c r="M128" s="22" t="n">
        <v>409.97</v>
      </c>
      <c r="N128" s="22" t="n">
        <v>412.06</v>
      </c>
      <c r="O128" s="22" t="n">
        <v>391.77</v>
      </c>
      <c r="P128" s="22" t="n">
        <v>395.96</v>
      </c>
      <c r="Q128" s="22" t="n">
        <v>404.01</v>
      </c>
      <c r="R128" s="22" t="n">
        <v>410.24</v>
      </c>
      <c r="S128" s="22" t="n">
        <v>414.54</v>
      </c>
      <c r="T128" s="22" t="n">
        <v>421.95</v>
      </c>
      <c r="U128" s="21"/>
      <c r="V128" s="21" t="s">
        <v>132</v>
      </c>
      <c r="W128" s="21" t="s">
        <v>104</v>
      </c>
      <c r="X128" s="21"/>
      <c r="Y128" s="21" t="s">
        <v>105</v>
      </c>
      <c r="Z128" s="21" t="s">
        <v>133</v>
      </c>
      <c r="AA128" s="21" t="s">
        <v>134</v>
      </c>
      <c r="AB128" s="21" t="s">
        <v>135</v>
      </c>
      <c r="AC128" s="21" t="s">
        <v>136</v>
      </c>
      <c r="AD128" s="21" t="s">
        <v>174</v>
      </c>
      <c r="AE128" s="21" t="s">
        <v>140</v>
      </c>
    </row>
    <row r="129" customFormat="false" ht="15" hidden="false" customHeight="false" outlineLevel="0" collapsed="false">
      <c r="A129" s="21" t="s">
        <v>173</v>
      </c>
      <c r="B129" s="21" t="s">
        <v>141</v>
      </c>
      <c r="C129" s="21" t="s">
        <v>129</v>
      </c>
      <c r="D129" s="21" t="s">
        <v>130</v>
      </c>
      <c r="E129" s="21" t="s">
        <v>131</v>
      </c>
      <c r="F129" s="22" t="n">
        <v>278.07</v>
      </c>
      <c r="G129" s="22" t="n">
        <v>303.49</v>
      </c>
      <c r="H129" s="22" t="n">
        <v>360.96</v>
      </c>
      <c r="I129" s="22" t="n">
        <v>369.32</v>
      </c>
      <c r="J129" s="22" t="n">
        <v>340.71</v>
      </c>
      <c r="K129" s="22" t="n">
        <v>349.71</v>
      </c>
      <c r="L129" s="22" t="n">
        <v>328.9</v>
      </c>
      <c r="M129" s="22" t="n">
        <v>327.12</v>
      </c>
      <c r="N129" s="22" t="n">
        <v>342.14</v>
      </c>
      <c r="O129" s="22" t="n">
        <v>368.48</v>
      </c>
      <c r="P129" s="22" t="n">
        <v>402.84</v>
      </c>
      <c r="Q129" s="22" t="n">
        <v>433.31</v>
      </c>
      <c r="R129" s="22" t="n">
        <v>473.19</v>
      </c>
      <c r="S129" s="22" t="n">
        <v>529.98</v>
      </c>
      <c r="T129" s="22" t="n">
        <v>572.07</v>
      </c>
      <c r="U129" s="21"/>
      <c r="V129" s="21" t="s">
        <v>132</v>
      </c>
      <c r="W129" s="21" t="s">
        <v>104</v>
      </c>
      <c r="X129" s="21"/>
      <c r="Y129" s="21" t="s">
        <v>105</v>
      </c>
      <c r="Z129" s="21" t="s">
        <v>133</v>
      </c>
      <c r="AA129" s="21" t="s">
        <v>134</v>
      </c>
      <c r="AB129" s="21" t="s">
        <v>135</v>
      </c>
      <c r="AC129" s="21" t="s">
        <v>136</v>
      </c>
      <c r="AD129" s="21" t="s">
        <v>174</v>
      </c>
      <c r="AE129" s="21" t="s">
        <v>142</v>
      </c>
    </row>
    <row r="130" customFormat="false" ht="15" hidden="false" customHeight="false" outlineLevel="0" collapsed="false">
      <c r="A130" s="21" t="s">
        <v>173</v>
      </c>
      <c r="B130" s="21" t="s">
        <v>143</v>
      </c>
      <c r="C130" s="21" t="s">
        <v>129</v>
      </c>
      <c r="D130" s="21" t="s">
        <v>130</v>
      </c>
      <c r="E130" s="21" t="s">
        <v>131</v>
      </c>
      <c r="F130" s="22" t="n">
        <v>2189.79</v>
      </c>
      <c r="G130" s="22" t="n">
        <v>2250.07</v>
      </c>
      <c r="H130" s="22" t="n">
        <v>1721.45</v>
      </c>
      <c r="I130" s="22" t="n">
        <v>1681.24</v>
      </c>
      <c r="J130" s="22" t="n">
        <v>1838.86</v>
      </c>
      <c r="K130" s="22" t="n">
        <v>1881.65</v>
      </c>
      <c r="L130" s="22" t="n">
        <v>2003.17</v>
      </c>
      <c r="M130" s="22" t="n">
        <v>2041.99</v>
      </c>
      <c r="N130" s="22" t="n">
        <v>2052.89</v>
      </c>
      <c r="O130" s="22" t="n">
        <v>2063.64</v>
      </c>
      <c r="P130" s="22" t="n">
        <v>2095.2</v>
      </c>
      <c r="Q130" s="22" t="n">
        <v>2122.13</v>
      </c>
      <c r="R130" s="22" t="n">
        <v>2154.49</v>
      </c>
      <c r="S130" s="22" t="n">
        <v>2206.49</v>
      </c>
      <c r="T130" s="22" t="n">
        <v>2254.18</v>
      </c>
      <c r="U130" s="21"/>
      <c r="V130" s="21" t="s">
        <v>132</v>
      </c>
      <c r="W130" s="21" t="s">
        <v>104</v>
      </c>
      <c r="X130" s="21"/>
      <c r="Y130" s="21" t="s">
        <v>105</v>
      </c>
      <c r="Z130" s="21" t="s">
        <v>133</v>
      </c>
      <c r="AA130" s="21" t="s">
        <v>134</v>
      </c>
      <c r="AB130" s="21" t="s">
        <v>135</v>
      </c>
      <c r="AC130" s="21" t="s">
        <v>136</v>
      </c>
      <c r="AD130" s="21" t="s">
        <v>174</v>
      </c>
      <c r="AE130" s="21" t="s">
        <v>144</v>
      </c>
    </row>
    <row r="131" customFormat="false" ht="15" hidden="false" customHeight="false" outlineLevel="0" collapsed="false">
      <c r="A131" s="21" t="s">
        <v>173</v>
      </c>
      <c r="B131" s="21" t="s">
        <v>67</v>
      </c>
      <c r="C131" s="21" t="s">
        <v>129</v>
      </c>
      <c r="D131" s="21" t="s">
        <v>130</v>
      </c>
      <c r="E131" s="21" t="s">
        <v>131</v>
      </c>
      <c r="F131" s="22" t="n">
        <v>3692.91</v>
      </c>
      <c r="G131" s="22" t="n">
        <v>3013.62</v>
      </c>
      <c r="H131" s="22" t="n">
        <v>3670.12</v>
      </c>
      <c r="I131" s="22" t="n">
        <v>3281.13</v>
      </c>
      <c r="J131" s="22" t="n">
        <v>3078.94</v>
      </c>
      <c r="K131" s="22" t="n">
        <v>2667.31</v>
      </c>
      <c r="L131" s="22" t="n">
        <v>2648.88</v>
      </c>
      <c r="M131" s="22" t="n">
        <v>3059.94</v>
      </c>
      <c r="N131" s="22" t="n">
        <v>3691.77</v>
      </c>
      <c r="O131" s="22" t="n">
        <v>4365.98</v>
      </c>
      <c r="P131" s="22" t="n">
        <v>5008.48</v>
      </c>
      <c r="Q131" s="22" t="n">
        <v>5604.49</v>
      </c>
      <c r="R131" s="22" t="n">
        <v>6019.29</v>
      </c>
      <c r="S131" s="22" t="n">
        <v>6318.44</v>
      </c>
      <c r="T131" s="22" t="n">
        <v>6557.36</v>
      </c>
      <c r="U131" s="21"/>
      <c r="V131" s="21" t="s">
        <v>132</v>
      </c>
      <c r="W131" s="21" t="s">
        <v>104</v>
      </c>
      <c r="X131" s="21"/>
      <c r="Y131" s="21" t="s">
        <v>105</v>
      </c>
      <c r="Z131" s="21" t="s">
        <v>133</v>
      </c>
      <c r="AA131" s="21" t="s">
        <v>134</v>
      </c>
      <c r="AB131" s="21" t="s">
        <v>135</v>
      </c>
      <c r="AC131" s="21" t="s">
        <v>136</v>
      </c>
      <c r="AD131" s="21" t="s">
        <v>174</v>
      </c>
      <c r="AE131" s="21" t="s">
        <v>145</v>
      </c>
    </row>
    <row r="132" customFormat="false" ht="15" hidden="false" customHeight="false" outlineLevel="0" collapsed="false">
      <c r="A132" s="21" t="s">
        <v>173</v>
      </c>
      <c r="B132" s="21" t="s">
        <v>146</v>
      </c>
      <c r="C132" s="21" t="s">
        <v>129</v>
      </c>
      <c r="D132" s="21" t="s">
        <v>130</v>
      </c>
      <c r="E132" s="21" t="s">
        <v>131</v>
      </c>
      <c r="F132" s="22" t="n">
        <v>585.49</v>
      </c>
      <c r="G132" s="22" t="n">
        <v>733.29</v>
      </c>
      <c r="H132" s="22" t="n">
        <v>858.25</v>
      </c>
      <c r="I132" s="22" t="n">
        <v>903.31</v>
      </c>
      <c r="J132" s="22" t="n">
        <v>868.83</v>
      </c>
      <c r="K132" s="22" t="n">
        <v>857.07</v>
      </c>
      <c r="L132" s="22" t="n">
        <v>854.23</v>
      </c>
      <c r="M132" s="22" t="n">
        <v>879.16</v>
      </c>
      <c r="N132" s="22" t="n">
        <v>895.75</v>
      </c>
      <c r="O132" s="22" t="n">
        <v>908.44</v>
      </c>
      <c r="P132" s="22" t="n">
        <v>907.75</v>
      </c>
      <c r="Q132" s="22" t="n">
        <v>891.2</v>
      </c>
      <c r="R132" s="22" t="n">
        <v>915.42</v>
      </c>
      <c r="S132" s="22" t="n">
        <v>940.09</v>
      </c>
      <c r="T132" s="22" t="n">
        <v>943.63</v>
      </c>
      <c r="U132" s="21"/>
      <c r="V132" s="21" t="s">
        <v>132</v>
      </c>
      <c r="W132" s="21" t="s">
        <v>104</v>
      </c>
      <c r="X132" s="21"/>
      <c r="Y132" s="21" t="s">
        <v>105</v>
      </c>
      <c r="Z132" s="21" t="s">
        <v>133</v>
      </c>
      <c r="AA132" s="21" t="s">
        <v>134</v>
      </c>
      <c r="AB132" s="21" t="s">
        <v>135</v>
      </c>
      <c r="AC132" s="21" t="s">
        <v>136</v>
      </c>
      <c r="AD132" s="21" t="s">
        <v>174</v>
      </c>
      <c r="AE132" s="21" t="s">
        <v>147</v>
      </c>
    </row>
    <row r="133" customFormat="false" ht="15" hidden="false" customHeight="false" outlineLevel="0" collapsed="false">
      <c r="A133" s="21" t="s">
        <v>173</v>
      </c>
      <c r="B133" s="21" t="s">
        <v>74</v>
      </c>
      <c r="C133" s="21" t="s">
        <v>129</v>
      </c>
      <c r="D133" s="21" t="s">
        <v>130</v>
      </c>
      <c r="E133" s="21" t="s">
        <v>131</v>
      </c>
      <c r="F133" s="22" t="n">
        <v>1893.81</v>
      </c>
      <c r="G133" s="22" t="n">
        <v>1725.9</v>
      </c>
      <c r="H133" s="22" t="n">
        <v>1913.21</v>
      </c>
      <c r="I133" s="22" t="n">
        <v>1705.37</v>
      </c>
      <c r="J133" s="22" t="n">
        <v>1551.63</v>
      </c>
      <c r="K133" s="22" t="n">
        <v>1353.4</v>
      </c>
      <c r="L133" s="22" t="n">
        <v>1443.62</v>
      </c>
      <c r="M133" s="22" t="n">
        <v>1638.72</v>
      </c>
      <c r="N133" s="22" t="n">
        <v>1885.9</v>
      </c>
      <c r="O133" s="22" t="n">
        <v>2167.9</v>
      </c>
      <c r="P133" s="22" t="n">
        <v>2439.54</v>
      </c>
      <c r="Q133" s="22" t="n">
        <v>2693.12</v>
      </c>
      <c r="R133" s="22" t="n">
        <v>2873.03</v>
      </c>
      <c r="S133" s="22" t="n">
        <v>3014.96</v>
      </c>
      <c r="T133" s="22" t="n">
        <v>3149.35</v>
      </c>
      <c r="U133" s="21"/>
      <c r="V133" s="21" t="s">
        <v>132</v>
      </c>
      <c r="W133" s="21" t="s">
        <v>104</v>
      </c>
      <c r="X133" s="21"/>
      <c r="Y133" s="21" t="s">
        <v>105</v>
      </c>
      <c r="Z133" s="21" t="s">
        <v>133</v>
      </c>
      <c r="AA133" s="21" t="s">
        <v>134</v>
      </c>
      <c r="AB133" s="21" t="s">
        <v>135</v>
      </c>
      <c r="AC133" s="21" t="s">
        <v>136</v>
      </c>
      <c r="AD133" s="21" t="s">
        <v>174</v>
      </c>
      <c r="AE133" s="21" t="s">
        <v>148</v>
      </c>
    </row>
    <row r="134" customFormat="false" ht="15" hidden="false" customHeight="false" outlineLevel="0" collapsed="false">
      <c r="A134" s="21" t="s">
        <v>173</v>
      </c>
      <c r="B134" s="21" t="s">
        <v>71</v>
      </c>
      <c r="C134" s="21" t="s">
        <v>129</v>
      </c>
      <c r="D134" s="21" t="s">
        <v>130</v>
      </c>
      <c r="E134" s="21" t="s">
        <v>131</v>
      </c>
      <c r="F134" s="22" t="n">
        <v>2155.64</v>
      </c>
      <c r="G134" s="22" t="n">
        <v>3375.99</v>
      </c>
      <c r="H134" s="22" t="n">
        <v>3156.97</v>
      </c>
      <c r="I134" s="22" t="n">
        <v>3460.04</v>
      </c>
      <c r="J134" s="22" t="n">
        <v>3490.78</v>
      </c>
      <c r="K134" s="22" t="n">
        <v>3535.32</v>
      </c>
      <c r="L134" s="22" t="n">
        <v>4034.63</v>
      </c>
      <c r="M134" s="22" t="n">
        <v>4341.65</v>
      </c>
      <c r="N134" s="22" t="n">
        <v>4559.05</v>
      </c>
      <c r="O134" s="22" t="n">
        <v>4654.67</v>
      </c>
      <c r="P134" s="22" t="n">
        <v>4696.08</v>
      </c>
      <c r="Q134" s="22" t="n">
        <v>4627.84</v>
      </c>
      <c r="R134" s="22" t="n">
        <v>4507.94</v>
      </c>
      <c r="S134" s="22" t="n">
        <v>4490.82</v>
      </c>
      <c r="T134" s="22" t="n">
        <v>4557.06</v>
      </c>
      <c r="U134" s="21"/>
      <c r="V134" s="21" t="s">
        <v>132</v>
      </c>
      <c r="W134" s="21" t="s">
        <v>104</v>
      </c>
      <c r="X134" s="21"/>
      <c r="Y134" s="21" t="s">
        <v>105</v>
      </c>
      <c r="Z134" s="21" t="s">
        <v>133</v>
      </c>
      <c r="AA134" s="21" t="s">
        <v>134</v>
      </c>
      <c r="AB134" s="21" t="s">
        <v>135</v>
      </c>
      <c r="AC134" s="21" t="s">
        <v>136</v>
      </c>
      <c r="AD134" s="21" t="s">
        <v>174</v>
      </c>
      <c r="AE134" s="21" t="s">
        <v>149</v>
      </c>
    </row>
    <row r="135" customFormat="false" ht="15" hidden="false" customHeight="false" outlineLevel="0" collapsed="false">
      <c r="A135" s="21" t="s">
        <v>173</v>
      </c>
      <c r="B135" s="21" t="s">
        <v>81</v>
      </c>
      <c r="C135" s="21" t="s">
        <v>129</v>
      </c>
      <c r="D135" s="21" t="s">
        <v>130</v>
      </c>
      <c r="E135" s="21" t="s">
        <v>131</v>
      </c>
      <c r="F135" s="22" t="n">
        <v>2515.88</v>
      </c>
      <c r="G135" s="22" t="n">
        <v>2500.95</v>
      </c>
      <c r="H135" s="22" t="n">
        <v>2163.83</v>
      </c>
      <c r="I135" s="22" t="n">
        <v>2210.71</v>
      </c>
      <c r="J135" s="22" t="n">
        <v>2336.75</v>
      </c>
      <c r="K135" s="22" t="n">
        <v>2404.86</v>
      </c>
      <c r="L135" s="22" t="n">
        <v>2523.73</v>
      </c>
      <c r="M135" s="22" t="n">
        <v>2564.83</v>
      </c>
      <c r="N135" s="22" t="n">
        <v>2582.05</v>
      </c>
      <c r="O135" s="22" t="n">
        <v>2575.33</v>
      </c>
      <c r="P135" s="22" t="n">
        <v>2615.09</v>
      </c>
      <c r="Q135" s="22" t="n">
        <v>2652.03</v>
      </c>
      <c r="R135" s="22" t="n">
        <v>2693.28</v>
      </c>
      <c r="S135" s="22" t="n">
        <v>2754.53</v>
      </c>
      <c r="T135" s="22" t="n">
        <v>2813.43</v>
      </c>
      <c r="U135" s="21"/>
      <c r="V135" s="21" t="s">
        <v>132</v>
      </c>
      <c r="W135" s="21" t="s">
        <v>104</v>
      </c>
      <c r="X135" s="21"/>
      <c r="Y135" s="21" t="s">
        <v>105</v>
      </c>
      <c r="Z135" s="21" t="s">
        <v>133</v>
      </c>
      <c r="AA135" s="21" t="s">
        <v>134</v>
      </c>
      <c r="AB135" s="21" t="s">
        <v>135</v>
      </c>
      <c r="AC135" s="21" t="s">
        <v>136</v>
      </c>
      <c r="AD135" s="21" t="s">
        <v>174</v>
      </c>
      <c r="AE135" s="21" t="s">
        <v>150</v>
      </c>
    </row>
    <row r="136" customFormat="false" ht="15" hidden="false" customHeight="false" outlineLevel="0" collapsed="false">
      <c r="A136" s="21" t="s">
        <v>173</v>
      </c>
      <c r="B136" s="21" t="s">
        <v>78</v>
      </c>
      <c r="C136" s="21" t="s">
        <v>129</v>
      </c>
      <c r="D136" s="21" t="s">
        <v>130</v>
      </c>
      <c r="E136" s="21" t="s">
        <v>131</v>
      </c>
      <c r="F136" s="22" t="n">
        <v>585.59</v>
      </c>
      <c r="G136" s="22" t="n">
        <v>934.99</v>
      </c>
      <c r="H136" s="22" t="n">
        <v>828.13</v>
      </c>
      <c r="I136" s="22" t="n">
        <v>1178.16</v>
      </c>
      <c r="J136" s="22" t="n">
        <v>1160.46</v>
      </c>
      <c r="K136" s="22" t="n">
        <v>1063.08</v>
      </c>
      <c r="L136" s="22" t="n">
        <v>1083.79</v>
      </c>
      <c r="M136" s="22" t="n">
        <v>1160.2</v>
      </c>
      <c r="N136" s="22" t="n">
        <v>1204.64</v>
      </c>
      <c r="O136" s="22" t="n">
        <v>1208.46</v>
      </c>
      <c r="P136" s="22" t="n">
        <v>1208.6</v>
      </c>
      <c r="Q136" s="22" t="n">
        <v>1178.68</v>
      </c>
      <c r="R136" s="22" t="n">
        <v>1140.48</v>
      </c>
      <c r="S136" s="22" t="n">
        <v>1139.12</v>
      </c>
      <c r="T136" s="22" t="n">
        <v>1157.18</v>
      </c>
      <c r="U136" s="21"/>
      <c r="V136" s="21" t="s">
        <v>132</v>
      </c>
      <c r="W136" s="21" t="s">
        <v>104</v>
      </c>
      <c r="X136" s="21"/>
      <c r="Y136" s="21" t="s">
        <v>105</v>
      </c>
      <c r="Z136" s="21" t="s">
        <v>133</v>
      </c>
      <c r="AA136" s="21" t="s">
        <v>134</v>
      </c>
      <c r="AB136" s="21" t="s">
        <v>135</v>
      </c>
      <c r="AC136" s="21" t="s">
        <v>136</v>
      </c>
      <c r="AD136" s="21" t="s">
        <v>174</v>
      </c>
      <c r="AE136" s="21" t="s">
        <v>151</v>
      </c>
    </row>
    <row r="137" customFormat="false" ht="15" hidden="false" customHeight="false" outlineLevel="0" collapsed="false">
      <c r="A137" s="21" t="s">
        <v>173</v>
      </c>
      <c r="B137" s="21" t="s">
        <v>85</v>
      </c>
      <c r="C137" s="21" t="s">
        <v>129</v>
      </c>
      <c r="D137" s="21" t="s">
        <v>130</v>
      </c>
      <c r="E137" s="21" t="s">
        <v>131</v>
      </c>
      <c r="F137" s="22" t="n">
        <v>921.05</v>
      </c>
      <c r="G137" s="22" t="n">
        <v>1097.99</v>
      </c>
      <c r="H137" s="22" t="n">
        <v>1291.65</v>
      </c>
      <c r="I137" s="22" t="n">
        <v>1345.69</v>
      </c>
      <c r="J137" s="22" t="n">
        <v>1276.62</v>
      </c>
      <c r="K137" s="22" t="n">
        <v>1277.36</v>
      </c>
      <c r="L137" s="22" t="n">
        <v>1261.39</v>
      </c>
      <c r="M137" s="22" t="n">
        <v>1290.6</v>
      </c>
      <c r="N137" s="22" t="n">
        <v>1332.07</v>
      </c>
      <c r="O137" s="22" t="n">
        <v>1381.18</v>
      </c>
      <c r="P137" s="22" t="n">
        <v>1425.95</v>
      </c>
      <c r="Q137" s="22" t="n">
        <v>1445.2</v>
      </c>
      <c r="R137" s="22" t="n">
        <v>1514.84</v>
      </c>
      <c r="S137" s="22" t="n">
        <v>1609.02</v>
      </c>
      <c r="T137" s="22" t="n">
        <v>1660.9</v>
      </c>
      <c r="U137" s="21"/>
      <c r="V137" s="21" t="s">
        <v>132</v>
      </c>
      <c r="W137" s="21" t="s">
        <v>104</v>
      </c>
      <c r="X137" s="21"/>
      <c r="Y137" s="21" t="s">
        <v>105</v>
      </c>
      <c r="Z137" s="21" t="s">
        <v>133</v>
      </c>
      <c r="AA137" s="21" t="s">
        <v>134</v>
      </c>
      <c r="AB137" s="21" t="s">
        <v>135</v>
      </c>
      <c r="AC137" s="21" t="s">
        <v>136</v>
      </c>
      <c r="AD137" s="21" t="s">
        <v>174</v>
      </c>
      <c r="AE137" s="21" t="s">
        <v>152</v>
      </c>
    </row>
    <row r="138" customFormat="false" ht="15" hidden="false" customHeight="false" outlineLevel="0" collapsed="false">
      <c r="A138" s="21" t="s">
        <v>173</v>
      </c>
      <c r="B138" s="21" t="s">
        <v>153</v>
      </c>
      <c r="C138" s="21" t="s">
        <v>129</v>
      </c>
      <c r="D138" s="21" t="s">
        <v>130</v>
      </c>
      <c r="E138" s="21" t="s">
        <v>131</v>
      </c>
      <c r="F138" s="22" t="n">
        <v>35.12</v>
      </c>
      <c r="G138" s="22" t="n">
        <v>19.19</v>
      </c>
      <c r="H138" s="22" t="n">
        <v>50.3</v>
      </c>
      <c r="I138" s="22" t="n">
        <v>69.19</v>
      </c>
      <c r="J138" s="22" t="n">
        <v>67.95</v>
      </c>
      <c r="K138" s="22" t="n">
        <v>84.65</v>
      </c>
      <c r="L138" s="22" t="n">
        <v>109.88</v>
      </c>
      <c r="M138" s="22" t="n">
        <v>112.88</v>
      </c>
      <c r="N138" s="22" t="n">
        <v>117.1</v>
      </c>
      <c r="O138" s="22" t="n">
        <v>119.92</v>
      </c>
      <c r="P138" s="22" t="n">
        <v>123.93</v>
      </c>
      <c r="Q138" s="22" t="n">
        <v>125.9</v>
      </c>
      <c r="R138" s="22" t="n">
        <v>128.55</v>
      </c>
      <c r="S138" s="22" t="n">
        <v>133.5</v>
      </c>
      <c r="T138" s="22" t="n">
        <v>137.29</v>
      </c>
      <c r="U138" s="21"/>
      <c r="V138" s="21" t="s">
        <v>132</v>
      </c>
      <c r="W138" s="21" t="s">
        <v>104</v>
      </c>
      <c r="X138" s="21"/>
      <c r="Y138" s="21" t="s">
        <v>105</v>
      </c>
      <c r="Z138" s="21" t="s">
        <v>133</v>
      </c>
      <c r="AA138" s="21" t="s">
        <v>134</v>
      </c>
      <c r="AB138" s="21" t="s">
        <v>135</v>
      </c>
      <c r="AC138" s="21" t="s">
        <v>136</v>
      </c>
      <c r="AD138" s="21" t="s">
        <v>174</v>
      </c>
      <c r="AE138" s="21" t="s">
        <v>154</v>
      </c>
    </row>
    <row r="139" customFormat="false" ht="15" hidden="false" customHeight="false" outlineLevel="0" collapsed="false">
      <c r="A139" s="21" t="s">
        <v>175</v>
      </c>
      <c r="B139" s="21" t="s">
        <v>128</v>
      </c>
      <c r="C139" s="21" t="s">
        <v>129</v>
      </c>
      <c r="D139" s="21" t="s">
        <v>130</v>
      </c>
      <c r="E139" s="21" t="s">
        <v>131</v>
      </c>
      <c r="F139" s="22" t="n">
        <v>2065.64</v>
      </c>
      <c r="G139" s="22" t="n">
        <v>2273.29</v>
      </c>
      <c r="H139" s="22" t="n">
        <v>2553.94</v>
      </c>
      <c r="I139" s="22" t="n">
        <v>2591.79</v>
      </c>
      <c r="J139" s="22" t="n">
        <v>2677.27</v>
      </c>
      <c r="K139" s="22" t="n">
        <v>2808.06</v>
      </c>
      <c r="L139" s="22" t="n">
        <v>2865.5</v>
      </c>
      <c r="M139" s="22" t="n">
        <v>2935.32</v>
      </c>
      <c r="N139" s="22" t="n">
        <v>2947.82</v>
      </c>
      <c r="O139" s="22" t="n">
        <v>2987.01</v>
      </c>
      <c r="P139" s="22" t="n">
        <v>3141.5</v>
      </c>
      <c r="Q139" s="22" t="n">
        <v>3219.02</v>
      </c>
      <c r="R139" s="22" t="n">
        <v>3263.23</v>
      </c>
      <c r="S139" s="22" t="n">
        <v>3364.13</v>
      </c>
      <c r="T139" s="22" t="n">
        <v>3414.13</v>
      </c>
      <c r="U139" s="21"/>
      <c r="V139" s="21" t="s">
        <v>132</v>
      </c>
      <c r="W139" s="21" t="s">
        <v>104</v>
      </c>
      <c r="X139" s="21"/>
      <c r="Y139" s="21" t="s">
        <v>105</v>
      </c>
      <c r="Z139" s="21" t="s">
        <v>133</v>
      </c>
      <c r="AA139" s="21" t="s">
        <v>134</v>
      </c>
      <c r="AB139" s="21" t="s">
        <v>135</v>
      </c>
      <c r="AC139" s="21" t="s">
        <v>136</v>
      </c>
      <c r="AD139" s="21" t="s">
        <v>176</v>
      </c>
      <c r="AE139" s="21" t="s">
        <v>138</v>
      </c>
    </row>
    <row r="140" customFormat="false" ht="15" hidden="false" customHeight="false" outlineLevel="0" collapsed="false">
      <c r="A140" s="21" t="s">
        <v>175</v>
      </c>
      <c r="B140" s="21" t="s">
        <v>139</v>
      </c>
      <c r="C140" s="21" t="s">
        <v>129</v>
      </c>
      <c r="D140" s="21" t="s">
        <v>130</v>
      </c>
      <c r="E140" s="21" t="s">
        <v>131</v>
      </c>
      <c r="F140" s="22" t="n">
        <v>2546.01</v>
      </c>
      <c r="G140" s="22" t="n">
        <v>2672.49</v>
      </c>
      <c r="H140" s="22" t="n">
        <v>2792.95</v>
      </c>
      <c r="I140" s="22" t="n">
        <v>2879.23</v>
      </c>
      <c r="J140" s="22" t="n">
        <v>3187.91</v>
      </c>
      <c r="K140" s="22" t="n">
        <v>3284.46</v>
      </c>
      <c r="L140" s="22" t="n">
        <v>3388.31</v>
      </c>
      <c r="M140" s="22" t="n">
        <v>3503.5</v>
      </c>
      <c r="N140" s="22" t="n">
        <v>3548.84</v>
      </c>
      <c r="O140" s="22" t="n">
        <v>3617.03</v>
      </c>
      <c r="P140" s="22" t="n">
        <v>3715.42</v>
      </c>
      <c r="Q140" s="22" t="n">
        <v>3823.84</v>
      </c>
      <c r="R140" s="22" t="n">
        <v>3921.18</v>
      </c>
      <c r="S140" s="22" t="n">
        <v>4007.88</v>
      </c>
      <c r="T140" s="22" t="n">
        <v>4105.67</v>
      </c>
      <c r="U140" s="21"/>
      <c r="V140" s="21" t="s">
        <v>132</v>
      </c>
      <c r="W140" s="21" t="s">
        <v>104</v>
      </c>
      <c r="X140" s="21"/>
      <c r="Y140" s="21" t="s">
        <v>105</v>
      </c>
      <c r="Z140" s="21" t="s">
        <v>133</v>
      </c>
      <c r="AA140" s="21" t="s">
        <v>134</v>
      </c>
      <c r="AB140" s="21" t="s">
        <v>135</v>
      </c>
      <c r="AC140" s="21" t="s">
        <v>136</v>
      </c>
      <c r="AD140" s="21" t="s">
        <v>176</v>
      </c>
      <c r="AE140" s="21" t="s">
        <v>140</v>
      </c>
    </row>
    <row r="141" customFormat="false" ht="15" hidden="false" customHeight="false" outlineLevel="0" collapsed="false">
      <c r="A141" s="21" t="s">
        <v>175</v>
      </c>
      <c r="B141" s="21" t="s">
        <v>141</v>
      </c>
      <c r="C141" s="21" t="s">
        <v>129</v>
      </c>
      <c r="D141" s="21" t="s">
        <v>130</v>
      </c>
      <c r="E141" s="21" t="s">
        <v>131</v>
      </c>
      <c r="F141" s="22" t="n">
        <v>5836.55</v>
      </c>
      <c r="G141" s="22" t="n">
        <v>6486.16</v>
      </c>
      <c r="H141" s="22" t="n">
        <v>7338.76</v>
      </c>
      <c r="I141" s="22" t="n">
        <v>7452.43</v>
      </c>
      <c r="J141" s="22" t="n">
        <v>7709.14</v>
      </c>
      <c r="K141" s="22" t="n">
        <v>8091.88</v>
      </c>
      <c r="L141" s="22" t="n">
        <v>8347.1</v>
      </c>
      <c r="M141" s="22" t="n">
        <v>8514.28</v>
      </c>
      <c r="N141" s="22" t="n">
        <v>8644.72</v>
      </c>
      <c r="O141" s="22" t="n">
        <v>8857.14</v>
      </c>
      <c r="P141" s="22" t="n">
        <v>9242.62</v>
      </c>
      <c r="Q141" s="22" t="n">
        <v>9526.55</v>
      </c>
      <c r="R141" s="22" t="n">
        <v>9690.81</v>
      </c>
      <c r="S141" s="22" t="n">
        <v>9951.39</v>
      </c>
      <c r="T141" s="22" t="n">
        <v>10143.05</v>
      </c>
      <c r="U141" s="21"/>
      <c r="V141" s="21" t="s">
        <v>132</v>
      </c>
      <c r="W141" s="21" t="s">
        <v>104</v>
      </c>
      <c r="X141" s="21"/>
      <c r="Y141" s="21" t="s">
        <v>105</v>
      </c>
      <c r="Z141" s="21" t="s">
        <v>133</v>
      </c>
      <c r="AA141" s="21" t="s">
        <v>134</v>
      </c>
      <c r="AB141" s="21" t="s">
        <v>135</v>
      </c>
      <c r="AC141" s="21" t="s">
        <v>136</v>
      </c>
      <c r="AD141" s="21" t="s">
        <v>176</v>
      </c>
      <c r="AE141" s="21" t="s">
        <v>142</v>
      </c>
    </row>
    <row r="142" customFormat="false" ht="15" hidden="false" customHeight="false" outlineLevel="0" collapsed="false">
      <c r="A142" s="21" t="s">
        <v>175</v>
      </c>
      <c r="B142" s="21" t="s">
        <v>143</v>
      </c>
      <c r="C142" s="21" t="s">
        <v>129</v>
      </c>
      <c r="D142" s="21" t="s">
        <v>130</v>
      </c>
      <c r="E142" s="21" t="s">
        <v>131</v>
      </c>
      <c r="F142" s="22" t="n">
        <v>1193.1</v>
      </c>
      <c r="G142" s="22" t="n">
        <v>1264.06</v>
      </c>
      <c r="H142" s="22" t="n">
        <v>1414.21</v>
      </c>
      <c r="I142" s="22" t="n">
        <v>1487.12</v>
      </c>
      <c r="J142" s="22" t="n">
        <v>1776.43</v>
      </c>
      <c r="K142" s="22" t="n">
        <v>1824.14</v>
      </c>
      <c r="L142" s="22" t="n">
        <v>1894.65</v>
      </c>
      <c r="M142" s="22" t="n">
        <v>1969.43</v>
      </c>
      <c r="N142" s="22" t="n">
        <v>2009.37</v>
      </c>
      <c r="O142" s="22" t="n">
        <v>2077.35</v>
      </c>
      <c r="P142" s="22" t="n">
        <v>2142.57</v>
      </c>
      <c r="Q142" s="22" t="n">
        <v>2203.27</v>
      </c>
      <c r="R142" s="22" t="n">
        <v>2244.74</v>
      </c>
      <c r="S142" s="22" t="n">
        <v>2275.16</v>
      </c>
      <c r="T142" s="22" t="n">
        <v>2308.35</v>
      </c>
      <c r="U142" s="21"/>
      <c r="V142" s="21" t="s">
        <v>132</v>
      </c>
      <c r="W142" s="21" t="s">
        <v>104</v>
      </c>
      <c r="X142" s="21"/>
      <c r="Y142" s="21" t="s">
        <v>105</v>
      </c>
      <c r="Z142" s="21" t="s">
        <v>133</v>
      </c>
      <c r="AA142" s="21" t="s">
        <v>134</v>
      </c>
      <c r="AB142" s="21" t="s">
        <v>135</v>
      </c>
      <c r="AC142" s="21" t="s">
        <v>136</v>
      </c>
      <c r="AD142" s="21" t="s">
        <v>176</v>
      </c>
      <c r="AE142" s="21" t="s">
        <v>144</v>
      </c>
    </row>
    <row r="143" customFormat="false" ht="15" hidden="false" customHeight="false" outlineLevel="0" collapsed="false">
      <c r="A143" s="21" t="s">
        <v>175</v>
      </c>
      <c r="B143" s="21" t="s">
        <v>67</v>
      </c>
      <c r="C143" s="21" t="s">
        <v>129</v>
      </c>
      <c r="D143" s="21" t="s">
        <v>130</v>
      </c>
      <c r="E143" s="21" t="s">
        <v>131</v>
      </c>
      <c r="F143" s="22" t="n">
        <v>9921.59</v>
      </c>
      <c r="G143" s="22" t="n">
        <v>12314.25</v>
      </c>
      <c r="H143" s="22" t="n">
        <v>12795.44</v>
      </c>
      <c r="I143" s="22" t="n">
        <v>15048.9</v>
      </c>
      <c r="J143" s="22" t="n">
        <v>16285.32</v>
      </c>
      <c r="K143" s="22" t="n">
        <v>15734.46</v>
      </c>
      <c r="L143" s="22" t="n">
        <v>15915</v>
      </c>
      <c r="M143" s="22" t="n">
        <v>15297.26</v>
      </c>
      <c r="N143" s="22" t="n">
        <v>15196.07</v>
      </c>
      <c r="O143" s="22" t="n">
        <v>15162</v>
      </c>
      <c r="P143" s="22" t="n">
        <v>15321.21</v>
      </c>
      <c r="Q143" s="22" t="n">
        <v>15401.06</v>
      </c>
      <c r="R143" s="22" t="n">
        <v>15418.88</v>
      </c>
      <c r="S143" s="22" t="n">
        <v>15343.81</v>
      </c>
      <c r="T143" s="22" t="n">
        <v>15300.84</v>
      </c>
      <c r="U143" s="21"/>
      <c r="V143" s="21" t="s">
        <v>132</v>
      </c>
      <c r="W143" s="21" t="s">
        <v>104</v>
      </c>
      <c r="X143" s="21"/>
      <c r="Y143" s="21" t="s">
        <v>105</v>
      </c>
      <c r="Z143" s="21" t="s">
        <v>133</v>
      </c>
      <c r="AA143" s="21" t="s">
        <v>134</v>
      </c>
      <c r="AB143" s="21" t="s">
        <v>135</v>
      </c>
      <c r="AC143" s="21" t="s">
        <v>136</v>
      </c>
      <c r="AD143" s="21" t="s">
        <v>176</v>
      </c>
      <c r="AE143" s="21" t="s">
        <v>145</v>
      </c>
    </row>
    <row r="144" customFormat="false" ht="15" hidden="false" customHeight="false" outlineLevel="0" collapsed="false">
      <c r="A144" s="21" t="s">
        <v>175</v>
      </c>
      <c r="B144" s="21" t="s">
        <v>146</v>
      </c>
      <c r="C144" s="21" t="s">
        <v>129</v>
      </c>
      <c r="D144" s="21" t="s">
        <v>130</v>
      </c>
      <c r="E144" s="21" t="s">
        <v>131</v>
      </c>
      <c r="F144" s="22" t="n">
        <v>3543.66</v>
      </c>
      <c r="G144" s="22" t="n">
        <v>3913.87</v>
      </c>
      <c r="H144" s="22" t="n">
        <v>4398.99</v>
      </c>
      <c r="I144" s="22" t="n">
        <v>4461.58</v>
      </c>
      <c r="J144" s="22" t="n">
        <v>4608.24</v>
      </c>
      <c r="K144" s="22" t="n">
        <v>4817.83</v>
      </c>
      <c r="L144" s="22" t="n">
        <v>4959.1</v>
      </c>
      <c r="M144" s="22" t="n">
        <v>5092.75</v>
      </c>
      <c r="N144" s="22" t="n">
        <v>5164.48</v>
      </c>
      <c r="O144" s="22" t="n">
        <v>5275.57</v>
      </c>
      <c r="P144" s="22" t="n">
        <v>5528.07</v>
      </c>
      <c r="Q144" s="22" t="n">
        <v>5689.05</v>
      </c>
      <c r="R144" s="22" t="n">
        <v>5748.6</v>
      </c>
      <c r="S144" s="22" t="n">
        <v>5887.15</v>
      </c>
      <c r="T144" s="22" t="n">
        <v>5956.54</v>
      </c>
      <c r="U144" s="21"/>
      <c r="V144" s="21" t="s">
        <v>132</v>
      </c>
      <c r="W144" s="21" t="s">
        <v>104</v>
      </c>
      <c r="X144" s="21"/>
      <c r="Y144" s="21" t="s">
        <v>105</v>
      </c>
      <c r="Z144" s="21" t="s">
        <v>133</v>
      </c>
      <c r="AA144" s="21" t="s">
        <v>134</v>
      </c>
      <c r="AB144" s="21" t="s">
        <v>135</v>
      </c>
      <c r="AC144" s="21" t="s">
        <v>136</v>
      </c>
      <c r="AD144" s="21" t="s">
        <v>176</v>
      </c>
      <c r="AE144" s="21" t="s">
        <v>147</v>
      </c>
    </row>
    <row r="145" customFormat="false" ht="15" hidden="false" customHeight="false" outlineLevel="0" collapsed="false">
      <c r="A145" s="21" t="s">
        <v>175</v>
      </c>
      <c r="B145" s="21" t="s">
        <v>74</v>
      </c>
      <c r="C145" s="21" t="s">
        <v>129</v>
      </c>
      <c r="D145" s="21" t="s">
        <v>130</v>
      </c>
      <c r="E145" s="21" t="s">
        <v>131</v>
      </c>
      <c r="F145" s="22" t="n">
        <v>6308.46</v>
      </c>
      <c r="G145" s="22" t="n">
        <v>7790.31</v>
      </c>
      <c r="H145" s="22" t="n">
        <v>8298.13</v>
      </c>
      <c r="I145" s="22" t="n">
        <v>9748.88</v>
      </c>
      <c r="J145" s="22" t="n">
        <v>10256.76</v>
      </c>
      <c r="K145" s="22" t="n">
        <v>10024.78</v>
      </c>
      <c r="L145" s="22" t="n">
        <v>10080.78</v>
      </c>
      <c r="M145" s="22" t="n">
        <v>9910.65</v>
      </c>
      <c r="N145" s="22" t="n">
        <v>10329.17</v>
      </c>
      <c r="O145" s="22" t="n">
        <v>10618.66</v>
      </c>
      <c r="P145" s="22" t="n">
        <v>10956.29</v>
      </c>
      <c r="Q145" s="22" t="n">
        <v>11133.42</v>
      </c>
      <c r="R145" s="22" t="n">
        <v>11254.92</v>
      </c>
      <c r="S145" s="22" t="n">
        <v>11272.4</v>
      </c>
      <c r="T145" s="22" t="n">
        <v>11287.69</v>
      </c>
      <c r="U145" s="21"/>
      <c r="V145" s="21" t="s">
        <v>132</v>
      </c>
      <c r="W145" s="21" t="s">
        <v>104</v>
      </c>
      <c r="X145" s="21"/>
      <c r="Y145" s="21" t="s">
        <v>105</v>
      </c>
      <c r="Z145" s="21" t="s">
        <v>133</v>
      </c>
      <c r="AA145" s="21" t="s">
        <v>134</v>
      </c>
      <c r="AB145" s="21" t="s">
        <v>135</v>
      </c>
      <c r="AC145" s="21" t="s">
        <v>136</v>
      </c>
      <c r="AD145" s="21" t="s">
        <v>176</v>
      </c>
      <c r="AE145" s="21" t="s">
        <v>148</v>
      </c>
    </row>
    <row r="146" customFormat="false" ht="15" hidden="false" customHeight="false" outlineLevel="0" collapsed="false">
      <c r="A146" s="21" t="s">
        <v>175</v>
      </c>
      <c r="B146" s="21" t="s">
        <v>71</v>
      </c>
      <c r="C146" s="21" t="s">
        <v>129</v>
      </c>
      <c r="D146" s="21" t="s">
        <v>130</v>
      </c>
      <c r="E146" s="21" t="s">
        <v>131</v>
      </c>
      <c r="F146" s="22" t="n">
        <v>50134.63</v>
      </c>
      <c r="G146" s="22" t="n">
        <v>67505.3</v>
      </c>
      <c r="H146" s="22" t="n">
        <v>85644.99</v>
      </c>
      <c r="I146" s="22" t="n">
        <v>92053.91</v>
      </c>
      <c r="J146" s="22" t="n">
        <v>87113.95</v>
      </c>
      <c r="K146" s="22" t="n">
        <v>83272.55</v>
      </c>
      <c r="L146" s="22" t="n">
        <v>81848.34</v>
      </c>
      <c r="M146" s="22" t="n">
        <v>80845.25</v>
      </c>
      <c r="N146" s="22" t="n">
        <v>80617.05</v>
      </c>
      <c r="O146" s="22" t="n">
        <v>82069.77</v>
      </c>
      <c r="P146" s="22" t="n">
        <v>83560.2</v>
      </c>
      <c r="Q146" s="22" t="n">
        <v>83143.81</v>
      </c>
      <c r="R146" s="22" t="n">
        <v>83604.9</v>
      </c>
      <c r="S146" s="22" t="n">
        <v>85193.84</v>
      </c>
      <c r="T146" s="22" t="n">
        <v>86996.95</v>
      </c>
      <c r="U146" s="21"/>
      <c r="V146" s="21" t="s">
        <v>132</v>
      </c>
      <c r="W146" s="21" t="s">
        <v>104</v>
      </c>
      <c r="X146" s="21"/>
      <c r="Y146" s="21" t="s">
        <v>105</v>
      </c>
      <c r="Z146" s="21" t="s">
        <v>133</v>
      </c>
      <c r="AA146" s="21" t="s">
        <v>134</v>
      </c>
      <c r="AB146" s="21" t="s">
        <v>135</v>
      </c>
      <c r="AC146" s="21" t="s">
        <v>136</v>
      </c>
      <c r="AD146" s="21" t="s">
        <v>176</v>
      </c>
      <c r="AE146" s="21" t="s">
        <v>149</v>
      </c>
    </row>
    <row r="147" customFormat="false" ht="15" hidden="false" customHeight="false" outlineLevel="0" collapsed="false">
      <c r="A147" s="21" t="s">
        <v>175</v>
      </c>
      <c r="B147" s="21" t="s">
        <v>81</v>
      </c>
      <c r="C147" s="21" t="s">
        <v>129</v>
      </c>
      <c r="D147" s="21" t="s">
        <v>130</v>
      </c>
      <c r="E147" s="21" t="s">
        <v>131</v>
      </c>
      <c r="F147" s="22" t="n">
        <v>4248.1</v>
      </c>
      <c r="G147" s="22" t="n">
        <v>4543.44</v>
      </c>
      <c r="H147" s="22" t="n">
        <v>5019.65</v>
      </c>
      <c r="I147" s="22" t="n">
        <v>5252.21</v>
      </c>
      <c r="J147" s="22" t="n">
        <v>5922.34</v>
      </c>
      <c r="K147" s="22" t="n">
        <v>6072.52</v>
      </c>
      <c r="L147" s="22" t="n">
        <v>6248.21</v>
      </c>
      <c r="M147" s="22" t="n">
        <v>6473.04</v>
      </c>
      <c r="N147" s="22" t="n">
        <v>6574.42</v>
      </c>
      <c r="O147" s="22" t="n">
        <v>6738.8</v>
      </c>
      <c r="P147" s="22" t="n">
        <v>6940.78</v>
      </c>
      <c r="Q147" s="22" t="n">
        <v>7146.89</v>
      </c>
      <c r="R147" s="22" t="n">
        <v>7318.79</v>
      </c>
      <c r="S147" s="22" t="n">
        <v>7463.7</v>
      </c>
      <c r="T147" s="22" t="n">
        <v>7622.26</v>
      </c>
      <c r="U147" s="21"/>
      <c r="V147" s="21" t="s">
        <v>132</v>
      </c>
      <c r="W147" s="21" t="s">
        <v>104</v>
      </c>
      <c r="X147" s="21"/>
      <c r="Y147" s="21" t="s">
        <v>105</v>
      </c>
      <c r="Z147" s="21" t="s">
        <v>133</v>
      </c>
      <c r="AA147" s="21" t="s">
        <v>134</v>
      </c>
      <c r="AB147" s="21" t="s">
        <v>135</v>
      </c>
      <c r="AC147" s="21" t="s">
        <v>136</v>
      </c>
      <c r="AD147" s="21" t="s">
        <v>176</v>
      </c>
      <c r="AE147" s="21" t="s">
        <v>150</v>
      </c>
    </row>
    <row r="148" customFormat="false" ht="15" hidden="false" customHeight="false" outlineLevel="0" collapsed="false">
      <c r="A148" s="21" t="s">
        <v>175</v>
      </c>
      <c r="B148" s="21" t="s">
        <v>78</v>
      </c>
      <c r="C148" s="21" t="s">
        <v>129</v>
      </c>
      <c r="D148" s="21" t="s">
        <v>130</v>
      </c>
      <c r="E148" s="21" t="s">
        <v>131</v>
      </c>
      <c r="F148" s="22" t="n">
        <v>37126.52</v>
      </c>
      <c r="G148" s="22" t="n">
        <v>50380.5</v>
      </c>
      <c r="H148" s="22" t="n">
        <v>64586.95</v>
      </c>
      <c r="I148" s="22" t="n">
        <v>68748.23</v>
      </c>
      <c r="J148" s="22" t="n">
        <v>64013.43</v>
      </c>
      <c r="K148" s="22" t="n">
        <v>61591.23</v>
      </c>
      <c r="L148" s="22" t="n">
        <v>61064.63</v>
      </c>
      <c r="M148" s="22" t="n">
        <v>61013.61</v>
      </c>
      <c r="N148" s="22" t="n">
        <v>61394.16</v>
      </c>
      <c r="O148" s="22" t="n">
        <v>62683.36</v>
      </c>
      <c r="P148" s="22" t="n">
        <v>63834.32</v>
      </c>
      <c r="Q148" s="22" t="n">
        <v>63643.21</v>
      </c>
      <c r="R148" s="22" t="n">
        <v>64148.59</v>
      </c>
      <c r="S148" s="22" t="n">
        <v>65526.16</v>
      </c>
      <c r="T148" s="22" t="n">
        <v>67065.17</v>
      </c>
      <c r="U148" s="21"/>
      <c r="V148" s="21" t="s">
        <v>132</v>
      </c>
      <c r="W148" s="21" t="s">
        <v>104</v>
      </c>
      <c r="X148" s="21"/>
      <c r="Y148" s="21" t="s">
        <v>105</v>
      </c>
      <c r="Z148" s="21" t="s">
        <v>133</v>
      </c>
      <c r="AA148" s="21" t="s">
        <v>134</v>
      </c>
      <c r="AB148" s="21" t="s">
        <v>135</v>
      </c>
      <c r="AC148" s="21" t="s">
        <v>136</v>
      </c>
      <c r="AD148" s="21" t="s">
        <v>176</v>
      </c>
      <c r="AE148" s="21" t="s">
        <v>151</v>
      </c>
    </row>
    <row r="149" customFormat="false" ht="15" hidden="false" customHeight="false" outlineLevel="0" collapsed="false">
      <c r="A149" s="21" t="s">
        <v>175</v>
      </c>
      <c r="B149" s="21" t="s">
        <v>85</v>
      </c>
      <c r="C149" s="21" t="s">
        <v>129</v>
      </c>
      <c r="D149" s="21" t="s">
        <v>130</v>
      </c>
      <c r="E149" s="21" t="s">
        <v>131</v>
      </c>
      <c r="F149" s="22" t="n">
        <v>11445.85</v>
      </c>
      <c r="G149" s="22" t="n">
        <v>12673.32</v>
      </c>
      <c r="H149" s="22" t="n">
        <v>14291.68</v>
      </c>
      <c r="I149" s="22" t="n">
        <v>14505.8</v>
      </c>
      <c r="J149" s="22" t="n">
        <v>14994.64</v>
      </c>
      <c r="K149" s="22" t="n">
        <v>15717.77</v>
      </c>
      <c r="L149" s="22" t="n">
        <v>16171.7</v>
      </c>
      <c r="M149" s="22" t="n">
        <v>16542.34</v>
      </c>
      <c r="N149" s="22" t="n">
        <v>16757.01</v>
      </c>
      <c r="O149" s="22" t="n">
        <v>17119.72</v>
      </c>
      <c r="P149" s="22" t="n">
        <v>17912.18</v>
      </c>
      <c r="Q149" s="22" t="n">
        <v>18434.62</v>
      </c>
      <c r="R149" s="22" t="n">
        <v>18702.64</v>
      </c>
      <c r="S149" s="22" t="n">
        <v>19202.68</v>
      </c>
      <c r="T149" s="22" t="n">
        <v>19513.71</v>
      </c>
      <c r="U149" s="21"/>
      <c r="V149" s="21" t="s">
        <v>132</v>
      </c>
      <c r="W149" s="21" t="s">
        <v>104</v>
      </c>
      <c r="X149" s="21"/>
      <c r="Y149" s="21" t="s">
        <v>105</v>
      </c>
      <c r="Z149" s="21" t="s">
        <v>133</v>
      </c>
      <c r="AA149" s="21" t="s">
        <v>134</v>
      </c>
      <c r="AB149" s="21" t="s">
        <v>135</v>
      </c>
      <c r="AC149" s="21" t="s">
        <v>136</v>
      </c>
      <c r="AD149" s="21" t="s">
        <v>176</v>
      </c>
      <c r="AE149" s="21" t="s">
        <v>152</v>
      </c>
    </row>
    <row r="150" customFormat="false" ht="15" hidden="false" customHeight="false" outlineLevel="0" collapsed="false">
      <c r="A150" s="21" t="s">
        <v>175</v>
      </c>
      <c r="B150" s="21" t="s">
        <v>153</v>
      </c>
      <c r="C150" s="21" t="s">
        <v>129</v>
      </c>
      <c r="D150" s="21" t="s">
        <v>130</v>
      </c>
      <c r="E150" s="21" t="s">
        <v>131</v>
      </c>
      <c r="F150" s="22" t="n">
        <v>508.98</v>
      </c>
      <c r="G150" s="22" t="n">
        <v>606.9</v>
      </c>
      <c r="H150" s="22" t="n">
        <v>812.5</v>
      </c>
      <c r="I150" s="22" t="n">
        <v>885.86</v>
      </c>
      <c r="J150" s="22" t="n">
        <v>958</v>
      </c>
      <c r="K150" s="22" t="n">
        <v>963.93</v>
      </c>
      <c r="L150" s="22" t="n">
        <v>965.25</v>
      </c>
      <c r="M150" s="22" t="n">
        <v>1000.1</v>
      </c>
      <c r="N150" s="22" t="n">
        <v>1016.22</v>
      </c>
      <c r="O150" s="22" t="n">
        <v>1044.42</v>
      </c>
      <c r="P150" s="22" t="n">
        <v>1082.79</v>
      </c>
      <c r="Q150" s="22" t="n">
        <v>1119.78</v>
      </c>
      <c r="R150" s="22" t="n">
        <v>1152.88</v>
      </c>
      <c r="S150" s="22" t="n">
        <v>1180.65</v>
      </c>
      <c r="T150" s="22" t="n">
        <v>1208.24</v>
      </c>
      <c r="U150" s="21"/>
      <c r="V150" s="21" t="s">
        <v>132</v>
      </c>
      <c r="W150" s="21" t="s">
        <v>104</v>
      </c>
      <c r="X150" s="21"/>
      <c r="Y150" s="21" t="s">
        <v>105</v>
      </c>
      <c r="Z150" s="21" t="s">
        <v>133</v>
      </c>
      <c r="AA150" s="21" t="s">
        <v>134</v>
      </c>
      <c r="AB150" s="21" t="s">
        <v>135</v>
      </c>
      <c r="AC150" s="21" t="s">
        <v>136</v>
      </c>
      <c r="AD150" s="21" t="s">
        <v>176</v>
      </c>
      <c r="AE150" s="21" t="s">
        <v>154</v>
      </c>
    </row>
    <row r="151" customFormat="false" ht="15" hidden="false" customHeight="false" outlineLevel="0" collapsed="false">
      <c r="A151" s="21" t="s">
        <v>177</v>
      </c>
      <c r="B151" s="21" t="s">
        <v>128</v>
      </c>
      <c r="C151" s="21" t="s">
        <v>129</v>
      </c>
      <c r="D151" s="21" t="s">
        <v>130</v>
      </c>
      <c r="E151" s="21" t="s">
        <v>131</v>
      </c>
      <c r="F151" s="22" t="n">
        <v>347.44</v>
      </c>
      <c r="G151" s="22" t="n">
        <v>337.48</v>
      </c>
      <c r="H151" s="22" t="n">
        <v>371.49</v>
      </c>
      <c r="I151" s="22" t="n">
        <v>374.59</v>
      </c>
      <c r="J151" s="22" t="n">
        <v>355.58</v>
      </c>
      <c r="K151" s="22" t="n">
        <v>357.05</v>
      </c>
      <c r="L151" s="22" t="n">
        <v>357.1</v>
      </c>
      <c r="M151" s="22" t="n">
        <v>364.1</v>
      </c>
      <c r="N151" s="22" t="n">
        <v>376.45</v>
      </c>
      <c r="O151" s="22" t="n">
        <v>393.56</v>
      </c>
      <c r="P151" s="22" t="n">
        <v>412.68</v>
      </c>
      <c r="Q151" s="22" t="n">
        <v>426.65</v>
      </c>
      <c r="R151" s="22" t="n">
        <v>440.44</v>
      </c>
      <c r="S151" s="22" t="n">
        <v>456.36</v>
      </c>
      <c r="T151" s="22" t="n">
        <v>467.08</v>
      </c>
      <c r="U151" s="21"/>
      <c r="V151" s="21" t="s">
        <v>132</v>
      </c>
      <c r="W151" s="21" t="s">
        <v>104</v>
      </c>
      <c r="X151" s="21"/>
      <c r="Y151" s="21" t="s">
        <v>105</v>
      </c>
      <c r="Z151" s="21" t="s">
        <v>133</v>
      </c>
      <c r="AA151" s="21" t="s">
        <v>134</v>
      </c>
      <c r="AB151" s="21" t="s">
        <v>135</v>
      </c>
      <c r="AC151" s="21" t="s">
        <v>136</v>
      </c>
      <c r="AD151" s="21" t="s">
        <v>178</v>
      </c>
      <c r="AE151" s="21" t="s">
        <v>138</v>
      </c>
    </row>
    <row r="152" customFormat="false" ht="15" hidden="false" customHeight="false" outlineLevel="0" collapsed="false">
      <c r="A152" s="21" t="s">
        <v>177</v>
      </c>
      <c r="B152" s="21" t="s">
        <v>139</v>
      </c>
      <c r="C152" s="21" t="s">
        <v>129</v>
      </c>
      <c r="D152" s="21" t="s">
        <v>130</v>
      </c>
      <c r="E152" s="21" t="s">
        <v>131</v>
      </c>
      <c r="F152" s="22" t="n">
        <v>2105.53</v>
      </c>
      <c r="G152" s="22" t="n">
        <v>2392.49</v>
      </c>
      <c r="H152" s="22" t="n">
        <v>2520.98</v>
      </c>
      <c r="I152" s="22" t="n">
        <v>2606.58</v>
      </c>
      <c r="J152" s="22" t="n">
        <v>2486.1</v>
      </c>
      <c r="K152" s="22" t="n">
        <v>2499.86</v>
      </c>
      <c r="L152" s="22" t="n">
        <v>2558.53</v>
      </c>
      <c r="M152" s="22" t="n">
        <v>2617.99</v>
      </c>
      <c r="N152" s="22" t="n">
        <v>2666.88</v>
      </c>
      <c r="O152" s="22" t="n">
        <v>2728.8</v>
      </c>
      <c r="P152" s="22" t="n">
        <v>2786.6</v>
      </c>
      <c r="Q152" s="22" t="n">
        <v>2863.99</v>
      </c>
      <c r="R152" s="22" t="n">
        <v>2939.76</v>
      </c>
      <c r="S152" s="22" t="n">
        <v>2999.39</v>
      </c>
      <c r="T152" s="22" t="n">
        <v>3054.46</v>
      </c>
      <c r="U152" s="21"/>
      <c r="V152" s="21" t="s">
        <v>132</v>
      </c>
      <c r="W152" s="21" t="s">
        <v>104</v>
      </c>
      <c r="X152" s="21"/>
      <c r="Y152" s="21" t="s">
        <v>105</v>
      </c>
      <c r="Z152" s="21" t="s">
        <v>133</v>
      </c>
      <c r="AA152" s="21" t="s">
        <v>134</v>
      </c>
      <c r="AB152" s="21" t="s">
        <v>135</v>
      </c>
      <c r="AC152" s="21" t="s">
        <v>136</v>
      </c>
      <c r="AD152" s="21" t="s">
        <v>178</v>
      </c>
      <c r="AE152" s="21" t="s">
        <v>140</v>
      </c>
    </row>
    <row r="153" customFormat="false" ht="15" hidden="false" customHeight="false" outlineLevel="0" collapsed="false">
      <c r="A153" s="21" t="s">
        <v>177</v>
      </c>
      <c r="B153" s="21" t="s">
        <v>141</v>
      </c>
      <c r="C153" s="21" t="s">
        <v>129</v>
      </c>
      <c r="D153" s="21" t="s">
        <v>130</v>
      </c>
      <c r="E153" s="21" t="s">
        <v>131</v>
      </c>
      <c r="F153" s="22" t="n">
        <v>2017.11</v>
      </c>
      <c r="G153" s="22" t="n">
        <v>2027.2</v>
      </c>
      <c r="H153" s="22" t="n">
        <v>2295.83</v>
      </c>
      <c r="I153" s="22" t="n">
        <v>2337.29</v>
      </c>
      <c r="J153" s="22" t="n">
        <v>2234.6</v>
      </c>
      <c r="K153" s="22" t="n">
        <v>2235.32</v>
      </c>
      <c r="L153" s="22" t="n">
        <v>2255.33</v>
      </c>
      <c r="M153" s="22" t="n">
        <v>2342.51</v>
      </c>
      <c r="N153" s="22" t="n">
        <v>2434.36</v>
      </c>
      <c r="O153" s="22" t="n">
        <v>2526.6</v>
      </c>
      <c r="P153" s="22" t="n">
        <v>2634.11</v>
      </c>
      <c r="Q153" s="22" t="n">
        <v>2709.59</v>
      </c>
      <c r="R153" s="22" t="n">
        <v>2786.04</v>
      </c>
      <c r="S153" s="22" t="n">
        <v>2879.62</v>
      </c>
      <c r="T153" s="22" t="n">
        <v>2920.65</v>
      </c>
      <c r="U153" s="21"/>
      <c r="V153" s="21" t="s">
        <v>132</v>
      </c>
      <c r="W153" s="21" t="s">
        <v>104</v>
      </c>
      <c r="X153" s="21"/>
      <c r="Y153" s="21" t="s">
        <v>105</v>
      </c>
      <c r="Z153" s="21" t="s">
        <v>133</v>
      </c>
      <c r="AA153" s="21" t="s">
        <v>134</v>
      </c>
      <c r="AB153" s="21" t="s">
        <v>135</v>
      </c>
      <c r="AC153" s="21" t="s">
        <v>136</v>
      </c>
      <c r="AD153" s="21" t="s">
        <v>178</v>
      </c>
      <c r="AE153" s="21" t="s">
        <v>142</v>
      </c>
    </row>
    <row r="154" customFormat="false" ht="15" hidden="false" customHeight="false" outlineLevel="0" collapsed="false">
      <c r="A154" s="21" t="s">
        <v>177</v>
      </c>
      <c r="B154" s="21" t="s">
        <v>143</v>
      </c>
      <c r="C154" s="21" t="s">
        <v>129</v>
      </c>
      <c r="D154" s="21" t="s">
        <v>130</v>
      </c>
      <c r="E154" s="21" t="s">
        <v>131</v>
      </c>
      <c r="F154" s="22" t="n">
        <v>1000.15</v>
      </c>
      <c r="G154" s="22" t="n">
        <v>1067.93</v>
      </c>
      <c r="H154" s="22" t="n">
        <v>1011.74</v>
      </c>
      <c r="I154" s="22" t="n">
        <v>955.29</v>
      </c>
      <c r="J154" s="22" t="n">
        <v>864.08</v>
      </c>
      <c r="K154" s="22" t="n">
        <v>876.98</v>
      </c>
      <c r="L154" s="22" t="n">
        <v>912.05</v>
      </c>
      <c r="M154" s="22" t="n">
        <v>926.16</v>
      </c>
      <c r="N154" s="22" t="n">
        <v>936.14</v>
      </c>
      <c r="O154" s="22" t="n">
        <v>949.06</v>
      </c>
      <c r="P154" s="22" t="n">
        <v>958.87</v>
      </c>
      <c r="Q154" s="22" t="n">
        <v>973</v>
      </c>
      <c r="R154" s="22" t="n">
        <v>986.65</v>
      </c>
      <c r="S154" s="22" t="n">
        <v>996.28</v>
      </c>
      <c r="T154" s="22" t="n">
        <v>1005.05</v>
      </c>
      <c r="U154" s="21"/>
      <c r="V154" s="21" t="s">
        <v>132</v>
      </c>
      <c r="W154" s="21" t="s">
        <v>104</v>
      </c>
      <c r="X154" s="21"/>
      <c r="Y154" s="21" t="s">
        <v>105</v>
      </c>
      <c r="Z154" s="21" t="s">
        <v>133</v>
      </c>
      <c r="AA154" s="21" t="s">
        <v>134</v>
      </c>
      <c r="AB154" s="21" t="s">
        <v>135</v>
      </c>
      <c r="AC154" s="21" t="s">
        <v>136</v>
      </c>
      <c r="AD154" s="21" t="s">
        <v>178</v>
      </c>
      <c r="AE154" s="21" t="s">
        <v>144</v>
      </c>
    </row>
    <row r="155" customFormat="false" ht="15" hidden="false" customHeight="false" outlineLevel="0" collapsed="false">
      <c r="A155" s="21" t="s">
        <v>177</v>
      </c>
      <c r="B155" s="21" t="s">
        <v>67</v>
      </c>
      <c r="C155" s="21" t="s">
        <v>129</v>
      </c>
      <c r="D155" s="21" t="s">
        <v>130</v>
      </c>
      <c r="E155" s="21" t="s">
        <v>131</v>
      </c>
      <c r="F155" s="22" t="n">
        <v>20413.19</v>
      </c>
      <c r="G155" s="22" t="n">
        <v>22328.2</v>
      </c>
      <c r="H155" s="22" t="n">
        <v>22927.47</v>
      </c>
      <c r="I155" s="22" t="n">
        <v>22167.54</v>
      </c>
      <c r="J155" s="22" t="n">
        <v>21274.81</v>
      </c>
      <c r="K155" s="22" t="n">
        <v>21557.5</v>
      </c>
      <c r="L155" s="22" t="n">
        <v>22181.62</v>
      </c>
      <c r="M155" s="22" t="n">
        <v>22315.39</v>
      </c>
      <c r="N155" s="22" t="n">
        <v>22847.52</v>
      </c>
      <c r="O155" s="22" t="n">
        <v>23490.63</v>
      </c>
      <c r="P155" s="22" t="n">
        <v>24130.88</v>
      </c>
      <c r="Q155" s="22" t="n">
        <v>24601.82</v>
      </c>
      <c r="R155" s="22" t="n">
        <v>24956.13</v>
      </c>
      <c r="S155" s="22" t="n">
        <v>25202.57</v>
      </c>
      <c r="T155" s="22" t="n">
        <v>25439.79</v>
      </c>
      <c r="U155" s="21"/>
      <c r="V155" s="21" t="s">
        <v>132</v>
      </c>
      <c r="W155" s="21" t="s">
        <v>104</v>
      </c>
      <c r="X155" s="21"/>
      <c r="Y155" s="21" t="s">
        <v>105</v>
      </c>
      <c r="Z155" s="21" t="s">
        <v>133</v>
      </c>
      <c r="AA155" s="21" t="s">
        <v>134</v>
      </c>
      <c r="AB155" s="21" t="s">
        <v>135</v>
      </c>
      <c r="AC155" s="21" t="s">
        <v>136</v>
      </c>
      <c r="AD155" s="21" t="s">
        <v>178</v>
      </c>
      <c r="AE155" s="21" t="s">
        <v>145</v>
      </c>
    </row>
    <row r="156" customFormat="false" ht="15" hidden="false" customHeight="false" outlineLevel="0" collapsed="false">
      <c r="A156" s="21" t="s">
        <v>177</v>
      </c>
      <c r="B156" s="21" t="s">
        <v>146</v>
      </c>
      <c r="C156" s="21" t="s">
        <v>129</v>
      </c>
      <c r="D156" s="21" t="s">
        <v>130</v>
      </c>
      <c r="E156" s="21" t="s">
        <v>131</v>
      </c>
      <c r="F156" s="22" t="n">
        <v>1912.14</v>
      </c>
      <c r="G156" s="22" t="n">
        <v>1864.89</v>
      </c>
      <c r="H156" s="22" t="n">
        <v>2059.29</v>
      </c>
      <c r="I156" s="22" t="n">
        <v>2054.49</v>
      </c>
      <c r="J156" s="22" t="n">
        <v>1912.23</v>
      </c>
      <c r="K156" s="22" t="n">
        <v>1921.76</v>
      </c>
      <c r="L156" s="22" t="n">
        <v>1931.78</v>
      </c>
      <c r="M156" s="22" t="n">
        <v>1951.76</v>
      </c>
      <c r="N156" s="22" t="n">
        <v>2004.74</v>
      </c>
      <c r="O156" s="22" t="n">
        <v>2077.52</v>
      </c>
      <c r="P156" s="22" t="n">
        <v>2171.34</v>
      </c>
      <c r="Q156" s="22" t="n">
        <v>2228.23</v>
      </c>
      <c r="R156" s="22" t="n">
        <v>2275.49</v>
      </c>
      <c r="S156" s="22" t="n">
        <v>2345.15</v>
      </c>
      <c r="T156" s="22" t="n">
        <v>2378.44</v>
      </c>
      <c r="U156" s="21"/>
      <c r="V156" s="21" t="s">
        <v>132</v>
      </c>
      <c r="W156" s="21" t="s">
        <v>104</v>
      </c>
      <c r="X156" s="21"/>
      <c r="Y156" s="21" t="s">
        <v>105</v>
      </c>
      <c r="Z156" s="21" t="s">
        <v>133</v>
      </c>
      <c r="AA156" s="21" t="s">
        <v>134</v>
      </c>
      <c r="AB156" s="21" t="s">
        <v>135</v>
      </c>
      <c r="AC156" s="21" t="s">
        <v>136</v>
      </c>
      <c r="AD156" s="21" t="s">
        <v>178</v>
      </c>
      <c r="AE156" s="21" t="s">
        <v>147</v>
      </c>
    </row>
    <row r="157" customFormat="false" ht="15" hidden="false" customHeight="false" outlineLevel="0" collapsed="false">
      <c r="A157" s="21" t="s">
        <v>177</v>
      </c>
      <c r="B157" s="21" t="s">
        <v>74</v>
      </c>
      <c r="C157" s="21" t="s">
        <v>129</v>
      </c>
      <c r="D157" s="21" t="s">
        <v>130</v>
      </c>
      <c r="E157" s="21" t="s">
        <v>131</v>
      </c>
      <c r="F157" s="22" t="n">
        <v>8324.93</v>
      </c>
      <c r="G157" s="22" t="n">
        <v>9309.14</v>
      </c>
      <c r="H157" s="22" t="n">
        <v>10420.12</v>
      </c>
      <c r="I157" s="22" t="n">
        <v>10998.27</v>
      </c>
      <c r="J157" s="22" t="n">
        <v>10220.12</v>
      </c>
      <c r="K157" s="22" t="n">
        <v>10295.11</v>
      </c>
      <c r="L157" s="22" t="n">
        <v>10596.68</v>
      </c>
      <c r="M157" s="22" t="n">
        <v>10761.41</v>
      </c>
      <c r="N157" s="22" t="n">
        <v>11022.96</v>
      </c>
      <c r="O157" s="22" t="n">
        <v>11337.7</v>
      </c>
      <c r="P157" s="22" t="n">
        <v>11655.15</v>
      </c>
      <c r="Q157" s="22" t="n">
        <v>11845.42</v>
      </c>
      <c r="R157" s="22" t="n">
        <v>11952.87</v>
      </c>
      <c r="S157" s="22" t="n">
        <v>12040.7</v>
      </c>
      <c r="T157" s="22" t="n">
        <v>12126.9</v>
      </c>
      <c r="U157" s="21"/>
      <c r="V157" s="21" t="s">
        <v>132</v>
      </c>
      <c r="W157" s="21" t="s">
        <v>104</v>
      </c>
      <c r="X157" s="21"/>
      <c r="Y157" s="21" t="s">
        <v>105</v>
      </c>
      <c r="Z157" s="21" t="s">
        <v>133</v>
      </c>
      <c r="AA157" s="21" t="s">
        <v>134</v>
      </c>
      <c r="AB157" s="21" t="s">
        <v>135</v>
      </c>
      <c r="AC157" s="21" t="s">
        <v>136</v>
      </c>
      <c r="AD157" s="21" t="s">
        <v>178</v>
      </c>
      <c r="AE157" s="21" t="s">
        <v>148</v>
      </c>
    </row>
    <row r="158" customFormat="false" ht="15" hidden="false" customHeight="false" outlineLevel="0" collapsed="false">
      <c r="A158" s="21" t="s">
        <v>177</v>
      </c>
      <c r="B158" s="21" t="s">
        <v>71</v>
      </c>
      <c r="C158" s="21" t="s">
        <v>129</v>
      </c>
      <c r="D158" s="21" t="s">
        <v>130</v>
      </c>
      <c r="E158" s="21" t="s">
        <v>131</v>
      </c>
      <c r="F158" s="22" t="n">
        <v>20693.18</v>
      </c>
      <c r="G158" s="22" t="n">
        <v>20746.67</v>
      </c>
      <c r="H158" s="22" t="n">
        <v>21959.36</v>
      </c>
      <c r="I158" s="22" t="n">
        <v>23448.82</v>
      </c>
      <c r="J158" s="22" t="n">
        <v>23897.59</v>
      </c>
      <c r="K158" s="22" t="n">
        <v>23907.84</v>
      </c>
      <c r="L158" s="22" t="n">
        <v>24205.16</v>
      </c>
      <c r="M158" s="22" t="n">
        <v>24790.18</v>
      </c>
      <c r="N158" s="22" t="n">
        <v>26192.2</v>
      </c>
      <c r="O158" s="22" t="n">
        <v>27432</v>
      </c>
      <c r="P158" s="22" t="n">
        <v>28371.6</v>
      </c>
      <c r="Q158" s="22" t="n">
        <v>28958.47</v>
      </c>
      <c r="R158" s="22" t="n">
        <v>29405.12</v>
      </c>
      <c r="S158" s="22" t="n">
        <v>29870.42</v>
      </c>
      <c r="T158" s="22" t="n">
        <v>30213.39</v>
      </c>
      <c r="U158" s="21"/>
      <c r="V158" s="21" t="s">
        <v>132</v>
      </c>
      <c r="W158" s="21" t="s">
        <v>104</v>
      </c>
      <c r="X158" s="21"/>
      <c r="Y158" s="21" t="s">
        <v>105</v>
      </c>
      <c r="Z158" s="21" t="s">
        <v>133</v>
      </c>
      <c r="AA158" s="21" t="s">
        <v>134</v>
      </c>
      <c r="AB158" s="21" t="s">
        <v>135</v>
      </c>
      <c r="AC158" s="21" t="s">
        <v>136</v>
      </c>
      <c r="AD158" s="21" t="s">
        <v>178</v>
      </c>
      <c r="AE158" s="21" t="s">
        <v>149</v>
      </c>
    </row>
    <row r="159" customFormat="false" ht="15" hidden="false" customHeight="false" outlineLevel="0" collapsed="false">
      <c r="A159" s="21" t="s">
        <v>177</v>
      </c>
      <c r="B159" s="21" t="s">
        <v>81</v>
      </c>
      <c r="C159" s="21" t="s">
        <v>129</v>
      </c>
      <c r="D159" s="21" t="s">
        <v>130</v>
      </c>
      <c r="E159" s="21" t="s">
        <v>131</v>
      </c>
      <c r="F159" s="22" t="n">
        <v>3265.05</v>
      </c>
      <c r="G159" s="22" t="n">
        <v>3651.65</v>
      </c>
      <c r="H159" s="22" t="n">
        <v>3849.1</v>
      </c>
      <c r="I159" s="22" t="n">
        <v>3912.95</v>
      </c>
      <c r="J159" s="22" t="n">
        <v>3680.73</v>
      </c>
      <c r="K159" s="22" t="n">
        <v>3699.5</v>
      </c>
      <c r="L159" s="22" t="n">
        <v>3788.21</v>
      </c>
      <c r="M159" s="22" t="n">
        <v>3864.83</v>
      </c>
      <c r="N159" s="22" t="n">
        <v>3927.02</v>
      </c>
      <c r="O159" s="22" t="n">
        <v>4010.73</v>
      </c>
      <c r="P159" s="22" t="n">
        <v>4087.94</v>
      </c>
      <c r="Q159" s="22" t="n">
        <v>4188.25</v>
      </c>
      <c r="R159" s="22" t="n">
        <v>4285.2</v>
      </c>
      <c r="S159" s="22" t="n">
        <v>4359.11</v>
      </c>
      <c r="T159" s="22" t="n">
        <v>4426.53</v>
      </c>
      <c r="U159" s="21"/>
      <c r="V159" s="21" t="s">
        <v>132</v>
      </c>
      <c r="W159" s="21" t="s">
        <v>104</v>
      </c>
      <c r="X159" s="21"/>
      <c r="Y159" s="21" t="s">
        <v>105</v>
      </c>
      <c r="Z159" s="21" t="s">
        <v>133</v>
      </c>
      <c r="AA159" s="21" t="s">
        <v>134</v>
      </c>
      <c r="AB159" s="21" t="s">
        <v>135</v>
      </c>
      <c r="AC159" s="21" t="s">
        <v>136</v>
      </c>
      <c r="AD159" s="21" t="s">
        <v>178</v>
      </c>
      <c r="AE159" s="21" t="s">
        <v>150</v>
      </c>
    </row>
    <row r="160" customFormat="false" ht="15" hidden="false" customHeight="false" outlineLevel="0" collapsed="false">
      <c r="A160" s="21" t="s">
        <v>177</v>
      </c>
      <c r="B160" s="21" t="s">
        <v>78</v>
      </c>
      <c r="C160" s="21" t="s">
        <v>129</v>
      </c>
      <c r="D160" s="21" t="s">
        <v>130</v>
      </c>
      <c r="E160" s="21" t="s">
        <v>131</v>
      </c>
      <c r="F160" s="22" t="n">
        <v>5920.44</v>
      </c>
      <c r="G160" s="22" t="n">
        <v>5663.64</v>
      </c>
      <c r="H160" s="22" t="n">
        <v>5525.57</v>
      </c>
      <c r="I160" s="22" t="n">
        <v>5274.07</v>
      </c>
      <c r="J160" s="22" t="n">
        <v>5954.23</v>
      </c>
      <c r="K160" s="22" t="n">
        <v>6040.97</v>
      </c>
      <c r="L160" s="22" t="n">
        <v>6277.69</v>
      </c>
      <c r="M160" s="22" t="n">
        <v>6442.73</v>
      </c>
      <c r="N160" s="22" t="n">
        <v>6803.74</v>
      </c>
      <c r="O160" s="22" t="n">
        <v>7208.15</v>
      </c>
      <c r="P160" s="22" t="n">
        <v>7454.72</v>
      </c>
      <c r="Q160" s="22" t="n">
        <v>7669.82</v>
      </c>
      <c r="R160" s="22" t="n">
        <v>7884.05</v>
      </c>
      <c r="S160" s="22" t="n">
        <v>8075.75</v>
      </c>
      <c r="T160" s="22" t="n">
        <v>8237.95</v>
      </c>
      <c r="U160" s="21"/>
      <c r="V160" s="21" t="s">
        <v>132</v>
      </c>
      <c r="W160" s="21" t="s">
        <v>104</v>
      </c>
      <c r="X160" s="21"/>
      <c r="Y160" s="21" t="s">
        <v>105</v>
      </c>
      <c r="Z160" s="21" t="s">
        <v>133</v>
      </c>
      <c r="AA160" s="21" t="s">
        <v>134</v>
      </c>
      <c r="AB160" s="21" t="s">
        <v>135</v>
      </c>
      <c r="AC160" s="21" t="s">
        <v>136</v>
      </c>
      <c r="AD160" s="21" t="s">
        <v>178</v>
      </c>
      <c r="AE160" s="21" t="s">
        <v>151</v>
      </c>
    </row>
    <row r="161" customFormat="false" ht="15" hidden="false" customHeight="false" outlineLevel="0" collapsed="false">
      <c r="A161" s="21" t="s">
        <v>177</v>
      </c>
      <c r="B161" s="21" t="s">
        <v>85</v>
      </c>
      <c r="C161" s="21" t="s">
        <v>129</v>
      </c>
      <c r="D161" s="21" t="s">
        <v>130</v>
      </c>
      <c r="E161" s="21" t="s">
        <v>131</v>
      </c>
      <c r="F161" s="22" t="n">
        <v>4276.7</v>
      </c>
      <c r="G161" s="22" t="n">
        <v>4229.57</v>
      </c>
      <c r="H161" s="22" t="n">
        <v>4726.61</v>
      </c>
      <c r="I161" s="22" t="n">
        <v>4766.38</v>
      </c>
      <c r="J161" s="22" t="n">
        <v>4502.41</v>
      </c>
      <c r="K161" s="22" t="n">
        <v>4514.14</v>
      </c>
      <c r="L161" s="22" t="n">
        <v>4544.21</v>
      </c>
      <c r="M161" s="22" t="n">
        <v>4658.36</v>
      </c>
      <c r="N161" s="22" t="n">
        <v>4815.55</v>
      </c>
      <c r="O161" s="22" t="n">
        <v>4997.68</v>
      </c>
      <c r="P161" s="22" t="n">
        <v>5218.13</v>
      </c>
      <c r="Q161" s="22" t="n">
        <v>5364.47</v>
      </c>
      <c r="R161" s="22" t="n">
        <v>5501.98</v>
      </c>
      <c r="S161" s="22" t="n">
        <v>5681.14</v>
      </c>
      <c r="T161" s="22" t="n">
        <v>5766.18</v>
      </c>
      <c r="U161" s="21"/>
      <c r="V161" s="21" t="s">
        <v>132</v>
      </c>
      <c r="W161" s="21" t="s">
        <v>104</v>
      </c>
      <c r="X161" s="21"/>
      <c r="Y161" s="21" t="s">
        <v>105</v>
      </c>
      <c r="Z161" s="21" t="s">
        <v>133</v>
      </c>
      <c r="AA161" s="21" t="s">
        <v>134</v>
      </c>
      <c r="AB161" s="21" t="s">
        <v>135</v>
      </c>
      <c r="AC161" s="21" t="s">
        <v>136</v>
      </c>
      <c r="AD161" s="21" t="s">
        <v>178</v>
      </c>
      <c r="AE161" s="21" t="s">
        <v>152</v>
      </c>
    </row>
    <row r="162" customFormat="false" ht="15" hidden="false" customHeight="false" outlineLevel="0" collapsed="false">
      <c r="A162" s="21" t="s">
        <v>177</v>
      </c>
      <c r="B162" s="21" t="s">
        <v>153</v>
      </c>
      <c r="C162" s="21" t="s">
        <v>129</v>
      </c>
      <c r="D162" s="21" t="s">
        <v>130</v>
      </c>
      <c r="E162" s="21" t="s">
        <v>131</v>
      </c>
      <c r="F162" s="22" t="n">
        <v>159.37</v>
      </c>
      <c r="G162" s="22" t="n">
        <v>191.23</v>
      </c>
      <c r="H162" s="22" t="n">
        <v>316.38</v>
      </c>
      <c r="I162" s="22" t="n">
        <v>351.08</v>
      </c>
      <c r="J162" s="22" t="n">
        <v>330.55</v>
      </c>
      <c r="K162" s="22" t="n">
        <v>322.65</v>
      </c>
      <c r="L162" s="22" t="n">
        <v>317.62</v>
      </c>
      <c r="M162" s="22" t="n">
        <v>320.67</v>
      </c>
      <c r="N162" s="22" t="n">
        <v>324</v>
      </c>
      <c r="O162" s="22" t="n">
        <v>332.86</v>
      </c>
      <c r="P162" s="22" t="n">
        <v>342.47</v>
      </c>
      <c r="Q162" s="22" t="n">
        <v>351.27</v>
      </c>
      <c r="R162" s="22" t="n">
        <v>358.79</v>
      </c>
      <c r="S162" s="22" t="n">
        <v>363.44</v>
      </c>
      <c r="T162" s="22" t="n">
        <v>367.02</v>
      </c>
      <c r="U162" s="21"/>
      <c r="V162" s="21" t="s">
        <v>132</v>
      </c>
      <c r="W162" s="21" t="s">
        <v>104</v>
      </c>
      <c r="X162" s="21"/>
      <c r="Y162" s="21" t="s">
        <v>105</v>
      </c>
      <c r="Z162" s="21" t="s">
        <v>133</v>
      </c>
      <c r="AA162" s="21" t="s">
        <v>134</v>
      </c>
      <c r="AB162" s="21" t="s">
        <v>135</v>
      </c>
      <c r="AC162" s="21" t="s">
        <v>136</v>
      </c>
      <c r="AD162" s="21" t="s">
        <v>178</v>
      </c>
      <c r="AE162" s="21" t="s">
        <v>154</v>
      </c>
    </row>
    <row r="163" customFormat="false" ht="15" hidden="false" customHeight="false" outlineLevel="0" collapsed="false">
      <c r="A163" s="21" t="s">
        <v>179</v>
      </c>
      <c r="B163" s="21" t="s">
        <v>128</v>
      </c>
      <c r="C163" s="21" t="s">
        <v>129</v>
      </c>
      <c r="D163" s="21" t="s">
        <v>130</v>
      </c>
      <c r="E163" s="21" t="s">
        <v>131</v>
      </c>
      <c r="F163" s="22" t="n">
        <v>408.5</v>
      </c>
      <c r="G163" s="22" t="n">
        <v>421.41</v>
      </c>
      <c r="H163" s="22" t="n">
        <v>428.22</v>
      </c>
      <c r="I163" s="22" t="n">
        <v>416.9</v>
      </c>
      <c r="J163" s="22" t="n">
        <v>423.68</v>
      </c>
      <c r="K163" s="22" t="n">
        <v>415.71</v>
      </c>
      <c r="L163" s="22" t="n">
        <v>409.95</v>
      </c>
      <c r="M163" s="22" t="n">
        <v>414.47</v>
      </c>
      <c r="N163" s="22" t="n">
        <v>422.24</v>
      </c>
      <c r="O163" s="22" t="n">
        <v>435.82</v>
      </c>
      <c r="P163" s="22" t="n">
        <v>455.98</v>
      </c>
      <c r="Q163" s="22" t="n">
        <v>460.14</v>
      </c>
      <c r="R163" s="22" t="n">
        <v>464.96</v>
      </c>
      <c r="S163" s="22" t="n">
        <v>479.81</v>
      </c>
      <c r="T163" s="22" t="n">
        <v>485.24</v>
      </c>
      <c r="U163" s="21"/>
      <c r="V163" s="21" t="s">
        <v>132</v>
      </c>
      <c r="W163" s="21" t="s">
        <v>104</v>
      </c>
      <c r="X163" s="21"/>
      <c r="Y163" s="21" t="s">
        <v>105</v>
      </c>
      <c r="Z163" s="21" t="s">
        <v>133</v>
      </c>
      <c r="AA163" s="21" t="s">
        <v>134</v>
      </c>
      <c r="AB163" s="21" t="s">
        <v>135</v>
      </c>
      <c r="AC163" s="21" t="s">
        <v>136</v>
      </c>
      <c r="AD163" s="21" t="s">
        <v>180</v>
      </c>
      <c r="AE163" s="21" t="s">
        <v>138</v>
      </c>
    </row>
    <row r="164" customFormat="false" ht="15" hidden="false" customHeight="false" outlineLevel="0" collapsed="false">
      <c r="A164" s="21" t="s">
        <v>179</v>
      </c>
      <c r="B164" s="21" t="s">
        <v>139</v>
      </c>
      <c r="C164" s="21" t="s">
        <v>129</v>
      </c>
      <c r="D164" s="21" t="s">
        <v>130</v>
      </c>
      <c r="E164" s="21" t="s">
        <v>131</v>
      </c>
      <c r="F164" s="22" t="n">
        <v>1481.93</v>
      </c>
      <c r="G164" s="22" t="n">
        <v>1421.86</v>
      </c>
      <c r="H164" s="22" t="n">
        <v>1427.44</v>
      </c>
      <c r="I164" s="22" t="n">
        <v>1219.33</v>
      </c>
      <c r="J164" s="22" t="n">
        <v>968.99</v>
      </c>
      <c r="K164" s="22" t="n">
        <v>949.64</v>
      </c>
      <c r="L164" s="22" t="n">
        <v>966.92</v>
      </c>
      <c r="M164" s="22" t="n">
        <v>1004.82</v>
      </c>
      <c r="N164" s="22" t="n">
        <v>1034.93</v>
      </c>
      <c r="O164" s="22" t="n">
        <v>1069.21</v>
      </c>
      <c r="P164" s="22" t="n">
        <v>1098.63</v>
      </c>
      <c r="Q164" s="22" t="n">
        <v>1117.11</v>
      </c>
      <c r="R164" s="22" t="n">
        <v>1130.54</v>
      </c>
      <c r="S164" s="22" t="n">
        <v>1144.72</v>
      </c>
      <c r="T164" s="22" t="n">
        <v>1160.3</v>
      </c>
      <c r="U164" s="21"/>
      <c r="V164" s="21" t="s">
        <v>132</v>
      </c>
      <c r="W164" s="21" t="s">
        <v>104</v>
      </c>
      <c r="X164" s="21"/>
      <c r="Y164" s="21" t="s">
        <v>105</v>
      </c>
      <c r="Z164" s="21" t="s">
        <v>133</v>
      </c>
      <c r="AA164" s="21" t="s">
        <v>134</v>
      </c>
      <c r="AB164" s="21" t="s">
        <v>135</v>
      </c>
      <c r="AC164" s="21" t="s">
        <v>136</v>
      </c>
      <c r="AD164" s="21" t="s">
        <v>180</v>
      </c>
      <c r="AE164" s="21" t="s">
        <v>140</v>
      </c>
    </row>
    <row r="165" customFormat="false" ht="15" hidden="false" customHeight="false" outlineLevel="0" collapsed="false">
      <c r="A165" s="21" t="s">
        <v>179</v>
      </c>
      <c r="B165" s="21" t="s">
        <v>141</v>
      </c>
      <c r="C165" s="21" t="s">
        <v>129</v>
      </c>
      <c r="D165" s="21" t="s">
        <v>130</v>
      </c>
      <c r="E165" s="21" t="s">
        <v>131</v>
      </c>
      <c r="F165" s="22" t="n">
        <v>2127.17</v>
      </c>
      <c r="G165" s="22" t="n">
        <v>2232.79</v>
      </c>
      <c r="H165" s="22" t="n">
        <v>2295.2</v>
      </c>
      <c r="I165" s="22" t="n">
        <v>2243.36</v>
      </c>
      <c r="J165" s="22" t="n">
        <v>2283.36</v>
      </c>
      <c r="K165" s="22" t="n">
        <v>2251.93</v>
      </c>
      <c r="L165" s="22" t="n">
        <v>2261.33</v>
      </c>
      <c r="M165" s="22" t="n">
        <v>2291.56</v>
      </c>
      <c r="N165" s="22" t="n">
        <v>2343.34</v>
      </c>
      <c r="O165" s="22" t="n">
        <v>2428.13</v>
      </c>
      <c r="P165" s="22" t="n">
        <v>2556.36</v>
      </c>
      <c r="Q165" s="22" t="n">
        <v>2578.24</v>
      </c>
      <c r="R165" s="22" t="n">
        <v>2611.27</v>
      </c>
      <c r="S165" s="22" t="n">
        <v>2685.71</v>
      </c>
      <c r="T165" s="22" t="n">
        <v>2709.85</v>
      </c>
      <c r="U165" s="21"/>
      <c r="V165" s="21" t="s">
        <v>132</v>
      </c>
      <c r="W165" s="21" t="s">
        <v>104</v>
      </c>
      <c r="X165" s="21"/>
      <c r="Y165" s="21" t="s">
        <v>105</v>
      </c>
      <c r="Z165" s="21" t="s">
        <v>133</v>
      </c>
      <c r="AA165" s="21" t="s">
        <v>134</v>
      </c>
      <c r="AB165" s="21" t="s">
        <v>135</v>
      </c>
      <c r="AC165" s="21" t="s">
        <v>136</v>
      </c>
      <c r="AD165" s="21" t="s">
        <v>180</v>
      </c>
      <c r="AE165" s="21" t="s">
        <v>142</v>
      </c>
    </row>
    <row r="166" customFormat="false" ht="15" hidden="false" customHeight="false" outlineLevel="0" collapsed="false">
      <c r="A166" s="21" t="s">
        <v>179</v>
      </c>
      <c r="B166" s="21" t="s">
        <v>143</v>
      </c>
      <c r="C166" s="21" t="s">
        <v>129</v>
      </c>
      <c r="D166" s="21" t="s">
        <v>130</v>
      </c>
      <c r="E166" s="21" t="s">
        <v>131</v>
      </c>
      <c r="F166" s="22" t="n">
        <v>730.21</v>
      </c>
      <c r="G166" s="22" t="n">
        <v>879.9</v>
      </c>
      <c r="H166" s="22" t="n">
        <v>984.12</v>
      </c>
      <c r="I166" s="22" t="n">
        <v>956.39</v>
      </c>
      <c r="J166" s="22" t="n">
        <v>772.43</v>
      </c>
      <c r="K166" s="22" t="n">
        <v>753.54</v>
      </c>
      <c r="L166" s="22" t="n">
        <v>768.52</v>
      </c>
      <c r="M166" s="22" t="n">
        <v>800.34</v>
      </c>
      <c r="N166" s="22" t="n">
        <v>833.97</v>
      </c>
      <c r="O166" s="22" t="n">
        <v>868.07</v>
      </c>
      <c r="P166" s="22" t="n">
        <v>893.98</v>
      </c>
      <c r="Q166" s="22" t="n">
        <v>915.57</v>
      </c>
      <c r="R166" s="22" t="n">
        <v>934.48</v>
      </c>
      <c r="S166" s="22" t="n">
        <v>953.04</v>
      </c>
      <c r="T166" s="22" t="n">
        <v>970.47</v>
      </c>
      <c r="U166" s="21"/>
      <c r="V166" s="21" t="s">
        <v>132</v>
      </c>
      <c r="W166" s="21" t="s">
        <v>104</v>
      </c>
      <c r="X166" s="21"/>
      <c r="Y166" s="21" t="s">
        <v>105</v>
      </c>
      <c r="Z166" s="21" t="s">
        <v>133</v>
      </c>
      <c r="AA166" s="21" t="s">
        <v>134</v>
      </c>
      <c r="AB166" s="21" t="s">
        <v>135</v>
      </c>
      <c r="AC166" s="21" t="s">
        <v>136</v>
      </c>
      <c r="AD166" s="21" t="s">
        <v>180</v>
      </c>
      <c r="AE166" s="21" t="s">
        <v>144</v>
      </c>
    </row>
    <row r="167" customFormat="false" ht="15" hidden="false" customHeight="false" outlineLevel="0" collapsed="false">
      <c r="A167" s="21" t="s">
        <v>179</v>
      </c>
      <c r="B167" s="21" t="s">
        <v>67</v>
      </c>
      <c r="C167" s="21" t="s">
        <v>129</v>
      </c>
      <c r="D167" s="21" t="s">
        <v>130</v>
      </c>
      <c r="E167" s="21" t="s">
        <v>131</v>
      </c>
      <c r="F167" s="22" t="n">
        <v>5578.33</v>
      </c>
      <c r="G167" s="22" t="n">
        <v>5796.16</v>
      </c>
      <c r="H167" s="22" t="n">
        <v>5696.87</v>
      </c>
      <c r="I167" s="22" t="n">
        <v>4864.39</v>
      </c>
      <c r="J167" s="22" t="n">
        <v>4116.85</v>
      </c>
      <c r="K167" s="22" t="n">
        <v>3999.66</v>
      </c>
      <c r="L167" s="22" t="n">
        <v>4230.27</v>
      </c>
      <c r="M167" s="22" t="n">
        <v>4083.8</v>
      </c>
      <c r="N167" s="22" t="n">
        <v>4148.21</v>
      </c>
      <c r="O167" s="22" t="n">
        <v>4262.79</v>
      </c>
      <c r="P167" s="22" t="n">
        <v>4340.62</v>
      </c>
      <c r="Q167" s="22" t="n">
        <v>4417.21</v>
      </c>
      <c r="R167" s="22" t="n">
        <v>4515.99</v>
      </c>
      <c r="S167" s="22" t="n">
        <v>4637.07</v>
      </c>
      <c r="T167" s="22" t="n">
        <v>4776.25</v>
      </c>
      <c r="U167" s="21"/>
      <c r="V167" s="21" t="s">
        <v>132</v>
      </c>
      <c r="W167" s="21" t="s">
        <v>104</v>
      </c>
      <c r="X167" s="21"/>
      <c r="Y167" s="21" t="s">
        <v>105</v>
      </c>
      <c r="Z167" s="21" t="s">
        <v>133</v>
      </c>
      <c r="AA167" s="21" t="s">
        <v>134</v>
      </c>
      <c r="AB167" s="21" t="s">
        <v>135</v>
      </c>
      <c r="AC167" s="21" t="s">
        <v>136</v>
      </c>
      <c r="AD167" s="21" t="s">
        <v>180</v>
      </c>
      <c r="AE167" s="21" t="s">
        <v>145</v>
      </c>
    </row>
    <row r="168" customFormat="false" ht="15" hidden="false" customHeight="false" outlineLevel="0" collapsed="false">
      <c r="A168" s="21" t="s">
        <v>179</v>
      </c>
      <c r="B168" s="21" t="s">
        <v>146</v>
      </c>
      <c r="C168" s="21" t="s">
        <v>129</v>
      </c>
      <c r="D168" s="21" t="s">
        <v>130</v>
      </c>
      <c r="E168" s="21" t="s">
        <v>131</v>
      </c>
      <c r="F168" s="22" t="n">
        <v>1340.55</v>
      </c>
      <c r="G168" s="22" t="n">
        <v>1397.94</v>
      </c>
      <c r="H168" s="22" t="n">
        <v>1438.22</v>
      </c>
      <c r="I168" s="22" t="n">
        <v>1413.92</v>
      </c>
      <c r="J168" s="22" t="n">
        <v>1447.97</v>
      </c>
      <c r="K168" s="22" t="n">
        <v>1430.37</v>
      </c>
      <c r="L168" s="22" t="n">
        <v>1438.36</v>
      </c>
      <c r="M168" s="22" t="n">
        <v>1464.45</v>
      </c>
      <c r="N168" s="22" t="n">
        <v>1502.81</v>
      </c>
      <c r="O168" s="22" t="n">
        <v>1554.96</v>
      </c>
      <c r="P168" s="22" t="n">
        <v>1637.94</v>
      </c>
      <c r="Q168" s="22" t="n">
        <v>1670.09</v>
      </c>
      <c r="R168" s="22" t="n">
        <v>1688.54</v>
      </c>
      <c r="S168" s="22" t="n">
        <v>1741.51</v>
      </c>
      <c r="T168" s="22" t="n">
        <v>1757.69</v>
      </c>
      <c r="U168" s="21"/>
      <c r="V168" s="21" t="s">
        <v>132</v>
      </c>
      <c r="W168" s="21" t="s">
        <v>104</v>
      </c>
      <c r="X168" s="21"/>
      <c r="Y168" s="21" t="s">
        <v>105</v>
      </c>
      <c r="Z168" s="21" t="s">
        <v>133</v>
      </c>
      <c r="AA168" s="21" t="s">
        <v>134</v>
      </c>
      <c r="AB168" s="21" t="s">
        <v>135</v>
      </c>
      <c r="AC168" s="21" t="s">
        <v>136</v>
      </c>
      <c r="AD168" s="21" t="s">
        <v>180</v>
      </c>
      <c r="AE168" s="21" t="s">
        <v>147</v>
      </c>
    </row>
    <row r="169" customFormat="false" ht="15" hidden="false" customHeight="false" outlineLevel="0" collapsed="false">
      <c r="A169" s="21" t="s">
        <v>179</v>
      </c>
      <c r="B169" s="21" t="s">
        <v>74</v>
      </c>
      <c r="C169" s="21" t="s">
        <v>129</v>
      </c>
      <c r="D169" s="21" t="s">
        <v>130</v>
      </c>
      <c r="E169" s="21" t="s">
        <v>131</v>
      </c>
      <c r="F169" s="22" t="n">
        <v>3791.56</v>
      </c>
      <c r="G169" s="22" t="n">
        <v>3863.18</v>
      </c>
      <c r="H169" s="22" t="n">
        <v>3861.41</v>
      </c>
      <c r="I169" s="22" t="n">
        <v>3441.05</v>
      </c>
      <c r="J169" s="22" t="n">
        <v>2969.12</v>
      </c>
      <c r="K169" s="22" t="n">
        <v>2928.46</v>
      </c>
      <c r="L169" s="22" t="n">
        <v>3204.73</v>
      </c>
      <c r="M169" s="22" t="n">
        <v>3032.06</v>
      </c>
      <c r="N169" s="22" t="n">
        <v>3006.22</v>
      </c>
      <c r="O169" s="22" t="n">
        <v>3043.48</v>
      </c>
      <c r="P169" s="22" t="n">
        <v>3068.34</v>
      </c>
      <c r="Q169" s="22" t="n">
        <v>3111.88</v>
      </c>
      <c r="R169" s="22" t="n">
        <v>3186.67</v>
      </c>
      <c r="S169" s="22" t="n">
        <v>3277.02</v>
      </c>
      <c r="T169" s="22" t="n">
        <v>3381.31</v>
      </c>
      <c r="U169" s="21"/>
      <c r="V169" s="21" t="s">
        <v>132</v>
      </c>
      <c r="W169" s="21" t="s">
        <v>104</v>
      </c>
      <c r="X169" s="21"/>
      <c r="Y169" s="21" t="s">
        <v>105</v>
      </c>
      <c r="Z169" s="21" t="s">
        <v>133</v>
      </c>
      <c r="AA169" s="21" t="s">
        <v>134</v>
      </c>
      <c r="AB169" s="21" t="s">
        <v>135</v>
      </c>
      <c r="AC169" s="21" t="s">
        <v>136</v>
      </c>
      <c r="AD169" s="21" t="s">
        <v>180</v>
      </c>
      <c r="AE169" s="21" t="s">
        <v>148</v>
      </c>
    </row>
    <row r="170" customFormat="false" ht="15" hidden="false" customHeight="false" outlineLevel="0" collapsed="false">
      <c r="A170" s="21" t="s">
        <v>179</v>
      </c>
      <c r="B170" s="21" t="s">
        <v>71</v>
      </c>
      <c r="C170" s="21" t="s">
        <v>129</v>
      </c>
      <c r="D170" s="21" t="s">
        <v>130</v>
      </c>
      <c r="E170" s="21" t="s">
        <v>131</v>
      </c>
      <c r="F170" s="22" t="n">
        <v>5686.23</v>
      </c>
      <c r="G170" s="22" t="n">
        <v>5532.06</v>
      </c>
      <c r="H170" s="22" t="n">
        <v>5769.61</v>
      </c>
      <c r="I170" s="22" t="n">
        <v>6412.23</v>
      </c>
      <c r="J170" s="22" t="n">
        <v>6549.95</v>
      </c>
      <c r="K170" s="22" t="n">
        <v>6119.32</v>
      </c>
      <c r="L170" s="22" t="n">
        <v>5871.16</v>
      </c>
      <c r="M170" s="22" t="n">
        <v>5848.62</v>
      </c>
      <c r="N170" s="22" t="n">
        <v>6031.45</v>
      </c>
      <c r="O170" s="22" t="n">
        <v>6292.1</v>
      </c>
      <c r="P170" s="22" t="n">
        <v>6647.53</v>
      </c>
      <c r="Q170" s="22" t="n">
        <v>6768.3</v>
      </c>
      <c r="R170" s="22" t="n">
        <v>6839.46</v>
      </c>
      <c r="S170" s="22" t="n">
        <v>7004.68</v>
      </c>
      <c r="T170" s="22" t="n">
        <v>7189.66</v>
      </c>
      <c r="U170" s="21"/>
      <c r="V170" s="21" t="s">
        <v>132</v>
      </c>
      <c r="W170" s="21" t="s">
        <v>104</v>
      </c>
      <c r="X170" s="21"/>
      <c r="Y170" s="21" t="s">
        <v>105</v>
      </c>
      <c r="Z170" s="21" t="s">
        <v>133</v>
      </c>
      <c r="AA170" s="21" t="s">
        <v>134</v>
      </c>
      <c r="AB170" s="21" t="s">
        <v>135</v>
      </c>
      <c r="AC170" s="21" t="s">
        <v>136</v>
      </c>
      <c r="AD170" s="21" t="s">
        <v>180</v>
      </c>
      <c r="AE170" s="21" t="s">
        <v>149</v>
      </c>
    </row>
    <row r="171" customFormat="false" ht="15" hidden="false" customHeight="false" outlineLevel="0" collapsed="false">
      <c r="A171" s="21" t="s">
        <v>179</v>
      </c>
      <c r="B171" s="21" t="s">
        <v>81</v>
      </c>
      <c r="C171" s="21" t="s">
        <v>129</v>
      </c>
      <c r="D171" s="21" t="s">
        <v>130</v>
      </c>
      <c r="E171" s="21" t="s">
        <v>131</v>
      </c>
      <c r="F171" s="22" t="n">
        <v>2367.33</v>
      </c>
      <c r="G171" s="22" t="n">
        <v>2471.15</v>
      </c>
      <c r="H171" s="22" t="n">
        <v>2647</v>
      </c>
      <c r="I171" s="22" t="n">
        <v>2387</v>
      </c>
      <c r="J171" s="22" t="n">
        <v>1912.7</v>
      </c>
      <c r="K171" s="22" t="n">
        <v>1878.74</v>
      </c>
      <c r="L171" s="22" t="n">
        <v>1930.68</v>
      </c>
      <c r="M171" s="22" t="n">
        <v>2016.58</v>
      </c>
      <c r="N171" s="22" t="n">
        <v>2085.94</v>
      </c>
      <c r="O171" s="22" t="n">
        <v>2162.4</v>
      </c>
      <c r="P171" s="22" t="n">
        <v>2229.24</v>
      </c>
      <c r="Q171" s="22" t="n">
        <v>2275.51</v>
      </c>
      <c r="R171" s="22" t="n">
        <v>2312.11</v>
      </c>
      <c r="S171" s="22" t="n">
        <v>2348.99</v>
      </c>
      <c r="T171" s="22" t="n">
        <v>2385.96</v>
      </c>
      <c r="U171" s="21"/>
      <c r="V171" s="21" t="s">
        <v>132</v>
      </c>
      <c r="W171" s="21" t="s">
        <v>104</v>
      </c>
      <c r="X171" s="21"/>
      <c r="Y171" s="21" t="s">
        <v>105</v>
      </c>
      <c r="Z171" s="21" t="s">
        <v>133</v>
      </c>
      <c r="AA171" s="21" t="s">
        <v>134</v>
      </c>
      <c r="AB171" s="21" t="s">
        <v>135</v>
      </c>
      <c r="AC171" s="21" t="s">
        <v>136</v>
      </c>
      <c r="AD171" s="21" t="s">
        <v>180</v>
      </c>
      <c r="AE171" s="21" t="s">
        <v>150</v>
      </c>
    </row>
    <row r="172" customFormat="false" ht="15" hidden="false" customHeight="false" outlineLevel="0" collapsed="false">
      <c r="A172" s="21" t="s">
        <v>179</v>
      </c>
      <c r="B172" s="21" t="s">
        <v>78</v>
      </c>
      <c r="C172" s="21" t="s">
        <v>129</v>
      </c>
      <c r="D172" s="21" t="s">
        <v>130</v>
      </c>
      <c r="E172" s="21" t="s">
        <v>131</v>
      </c>
      <c r="F172" s="22" t="n">
        <v>2577.95</v>
      </c>
      <c r="G172" s="22" t="n">
        <v>2561.59</v>
      </c>
      <c r="H172" s="22" t="n">
        <v>2742.28</v>
      </c>
      <c r="I172" s="22" t="n">
        <v>3077.35</v>
      </c>
      <c r="J172" s="22" t="n">
        <v>3185.56</v>
      </c>
      <c r="K172" s="22" t="n">
        <v>2865.6</v>
      </c>
      <c r="L172" s="22" t="n">
        <v>2812.3</v>
      </c>
      <c r="M172" s="22" t="n">
        <v>2792.99</v>
      </c>
      <c r="N172" s="22" t="n">
        <v>2851.19</v>
      </c>
      <c r="O172" s="22" t="n">
        <v>3031.94</v>
      </c>
      <c r="P172" s="22" t="n">
        <v>3279.76</v>
      </c>
      <c r="Q172" s="22" t="n">
        <v>3370.13</v>
      </c>
      <c r="R172" s="22" t="n">
        <v>3426.23</v>
      </c>
      <c r="S172" s="22" t="n">
        <v>3522.63</v>
      </c>
      <c r="T172" s="22" t="n">
        <v>3621.99</v>
      </c>
      <c r="U172" s="21"/>
      <c r="V172" s="21" t="s">
        <v>132</v>
      </c>
      <c r="W172" s="21" t="s">
        <v>104</v>
      </c>
      <c r="X172" s="21"/>
      <c r="Y172" s="21" t="s">
        <v>105</v>
      </c>
      <c r="Z172" s="21" t="s">
        <v>133</v>
      </c>
      <c r="AA172" s="21" t="s">
        <v>134</v>
      </c>
      <c r="AB172" s="21" t="s">
        <v>135</v>
      </c>
      <c r="AC172" s="21" t="s">
        <v>136</v>
      </c>
      <c r="AD172" s="21" t="s">
        <v>180</v>
      </c>
      <c r="AE172" s="21" t="s">
        <v>151</v>
      </c>
    </row>
    <row r="173" customFormat="false" ht="15" hidden="false" customHeight="false" outlineLevel="0" collapsed="false">
      <c r="A173" s="21" t="s">
        <v>179</v>
      </c>
      <c r="B173" s="21" t="s">
        <v>85</v>
      </c>
      <c r="C173" s="21" t="s">
        <v>129</v>
      </c>
      <c r="D173" s="21" t="s">
        <v>130</v>
      </c>
      <c r="E173" s="21" t="s">
        <v>131</v>
      </c>
      <c r="F173" s="22" t="n">
        <v>3876.21</v>
      </c>
      <c r="G173" s="22" t="n">
        <v>4052.14</v>
      </c>
      <c r="H173" s="22" t="n">
        <v>4161.64</v>
      </c>
      <c r="I173" s="22" t="n">
        <v>4074.17</v>
      </c>
      <c r="J173" s="22" t="n">
        <v>4155.02</v>
      </c>
      <c r="K173" s="22" t="n">
        <v>4098</v>
      </c>
      <c r="L173" s="22" t="n">
        <v>4109.64</v>
      </c>
      <c r="M173" s="22" t="n">
        <v>4170.48</v>
      </c>
      <c r="N173" s="22" t="n">
        <v>4268.38</v>
      </c>
      <c r="O173" s="22" t="n">
        <v>4418.92</v>
      </c>
      <c r="P173" s="22" t="n">
        <v>4650.29</v>
      </c>
      <c r="Q173" s="22" t="n">
        <v>4708.47</v>
      </c>
      <c r="R173" s="22" t="n">
        <v>4764.77</v>
      </c>
      <c r="S173" s="22" t="n">
        <v>4907.03</v>
      </c>
      <c r="T173" s="22" t="n">
        <v>4952.79</v>
      </c>
      <c r="U173" s="21"/>
      <c r="V173" s="21" t="s">
        <v>132</v>
      </c>
      <c r="W173" s="21" t="s">
        <v>104</v>
      </c>
      <c r="X173" s="21"/>
      <c r="Y173" s="21" t="s">
        <v>105</v>
      </c>
      <c r="Z173" s="21" t="s">
        <v>133</v>
      </c>
      <c r="AA173" s="21" t="s">
        <v>134</v>
      </c>
      <c r="AB173" s="21" t="s">
        <v>135</v>
      </c>
      <c r="AC173" s="21" t="s">
        <v>136</v>
      </c>
      <c r="AD173" s="21" t="s">
        <v>180</v>
      </c>
      <c r="AE173" s="21" t="s">
        <v>152</v>
      </c>
    </row>
    <row r="174" customFormat="false" ht="15" hidden="false" customHeight="false" outlineLevel="0" collapsed="false">
      <c r="A174" s="21" t="s">
        <v>179</v>
      </c>
      <c r="B174" s="21" t="s">
        <v>153</v>
      </c>
      <c r="C174" s="21" t="s">
        <v>129</v>
      </c>
      <c r="D174" s="21" t="s">
        <v>130</v>
      </c>
      <c r="E174" s="21" t="s">
        <v>131</v>
      </c>
      <c r="F174" s="22" t="n">
        <v>155.18</v>
      </c>
      <c r="G174" s="22" t="n">
        <v>169.4</v>
      </c>
      <c r="H174" s="22" t="n">
        <v>235.44</v>
      </c>
      <c r="I174" s="22" t="n">
        <v>211.28</v>
      </c>
      <c r="J174" s="22" t="n">
        <v>171.28</v>
      </c>
      <c r="K174" s="22" t="n">
        <v>175.56</v>
      </c>
      <c r="L174" s="22" t="n">
        <v>195.24</v>
      </c>
      <c r="M174" s="22" t="n">
        <v>211.42</v>
      </c>
      <c r="N174" s="22" t="n">
        <v>217.04</v>
      </c>
      <c r="O174" s="22" t="n">
        <v>225.12</v>
      </c>
      <c r="P174" s="22" t="n">
        <v>236.63</v>
      </c>
      <c r="Q174" s="22" t="n">
        <v>242.83</v>
      </c>
      <c r="R174" s="22" t="n">
        <v>247.09</v>
      </c>
      <c r="S174" s="22" t="n">
        <v>251.22</v>
      </c>
      <c r="T174" s="22" t="n">
        <v>255.18</v>
      </c>
      <c r="U174" s="21"/>
      <c r="V174" s="21" t="s">
        <v>132</v>
      </c>
      <c r="W174" s="21" t="s">
        <v>104</v>
      </c>
      <c r="X174" s="21"/>
      <c r="Y174" s="21" t="s">
        <v>105</v>
      </c>
      <c r="Z174" s="21" t="s">
        <v>133</v>
      </c>
      <c r="AA174" s="21" t="s">
        <v>134</v>
      </c>
      <c r="AB174" s="21" t="s">
        <v>135</v>
      </c>
      <c r="AC174" s="21" t="s">
        <v>136</v>
      </c>
      <c r="AD174" s="21" t="s">
        <v>180</v>
      </c>
      <c r="AE174" s="21" t="s">
        <v>154</v>
      </c>
    </row>
    <row r="175" customFormat="false" ht="15" hidden="false" customHeight="false" outlineLevel="0" collapsed="false">
      <c r="A175" s="21" t="s">
        <v>181</v>
      </c>
      <c r="B175" s="21" t="s">
        <v>128</v>
      </c>
      <c r="C175" s="21" t="s">
        <v>129</v>
      </c>
      <c r="D175" s="21" t="s">
        <v>130</v>
      </c>
      <c r="E175" s="21" t="s">
        <v>131</v>
      </c>
      <c r="F175" s="22" t="n">
        <v>187.59</v>
      </c>
      <c r="G175" s="22" t="n">
        <v>178.35</v>
      </c>
      <c r="H175" s="22" t="n">
        <v>183.6</v>
      </c>
      <c r="I175" s="22" t="n">
        <v>175.73</v>
      </c>
      <c r="J175" s="22" t="n">
        <v>178.76</v>
      </c>
      <c r="K175" s="22" t="n">
        <v>184.47</v>
      </c>
      <c r="L175" s="22" t="n">
        <v>196.11</v>
      </c>
      <c r="M175" s="22" t="n">
        <v>204.1</v>
      </c>
      <c r="N175" s="22" t="n">
        <v>214.17</v>
      </c>
      <c r="O175" s="22" t="n">
        <v>225.98</v>
      </c>
      <c r="P175" s="22" t="n">
        <v>235.57</v>
      </c>
      <c r="Q175" s="22" t="n">
        <v>242.49</v>
      </c>
      <c r="R175" s="22" t="n">
        <v>248.51</v>
      </c>
      <c r="S175" s="22" t="n">
        <v>255.43</v>
      </c>
      <c r="T175" s="22" t="n">
        <v>262.38</v>
      </c>
      <c r="U175" s="21"/>
      <c r="V175" s="21" t="s">
        <v>132</v>
      </c>
      <c r="W175" s="21" t="s">
        <v>104</v>
      </c>
      <c r="X175" s="21"/>
      <c r="Y175" s="21" t="s">
        <v>105</v>
      </c>
      <c r="Z175" s="21" t="s">
        <v>133</v>
      </c>
      <c r="AA175" s="21" t="s">
        <v>134</v>
      </c>
      <c r="AB175" s="21" t="s">
        <v>135</v>
      </c>
      <c r="AC175" s="21" t="s">
        <v>136</v>
      </c>
      <c r="AD175" s="21" t="s">
        <v>182</v>
      </c>
      <c r="AE175" s="21" t="s">
        <v>138</v>
      </c>
    </row>
    <row r="176" customFormat="false" ht="15" hidden="false" customHeight="false" outlineLevel="0" collapsed="false">
      <c r="A176" s="21" t="s">
        <v>181</v>
      </c>
      <c r="B176" s="21" t="s">
        <v>139</v>
      </c>
      <c r="C176" s="21" t="s">
        <v>129</v>
      </c>
      <c r="D176" s="21" t="s">
        <v>130</v>
      </c>
      <c r="E176" s="21" t="s">
        <v>131</v>
      </c>
      <c r="F176" s="22" t="n">
        <v>2480.65</v>
      </c>
      <c r="G176" s="22" t="n">
        <v>2895.45</v>
      </c>
      <c r="H176" s="22" t="n">
        <v>3057.2</v>
      </c>
      <c r="I176" s="22" t="n">
        <v>3128.13</v>
      </c>
      <c r="J176" s="22" t="n">
        <v>2979.83</v>
      </c>
      <c r="K176" s="22" t="n">
        <v>3060.31</v>
      </c>
      <c r="L176" s="22" t="n">
        <v>3177.3</v>
      </c>
      <c r="M176" s="22" t="n">
        <v>3321.22</v>
      </c>
      <c r="N176" s="22" t="n">
        <v>3384.25</v>
      </c>
      <c r="O176" s="22" t="n">
        <v>3480.87</v>
      </c>
      <c r="P176" s="22" t="n">
        <v>3532.28</v>
      </c>
      <c r="Q176" s="22" t="n">
        <v>3573.13</v>
      </c>
      <c r="R176" s="22" t="n">
        <v>3622.35</v>
      </c>
      <c r="S176" s="22" t="n">
        <v>3680.47</v>
      </c>
      <c r="T176" s="22" t="n">
        <v>3740.7</v>
      </c>
      <c r="U176" s="21"/>
      <c r="V176" s="21" t="s">
        <v>132</v>
      </c>
      <c r="W176" s="21" t="s">
        <v>104</v>
      </c>
      <c r="X176" s="21"/>
      <c r="Y176" s="21" t="s">
        <v>105</v>
      </c>
      <c r="Z176" s="21" t="s">
        <v>133</v>
      </c>
      <c r="AA176" s="21" t="s">
        <v>134</v>
      </c>
      <c r="AB176" s="21" t="s">
        <v>135</v>
      </c>
      <c r="AC176" s="21" t="s">
        <v>136</v>
      </c>
      <c r="AD176" s="21" t="s">
        <v>182</v>
      </c>
      <c r="AE176" s="21" t="s">
        <v>140</v>
      </c>
    </row>
    <row r="177" customFormat="false" ht="15" hidden="false" customHeight="false" outlineLevel="0" collapsed="false">
      <c r="A177" s="21" t="s">
        <v>181</v>
      </c>
      <c r="B177" s="21" t="s">
        <v>141</v>
      </c>
      <c r="C177" s="21" t="s">
        <v>129</v>
      </c>
      <c r="D177" s="21" t="s">
        <v>130</v>
      </c>
      <c r="E177" s="21" t="s">
        <v>131</v>
      </c>
      <c r="F177" s="22" t="n">
        <v>1579.53</v>
      </c>
      <c r="G177" s="22" t="n">
        <v>1604.8</v>
      </c>
      <c r="H177" s="22" t="n">
        <v>1565.49</v>
      </c>
      <c r="I177" s="22" t="n">
        <v>1482.07</v>
      </c>
      <c r="J177" s="22" t="n">
        <v>1571.79</v>
      </c>
      <c r="K177" s="22" t="n">
        <v>1516.6</v>
      </c>
      <c r="L177" s="22" t="n">
        <v>1668.74</v>
      </c>
      <c r="M177" s="22" t="n">
        <v>1705.43</v>
      </c>
      <c r="N177" s="22" t="n">
        <v>1769.88</v>
      </c>
      <c r="O177" s="22" t="n">
        <v>1833.05</v>
      </c>
      <c r="P177" s="22" t="n">
        <v>1881.35</v>
      </c>
      <c r="Q177" s="22" t="n">
        <v>1923.47</v>
      </c>
      <c r="R177" s="22" t="n">
        <v>1969.48</v>
      </c>
      <c r="S177" s="22" t="n">
        <v>2021.21</v>
      </c>
      <c r="T177" s="22" t="n">
        <v>2075.46</v>
      </c>
      <c r="U177" s="21"/>
      <c r="V177" s="21" t="s">
        <v>132</v>
      </c>
      <c r="W177" s="21" t="s">
        <v>104</v>
      </c>
      <c r="X177" s="21"/>
      <c r="Y177" s="21" t="s">
        <v>105</v>
      </c>
      <c r="Z177" s="21" t="s">
        <v>133</v>
      </c>
      <c r="AA177" s="21" t="s">
        <v>134</v>
      </c>
      <c r="AB177" s="21" t="s">
        <v>135</v>
      </c>
      <c r="AC177" s="21" t="s">
        <v>136</v>
      </c>
      <c r="AD177" s="21" t="s">
        <v>182</v>
      </c>
      <c r="AE177" s="21" t="s">
        <v>142</v>
      </c>
    </row>
    <row r="178" customFormat="false" ht="15" hidden="false" customHeight="false" outlineLevel="0" collapsed="false">
      <c r="A178" s="21" t="s">
        <v>181</v>
      </c>
      <c r="B178" s="21" t="s">
        <v>143</v>
      </c>
      <c r="C178" s="21" t="s">
        <v>129</v>
      </c>
      <c r="D178" s="21" t="s">
        <v>130</v>
      </c>
      <c r="E178" s="21" t="s">
        <v>131</v>
      </c>
      <c r="F178" s="22" t="n">
        <v>2123.44</v>
      </c>
      <c r="G178" s="22" t="n">
        <v>1782.4</v>
      </c>
      <c r="H178" s="22" t="n">
        <v>1507.97</v>
      </c>
      <c r="I178" s="22" t="n">
        <v>1397.15</v>
      </c>
      <c r="J178" s="22" t="n">
        <v>1378.22</v>
      </c>
      <c r="K178" s="22" t="n">
        <v>1342.43</v>
      </c>
      <c r="L178" s="22" t="n">
        <v>1450.91</v>
      </c>
      <c r="M178" s="22" t="n">
        <v>1468.65</v>
      </c>
      <c r="N178" s="22" t="n">
        <v>1476.97</v>
      </c>
      <c r="O178" s="22" t="n">
        <v>1511.38</v>
      </c>
      <c r="P178" s="22" t="n">
        <v>1548.39</v>
      </c>
      <c r="Q178" s="22" t="n">
        <v>1586.87</v>
      </c>
      <c r="R178" s="22" t="n">
        <v>1619.71</v>
      </c>
      <c r="S178" s="22" t="n">
        <v>1642.9</v>
      </c>
      <c r="T178" s="22" t="n">
        <v>1662.72</v>
      </c>
      <c r="U178" s="21"/>
      <c r="V178" s="21" t="s">
        <v>132</v>
      </c>
      <c r="W178" s="21" t="s">
        <v>104</v>
      </c>
      <c r="X178" s="21"/>
      <c r="Y178" s="21" t="s">
        <v>105</v>
      </c>
      <c r="Z178" s="21" t="s">
        <v>133</v>
      </c>
      <c r="AA178" s="21" t="s">
        <v>134</v>
      </c>
      <c r="AB178" s="21" t="s">
        <v>135</v>
      </c>
      <c r="AC178" s="21" t="s">
        <v>136</v>
      </c>
      <c r="AD178" s="21" t="s">
        <v>182</v>
      </c>
      <c r="AE178" s="21" t="s">
        <v>144</v>
      </c>
    </row>
    <row r="179" customFormat="false" ht="15" hidden="false" customHeight="false" outlineLevel="0" collapsed="false">
      <c r="A179" s="21" t="s">
        <v>181</v>
      </c>
      <c r="B179" s="21" t="s">
        <v>67</v>
      </c>
      <c r="C179" s="21" t="s">
        <v>129</v>
      </c>
      <c r="D179" s="21" t="s">
        <v>130</v>
      </c>
      <c r="E179" s="21" t="s">
        <v>131</v>
      </c>
      <c r="F179" s="22" t="n">
        <v>17306.06</v>
      </c>
      <c r="G179" s="22" t="n">
        <v>18869.3</v>
      </c>
      <c r="H179" s="22" t="n">
        <v>20069.81</v>
      </c>
      <c r="I179" s="22" t="n">
        <v>18607.57</v>
      </c>
      <c r="J179" s="22" t="n">
        <v>16468.46</v>
      </c>
      <c r="K179" s="22" t="n">
        <v>15846.29</v>
      </c>
      <c r="L179" s="22" t="n">
        <v>15384.85</v>
      </c>
      <c r="M179" s="22" t="n">
        <v>15135.03</v>
      </c>
      <c r="N179" s="22" t="n">
        <v>15527.79</v>
      </c>
      <c r="O179" s="22" t="n">
        <v>16228.18</v>
      </c>
      <c r="P179" s="22" t="n">
        <v>17053.93</v>
      </c>
      <c r="Q179" s="22" t="n">
        <v>17694.41</v>
      </c>
      <c r="R179" s="22" t="n">
        <v>18263.26</v>
      </c>
      <c r="S179" s="22" t="n">
        <v>18760.13</v>
      </c>
      <c r="T179" s="22" t="n">
        <v>19193.41</v>
      </c>
      <c r="U179" s="21"/>
      <c r="V179" s="21" t="s">
        <v>132</v>
      </c>
      <c r="W179" s="21" t="s">
        <v>104</v>
      </c>
      <c r="X179" s="21"/>
      <c r="Y179" s="21" t="s">
        <v>105</v>
      </c>
      <c r="Z179" s="21" t="s">
        <v>133</v>
      </c>
      <c r="AA179" s="21" t="s">
        <v>134</v>
      </c>
      <c r="AB179" s="21" t="s">
        <v>135</v>
      </c>
      <c r="AC179" s="21" t="s">
        <v>136</v>
      </c>
      <c r="AD179" s="21" t="s">
        <v>182</v>
      </c>
      <c r="AE179" s="21" t="s">
        <v>145</v>
      </c>
    </row>
    <row r="180" customFormat="false" ht="15" hidden="false" customHeight="false" outlineLevel="0" collapsed="false">
      <c r="A180" s="21" t="s">
        <v>181</v>
      </c>
      <c r="B180" s="21" t="s">
        <v>146</v>
      </c>
      <c r="C180" s="21" t="s">
        <v>129</v>
      </c>
      <c r="D180" s="21" t="s">
        <v>130</v>
      </c>
      <c r="E180" s="21" t="s">
        <v>131</v>
      </c>
      <c r="F180" s="22" t="n">
        <v>992.43</v>
      </c>
      <c r="G180" s="22" t="n">
        <v>982.66</v>
      </c>
      <c r="H180" s="22" t="n">
        <v>931.78</v>
      </c>
      <c r="I180" s="22" t="n">
        <v>887.52</v>
      </c>
      <c r="J180" s="22" t="n">
        <v>920.26</v>
      </c>
      <c r="K180" s="22" t="n">
        <v>868.09</v>
      </c>
      <c r="L180" s="22" t="n">
        <v>942.83</v>
      </c>
      <c r="M180" s="22" t="n">
        <v>956.33</v>
      </c>
      <c r="N180" s="22" t="n">
        <v>991.67</v>
      </c>
      <c r="O180" s="22" t="n">
        <v>1041.84</v>
      </c>
      <c r="P180" s="22" t="n">
        <v>1090.21</v>
      </c>
      <c r="Q180" s="22" t="n">
        <v>1127.55</v>
      </c>
      <c r="R180" s="22" t="n">
        <v>1160.15</v>
      </c>
      <c r="S180" s="22" t="n">
        <v>1192.16</v>
      </c>
      <c r="T180" s="22" t="n">
        <v>1224.51</v>
      </c>
      <c r="U180" s="21"/>
      <c r="V180" s="21" t="s">
        <v>132</v>
      </c>
      <c r="W180" s="21" t="s">
        <v>104</v>
      </c>
      <c r="X180" s="21"/>
      <c r="Y180" s="21" t="s">
        <v>105</v>
      </c>
      <c r="Z180" s="21" t="s">
        <v>133</v>
      </c>
      <c r="AA180" s="21" t="s">
        <v>134</v>
      </c>
      <c r="AB180" s="21" t="s">
        <v>135</v>
      </c>
      <c r="AC180" s="21" t="s">
        <v>136</v>
      </c>
      <c r="AD180" s="21" t="s">
        <v>182</v>
      </c>
      <c r="AE180" s="21" t="s">
        <v>147</v>
      </c>
    </row>
    <row r="181" customFormat="false" ht="15" hidden="false" customHeight="false" outlineLevel="0" collapsed="false">
      <c r="A181" s="21" t="s">
        <v>181</v>
      </c>
      <c r="B181" s="21" t="s">
        <v>74</v>
      </c>
      <c r="C181" s="21" t="s">
        <v>129</v>
      </c>
      <c r="D181" s="21" t="s">
        <v>130</v>
      </c>
      <c r="E181" s="21" t="s">
        <v>131</v>
      </c>
      <c r="F181" s="22" t="n">
        <v>10857.69</v>
      </c>
      <c r="G181" s="22" t="n">
        <v>11656.38</v>
      </c>
      <c r="H181" s="22" t="n">
        <v>12984.09</v>
      </c>
      <c r="I181" s="22" t="n">
        <v>12679.89</v>
      </c>
      <c r="J181" s="22" t="n">
        <v>11189.5</v>
      </c>
      <c r="K181" s="22" t="n">
        <v>11018.25</v>
      </c>
      <c r="L181" s="22" t="n">
        <v>10903.37</v>
      </c>
      <c r="M181" s="22" t="n">
        <v>10732.34</v>
      </c>
      <c r="N181" s="22" t="n">
        <v>10921</v>
      </c>
      <c r="O181" s="22" t="n">
        <v>11345.72</v>
      </c>
      <c r="P181" s="22" t="n">
        <v>11918.13</v>
      </c>
      <c r="Q181" s="22" t="n">
        <v>12393.63</v>
      </c>
      <c r="R181" s="22" t="n">
        <v>12805.61</v>
      </c>
      <c r="S181" s="22" t="n">
        <v>13167.54</v>
      </c>
      <c r="T181" s="22" t="n">
        <v>13487.34</v>
      </c>
      <c r="U181" s="21"/>
      <c r="V181" s="21" t="s">
        <v>132</v>
      </c>
      <c r="W181" s="21" t="s">
        <v>104</v>
      </c>
      <c r="X181" s="21"/>
      <c r="Y181" s="21" t="s">
        <v>105</v>
      </c>
      <c r="Z181" s="21" t="s">
        <v>133</v>
      </c>
      <c r="AA181" s="21" t="s">
        <v>134</v>
      </c>
      <c r="AB181" s="21" t="s">
        <v>135</v>
      </c>
      <c r="AC181" s="21" t="s">
        <v>136</v>
      </c>
      <c r="AD181" s="21" t="s">
        <v>182</v>
      </c>
      <c r="AE181" s="21" t="s">
        <v>148</v>
      </c>
    </row>
    <row r="182" customFormat="false" ht="15" hidden="false" customHeight="false" outlineLevel="0" collapsed="false">
      <c r="A182" s="21" t="s">
        <v>181</v>
      </c>
      <c r="B182" s="21" t="s">
        <v>71</v>
      </c>
      <c r="C182" s="21" t="s">
        <v>129</v>
      </c>
      <c r="D182" s="21" t="s">
        <v>130</v>
      </c>
      <c r="E182" s="21" t="s">
        <v>131</v>
      </c>
      <c r="F182" s="22" t="n">
        <v>9484.67</v>
      </c>
      <c r="G182" s="22" t="n">
        <v>10795.83</v>
      </c>
      <c r="H182" s="22" t="n">
        <v>11719.16</v>
      </c>
      <c r="I182" s="22" t="n">
        <v>11899.84</v>
      </c>
      <c r="J182" s="22" t="n">
        <v>10397.73</v>
      </c>
      <c r="K182" s="22" t="n">
        <v>10590.21</v>
      </c>
      <c r="L182" s="22" t="n">
        <v>12638.75</v>
      </c>
      <c r="M182" s="22" t="n">
        <v>14307.44</v>
      </c>
      <c r="N182" s="22" t="n">
        <v>14483.69</v>
      </c>
      <c r="O182" s="22" t="n">
        <v>14226.39</v>
      </c>
      <c r="P182" s="22" t="n">
        <v>13864.38</v>
      </c>
      <c r="Q182" s="22" t="n">
        <v>13581.22</v>
      </c>
      <c r="R182" s="22" t="n">
        <v>13540.24</v>
      </c>
      <c r="S182" s="22" t="n">
        <v>13621.77</v>
      </c>
      <c r="T182" s="22" t="n">
        <v>13771.12</v>
      </c>
      <c r="U182" s="21"/>
      <c r="V182" s="21" t="s">
        <v>132</v>
      </c>
      <c r="W182" s="21" t="s">
        <v>104</v>
      </c>
      <c r="X182" s="21"/>
      <c r="Y182" s="21" t="s">
        <v>105</v>
      </c>
      <c r="Z182" s="21" t="s">
        <v>133</v>
      </c>
      <c r="AA182" s="21" t="s">
        <v>134</v>
      </c>
      <c r="AB182" s="21" t="s">
        <v>135</v>
      </c>
      <c r="AC182" s="21" t="s">
        <v>136</v>
      </c>
      <c r="AD182" s="21" t="s">
        <v>182</v>
      </c>
      <c r="AE182" s="21" t="s">
        <v>149</v>
      </c>
    </row>
    <row r="183" customFormat="false" ht="15" hidden="false" customHeight="false" outlineLevel="0" collapsed="false">
      <c r="A183" s="21" t="s">
        <v>181</v>
      </c>
      <c r="B183" s="21" t="s">
        <v>81</v>
      </c>
      <c r="C183" s="21" t="s">
        <v>129</v>
      </c>
      <c r="D183" s="21" t="s">
        <v>130</v>
      </c>
      <c r="E183" s="21" t="s">
        <v>131</v>
      </c>
      <c r="F183" s="22" t="n">
        <v>4876.04</v>
      </c>
      <c r="G183" s="22" t="n">
        <v>5001.89</v>
      </c>
      <c r="H183" s="22" t="n">
        <v>4952.9</v>
      </c>
      <c r="I183" s="22" t="n">
        <v>4922.45</v>
      </c>
      <c r="J183" s="22" t="n">
        <v>4715.36</v>
      </c>
      <c r="K183" s="22" t="n">
        <v>4741.85</v>
      </c>
      <c r="L183" s="22" t="n">
        <v>4989.19</v>
      </c>
      <c r="M183" s="22" t="n">
        <v>5160.29</v>
      </c>
      <c r="N183" s="22" t="n">
        <v>5245.15</v>
      </c>
      <c r="O183" s="22" t="n">
        <v>5396.16</v>
      </c>
      <c r="P183" s="22" t="n">
        <v>5502.57</v>
      </c>
      <c r="Q183" s="22" t="n">
        <v>5595.89</v>
      </c>
      <c r="R183" s="22" t="n">
        <v>5687.13</v>
      </c>
      <c r="S183" s="22" t="n">
        <v>5776.06</v>
      </c>
      <c r="T183" s="22" t="n">
        <v>5863.32</v>
      </c>
      <c r="U183" s="21"/>
      <c r="V183" s="21" t="s">
        <v>132</v>
      </c>
      <c r="W183" s="21" t="s">
        <v>104</v>
      </c>
      <c r="X183" s="21"/>
      <c r="Y183" s="21" t="s">
        <v>105</v>
      </c>
      <c r="Z183" s="21" t="s">
        <v>133</v>
      </c>
      <c r="AA183" s="21" t="s">
        <v>134</v>
      </c>
      <c r="AB183" s="21" t="s">
        <v>135</v>
      </c>
      <c r="AC183" s="21" t="s">
        <v>136</v>
      </c>
      <c r="AD183" s="21" t="s">
        <v>182</v>
      </c>
      <c r="AE183" s="21" t="s">
        <v>150</v>
      </c>
    </row>
    <row r="184" customFormat="false" ht="15" hidden="false" customHeight="false" outlineLevel="0" collapsed="false">
      <c r="A184" s="21" t="s">
        <v>181</v>
      </c>
      <c r="B184" s="21" t="s">
        <v>78</v>
      </c>
      <c r="C184" s="21" t="s">
        <v>129</v>
      </c>
      <c r="D184" s="21" t="s">
        <v>130</v>
      </c>
      <c r="E184" s="21" t="s">
        <v>131</v>
      </c>
      <c r="F184" s="22" t="n">
        <v>4529.18</v>
      </c>
      <c r="G184" s="22" t="n">
        <v>5266.88</v>
      </c>
      <c r="H184" s="22" t="n">
        <v>5614.81</v>
      </c>
      <c r="I184" s="22" t="n">
        <v>5571.32</v>
      </c>
      <c r="J184" s="22" t="n">
        <v>4970.94</v>
      </c>
      <c r="K184" s="22" t="n">
        <v>5088.97</v>
      </c>
      <c r="L184" s="22" t="n">
        <v>6115.1</v>
      </c>
      <c r="M184" s="22" t="n">
        <v>7174.13</v>
      </c>
      <c r="N184" s="22" t="n">
        <v>7340.5</v>
      </c>
      <c r="O184" s="22" t="n">
        <v>7102.51</v>
      </c>
      <c r="P184" s="22" t="n">
        <v>6827.13</v>
      </c>
      <c r="Q184" s="22" t="n">
        <v>6581.72</v>
      </c>
      <c r="R184" s="22" t="n">
        <v>6480.32</v>
      </c>
      <c r="S184" s="22" t="n">
        <v>6466.48</v>
      </c>
      <c r="T184" s="22" t="n">
        <v>6499.61</v>
      </c>
      <c r="U184" s="21"/>
      <c r="V184" s="21" t="s">
        <v>132</v>
      </c>
      <c r="W184" s="21" t="s">
        <v>104</v>
      </c>
      <c r="X184" s="21"/>
      <c r="Y184" s="21" t="s">
        <v>105</v>
      </c>
      <c r="Z184" s="21" t="s">
        <v>133</v>
      </c>
      <c r="AA184" s="21" t="s">
        <v>134</v>
      </c>
      <c r="AB184" s="21" t="s">
        <v>135</v>
      </c>
      <c r="AC184" s="21" t="s">
        <v>136</v>
      </c>
      <c r="AD184" s="21" t="s">
        <v>182</v>
      </c>
      <c r="AE184" s="21" t="s">
        <v>151</v>
      </c>
    </row>
    <row r="185" customFormat="false" ht="15" hidden="false" customHeight="false" outlineLevel="0" collapsed="false">
      <c r="A185" s="21" t="s">
        <v>181</v>
      </c>
      <c r="B185" s="21" t="s">
        <v>85</v>
      </c>
      <c r="C185" s="21" t="s">
        <v>129</v>
      </c>
      <c r="D185" s="21" t="s">
        <v>130</v>
      </c>
      <c r="E185" s="21" t="s">
        <v>131</v>
      </c>
      <c r="F185" s="22" t="n">
        <v>2759.55</v>
      </c>
      <c r="G185" s="22" t="n">
        <v>2765.81</v>
      </c>
      <c r="H185" s="22" t="n">
        <v>2680.87</v>
      </c>
      <c r="I185" s="22" t="n">
        <v>2545.33</v>
      </c>
      <c r="J185" s="22" t="n">
        <v>2670.8</v>
      </c>
      <c r="K185" s="22" t="n">
        <v>2569.16</v>
      </c>
      <c r="L185" s="22" t="n">
        <v>2807.68</v>
      </c>
      <c r="M185" s="22" t="n">
        <v>2865.85</v>
      </c>
      <c r="N185" s="22" t="n">
        <v>2975.73</v>
      </c>
      <c r="O185" s="22" t="n">
        <v>3100.86</v>
      </c>
      <c r="P185" s="22" t="n">
        <v>3207.13</v>
      </c>
      <c r="Q185" s="22" t="n">
        <v>3293.51</v>
      </c>
      <c r="R185" s="22" t="n">
        <v>3378.14</v>
      </c>
      <c r="S185" s="22" t="n">
        <v>3468.8</v>
      </c>
      <c r="T185" s="22" t="n">
        <v>3562.36</v>
      </c>
      <c r="U185" s="21"/>
      <c r="V185" s="21" t="s">
        <v>132</v>
      </c>
      <c r="W185" s="21" t="s">
        <v>104</v>
      </c>
      <c r="X185" s="21"/>
      <c r="Y185" s="21" t="s">
        <v>105</v>
      </c>
      <c r="Z185" s="21" t="s">
        <v>133</v>
      </c>
      <c r="AA185" s="21" t="s">
        <v>134</v>
      </c>
      <c r="AB185" s="21" t="s">
        <v>135</v>
      </c>
      <c r="AC185" s="21" t="s">
        <v>136</v>
      </c>
      <c r="AD185" s="21" t="s">
        <v>182</v>
      </c>
      <c r="AE185" s="21" t="s">
        <v>152</v>
      </c>
    </row>
    <row r="186" customFormat="false" ht="15" hidden="false" customHeight="false" outlineLevel="0" collapsed="false">
      <c r="A186" s="21" t="s">
        <v>181</v>
      </c>
      <c r="B186" s="21" t="s">
        <v>153</v>
      </c>
      <c r="C186" s="21" t="s">
        <v>129</v>
      </c>
      <c r="D186" s="21" t="s">
        <v>130</v>
      </c>
      <c r="E186" s="21" t="s">
        <v>131</v>
      </c>
      <c r="F186" s="22" t="n">
        <v>271.95</v>
      </c>
      <c r="G186" s="22" t="n">
        <v>324.04</v>
      </c>
      <c r="H186" s="22" t="n">
        <v>387.73</v>
      </c>
      <c r="I186" s="22" t="n">
        <v>397.17</v>
      </c>
      <c r="J186" s="22" t="n">
        <v>357.31</v>
      </c>
      <c r="K186" s="22" t="n">
        <v>339.11</v>
      </c>
      <c r="L186" s="22" t="n">
        <v>360.97</v>
      </c>
      <c r="M186" s="22" t="n">
        <v>370.43</v>
      </c>
      <c r="N186" s="22" t="n">
        <v>383.93</v>
      </c>
      <c r="O186" s="22" t="n">
        <v>403.91</v>
      </c>
      <c r="P186" s="22" t="n">
        <v>421.91</v>
      </c>
      <c r="Q186" s="22" t="n">
        <v>435.89</v>
      </c>
      <c r="R186" s="22" t="n">
        <v>445.07</v>
      </c>
      <c r="S186" s="22" t="n">
        <v>452.7</v>
      </c>
      <c r="T186" s="22" t="n">
        <v>459.9</v>
      </c>
      <c r="U186" s="21"/>
      <c r="V186" s="21" t="s">
        <v>132</v>
      </c>
      <c r="W186" s="21" t="s">
        <v>104</v>
      </c>
      <c r="X186" s="21"/>
      <c r="Y186" s="21" t="s">
        <v>105</v>
      </c>
      <c r="Z186" s="21" t="s">
        <v>133</v>
      </c>
      <c r="AA186" s="21" t="s">
        <v>134</v>
      </c>
      <c r="AB186" s="21" t="s">
        <v>135</v>
      </c>
      <c r="AC186" s="21" t="s">
        <v>136</v>
      </c>
      <c r="AD186" s="21" t="s">
        <v>182</v>
      </c>
      <c r="AE186" s="21" t="s">
        <v>154</v>
      </c>
    </row>
    <row r="187" customFormat="false" ht="15" hidden="false" customHeight="false" outlineLevel="0" collapsed="false">
      <c r="A187" s="21" t="s">
        <v>183</v>
      </c>
      <c r="B187" s="21" t="s">
        <v>128</v>
      </c>
      <c r="C187" s="21" t="s">
        <v>129</v>
      </c>
      <c r="D187" s="21" t="s">
        <v>130</v>
      </c>
      <c r="E187" s="21" t="s">
        <v>131</v>
      </c>
      <c r="F187" s="22" t="n">
        <v>92.75</v>
      </c>
      <c r="G187" s="22" t="n">
        <v>105.97</v>
      </c>
      <c r="H187" s="22" t="n">
        <v>109.52</v>
      </c>
      <c r="I187" s="22" t="n">
        <v>113.08</v>
      </c>
      <c r="J187" s="22" t="n">
        <v>114.91</v>
      </c>
      <c r="K187" s="22" t="n">
        <v>102.11</v>
      </c>
      <c r="L187" s="22" t="n">
        <v>97.57</v>
      </c>
      <c r="M187" s="22" t="n">
        <v>96.31</v>
      </c>
      <c r="N187" s="22" t="n">
        <v>95.85</v>
      </c>
      <c r="O187" s="22" t="n">
        <v>96.1</v>
      </c>
      <c r="P187" s="22" t="n">
        <v>97.67</v>
      </c>
      <c r="Q187" s="22" t="n">
        <v>99.53</v>
      </c>
      <c r="R187" s="22" t="n">
        <v>101.44</v>
      </c>
      <c r="S187" s="22" t="n">
        <v>103.65</v>
      </c>
      <c r="T187" s="22" t="n">
        <v>106.04</v>
      </c>
      <c r="U187" s="21"/>
      <c r="V187" s="21" t="s">
        <v>132</v>
      </c>
      <c r="W187" s="21" t="s">
        <v>104</v>
      </c>
      <c r="X187" s="21"/>
      <c r="Y187" s="21" t="s">
        <v>105</v>
      </c>
      <c r="Z187" s="21" t="s">
        <v>133</v>
      </c>
      <c r="AA187" s="21" t="s">
        <v>134</v>
      </c>
      <c r="AB187" s="21" t="s">
        <v>135</v>
      </c>
      <c r="AC187" s="21" t="s">
        <v>136</v>
      </c>
      <c r="AD187" s="21" t="s">
        <v>184</v>
      </c>
      <c r="AE187" s="21" t="s">
        <v>138</v>
      </c>
    </row>
    <row r="188" customFormat="false" ht="15" hidden="false" customHeight="false" outlineLevel="0" collapsed="false">
      <c r="A188" s="21" t="s">
        <v>183</v>
      </c>
      <c r="B188" s="21" t="s">
        <v>139</v>
      </c>
      <c r="C188" s="21" t="s">
        <v>129</v>
      </c>
      <c r="D188" s="21" t="s">
        <v>130</v>
      </c>
      <c r="E188" s="21" t="s">
        <v>131</v>
      </c>
      <c r="F188" s="22" t="n">
        <v>691.8</v>
      </c>
      <c r="G188" s="22" t="n">
        <v>694.31</v>
      </c>
      <c r="H188" s="22" t="n">
        <v>645.97</v>
      </c>
      <c r="I188" s="22" t="n">
        <v>633.37</v>
      </c>
      <c r="J188" s="22" t="n">
        <v>661.91</v>
      </c>
      <c r="K188" s="22" t="n">
        <v>647.19</v>
      </c>
      <c r="L188" s="22" t="n">
        <v>692.62</v>
      </c>
      <c r="M188" s="22" t="n">
        <v>703.23</v>
      </c>
      <c r="N188" s="22" t="n">
        <v>706.3</v>
      </c>
      <c r="O188" s="22" t="n">
        <v>707.48</v>
      </c>
      <c r="P188" s="22" t="n">
        <v>722.97</v>
      </c>
      <c r="Q188" s="22" t="n">
        <v>735.51</v>
      </c>
      <c r="R188" s="22" t="n">
        <v>751.48</v>
      </c>
      <c r="S188" s="22" t="n">
        <v>768.92</v>
      </c>
      <c r="T188" s="22" t="n">
        <v>787.8</v>
      </c>
      <c r="U188" s="21"/>
      <c r="V188" s="21" t="s">
        <v>132</v>
      </c>
      <c r="W188" s="21" t="s">
        <v>104</v>
      </c>
      <c r="X188" s="21"/>
      <c r="Y188" s="21" t="s">
        <v>105</v>
      </c>
      <c r="Z188" s="21" t="s">
        <v>133</v>
      </c>
      <c r="AA188" s="21" t="s">
        <v>134</v>
      </c>
      <c r="AB188" s="21" t="s">
        <v>135</v>
      </c>
      <c r="AC188" s="21" t="s">
        <v>136</v>
      </c>
      <c r="AD188" s="21" t="s">
        <v>184</v>
      </c>
      <c r="AE188" s="21" t="s">
        <v>140</v>
      </c>
    </row>
    <row r="189" customFormat="false" ht="15" hidden="false" customHeight="false" outlineLevel="0" collapsed="false">
      <c r="A189" s="21" t="s">
        <v>183</v>
      </c>
      <c r="B189" s="21" t="s">
        <v>141</v>
      </c>
      <c r="C189" s="21" t="s">
        <v>129</v>
      </c>
      <c r="D189" s="21" t="s">
        <v>130</v>
      </c>
      <c r="E189" s="21" t="s">
        <v>131</v>
      </c>
      <c r="F189" s="22" t="n">
        <v>250.63</v>
      </c>
      <c r="G189" s="22" t="n">
        <v>292.13</v>
      </c>
      <c r="H189" s="22" t="n">
        <v>298.8</v>
      </c>
      <c r="I189" s="22" t="n">
        <v>304.45</v>
      </c>
      <c r="J189" s="22" t="n">
        <v>307.28</v>
      </c>
      <c r="K189" s="22" t="n">
        <v>284.37</v>
      </c>
      <c r="L189" s="22" t="n">
        <v>287.11</v>
      </c>
      <c r="M189" s="22" t="n">
        <v>287.76</v>
      </c>
      <c r="N189" s="22" t="n">
        <v>289.13</v>
      </c>
      <c r="O189" s="22" t="n">
        <v>289.65</v>
      </c>
      <c r="P189" s="22" t="n">
        <v>294.26</v>
      </c>
      <c r="Q189" s="22" t="n">
        <v>296.89</v>
      </c>
      <c r="R189" s="22" t="n">
        <v>301</v>
      </c>
      <c r="S189" s="22" t="n">
        <v>305.89</v>
      </c>
      <c r="T189" s="22" t="n">
        <v>311.41</v>
      </c>
      <c r="U189" s="21"/>
      <c r="V189" s="21" t="s">
        <v>132</v>
      </c>
      <c r="W189" s="21" t="s">
        <v>104</v>
      </c>
      <c r="X189" s="21"/>
      <c r="Y189" s="21" t="s">
        <v>105</v>
      </c>
      <c r="Z189" s="21" t="s">
        <v>133</v>
      </c>
      <c r="AA189" s="21" t="s">
        <v>134</v>
      </c>
      <c r="AB189" s="21" t="s">
        <v>135</v>
      </c>
      <c r="AC189" s="21" t="s">
        <v>136</v>
      </c>
      <c r="AD189" s="21" t="s">
        <v>184</v>
      </c>
      <c r="AE189" s="21" t="s">
        <v>142</v>
      </c>
    </row>
    <row r="190" customFormat="false" ht="15" hidden="false" customHeight="false" outlineLevel="0" collapsed="false">
      <c r="A190" s="21" t="s">
        <v>183</v>
      </c>
      <c r="B190" s="21" t="s">
        <v>143</v>
      </c>
      <c r="C190" s="21" t="s">
        <v>129</v>
      </c>
      <c r="D190" s="21" t="s">
        <v>130</v>
      </c>
      <c r="E190" s="21" t="s">
        <v>131</v>
      </c>
      <c r="F190" s="22" t="n">
        <v>469.58</v>
      </c>
      <c r="G190" s="22" t="n">
        <v>452.82</v>
      </c>
      <c r="H190" s="22" t="n">
        <v>461.48</v>
      </c>
      <c r="I190" s="22" t="n">
        <v>468.43</v>
      </c>
      <c r="J190" s="22" t="n">
        <v>491.4</v>
      </c>
      <c r="K190" s="22" t="n">
        <v>452.87</v>
      </c>
      <c r="L190" s="22" t="n">
        <v>443.59</v>
      </c>
      <c r="M190" s="22" t="n">
        <v>439.7</v>
      </c>
      <c r="N190" s="22" t="n">
        <v>441.07</v>
      </c>
      <c r="O190" s="22" t="n">
        <v>446.13</v>
      </c>
      <c r="P190" s="22" t="n">
        <v>458.7</v>
      </c>
      <c r="Q190" s="22" t="n">
        <v>469.06</v>
      </c>
      <c r="R190" s="22" t="n">
        <v>480.65</v>
      </c>
      <c r="S190" s="22" t="n">
        <v>493.46</v>
      </c>
      <c r="T190" s="22" t="n">
        <v>507.12</v>
      </c>
      <c r="U190" s="21"/>
      <c r="V190" s="21" t="s">
        <v>132</v>
      </c>
      <c r="W190" s="21" t="s">
        <v>104</v>
      </c>
      <c r="X190" s="21"/>
      <c r="Y190" s="21" t="s">
        <v>105</v>
      </c>
      <c r="Z190" s="21" t="s">
        <v>133</v>
      </c>
      <c r="AA190" s="21" t="s">
        <v>134</v>
      </c>
      <c r="AB190" s="21" t="s">
        <v>135</v>
      </c>
      <c r="AC190" s="21" t="s">
        <v>136</v>
      </c>
      <c r="AD190" s="21" t="s">
        <v>184</v>
      </c>
      <c r="AE190" s="21" t="s">
        <v>144</v>
      </c>
    </row>
    <row r="191" customFormat="false" ht="15" hidden="false" customHeight="false" outlineLevel="0" collapsed="false">
      <c r="A191" s="21" t="s">
        <v>183</v>
      </c>
      <c r="B191" s="21" t="s">
        <v>67</v>
      </c>
      <c r="C191" s="21" t="s">
        <v>129</v>
      </c>
      <c r="D191" s="21" t="s">
        <v>130</v>
      </c>
      <c r="E191" s="21" t="s">
        <v>131</v>
      </c>
      <c r="F191" s="22" t="n">
        <v>2723.89</v>
      </c>
      <c r="G191" s="22" t="n">
        <v>2807.78</v>
      </c>
      <c r="H191" s="22" t="n">
        <v>2853.15</v>
      </c>
      <c r="I191" s="22" t="n">
        <v>2904.81</v>
      </c>
      <c r="J191" s="22" t="n">
        <v>2981.78</v>
      </c>
      <c r="K191" s="22" t="n">
        <v>3358.34</v>
      </c>
      <c r="L191" s="22" t="n">
        <v>3728.85</v>
      </c>
      <c r="M191" s="22" t="n">
        <v>3854.73</v>
      </c>
      <c r="N191" s="22" t="n">
        <v>3930.7</v>
      </c>
      <c r="O191" s="22" t="n">
        <v>4025.71</v>
      </c>
      <c r="P191" s="22" t="n">
        <v>4148.52</v>
      </c>
      <c r="Q191" s="22" t="n">
        <v>4241.19</v>
      </c>
      <c r="R191" s="22" t="n">
        <v>4298.43</v>
      </c>
      <c r="S191" s="22" t="n">
        <v>4345.02</v>
      </c>
      <c r="T191" s="22" t="n">
        <v>4394.18</v>
      </c>
      <c r="U191" s="21"/>
      <c r="V191" s="21" t="s">
        <v>132</v>
      </c>
      <c r="W191" s="21" t="s">
        <v>104</v>
      </c>
      <c r="X191" s="21"/>
      <c r="Y191" s="21" t="s">
        <v>105</v>
      </c>
      <c r="Z191" s="21" t="s">
        <v>133</v>
      </c>
      <c r="AA191" s="21" t="s">
        <v>134</v>
      </c>
      <c r="AB191" s="21" t="s">
        <v>135</v>
      </c>
      <c r="AC191" s="21" t="s">
        <v>136</v>
      </c>
      <c r="AD191" s="21" t="s">
        <v>184</v>
      </c>
      <c r="AE191" s="21" t="s">
        <v>145</v>
      </c>
    </row>
    <row r="192" customFormat="false" ht="15" hidden="false" customHeight="false" outlineLevel="0" collapsed="false">
      <c r="A192" s="21" t="s">
        <v>183</v>
      </c>
      <c r="B192" s="21" t="s">
        <v>146</v>
      </c>
      <c r="C192" s="21" t="s">
        <v>129</v>
      </c>
      <c r="D192" s="21" t="s">
        <v>130</v>
      </c>
      <c r="E192" s="21" t="s">
        <v>131</v>
      </c>
      <c r="F192" s="22" t="n">
        <v>287.6</v>
      </c>
      <c r="G192" s="22" t="n">
        <v>325.67</v>
      </c>
      <c r="H192" s="22" t="n">
        <v>328.16</v>
      </c>
      <c r="I192" s="22" t="n">
        <v>329.65</v>
      </c>
      <c r="J192" s="22" t="n">
        <v>328.99</v>
      </c>
      <c r="K192" s="22" t="n">
        <v>305.11</v>
      </c>
      <c r="L192" s="22" t="n">
        <v>304.87</v>
      </c>
      <c r="M192" s="22" t="n">
        <v>307.37</v>
      </c>
      <c r="N192" s="22" t="n">
        <v>311.82</v>
      </c>
      <c r="O192" s="22" t="n">
        <v>316.51</v>
      </c>
      <c r="P192" s="22" t="n">
        <v>325.22</v>
      </c>
      <c r="Q192" s="22" t="n">
        <v>332.16</v>
      </c>
      <c r="R192" s="22" t="n">
        <v>340.01</v>
      </c>
      <c r="S192" s="22" t="n">
        <v>348.65</v>
      </c>
      <c r="T192" s="22" t="n">
        <v>357.79</v>
      </c>
      <c r="U192" s="21"/>
      <c r="V192" s="21" t="s">
        <v>132</v>
      </c>
      <c r="W192" s="21" t="s">
        <v>104</v>
      </c>
      <c r="X192" s="21"/>
      <c r="Y192" s="21" t="s">
        <v>105</v>
      </c>
      <c r="Z192" s="21" t="s">
        <v>133</v>
      </c>
      <c r="AA192" s="21" t="s">
        <v>134</v>
      </c>
      <c r="AB192" s="21" t="s">
        <v>135</v>
      </c>
      <c r="AC192" s="21" t="s">
        <v>136</v>
      </c>
      <c r="AD192" s="21" t="s">
        <v>184</v>
      </c>
      <c r="AE192" s="21" t="s">
        <v>147</v>
      </c>
    </row>
    <row r="193" customFormat="false" ht="15" hidden="false" customHeight="false" outlineLevel="0" collapsed="false">
      <c r="A193" s="21" t="s">
        <v>183</v>
      </c>
      <c r="B193" s="21" t="s">
        <v>74</v>
      </c>
      <c r="C193" s="21" t="s">
        <v>129</v>
      </c>
      <c r="D193" s="21" t="s">
        <v>130</v>
      </c>
      <c r="E193" s="21" t="s">
        <v>131</v>
      </c>
      <c r="F193" s="22" t="n">
        <v>1485.18</v>
      </c>
      <c r="G193" s="22" t="n">
        <v>1881.88</v>
      </c>
      <c r="H193" s="22" t="n">
        <v>2341.98</v>
      </c>
      <c r="I193" s="22" t="n">
        <v>2299.56</v>
      </c>
      <c r="J193" s="22" t="n">
        <v>2315.02</v>
      </c>
      <c r="K193" s="22" t="n">
        <v>2547.07</v>
      </c>
      <c r="L193" s="22" t="n">
        <v>2848.12</v>
      </c>
      <c r="M193" s="22" t="n">
        <v>2959.66</v>
      </c>
      <c r="N193" s="22" t="n">
        <v>3036.89</v>
      </c>
      <c r="O193" s="22" t="n">
        <v>3119.63</v>
      </c>
      <c r="P193" s="22" t="n">
        <v>3215.54</v>
      </c>
      <c r="Q193" s="22" t="n">
        <v>3282.41</v>
      </c>
      <c r="R193" s="22" t="n">
        <v>3319.95</v>
      </c>
      <c r="S193" s="22" t="n">
        <v>3349.27</v>
      </c>
      <c r="T193" s="22" t="n">
        <v>3381.4</v>
      </c>
      <c r="U193" s="21"/>
      <c r="V193" s="21" t="s">
        <v>132</v>
      </c>
      <c r="W193" s="21" t="s">
        <v>104</v>
      </c>
      <c r="X193" s="21"/>
      <c r="Y193" s="21" t="s">
        <v>105</v>
      </c>
      <c r="Z193" s="21" t="s">
        <v>133</v>
      </c>
      <c r="AA193" s="21" t="s">
        <v>134</v>
      </c>
      <c r="AB193" s="21" t="s">
        <v>135</v>
      </c>
      <c r="AC193" s="21" t="s">
        <v>136</v>
      </c>
      <c r="AD193" s="21" t="s">
        <v>184</v>
      </c>
      <c r="AE193" s="21" t="s">
        <v>148</v>
      </c>
    </row>
    <row r="194" customFormat="false" ht="15" hidden="false" customHeight="false" outlineLevel="0" collapsed="false">
      <c r="A194" s="21" t="s">
        <v>183</v>
      </c>
      <c r="B194" s="21" t="s">
        <v>71</v>
      </c>
      <c r="C194" s="21" t="s">
        <v>129</v>
      </c>
      <c r="D194" s="21" t="s">
        <v>130</v>
      </c>
      <c r="E194" s="21" t="s">
        <v>131</v>
      </c>
      <c r="F194" s="22" t="n">
        <v>5758.66</v>
      </c>
      <c r="G194" s="22" t="n">
        <v>6098.82</v>
      </c>
      <c r="H194" s="22" t="n">
        <v>6182.89</v>
      </c>
      <c r="I194" s="22" t="n">
        <v>6290.66</v>
      </c>
      <c r="J194" s="22" t="n">
        <v>6399.47</v>
      </c>
      <c r="K194" s="22" t="n">
        <v>7026.06</v>
      </c>
      <c r="L194" s="22" t="n">
        <v>7525.7</v>
      </c>
      <c r="M194" s="22" t="n">
        <v>7841.8</v>
      </c>
      <c r="N194" s="22" t="n">
        <v>7961.97</v>
      </c>
      <c r="O194" s="22" t="n">
        <v>8039</v>
      </c>
      <c r="P194" s="22" t="n">
        <v>8134.11</v>
      </c>
      <c r="Q194" s="22" t="n">
        <v>8270.6</v>
      </c>
      <c r="R194" s="22" t="n">
        <v>8385.52</v>
      </c>
      <c r="S194" s="22" t="n">
        <v>8505.77</v>
      </c>
      <c r="T194" s="22" t="n">
        <v>8643.37</v>
      </c>
      <c r="U194" s="21"/>
      <c r="V194" s="21" t="s">
        <v>132</v>
      </c>
      <c r="W194" s="21" t="s">
        <v>104</v>
      </c>
      <c r="X194" s="21"/>
      <c r="Y194" s="21" t="s">
        <v>105</v>
      </c>
      <c r="Z194" s="21" t="s">
        <v>133</v>
      </c>
      <c r="AA194" s="21" t="s">
        <v>134</v>
      </c>
      <c r="AB194" s="21" t="s">
        <v>135</v>
      </c>
      <c r="AC194" s="21" t="s">
        <v>136</v>
      </c>
      <c r="AD194" s="21" t="s">
        <v>184</v>
      </c>
      <c r="AE194" s="21" t="s">
        <v>149</v>
      </c>
    </row>
    <row r="195" customFormat="false" ht="15" hidden="false" customHeight="false" outlineLevel="0" collapsed="false">
      <c r="A195" s="21" t="s">
        <v>183</v>
      </c>
      <c r="B195" s="21" t="s">
        <v>81</v>
      </c>
      <c r="C195" s="21" t="s">
        <v>129</v>
      </c>
      <c r="D195" s="21" t="s">
        <v>130</v>
      </c>
      <c r="E195" s="21" t="s">
        <v>131</v>
      </c>
      <c r="F195" s="22" t="n">
        <v>1326.7</v>
      </c>
      <c r="G195" s="22" t="n">
        <v>1324.46</v>
      </c>
      <c r="H195" s="22" t="n">
        <v>1350.49</v>
      </c>
      <c r="I195" s="22" t="n">
        <v>1380.63</v>
      </c>
      <c r="J195" s="22" t="n">
        <v>1445.58</v>
      </c>
      <c r="K195" s="22" t="n">
        <v>1329.28</v>
      </c>
      <c r="L195" s="22" t="n">
        <v>1342.18</v>
      </c>
      <c r="M195" s="22" t="n">
        <v>1342.38</v>
      </c>
      <c r="N195" s="22" t="n">
        <v>1346.99</v>
      </c>
      <c r="O195" s="22" t="n">
        <v>1354.96</v>
      </c>
      <c r="P195" s="22" t="n">
        <v>1387.99</v>
      </c>
      <c r="Q195" s="22" t="n">
        <v>1416.47</v>
      </c>
      <c r="R195" s="22" t="n">
        <v>1449.5</v>
      </c>
      <c r="S195" s="22" t="n">
        <v>1485.66</v>
      </c>
      <c r="T195" s="22" t="n">
        <v>1524.47</v>
      </c>
      <c r="U195" s="21"/>
      <c r="V195" s="21" t="s">
        <v>132</v>
      </c>
      <c r="W195" s="21" t="s">
        <v>104</v>
      </c>
      <c r="X195" s="21"/>
      <c r="Y195" s="21" t="s">
        <v>105</v>
      </c>
      <c r="Z195" s="21" t="s">
        <v>133</v>
      </c>
      <c r="AA195" s="21" t="s">
        <v>134</v>
      </c>
      <c r="AB195" s="21" t="s">
        <v>135</v>
      </c>
      <c r="AC195" s="21" t="s">
        <v>136</v>
      </c>
      <c r="AD195" s="21" t="s">
        <v>184</v>
      </c>
      <c r="AE195" s="21" t="s">
        <v>150</v>
      </c>
    </row>
    <row r="196" customFormat="false" ht="15" hidden="false" customHeight="false" outlineLevel="0" collapsed="false">
      <c r="A196" s="21" t="s">
        <v>183</v>
      </c>
      <c r="B196" s="21" t="s">
        <v>78</v>
      </c>
      <c r="C196" s="21" t="s">
        <v>129</v>
      </c>
      <c r="D196" s="21" t="s">
        <v>130</v>
      </c>
      <c r="E196" s="21" t="s">
        <v>131</v>
      </c>
      <c r="F196" s="22" t="n">
        <v>3574.96</v>
      </c>
      <c r="G196" s="22" t="n">
        <v>3488.01</v>
      </c>
      <c r="H196" s="22" t="n">
        <v>3149.44</v>
      </c>
      <c r="I196" s="22" t="n">
        <v>3286.51</v>
      </c>
      <c r="J196" s="22" t="n">
        <v>3407.22</v>
      </c>
      <c r="K196" s="22" t="n">
        <v>3865.84</v>
      </c>
      <c r="L196" s="22" t="n">
        <v>4267.05</v>
      </c>
      <c r="M196" s="22" t="n">
        <v>4592.26</v>
      </c>
      <c r="N196" s="22" t="n">
        <v>4743.6</v>
      </c>
      <c r="O196" s="22" t="n">
        <v>4837.77</v>
      </c>
      <c r="P196" s="22" t="n">
        <v>4927.76</v>
      </c>
      <c r="Q196" s="22" t="n">
        <v>5049.64</v>
      </c>
      <c r="R196" s="22" t="n">
        <v>5164.3</v>
      </c>
      <c r="S196" s="22" t="n">
        <v>5285.71</v>
      </c>
      <c r="T196" s="22" t="n">
        <v>5418.9</v>
      </c>
      <c r="U196" s="21"/>
      <c r="V196" s="21" t="s">
        <v>132</v>
      </c>
      <c r="W196" s="21" t="s">
        <v>104</v>
      </c>
      <c r="X196" s="21"/>
      <c r="Y196" s="21" t="s">
        <v>105</v>
      </c>
      <c r="Z196" s="21" t="s">
        <v>133</v>
      </c>
      <c r="AA196" s="21" t="s">
        <v>134</v>
      </c>
      <c r="AB196" s="21" t="s">
        <v>135</v>
      </c>
      <c r="AC196" s="21" t="s">
        <v>136</v>
      </c>
      <c r="AD196" s="21" t="s">
        <v>184</v>
      </c>
      <c r="AE196" s="21" t="s">
        <v>151</v>
      </c>
    </row>
    <row r="197" customFormat="false" ht="15" hidden="false" customHeight="false" outlineLevel="0" collapsed="false">
      <c r="A197" s="21" t="s">
        <v>183</v>
      </c>
      <c r="B197" s="21" t="s">
        <v>85</v>
      </c>
      <c r="C197" s="21" t="s">
        <v>129</v>
      </c>
      <c r="D197" s="21" t="s">
        <v>130</v>
      </c>
      <c r="E197" s="21" t="s">
        <v>131</v>
      </c>
      <c r="F197" s="22" t="n">
        <v>630.98</v>
      </c>
      <c r="G197" s="22" t="n">
        <v>723.77</v>
      </c>
      <c r="H197" s="22" t="n">
        <v>736.47</v>
      </c>
      <c r="I197" s="22" t="n">
        <v>747.18</v>
      </c>
      <c r="J197" s="22" t="n">
        <v>751.18</v>
      </c>
      <c r="K197" s="22" t="n">
        <v>691.59</v>
      </c>
      <c r="L197" s="22" t="n">
        <v>689.55</v>
      </c>
      <c r="M197" s="22" t="n">
        <v>691.44</v>
      </c>
      <c r="N197" s="22" t="n">
        <v>696.8</v>
      </c>
      <c r="O197" s="22" t="n">
        <v>702.26</v>
      </c>
      <c r="P197" s="22" t="n">
        <v>717.14</v>
      </c>
      <c r="Q197" s="22" t="n">
        <v>728.58</v>
      </c>
      <c r="R197" s="22" t="n">
        <v>742.45</v>
      </c>
      <c r="S197" s="22" t="n">
        <v>758.19</v>
      </c>
      <c r="T197" s="22" t="n">
        <v>775.24</v>
      </c>
      <c r="U197" s="21"/>
      <c r="V197" s="21" t="s">
        <v>132</v>
      </c>
      <c r="W197" s="21" t="s">
        <v>104</v>
      </c>
      <c r="X197" s="21"/>
      <c r="Y197" s="21" t="s">
        <v>105</v>
      </c>
      <c r="Z197" s="21" t="s">
        <v>133</v>
      </c>
      <c r="AA197" s="21" t="s">
        <v>134</v>
      </c>
      <c r="AB197" s="21" t="s">
        <v>135</v>
      </c>
      <c r="AC197" s="21" t="s">
        <v>136</v>
      </c>
      <c r="AD197" s="21" t="s">
        <v>184</v>
      </c>
      <c r="AE197" s="21" t="s">
        <v>152</v>
      </c>
    </row>
    <row r="198" customFormat="false" ht="15" hidden="false" customHeight="false" outlineLevel="0" collapsed="false">
      <c r="A198" s="21" t="s">
        <v>183</v>
      </c>
      <c r="B198" s="21" t="s">
        <v>153</v>
      </c>
      <c r="C198" s="21" t="s">
        <v>129</v>
      </c>
      <c r="D198" s="21" t="s">
        <v>130</v>
      </c>
      <c r="E198" s="21" t="s">
        <v>131</v>
      </c>
      <c r="F198" s="22" t="n">
        <v>165.32</v>
      </c>
      <c r="G198" s="22" t="n">
        <v>177.33</v>
      </c>
      <c r="H198" s="22" t="n">
        <v>243.05</v>
      </c>
      <c r="I198" s="22" t="n">
        <v>278.84</v>
      </c>
      <c r="J198" s="22" t="n">
        <v>292.27</v>
      </c>
      <c r="K198" s="22" t="n">
        <v>229.23</v>
      </c>
      <c r="L198" s="22" t="n">
        <v>205.96</v>
      </c>
      <c r="M198" s="22" t="n">
        <v>199.44</v>
      </c>
      <c r="N198" s="22" t="n">
        <v>199.61</v>
      </c>
      <c r="O198" s="22" t="n">
        <v>201.34</v>
      </c>
      <c r="P198" s="22" t="n">
        <v>206.33</v>
      </c>
      <c r="Q198" s="22" t="n">
        <v>211.9</v>
      </c>
      <c r="R198" s="22" t="n">
        <v>217.37</v>
      </c>
      <c r="S198" s="22" t="n">
        <v>223.29</v>
      </c>
      <c r="T198" s="22" t="n">
        <v>229.55</v>
      </c>
      <c r="U198" s="21"/>
      <c r="V198" s="21" t="s">
        <v>132</v>
      </c>
      <c r="W198" s="21" t="s">
        <v>104</v>
      </c>
      <c r="X198" s="21"/>
      <c r="Y198" s="21" t="s">
        <v>105</v>
      </c>
      <c r="Z198" s="21" t="s">
        <v>133</v>
      </c>
      <c r="AA198" s="21" t="s">
        <v>134</v>
      </c>
      <c r="AB198" s="21" t="s">
        <v>135</v>
      </c>
      <c r="AC198" s="21" t="s">
        <v>136</v>
      </c>
      <c r="AD198" s="21" t="s">
        <v>184</v>
      </c>
      <c r="AE198" s="21" t="s">
        <v>154</v>
      </c>
    </row>
    <row r="199" customFormat="false" ht="15" hidden="false" customHeight="false" outlineLevel="0" collapsed="false">
      <c r="A199" s="21" t="s">
        <v>185</v>
      </c>
      <c r="B199" s="21" t="s">
        <v>128</v>
      </c>
      <c r="C199" s="21" t="s">
        <v>129</v>
      </c>
      <c r="D199" s="21" t="s">
        <v>130</v>
      </c>
      <c r="E199" s="21" t="s">
        <v>131</v>
      </c>
      <c r="F199" s="22" t="n">
        <v>30.11</v>
      </c>
      <c r="G199" s="22" t="n">
        <v>34.53</v>
      </c>
      <c r="H199" s="22" t="n">
        <v>35.31</v>
      </c>
      <c r="I199" s="22" t="n">
        <v>34.17</v>
      </c>
      <c r="J199" s="22" t="n">
        <v>37.11</v>
      </c>
      <c r="K199" s="22" t="n">
        <v>39.72</v>
      </c>
      <c r="L199" s="22" t="n">
        <v>41.19</v>
      </c>
      <c r="M199" s="22" t="n">
        <v>45.03</v>
      </c>
      <c r="N199" s="22" t="n">
        <v>45.78</v>
      </c>
      <c r="O199" s="22" t="n">
        <v>47.32</v>
      </c>
      <c r="P199" s="22" t="n">
        <v>48.71</v>
      </c>
      <c r="Q199" s="22" t="n">
        <v>48.72</v>
      </c>
      <c r="R199" s="22" t="n">
        <v>48.72</v>
      </c>
      <c r="S199" s="22" t="n">
        <v>48.78</v>
      </c>
      <c r="T199" s="22" t="n">
        <v>48.93</v>
      </c>
      <c r="U199" s="21"/>
      <c r="V199" s="21" t="s">
        <v>132</v>
      </c>
      <c r="W199" s="21" t="s">
        <v>104</v>
      </c>
      <c r="X199" s="21"/>
      <c r="Y199" s="21" t="s">
        <v>105</v>
      </c>
      <c r="Z199" s="21" t="s">
        <v>133</v>
      </c>
      <c r="AA199" s="21" t="s">
        <v>134</v>
      </c>
      <c r="AB199" s="21" t="s">
        <v>135</v>
      </c>
      <c r="AC199" s="21" t="s">
        <v>136</v>
      </c>
      <c r="AD199" s="21" t="s">
        <v>186</v>
      </c>
      <c r="AE199" s="21" t="s">
        <v>138</v>
      </c>
    </row>
    <row r="200" customFormat="false" ht="15" hidden="false" customHeight="false" outlineLevel="0" collapsed="false">
      <c r="A200" s="21" t="s">
        <v>185</v>
      </c>
      <c r="B200" s="21" t="s">
        <v>139</v>
      </c>
      <c r="C200" s="21" t="s">
        <v>129</v>
      </c>
      <c r="D200" s="21" t="s">
        <v>130</v>
      </c>
      <c r="E200" s="21" t="s">
        <v>131</v>
      </c>
      <c r="F200" s="22" t="n">
        <v>344.94</v>
      </c>
      <c r="G200" s="22" t="n">
        <v>399.72</v>
      </c>
      <c r="H200" s="22" t="n">
        <v>377.72</v>
      </c>
      <c r="I200" s="22" t="n">
        <v>378.76</v>
      </c>
      <c r="J200" s="22" t="n">
        <v>402.83</v>
      </c>
      <c r="K200" s="22" t="n">
        <v>414.57</v>
      </c>
      <c r="L200" s="22" t="n">
        <v>409.68</v>
      </c>
      <c r="M200" s="22" t="n">
        <v>447.81</v>
      </c>
      <c r="N200" s="22" t="n">
        <v>464.79</v>
      </c>
      <c r="O200" s="22" t="n">
        <v>492.25</v>
      </c>
      <c r="P200" s="22" t="n">
        <v>517.08</v>
      </c>
      <c r="Q200" s="22" t="n">
        <v>524.04</v>
      </c>
      <c r="R200" s="22" t="n">
        <v>530.89</v>
      </c>
      <c r="S200" s="22" t="n">
        <v>539.09</v>
      </c>
      <c r="T200" s="22" t="n">
        <v>549</v>
      </c>
      <c r="U200" s="21"/>
      <c r="V200" s="21" t="s">
        <v>132</v>
      </c>
      <c r="W200" s="21" t="s">
        <v>104</v>
      </c>
      <c r="X200" s="21"/>
      <c r="Y200" s="21" t="s">
        <v>105</v>
      </c>
      <c r="Z200" s="21" t="s">
        <v>133</v>
      </c>
      <c r="AA200" s="21" t="s">
        <v>134</v>
      </c>
      <c r="AB200" s="21" t="s">
        <v>135</v>
      </c>
      <c r="AC200" s="21" t="s">
        <v>136</v>
      </c>
      <c r="AD200" s="21" t="s">
        <v>186</v>
      </c>
      <c r="AE200" s="21" t="s">
        <v>140</v>
      </c>
    </row>
    <row r="201" customFormat="false" ht="15" hidden="false" customHeight="false" outlineLevel="0" collapsed="false">
      <c r="A201" s="21" t="s">
        <v>185</v>
      </c>
      <c r="B201" s="21" t="s">
        <v>141</v>
      </c>
      <c r="C201" s="21" t="s">
        <v>129</v>
      </c>
      <c r="D201" s="21" t="s">
        <v>130</v>
      </c>
      <c r="E201" s="21" t="s">
        <v>131</v>
      </c>
      <c r="F201" s="22" t="n">
        <v>344.95</v>
      </c>
      <c r="G201" s="22" t="n">
        <v>392.54</v>
      </c>
      <c r="H201" s="22" t="n">
        <v>398.91</v>
      </c>
      <c r="I201" s="22" t="n">
        <v>377.4</v>
      </c>
      <c r="J201" s="22" t="n">
        <v>403.85</v>
      </c>
      <c r="K201" s="22" t="n">
        <v>428.09</v>
      </c>
      <c r="L201" s="22" t="n">
        <v>430.22</v>
      </c>
      <c r="M201" s="22" t="n">
        <v>469.6</v>
      </c>
      <c r="N201" s="22" t="n">
        <v>482.97</v>
      </c>
      <c r="O201" s="22" t="n">
        <v>506.58</v>
      </c>
      <c r="P201" s="22" t="n">
        <v>528.64</v>
      </c>
      <c r="Q201" s="22" t="n">
        <v>534.96</v>
      </c>
      <c r="R201" s="22" t="n">
        <v>540.22</v>
      </c>
      <c r="S201" s="22" t="n">
        <v>545.81</v>
      </c>
      <c r="T201" s="22" t="n">
        <v>552.16</v>
      </c>
      <c r="U201" s="21"/>
      <c r="V201" s="21" t="s">
        <v>132</v>
      </c>
      <c r="W201" s="21" t="s">
        <v>104</v>
      </c>
      <c r="X201" s="21"/>
      <c r="Y201" s="21" t="s">
        <v>105</v>
      </c>
      <c r="Z201" s="21" t="s">
        <v>133</v>
      </c>
      <c r="AA201" s="21" t="s">
        <v>134</v>
      </c>
      <c r="AB201" s="21" t="s">
        <v>135</v>
      </c>
      <c r="AC201" s="21" t="s">
        <v>136</v>
      </c>
      <c r="AD201" s="21" t="s">
        <v>186</v>
      </c>
      <c r="AE201" s="21" t="s">
        <v>142</v>
      </c>
    </row>
    <row r="202" customFormat="false" ht="15" hidden="false" customHeight="false" outlineLevel="0" collapsed="false">
      <c r="A202" s="21" t="s">
        <v>185</v>
      </c>
      <c r="B202" s="21" t="s">
        <v>143</v>
      </c>
      <c r="C202" s="21" t="s">
        <v>129</v>
      </c>
      <c r="D202" s="21" t="s">
        <v>130</v>
      </c>
      <c r="E202" s="21" t="s">
        <v>131</v>
      </c>
      <c r="F202" s="22" t="n">
        <v>459.19</v>
      </c>
      <c r="G202" s="22" t="n">
        <v>447.19</v>
      </c>
      <c r="H202" s="22" t="n">
        <v>443.17</v>
      </c>
      <c r="I202" s="22" t="n">
        <v>432.28</v>
      </c>
      <c r="J202" s="22" t="n">
        <v>421.71</v>
      </c>
      <c r="K202" s="22" t="n">
        <v>433.74</v>
      </c>
      <c r="L202" s="22" t="n">
        <v>433.75</v>
      </c>
      <c r="M202" s="22" t="n">
        <v>471.68</v>
      </c>
      <c r="N202" s="22" t="n">
        <v>485.22</v>
      </c>
      <c r="O202" s="22" t="n">
        <v>511.84</v>
      </c>
      <c r="P202" s="22" t="n">
        <v>537.85</v>
      </c>
      <c r="Q202" s="22" t="n">
        <v>545.31</v>
      </c>
      <c r="R202" s="22" t="n">
        <v>553.23</v>
      </c>
      <c r="S202" s="22" t="n">
        <v>563.14</v>
      </c>
      <c r="T202" s="22" t="n">
        <v>574.66</v>
      </c>
      <c r="U202" s="21"/>
      <c r="V202" s="21" t="s">
        <v>132</v>
      </c>
      <c r="W202" s="21" t="s">
        <v>104</v>
      </c>
      <c r="X202" s="21"/>
      <c r="Y202" s="21" t="s">
        <v>105</v>
      </c>
      <c r="Z202" s="21" t="s">
        <v>133</v>
      </c>
      <c r="AA202" s="21" t="s">
        <v>134</v>
      </c>
      <c r="AB202" s="21" t="s">
        <v>135</v>
      </c>
      <c r="AC202" s="21" t="s">
        <v>136</v>
      </c>
      <c r="AD202" s="21" t="s">
        <v>186</v>
      </c>
      <c r="AE202" s="21" t="s">
        <v>144</v>
      </c>
    </row>
    <row r="203" customFormat="false" ht="15" hidden="false" customHeight="false" outlineLevel="0" collapsed="false">
      <c r="A203" s="21" t="s">
        <v>185</v>
      </c>
      <c r="B203" s="21" t="s">
        <v>67</v>
      </c>
      <c r="C203" s="21" t="s">
        <v>129</v>
      </c>
      <c r="D203" s="21" t="s">
        <v>130</v>
      </c>
      <c r="E203" s="21" t="s">
        <v>131</v>
      </c>
      <c r="F203" s="22" t="n">
        <v>4526.02</v>
      </c>
      <c r="G203" s="22" t="n">
        <v>4711.76</v>
      </c>
      <c r="H203" s="22" t="n">
        <v>4864.04</v>
      </c>
      <c r="I203" s="22" t="n">
        <v>4534.3</v>
      </c>
      <c r="J203" s="22" t="n">
        <v>4199.37</v>
      </c>
      <c r="K203" s="22" t="n">
        <v>3970.85</v>
      </c>
      <c r="L203" s="22" t="n">
        <v>2861.54</v>
      </c>
      <c r="M203" s="22" t="n">
        <v>2517.78</v>
      </c>
      <c r="N203" s="22" t="n">
        <v>2574.43</v>
      </c>
      <c r="O203" s="22" t="n">
        <v>2509.67</v>
      </c>
      <c r="P203" s="22" t="n">
        <v>2682.64</v>
      </c>
      <c r="Q203" s="22" t="n">
        <v>2819.66</v>
      </c>
      <c r="R203" s="22" t="n">
        <v>2932.17</v>
      </c>
      <c r="S203" s="22" t="n">
        <v>3015.68</v>
      </c>
      <c r="T203" s="22" t="n">
        <v>3054.98</v>
      </c>
      <c r="U203" s="21"/>
      <c r="V203" s="21" t="s">
        <v>132</v>
      </c>
      <c r="W203" s="21" t="s">
        <v>104</v>
      </c>
      <c r="X203" s="21"/>
      <c r="Y203" s="21" t="s">
        <v>105</v>
      </c>
      <c r="Z203" s="21" t="s">
        <v>133</v>
      </c>
      <c r="AA203" s="21" t="s">
        <v>134</v>
      </c>
      <c r="AB203" s="21" t="s">
        <v>135</v>
      </c>
      <c r="AC203" s="21" t="s">
        <v>136</v>
      </c>
      <c r="AD203" s="21" t="s">
        <v>186</v>
      </c>
      <c r="AE203" s="21" t="s">
        <v>145</v>
      </c>
    </row>
    <row r="204" customFormat="false" ht="15" hidden="false" customHeight="false" outlineLevel="0" collapsed="false">
      <c r="A204" s="21" t="s">
        <v>185</v>
      </c>
      <c r="B204" s="21" t="s">
        <v>146</v>
      </c>
      <c r="C204" s="21" t="s">
        <v>129</v>
      </c>
      <c r="D204" s="21" t="s">
        <v>130</v>
      </c>
      <c r="E204" s="21" t="s">
        <v>131</v>
      </c>
      <c r="F204" s="22" t="n">
        <v>328.95</v>
      </c>
      <c r="G204" s="22" t="n">
        <v>376.7</v>
      </c>
      <c r="H204" s="22" t="n">
        <v>383.89</v>
      </c>
      <c r="I204" s="22" t="n">
        <v>365.18</v>
      </c>
      <c r="J204" s="22" t="n">
        <v>392.44</v>
      </c>
      <c r="K204" s="22" t="n">
        <v>417.37</v>
      </c>
      <c r="L204" s="22" t="n">
        <v>419.22</v>
      </c>
      <c r="M204" s="22" t="n">
        <v>455.76</v>
      </c>
      <c r="N204" s="22" t="n">
        <v>466.32</v>
      </c>
      <c r="O204" s="22" t="n">
        <v>487.29</v>
      </c>
      <c r="P204" s="22" t="n">
        <v>507.4</v>
      </c>
      <c r="Q204" s="22" t="n">
        <v>512.56</v>
      </c>
      <c r="R204" s="22" t="n">
        <v>516.9</v>
      </c>
      <c r="S204" s="22" t="n">
        <v>521.72</v>
      </c>
      <c r="T204" s="22" t="n">
        <v>527.31</v>
      </c>
      <c r="U204" s="21"/>
      <c r="V204" s="21" t="s">
        <v>132</v>
      </c>
      <c r="W204" s="21" t="s">
        <v>104</v>
      </c>
      <c r="X204" s="21"/>
      <c r="Y204" s="21" t="s">
        <v>105</v>
      </c>
      <c r="Z204" s="21" t="s">
        <v>133</v>
      </c>
      <c r="AA204" s="21" t="s">
        <v>134</v>
      </c>
      <c r="AB204" s="21" t="s">
        <v>135</v>
      </c>
      <c r="AC204" s="21" t="s">
        <v>136</v>
      </c>
      <c r="AD204" s="21" t="s">
        <v>186</v>
      </c>
      <c r="AE204" s="21" t="s">
        <v>147</v>
      </c>
    </row>
    <row r="205" customFormat="false" ht="15" hidden="false" customHeight="false" outlineLevel="0" collapsed="false">
      <c r="A205" s="21" t="s">
        <v>185</v>
      </c>
      <c r="B205" s="21" t="s">
        <v>74</v>
      </c>
      <c r="C205" s="21" t="s">
        <v>129</v>
      </c>
      <c r="D205" s="21" t="s">
        <v>130</v>
      </c>
      <c r="E205" s="21" t="s">
        <v>131</v>
      </c>
      <c r="F205" s="22" t="n">
        <v>1074.02</v>
      </c>
      <c r="G205" s="22" t="n">
        <v>1135.75</v>
      </c>
      <c r="H205" s="22" t="n">
        <v>1246.01</v>
      </c>
      <c r="I205" s="22" t="n">
        <v>1192.81</v>
      </c>
      <c r="J205" s="22" t="n">
        <v>1186.29</v>
      </c>
      <c r="K205" s="22" t="n">
        <v>1178.77</v>
      </c>
      <c r="L205" s="22" t="n">
        <v>907.78</v>
      </c>
      <c r="M205" s="22" t="n">
        <v>830.5</v>
      </c>
      <c r="N205" s="22" t="n">
        <v>885.44</v>
      </c>
      <c r="O205" s="22" t="n">
        <v>863.18</v>
      </c>
      <c r="P205" s="22" t="n">
        <v>906.36</v>
      </c>
      <c r="Q205" s="22" t="n">
        <v>947.18</v>
      </c>
      <c r="R205" s="22" t="n">
        <v>983.46</v>
      </c>
      <c r="S205" s="22" t="n">
        <v>1005.79</v>
      </c>
      <c r="T205" s="22" t="n">
        <v>1015.33</v>
      </c>
      <c r="U205" s="21"/>
      <c r="V205" s="21" t="s">
        <v>132</v>
      </c>
      <c r="W205" s="21" t="s">
        <v>104</v>
      </c>
      <c r="X205" s="21"/>
      <c r="Y205" s="21" t="s">
        <v>105</v>
      </c>
      <c r="Z205" s="21" t="s">
        <v>133</v>
      </c>
      <c r="AA205" s="21" t="s">
        <v>134</v>
      </c>
      <c r="AB205" s="21" t="s">
        <v>135</v>
      </c>
      <c r="AC205" s="21" t="s">
        <v>136</v>
      </c>
      <c r="AD205" s="21" t="s">
        <v>186</v>
      </c>
      <c r="AE205" s="21" t="s">
        <v>148</v>
      </c>
    </row>
    <row r="206" customFormat="false" ht="15" hidden="false" customHeight="false" outlineLevel="0" collapsed="false">
      <c r="A206" s="21" t="s">
        <v>185</v>
      </c>
      <c r="B206" s="21" t="s">
        <v>71</v>
      </c>
      <c r="C206" s="21" t="s">
        <v>129</v>
      </c>
      <c r="D206" s="21" t="s">
        <v>130</v>
      </c>
      <c r="E206" s="21" t="s">
        <v>131</v>
      </c>
      <c r="F206" s="22" t="n">
        <v>1282.4</v>
      </c>
      <c r="G206" s="22" t="n">
        <v>1442.72</v>
      </c>
      <c r="H206" s="22" t="n">
        <v>1265.64</v>
      </c>
      <c r="I206" s="22" t="n">
        <v>1345.53</v>
      </c>
      <c r="J206" s="22" t="n">
        <v>1461.9</v>
      </c>
      <c r="K206" s="22" t="n">
        <v>1535.92</v>
      </c>
      <c r="L206" s="22" t="n">
        <v>1312.15</v>
      </c>
      <c r="M206" s="22" t="n">
        <v>1453.52</v>
      </c>
      <c r="N206" s="22" t="n">
        <v>1742.17</v>
      </c>
      <c r="O206" s="22" t="n">
        <v>1726.15</v>
      </c>
      <c r="P206" s="22" t="n">
        <v>1787.35</v>
      </c>
      <c r="Q206" s="22" t="n">
        <v>1881.27</v>
      </c>
      <c r="R206" s="22" t="n">
        <v>1938.7</v>
      </c>
      <c r="S206" s="22" t="n">
        <v>1955.86</v>
      </c>
      <c r="T206" s="22" t="n">
        <v>1958.9</v>
      </c>
      <c r="U206" s="21"/>
      <c r="V206" s="21" t="s">
        <v>132</v>
      </c>
      <c r="W206" s="21" t="s">
        <v>104</v>
      </c>
      <c r="X206" s="21"/>
      <c r="Y206" s="21" t="s">
        <v>105</v>
      </c>
      <c r="Z206" s="21" t="s">
        <v>133</v>
      </c>
      <c r="AA206" s="21" t="s">
        <v>134</v>
      </c>
      <c r="AB206" s="21" t="s">
        <v>135</v>
      </c>
      <c r="AC206" s="21" t="s">
        <v>136</v>
      </c>
      <c r="AD206" s="21" t="s">
        <v>186</v>
      </c>
      <c r="AE206" s="21" t="s">
        <v>149</v>
      </c>
    </row>
    <row r="207" customFormat="false" ht="15" hidden="false" customHeight="false" outlineLevel="0" collapsed="false">
      <c r="A207" s="21" t="s">
        <v>185</v>
      </c>
      <c r="B207" s="21" t="s">
        <v>81</v>
      </c>
      <c r="C207" s="21" t="s">
        <v>129</v>
      </c>
      <c r="D207" s="21" t="s">
        <v>130</v>
      </c>
      <c r="E207" s="21" t="s">
        <v>131</v>
      </c>
      <c r="F207" s="22" t="n">
        <v>842.89</v>
      </c>
      <c r="G207" s="22" t="n">
        <v>897.74</v>
      </c>
      <c r="H207" s="22" t="n">
        <v>885.95</v>
      </c>
      <c r="I207" s="22" t="n">
        <v>867.42</v>
      </c>
      <c r="J207" s="22" t="n">
        <v>876.98</v>
      </c>
      <c r="K207" s="22" t="n">
        <v>908.83</v>
      </c>
      <c r="L207" s="22" t="n">
        <v>913.86</v>
      </c>
      <c r="M207" s="22" t="n">
        <v>1001.71</v>
      </c>
      <c r="N207" s="22" t="n">
        <v>1036.84</v>
      </c>
      <c r="O207" s="22" t="n">
        <v>1096.39</v>
      </c>
      <c r="P207" s="22" t="n">
        <v>1152.02</v>
      </c>
      <c r="Q207" s="22" t="n">
        <v>1167.86</v>
      </c>
      <c r="R207" s="22" t="n">
        <v>1184.18</v>
      </c>
      <c r="S207" s="22" t="n">
        <v>1204.13</v>
      </c>
      <c r="T207" s="22" t="n">
        <v>1227.59</v>
      </c>
      <c r="U207" s="21"/>
      <c r="V207" s="21" t="s">
        <v>132</v>
      </c>
      <c r="W207" s="21" t="s">
        <v>104</v>
      </c>
      <c r="X207" s="21"/>
      <c r="Y207" s="21" t="s">
        <v>105</v>
      </c>
      <c r="Z207" s="21" t="s">
        <v>133</v>
      </c>
      <c r="AA207" s="21" t="s">
        <v>134</v>
      </c>
      <c r="AB207" s="21" t="s">
        <v>135</v>
      </c>
      <c r="AC207" s="21" t="s">
        <v>136</v>
      </c>
      <c r="AD207" s="21" t="s">
        <v>186</v>
      </c>
      <c r="AE207" s="21" t="s">
        <v>150</v>
      </c>
    </row>
    <row r="208" customFormat="false" ht="15" hidden="false" customHeight="false" outlineLevel="0" collapsed="false">
      <c r="A208" s="21" t="s">
        <v>185</v>
      </c>
      <c r="B208" s="21" t="s">
        <v>78</v>
      </c>
      <c r="C208" s="21" t="s">
        <v>129</v>
      </c>
      <c r="D208" s="21" t="s">
        <v>130</v>
      </c>
      <c r="E208" s="21" t="s">
        <v>131</v>
      </c>
      <c r="F208" s="22" t="n">
        <v>396.7</v>
      </c>
      <c r="G208" s="22" t="n">
        <v>426.76</v>
      </c>
      <c r="H208" s="22" t="n">
        <v>341.29</v>
      </c>
      <c r="I208" s="22" t="n">
        <v>349.99</v>
      </c>
      <c r="J208" s="22" t="n">
        <v>287.13</v>
      </c>
      <c r="K208" s="22" t="n">
        <v>238.37</v>
      </c>
      <c r="L208" s="22" t="n">
        <v>167.84</v>
      </c>
      <c r="M208" s="22" t="n">
        <v>211.29</v>
      </c>
      <c r="N208" s="22" t="n">
        <v>258.35</v>
      </c>
      <c r="O208" s="22" t="n">
        <v>266.77</v>
      </c>
      <c r="P208" s="22" t="n">
        <v>291.82</v>
      </c>
      <c r="Q208" s="22" t="n">
        <v>317.49</v>
      </c>
      <c r="R208" s="22" t="n">
        <v>330.51</v>
      </c>
      <c r="S208" s="22" t="n">
        <v>338.7</v>
      </c>
      <c r="T208" s="22" t="n">
        <v>344.13</v>
      </c>
      <c r="U208" s="21"/>
      <c r="V208" s="21" t="s">
        <v>132</v>
      </c>
      <c r="W208" s="21" t="s">
        <v>104</v>
      </c>
      <c r="X208" s="21"/>
      <c r="Y208" s="21" t="s">
        <v>105</v>
      </c>
      <c r="Z208" s="21" t="s">
        <v>133</v>
      </c>
      <c r="AA208" s="21" t="s">
        <v>134</v>
      </c>
      <c r="AB208" s="21" t="s">
        <v>135</v>
      </c>
      <c r="AC208" s="21" t="s">
        <v>136</v>
      </c>
      <c r="AD208" s="21" t="s">
        <v>186</v>
      </c>
      <c r="AE208" s="21" t="s">
        <v>151</v>
      </c>
    </row>
    <row r="209" customFormat="false" ht="15" hidden="false" customHeight="false" outlineLevel="0" collapsed="false">
      <c r="A209" s="21" t="s">
        <v>185</v>
      </c>
      <c r="B209" s="21" t="s">
        <v>85</v>
      </c>
      <c r="C209" s="21" t="s">
        <v>129</v>
      </c>
      <c r="D209" s="21" t="s">
        <v>130</v>
      </c>
      <c r="E209" s="21" t="s">
        <v>131</v>
      </c>
      <c r="F209" s="22" t="n">
        <v>704.01</v>
      </c>
      <c r="G209" s="22" t="n">
        <v>803.76</v>
      </c>
      <c r="H209" s="22" t="n">
        <v>818.1</v>
      </c>
      <c r="I209" s="22" t="n">
        <v>776.74</v>
      </c>
      <c r="J209" s="22" t="n">
        <v>833.4</v>
      </c>
      <c r="K209" s="22" t="n">
        <v>885.17</v>
      </c>
      <c r="L209" s="22" t="n">
        <v>890.64</v>
      </c>
      <c r="M209" s="22" t="n">
        <v>970.39</v>
      </c>
      <c r="N209" s="22" t="n">
        <v>995.07</v>
      </c>
      <c r="O209" s="22" t="n">
        <v>1041.2</v>
      </c>
      <c r="P209" s="22" t="n">
        <v>1084.74</v>
      </c>
      <c r="Q209" s="22" t="n">
        <v>1096.24</v>
      </c>
      <c r="R209" s="22" t="n">
        <v>1105.84</v>
      </c>
      <c r="S209" s="22" t="n">
        <v>1116.31</v>
      </c>
      <c r="T209" s="22" t="n">
        <v>1128.41</v>
      </c>
      <c r="U209" s="21"/>
      <c r="V209" s="21" t="s">
        <v>132</v>
      </c>
      <c r="W209" s="21" t="s">
        <v>104</v>
      </c>
      <c r="X209" s="21"/>
      <c r="Y209" s="21" t="s">
        <v>105</v>
      </c>
      <c r="Z209" s="21" t="s">
        <v>133</v>
      </c>
      <c r="AA209" s="21" t="s">
        <v>134</v>
      </c>
      <c r="AB209" s="21" t="s">
        <v>135</v>
      </c>
      <c r="AC209" s="21" t="s">
        <v>136</v>
      </c>
      <c r="AD209" s="21" t="s">
        <v>186</v>
      </c>
      <c r="AE209" s="21" t="s">
        <v>152</v>
      </c>
    </row>
    <row r="210" customFormat="false" ht="15" hidden="false" customHeight="false" outlineLevel="0" collapsed="false">
      <c r="A210" s="21" t="s">
        <v>185</v>
      </c>
      <c r="B210" s="21" t="s">
        <v>153</v>
      </c>
      <c r="C210" s="21" t="s">
        <v>129</v>
      </c>
      <c r="D210" s="21" t="s">
        <v>130</v>
      </c>
      <c r="E210" s="21" t="s">
        <v>131</v>
      </c>
      <c r="F210" s="22" t="n">
        <v>38.76</v>
      </c>
      <c r="G210" s="22" t="n">
        <v>50.82</v>
      </c>
      <c r="H210" s="22" t="n">
        <v>65.06</v>
      </c>
      <c r="I210" s="22" t="n">
        <v>56.39</v>
      </c>
      <c r="J210" s="22" t="n">
        <v>52.45</v>
      </c>
      <c r="K210" s="22" t="n">
        <v>60.52</v>
      </c>
      <c r="L210" s="22" t="n">
        <v>70.43</v>
      </c>
      <c r="M210" s="22" t="n">
        <v>82.23</v>
      </c>
      <c r="N210" s="22" t="n">
        <v>86.83</v>
      </c>
      <c r="O210" s="22" t="n">
        <v>92.3</v>
      </c>
      <c r="P210" s="22" t="n">
        <v>97.09</v>
      </c>
      <c r="Q210" s="22" t="n">
        <v>98.51</v>
      </c>
      <c r="R210" s="22" t="n">
        <v>100.06</v>
      </c>
      <c r="S210" s="22" t="n">
        <v>101.9</v>
      </c>
      <c r="T210" s="22" t="n">
        <v>103.92</v>
      </c>
      <c r="U210" s="21"/>
      <c r="V210" s="21" t="s">
        <v>132</v>
      </c>
      <c r="W210" s="21" t="s">
        <v>104</v>
      </c>
      <c r="X210" s="21"/>
      <c r="Y210" s="21" t="s">
        <v>105</v>
      </c>
      <c r="Z210" s="21" t="s">
        <v>133</v>
      </c>
      <c r="AA210" s="21" t="s">
        <v>134</v>
      </c>
      <c r="AB210" s="21" t="s">
        <v>135</v>
      </c>
      <c r="AC210" s="21" t="s">
        <v>136</v>
      </c>
      <c r="AD210" s="21" t="s">
        <v>186</v>
      </c>
      <c r="AE210" s="21" t="s">
        <v>154</v>
      </c>
    </row>
    <row r="211" customFormat="false" ht="15" hidden="false" customHeight="false" outlineLevel="0" collapsed="false">
      <c r="A211" s="21" t="s">
        <v>187</v>
      </c>
      <c r="B211" s="21" t="s">
        <v>128</v>
      </c>
      <c r="C211" s="21" t="s">
        <v>129</v>
      </c>
      <c r="D211" s="21" t="s">
        <v>130</v>
      </c>
      <c r="E211" s="21" t="s">
        <v>131</v>
      </c>
      <c r="F211" s="22" t="n">
        <v>40.74</v>
      </c>
      <c r="G211" s="22" t="n">
        <v>39.34</v>
      </c>
      <c r="H211" s="22" t="n">
        <v>37.97</v>
      </c>
      <c r="I211" s="22" t="n">
        <v>37.63</v>
      </c>
      <c r="J211" s="22" t="n">
        <v>46.25</v>
      </c>
      <c r="K211" s="22" t="n">
        <v>42.38</v>
      </c>
      <c r="L211" s="22" t="n">
        <v>42.64</v>
      </c>
      <c r="M211" s="22" t="n">
        <v>43.61</v>
      </c>
      <c r="N211" s="22" t="n">
        <v>44.83</v>
      </c>
      <c r="O211" s="22" t="n">
        <v>46.3</v>
      </c>
      <c r="P211" s="22" t="n">
        <v>48.6</v>
      </c>
      <c r="Q211" s="22" t="n">
        <v>48.99</v>
      </c>
      <c r="R211" s="22" t="n">
        <v>49.41</v>
      </c>
      <c r="S211" s="22" t="n">
        <v>50.79</v>
      </c>
      <c r="T211" s="22" t="n">
        <v>51.53</v>
      </c>
      <c r="U211" s="21"/>
      <c r="V211" s="21" t="s">
        <v>132</v>
      </c>
      <c r="W211" s="21" t="s">
        <v>104</v>
      </c>
      <c r="X211" s="21"/>
      <c r="Y211" s="21" t="s">
        <v>105</v>
      </c>
      <c r="Z211" s="21" t="s">
        <v>133</v>
      </c>
      <c r="AA211" s="21" t="s">
        <v>134</v>
      </c>
      <c r="AB211" s="21" t="s">
        <v>135</v>
      </c>
      <c r="AC211" s="21" t="s">
        <v>136</v>
      </c>
      <c r="AD211" s="21" t="s">
        <v>188</v>
      </c>
      <c r="AE211" s="21" t="s">
        <v>138</v>
      </c>
    </row>
    <row r="212" customFormat="false" ht="15" hidden="false" customHeight="false" outlineLevel="0" collapsed="false">
      <c r="A212" s="21" t="s">
        <v>187</v>
      </c>
      <c r="B212" s="21" t="s">
        <v>139</v>
      </c>
      <c r="C212" s="21" t="s">
        <v>129</v>
      </c>
      <c r="D212" s="21" t="s">
        <v>130</v>
      </c>
      <c r="E212" s="21" t="s">
        <v>131</v>
      </c>
      <c r="F212" s="22" t="n">
        <v>530.07</v>
      </c>
      <c r="G212" s="22" t="n">
        <v>394.17</v>
      </c>
      <c r="H212" s="22" t="n">
        <v>361.23</v>
      </c>
      <c r="I212" s="22" t="n">
        <v>286.91</v>
      </c>
      <c r="J212" s="22" t="n">
        <v>300.76</v>
      </c>
      <c r="K212" s="22" t="n">
        <v>273.07</v>
      </c>
      <c r="L212" s="22" t="n">
        <v>266.07</v>
      </c>
      <c r="M212" s="22" t="n">
        <v>266.42</v>
      </c>
      <c r="N212" s="22" t="n">
        <v>270.92</v>
      </c>
      <c r="O212" s="22" t="n">
        <v>277.12</v>
      </c>
      <c r="P212" s="22" t="n">
        <v>282.43</v>
      </c>
      <c r="Q212" s="22" t="n">
        <v>285.72</v>
      </c>
      <c r="R212" s="22" t="n">
        <v>287.74</v>
      </c>
      <c r="S212" s="22" t="n">
        <v>289.83</v>
      </c>
      <c r="T212" s="22" t="n">
        <v>291.86</v>
      </c>
      <c r="U212" s="21"/>
      <c r="V212" s="21" t="s">
        <v>132</v>
      </c>
      <c r="W212" s="21" t="s">
        <v>104</v>
      </c>
      <c r="X212" s="21"/>
      <c r="Y212" s="21" t="s">
        <v>105</v>
      </c>
      <c r="Z212" s="21" t="s">
        <v>133</v>
      </c>
      <c r="AA212" s="21" t="s">
        <v>134</v>
      </c>
      <c r="AB212" s="21" t="s">
        <v>135</v>
      </c>
      <c r="AC212" s="21" t="s">
        <v>136</v>
      </c>
      <c r="AD212" s="21" t="s">
        <v>188</v>
      </c>
      <c r="AE212" s="21" t="s">
        <v>140</v>
      </c>
    </row>
    <row r="213" customFormat="false" ht="15" hidden="false" customHeight="false" outlineLevel="0" collapsed="false">
      <c r="A213" s="21" t="s">
        <v>187</v>
      </c>
      <c r="B213" s="21" t="s">
        <v>141</v>
      </c>
      <c r="C213" s="21" t="s">
        <v>129</v>
      </c>
      <c r="D213" s="21" t="s">
        <v>130</v>
      </c>
      <c r="E213" s="21" t="s">
        <v>131</v>
      </c>
      <c r="F213" s="22" t="n">
        <v>689.21</v>
      </c>
      <c r="G213" s="22" t="n">
        <v>708</v>
      </c>
      <c r="H213" s="22" t="n">
        <v>655.27</v>
      </c>
      <c r="I213" s="22" t="n">
        <v>637.95</v>
      </c>
      <c r="J213" s="22" t="n">
        <v>744</v>
      </c>
      <c r="K213" s="22" t="n">
        <v>657.38</v>
      </c>
      <c r="L213" s="22" t="n">
        <v>667.3</v>
      </c>
      <c r="M213" s="22" t="n">
        <v>690.21</v>
      </c>
      <c r="N213" s="22" t="n">
        <v>724.56</v>
      </c>
      <c r="O213" s="22" t="n">
        <v>770.18</v>
      </c>
      <c r="P213" s="22" t="n">
        <v>819.88</v>
      </c>
      <c r="Q213" s="22" t="n">
        <v>832.45</v>
      </c>
      <c r="R213" s="22" t="n">
        <v>846.09</v>
      </c>
      <c r="S213" s="22" t="n">
        <v>878.38</v>
      </c>
      <c r="T213" s="22" t="n">
        <v>894.41</v>
      </c>
      <c r="U213" s="21"/>
      <c r="V213" s="21" t="s">
        <v>132</v>
      </c>
      <c r="W213" s="21" t="s">
        <v>104</v>
      </c>
      <c r="X213" s="21"/>
      <c r="Y213" s="21" t="s">
        <v>105</v>
      </c>
      <c r="Z213" s="21" t="s">
        <v>133</v>
      </c>
      <c r="AA213" s="21" t="s">
        <v>134</v>
      </c>
      <c r="AB213" s="21" t="s">
        <v>135</v>
      </c>
      <c r="AC213" s="21" t="s">
        <v>136</v>
      </c>
      <c r="AD213" s="21" t="s">
        <v>188</v>
      </c>
      <c r="AE213" s="21" t="s">
        <v>142</v>
      </c>
    </row>
    <row r="214" customFormat="false" ht="15" hidden="false" customHeight="false" outlineLevel="0" collapsed="false">
      <c r="A214" s="21" t="s">
        <v>187</v>
      </c>
      <c r="B214" s="21" t="s">
        <v>143</v>
      </c>
      <c r="C214" s="21" t="s">
        <v>129</v>
      </c>
      <c r="D214" s="21" t="s">
        <v>130</v>
      </c>
      <c r="E214" s="21" t="s">
        <v>131</v>
      </c>
      <c r="F214" s="22" t="n">
        <v>1655.9</v>
      </c>
      <c r="G214" s="22" t="n">
        <v>1575.36</v>
      </c>
      <c r="H214" s="22" t="n">
        <v>1695.12</v>
      </c>
      <c r="I214" s="22" t="n">
        <v>1928.84</v>
      </c>
      <c r="J214" s="22" t="n">
        <v>1839.56</v>
      </c>
      <c r="K214" s="22" t="n">
        <v>1668.56</v>
      </c>
      <c r="L214" s="22" t="n">
        <v>1577.76</v>
      </c>
      <c r="M214" s="22" t="n">
        <v>1576.4</v>
      </c>
      <c r="N214" s="22" t="n">
        <v>1593.56</v>
      </c>
      <c r="O214" s="22" t="n">
        <v>1617.94</v>
      </c>
      <c r="P214" s="22" t="n">
        <v>1642.1</v>
      </c>
      <c r="Q214" s="22" t="n">
        <v>1658.06</v>
      </c>
      <c r="R214" s="22" t="n">
        <v>1669.22</v>
      </c>
      <c r="S214" s="22" t="n">
        <v>1675.69</v>
      </c>
      <c r="T214" s="22" t="n">
        <v>1678.89</v>
      </c>
      <c r="U214" s="21"/>
      <c r="V214" s="21" t="s">
        <v>132</v>
      </c>
      <c r="W214" s="21" t="s">
        <v>104</v>
      </c>
      <c r="X214" s="21"/>
      <c r="Y214" s="21" t="s">
        <v>105</v>
      </c>
      <c r="Z214" s="21" t="s">
        <v>133</v>
      </c>
      <c r="AA214" s="21" t="s">
        <v>134</v>
      </c>
      <c r="AB214" s="21" t="s">
        <v>135</v>
      </c>
      <c r="AC214" s="21" t="s">
        <v>136</v>
      </c>
      <c r="AD214" s="21" t="s">
        <v>188</v>
      </c>
      <c r="AE214" s="21" t="s">
        <v>144</v>
      </c>
    </row>
    <row r="215" customFormat="false" ht="15" hidden="false" customHeight="false" outlineLevel="0" collapsed="false">
      <c r="A215" s="21" t="s">
        <v>187</v>
      </c>
      <c r="B215" s="21" t="s">
        <v>67</v>
      </c>
      <c r="C215" s="21" t="s">
        <v>129</v>
      </c>
      <c r="D215" s="21" t="s">
        <v>130</v>
      </c>
      <c r="E215" s="21" t="s">
        <v>131</v>
      </c>
      <c r="F215" s="22" t="n">
        <v>12227.4</v>
      </c>
      <c r="G215" s="22" t="n">
        <v>13114.56</v>
      </c>
      <c r="H215" s="22" t="n">
        <v>13503.42</v>
      </c>
      <c r="I215" s="22" t="n">
        <v>11206.41</v>
      </c>
      <c r="J215" s="22" t="n">
        <v>9533.73</v>
      </c>
      <c r="K215" s="22" t="n">
        <v>9099.36</v>
      </c>
      <c r="L215" s="22" t="n">
        <v>9501.72</v>
      </c>
      <c r="M215" s="22" t="n">
        <v>9851.6</v>
      </c>
      <c r="N215" s="22" t="n">
        <v>10037.83</v>
      </c>
      <c r="O215" s="22" t="n">
        <v>10175.09</v>
      </c>
      <c r="P215" s="22" t="n">
        <v>10371.75</v>
      </c>
      <c r="Q215" s="22" t="n">
        <v>10589.13</v>
      </c>
      <c r="R215" s="22" t="n">
        <v>10810.62</v>
      </c>
      <c r="S215" s="22" t="n">
        <v>11017.77</v>
      </c>
      <c r="T215" s="22" t="n">
        <v>11215.23</v>
      </c>
      <c r="U215" s="21"/>
      <c r="V215" s="21" t="s">
        <v>132</v>
      </c>
      <c r="W215" s="21" t="s">
        <v>104</v>
      </c>
      <c r="X215" s="21"/>
      <c r="Y215" s="21" t="s">
        <v>105</v>
      </c>
      <c r="Z215" s="21" t="s">
        <v>133</v>
      </c>
      <c r="AA215" s="21" t="s">
        <v>134</v>
      </c>
      <c r="AB215" s="21" t="s">
        <v>135</v>
      </c>
      <c r="AC215" s="21" t="s">
        <v>136</v>
      </c>
      <c r="AD215" s="21" t="s">
        <v>188</v>
      </c>
      <c r="AE215" s="21" t="s">
        <v>145</v>
      </c>
    </row>
    <row r="216" customFormat="false" ht="15" hidden="false" customHeight="false" outlineLevel="0" collapsed="false">
      <c r="A216" s="21" t="s">
        <v>187</v>
      </c>
      <c r="B216" s="21" t="s">
        <v>146</v>
      </c>
      <c r="C216" s="21" t="s">
        <v>129</v>
      </c>
      <c r="D216" s="21" t="s">
        <v>130</v>
      </c>
      <c r="E216" s="21" t="s">
        <v>131</v>
      </c>
      <c r="F216" s="22" t="n">
        <v>1310.01</v>
      </c>
      <c r="G216" s="22" t="n">
        <v>1421.15</v>
      </c>
      <c r="H216" s="22" t="n">
        <v>1414.64</v>
      </c>
      <c r="I216" s="22" t="n">
        <v>1518.58</v>
      </c>
      <c r="J216" s="22" t="n">
        <v>1722.92</v>
      </c>
      <c r="K216" s="22" t="n">
        <v>1575.87</v>
      </c>
      <c r="L216" s="22" t="n">
        <v>1562.97</v>
      </c>
      <c r="M216" s="22" t="n">
        <v>1596.08</v>
      </c>
      <c r="N216" s="22" t="n">
        <v>1651.67</v>
      </c>
      <c r="O216" s="22" t="n">
        <v>1724.91</v>
      </c>
      <c r="P216" s="22" t="n">
        <v>1819.43</v>
      </c>
      <c r="Q216" s="22" t="n">
        <v>1838.74</v>
      </c>
      <c r="R216" s="22" t="n">
        <v>1860.35</v>
      </c>
      <c r="S216" s="22" t="n">
        <v>1920.54</v>
      </c>
      <c r="T216" s="22" t="n">
        <v>1948.26</v>
      </c>
      <c r="U216" s="21"/>
      <c r="V216" s="21" t="s">
        <v>132</v>
      </c>
      <c r="W216" s="21" t="s">
        <v>104</v>
      </c>
      <c r="X216" s="21"/>
      <c r="Y216" s="21" t="s">
        <v>105</v>
      </c>
      <c r="Z216" s="21" t="s">
        <v>133</v>
      </c>
      <c r="AA216" s="21" t="s">
        <v>134</v>
      </c>
      <c r="AB216" s="21" t="s">
        <v>135</v>
      </c>
      <c r="AC216" s="21" t="s">
        <v>136</v>
      </c>
      <c r="AD216" s="21" t="s">
        <v>188</v>
      </c>
      <c r="AE216" s="21" t="s">
        <v>147</v>
      </c>
    </row>
    <row r="217" customFormat="false" ht="15" hidden="false" customHeight="false" outlineLevel="0" collapsed="false">
      <c r="A217" s="21" t="s">
        <v>187</v>
      </c>
      <c r="B217" s="21" t="s">
        <v>74</v>
      </c>
      <c r="C217" s="21" t="s">
        <v>129</v>
      </c>
      <c r="D217" s="21" t="s">
        <v>130</v>
      </c>
      <c r="E217" s="21" t="s">
        <v>131</v>
      </c>
      <c r="F217" s="22" t="n">
        <v>7900.71</v>
      </c>
      <c r="G217" s="22" t="n">
        <v>8379.9</v>
      </c>
      <c r="H217" s="22" t="n">
        <v>8483.12</v>
      </c>
      <c r="I217" s="22" t="n">
        <v>7080.13</v>
      </c>
      <c r="J217" s="22" t="n">
        <v>6125.11</v>
      </c>
      <c r="K217" s="22" t="n">
        <v>5810.74</v>
      </c>
      <c r="L217" s="22" t="n">
        <v>6016.79</v>
      </c>
      <c r="M217" s="22" t="n">
        <v>6205.46</v>
      </c>
      <c r="N217" s="22" t="n">
        <v>6309.16</v>
      </c>
      <c r="O217" s="22" t="n">
        <v>6379.63</v>
      </c>
      <c r="P217" s="22" t="n">
        <v>6503.93</v>
      </c>
      <c r="Q217" s="22" t="n">
        <v>6658.47</v>
      </c>
      <c r="R217" s="22" t="n">
        <v>6810.69</v>
      </c>
      <c r="S217" s="22" t="n">
        <v>6957.15</v>
      </c>
      <c r="T217" s="22" t="n">
        <v>7098.41</v>
      </c>
      <c r="U217" s="21"/>
      <c r="V217" s="21" t="s">
        <v>132</v>
      </c>
      <c r="W217" s="21" t="s">
        <v>104</v>
      </c>
      <c r="X217" s="21"/>
      <c r="Y217" s="21" t="s">
        <v>105</v>
      </c>
      <c r="Z217" s="21" t="s">
        <v>133</v>
      </c>
      <c r="AA217" s="21" t="s">
        <v>134</v>
      </c>
      <c r="AB217" s="21" t="s">
        <v>135</v>
      </c>
      <c r="AC217" s="21" t="s">
        <v>136</v>
      </c>
      <c r="AD217" s="21" t="s">
        <v>188</v>
      </c>
      <c r="AE217" s="21" t="s">
        <v>148</v>
      </c>
    </row>
    <row r="218" customFormat="false" ht="15" hidden="false" customHeight="false" outlineLevel="0" collapsed="false">
      <c r="A218" s="21" t="s">
        <v>187</v>
      </c>
      <c r="B218" s="21" t="s">
        <v>71</v>
      </c>
      <c r="C218" s="21" t="s">
        <v>129</v>
      </c>
      <c r="D218" s="21" t="s">
        <v>130</v>
      </c>
      <c r="E218" s="21" t="s">
        <v>131</v>
      </c>
      <c r="F218" s="22" t="n">
        <v>9184.83</v>
      </c>
      <c r="G218" s="22" t="n">
        <v>9192.46</v>
      </c>
      <c r="H218" s="22" t="n">
        <v>9588.87</v>
      </c>
      <c r="I218" s="22" t="n">
        <v>11199.33</v>
      </c>
      <c r="J218" s="22" t="n">
        <v>12078.89</v>
      </c>
      <c r="K218" s="22" t="n">
        <v>11960.79</v>
      </c>
      <c r="L218" s="22" t="n">
        <v>11719.72</v>
      </c>
      <c r="M218" s="22" t="n">
        <v>11958.09</v>
      </c>
      <c r="N218" s="22" t="n">
        <v>12253.82</v>
      </c>
      <c r="O218" s="22" t="n">
        <v>12540.33</v>
      </c>
      <c r="P218" s="22" t="n">
        <v>12992.36</v>
      </c>
      <c r="Q218" s="22" t="n">
        <v>13237.21</v>
      </c>
      <c r="R218" s="22" t="n">
        <v>13449.94</v>
      </c>
      <c r="S218" s="22" t="n">
        <v>13686.27</v>
      </c>
      <c r="T218" s="22" t="n">
        <v>13889.83</v>
      </c>
      <c r="U218" s="21"/>
      <c r="V218" s="21" t="s">
        <v>132</v>
      </c>
      <c r="W218" s="21" t="s">
        <v>104</v>
      </c>
      <c r="X218" s="21"/>
      <c r="Y218" s="21" t="s">
        <v>105</v>
      </c>
      <c r="Z218" s="21" t="s">
        <v>133</v>
      </c>
      <c r="AA218" s="21" t="s">
        <v>134</v>
      </c>
      <c r="AB218" s="21" t="s">
        <v>135</v>
      </c>
      <c r="AC218" s="21" t="s">
        <v>136</v>
      </c>
      <c r="AD218" s="21" t="s">
        <v>188</v>
      </c>
      <c r="AE218" s="21" t="s">
        <v>149</v>
      </c>
    </row>
    <row r="219" customFormat="false" ht="15" hidden="false" customHeight="false" outlineLevel="0" collapsed="false">
      <c r="A219" s="21" t="s">
        <v>187</v>
      </c>
      <c r="B219" s="21" t="s">
        <v>81</v>
      </c>
      <c r="C219" s="21" t="s">
        <v>129</v>
      </c>
      <c r="D219" s="21" t="s">
        <v>130</v>
      </c>
      <c r="E219" s="21" t="s">
        <v>131</v>
      </c>
      <c r="F219" s="22" t="n">
        <v>2206.41</v>
      </c>
      <c r="G219" s="22" t="n">
        <v>1984.22</v>
      </c>
      <c r="H219" s="22" t="n">
        <v>2078.21</v>
      </c>
      <c r="I219" s="22" t="n">
        <v>2234.78</v>
      </c>
      <c r="J219" s="22" t="n">
        <v>2160.72</v>
      </c>
      <c r="K219" s="22" t="n">
        <v>1961.2</v>
      </c>
      <c r="L219" s="22" t="n">
        <v>1863.81</v>
      </c>
      <c r="M219" s="22" t="n">
        <v>1863.01</v>
      </c>
      <c r="N219" s="22" t="n">
        <v>1884.86</v>
      </c>
      <c r="O219" s="22" t="n">
        <v>1915.53</v>
      </c>
      <c r="P219" s="22" t="n">
        <v>1945.07</v>
      </c>
      <c r="Q219" s="22" t="n">
        <v>1964.39</v>
      </c>
      <c r="R219" s="22" t="n">
        <v>1977.63</v>
      </c>
      <c r="S219" s="22" t="n">
        <v>1986.26</v>
      </c>
      <c r="T219" s="22" t="n">
        <v>1991.54</v>
      </c>
      <c r="U219" s="21"/>
      <c r="V219" s="21" t="s">
        <v>132</v>
      </c>
      <c r="W219" s="21" t="s">
        <v>104</v>
      </c>
      <c r="X219" s="21"/>
      <c r="Y219" s="21" t="s">
        <v>105</v>
      </c>
      <c r="Z219" s="21" t="s">
        <v>133</v>
      </c>
      <c r="AA219" s="21" t="s">
        <v>134</v>
      </c>
      <c r="AB219" s="21" t="s">
        <v>135</v>
      </c>
      <c r="AC219" s="21" t="s">
        <v>136</v>
      </c>
      <c r="AD219" s="21" t="s">
        <v>188</v>
      </c>
      <c r="AE219" s="21" t="s">
        <v>150</v>
      </c>
    </row>
    <row r="220" customFormat="false" ht="15" hidden="false" customHeight="false" outlineLevel="0" collapsed="false">
      <c r="A220" s="21" t="s">
        <v>187</v>
      </c>
      <c r="B220" s="21" t="s">
        <v>78</v>
      </c>
      <c r="C220" s="21" t="s">
        <v>129</v>
      </c>
      <c r="D220" s="21" t="s">
        <v>130</v>
      </c>
      <c r="E220" s="21" t="s">
        <v>131</v>
      </c>
      <c r="F220" s="22" t="n">
        <v>5131.3</v>
      </c>
      <c r="G220" s="22" t="n">
        <v>5150.94</v>
      </c>
      <c r="H220" s="22" t="n">
        <v>5407.07</v>
      </c>
      <c r="I220" s="22" t="n">
        <v>6263.65</v>
      </c>
      <c r="J220" s="22" t="n">
        <v>6853.06</v>
      </c>
      <c r="K220" s="22" t="n">
        <v>6885.53</v>
      </c>
      <c r="L220" s="22" t="n">
        <v>6669.02</v>
      </c>
      <c r="M220" s="22" t="n">
        <v>6708.11</v>
      </c>
      <c r="N220" s="22" t="n">
        <v>6882.53</v>
      </c>
      <c r="O220" s="22" t="n">
        <v>7079.82</v>
      </c>
      <c r="P220" s="22" t="n">
        <v>7338.3</v>
      </c>
      <c r="Q220" s="22" t="n">
        <v>7477.44</v>
      </c>
      <c r="R220" s="22" t="n">
        <v>7585.27</v>
      </c>
      <c r="S220" s="22" t="n">
        <v>7709.89</v>
      </c>
      <c r="T220" s="22" t="n">
        <v>7819.02</v>
      </c>
      <c r="U220" s="21"/>
      <c r="V220" s="21" t="s">
        <v>132</v>
      </c>
      <c r="W220" s="21" t="s">
        <v>104</v>
      </c>
      <c r="X220" s="21"/>
      <c r="Y220" s="21" t="s">
        <v>105</v>
      </c>
      <c r="Z220" s="21" t="s">
        <v>133</v>
      </c>
      <c r="AA220" s="21" t="s">
        <v>134</v>
      </c>
      <c r="AB220" s="21" t="s">
        <v>135</v>
      </c>
      <c r="AC220" s="21" t="s">
        <v>136</v>
      </c>
      <c r="AD220" s="21" t="s">
        <v>188</v>
      </c>
      <c r="AE220" s="21" t="s">
        <v>151</v>
      </c>
    </row>
    <row r="221" customFormat="false" ht="15" hidden="false" customHeight="false" outlineLevel="0" collapsed="false">
      <c r="A221" s="21" t="s">
        <v>187</v>
      </c>
      <c r="B221" s="21" t="s">
        <v>85</v>
      </c>
      <c r="C221" s="21" t="s">
        <v>129</v>
      </c>
      <c r="D221" s="21" t="s">
        <v>130</v>
      </c>
      <c r="E221" s="21" t="s">
        <v>131</v>
      </c>
      <c r="F221" s="22" t="n">
        <v>2039.96</v>
      </c>
      <c r="G221" s="22" t="n">
        <v>2168.5</v>
      </c>
      <c r="H221" s="22" t="n">
        <v>2107.88</v>
      </c>
      <c r="I221" s="22" t="n">
        <v>2194.16</v>
      </c>
      <c r="J221" s="22" t="n">
        <v>2513.17</v>
      </c>
      <c r="K221" s="22" t="n">
        <v>2275.63</v>
      </c>
      <c r="L221" s="22" t="n">
        <v>2272.91</v>
      </c>
      <c r="M221" s="22" t="n">
        <v>2329.9</v>
      </c>
      <c r="N221" s="22" t="n">
        <v>2421.06</v>
      </c>
      <c r="O221" s="22" t="n">
        <v>2541.39</v>
      </c>
      <c r="P221" s="22" t="n">
        <v>2687.91</v>
      </c>
      <c r="Q221" s="22" t="n">
        <v>2720.18</v>
      </c>
      <c r="R221" s="22" t="n">
        <v>2755.85</v>
      </c>
      <c r="S221" s="22" t="n">
        <v>2849.71</v>
      </c>
      <c r="T221" s="22" t="n">
        <v>2894.2</v>
      </c>
      <c r="U221" s="21"/>
      <c r="V221" s="21" t="s">
        <v>132</v>
      </c>
      <c r="W221" s="21" t="s">
        <v>104</v>
      </c>
      <c r="X221" s="21"/>
      <c r="Y221" s="21" t="s">
        <v>105</v>
      </c>
      <c r="Z221" s="21" t="s">
        <v>133</v>
      </c>
      <c r="AA221" s="21" t="s">
        <v>134</v>
      </c>
      <c r="AB221" s="21" t="s">
        <v>135</v>
      </c>
      <c r="AC221" s="21" t="s">
        <v>136</v>
      </c>
      <c r="AD221" s="21" t="s">
        <v>188</v>
      </c>
      <c r="AE221" s="21" t="s">
        <v>152</v>
      </c>
    </row>
    <row r="222" customFormat="false" ht="15" hidden="false" customHeight="false" outlineLevel="0" collapsed="false">
      <c r="A222" s="21" t="s">
        <v>187</v>
      </c>
      <c r="B222" s="21" t="s">
        <v>153</v>
      </c>
      <c r="C222" s="21" t="s">
        <v>129</v>
      </c>
      <c r="D222" s="21" t="s">
        <v>130</v>
      </c>
      <c r="E222" s="21" t="s">
        <v>131</v>
      </c>
      <c r="F222" s="22" t="n">
        <v>20.44</v>
      </c>
      <c r="G222" s="22" t="n">
        <v>14.69</v>
      </c>
      <c r="H222" s="22" t="n">
        <v>21.86</v>
      </c>
      <c r="I222" s="22" t="n">
        <v>19.04</v>
      </c>
      <c r="J222" s="22" t="n">
        <v>20.4</v>
      </c>
      <c r="K222" s="22" t="n">
        <v>19.58</v>
      </c>
      <c r="L222" s="22" t="n">
        <v>19.97</v>
      </c>
      <c r="M222" s="22" t="n">
        <v>20.19</v>
      </c>
      <c r="N222" s="22" t="n">
        <v>20.37</v>
      </c>
      <c r="O222" s="22" t="n">
        <v>20.48</v>
      </c>
      <c r="P222" s="22" t="n">
        <v>20.55</v>
      </c>
      <c r="Q222" s="22" t="n">
        <v>20.61</v>
      </c>
      <c r="R222" s="22" t="n">
        <v>20.67</v>
      </c>
      <c r="S222" s="22" t="n">
        <v>20.73</v>
      </c>
      <c r="T222" s="22" t="n">
        <v>20.79</v>
      </c>
      <c r="U222" s="21"/>
      <c r="V222" s="21" t="s">
        <v>132</v>
      </c>
      <c r="W222" s="21" t="s">
        <v>104</v>
      </c>
      <c r="X222" s="21"/>
      <c r="Y222" s="21" t="s">
        <v>105</v>
      </c>
      <c r="Z222" s="21" t="s">
        <v>133</v>
      </c>
      <c r="AA222" s="21" t="s">
        <v>134</v>
      </c>
      <c r="AB222" s="21" t="s">
        <v>135</v>
      </c>
      <c r="AC222" s="21" t="s">
        <v>136</v>
      </c>
      <c r="AD222" s="21" t="s">
        <v>188</v>
      </c>
      <c r="AE222" s="21" t="s">
        <v>154</v>
      </c>
    </row>
    <row r="223" customFormat="false" ht="15" hidden="false" customHeight="false" outlineLevel="0" collapsed="false">
      <c r="A223" s="21" t="s">
        <v>189</v>
      </c>
      <c r="B223" s="21" t="s">
        <v>128</v>
      </c>
      <c r="C223" s="21" t="s">
        <v>129</v>
      </c>
      <c r="D223" s="21" t="s">
        <v>130</v>
      </c>
      <c r="E223" s="21" t="s">
        <v>131</v>
      </c>
      <c r="F223" s="22" t="n">
        <v>5053.99</v>
      </c>
      <c r="G223" s="22" t="n">
        <v>5473.94</v>
      </c>
      <c r="H223" s="22" t="n">
        <v>5068.4</v>
      </c>
      <c r="I223" s="22" t="n">
        <v>5962.08</v>
      </c>
      <c r="J223" s="22" t="n">
        <v>4806.44</v>
      </c>
      <c r="K223" s="22" t="n">
        <v>4482.2</v>
      </c>
      <c r="L223" s="22" t="n">
        <v>4462.08</v>
      </c>
      <c r="M223" s="22" t="n">
        <v>4608.77</v>
      </c>
      <c r="N223" s="22" t="n">
        <v>4923.69</v>
      </c>
      <c r="O223" s="22" t="n">
        <v>5340.83</v>
      </c>
      <c r="P223" s="22" t="n">
        <v>5736.64</v>
      </c>
      <c r="Q223" s="22" t="n">
        <v>5944.01</v>
      </c>
      <c r="R223" s="22" t="n">
        <v>6088.94</v>
      </c>
      <c r="S223" s="22" t="n">
        <v>6228.11</v>
      </c>
      <c r="T223" s="22" t="n">
        <v>6370.29</v>
      </c>
      <c r="U223" s="21"/>
      <c r="V223" s="21" t="s">
        <v>132</v>
      </c>
      <c r="W223" s="21" t="s">
        <v>104</v>
      </c>
      <c r="X223" s="21"/>
      <c r="Y223" s="21" t="s">
        <v>105</v>
      </c>
      <c r="Z223" s="21" t="s">
        <v>133</v>
      </c>
      <c r="AA223" s="21" t="s">
        <v>134</v>
      </c>
      <c r="AB223" s="21" t="s">
        <v>135</v>
      </c>
      <c r="AC223" s="21" t="s">
        <v>136</v>
      </c>
      <c r="AD223" s="21" t="s">
        <v>190</v>
      </c>
      <c r="AE223" s="21" t="s">
        <v>138</v>
      </c>
    </row>
    <row r="224" customFormat="false" ht="15" hidden="false" customHeight="false" outlineLevel="0" collapsed="false">
      <c r="A224" s="21" t="s">
        <v>189</v>
      </c>
      <c r="B224" s="21" t="s">
        <v>139</v>
      </c>
      <c r="C224" s="21" t="s">
        <v>129</v>
      </c>
      <c r="D224" s="21" t="s">
        <v>130</v>
      </c>
      <c r="E224" s="21" t="s">
        <v>131</v>
      </c>
      <c r="F224" s="22" t="n">
        <v>5234</v>
      </c>
      <c r="G224" s="22" t="n">
        <v>3835.26</v>
      </c>
      <c r="H224" s="22" t="n">
        <v>4189.12</v>
      </c>
      <c r="I224" s="22" t="n">
        <v>4113.37</v>
      </c>
      <c r="J224" s="22" t="n">
        <v>3301.11</v>
      </c>
      <c r="K224" s="22" t="n">
        <v>3160.51</v>
      </c>
      <c r="L224" s="22" t="n">
        <v>3043.37</v>
      </c>
      <c r="M224" s="22" t="n">
        <v>2989.43</v>
      </c>
      <c r="N224" s="22" t="n">
        <v>3054.51</v>
      </c>
      <c r="O224" s="22" t="n">
        <v>3171.36</v>
      </c>
      <c r="P224" s="22" t="n">
        <v>3280.89</v>
      </c>
      <c r="Q224" s="22" t="n">
        <v>3384.19</v>
      </c>
      <c r="R224" s="22" t="n">
        <v>3477.85</v>
      </c>
      <c r="S224" s="22" t="n">
        <v>3565.19</v>
      </c>
      <c r="T224" s="22" t="n">
        <v>3651.49</v>
      </c>
      <c r="U224" s="21"/>
      <c r="V224" s="21" t="s">
        <v>132</v>
      </c>
      <c r="W224" s="21" t="s">
        <v>104</v>
      </c>
      <c r="X224" s="21"/>
      <c r="Y224" s="21" t="s">
        <v>105</v>
      </c>
      <c r="Z224" s="21" t="s">
        <v>133</v>
      </c>
      <c r="AA224" s="21" t="s">
        <v>134</v>
      </c>
      <c r="AB224" s="21" t="s">
        <v>135</v>
      </c>
      <c r="AC224" s="21" t="s">
        <v>136</v>
      </c>
      <c r="AD224" s="21" t="s">
        <v>190</v>
      </c>
      <c r="AE224" s="21" t="s">
        <v>140</v>
      </c>
    </row>
    <row r="225" customFormat="false" ht="15" hidden="false" customHeight="false" outlineLevel="0" collapsed="false">
      <c r="A225" s="21" t="s">
        <v>189</v>
      </c>
      <c r="B225" s="21" t="s">
        <v>141</v>
      </c>
      <c r="C225" s="21" t="s">
        <v>129</v>
      </c>
      <c r="D225" s="21" t="s">
        <v>130</v>
      </c>
      <c r="E225" s="21" t="s">
        <v>131</v>
      </c>
      <c r="F225" s="22" t="n">
        <v>2216.58</v>
      </c>
      <c r="G225" s="22" t="n">
        <v>1962.3</v>
      </c>
      <c r="H225" s="22" t="n">
        <v>2348.28</v>
      </c>
      <c r="I225" s="22" t="n">
        <v>2358.48</v>
      </c>
      <c r="J225" s="22" t="n">
        <v>2041</v>
      </c>
      <c r="K225" s="22" t="n">
        <v>1989.89</v>
      </c>
      <c r="L225" s="22" t="n">
        <v>1983.8</v>
      </c>
      <c r="M225" s="22" t="n">
        <v>2080.91</v>
      </c>
      <c r="N225" s="22" t="n">
        <v>2257.15</v>
      </c>
      <c r="O225" s="22" t="n">
        <v>2427.8</v>
      </c>
      <c r="P225" s="22" t="n">
        <v>2577.49</v>
      </c>
      <c r="Q225" s="22" t="n">
        <v>2651.01</v>
      </c>
      <c r="R225" s="22" t="n">
        <v>2695.31</v>
      </c>
      <c r="S225" s="22" t="n">
        <v>2736.15</v>
      </c>
      <c r="T225" s="22" t="n">
        <v>2781.3</v>
      </c>
      <c r="U225" s="21"/>
      <c r="V225" s="21" t="s">
        <v>132</v>
      </c>
      <c r="W225" s="21" t="s">
        <v>104</v>
      </c>
      <c r="X225" s="21"/>
      <c r="Y225" s="21" t="s">
        <v>105</v>
      </c>
      <c r="Z225" s="21" t="s">
        <v>133</v>
      </c>
      <c r="AA225" s="21" t="s">
        <v>134</v>
      </c>
      <c r="AB225" s="21" t="s">
        <v>135</v>
      </c>
      <c r="AC225" s="21" t="s">
        <v>136</v>
      </c>
      <c r="AD225" s="21" t="s">
        <v>190</v>
      </c>
      <c r="AE225" s="21" t="s">
        <v>142</v>
      </c>
    </row>
    <row r="226" customFormat="false" ht="15" hidden="false" customHeight="false" outlineLevel="0" collapsed="false">
      <c r="A226" s="21" t="s">
        <v>189</v>
      </c>
      <c r="B226" s="21" t="s">
        <v>143</v>
      </c>
      <c r="C226" s="21" t="s">
        <v>129</v>
      </c>
      <c r="D226" s="21" t="s">
        <v>130</v>
      </c>
      <c r="E226" s="21" t="s">
        <v>131</v>
      </c>
      <c r="F226" s="22" t="n">
        <v>13361.9</v>
      </c>
      <c r="G226" s="22" t="n">
        <v>13729.55</v>
      </c>
      <c r="H226" s="22" t="n">
        <v>13040.59</v>
      </c>
      <c r="I226" s="22" t="n">
        <v>14167.96</v>
      </c>
      <c r="J226" s="22" t="n">
        <v>15548.84</v>
      </c>
      <c r="K226" s="22" t="n">
        <v>13551.46</v>
      </c>
      <c r="L226" s="22" t="n">
        <v>12627.38</v>
      </c>
      <c r="M226" s="22" t="n">
        <v>12443.28</v>
      </c>
      <c r="N226" s="22" t="n">
        <v>12831.53</v>
      </c>
      <c r="O226" s="22" t="n">
        <v>13457.73</v>
      </c>
      <c r="P226" s="22" t="n">
        <v>13949.49</v>
      </c>
      <c r="Q226" s="22" t="n">
        <v>14341.96</v>
      </c>
      <c r="R226" s="22" t="n">
        <v>14694.43</v>
      </c>
      <c r="S226" s="22" t="n">
        <v>15025.64</v>
      </c>
      <c r="T226" s="22" t="n">
        <v>15350.66</v>
      </c>
      <c r="U226" s="21"/>
      <c r="V226" s="21" t="s">
        <v>132</v>
      </c>
      <c r="W226" s="21" t="s">
        <v>104</v>
      </c>
      <c r="X226" s="21"/>
      <c r="Y226" s="21" t="s">
        <v>105</v>
      </c>
      <c r="Z226" s="21" t="s">
        <v>133</v>
      </c>
      <c r="AA226" s="21" t="s">
        <v>134</v>
      </c>
      <c r="AB226" s="21" t="s">
        <v>135</v>
      </c>
      <c r="AC226" s="21" t="s">
        <v>136</v>
      </c>
      <c r="AD226" s="21" t="s">
        <v>190</v>
      </c>
      <c r="AE226" s="21" t="s">
        <v>144</v>
      </c>
    </row>
    <row r="227" customFormat="false" ht="15" hidden="false" customHeight="false" outlineLevel="0" collapsed="false">
      <c r="A227" s="21" t="s">
        <v>189</v>
      </c>
      <c r="B227" s="21" t="s">
        <v>67</v>
      </c>
      <c r="C227" s="21" t="s">
        <v>129</v>
      </c>
      <c r="D227" s="21" t="s">
        <v>130</v>
      </c>
      <c r="E227" s="21" t="s">
        <v>131</v>
      </c>
      <c r="F227" s="22" t="n">
        <v>57088.01</v>
      </c>
      <c r="G227" s="22" t="n">
        <v>66488.59</v>
      </c>
      <c r="H227" s="22" t="n">
        <v>74905.34</v>
      </c>
      <c r="I227" s="22" t="n">
        <v>67106.28</v>
      </c>
      <c r="J227" s="22" t="n">
        <v>64360.06</v>
      </c>
      <c r="K227" s="22" t="n">
        <v>64806.46</v>
      </c>
      <c r="L227" s="22" t="n">
        <v>68069.34</v>
      </c>
      <c r="M227" s="22" t="n">
        <v>71840.66</v>
      </c>
      <c r="N227" s="22" t="n">
        <v>75597.48</v>
      </c>
      <c r="O227" s="22" t="n">
        <v>79029.57</v>
      </c>
      <c r="P227" s="22" t="n">
        <v>82382.63</v>
      </c>
      <c r="Q227" s="22" t="n">
        <v>85138.32</v>
      </c>
      <c r="R227" s="22" t="n">
        <v>86564.48</v>
      </c>
      <c r="S227" s="22" t="n">
        <v>87317.73</v>
      </c>
      <c r="T227" s="22" t="n">
        <v>88133</v>
      </c>
      <c r="U227" s="21"/>
      <c r="V227" s="21" t="s">
        <v>132</v>
      </c>
      <c r="W227" s="21" t="s">
        <v>104</v>
      </c>
      <c r="X227" s="21"/>
      <c r="Y227" s="21" t="s">
        <v>105</v>
      </c>
      <c r="Z227" s="21" t="s">
        <v>133</v>
      </c>
      <c r="AA227" s="21" t="s">
        <v>134</v>
      </c>
      <c r="AB227" s="21" t="s">
        <v>135</v>
      </c>
      <c r="AC227" s="21" t="s">
        <v>136</v>
      </c>
      <c r="AD227" s="21" t="s">
        <v>190</v>
      </c>
      <c r="AE227" s="21" t="s">
        <v>145</v>
      </c>
    </row>
    <row r="228" customFormat="false" ht="15" hidden="false" customHeight="false" outlineLevel="0" collapsed="false">
      <c r="A228" s="21" t="s">
        <v>189</v>
      </c>
      <c r="B228" s="21" t="s">
        <v>146</v>
      </c>
      <c r="C228" s="21" t="s">
        <v>129</v>
      </c>
      <c r="D228" s="21" t="s">
        <v>130</v>
      </c>
      <c r="E228" s="21" t="s">
        <v>131</v>
      </c>
      <c r="F228" s="22" t="n">
        <v>5701.78</v>
      </c>
      <c r="G228" s="22" t="n">
        <v>7043.7</v>
      </c>
      <c r="H228" s="22" t="n">
        <v>7313.76</v>
      </c>
      <c r="I228" s="22" t="n">
        <v>8129.29</v>
      </c>
      <c r="J228" s="22" t="n">
        <v>9641.23</v>
      </c>
      <c r="K228" s="22" t="n">
        <v>8974.38</v>
      </c>
      <c r="L228" s="22" t="n">
        <v>9129.53</v>
      </c>
      <c r="M228" s="22" t="n">
        <v>9607</v>
      </c>
      <c r="N228" s="22" t="n">
        <v>10296.28</v>
      </c>
      <c r="O228" s="22" t="n">
        <v>11037.49</v>
      </c>
      <c r="P228" s="22" t="n">
        <v>11641.85</v>
      </c>
      <c r="Q228" s="22" t="n">
        <v>12070.7</v>
      </c>
      <c r="R228" s="22" t="n">
        <v>12427.12</v>
      </c>
      <c r="S228" s="22" t="n">
        <v>12773.34</v>
      </c>
      <c r="T228" s="22" t="n">
        <v>13125.7</v>
      </c>
      <c r="U228" s="21"/>
      <c r="V228" s="21" t="s">
        <v>132</v>
      </c>
      <c r="W228" s="21" t="s">
        <v>104</v>
      </c>
      <c r="X228" s="21"/>
      <c r="Y228" s="21" t="s">
        <v>105</v>
      </c>
      <c r="Z228" s="21" t="s">
        <v>133</v>
      </c>
      <c r="AA228" s="21" t="s">
        <v>134</v>
      </c>
      <c r="AB228" s="21" t="s">
        <v>135</v>
      </c>
      <c r="AC228" s="21" t="s">
        <v>136</v>
      </c>
      <c r="AD228" s="21" t="s">
        <v>190</v>
      </c>
      <c r="AE228" s="21" t="s">
        <v>147</v>
      </c>
    </row>
    <row r="229" customFormat="false" ht="15" hidden="false" customHeight="false" outlineLevel="0" collapsed="false">
      <c r="A229" s="21" t="s">
        <v>189</v>
      </c>
      <c r="B229" s="21" t="s">
        <v>74</v>
      </c>
      <c r="C229" s="21" t="s">
        <v>129</v>
      </c>
      <c r="D229" s="21" t="s">
        <v>130</v>
      </c>
      <c r="E229" s="21" t="s">
        <v>131</v>
      </c>
      <c r="F229" s="22" t="n">
        <v>15019.43</v>
      </c>
      <c r="G229" s="22" t="n">
        <v>16965.45</v>
      </c>
      <c r="H229" s="22" t="n">
        <v>19012.4</v>
      </c>
      <c r="I229" s="22" t="n">
        <v>17158.24</v>
      </c>
      <c r="J229" s="22" t="n">
        <v>16851.35</v>
      </c>
      <c r="K229" s="22" t="n">
        <v>17130.83</v>
      </c>
      <c r="L229" s="22" t="n">
        <v>18248.1</v>
      </c>
      <c r="M229" s="22" t="n">
        <v>19368.36</v>
      </c>
      <c r="N229" s="22" t="n">
        <v>20129.59</v>
      </c>
      <c r="O229" s="22" t="n">
        <v>20732.91</v>
      </c>
      <c r="P229" s="22" t="n">
        <v>21296.14</v>
      </c>
      <c r="Q229" s="22" t="n">
        <v>21986.13</v>
      </c>
      <c r="R229" s="22" t="n">
        <v>22646.5</v>
      </c>
      <c r="S229" s="22" t="n">
        <v>23168.75</v>
      </c>
      <c r="T229" s="22" t="n">
        <v>23629.46</v>
      </c>
      <c r="U229" s="21"/>
      <c r="V229" s="21" t="s">
        <v>132</v>
      </c>
      <c r="W229" s="21" t="s">
        <v>104</v>
      </c>
      <c r="X229" s="21"/>
      <c r="Y229" s="21" t="s">
        <v>105</v>
      </c>
      <c r="Z229" s="21" t="s">
        <v>133</v>
      </c>
      <c r="AA229" s="21" t="s">
        <v>134</v>
      </c>
      <c r="AB229" s="21" t="s">
        <v>135</v>
      </c>
      <c r="AC229" s="21" t="s">
        <v>136</v>
      </c>
      <c r="AD229" s="21" t="s">
        <v>190</v>
      </c>
      <c r="AE229" s="21" t="s">
        <v>148</v>
      </c>
    </row>
    <row r="230" customFormat="false" ht="15" hidden="false" customHeight="false" outlineLevel="0" collapsed="false">
      <c r="A230" s="21" t="s">
        <v>189</v>
      </c>
      <c r="B230" s="21" t="s">
        <v>71</v>
      </c>
      <c r="C230" s="21" t="s">
        <v>129</v>
      </c>
      <c r="D230" s="21" t="s">
        <v>130</v>
      </c>
      <c r="E230" s="21" t="s">
        <v>131</v>
      </c>
      <c r="F230" s="22" t="n">
        <v>38413.82</v>
      </c>
      <c r="G230" s="22" t="n">
        <v>46016.13</v>
      </c>
      <c r="H230" s="22" t="n">
        <v>48651.89</v>
      </c>
      <c r="I230" s="22" t="n">
        <v>51035.55</v>
      </c>
      <c r="J230" s="22" t="n">
        <v>55135.79</v>
      </c>
      <c r="K230" s="22" t="n">
        <v>55926.75</v>
      </c>
      <c r="L230" s="22" t="n">
        <v>54507.87</v>
      </c>
      <c r="M230" s="22" t="n">
        <v>55376.71</v>
      </c>
      <c r="N230" s="22" t="n">
        <v>58456.51</v>
      </c>
      <c r="O230" s="22" t="n">
        <v>61428.98</v>
      </c>
      <c r="P230" s="22" t="n">
        <v>64109.02</v>
      </c>
      <c r="Q230" s="22" t="n">
        <v>65656.95</v>
      </c>
      <c r="R230" s="22" t="n">
        <v>66616.98</v>
      </c>
      <c r="S230" s="22" t="n">
        <v>67574.42</v>
      </c>
      <c r="T230" s="22" t="n">
        <v>68786.53</v>
      </c>
      <c r="U230" s="21"/>
      <c r="V230" s="21" t="s">
        <v>132</v>
      </c>
      <c r="W230" s="21" t="s">
        <v>104</v>
      </c>
      <c r="X230" s="21"/>
      <c r="Y230" s="21" t="s">
        <v>105</v>
      </c>
      <c r="Z230" s="21" t="s">
        <v>133</v>
      </c>
      <c r="AA230" s="21" t="s">
        <v>134</v>
      </c>
      <c r="AB230" s="21" t="s">
        <v>135</v>
      </c>
      <c r="AC230" s="21" t="s">
        <v>136</v>
      </c>
      <c r="AD230" s="21" t="s">
        <v>190</v>
      </c>
      <c r="AE230" s="21" t="s">
        <v>149</v>
      </c>
    </row>
    <row r="231" customFormat="false" ht="15" hidden="false" customHeight="false" outlineLevel="0" collapsed="false">
      <c r="A231" s="21" t="s">
        <v>189</v>
      </c>
      <c r="B231" s="21" t="s">
        <v>81</v>
      </c>
      <c r="C231" s="21" t="s">
        <v>129</v>
      </c>
      <c r="D231" s="21" t="s">
        <v>130</v>
      </c>
      <c r="E231" s="21" t="s">
        <v>131</v>
      </c>
      <c r="F231" s="22" t="n">
        <v>30428.9</v>
      </c>
      <c r="G231" s="22" t="n">
        <v>28278.36</v>
      </c>
      <c r="H231" s="22" t="n">
        <v>26267.49</v>
      </c>
      <c r="I231" s="22" t="n">
        <v>28680.47</v>
      </c>
      <c r="J231" s="22" t="n">
        <v>26639.75</v>
      </c>
      <c r="K231" s="22" t="n">
        <v>23541</v>
      </c>
      <c r="L231" s="22" t="n">
        <v>22079.32</v>
      </c>
      <c r="M231" s="22" t="n">
        <v>21791.6</v>
      </c>
      <c r="N231" s="22" t="n">
        <v>22365.87</v>
      </c>
      <c r="O231" s="22" t="n">
        <v>23350.31</v>
      </c>
      <c r="P231" s="22" t="n">
        <v>24184.88</v>
      </c>
      <c r="Q231" s="22" t="n">
        <v>24882.64</v>
      </c>
      <c r="R231" s="22" t="n">
        <v>25533.21</v>
      </c>
      <c r="S231" s="22" t="n">
        <v>26141.18</v>
      </c>
      <c r="T231" s="22" t="n">
        <v>26732.46</v>
      </c>
      <c r="U231" s="21"/>
      <c r="V231" s="21" t="s">
        <v>132</v>
      </c>
      <c r="W231" s="21" t="s">
        <v>104</v>
      </c>
      <c r="X231" s="21"/>
      <c r="Y231" s="21" t="s">
        <v>105</v>
      </c>
      <c r="Z231" s="21" t="s">
        <v>133</v>
      </c>
      <c r="AA231" s="21" t="s">
        <v>134</v>
      </c>
      <c r="AB231" s="21" t="s">
        <v>135</v>
      </c>
      <c r="AC231" s="21" t="s">
        <v>136</v>
      </c>
      <c r="AD231" s="21" t="s">
        <v>190</v>
      </c>
      <c r="AE231" s="21" t="s">
        <v>150</v>
      </c>
    </row>
    <row r="232" customFormat="false" ht="15" hidden="false" customHeight="false" outlineLevel="0" collapsed="false">
      <c r="A232" s="21" t="s">
        <v>189</v>
      </c>
      <c r="B232" s="21" t="s">
        <v>78</v>
      </c>
      <c r="C232" s="21" t="s">
        <v>129</v>
      </c>
      <c r="D232" s="21" t="s">
        <v>130</v>
      </c>
      <c r="E232" s="21" t="s">
        <v>131</v>
      </c>
      <c r="F232" s="22" t="n">
        <v>8625.77</v>
      </c>
      <c r="G232" s="22" t="n">
        <v>10164.43</v>
      </c>
      <c r="H232" s="22" t="n">
        <v>10415.22</v>
      </c>
      <c r="I232" s="22" t="n">
        <v>11197.45</v>
      </c>
      <c r="J232" s="22" t="n">
        <v>12417.92</v>
      </c>
      <c r="K232" s="22" t="n">
        <v>12549.4</v>
      </c>
      <c r="L232" s="22" t="n">
        <v>12397.2</v>
      </c>
      <c r="M232" s="22" t="n">
        <v>12916.61</v>
      </c>
      <c r="N232" s="22" t="n">
        <v>13739.16</v>
      </c>
      <c r="O232" s="22" t="n">
        <v>14653.56</v>
      </c>
      <c r="P232" s="22" t="n">
        <v>15363.92</v>
      </c>
      <c r="Q232" s="22" t="n">
        <v>15701.61</v>
      </c>
      <c r="R232" s="22" t="n">
        <v>15987.06</v>
      </c>
      <c r="S232" s="22" t="n">
        <v>16209.55</v>
      </c>
      <c r="T232" s="22" t="n">
        <v>16443.37</v>
      </c>
      <c r="U232" s="21"/>
      <c r="V232" s="21" t="s">
        <v>132</v>
      </c>
      <c r="W232" s="21" t="s">
        <v>104</v>
      </c>
      <c r="X232" s="21"/>
      <c r="Y232" s="21" t="s">
        <v>105</v>
      </c>
      <c r="Z232" s="21" t="s">
        <v>133</v>
      </c>
      <c r="AA232" s="21" t="s">
        <v>134</v>
      </c>
      <c r="AB232" s="21" t="s">
        <v>135</v>
      </c>
      <c r="AC232" s="21" t="s">
        <v>136</v>
      </c>
      <c r="AD232" s="21" t="s">
        <v>190</v>
      </c>
      <c r="AE232" s="21" t="s">
        <v>151</v>
      </c>
    </row>
    <row r="233" customFormat="false" ht="15" hidden="false" customHeight="false" outlineLevel="0" collapsed="false">
      <c r="A233" s="21" t="s">
        <v>189</v>
      </c>
      <c r="B233" s="21" t="s">
        <v>85</v>
      </c>
      <c r="C233" s="21" t="s">
        <v>129</v>
      </c>
      <c r="D233" s="21" t="s">
        <v>130</v>
      </c>
      <c r="E233" s="21" t="s">
        <v>131</v>
      </c>
      <c r="F233" s="22" t="n">
        <v>12972.35</v>
      </c>
      <c r="G233" s="22" t="n">
        <v>14479.94</v>
      </c>
      <c r="H233" s="22" t="n">
        <v>14730.44</v>
      </c>
      <c r="I233" s="22" t="n">
        <v>16449.85</v>
      </c>
      <c r="J233" s="22" t="n">
        <v>16488.66</v>
      </c>
      <c r="K233" s="22" t="n">
        <v>15446.46</v>
      </c>
      <c r="L233" s="22" t="n">
        <v>15575.41</v>
      </c>
      <c r="M233" s="22" t="n">
        <v>16296.68</v>
      </c>
      <c r="N233" s="22" t="n">
        <v>17477.13</v>
      </c>
      <c r="O233" s="22" t="n">
        <v>18806.12</v>
      </c>
      <c r="P233" s="22" t="n">
        <v>19955.98</v>
      </c>
      <c r="Q233" s="22" t="n">
        <v>20665.72</v>
      </c>
      <c r="R233" s="22" t="n">
        <v>21211.37</v>
      </c>
      <c r="S233" s="22" t="n">
        <v>21737.61</v>
      </c>
      <c r="T233" s="22" t="n">
        <v>22277.29</v>
      </c>
      <c r="U233" s="21"/>
      <c r="V233" s="21" t="s">
        <v>132</v>
      </c>
      <c r="W233" s="21" t="s">
        <v>104</v>
      </c>
      <c r="X233" s="21"/>
      <c r="Y233" s="21" t="s">
        <v>105</v>
      </c>
      <c r="Z233" s="21" t="s">
        <v>133</v>
      </c>
      <c r="AA233" s="21" t="s">
        <v>134</v>
      </c>
      <c r="AB233" s="21" t="s">
        <v>135</v>
      </c>
      <c r="AC233" s="21" t="s">
        <v>136</v>
      </c>
      <c r="AD233" s="21" t="s">
        <v>190</v>
      </c>
      <c r="AE233" s="21" t="s">
        <v>152</v>
      </c>
    </row>
    <row r="234" customFormat="false" ht="15" hidden="false" customHeight="false" outlineLevel="0" collapsed="false">
      <c r="A234" s="21" t="s">
        <v>189</v>
      </c>
      <c r="B234" s="21" t="s">
        <v>153</v>
      </c>
      <c r="C234" s="21" t="s">
        <v>129</v>
      </c>
      <c r="D234" s="21" t="s">
        <v>130</v>
      </c>
      <c r="E234" s="21" t="s">
        <v>131</v>
      </c>
      <c r="F234" s="22" t="n">
        <v>11832.99</v>
      </c>
      <c r="G234" s="22" t="n">
        <v>10713.56</v>
      </c>
      <c r="H234" s="22" t="n">
        <v>9037.78</v>
      </c>
      <c r="I234" s="22" t="n">
        <v>10399.14</v>
      </c>
      <c r="J234" s="22" t="n">
        <v>7789.8</v>
      </c>
      <c r="K234" s="22" t="n">
        <v>6829.03</v>
      </c>
      <c r="L234" s="22" t="n">
        <v>6408.57</v>
      </c>
      <c r="M234" s="22" t="n">
        <v>6358.89</v>
      </c>
      <c r="N234" s="22" t="n">
        <v>6479.83</v>
      </c>
      <c r="O234" s="22" t="n">
        <v>6721.23</v>
      </c>
      <c r="P234" s="22" t="n">
        <v>6954.51</v>
      </c>
      <c r="Q234" s="22" t="n">
        <v>7156.49</v>
      </c>
      <c r="R234" s="22" t="n">
        <v>7360.93</v>
      </c>
      <c r="S234" s="22" t="n">
        <v>7550.35</v>
      </c>
      <c r="T234" s="22" t="n">
        <v>7730.31</v>
      </c>
      <c r="U234" s="21"/>
      <c r="V234" s="21" t="s">
        <v>132</v>
      </c>
      <c r="W234" s="21" t="s">
        <v>104</v>
      </c>
      <c r="X234" s="21"/>
      <c r="Y234" s="21" t="s">
        <v>105</v>
      </c>
      <c r="Z234" s="21" t="s">
        <v>133</v>
      </c>
      <c r="AA234" s="21" t="s">
        <v>134</v>
      </c>
      <c r="AB234" s="21" t="s">
        <v>135</v>
      </c>
      <c r="AC234" s="21" t="s">
        <v>136</v>
      </c>
      <c r="AD234" s="21" t="s">
        <v>190</v>
      </c>
      <c r="AE234" s="21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AD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30" min="10" style="0" width="12"/>
  </cols>
  <sheetData>
    <row r="1" customFormat="false" ht="27.75" hidden="false" customHeight="true" outlineLevel="0" collapsed="false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8" hidden="false" customHeight="true" outlineLevel="0" collapsed="false">
      <c r="A2" s="3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10" t="s">
        <v>193</v>
      </c>
    </row>
    <row r="4" customFormat="false" ht="19.5" hidden="false" customHeight="true" outlineLevel="0" collapsed="false">
      <c r="A4" s="23" t="s">
        <v>194</v>
      </c>
      <c r="B4" s="23"/>
      <c r="C4" s="23"/>
      <c r="D4" s="23"/>
      <c r="E4" s="23"/>
      <c r="F4" s="24" t="s">
        <v>195</v>
      </c>
      <c r="G4" s="24"/>
      <c r="H4" s="24"/>
      <c r="I4" s="24"/>
      <c r="J4" s="24"/>
      <c r="K4" s="24"/>
      <c r="L4" s="24"/>
      <c r="M4" s="24"/>
      <c r="N4" s="25" t="s">
        <v>196</v>
      </c>
      <c r="O4" s="25"/>
      <c r="P4" s="25"/>
      <c r="Q4" s="25"/>
      <c r="R4" s="25"/>
      <c r="S4" s="25"/>
      <c r="T4" s="25"/>
      <c r="U4" s="26" t="s">
        <v>52</v>
      </c>
      <c r="V4" s="26"/>
      <c r="W4" s="26"/>
      <c r="X4" s="26"/>
      <c r="Y4" s="26"/>
      <c r="Z4" s="26"/>
      <c r="AA4" s="27" t="s">
        <v>197</v>
      </c>
      <c r="AB4" s="27"/>
      <c r="AC4" s="27"/>
      <c r="AD4" s="27"/>
    </row>
    <row r="5" customFormat="false" ht="42" hidden="false" customHeight="true" outlineLevel="0" collapsed="false">
      <c r="A5" s="28" t="s">
        <v>198</v>
      </c>
      <c r="B5" s="28" t="s">
        <v>199</v>
      </c>
      <c r="C5" s="28" t="s">
        <v>200</v>
      </c>
      <c r="D5" s="28" t="s">
        <v>201</v>
      </c>
      <c r="E5" s="28" t="s">
        <v>202</v>
      </c>
      <c r="F5" s="29" t="str">
        <f aca="false">"Total market "&amp;(Settings!$B$7-1)&amp;" (construction, US$ m)"</f>
        <v>Total market 2025 (construction, US$ m)</v>
      </c>
      <c r="G5" s="29" t="str">
        <f aca="false">"TAM "&amp;(Settings!$B$7-1)&amp;" (EUR m)"</f>
        <v>TAM 2025 (EUR m)</v>
      </c>
      <c r="H5" s="29" t="str">
        <f aca="false">"TAM CAGR "&amp;(Settings!$B$7-6)&amp;"-"&amp;(Settings!$B$7-1)&amp;" (optional)"</f>
        <v>TAM CAGR 2020-2025 (optional)</v>
      </c>
      <c r="I5" s="29" t="str">
        <f aca="false">"TAM CAGR "&amp;Settings!$B$7&amp;"-"&amp;(Settings!$B$7+5)&amp;" (optional)"</f>
        <v>TAM CAGR 2026-2031 (optional)</v>
      </c>
      <c r="J5" s="29" t="str">
        <f aca="false">"SAM "&amp;(Settings!$B$7-1)&amp;" (EUR m)"</f>
        <v>SAM 2025 (EUR m)</v>
      </c>
      <c r="K5" s="29" t="str">
        <f aca="false">"Market CAGR "&amp;(Settings!$B$7-6)&amp;"-"&amp;(Settings!$B$7-1)</f>
        <v>Market CAGR 2020-2025</v>
      </c>
      <c r="L5" s="29" t="str">
        <f aca="false">"Market growth "&amp;Settings!$B$7&amp;"E"</f>
        <v>Market growth 2026E</v>
      </c>
      <c r="M5" s="29" t="str">
        <f aca="false">"Market CAGR "&amp;Settings!$B$7&amp;"-"&amp;(Settings!$B$7+5)</f>
        <v>Market CAGR 2026-2031</v>
      </c>
      <c r="N5" s="29" t="s">
        <v>203</v>
      </c>
      <c r="O5" s="29" t="str">
        <f aca="false">"Renovation CAGR "&amp;(Settings!$B$7-6)&amp;"-"&amp;(Settings!$B$7-1)</f>
        <v>Renovation CAGR 2020-2025</v>
      </c>
      <c r="P5" s="29" t="str">
        <f aca="false">"Renovation growth "&amp;Settings!$B$7&amp;"E"</f>
        <v>Renovation growth 2026E</v>
      </c>
      <c r="Q5" s="29" t="str">
        <f aca="false">"Renovation CAGR "&amp;Settings!$B$7&amp;"-"&amp;(Settings!$B$7+5)</f>
        <v>Renovation CAGR 2026-2031</v>
      </c>
      <c r="R5" s="29" t="str">
        <f aca="false">"New build CAGR "&amp;(Settings!$B$7-6)&amp;"-"&amp;(Settings!$B$7-1)</f>
        <v>New build CAGR 2020-2025</v>
      </c>
      <c r="S5" s="29" t="str">
        <f aca="false">"New build growth "&amp;Settings!$B$7&amp;"E"</f>
        <v>New build growth 2026E</v>
      </c>
      <c r="T5" s="29" t="str">
        <f aca="false">"New build CAGR "&amp;Settings!$B$7&amp;"-"&amp;(Settings!$B$7+5)</f>
        <v>New build CAGR 2026-2031</v>
      </c>
      <c r="U5" s="28" t="str">
        <f aca="false">"HFC sales "&amp;(Settings!$B$7-1)&amp;" (EUR m)"</f>
        <v>HFC sales 2025 (EUR m)</v>
      </c>
      <c r="V5" s="28" t="str">
        <f aca="false">"HFC sales CAGR "&amp;(Settings!$B$7-6)&amp;"-"&amp;(Settings!$B$7-1)</f>
        <v>HFC sales CAGR 2020-2025</v>
      </c>
      <c r="W5" s="28" t="str">
        <f aca="false">"HFC growth "&amp;Settings!$B$7&amp;" forecast"</f>
        <v>HFC growth 2026 forecast</v>
      </c>
      <c r="X5" s="28" t="str">
        <f aca="false">"HFC BP CAGR "&amp;Settings!$B$7&amp;"-"&amp;(Settings!$B$7+5)</f>
        <v>HFC BP CAGR 2026-2031</v>
      </c>
      <c r="Y5" s="28" t="str">
        <f aca="false">"Market share "&amp;(Settings!$B$7-1)&amp;" (optional)"</f>
        <v>Market share 2025 (optional)</v>
      </c>
      <c r="Z5" s="28" t="str">
        <f aca="false">"Market share "&amp;Settings!$B$7&amp;" (optional)"</f>
        <v>Market share 2026 (optional)</v>
      </c>
      <c r="AA5" s="28" t="s">
        <v>204</v>
      </c>
      <c r="AB5" s="28" t="s">
        <v>205</v>
      </c>
      <c r="AC5" s="28" t="s">
        <v>206</v>
      </c>
      <c r="AD5" s="28" t="s">
        <v>207</v>
      </c>
    </row>
    <row r="6" customFormat="false" ht="15" hidden="false" customHeight="false" outlineLevel="0" collapsed="false">
      <c r="A6" s="14" t="s">
        <v>181</v>
      </c>
      <c r="B6" s="14" t="s">
        <v>208</v>
      </c>
      <c r="C6" s="14" t="s">
        <v>209</v>
      </c>
      <c r="D6" s="14" t="s">
        <v>210</v>
      </c>
      <c r="E6" s="14" t="s">
        <v>181</v>
      </c>
      <c r="F6" s="30" t="n">
        <f aca="false">IF($A6="","",'Market levels'!I6)</f>
        <v>10329.28</v>
      </c>
      <c r="G6" s="31" t="n">
        <v>184</v>
      </c>
      <c r="H6" s="32"/>
      <c r="I6" s="32"/>
      <c r="J6" s="31" t="n">
        <v>71</v>
      </c>
      <c r="K6" s="33" t="n">
        <f aca="false">IF($A6="","",IFERROR(('Market levels'!I6/'Market levels'!D6)^(1/5)-1,""))</f>
        <v>-0.0195992504134664</v>
      </c>
      <c r="L6" s="33" t="n">
        <f aca="false">IF($A6="","",IFERROR('Market levels'!J6/'Market levels'!I6-1,""))</f>
        <v>0.0654305043526753</v>
      </c>
      <c r="M6" s="33" t="n">
        <f aca="false">IF($A6="","",IFERROR(('Market levels'!O6/'Market levels'!J6)^(1/5)-1,""))</f>
        <v>0.0225015243342797</v>
      </c>
      <c r="N6" s="34" t="n">
        <f aca="false">IF($A6="","",IFERROR('Market levels'!U6/'Market levels'!I6,""))</f>
        <v>0.532586976052542</v>
      </c>
      <c r="O6" s="33" t="n">
        <f aca="false">IF($A6="","",IFERROR(('Market levels'!U6/'Market levels'!P6)^(1/5)-1,""))</f>
        <v>0.0211153330698004</v>
      </c>
      <c r="P6" s="33" t="n">
        <f aca="false">IF($A6="","",IFERROR('Market levels'!V6/'Market levels'!U6-1,""))</f>
        <v>0.185850826359149</v>
      </c>
      <c r="Q6" s="33" t="n">
        <f aca="false">IF($A6="","",IFERROR(('Market levels'!AA6/'Market levels'!V6)^(1/5)-1,""))</f>
        <v>0.0141805398769062</v>
      </c>
      <c r="R6" s="33" t="n">
        <f aca="false">IF($A6="","",IFERROR(('Market levels'!AG6/'Market levels'!AB6)^(1/5)-1,""))</f>
        <v>-0.0562343157624903</v>
      </c>
      <c r="S6" s="33" t="n">
        <f aca="false">IF($A6="","",IFERROR('Market levels'!AH6/'Market levels'!AG6-1,""))</f>
        <v>-0.0717806811873972</v>
      </c>
      <c r="T6" s="33" t="n">
        <f aca="false">IF($A6="","",IFERROR(('Market levels'!AM6/'Market levels'!AH6)^(1/5)-1,""))</f>
        <v>0.0341503028428385</v>
      </c>
      <c r="U6" s="31" t="n">
        <v>4.3</v>
      </c>
      <c r="V6" s="32" t="n">
        <v>0.09</v>
      </c>
      <c r="W6" s="32" t="n">
        <v>0.085</v>
      </c>
      <c r="X6" s="32" t="n">
        <v>0.1</v>
      </c>
      <c r="Y6" s="32"/>
      <c r="Z6" s="32"/>
      <c r="AA6" s="17" t="n">
        <v>3</v>
      </c>
      <c r="AB6" s="17" t="n">
        <v>3</v>
      </c>
      <c r="AC6" s="17" t="n">
        <v>2</v>
      </c>
      <c r="AD6" s="17" t="n">
        <v>4</v>
      </c>
    </row>
    <row r="7" customFormat="false" ht="15" hidden="false" customHeight="false" outlineLevel="0" collapsed="false">
      <c r="A7" s="14" t="s">
        <v>181</v>
      </c>
      <c r="B7" s="14" t="s">
        <v>208</v>
      </c>
      <c r="C7" s="14" t="s">
        <v>209</v>
      </c>
      <c r="D7" s="14" t="s">
        <v>211</v>
      </c>
      <c r="E7" s="14" t="s">
        <v>181</v>
      </c>
      <c r="F7" s="30" t="n">
        <f aca="false">IF($A7="","",'Market levels'!I7)</f>
        <v>10329.28</v>
      </c>
      <c r="G7" s="31" t="n">
        <v>45</v>
      </c>
      <c r="H7" s="32"/>
      <c r="I7" s="32"/>
      <c r="J7" s="31" t="n">
        <v>11</v>
      </c>
      <c r="K7" s="33" t="n">
        <f aca="false">IF($A7="","",IFERROR(('Market levels'!I7/'Market levels'!D7)^(1/5)-1,""))</f>
        <v>-0.0195992504134664</v>
      </c>
      <c r="L7" s="33" t="n">
        <f aca="false">IF($A7="","",IFERROR('Market levels'!J7/'Market levels'!I7-1,""))</f>
        <v>0.0654305043526753</v>
      </c>
      <c r="M7" s="33" t="n">
        <f aca="false">IF($A7="","",IFERROR(('Market levels'!O7/'Market levels'!J7)^(1/5)-1,""))</f>
        <v>0.0225015243342797</v>
      </c>
      <c r="N7" s="34" t="n">
        <f aca="false">IF($A7="","",IFERROR('Market levels'!U7/'Market levels'!I7,""))</f>
        <v>0.532586976052542</v>
      </c>
      <c r="O7" s="33" t="n">
        <f aca="false">IF($A7="","",IFERROR(('Market levels'!U7/'Market levels'!P7)^(1/5)-1,""))</f>
        <v>0.0211153330698004</v>
      </c>
      <c r="P7" s="33" t="n">
        <f aca="false">IF($A7="","",IFERROR('Market levels'!V7/'Market levels'!U7-1,""))</f>
        <v>0.185850826359149</v>
      </c>
      <c r="Q7" s="33" t="n">
        <f aca="false">IF($A7="","",IFERROR(('Market levels'!AA7/'Market levels'!V7)^(1/5)-1,""))</f>
        <v>0.0141805398769062</v>
      </c>
      <c r="R7" s="33" t="n">
        <f aca="false">IF($A7="","",IFERROR(('Market levels'!AG7/'Market levels'!AB7)^(1/5)-1,""))</f>
        <v>-0.0562343157624903</v>
      </c>
      <c r="S7" s="33" t="n">
        <f aca="false">IF($A7="","",IFERROR('Market levels'!AH7/'Market levels'!AG7-1,""))</f>
        <v>-0.0717806811873972</v>
      </c>
      <c r="T7" s="33" t="n">
        <f aca="false">IF($A7="","",IFERROR(('Market levels'!AM7/'Market levels'!AH7)^(1/5)-1,""))</f>
        <v>0.0341503028428385</v>
      </c>
      <c r="U7" s="31" t="n">
        <v>0.3</v>
      </c>
      <c r="V7" s="32" t="n">
        <v>0.105</v>
      </c>
      <c r="W7" s="32" t="n">
        <v>0.1</v>
      </c>
      <c r="X7" s="32" t="n">
        <v>0.115</v>
      </c>
      <c r="Y7" s="32"/>
      <c r="Z7" s="32"/>
      <c r="AA7" s="17" t="n">
        <v>3</v>
      </c>
      <c r="AB7" s="17" t="n">
        <v>3</v>
      </c>
      <c r="AC7" s="17" t="n">
        <v>2</v>
      </c>
      <c r="AD7" s="17" t="n">
        <v>4</v>
      </c>
    </row>
    <row r="8" customFormat="false" ht="15" hidden="false" customHeight="false" outlineLevel="0" collapsed="false">
      <c r="A8" s="14" t="s">
        <v>181</v>
      </c>
      <c r="B8" s="14" t="s">
        <v>208</v>
      </c>
      <c r="C8" s="14" t="s">
        <v>209</v>
      </c>
      <c r="D8" s="14" t="s">
        <v>212</v>
      </c>
      <c r="E8" s="14" t="s">
        <v>181</v>
      </c>
      <c r="F8" s="30" t="n">
        <f aca="false">IF($A8="","",'Market levels'!I8)</f>
        <v>10329.28</v>
      </c>
      <c r="G8" s="31" t="n">
        <v>102</v>
      </c>
      <c r="H8" s="32"/>
      <c r="I8" s="32"/>
      <c r="J8" s="31" t="n">
        <v>32</v>
      </c>
      <c r="K8" s="33" t="n">
        <f aca="false">IF($A8="","",IFERROR(('Market levels'!I8/'Market levels'!D8)^(1/5)-1,""))</f>
        <v>-0.0195992504134664</v>
      </c>
      <c r="L8" s="33" t="n">
        <f aca="false">IF($A8="","",IFERROR('Market levels'!J8/'Market levels'!I8-1,""))</f>
        <v>0.0654305043526753</v>
      </c>
      <c r="M8" s="33" t="n">
        <f aca="false">IF($A8="","",IFERROR(('Market levels'!O8/'Market levels'!J8)^(1/5)-1,""))</f>
        <v>0.0225015243342797</v>
      </c>
      <c r="N8" s="34" t="n">
        <f aca="false">IF($A8="","",IFERROR('Market levels'!U8/'Market levels'!I8,""))</f>
        <v>0.532586976052542</v>
      </c>
      <c r="O8" s="33" t="n">
        <f aca="false">IF($A8="","",IFERROR(('Market levels'!U8/'Market levels'!P8)^(1/5)-1,""))</f>
        <v>0.0211153330698004</v>
      </c>
      <c r="P8" s="33" t="n">
        <f aca="false">IF($A8="","",IFERROR('Market levels'!V8/'Market levels'!U8-1,""))</f>
        <v>0.185850826359149</v>
      </c>
      <c r="Q8" s="33" t="n">
        <f aca="false">IF($A8="","",IFERROR(('Market levels'!AA8/'Market levels'!V8)^(1/5)-1,""))</f>
        <v>0.0141805398769062</v>
      </c>
      <c r="R8" s="33" t="n">
        <f aca="false">IF($A8="","",IFERROR(('Market levels'!AG8/'Market levels'!AB8)^(1/5)-1,""))</f>
        <v>-0.0562343157624903</v>
      </c>
      <c r="S8" s="33" t="n">
        <f aca="false">IF($A8="","",IFERROR('Market levels'!AH8/'Market levels'!AG8-1,""))</f>
        <v>-0.0717806811873972</v>
      </c>
      <c r="T8" s="33" t="n">
        <f aca="false">IF($A8="","",IFERROR(('Market levels'!AM8/'Market levels'!AH8)^(1/5)-1,""))</f>
        <v>0.0341503028428385</v>
      </c>
      <c r="U8" s="31" t="n">
        <v>1.4</v>
      </c>
      <c r="V8" s="32" t="n">
        <v>0.095</v>
      </c>
      <c r="W8" s="32" t="n">
        <v>0.09</v>
      </c>
      <c r="X8" s="32" t="n">
        <v>0.105</v>
      </c>
      <c r="Y8" s="32"/>
      <c r="Z8" s="32"/>
      <c r="AA8" s="17" t="n">
        <v>3</v>
      </c>
      <c r="AB8" s="17" t="n">
        <v>3</v>
      </c>
      <c r="AC8" s="17" t="n">
        <v>2</v>
      </c>
      <c r="AD8" s="17" t="n">
        <v>4</v>
      </c>
    </row>
    <row r="9" customFormat="false" ht="15" hidden="false" customHeight="false" outlineLevel="0" collapsed="false">
      <c r="A9" s="14" t="s">
        <v>181</v>
      </c>
      <c r="B9" s="14" t="s">
        <v>208</v>
      </c>
      <c r="C9" s="14" t="s">
        <v>213</v>
      </c>
      <c r="D9" s="14" t="s">
        <v>210</v>
      </c>
      <c r="E9" s="14" t="s">
        <v>181</v>
      </c>
      <c r="F9" s="30" t="n">
        <f aca="false">IF($A9="","",'Market levels'!I9)</f>
        <v>23418.23</v>
      </c>
      <c r="G9" s="31" t="n">
        <v>418</v>
      </c>
      <c r="H9" s="32"/>
      <c r="I9" s="32"/>
      <c r="J9" s="31" t="n">
        <v>161</v>
      </c>
      <c r="K9" s="33" t="n">
        <f aca="false">IF($A9="","",IFERROR(('Market levels'!I9/'Market levels'!D9)^(1/5)-1,""))</f>
        <v>0.00341472045997371</v>
      </c>
      <c r="L9" s="33" t="n">
        <f aca="false">IF($A9="","",IFERROR('Market levels'!J9/'Market levels'!I9-1,""))</f>
        <v>0.0596590775647863</v>
      </c>
      <c r="M9" s="33" t="n">
        <f aca="false">IF($A9="","",IFERROR(('Market levels'!O9/'Market levels'!J9)^(1/5)-1,""))</f>
        <v>0.0234508339237622</v>
      </c>
      <c r="N9" s="34" t="n">
        <f aca="false">IF($A9="","",IFERROR('Market levels'!U9/'Market levels'!I9,""))</f>
        <v>0.327015747987786</v>
      </c>
      <c r="O9" s="33" t="n">
        <f aca="false">IF($A9="","",IFERROR(('Market levels'!U9/'Market levels'!P9)^(1/5)-1,""))</f>
        <v>0.00993674664251398</v>
      </c>
      <c r="P9" s="33" t="n">
        <f aca="false">IF($A9="","",IFERROR('Market levels'!V9/'Market levels'!U9-1,""))</f>
        <v>0.165138225650388</v>
      </c>
      <c r="Q9" s="33" t="n">
        <f aca="false">IF($A9="","",IFERROR(('Market levels'!AA9/'Market levels'!V9)^(1/5)-1,""))</f>
        <v>0.0204915356177162</v>
      </c>
      <c r="R9" s="33" t="n">
        <f aca="false">IF($A9="","",IFERROR(('Market levels'!AG9/'Market levels'!AB9)^(1/5)-1,""))</f>
        <v>0.000334978916365802</v>
      </c>
      <c r="S9" s="33" t="n">
        <f aca="false">IF($A9="","",IFERROR('Market levels'!AH9/'Market levels'!AG9-1,""))</f>
        <v>0.00840476900527287</v>
      </c>
      <c r="T9" s="33" t="n">
        <f aca="false">IF($A9="","",IFERROR(('Market levels'!AM9/'Market levels'!AH9)^(1/5)-1,""))</f>
        <v>0.0250974263653638</v>
      </c>
      <c r="U9" s="31" t="n">
        <v>7.3</v>
      </c>
      <c r="V9" s="32" t="n">
        <v>0.095</v>
      </c>
      <c r="W9" s="32" t="n">
        <v>0.09</v>
      </c>
      <c r="X9" s="32" t="n">
        <v>0.105</v>
      </c>
      <c r="Y9" s="32"/>
      <c r="Z9" s="32"/>
      <c r="AA9" s="17" t="n">
        <v>3</v>
      </c>
      <c r="AB9" s="17" t="n">
        <v>3</v>
      </c>
      <c r="AC9" s="17" t="n">
        <v>2</v>
      </c>
      <c r="AD9" s="17" t="n">
        <v>4</v>
      </c>
    </row>
    <row r="10" customFormat="false" ht="15" hidden="false" customHeight="false" outlineLevel="0" collapsed="false">
      <c r="A10" s="14" t="s">
        <v>181</v>
      </c>
      <c r="B10" s="14" t="s">
        <v>208</v>
      </c>
      <c r="C10" s="14" t="s">
        <v>213</v>
      </c>
      <c r="D10" s="14" t="s">
        <v>211</v>
      </c>
      <c r="E10" s="14" t="s">
        <v>181</v>
      </c>
      <c r="F10" s="30" t="n">
        <f aca="false">IF($A10="","",'Market levels'!I10)</f>
        <v>23418.23</v>
      </c>
      <c r="G10" s="31" t="n">
        <v>106</v>
      </c>
      <c r="H10" s="32"/>
      <c r="I10" s="32"/>
      <c r="J10" s="31" t="n">
        <v>26</v>
      </c>
      <c r="K10" s="33" t="n">
        <f aca="false">IF($A10="","",IFERROR(('Market levels'!I10/'Market levels'!D10)^(1/5)-1,""))</f>
        <v>0.00341472045997371</v>
      </c>
      <c r="L10" s="33" t="n">
        <f aca="false">IF($A10="","",IFERROR('Market levels'!J10/'Market levels'!I10-1,""))</f>
        <v>0.0596590775647863</v>
      </c>
      <c r="M10" s="33" t="n">
        <f aca="false">IF($A10="","",IFERROR(('Market levels'!O10/'Market levels'!J10)^(1/5)-1,""))</f>
        <v>0.0234508339237622</v>
      </c>
      <c r="N10" s="34" t="n">
        <f aca="false">IF($A10="","",IFERROR('Market levels'!U10/'Market levels'!I10,""))</f>
        <v>0.327015747987786</v>
      </c>
      <c r="O10" s="33" t="n">
        <f aca="false">IF($A10="","",IFERROR(('Market levels'!U10/'Market levels'!P10)^(1/5)-1,""))</f>
        <v>0.00993674664251398</v>
      </c>
      <c r="P10" s="33" t="n">
        <f aca="false">IF($A10="","",IFERROR('Market levels'!V10/'Market levels'!U10-1,""))</f>
        <v>0.165138225650388</v>
      </c>
      <c r="Q10" s="33" t="n">
        <f aca="false">IF($A10="","",IFERROR(('Market levels'!AA10/'Market levels'!V10)^(1/5)-1,""))</f>
        <v>0.0204915356177162</v>
      </c>
      <c r="R10" s="33" t="n">
        <f aca="false">IF($A10="","",IFERROR(('Market levels'!AG10/'Market levels'!AB10)^(1/5)-1,""))</f>
        <v>0.000334978916365802</v>
      </c>
      <c r="S10" s="33" t="n">
        <f aca="false">IF($A10="","",IFERROR('Market levels'!AH10/'Market levels'!AG10-1,""))</f>
        <v>0.00840476900527287</v>
      </c>
      <c r="T10" s="33" t="n">
        <f aca="false">IF($A10="","",IFERROR(('Market levels'!AM10/'Market levels'!AH10)^(1/5)-1,""))</f>
        <v>0.0250974263653638</v>
      </c>
      <c r="U10" s="31" t="n">
        <v>0.6</v>
      </c>
      <c r="V10" s="32" t="n">
        <v>0.11</v>
      </c>
      <c r="W10" s="32" t="n">
        <v>0.105</v>
      </c>
      <c r="X10" s="32" t="n">
        <v>0.12</v>
      </c>
      <c r="Y10" s="32"/>
      <c r="Z10" s="32"/>
      <c r="AA10" s="17" t="n">
        <v>3</v>
      </c>
      <c r="AB10" s="17" t="n">
        <v>3</v>
      </c>
      <c r="AC10" s="17" t="n">
        <v>2</v>
      </c>
      <c r="AD10" s="17" t="n">
        <v>4</v>
      </c>
    </row>
    <row r="11" customFormat="false" ht="15" hidden="false" customHeight="false" outlineLevel="0" collapsed="false">
      <c r="A11" s="14" t="s">
        <v>181</v>
      </c>
      <c r="B11" s="14" t="s">
        <v>208</v>
      </c>
      <c r="C11" s="14" t="s">
        <v>213</v>
      </c>
      <c r="D11" s="14" t="s">
        <v>212</v>
      </c>
      <c r="E11" s="14" t="s">
        <v>181</v>
      </c>
      <c r="F11" s="30" t="n">
        <f aca="false">IF($A11="","",'Market levels'!I11)</f>
        <v>23418.23</v>
      </c>
      <c r="G11" s="31" t="n">
        <v>229</v>
      </c>
      <c r="H11" s="32"/>
      <c r="I11" s="32"/>
      <c r="J11" s="31" t="n">
        <v>72</v>
      </c>
      <c r="K11" s="33" t="n">
        <f aca="false">IF($A11="","",IFERROR(('Market levels'!I11/'Market levels'!D11)^(1/5)-1,""))</f>
        <v>0.00341472045997371</v>
      </c>
      <c r="L11" s="33" t="n">
        <f aca="false">IF($A11="","",IFERROR('Market levels'!J11/'Market levels'!I11-1,""))</f>
        <v>0.0596590775647863</v>
      </c>
      <c r="M11" s="33" t="n">
        <f aca="false">IF($A11="","",IFERROR(('Market levels'!O11/'Market levels'!J11)^(1/5)-1,""))</f>
        <v>0.0234508339237622</v>
      </c>
      <c r="N11" s="34" t="n">
        <f aca="false">IF($A11="","",IFERROR('Market levels'!U11/'Market levels'!I11,""))</f>
        <v>0.327015747987786</v>
      </c>
      <c r="O11" s="33" t="n">
        <f aca="false">IF($A11="","",IFERROR(('Market levels'!U11/'Market levels'!P11)^(1/5)-1,""))</f>
        <v>0.00993674664251398</v>
      </c>
      <c r="P11" s="33" t="n">
        <f aca="false">IF($A11="","",IFERROR('Market levels'!V11/'Market levels'!U11-1,""))</f>
        <v>0.165138225650388</v>
      </c>
      <c r="Q11" s="33" t="n">
        <f aca="false">IF($A11="","",IFERROR(('Market levels'!AA11/'Market levels'!V11)^(1/5)-1,""))</f>
        <v>0.0204915356177162</v>
      </c>
      <c r="R11" s="33" t="n">
        <f aca="false">IF($A11="","",IFERROR(('Market levels'!AG11/'Market levels'!AB11)^(1/5)-1,""))</f>
        <v>0.000334978916365802</v>
      </c>
      <c r="S11" s="33" t="n">
        <f aca="false">IF($A11="","",IFERROR('Market levels'!AH11/'Market levels'!AG11-1,""))</f>
        <v>0.00840476900527287</v>
      </c>
      <c r="T11" s="33" t="n">
        <f aca="false">IF($A11="","",IFERROR(('Market levels'!AM11/'Market levels'!AH11)^(1/5)-1,""))</f>
        <v>0.0250974263653638</v>
      </c>
      <c r="U11" s="31" t="n">
        <v>2.5</v>
      </c>
      <c r="V11" s="32" t="n">
        <v>0.1</v>
      </c>
      <c r="W11" s="32" t="n">
        <v>0.095</v>
      </c>
      <c r="X11" s="32" t="n">
        <v>0.11</v>
      </c>
      <c r="Y11" s="32"/>
      <c r="Z11" s="32"/>
      <c r="AA11" s="17" t="n">
        <v>3</v>
      </c>
      <c r="AB11" s="17" t="n">
        <v>3</v>
      </c>
      <c r="AC11" s="17" t="n">
        <v>2</v>
      </c>
      <c r="AD11" s="17" t="n">
        <v>4</v>
      </c>
    </row>
    <row r="12" customFormat="false" ht="15" hidden="false" customHeight="false" outlineLevel="0" collapsed="false">
      <c r="A12" s="14" t="s">
        <v>159</v>
      </c>
      <c r="B12" s="14" t="s">
        <v>214</v>
      </c>
      <c r="C12" s="14" t="s">
        <v>209</v>
      </c>
      <c r="D12" s="14" t="s">
        <v>210</v>
      </c>
      <c r="E12" s="14" t="s">
        <v>159</v>
      </c>
      <c r="F12" s="30" t="n">
        <f aca="false">IF($A12="","",'Market levels'!I12)</f>
        <v>5836.52</v>
      </c>
      <c r="G12" s="31" t="n">
        <v>86</v>
      </c>
      <c r="H12" s="32"/>
      <c r="I12" s="32"/>
      <c r="J12" s="31" t="n">
        <v>38</v>
      </c>
      <c r="K12" s="33" t="n">
        <f aca="false">IF($A12="","",IFERROR(('Market levels'!I12/'Market levels'!D12)^(1/5)-1,""))</f>
        <v>-0.0240851177496964</v>
      </c>
      <c r="L12" s="33" t="n">
        <f aca="false">IF($A12="","",IFERROR('Market levels'!J12/'Market levels'!I12-1,""))</f>
        <v>-0.0168148143071558</v>
      </c>
      <c r="M12" s="33" t="n">
        <f aca="false">IF($A12="","",IFERROR(('Market levels'!O12/'Market levels'!J12)^(1/5)-1,""))</f>
        <v>0.0219043525508911</v>
      </c>
      <c r="N12" s="34" t="n">
        <f aca="false">IF($A12="","",IFERROR('Market levels'!U12/'Market levels'!I12,""))</f>
        <v>0.323363922337283</v>
      </c>
      <c r="O12" s="33" t="n">
        <f aca="false">IF($A12="","",IFERROR(('Market levels'!U12/'Market levels'!P12)^(1/5)-1,""))</f>
        <v>0.0319288971282656</v>
      </c>
      <c r="P12" s="33" t="n">
        <f aca="false">IF($A12="","",IFERROR('Market levels'!V12/'Market levels'!U12-1,""))</f>
        <v>-0.0942818387978723</v>
      </c>
      <c r="Q12" s="33" t="n">
        <f aca="false">IF($A12="","",IFERROR(('Market levels'!AA12/'Market levels'!V12)^(1/5)-1,""))</f>
        <v>0.0310685186979185</v>
      </c>
      <c r="R12" s="33" t="n">
        <f aca="false">IF($A12="","",IFERROR(('Market levels'!AG12/'Market levels'!AB12)^(1/5)-1,""))</f>
        <v>-0.0453359898789375</v>
      </c>
      <c r="S12" s="33" t="n">
        <f aca="false">IF($A12="","",IFERROR('Market levels'!AH12/'Market levels'!AG12-1,""))</f>
        <v>0.0202066241264052</v>
      </c>
      <c r="T12" s="33" t="n">
        <f aca="false">IF($A12="","",IFERROR(('Market levels'!AM12/'Market levels'!AH12)^(1/5)-1,""))</f>
        <v>0.0179148899833346</v>
      </c>
      <c r="U12" s="31" t="n">
        <v>2.7</v>
      </c>
      <c r="V12" s="32" t="n">
        <v>0.06</v>
      </c>
      <c r="W12" s="32" t="n">
        <v>0.05</v>
      </c>
      <c r="X12" s="32" t="n">
        <v>0.07</v>
      </c>
      <c r="Y12" s="32"/>
      <c r="Z12" s="32"/>
      <c r="AA12" s="17" t="n">
        <v>3</v>
      </c>
      <c r="AB12" s="17" t="n">
        <v>3</v>
      </c>
      <c r="AC12" s="17" t="n">
        <v>3</v>
      </c>
      <c r="AD12" s="17" t="n">
        <v>3</v>
      </c>
    </row>
    <row r="13" customFormat="false" ht="15" hidden="false" customHeight="false" outlineLevel="0" collapsed="false">
      <c r="A13" s="14" t="s">
        <v>159</v>
      </c>
      <c r="B13" s="14" t="s">
        <v>214</v>
      </c>
      <c r="C13" s="14" t="s">
        <v>209</v>
      </c>
      <c r="D13" s="14" t="s">
        <v>211</v>
      </c>
      <c r="E13" s="14" t="s">
        <v>159</v>
      </c>
      <c r="F13" s="30" t="n">
        <f aca="false">IF($A13="","",'Market levels'!I13)</f>
        <v>5836.52</v>
      </c>
      <c r="G13" s="31" t="n">
        <v>29</v>
      </c>
      <c r="H13" s="32"/>
      <c r="I13" s="32"/>
      <c r="J13" s="31" t="n">
        <v>8</v>
      </c>
      <c r="K13" s="33" t="n">
        <f aca="false">IF($A13="","",IFERROR(('Market levels'!I13/'Market levels'!D13)^(1/5)-1,""))</f>
        <v>-0.0240851177496964</v>
      </c>
      <c r="L13" s="33" t="n">
        <f aca="false">IF($A13="","",IFERROR('Market levels'!J13/'Market levels'!I13-1,""))</f>
        <v>-0.0168148143071558</v>
      </c>
      <c r="M13" s="33" t="n">
        <f aca="false">IF($A13="","",IFERROR(('Market levels'!O13/'Market levels'!J13)^(1/5)-1,""))</f>
        <v>0.0219043525508911</v>
      </c>
      <c r="N13" s="34" t="n">
        <f aca="false">IF($A13="","",IFERROR('Market levels'!U13/'Market levels'!I13,""))</f>
        <v>0.323363922337283</v>
      </c>
      <c r="O13" s="33" t="n">
        <f aca="false">IF($A13="","",IFERROR(('Market levels'!U13/'Market levels'!P13)^(1/5)-1,""))</f>
        <v>0.0319288971282656</v>
      </c>
      <c r="P13" s="33" t="n">
        <f aca="false">IF($A13="","",IFERROR('Market levels'!V13/'Market levels'!U13-1,""))</f>
        <v>-0.0942818387978723</v>
      </c>
      <c r="Q13" s="33" t="n">
        <f aca="false">IF($A13="","",IFERROR(('Market levels'!AA13/'Market levels'!V13)^(1/5)-1,""))</f>
        <v>0.0310685186979185</v>
      </c>
      <c r="R13" s="33" t="n">
        <f aca="false">IF($A13="","",IFERROR(('Market levels'!AG13/'Market levels'!AB13)^(1/5)-1,""))</f>
        <v>-0.0453359898789375</v>
      </c>
      <c r="S13" s="33" t="n">
        <f aca="false">IF($A13="","",IFERROR('Market levels'!AH13/'Market levels'!AG13-1,""))</f>
        <v>0.0202066241264052</v>
      </c>
      <c r="T13" s="33" t="n">
        <f aca="false">IF($A13="","",IFERROR(('Market levels'!AM13/'Market levels'!AH13)^(1/5)-1,""))</f>
        <v>0.0179148899833346</v>
      </c>
      <c r="U13" s="31" t="n">
        <v>0.3</v>
      </c>
      <c r="V13" s="32" t="n">
        <v>0.075</v>
      </c>
      <c r="W13" s="32" t="n">
        <v>0.065</v>
      </c>
      <c r="X13" s="32" t="n">
        <v>0.085</v>
      </c>
      <c r="Y13" s="32"/>
      <c r="Z13" s="32"/>
      <c r="AA13" s="17" t="n">
        <v>3</v>
      </c>
      <c r="AB13" s="17" t="n">
        <v>3</v>
      </c>
      <c r="AC13" s="17" t="n">
        <v>3</v>
      </c>
      <c r="AD13" s="17" t="n">
        <v>3</v>
      </c>
    </row>
    <row r="14" customFormat="false" ht="15" hidden="false" customHeight="false" outlineLevel="0" collapsed="false">
      <c r="A14" s="14" t="s">
        <v>159</v>
      </c>
      <c r="B14" s="14" t="s">
        <v>214</v>
      </c>
      <c r="C14" s="14" t="s">
        <v>209</v>
      </c>
      <c r="D14" s="14" t="s">
        <v>212</v>
      </c>
      <c r="E14" s="14" t="s">
        <v>159</v>
      </c>
      <c r="F14" s="30" t="n">
        <f aca="false">IF($A14="","",'Market levels'!I14)</f>
        <v>5836.52</v>
      </c>
      <c r="G14" s="31" t="n">
        <v>50</v>
      </c>
      <c r="H14" s="32"/>
      <c r="I14" s="32"/>
      <c r="J14" s="31" t="n">
        <v>18</v>
      </c>
      <c r="K14" s="33" t="n">
        <f aca="false">IF($A14="","",IFERROR(('Market levels'!I14/'Market levels'!D14)^(1/5)-1,""))</f>
        <v>-0.0240851177496964</v>
      </c>
      <c r="L14" s="33" t="n">
        <f aca="false">IF($A14="","",IFERROR('Market levels'!J14/'Market levels'!I14-1,""))</f>
        <v>-0.0168148143071558</v>
      </c>
      <c r="M14" s="33" t="n">
        <f aca="false">IF($A14="","",IFERROR(('Market levels'!O14/'Market levels'!J14)^(1/5)-1,""))</f>
        <v>0.0219043525508911</v>
      </c>
      <c r="N14" s="34" t="n">
        <f aca="false">IF($A14="","",IFERROR('Market levels'!U14/'Market levels'!I14,""))</f>
        <v>0.323363922337283</v>
      </c>
      <c r="O14" s="33" t="n">
        <f aca="false">IF($A14="","",IFERROR(('Market levels'!U14/'Market levels'!P14)^(1/5)-1,""))</f>
        <v>0.0319288971282656</v>
      </c>
      <c r="P14" s="33" t="n">
        <f aca="false">IF($A14="","",IFERROR('Market levels'!V14/'Market levels'!U14-1,""))</f>
        <v>-0.0942818387978723</v>
      </c>
      <c r="Q14" s="33" t="n">
        <f aca="false">IF($A14="","",IFERROR(('Market levels'!AA14/'Market levels'!V14)^(1/5)-1,""))</f>
        <v>0.0310685186979185</v>
      </c>
      <c r="R14" s="33" t="n">
        <f aca="false">IF($A14="","",IFERROR(('Market levels'!AG14/'Market levels'!AB14)^(1/5)-1,""))</f>
        <v>-0.0453359898789375</v>
      </c>
      <c r="S14" s="33" t="n">
        <f aca="false">IF($A14="","",IFERROR('Market levels'!AH14/'Market levels'!AG14-1,""))</f>
        <v>0.0202066241264052</v>
      </c>
      <c r="T14" s="33" t="n">
        <f aca="false">IF($A14="","",IFERROR(('Market levels'!AM14/'Market levels'!AH14)^(1/5)-1,""))</f>
        <v>0.0179148899833346</v>
      </c>
      <c r="U14" s="31" t="n">
        <v>1</v>
      </c>
      <c r="V14" s="32" t="n">
        <v>0.065</v>
      </c>
      <c r="W14" s="32" t="n">
        <v>0.055</v>
      </c>
      <c r="X14" s="32" t="n">
        <v>0.075</v>
      </c>
      <c r="Y14" s="32"/>
      <c r="Z14" s="32"/>
      <c r="AA14" s="17" t="n">
        <v>3</v>
      </c>
      <c r="AB14" s="17" t="n">
        <v>3</v>
      </c>
      <c r="AC14" s="17" t="n">
        <v>3</v>
      </c>
      <c r="AD14" s="17" t="n">
        <v>3</v>
      </c>
    </row>
    <row r="15" customFormat="false" ht="15" hidden="false" customHeight="false" outlineLevel="0" collapsed="false">
      <c r="A15" s="14" t="s">
        <v>159</v>
      </c>
      <c r="B15" s="14" t="s">
        <v>214</v>
      </c>
      <c r="C15" s="14" t="s">
        <v>213</v>
      </c>
      <c r="D15" s="14" t="s">
        <v>210</v>
      </c>
      <c r="E15" s="14" t="s">
        <v>159</v>
      </c>
      <c r="F15" s="30" t="n">
        <f aca="false">IF($A15="","",'Market levels'!I15)</f>
        <v>7763.99</v>
      </c>
      <c r="G15" s="31" t="n">
        <v>118</v>
      </c>
      <c r="H15" s="32"/>
      <c r="I15" s="32"/>
      <c r="J15" s="31" t="n">
        <v>52</v>
      </c>
      <c r="K15" s="33" t="n">
        <f aca="false">IF($A15="","",IFERROR(('Market levels'!I15/'Market levels'!D15)^(1/5)-1,""))</f>
        <v>-0.00337034520083179</v>
      </c>
      <c r="L15" s="33" t="n">
        <f aca="false">IF($A15="","",IFERROR('Market levels'!J15/'Market levels'!I15-1,""))</f>
        <v>0.0511502462007294</v>
      </c>
      <c r="M15" s="33" t="n">
        <f aca="false">IF($A15="","",IFERROR(('Market levels'!O15/'Market levels'!J15)^(1/5)-1,""))</f>
        <v>0.0400035541568586</v>
      </c>
      <c r="N15" s="34" t="n">
        <f aca="false">IF($A15="","",IFERROR('Market levels'!U15/'Market levels'!I15,""))</f>
        <v>0.318157287683266</v>
      </c>
      <c r="O15" s="33" t="n">
        <f aca="false">IF($A15="","",IFERROR(('Market levels'!U15/'Market levels'!P15)^(1/5)-1,""))</f>
        <v>-0.000172368597403549</v>
      </c>
      <c r="P15" s="33" t="n">
        <f aca="false">IF($A15="","",IFERROR('Market levels'!V15/'Market levels'!U15-1,""))</f>
        <v>0.0357060445232513</v>
      </c>
      <c r="Q15" s="33" t="n">
        <f aca="false">IF($A15="","",IFERROR(('Market levels'!AA15/'Market levels'!V15)^(1/5)-1,""))</f>
        <v>0.0541595511445643</v>
      </c>
      <c r="R15" s="33" t="n">
        <f aca="false">IF($A15="","",IFERROR(('Market levels'!AG15/'Market levels'!AB15)^(1/5)-1,""))</f>
        <v>-0.0048417679935393</v>
      </c>
      <c r="S15" s="33" t="n">
        <f aca="false">IF($A15="","",IFERROR('Market levels'!AH15/'Market levels'!AG15-1,""))</f>
        <v>0.0583567253892274</v>
      </c>
      <c r="T15" s="33" t="n">
        <f aca="false">IF($A15="","",IFERROR(('Market levels'!AM15/'Market levels'!AH15)^(1/5)-1,""))</f>
        <v>0.0332746428625212</v>
      </c>
      <c r="U15" s="31" t="n">
        <v>2.5</v>
      </c>
      <c r="V15" s="32" t="n">
        <v>0.065</v>
      </c>
      <c r="W15" s="32" t="n">
        <v>0.055</v>
      </c>
      <c r="X15" s="32" t="n">
        <v>0.075</v>
      </c>
      <c r="Y15" s="32"/>
      <c r="Z15" s="32"/>
      <c r="AA15" s="17" t="n">
        <v>3</v>
      </c>
      <c r="AB15" s="17" t="n">
        <v>3</v>
      </c>
      <c r="AC15" s="17" t="n">
        <v>3</v>
      </c>
      <c r="AD15" s="17" t="n">
        <v>3</v>
      </c>
    </row>
    <row r="16" customFormat="false" ht="15" hidden="false" customHeight="false" outlineLevel="0" collapsed="false">
      <c r="A16" s="14" t="s">
        <v>159</v>
      </c>
      <c r="B16" s="14" t="s">
        <v>214</v>
      </c>
      <c r="C16" s="14" t="s">
        <v>213</v>
      </c>
      <c r="D16" s="14" t="s">
        <v>211</v>
      </c>
      <c r="E16" s="14" t="s">
        <v>159</v>
      </c>
      <c r="F16" s="30" t="n">
        <f aca="false">IF($A16="","",'Market levels'!I16)</f>
        <v>7763.99</v>
      </c>
      <c r="G16" s="31" t="n">
        <v>36</v>
      </c>
      <c r="H16" s="32"/>
      <c r="I16" s="32"/>
      <c r="J16" s="31" t="n">
        <v>10</v>
      </c>
      <c r="K16" s="33" t="n">
        <f aca="false">IF($A16="","",IFERROR(('Market levels'!I16/'Market levels'!D16)^(1/5)-1,""))</f>
        <v>-0.00337034520083179</v>
      </c>
      <c r="L16" s="33" t="n">
        <f aca="false">IF($A16="","",IFERROR('Market levels'!J16/'Market levels'!I16-1,""))</f>
        <v>0.0511502462007294</v>
      </c>
      <c r="M16" s="33" t="n">
        <f aca="false">IF($A16="","",IFERROR(('Market levels'!O16/'Market levels'!J16)^(1/5)-1,""))</f>
        <v>0.0400035541568586</v>
      </c>
      <c r="N16" s="34" t="n">
        <f aca="false">IF($A16="","",IFERROR('Market levels'!U16/'Market levels'!I16,""))</f>
        <v>0.318157287683266</v>
      </c>
      <c r="O16" s="33" t="n">
        <f aca="false">IF($A16="","",IFERROR(('Market levels'!U16/'Market levels'!P16)^(1/5)-1,""))</f>
        <v>-0.000172368597403549</v>
      </c>
      <c r="P16" s="33" t="n">
        <f aca="false">IF($A16="","",IFERROR('Market levels'!V16/'Market levels'!U16-1,""))</f>
        <v>0.0357060445232513</v>
      </c>
      <c r="Q16" s="33" t="n">
        <f aca="false">IF($A16="","",IFERROR(('Market levels'!AA16/'Market levels'!V16)^(1/5)-1,""))</f>
        <v>0.0541595511445643</v>
      </c>
      <c r="R16" s="33" t="n">
        <f aca="false">IF($A16="","",IFERROR(('Market levels'!AG16/'Market levels'!AB16)^(1/5)-1,""))</f>
        <v>-0.0048417679935393</v>
      </c>
      <c r="S16" s="33" t="n">
        <f aca="false">IF($A16="","",IFERROR('Market levels'!AH16/'Market levels'!AG16-1,""))</f>
        <v>0.0583567253892274</v>
      </c>
      <c r="T16" s="33" t="n">
        <f aca="false">IF($A16="","",IFERROR(('Market levels'!AM16/'Market levels'!AH16)^(1/5)-1,""))</f>
        <v>0.0332746428625212</v>
      </c>
      <c r="U16" s="31" t="n">
        <v>0.2</v>
      </c>
      <c r="V16" s="32" t="n">
        <v>0.08</v>
      </c>
      <c r="W16" s="32" t="n">
        <v>0.07</v>
      </c>
      <c r="X16" s="32" t="n">
        <v>0.09</v>
      </c>
      <c r="Y16" s="32"/>
      <c r="Z16" s="32"/>
      <c r="AA16" s="17" t="n">
        <v>3</v>
      </c>
      <c r="AB16" s="17" t="n">
        <v>3</v>
      </c>
      <c r="AC16" s="17" t="n">
        <v>3</v>
      </c>
      <c r="AD16" s="17" t="n">
        <v>3</v>
      </c>
    </row>
    <row r="17" customFormat="false" ht="15" hidden="false" customHeight="false" outlineLevel="0" collapsed="false">
      <c r="A17" s="14" t="s">
        <v>159</v>
      </c>
      <c r="B17" s="14" t="s">
        <v>214</v>
      </c>
      <c r="C17" s="14" t="s">
        <v>213</v>
      </c>
      <c r="D17" s="14" t="s">
        <v>212</v>
      </c>
      <c r="E17" s="14" t="s">
        <v>159</v>
      </c>
      <c r="F17" s="30" t="n">
        <f aca="false">IF($A17="","",'Market levels'!I17)</f>
        <v>7763.99</v>
      </c>
      <c r="G17" s="31" t="n">
        <v>67</v>
      </c>
      <c r="H17" s="32"/>
      <c r="I17" s="32"/>
      <c r="J17" s="31" t="n">
        <v>24</v>
      </c>
      <c r="K17" s="33" t="n">
        <f aca="false">IF($A17="","",IFERROR(('Market levels'!I17/'Market levels'!D17)^(1/5)-1,""))</f>
        <v>-0.00337034520083179</v>
      </c>
      <c r="L17" s="33" t="n">
        <f aca="false">IF($A17="","",IFERROR('Market levels'!J17/'Market levels'!I17-1,""))</f>
        <v>0.0511502462007294</v>
      </c>
      <c r="M17" s="33" t="n">
        <f aca="false">IF($A17="","",IFERROR(('Market levels'!O17/'Market levels'!J17)^(1/5)-1,""))</f>
        <v>0.0400035541568586</v>
      </c>
      <c r="N17" s="34" t="n">
        <f aca="false">IF($A17="","",IFERROR('Market levels'!U17/'Market levels'!I17,""))</f>
        <v>0.318157287683266</v>
      </c>
      <c r="O17" s="33" t="n">
        <f aca="false">IF($A17="","",IFERROR(('Market levels'!U17/'Market levels'!P17)^(1/5)-1,""))</f>
        <v>-0.000172368597403549</v>
      </c>
      <c r="P17" s="33" t="n">
        <f aca="false">IF($A17="","",IFERROR('Market levels'!V17/'Market levels'!U17-1,""))</f>
        <v>0.0357060445232513</v>
      </c>
      <c r="Q17" s="33" t="n">
        <f aca="false">IF($A17="","",IFERROR(('Market levels'!AA17/'Market levels'!V17)^(1/5)-1,""))</f>
        <v>0.0541595511445643</v>
      </c>
      <c r="R17" s="33" t="n">
        <f aca="false">IF($A17="","",IFERROR(('Market levels'!AG17/'Market levels'!AB17)^(1/5)-1,""))</f>
        <v>-0.0048417679935393</v>
      </c>
      <c r="S17" s="33" t="n">
        <f aca="false">IF($A17="","",IFERROR('Market levels'!AH17/'Market levels'!AG17-1,""))</f>
        <v>0.0583567253892274</v>
      </c>
      <c r="T17" s="33" t="n">
        <f aca="false">IF($A17="","",IFERROR(('Market levels'!AM17/'Market levels'!AH17)^(1/5)-1,""))</f>
        <v>0.0332746428625212</v>
      </c>
      <c r="U17" s="31" t="n">
        <v>0.9</v>
      </c>
      <c r="V17" s="32" t="n">
        <v>0.07</v>
      </c>
      <c r="W17" s="32" t="n">
        <v>0.06</v>
      </c>
      <c r="X17" s="32" t="n">
        <v>0.08</v>
      </c>
      <c r="Y17" s="32"/>
      <c r="Z17" s="32"/>
      <c r="AA17" s="17" t="n">
        <v>3</v>
      </c>
      <c r="AB17" s="17" t="n">
        <v>3</v>
      </c>
      <c r="AC17" s="17" t="n">
        <v>3</v>
      </c>
      <c r="AD17" s="17" t="n">
        <v>3</v>
      </c>
    </row>
    <row r="18" customFormat="false" ht="15" hidden="false" customHeight="false" outlineLevel="0" collapsed="false">
      <c r="A18" s="14" t="s">
        <v>171</v>
      </c>
      <c r="B18" s="14" t="s">
        <v>215</v>
      </c>
      <c r="C18" s="14" t="s">
        <v>209</v>
      </c>
      <c r="D18" s="14" t="s">
        <v>210</v>
      </c>
      <c r="E18" s="14" t="s">
        <v>171</v>
      </c>
      <c r="F18" s="30" t="n">
        <f aca="false">IF($A18="","",'Market levels'!I18)</f>
        <v>1964.39</v>
      </c>
      <c r="G18" s="31" t="n">
        <v>34</v>
      </c>
      <c r="H18" s="32"/>
      <c r="I18" s="32"/>
      <c r="J18" s="31" t="n">
        <v>13</v>
      </c>
      <c r="K18" s="33" t="n">
        <f aca="false">IF($A18="","",IFERROR(('Market levels'!I18/'Market levels'!D18)^(1/5)-1,""))</f>
        <v>-0.0033333537733401</v>
      </c>
      <c r="L18" s="33" t="n">
        <f aca="false">IF($A18="","",IFERROR('Market levels'!J18/'Market levels'!I18-1,""))</f>
        <v>0.0869175672855187</v>
      </c>
      <c r="M18" s="33" t="n">
        <f aca="false">IF($A18="","",IFERROR(('Market levels'!O18/'Market levels'!J18)^(1/5)-1,""))</f>
        <v>0.00646351483566021</v>
      </c>
      <c r="N18" s="34" t="n">
        <f aca="false">IF($A18="","",IFERROR('Market levels'!U18/'Market levels'!I18,""))</f>
        <v>0.530159489714364</v>
      </c>
      <c r="O18" s="33" t="n">
        <f aca="false">IF($A18="","",IFERROR(('Market levels'!U18/'Market levels'!P18)^(1/5)-1,""))</f>
        <v>0.026370963125081</v>
      </c>
      <c r="P18" s="33" t="n">
        <f aca="false">IF($A18="","",IFERROR('Market levels'!V18/'Market levels'!U18-1,""))</f>
        <v>-0.0169188815486249</v>
      </c>
      <c r="Q18" s="33" t="n">
        <f aca="false">IF($A18="","",IFERROR(('Market levels'!AA18/'Market levels'!V18)^(1/5)-1,""))</f>
        <v>0.0528241378587315</v>
      </c>
      <c r="R18" s="33" t="n">
        <f aca="false">IF($A18="","",IFERROR(('Market levels'!AG18/'Market levels'!AB18)^(1/5)-1,""))</f>
        <v>-0.0314966623547504</v>
      </c>
      <c r="S18" s="33" t="n">
        <f aca="false">IF($A18="","",IFERROR('Market levels'!AH18/'Market levels'!AG18-1,""))</f>
        <v>0.20408472831681</v>
      </c>
      <c r="T18" s="33" t="n">
        <f aca="false">IF($A18="","",IFERROR(('Market levels'!AM18/'Market levels'!AH18)^(1/5)-1,""))</f>
        <v>-0.0454546149649131</v>
      </c>
      <c r="U18" s="31" t="n">
        <v>0.6</v>
      </c>
      <c r="V18" s="32" t="n">
        <v>0.05</v>
      </c>
      <c r="W18" s="32" t="n">
        <v>0.03</v>
      </c>
      <c r="X18" s="32" t="n">
        <v>0.06</v>
      </c>
      <c r="Y18" s="32"/>
      <c r="Z18" s="32"/>
      <c r="AA18" s="17" t="n">
        <v>2</v>
      </c>
      <c r="AB18" s="17" t="n">
        <v>3</v>
      </c>
      <c r="AC18" s="17" t="n">
        <v>2</v>
      </c>
      <c r="AD18" s="17" t="n">
        <v>3</v>
      </c>
    </row>
    <row r="19" customFormat="false" ht="15" hidden="false" customHeight="false" outlineLevel="0" collapsed="false">
      <c r="A19" s="14" t="s">
        <v>171</v>
      </c>
      <c r="B19" s="14" t="s">
        <v>215</v>
      </c>
      <c r="C19" s="14" t="s">
        <v>209</v>
      </c>
      <c r="D19" s="14" t="s">
        <v>211</v>
      </c>
      <c r="E19" s="14" t="s">
        <v>171</v>
      </c>
      <c r="F19" s="30" t="n">
        <f aca="false">IF($A19="","",'Market levels'!I19)</f>
        <v>1964.39</v>
      </c>
      <c r="G19" s="31" t="n">
        <v>12</v>
      </c>
      <c r="H19" s="32"/>
      <c r="I19" s="32"/>
      <c r="J19" s="31" t="n">
        <v>3</v>
      </c>
      <c r="K19" s="33" t="n">
        <f aca="false">IF($A19="","",IFERROR(('Market levels'!I19/'Market levels'!D19)^(1/5)-1,""))</f>
        <v>-0.0033333537733401</v>
      </c>
      <c r="L19" s="33" t="n">
        <f aca="false">IF($A19="","",IFERROR('Market levels'!J19/'Market levels'!I19-1,""))</f>
        <v>0.0869175672855187</v>
      </c>
      <c r="M19" s="33" t="n">
        <f aca="false">IF($A19="","",IFERROR(('Market levels'!O19/'Market levels'!J19)^(1/5)-1,""))</f>
        <v>0.00646351483566021</v>
      </c>
      <c r="N19" s="34" t="n">
        <f aca="false">IF($A19="","",IFERROR('Market levels'!U19/'Market levels'!I19,""))</f>
        <v>0.530159489714364</v>
      </c>
      <c r="O19" s="33" t="n">
        <f aca="false">IF($A19="","",IFERROR(('Market levels'!U19/'Market levels'!P19)^(1/5)-1,""))</f>
        <v>0.026370963125081</v>
      </c>
      <c r="P19" s="33" t="n">
        <f aca="false">IF($A19="","",IFERROR('Market levels'!V19/'Market levels'!U19-1,""))</f>
        <v>-0.0169188815486249</v>
      </c>
      <c r="Q19" s="33" t="n">
        <f aca="false">IF($A19="","",IFERROR(('Market levels'!AA19/'Market levels'!V19)^(1/5)-1,""))</f>
        <v>0.0528241378587315</v>
      </c>
      <c r="R19" s="33" t="n">
        <f aca="false">IF($A19="","",IFERROR(('Market levels'!AG19/'Market levels'!AB19)^(1/5)-1,""))</f>
        <v>-0.0314966623547504</v>
      </c>
      <c r="S19" s="33" t="n">
        <f aca="false">IF($A19="","",IFERROR('Market levels'!AH19/'Market levels'!AG19-1,""))</f>
        <v>0.20408472831681</v>
      </c>
      <c r="T19" s="33" t="n">
        <f aca="false">IF($A19="","",IFERROR(('Market levels'!AM19/'Market levels'!AH19)^(1/5)-1,""))</f>
        <v>-0.0454546149649131</v>
      </c>
      <c r="U19" s="31" t="n">
        <v>0.1</v>
      </c>
      <c r="V19" s="32" t="n">
        <v>0.065</v>
      </c>
      <c r="W19" s="32" t="n">
        <v>0.045</v>
      </c>
      <c r="X19" s="32" t="n">
        <v>0.075</v>
      </c>
      <c r="Y19" s="32"/>
      <c r="Z19" s="32"/>
      <c r="AA19" s="17" t="n">
        <v>2</v>
      </c>
      <c r="AB19" s="17" t="n">
        <v>3</v>
      </c>
      <c r="AC19" s="17" t="n">
        <v>2</v>
      </c>
      <c r="AD19" s="17" t="n">
        <v>3</v>
      </c>
    </row>
    <row r="20" customFormat="false" ht="15" hidden="false" customHeight="false" outlineLevel="0" collapsed="false">
      <c r="A20" s="14" t="s">
        <v>171</v>
      </c>
      <c r="B20" s="14" t="s">
        <v>215</v>
      </c>
      <c r="C20" s="14" t="s">
        <v>209</v>
      </c>
      <c r="D20" s="14" t="s">
        <v>212</v>
      </c>
      <c r="E20" s="14" t="s">
        <v>171</v>
      </c>
      <c r="F20" s="30" t="n">
        <f aca="false">IF($A20="","",'Market levels'!I20)</f>
        <v>1964.39</v>
      </c>
      <c r="G20" s="31" t="n">
        <v>19</v>
      </c>
      <c r="H20" s="32"/>
      <c r="I20" s="32"/>
      <c r="J20" s="31" t="n">
        <v>6</v>
      </c>
      <c r="K20" s="33" t="n">
        <f aca="false">IF($A20="","",IFERROR(('Market levels'!I20/'Market levels'!D20)^(1/5)-1,""))</f>
        <v>-0.0033333537733401</v>
      </c>
      <c r="L20" s="33" t="n">
        <f aca="false">IF($A20="","",IFERROR('Market levels'!J20/'Market levels'!I20-1,""))</f>
        <v>0.0869175672855187</v>
      </c>
      <c r="M20" s="33" t="n">
        <f aca="false">IF($A20="","",IFERROR(('Market levels'!O20/'Market levels'!J20)^(1/5)-1,""))</f>
        <v>0.00646351483566021</v>
      </c>
      <c r="N20" s="34" t="n">
        <f aca="false">IF($A20="","",IFERROR('Market levels'!U20/'Market levels'!I20,""))</f>
        <v>0.530159489714364</v>
      </c>
      <c r="O20" s="33" t="n">
        <f aca="false">IF($A20="","",IFERROR(('Market levels'!U20/'Market levels'!P20)^(1/5)-1,""))</f>
        <v>0.026370963125081</v>
      </c>
      <c r="P20" s="33" t="n">
        <f aca="false">IF($A20="","",IFERROR('Market levels'!V20/'Market levels'!U20-1,""))</f>
        <v>-0.0169188815486249</v>
      </c>
      <c r="Q20" s="33" t="n">
        <f aca="false">IF($A20="","",IFERROR(('Market levels'!AA20/'Market levels'!V20)^(1/5)-1,""))</f>
        <v>0.0528241378587315</v>
      </c>
      <c r="R20" s="33" t="n">
        <f aca="false">IF($A20="","",IFERROR(('Market levels'!AG20/'Market levels'!AB20)^(1/5)-1,""))</f>
        <v>-0.0314966623547504</v>
      </c>
      <c r="S20" s="33" t="n">
        <f aca="false">IF($A20="","",IFERROR('Market levels'!AH20/'Market levels'!AG20-1,""))</f>
        <v>0.20408472831681</v>
      </c>
      <c r="T20" s="33" t="n">
        <f aca="false">IF($A20="","",IFERROR(('Market levels'!AM20/'Market levels'!AH20)^(1/5)-1,""))</f>
        <v>-0.0454546149649131</v>
      </c>
      <c r="U20" s="31" t="n">
        <v>0.2</v>
      </c>
      <c r="V20" s="32" t="n">
        <v>0.055</v>
      </c>
      <c r="W20" s="32" t="n">
        <v>0.035</v>
      </c>
      <c r="X20" s="32" t="n">
        <v>0.065</v>
      </c>
      <c r="Y20" s="32"/>
      <c r="Z20" s="32"/>
      <c r="AA20" s="17" t="n">
        <v>2</v>
      </c>
      <c r="AB20" s="17" t="n">
        <v>3</v>
      </c>
      <c r="AC20" s="17" t="n">
        <v>2</v>
      </c>
      <c r="AD20" s="17" t="n">
        <v>3</v>
      </c>
    </row>
    <row r="21" customFormat="false" ht="15" hidden="false" customHeight="false" outlineLevel="0" collapsed="false">
      <c r="A21" s="14" t="s">
        <v>171</v>
      </c>
      <c r="B21" s="14" t="s">
        <v>215</v>
      </c>
      <c r="C21" s="14" t="s">
        <v>213</v>
      </c>
      <c r="D21" s="14" t="s">
        <v>210</v>
      </c>
      <c r="E21" s="14" t="s">
        <v>171</v>
      </c>
      <c r="F21" s="30" t="n">
        <f aca="false">IF($A21="","",'Market levels'!I21)</f>
        <v>3843.27</v>
      </c>
      <c r="G21" s="31" t="n">
        <v>62</v>
      </c>
      <c r="H21" s="32"/>
      <c r="I21" s="32"/>
      <c r="J21" s="31" t="n">
        <v>24</v>
      </c>
      <c r="K21" s="33" t="n">
        <f aca="false">IF($A21="","",IFERROR(('Market levels'!I21/'Market levels'!D21)^(1/5)-1,""))</f>
        <v>0.00844826606355431</v>
      </c>
      <c r="L21" s="33" t="n">
        <f aca="false">IF($A21="","",IFERROR('Market levels'!J21/'Market levels'!I21-1,""))</f>
        <v>0.116684490030625</v>
      </c>
      <c r="M21" s="33" t="n">
        <f aca="false">IF($A21="","",IFERROR(('Market levels'!O21/'Market levels'!J21)^(1/5)-1,""))</f>
        <v>0.0268761815236398</v>
      </c>
      <c r="N21" s="34" t="n">
        <f aca="false">IF($A21="","",IFERROR('Market levels'!U21/'Market levels'!I21,""))</f>
        <v>0.49522411904446</v>
      </c>
      <c r="O21" s="33" t="n">
        <f aca="false">IF($A21="","",IFERROR(('Market levels'!U21/'Market levels'!P21)^(1/5)-1,""))</f>
        <v>0.0431067043011753</v>
      </c>
      <c r="P21" s="33" t="n">
        <f aca="false">IF($A21="","",IFERROR('Market levels'!V21/'Market levels'!U21-1,""))</f>
        <v>0.137299819259384</v>
      </c>
      <c r="Q21" s="33" t="n">
        <f aca="false">IF($A21="","",IFERROR(('Market levels'!AA21/'Market levels'!V21)^(1/5)-1,""))</f>
        <v>0.00749737665613659</v>
      </c>
      <c r="R21" s="33" t="n">
        <f aca="false">IF($A21="","",IFERROR(('Market levels'!AG21/'Market levels'!AB21)^(1/5)-1,""))</f>
        <v>-0.0197775033065249</v>
      </c>
      <c r="S21" s="33" t="n">
        <f aca="false">IF($A21="","",IFERROR('Market levels'!AH21/'Market levels'!AG21-1,""))</f>
        <v>0.0964592600992789</v>
      </c>
      <c r="T21" s="33" t="n">
        <f aca="false">IF($A21="","",IFERROR(('Market levels'!AM21/'Market levels'!AH21)^(1/5)-1,""))</f>
        <v>0.0452003053264212</v>
      </c>
      <c r="U21" s="31" t="n">
        <v>0.9</v>
      </c>
      <c r="V21" s="32" t="n">
        <v>0.055</v>
      </c>
      <c r="W21" s="32" t="n">
        <v>0.035</v>
      </c>
      <c r="X21" s="32" t="n">
        <v>0.065</v>
      </c>
      <c r="Y21" s="32"/>
      <c r="Z21" s="32"/>
      <c r="AA21" s="17" t="n">
        <v>2</v>
      </c>
      <c r="AB21" s="17" t="n">
        <v>3</v>
      </c>
      <c r="AC21" s="17" t="n">
        <v>2</v>
      </c>
      <c r="AD21" s="17" t="n">
        <v>3</v>
      </c>
    </row>
    <row r="22" customFormat="false" ht="15" hidden="false" customHeight="false" outlineLevel="0" collapsed="false">
      <c r="A22" s="14" t="s">
        <v>171</v>
      </c>
      <c r="B22" s="14" t="s">
        <v>215</v>
      </c>
      <c r="C22" s="14" t="s">
        <v>213</v>
      </c>
      <c r="D22" s="14" t="s">
        <v>211</v>
      </c>
      <c r="E22" s="14" t="s">
        <v>171</v>
      </c>
      <c r="F22" s="30" t="n">
        <f aca="false">IF($A22="","",'Market levels'!I22)</f>
        <v>3843.27</v>
      </c>
      <c r="G22" s="31" t="n">
        <v>24</v>
      </c>
      <c r="H22" s="32"/>
      <c r="I22" s="32"/>
      <c r="J22" s="31" t="n">
        <v>6</v>
      </c>
      <c r="K22" s="33" t="n">
        <f aca="false">IF($A22="","",IFERROR(('Market levels'!I22/'Market levels'!D22)^(1/5)-1,""))</f>
        <v>0.00844826606355431</v>
      </c>
      <c r="L22" s="33" t="n">
        <f aca="false">IF($A22="","",IFERROR('Market levels'!J22/'Market levels'!I22-1,""))</f>
        <v>0.116684490030625</v>
      </c>
      <c r="M22" s="33" t="n">
        <f aca="false">IF($A22="","",IFERROR(('Market levels'!O22/'Market levels'!J22)^(1/5)-1,""))</f>
        <v>0.0268761815236398</v>
      </c>
      <c r="N22" s="34" t="n">
        <f aca="false">IF($A22="","",IFERROR('Market levels'!U22/'Market levels'!I22,""))</f>
        <v>0.49522411904446</v>
      </c>
      <c r="O22" s="33" t="n">
        <f aca="false">IF($A22="","",IFERROR(('Market levels'!U22/'Market levels'!P22)^(1/5)-1,""))</f>
        <v>0.0431067043011753</v>
      </c>
      <c r="P22" s="33" t="n">
        <f aca="false">IF($A22="","",IFERROR('Market levels'!V22/'Market levels'!U22-1,""))</f>
        <v>0.137299819259384</v>
      </c>
      <c r="Q22" s="33" t="n">
        <f aca="false">IF($A22="","",IFERROR(('Market levels'!AA22/'Market levels'!V22)^(1/5)-1,""))</f>
        <v>0.00749737665613659</v>
      </c>
      <c r="R22" s="33" t="n">
        <f aca="false">IF($A22="","",IFERROR(('Market levels'!AG22/'Market levels'!AB22)^(1/5)-1,""))</f>
        <v>-0.0197775033065249</v>
      </c>
      <c r="S22" s="33" t="n">
        <f aca="false">IF($A22="","",IFERROR('Market levels'!AH22/'Market levels'!AG22-1,""))</f>
        <v>0.0964592600992789</v>
      </c>
      <c r="T22" s="33" t="n">
        <f aca="false">IF($A22="","",IFERROR(('Market levels'!AM22/'Market levels'!AH22)^(1/5)-1,""))</f>
        <v>0.0452003053264212</v>
      </c>
      <c r="U22" s="31" t="n">
        <v>0.1</v>
      </c>
      <c r="V22" s="32" t="n">
        <v>0.07</v>
      </c>
      <c r="W22" s="32" t="n">
        <v>0.05</v>
      </c>
      <c r="X22" s="32" t="n">
        <v>0.08</v>
      </c>
      <c r="Y22" s="32"/>
      <c r="Z22" s="32"/>
      <c r="AA22" s="17" t="n">
        <v>2</v>
      </c>
      <c r="AB22" s="17" t="n">
        <v>3</v>
      </c>
      <c r="AC22" s="17" t="n">
        <v>2</v>
      </c>
      <c r="AD22" s="17" t="n">
        <v>3</v>
      </c>
    </row>
    <row r="23" customFormat="false" ht="15" hidden="false" customHeight="false" outlineLevel="0" collapsed="false">
      <c r="A23" s="14" t="s">
        <v>171</v>
      </c>
      <c r="B23" s="14" t="s">
        <v>215</v>
      </c>
      <c r="C23" s="14" t="s">
        <v>213</v>
      </c>
      <c r="D23" s="14" t="s">
        <v>212</v>
      </c>
      <c r="E23" s="14" t="s">
        <v>171</v>
      </c>
      <c r="F23" s="30" t="n">
        <f aca="false">IF($A23="","",'Market levels'!I23)</f>
        <v>3843.27</v>
      </c>
      <c r="G23" s="31" t="n">
        <v>38</v>
      </c>
      <c r="H23" s="32"/>
      <c r="I23" s="32"/>
      <c r="J23" s="31" t="n">
        <v>12</v>
      </c>
      <c r="K23" s="33" t="n">
        <f aca="false">IF($A23="","",IFERROR(('Market levels'!I23/'Market levels'!D23)^(1/5)-1,""))</f>
        <v>0.00844826606355431</v>
      </c>
      <c r="L23" s="33" t="n">
        <f aca="false">IF($A23="","",IFERROR('Market levels'!J23/'Market levels'!I23-1,""))</f>
        <v>0.116684490030625</v>
      </c>
      <c r="M23" s="33" t="n">
        <f aca="false">IF($A23="","",IFERROR(('Market levels'!O23/'Market levels'!J23)^(1/5)-1,""))</f>
        <v>0.0268761815236398</v>
      </c>
      <c r="N23" s="34" t="n">
        <f aca="false">IF($A23="","",IFERROR('Market levels'!U23/'Market levels'!I23,""))</f>
        <v>0.49522411904446</v>
      </c>
      <c r="O23" s="33" t="n">
        <f aca="false">IF($A23="","",IFERROR(('Market levels'!U23/'Market levels'!P23)^(1/5)-1,""))</f>
        <v>0.0431067043011753</v>
      </c>
      <c r="P23" s="33" t="n">
        <f aca="false">IF($A23="","",IFERROR('Market levels'!V23/'Market levels'!U23-1,""))</f>
        <v>0.137299819259384</v>
      </c>
      <c r="Q23" s="33" t="n">
        <f aca="false">IF($A23="","",IFERROR(('Market levels'!AA23/'Market levels'!V23)^(1/5)-1,""))</f>
        <v>0.00749737665613659</v>
      </c>
      <c r="R23" s="33" t="n">
        <f aca="false">IF($A23="","",IFERROR(('Market levels'!AG23/'Market levels'!AB23)^(1/5)-1,""))</f>
        <v>-0.0197775033065249</v>
      </c>
      <c r="S23" s="33" t="n">
        <f aca="false">IF($A23="","",IFERROR('Market levels'!AH23/'Market levels'!AG23-1,""))</f>
        <v>0.0964592600992789</v>
      </c>
      <c r="T23" s="33" t="n">
        <f aca="false">IF($A23="","",IFERROR(('Market levels'!AM23/'Market levels'!AH23)^(1/5)-1,""))</f>
        <v>0.0452003053264212</v>
      </c>
      <c r="U23" s="31" t="n">
        <v>0.3</v>
      </c>
      <c r="V23" s="32" t="n">
        <v>0.06</v>
      </c>
      <c r="W23" s="32" t="n">
        <v>0.04</v>
      </c>
      <c r="X23" s="32" t="n">
        <v>0.07</v>
      </c>
      <c r="Y23" s="32"/>
      <c r="Z23" s="32"/>
      <c r="AA23" s="17" t="n">
        <v>2</v>
      </c>
      <c r="AB23" s="17" t="n">
        <v>3</v>
      </c>
      <c r="AC23" s="17" t="n">
        <v>2</v>
      </c>
      <c r="AD23" s="17" t="n">
        <v>3</v>
      </c>
    </row>
    <row r="24" customFormat="false" ht="15" hidden="false" customHeight="false" outlineLevel="0" collapsed="false">
      <c r="A24" s="14" t="s">
        <v>177</v>
      </c>
      <c r="B24" s="14" t="s">
        <v>216</v>
      </c>
      <c r="C24" s="14" t="s">
        <v>209</v>
      </c>
      <c r="D24" s="14" t="s">
        <v>210</v>
      </c>
      <c r="E24" s="14" t="s">
        <v>177</v>
      </c>
      <c r="F24" s="30" t="n">
        <f aca="false">IF($A24="","",'Market levels'!I24)</f>
        <v>29129.26</v>
      </c>
      <c r="G24" s="31" t="n">
        <v>268</v>
      </c>
      <c r="H24" s="32"/>
      <c r="I24" s="32"/>
      <c r="J24" s="31" t="n">
        <v>177</v>
      </c>
      <c r="K24" s="33" t="n">
        <f aca="false">IF($A24="","",IFERROR(('Market levels'!I24/'Market levels'!D24)^(1/5)-1,""))</f>
        <v>0.0163457022077107</v>
      </c>
      <c r="L24" s="33" t="n">
        <f aca="false">IF($A24="","",IFERROR('Market levels'!J24/'Market levels'!I24-1,""))</f>
        <v>0.0131534409044378</v>
      </c>
      <c r="M24" s="33" t="n">
        <f aca="false">IF($A24="","",IFERROR(('Market levels'!O24/'Market levels'!J24)^(1/5)-1,""))</f>
        <v>0.0289869339370692</v>
      </c>
      <c r="N24" s="34" t="n">
        <f aca="false">IF($A24="","",IFERROR('Market levels'!U24/'Market levels'!I24,""))</f>
        <v>0.613365049438262</v>
      </c>
      <c r="O24" s="33" t="n">
        <f aca="false">IF($A24="","",IFERROR(('Market levels'!U24/'Market levels'!P24)^(1/5)-1,""))</f>
        <v>0.0387654221228175</v>
      </c>
      <c r="P24" s="33" t="n">
        <f aca="false">IF($A24="","",IFERROR('Market levels'!V24/'Market levels'!U24-1,""))</f>
        <v>0.00339175244460854</v>
      </c>
      <c r="Q24" s="33" t="n">
        <f aca="false">IF($A24="","",IFERROR(('Market levels'!AA24/'Market levels'!V24)^(1/5)-1,""))</f>
        <v>0.0349653818762163</v>
      </c>
      <c r="R24" s="33" t="n">
        <f aca="false">IF($A24="","",IFERROR(('Market levels'!AG24/'Market levels'!AB24)^(1/5)-1,""))</f>
        <v>-0.0140534901957474</v>
      </c>
      <c r="S24" s="33" t="n">
        <f aca="false">IF($A24="","",IFERROR('Market levels'!AH24/'Market levels'!AG24-1,""))</f>
        <v>0.0286395693986801</v>
      </c>
      <c r="T24" s="33" t="n">
        <f aca="false">IF($A24="","",IFERROR(('Market levels'!AM24/'Market levels'!AH24)^(1/5)-1,""))</f>
        <v>0.0194522013587353</v>
      </c>
      <c r="U24" s="31" t="n">
        <v>34</v>
      </c>
      <c r="V24" s="32" t="n">
        <v>0.035</v>
      </c>
      <c r="W24" s="32" t="n">
        <v>0.02</v>
      </c>
      <c r="X24" s="32" t="n">
        <v>0.03</v>
      </c>
      <c r="Y24" s="32"/>
      <c r="Z24" s="32"/>
      <c r="AA24" s="17" t="n">
        <v>4</v>
      </c>
      <c r="AB24" s="17" t="n">
        <v>3</v>
      </c>
      <c r="AC24" s="17" t="n">
        <v>5</v>
      </c>
      <c r="AD24" s="17" t="n">
        <v>4</v>
      </c>
    </row>
    <row r="25" customFormat="false" ht="15" hidden="false" customHeight="false" outlineLevel="0" collapsed="false">
      <c r="A25" s="14" t="s">
        <v>177</v>
      </c>
      <c r="B25" s="14" t="s">
        <v>216</v>
      </c>
      <c r="C25" s="14" t="s">
        <v>209</v>
      </c>
      <c r="D25" s="14" t="s">
        <v>211</v>
      </c>
      <c r="E25" s="14" t="s">
        <v>177</v>
      </c>
      <c r="F25" s="30" t="n">
        <f aca="false">IF($A25="","",'Market levels'!I25)</f>
        <v>29129.26</v>
      </c>
      <c r="G25" s="31" t="n">
        <v>152</v>
      </c>
      <c r="H25" s="32"/>
      <c r="I25" s="32"/>
      <c r="J25" s="31" t="n">
        <v>64</v>
      </c>
      <c r="K25" s="33" t="n">
        <f aca="false">IF($A25="","",IFERROR(('Market levels'!I25/'Market levels'!D25)^(1/5)-1,""))</f>
        <v>0.0163457022077107</v>
      </c>
      <c r="L25" s="33" t="n">
        <f aca="false">IF($A25="","",IFERROR('Market levels'!J25/'Market levels'!I25-1,""))</f>
        <v>0.0131534409044378</v>
      </c>
      <c r="M25" s="33" t="n">
        <f aca="false">IF($A25="","",IFERROR(('Market levels'!O25/'Market levels'!J25)^(1/5)-1,""))</f>
        <v>0.0289869339370692</v>
      </c>
      <c r="N25" s="34" t="n">
        <f aca="false">IF($A25="","",IFERROR('Market levels'!U25/'Market levels'!I25,""))</f>
        <v>0.613365049438262</v>
      </c>
      <c r="O25" s="33" t="n">
        <f aca="false">IF($A25="","",IFERROR(('Market levels'!U25/'Market levels'!P25)^(1/5)-1,""))</f>
        <v>0.0387654221228175</v>
      </c>
      <c r="P25" s="33" t="n">
        <f aca="false">IF($A25="","",IFERROR('Market levels'!V25/'Market levels'!U25-1,""))</f>
        <v>0.00339175244460854</v>
      </c>
      <c r="Q25" s="33" t="n">
        <f aca="false">IF($A25="","",IFERROR(('Market levels'!AA25/'Market levels'!V25)^(1/5)-1,""))</f>
        <v>0.0349653818762163</v>
      </c>
      <c r="R25" s="33" t="n">
        <f aca="false">IF($A25="","",IFERROR(('Market levels'!AG25/'Market levels'!AB25)^(1/5)-1,""))</f>
        <v>-0.0140534901957474</v>
      </c>
      <c r="S25" s="33" t="n">
        <f aca="false">IF($A25="","",IFERROR('Market levels'!AH25/'Market levels'!AG25-1,""))</f>
        <v>0.0286395693986801</v>
      </c>
      <c r="T25" s="33" t="n">
        <f aca="false">IF($A25="","",IFERROR(('Market levels'!AM25/'Market levels'!AH25)^(1/5)-1,""))</f>
        <v>0.0194522013587353</v>
      </c>
      <c r="U25" s="31" t="n">
        <v>6.1</v>
      </c>
      <c r="V25" s="32" t="n">
        <v>0.05</v>
      </c>
      <c r="W25" s="32" t="n">
        <v>0.035</v>
      </c>
      <c r="X25" s="32" t="n">
        <v>0.045</v>
      </c>
      <c r="Y25" s="32"/>
      <c r="Z25" s="32"/>
      <c r="AA25" s="17" t="n">
        <v>4</v>
      </c>
      <c r="AB25" s="17" t="n">
        <v>3</v>
      </c>
      <c r="AC25" s="17" t="n">
        <v>5</v>
      </c>
      <c r="AD25" s="17" t="n">
        <v>4</v>
      </c>
    </row>
    <row r="26" customFormat="false" ht="15" hidden="false" customHeight="false" outlineLevel="0" collapsed="false">
      <c r="A26" s="14" t="s">
        <v>177</v>
      </c>
      <c r="B26" s="14" t="s">
        <v>216</v>
      </c>
      <c r="C26" s="14" t="s">
        <v>209</v>
      </c>
      <c r="D26" s="14" t="s">
        <v>212</v>
      </c>
      <c r="E26" s="14" t="s">
        <v>177</v>
      </c>
      <c r="F26" s="30" t="n">
        <f aca="false">IF($A26="","",'Market levels'!I26)</f>
        <v>29129.26</v>
      </c>
      <c r="G26" s="31" t="n">
        <v>150</v>
      </c>
      <c r="H26" s="32"/>
      <c r="I26" s="32"/>
      <c r="J26" s="31" t="n">
        <v>81</v>
      </c>
      <c r="K26" s="33" t="n">
        <f aca="false">IF($A26="","",IFERROR(('Market levels'!I26/'Market levels'!D26)^(1/5)-1,""))</f>
        <v>0.0163457022077107</v>
      </c>
      <c r="L26" s="33" t="n">
        <f aca="false">IF($A26="","",IFERROR('Market levels'!J26/'Market levels'!I26-1,""))</f>
        <v>0.0131534409044378</v>
      </c>
      <c r="M26" s="33" t="n">
        <f aca="false">IF($A26="","",IFERROR(('Market levels'!O26/'Market levels'!J26)^(1/5)-1,""))</f>
        <v>0.0289869339370692</v>
      </c>
      <c r="N26" s="34" t="n">
        <f aca="false">IF($A26="","",IFERROR('Market levels'!U26/'Market levels'!I26,""))</f>
        <v>0.613365049438262</v>
      </c>
      <c r="O26" s="33" t="n">
        <f aca="false">IF($A26="","",IFERROR(('Market levels'!U26/'Market levels'!P26)^(1/5)-1,""))</f>
        <v>0.0387654221228175</v>
      </c>
      <c r="P26" s="33" t="n">
        <f aca="false">IF($A26="","",IFERROR('Market levels'!V26/'Market levels'!U26-1,""))</f>
        <v>0.00339175244460854</v>
      </c>
      <c r="Q26" s="33" t="n">
        <f aca="false">IF($A26="","",IFERROR(('Market levels'!AA26/'Market levels'!V26)^(1/5)-1,""))</f>
        <v>0.0349653818762163</v>
      </c>
      <c r="R26" s="33" t="n">
        <f aca="false">IF($A26="","",IFERROR(('Market levels'!AG26/'Market levels'!AB26)^(1/5)-1,""))</f>
        <v>-0.0140534901957474</v>
      </c>
      <c r="S26" s="33" t="n">
        <f aca="false">IF($A26="","",IFERROR('Market levels'!AH26/'Market levels'!AG26-1,""))</f>
        <v>0.0286395693986801</v>
      </c>
      <c r="T26" s="33" t="n">
        <f aca="false">IF($A26="","",IFERROR(('Market levels'!AM26/'Market levels'!AH26)^(1/5)-1,""))</f>
        <v>0.0194522013587353</v>
      </c>
      <c r="U26" s="31" t="n">
        <v>11.7</v>
      </c>
      <c r="V26" s="32" t="n">
        <v>0.04</v>
      </c>
      <c r="W26" s="32" t="n">
        <v>0.025</v>
      </c>
      <c r="X26" s="32" t="n">
        <v>0.035</v>
      </c>
      <c r="Y26" s="32"/>
      <c r="Z26" s="32"/>
      <c r="AA26" s="17" t="n">
        <v>4</v>
      </c>
      <c r="AB26" s="17" t="n">
        <v>3</v>
      </c>
      <c r="AC26" s="17" t="n">
        <v>5</v>
      </c>
      <c r="AD26" s="17" t="n">
        <v>4</v>
      </c>
    </row>
    <row r="27" customFormat="false" ht="15" hidden="false" customHeight="false" outlineLevel="0" collapsed="false">
      <c r="A27" s="14" t="s">
        <v>177</v>
      </c>
      <c r="B27" s="14" t="s">
        <v>216</v>
      </c>
      <c r="C27" s="14" t="s">
        <v>213</v>
      </c>
      <c r="D27" s="14" t="s">
        <v>210</v>
      </c>
      <c r="E27" s="14" t="s">
        <v>177</v>
      </c>
      <c r="F27" s="30" t="n">
        <f aca="false">IF($A27="","",'Market levels'!I27)</f>
        <v>24549.72</v>
      </c>
      <c r="G27" s="31" t="n">
        <v>226</v>
      </c>
      <c r="H27" s="32"/>
      <c r="I27" s="32"/>
      <c r="J27" s="31" t="n">
        <v>149</v>
      </c>
      <c r="K27" s="33" t="n">
        <f aca="false">IF($A27="","",IFERROR(('Market levels'!I27/'Market levels'!D27)^(1/5)-1,""))</f>
        <v>0.0241636167909041</v>
      </c>
      <c r="L27" s="33" t="n">
        <f aca="false">IF($A27="","",IFERROR('Market levels'!J27/'Market levels'!I27-1,""))</f>
        <v>0.0267648673793428</v>
      </c>
      <c r="M27" s="33" t="n">
        <f aca="false">IF($A27="","",IFERROR(('Market levels'!O27/'Market levels'!J27)^(1/5)-1,""))</f>
        <v>0.0289147714067022</v>
      </c>
      <c r="N27" s="34" t="n">
        <f aca="false">IF($A27="","",IFERROR('Market levels'!U27/'Market levels'!I27,""))</f>
        <v>0.429948284542553</v>
      </c>
      <c r="O27" s="33" t="n">
        <f aca="false">IF($A27="","",IFERROR(('Market levels'!U27/'Market levels'!P27)^(1/5)-1,""))</f>
        <v>0.00692442654922432</v>
      </c>
      <c r="P27" s="33" t="n">
        <f aca="false">IF($A27="","",IFERROR('Market levels'!V27/'Market levels'!U27-1,""))</f>
        <v>0.0252759090146857</v>
      </c>
      <c r="Q27" s="33" t="n">
        <f aca="false">IF($A27="","",IFERROR(('Market levels'!AA27/'Market levels'!V27)^(1/5)-1,""))</f>
        <v>0.0379030127118749</v>
      </c>
      <c r="R27" s="33" t="n">
        <f aca="false">IF($A27="","",IFERROR(('Market levels'!AG27/'Market levels'!AB27)^(1/5)-1,""))</f>
        <v>0.0384261657086995</v>
      </c>
      <c r="S27" s="33" t="n">
        <f aca="false">IF($A27="","",IFERROR('Market levels'!AH27/'Market levels'!AG27-1,""))</f>
        <v>0.0278878796908235</v>
      </c>
      <c r="T27" s="33" t="n">
        <f aca="false">IF($A27="","",IFERROR(('Market levels'!AM27/'Market levels'!AH27)^(1/5)-1,""))</f>
        <v>0.0219397195404747</v>
      </c>
      <c r="U27" s="31" t="n">
        <v>24.1</v>
      </c>
      <c r="V27" s="32" t="n">
        <v>0.04</v>
      </c>
      <c r="W27" s="32" t="n">
        <v>0.025</v>
      </c>
      <c r="X27" s="32" t="n">
        <v>0.035</v>
      </c>
      <c r="Y27" s="32"/>
      <c r="Z27" s="32"/>
      <c r="AA27" s="17" t="n">
        <v>4</v>
      </c>
      <c r="AB27" s="17" t="n">
        <v>3</v>
      </c>
      <c r="AC27" s="17" t="n">
        <v>5</v>
      </c>
      <c r="AD27" s="17" t="n">
        <v>4</v>
      </c>
    </row>
    <row r="28" customFormat="false" ht="15" hidden="false" customHeight="false" outlineLevel="0" collapsed="false">
      <c r="A28" s="14" t="s">
        <v>177</v>
      </c>
      <c r="B28" s="14" t="s">
        <v>216</v>
      </c>
      <c r="C28" s="14" t="s">
        <v>213</v>
      </c>
      <c r="D28" s="14" t="s">
        <v>211</v>
      </c>
      <c r="E28" s="14" t="s">
        <v>177</v>
      </c>
      <c r="F28" s="30" t="n">
        <f aca="false">IF($A28="","",'Market levels'!I28)</f>
        <v>24549.72</v>
      </c>
      <c r="G28" s="31" t="n">
        <v>129</v>
      </c>
      <c r="H28" s="32"/>
      <c r="I28" s="32"/>
      <c r="J28" s="31" t="n">
        <v>54</v>
      </c>
      <c r="K28" s="33" t="n">
        <f aca="false">IF($A28="","",IFERROR(('Market levels'!I28/'Market levels'!D28)^(1/5)-1,""))</f>
        <v>0.0241636167909041</v>
      </c>
      <c r="L28" s="33" t="n">
        <f aca="false">IF($A28="","",IFERROR('Market levels'!J28/'Market levels'!I28-1,""))</f>
        <v>0.0267648673793428</v>
      </c>
      <c r="M28" s="33" t="n">
        <f aca="false">IF($A28="","",IFERROR(('Market levels'!O28/'Market levels'!J28)^(1/5)-1,""))</f>
        <v>0.0289147714067022</v>
      </c>
      <c r="N28" s="34" t="n">
        <f aca="false">IF($A28="","",IFERROR('Market levels'!U28/'Market levels'!I28,""))</f>
        <v>0.429948284542553</v>
      </c>
      <c r="O28" s="33" t="n">
        <f aca="false">IF($A28="","",IFERROR(('Market levels'!U28/'Market levels'!P28)^(1/5)-1,""))</f>
        <v>0.00692442654922432</v>
      </c>
      <c r="P28" s="33" t="n">
        <f aca="false">IF($A28="","",IFERROR('Market levels'!V28/'Market levels'!U28-1,""))</f>
        <v>0.0252759090146857</v>
      </c>
      <c r="Q28" s="33" t="n">
        <f aca="false">IF($A28="","",IFERROR(('Market levels'!AA28/'Market levels'!V28)^(1/5)-1,""))</f>
        <v>0.0379030127118749</v>
      </c>
      <c r="R28" s="33" t="n">
        <f aca="false">IF($A28="","",IFERROR(('Market levels'!AG28/'Market levels'!AB28)^(1/5)-1,""))</f>
        <v>0.0384261657086995</v>
      </c>
      <c r="S28" s="33" t="n">
        <f aca="false">IF($A28="","",IFERROR('Market levels'!AH28/'Market levels'!AG28-1,""))</f>
        <v>0.0278878796908235</v>
      </c>
      <c r="T28" s="33" t="n">
        <f aca="false">IF($A28="","",IFERROR(('Market levels'!AM28/'Market levels'!AH28)^(1/5)-1,""))</f>
        <v>0.0219397195404747</v>
      </c>
      <c r="U28" s="31" t="n">
        <v>4.4</v>
      </c>
      <c r="V28" s="32" t="n">
        <v>0.055</v>
      </c>
      <c r="W28" s="32" t="n">
        <v>0.04</v>
      </c>
      <c r="X28" s="32" t="n">
        <v>0.05</v>
      </c>
      <c r="Y28" s="32"/>
      <c r="Z28" s="32"/>
      <c r="AA28" s="17" t="n">
        <v>4</v>
      </c>
      <c r="AB28" s="17" t="n">
        <v>3</v>
      </c>
      <c r="AC28" s="17" t="n">
        <v>5</v>
      </c>
      <c r="AD28" s="17" t="n">
        <v>4</v>
      </c>
    </row>
    <row r="29" customFormat="false" ht="15" hidden="false" customHeight="false" outlineLevel="0" collapsed="false">
      <c r="A29" s="14" t="s">
        <v>177</v>
      </c>
      <c r="B29" s="14" t="s">
        <v>216</v>
      </c>
      <c r="C29" s="14" t="s">
        <v>213</v>
      </c>
      <c r="D29" s="14" t="s">
        <v>212</v>
      </c>
      <c r="E29" s="14" t="s">
        <v>177</v>
      </c>
      <c r="F29" s="30" t="n">
        <f aca="false">IF($A29="","",'Market levels'!I29)</f>
        <v>24549.72</v>
      </c>
      <c r="G29" s="31" t="n">
        <v>126</v>
      </c>
      <c r="H29" s="32"/>
      <c r="I29" s="32"/>
      <c r="J29" s="31" t="n">
        <v>68</v>
      </c>
      <c r="K29" s="33" t="n">
        <f aca="false">IF($A29="","",IFERROR(('Market levels'!I29/'Market levels'!D29)^(1/5)-1,""))</f>
        <v>0.0241636167909041</v>
      </c>
      <c r="L29" s="33" t="n">
        <f aca="false">IF($A29="","",IFERROR('Market levels'!J29/'Market levels'!I29-1,""))</f>
        <v>0.0267648673793428</v>
      </c>
      <c r="M29" s="33" t="n">
        <f aca="false">IF($A29="","",IFERROR(('Market levels'!O29/'Market levels'!J29)^(1/5)-1,""))</f>
        <v>0.0289147714067022</v>
      </c>
      <c r="N29" s="34" t="n">
        <f aca="false">IF($A29="","",IFERROR('Market levels'!U29/'Market levels'!I29,""))</f>
        <v>0.429948284542553</v>
      </c>
      <c r="O29" s="33" t="n">
        <f aca="false">IF($A29="","",IFERROR(('Market levels'!U29/'Market levels'!P29)^(1/5)-1,""))</f>
        <v>0.00692442654922432</v>
      </c>
      <c r="P29" s="33" t="n">
        <f aca="false">IF($A29="","",IFERROR('Market levels'!V29/'Market levels'!U29-1,""))</f>
        <v>0.0252759090146857</v>
      </c>
      <c r="Q29" s="33" t="n">
        <f aca="false">IF($A29="","",IFERROR(('Market levels'!AA29/'Market levels'!V29)^(1/5)-1,""))</f>
        <v>0.0379030127118749</v>
      </c>
      <c r="R29" s="33" t="n">
        <f aca="false">IF($A29="","",IFERROR(('Market levels'!AG29/'Market levels'!AB29)^(1/5)-1,""))</f>
        <v>0.0384261657086995</v>
      </c>
      <c r="S29" s="33" t="n">
        <f aca="false">IF($A29="","",IFERROR('Market levels'!AH29/'Market levels'!AG29-1,""))</f>
        <v>0.0278878796908235</v>
      </c>
      <c r="T29" s="33" t="n">
        <f aca="false">IF($A29="","",IFERROR(('Market levels'!AM29/'Market levels'!AH29)^(1/5)-1,""))</f>
        <v>0.0219397195404747</v>
      </c>
      <c r="U29" s="31" t="n">
        <v>8.3</v>
      </c>
      <c r="V29" s="32" t="n">
        <v>0.045</v>
      </c>
      <c r="W29" s="32" t="n">
        <v>0.03</v>
      </c>
      <c r="X29" s="32" t="n">
        <v>0.04</v>
      </c>
      <c r="Y29" s="32"/>
      <c r="Z29" s="32"/>
      <c r="AA29" s="17" t="n">
        <v>4</v>
      </c>
      <c r="AB29" s="17" t="n">
        <v>3</v>
      </c>
      <c r="AC29" s="17" t="n">
        <v>5</v>
      </c>
      <c r="AD29" s="17" t="n">
        <v>4</v>
      </c>
    </row>
    <row r="30" customFormat="false" ht="15" hidden="false" customHeight="false" outlineLevel="0" collapsed="false">
      <c r="A30" s="14" t="s">
        <v>187</v>
      </c>
      <c r="B30" s="14" t="s">
        <v>217</v>
      </c>
      <c r="C30" s="14" t="s">
        <v>209</v>
      </c>
      <c r="D30" s="14" t="s">
        <v>210</v>
      </c>
      <c r="E30" s="14" t="s">
        <v>187</v>
      </c>
      <c r="F30" s="30" t="n">
        <f aca="false">IF($A30="","",'Market levels'!I30)</f>
        <v>8363.88</v>
      </c>
      <c r="G30" s="31" t="n">
        <v>123</v>
      </c>
      <c r="H30" s="32"/>
      <c r="I30" s="32"/>
      <c r="J30" s="31" t="n">
        <v>61</v>
      </c>
      <c r="K30" s="33" t="n">
        <f aca="false">IF($A30="","",IFERROR(('Market levels'!I30/'Market levels'!D30)^(1/5)-1,""))</f>
        <v>-0.000390270398990311</v>
      </c>
      <c r="L30" s="33" t="n">
        <f aca="false">IF($A30="","",IFERROR('Market levels'!J30/'Market levels'!I30-1,""))</f>
        <v>0.0205347279014041</v>
      </c>
      <c r="M30" s="33" t="n">
        <f aca="false">IF($A30="","",IFERROR(('Market levels'!O30/'Market levels'!J30)^(1/5)-1,""))</f>
        <v>0.0257026876814164</v>
      </c>
      <c r="N30" s="34" t="n">
        <f aca="false">IF($A30="","",IFERROR('Market levels'!U30/'Market levels'!I30,""))</f>
        <v>0.606806888668895</v>
      </c>
      <c r="O30" s="33" t="n">
        <f aca="false">IF($A30="","",IFERROR(('Market levels'!U30/'Market levels'!P30)^(1/5)-1,""))</f>
        <v>0.0459838541730646</v>
      </c>
      <c r="P30" s="33" t="n">
        <f aca="false">IF($A30="","",IFERROR('Market levels'!V30/'Market levels'!U30-1,""))</f>
        <v>-0.00483916094939019</v>
      </c>
      <c r="Q30" s="33" t="n">
        <f aca="false">IF($A30="","",IFERROR(('Market levels'!AA30/'Market levels'!V30)^(1/5)-1,""))</f>
        <v>0.0266223472909226</v>
      </c>
      <c r="R30" s="33" t="n">
        <f aca="false">IF($A30="","",IFERROR(('Market levels'!AG30/'Market levels'!AB30)^(1/5)-1,""))</f>
        <v>-0.0533889216975546</v>
      </c>
      <c r="S30" s="33" t="n">
        <f aca="false">IF($A30="","",IFERROR('Market levels'!AH30/'Market levels'!AG30-1,""))</f>
        <v>0.059693731717255</v>
      </c>
      <c r="T30" s="33" t="n">
        <f aca="false">IF($A30="","",IFERROR(('Market levels'!AM30/'Market levels'!AH30)^(1/5)-1,""))</f>
        <v>0.0243639450466462</v>
      </c>
      <c r="U30" s="31" t="n">
        <v>5.1</v>
      </c>
      <c r="V30" s="32" t="n">
        <v>0.01</v>
      </c>
      <c r="W30" s="32" t="n">
        <v>0</v>
      </c>
      <c r="X30" s="32" t="n">
        <v>0.035</v>
      </c>
      <c r="Y30" s="32"/>
      <c r="Z30" s="32"/>
      <c r="AA30" s="17" t="n">
        <v>4</v>
      </c>
      <c r="AB30" s="17" t="n">
        <v>3</v>
      </c>
      <c r="AC30" s="17" t="n">
        <v>3</v>
      </c>
      <c r="AD30" s="17" t="n">
        <v>3</v>
      </c>
    </row>
    <row r="31" customFormat="false" ht="15" hidden="false" customHeight="false" outlineLevel="0" collapsed="false">
      <c r="A31" s="14" t="s">
        <v>187</v>
      </c>
      <c r="B31" s="14" t="s">
        <v>217</v>
      </c>
      <c r="C31" s="14" t="s">
        <v>209</v>
      </c>
      <c r="D31" s="14" t="s">
        <v>211</v>
      </c>
      <c r="E31" s="14" t="s">
        <v>187</v>
      </c>
      <c r="F31" s="30" t="n">
        <f aca="false">IF($A31="","",'Market levels'!I31)</f>
        <v>8363.88</v>
      </c>
      <c r="G31" s="31" t="n">
        <v>22</v>
      </c>
      <c r="H31" s="32"/>
      <c r="I31" s="32"/>
      <c r="J31" s="31" t="n">
        <v>7</v>
      </c>
      <c r="K31" s="33" t="n">
        <f aca="false">IF($A31="","",IFERROR(('Market levels'!I31/'Market levels'!D31)^(1/5)-1,""))</f>
        <v>-0.000390270398990311</v>
      </c>
      <c r="L31" s="33" t="n">
        <f aca="false">IF($A31="","",IFERROR('Market levels'!J31/'Market levels'!I31-1,""))</f>
        <v>0.0205347279014041</v>
      </c>
      <c r="M31" s="33" t="n">
        <f aca="false">IF($A31="","",IFERROR(('Market levels'!O31/'Market levels'!J31)^(1/5)-1,""))</f>
        <v>0.0257026876814164</v>
      </c>
      <c r="N31" s="34" t="n">
        <f aca="false">IF($A31="","",IFERROR('Market levels'!U31/'Market levels'!I31,""))</f>
        <v>0.606806888668895</v>
      </c>
      <c r="O31" s="33" t="n">
        <f aca="false">IF($A31="","",IFERROR(('Market levels'!U31/'Market levels'!P31)^(1/5)-1,""))</f>
        <v>0.0459838541730646</v>
      </c>
      <c r="P31" s="33" t="n">
        <f aca="false">IF($A31="","",IFERROR('Market levels'!V31/'Market levels'!U31-1,""))</f>
        <v>-0.00483916094939019</v>
      </c>
      <c r="Q31" s="33" t="n">
        <f aca="false">IF($A31="","",IFERROR(('Market levels'!AA31/'Market levels'!V31)^(1/5)-1,""))</f>
        <v>0.0266223472909226</v>
      </c>
      <c r="R31" s="33" t="n">
        <f aca="false">IF($A31="","",IFERROR(('Market levels'!AG31/'Market levels'!AB31)^(1/5)-1,""))</f>
        <v>-0.0533889216975546</v>
      </c>
      <c r="S31" s="33" t="n">
        <f aca="false">IF($A31="","",IFERROR('Market levels'!AH31/'Market levels'!AG31-1,""))</f>
        <v>0.059693731717255</v>
      </c>
      <c r="T31" s="33" t="n">
        <f aca="false">IF($A31="","",IFERROR(('Market levels'!AM31/'Market levels'!AH31)^(1/5)-1,""))</f>
        <v>0.0243639450466462</v>
      </c>
      <c r="U31" s="31" t="n">
        <v>0.3</v>
      </c>
      <c r="V31" s="32" t="n">
        <v>0.025</v>
      </c>
      <c r="W31" s="32" t="n">
        <v>0.015</v>
      </c>
      <c r="X31" s="32" t="n">
        <v>0.05</v>
      </c>
      <c r="Y31" s="32"/>
      <c r="Z31" s="32"/>
      <c r="AA31" s="17" t="n">
        <v>4</v>
      </c>
      <c r="AB31" s="17" t="n">
        <v>3</v>
      </c>
      <c r="AC31" s="17" t="n">
        <v>3</v>
      </c>
      <c r="AD31" s="17" t="n">
        <v>3</v>
      </c>
    </row>
    <row r="32" customFormat="false" ht="15" hidden="false" customHeight="false" outlineLevel="0" collapsed="false">
      <c r="A32" s="14" t="s">
        <v>187</v>
      </c>
      <c r="B32" s="14" t="s">
        <v>217</v>
      </c>
      <c r="C32" s="14" t="s">
        <v>209</v>
      </c>
      <c r="D32" s="14" t="s">
        <v>212</v>
      </c>
      <c r="E32" s="14" t="s">
        <v>187</v>
      </c>
      <c r="F32" s="30" t="n">
        <f aca="false">IF($A32="","",'Market levels'!I32)</f>
        <v>8363.88</v>
      </c>
      <c r="G32" s="31" t="n">
        <v>59</v>
      </c>
      <c r="H32" s="32"/>
      <c r="I32" s="32"/>
      <c r="J32" s="31" t="n">
        <v>24</v>
      </c>
      <c r="K32" s="33" t="n">
        <f aca="false">IF($A32="","",IFERROR(('Market levels'!I32/'Market levels'!D32)^(1/5)-1,""))</f>
        <v>-0.000390270398990311</v>
      </c>
      <c r="L32" s="33" t="n">
        <f aca="false">IF($A32="","",IFERROR('Market levels'!J32/'Market levels'!I32-1,""))</f>
        <v>0.0205347279014041</v>
      </c>
      <c r="M32" s="33" t="n">
        <f aca="false">IF($A32="","",IFERROR(('Market levels'!O32/'Market levels'!J32)^(1/5)-1,""))</f>
        <v>0.0257026876814164</v>
      </c>
      <c r="N32" s="34" t="n">
        <f aca="false">IF($A32="","",IFERROR('Market levels'!U32/'Market levels'!I32,""))</f>
        <v>0.606806888668895</v>
      </c>
      <c r="O32" s="33" t="n">
        <f aca="false">IF($A32="","",IFERROR(('Market levels'!U32/'Market levels'!P32)^(1/5)-1,""))</f>
        <v>0.0459838541730646</v>
      </c>
      <c r="P32" s="33" t="n">
        <f aca="false">IF($A32="","",IFERROR('Market levels'!V32/'Market levels'!U32-1,""))</f>
        <v>-0.00483916094939019</v>
      </c>
      <c r="Q32" s="33" t="n">
        <f aca="false">IF($A32="","",IFERROR(('Market levels'!AA32/'Market levels'!V32)^(1/5)-1,""))</f>
        <v>0.0266223472909226</v>
      </c>
      <c r="R32" s="33" t="n">
        <f aca="false">IF($A32="","",IFERROR(('Market levels'!AG32/'Market levels'!AB32)^(1/5)-1,""))</f>
        <v>-0.0533889216975546</v>
      </c>
      <c r="S32" s="33" t="n">
        <f aca="false">IF($A32="","",IFERROR('Market levels'!AH32/'Market levels'!AG32-1,""))</f>
        <v>0.059693731717255</v>
      </c>
      <c r="T32" s="33" t="n">
        <f aca="false">IF($A32="","",IFERROR(('Market levels'!AM32/'Market levels'!AH32)^(1/5)-1,""))</f>
        <v>0.0243639450466462</v>
      </c>
      <c r="U32" s="31" t="n">
        <v>1.5</v>
      </c>
      <c r="V32" s="32" t="n">
        <v>0.015</v>
      </c>
      <c r="W32" s="32" t="n">
        <v>0.005</v>
      </c>
      <c r="X32" s="32" t="n">
        <v>0.04</v>
      </c>
      <c r="Y32" s="32"/>
      <c r="Z32" s="32"/>
      <c r="AA32" s="17" t="n">
        <v>4</v>
      </c>
      <c r="AB32" s="17" t="n">
        <v>3</v>
      </c>
      <c r="AC32" s="17" t="n">
        <v>3</v>
      </c>
      <c r="AD32" s="17" t="n">
        <v>3</v>
      </c>
    </row>
    <row r="33" customFormat="false" ht="15" hidden="false" customHeight="false" outlineLevel="0" collapsed="false">
      <c r="A33" s="14" t="s">
        <v>187</v>
      </c>
      <c r="B33" s="14" t="s">
        <v>217</v>
      </c>
      <c r="C33" s="14" t="s">
        <v>213</v>
      </c>
      <c r="D33" s="14" t="s">
        <v>210</v>
      </c>
      <c r="E33" s="14" t="s">
        <v>187</v>
      </c>
      <c r="F33" s="30" t="n">
        <f aca="false">IF($A33="","",'Market levels'!I33)</f>
        <v>16933.1</v>
      </c>
      <c r="G33" s="31" t="n">
        <v>248</v>
      </c>
      <c r="H33" s="32"/>
      <c r="I33" s="32"/>
      <c r="J33" s="31" t="n">
        <v>123</v>
      </c>
      <c r="K33" s="33" t="n">
        <f aca="false">IF($A33="","",IFERROR(('Market levels'!I33/'Market levels'!D33)^(1/5)-1,""))</f>
        <v>-0.00402900622497826</v>
      </c>
      <c r="L33" s="33" t="n">
        <f aca="false">IF($A33="","",IFERROR('Market levels'!J33/'Market levels'!I33-1,""))</f>
        <v>-0.00652981438720612</v>
      </c>
      <c r="M33" s="33" t="n">
        <f aca="false">IF($A33="","",IFERROR(('Market levels'!O33/'Market levels'!J33)^(1/5)-1,""))</f>
        <v>0.0226991071956315</v>
      </c>
      <c r="N33" s="34" t="n">
        <f aca="false">IF($A33="","",IFERROR('Market levels'!U33/'Market levels'!I33,""))</f>
        <v>0.541020840838358</v>
      </c>
      <c r="O33" s="33" t="n">
        <f aca="false">IF($A33="","",IFERROR(('Market levels'!U33/'Market levels'!P33)^(1/5)-1,""))</f>
        <v>0.0501975479380685</v>
      </c>
      <c r="P33" s="33" t="n">
        <f aca="false">IF($A33="","",IFERROR('Market levels'!V33/'Market levels'!U33-1,""))</f>
        <v>-0.0239303756292871</v>
      </c>
      <c r="Q33" s="33" t="n">
        <f aca="false">IF($A33="","",IFERROR(('Market levels'!AA33/'Market levels'!V33)^(1/5)-1,""))</f>
        <v>0.0266289617092792</v>
      </c>
      <c r="R33" s="33" t="n">
        <f aca="false">IF($A33="","",IFERROR(('Market levels'!AG33/'Market levels'!AB33)^(1/5)-1,""))</f>
        <v>-0.051187487299301</v>
      </c>
      <c r="S33" s="33" t="n">
        <f aca="false">IF($A33="","",IFERROR('Market levels'!AH33/'Market levels'!AG33-1,""))</f>
        <v>0.0139810652166641</v>
      </c>
      <c r="T33" s="33" t="n">
        <f aca="false">IF($A33="","",IFERROR(('Market levels'!AM33/'Market levels'!AH33)^(1/5)-1,""))</f>
        <v>0.0181655774098575</v>
      </c>
      <c r="U33" s="31" t="n">
        <v>8.1</v>
      </c>
      <c r="V33" s="32" t="n">
        <v>0.015</v>
      </c>
      <c r="W33" s="32" t="n">
        <v>0.005</v>
      </c>
      <c r="X33" s="32" t="n">
        <v>0.04</v>
      </c>
      <c r="Y33" s="32"/>
      <c r="Z33" s="32"/>
      <c r="AA33" s="17" t="n">
        <v>4</v>
      </c>
      <c r="AB33" s="17" t="n">
        <v>3</v>
      </c>
      <c r="AC33" s="17" t="n">
        <v>3</v>
      </c>
      <c r="AD33" s="17" t="n">
        <v>3</v>
      </c>
    </row>
    <row r="34" customFormat="false" ht="15" hidden="false" customHeight="false" outlineLevel="0" collapsed="false">
      <c r="A34" s="14" t="s">
        <v>187</v>
      </c>
      <c r="B34" s="14" t="s">
        <v>217</v>
      </c>
      <c r="C34" s="14" t="s">
        <v>213</v>
      </c>
      <c r="D34" s="14" t="s">
        <v>211</v>
      </c>
      <c r="E34" s="14" t="s">
        <v>187</v>
      </c>
      <c r="F34" s="30" t="n">
        <f aca="false">IF($A34="","",'Market levels'!I34)</f>
        <v>16933.1</v>
      </c>
      <c r="G34" s="31" t="n">
        <v>48</v>
      </c>
      <c r="H34" s="32"/>
      <c r="I34" s="32"/>
      <c r="J34" s="31" t="n">
        <v>15</v>
      </c>
      <c r="K34" s="33" t="n">
        <f aca="false">IF($A34="","",IFERROR(('Market levels'!I34/'Market levels'!D34)^(1/5)-1,""))</f>
        <v>-0.00402900622497826</v>
      </c>
      <c r="L34" s="33" t="n">
        <f aca="false">IF($A34="","",IFERROR('Market levels'!J34/'Market levels'!I34-1,""))</f>
        <v>-0.00652981438720612</v>
      </c>
      <c r="M34" s="33" t="n">
        <f aca="false">IF($A34="","",IFERROR(('Market levels'!O34/'Market levels'!J34)^(1/5)-1,""))</f>
        <v>0.0226991071956315</v>
      </c>
      <c r="N34" s="34" t="n">
        <f aca="false">IF($A34="","",IFERROR('Market levels'!U34/'Market levels'!I34,""))</f>
        <v>0.541020840838358</v>
      </c>
      <c r="O34" s="33" t="n">
        <f aca="false">IF($A34="","",IFERROR(('Market levels'!U34/'Market levels'!P34)^(1/5)-1,""))</f>
        <v>0.0501975479380685</v>
      </c>
      <c r="P34" s="33" t="n">
        <f aca="false">IF($A34="","",IFERROR('Market levels'!V34/'Market levels'!U34-1,""))</f>
        <v>-0.0239303756292871</v>
      </c>
      <c r="Q34" s="33" t="n">
        <f aca="false">IF($A34="","",IFERROR(('Market levels'!AA34/'Market levels'!V34)^(1/5)-1,""))</f>
        <v>0.0266289617092792</v>
      </c>
      <c r="R34" s="33" t="n">
        <f aca="false">IF($A34="","",IFERROR(('Market levels'!AG34/'Market levels'!AB34)^(1/5)-1,""))</f>
        <v>-0.051187487299301</v>
      </c>
      <c r="S34" s="33" t="n">
        <f aca="false">IF($A34="","",IFERROR('Market levels'!AH34/'Market levels'!AG34-1,""))</f>
        <v>0.0139810652166641</v>
      </c>
      <c r="T34" s="33" t="n">
        <f aca="false">IF($A34="","",IFERROR(('Market levels'!AM34/'Market levels'!AH34)^(1/5)-1,""))</f>
        <v>0.0181655774098575</v>
      </c>
      <c r="U34" s="31" t="n">
        <v>0.5</v>
      </c>
      <c r="V34" s="32" t="n">
        <v>0.03</v>
      </c>
      <c r="W34" s="32" t="n">
        <v>0.02</v>
      </c>
      <c r="X34" s="32" t="n">
        <v>0.055</v>
      </c>
      <c r="Y34" s="32"/>
      <c r="Z34" s="32"/>
      <c r="AA34" s="17" t="n">
        <v>4</v>
      </c>
      <c r="AB34" s="17" t="n">
        <v>3</v>
      </c>
      <c r="AC34" s="17" t="n">
        <v>3</v>
      </c>
      <c r="AD34" s="17" t="n">
        <v>3</v>
      </c>
    </row>
    <row r="35" customFormat="false" ht="15" hidden="false" customHeight="false" outlineLevel="0" collapsed="false">
      <c r="A35" s="14" t="s">
        <v>187</v>
      </c>
      <c r="B35" s="14" t="s">
        <v>217</v>
      </c>
      <c r="C35" s="14" t="s">
        <v>213</v>
      </c>
      <c r="D35" s="14" t="s">
        <v>212</v>
      </c>
      <c r="E35" s="14" t="s">
        <v>187</v>
      </c>
      <c r="F35" s="30" t="n">
        <f aca="false">IF($A35="","",'Market levels'!I35)</f>
        <v>16933.1</v>
      </c>
      <c r="G35" s="31" t="n">
        <v>121</v>
      </c>
      <c r="H35" s="32"/>
      <c r="I35" s="32"/>
      <c r="J35" s="31" t="n">
        <v>49</v>
      </c>
      <c r="K35" s="33" t="n">
        <f aca="false">IF($A35="","",IFERROR(('Market levels'!I35/'Market levels'!D35)^(1/5)-1,""))</f>
        <v>-0.00402900622497826</v>
      </c>
      <c r="L35" s="33" t="n">
        <f aca="false">IF($A35="","",IFERROR('Market levels'!J35/'Market levels'!I35-1,""))</f>
        <v>-0.00652981438720612</v>
      </c>
      <c r="M35" s="33" t="n">
        <f aca="false">IF($A35="","",IFERROR(('Market levels'!O35/'Market levels'!J35)^(1/5)-1,""))</f>
        <v>0.0226991071956315</v>
      </c>
      <c r="N35" s="34" t="n">
        <f aca="false">IF($A35="","",IFERROR('Market levels'!U35/'Market levels'!I35,""))</f>
        <v>0.541020840838358</v>
      </c>
      <c r="O35" s="33" t="n">
        <f aca="false">IF($A35="","",IFERROR(('Market levels'!U35/'Market levels'!P35)^(1/5)-1,""))</f>
        <v>0.0501975479380685</v>
      </c>
      <c r="P35" s="33" t="n">
        <f aca="false">IF($A35="","",IFERROR('Market levels'!V35/'Market levels'!U35-1,""))</f>
        <v>-0.0239303756292871</v>
      </c>
      <c r="Q35" s="33" t="n">
        <f aca="false">IF($A35="","",IFERROR(('Market levels'!AA35/'Market levels'!V35)^(1/5)-1,""))</f>
        <v>0.0266289617092792</v>
      </c>
      <c r="R35" s="33" t="n">
        <f aca="false">IF($A35="","",IFERROR(('Market levels'!AG35/'Market levels'!AB35)^(1/5)-1,""))</f>
        <v>-0.051187487299301</v>
      </c>
      <c r="S35" s="33" t="n">
        <f aca="false">IF($A35="","",IFERROR('Market levels'!AH35/'Market levels'!AG35-1,""))</f>
        <v>0.0139810652166641</v>
      </c>
      <c r="T35" s="33" t="n">
        <f aca="false">IF($A35="","",IFERROR(('Market levels'!AM35/'Market levels'!AH35)^(1/5)-1,""))</f>
        <v>0.0181655774098575</v>
      </c>
      <c r="U35" s="31" t="n">
        <v>2.4</v>
      </c>
      <c r="V35" s="32" t="n">
        <v>0.02</v>
      </c>
      <c r="W35" s="32" t="n">
        <v>0.01</v>
      </c>
      <c r="X35" s="32" t="n">
        <v>0.045</v>
      </c>
      <c r="Y35" s="32"/>
      <c r="Z35" s="32"/>
      <c r="AA35" s="17" t="n">
        <v>4</v>
      </c>
      <c r="AB35" s="17" t="n">
        <v>3</v>
      </c>
      <c r="AC35" s="17" t="n">
        <v>3</v>
      </c>
      <c r="AD35" s="17" t="n">
        <v>3</v>
      </c>
    </row>
    <row r="36" customFormat="false" ht="15" hidden="false" customHeight="false" outlineLevel="0" collapsed="false">
      <c r="A36" s="14" t="s">
        <v>179</v>
      </c>
      <c r="B36" s="14" t="s">
        <v>218</v>
      </c>
      <c r="C36" s="14" t="s">
        <v>209</v>
      </c>
      <c r="D36" s="14" t="s">
        <v>210</v>
      </c>
      <c r="E36" s="14" t="s">
        <v>179</v>
      </c>
      <c r="F36" s="30" t="n">
        <f aca="false">IF($A36="","",'Market levels'!I36)</f>
        <v>4324.92</v>
      </c>
      <c r="G36" s="31" t="n">
        <v>67</v>
      </c>
      <c r="H36" s="32"/>
      <c r="I36" s="32"/>
      <c r="J36" s="31" t="n">
        <v>33</v>
      </c>
      <c r="K36" s="33" t="n">
        <f aca="false">IF($A36="","",IFERROR(('Market levels'!I36/'Market levels'!D36)^(1/5)-1,""))</f>
        <v>-0.0244620040690535</v>
      </c>
      <c r="L36" s="33" t="n">
        <f aca="false">IF($A36="","",IFERROR('Market levels'!J36/'Market levels'!I36-1,""))</f>
        <v>-0.0556125893658148</v>
      </c>
      <c r="M36" s="33" t="n">
        <f aca="false">IF($A36="","",IFERROR(('Market levels'!O36/'Market levels'!J36)^(1/5)-1,""))</f>
        <v>0.0286285547308702</v>
      </c>
      <c r="N36" s="34" t="n">
        <f aca="false">IF($A36="","",IFERROR('Market levels'!U36/'Market levels'!I36,""))</f>
        <v>0.75231911804149</v>
      </c>
      <c r="O36" s="33" t="n">
        <f aca="false">IF($A36="","",IFERROR(('Market levels'!U36/'Market levels'!P36)^(1/5)-1,""))</f>
        <v>0.00918783915111576</v>
      </c>
      <c r="P36" s="33" t="n">
        <f aca="false">IF($A36="","",IFERROR('Market levels'!V36/'Market levels'!U36-1,""))</f>
        <v>-0.0598883739227715</v>
      </c>
      <c r="Q36" s="33" t="n">
        <f aca="false">IF($A36="","",IFERROR(('Market levels'!AA36/'Market levels'!V36)^(1/5)-1,""))</f>
        <v>0.021261829806934</v>
      </c>
      <c r="R36" s="33" t="n">
        <f aca="false">IF($A36="","",IFERROR(('Market levels'!AG36/'Market levels'!AB36)^(1/5)-1,""))</f>
        <v>-0.0972647889181081</v>
      </c>
      <c r="S36" s="33" t="n">
        <f aca="false">IF($A36="","",IFERROR('Market levels'!AH36/'Market levels'!AG36-1,""))</f>
        <v>-0.0426250933532482</v>
      </c>
      <c r="T36" s="33" t="n">
        <f aca="false">IF($A36="","",IFERROR(('Market levels'!AM36/'Market levels'!AH36)^(1/5)-1,""))</f>
        <v>0.0494301639433219</v>
      </c>
      <c r="U36" s="31" t="n">
        <v>3</v>
      </c>
      <c r="V36" s="32" t="n">
        <v>0.015</v>
      </c>
      <c r="W36" s="32" t="n">
        <v>0.005</v>
      </c>
      <c r="X36" s="32" t="n">
        <v>0.03</v>
      </c>
      <c r="Y36" s="32"/>
      <c r="Z36" s="32"/>
      <c r="AA36" s="17" t="n">
        <v>4</v>
      </c>
      <c r="AB36" s="17" t="n">
        <v>3</v>
      </c>
      <c r="AC36" s="17" t="n">
        <v>3</v>
      </c>
      <c r="AD36" s="17" t="n">
        <v>3</v>
      </c>
    </row>
    <row r="37" customFormat="false" ht="15" hidden="false" customHeight="false" outlineLevel="0" collapsed="false">
      <c r="A37" s="14" t="s">
        <v>179</v>
      </c>
      <c r="B37" s="14" t="s">
        <v>218</v>
      </c>
      <c r="C37" s="14" t="s">
        <v>209</v>
      </c>
      <c r="D37" s="14" t="s">
        <v>211</v>
      </c>
      <c r="E37" s="14" t="s">
        <v>179</v>
      </c>
      <c r="F37" s="30" t="n">
        <f aca="false">IF($A37="","",'Market levels'!I37)</f>
        <v>4324.92</v>
      </c>
      <c r="G37" s="31" t="n">
        <v>10</v>
      </c>
      <c r="H37" s="32"/>
      <c r="I37" s="32"/>
      <c r="J37" s="31" t="n">
        <v>3</v>
      </c>
      <c r="K37" s="33" t="n">
        <f aca="false">IF($A37="","",IFERROR(('Market levels'!I37/'Market levels'!D37)^(1/5)-1,""))</f>
        <v>-0.0244620040690535</v>
      </c>
      <c r="L37" s="33" t="n">
        <f aca="false">IF($A37="","",IFERROR('Market levels'!J37/'Market levels'!I37-1,""))</f>
        <v>-0.0556125893658148</v>
      </c>
      <c r="M37" s="33" t="n">
        <f aca="false">IF($A37="","",IFERROR(('Market levels'!O37/'Market levels'!J37)^(1/5)-1,""))</f>
        <v>0.0286285547308702</v>
      </c>
      <c r="N37" s="34" t="n">
        <f aca="false">IF($A37="","",IFERROR('Market levels'!U37/'Market levels'!I37,""))</f>
        <v>0.75231911804149</v>
      </c>
      <c r="O37" s="33" t="n">
        <f aca="false">IF($A37="","",IFERROR(('Market levels'!U37/'Market levels'!P37)^(1/5)-1,""))</f>
        <v>0.00918783915111576</v>
      </c>
      <c r="P37" s="33" t="n">
        <f aca="false">IF($A37="","",IFERROR('Market levels'!V37/'Market levels'!U37-1,""))</f>
        <v>-0.0598883739227715</v>
      </c>
      <c r="Q37" s="33" t="n">
        <f aca="false">IF($A37="","",IFERROR(('Market levels'!AA37/'Market levels'!V37)^(1/5)-1,""))</f>
        <v>0.021261829806934</v>
      </c>
      <c r="R37" s="33" t="n">
        <f aca="false">IF($A37="","",IFERROR(('Market levels'!AG37/'Market levels'!AB37)^(1/5)-1,""))</f>
        <v>-0.0972647889181081</v>
      </c>
      <c r="S37" s="33" t="n">
        <f aca="false">IF($A37="","",IFERROR('Market levels'!AH37/'Market levels'!AG37-1,""))</f>
        <v>-0.0426250933532482</v>
      </c>
      <c r="T37" s="33" t="n">
        <f aca="false">IF($A37="","",IFERROR(('Market levels'!AM37/'Market levels'!AH37)^(1/5)-1,""))</f>
        <v>0.0494301639433219</v>
      </c>
      <c r="U37" s="31" t="n">
        <v>0.1</v>
      </c>
      <c r="V37" s="32" t="n">
        <v>0.03</v>
      </c>
      <c r="W37" s="32" t="n">
        <v>0.02</v>
      </c>
      <c r="X37" s="32" t="n">
        <v>0.045</v>
      </c>
      <c r="Y37" s="32"/>
      <c r="Z37" s="32"/>
      <c r="AA37" s="17" t="n">
        <v>4</v>
      </c>
      <c r="AB37" s="17" t="n">
        <v>3</v>
      </c>
      <c r="AC37" s="17" t="n">
        <v>3</v>
      </c>
      <c r="AD37" s="17" t="n">
        <v>3</v>
      </c>
    </row>
    <row r="38" customFormat="false" ht="15" hidden="false" customHeight="false" outlineLevel="0" collapsed="false">
      <c r="A38" s="14" t="s">
        <v>179</v>
      </c>
      <c r="B38" s="14" t="s">
        <v>218</v>
      </c>
      <c r="C38" s="14" t="s">
        <v>209</v>
      </c>
      <c r="D38" s="14" t="s">
        <v>212</v>
      </c>
      <c r="E38" s="14" t="s">
        <v>179</v>
      </c>
      <c r="F38" s="30" t="n">
        <f aca="false">IF($A38="","",'Market levels'!I38)</f>
        <v>4324.92</v>
      </c>
      <c r="G38" s="31" t="n">
        <v>30</v>
      </c>
      <c r="H38" s="32"/>
      <c r="I38" s="32"/>
      <c r="J38" s="31" t="n">
        <v>12</v>
      </c>
      <c r="K38" s="33" t="n">
        <f aca="false">IF($A38="","",IFERROR(('Market levels'!I38/'Market levels'!D38)^(1/5)-1,""))</f>
        <v>-0.0244620040690535</v>
      </c>
      <c r="L38" s="33" t="n">
        <f aca="false">IF($A38="","",IFERROR('Market levels'!J38/'Market levels'!I38-1,""))</f>
        <v>-0.0556125893658148</v>
      </c>
      <c r="M38" s="33" t="n">
        <f aca="false">IF($A38="","",IFERROR(('Market levels'!O38/'Market levels'!J38)^(1/5)-1,""))</f>
        <v>0.0286285547308702</v>
      </c>
      <c r="N38" s="34" t="n">
        <f aca="false">IF($A38="","",IFERROR('Market levels'!U38/'Market levels'!I38,""))</f>
        <v>0.75231911804149</v>
      </c>
      <c r="O38" s="33" t="n">
        <f aca="false">IF($A38="","",IFERROR(('Market levels'!U38/'Market levels'!P38)^(1/5)-1,""))</f>
        <v>0.00918783915111576</v>
      </c>
      <c r="P38" s="33" t="n">
        <f aca="false">IF($A38="","",IFERROR('Market levels'!V38/'Market levels'!U38-1,""))</f>
        <v>-0.0598883739227715</v>
      </c>
      <c r="Q38" s="33" t="n">
        <f aca="false">IF($A38="","",IFERROR(('Market levels'!AA38/'Market levels'!V38)^(1/5)-1,""))</f>
        <v>0.021261829806934</v>
      </c>
      <c r="R38" s="33" t="n">
        <f aca="false">IF($A38="","",IFERROR(('Market levels'!AG38/'Market levels'!AB38)^(1/5)-1,""))</f>
        <v>-0.0972647889181081</v>
      </c>
      <c r="S38" s="33" t="n">
        <f aca="false">IF($A38="","",IFERROR('Market levels'!AH38/'Market levels'!AG38-1,""))</f>
        <v>-0.0426250933532482</v>
      </c>
      <c r="T38" s="33" t="n">
        <f aca="false">IF($A38="","",IFERROR(('Market levels'!AM38/'Market levels'!AH38)^(1/5)-1,""))</f>
        <v>0.0494301639433219</v>
      </c>
      <c r="U38" s="31" t="n">
        <v>0.8</v>
      </c>
      <c r="V38" s="32" t="n">
        <v>0.02</v>
      </c>
      <c r="W38" s="32" t="n">
        <v>0.01</v>
      </c>
      <c r="X38" s="32" t="n">
        <v>0.035</v>
      </c>
      <c r="Y38" s="32"/>
      <c r="Z38" s="32"/>
      <c r="AA38" s="17" t="n">
        <v>4</v>
      </c>
      <c r="AB38" s="17" t="n">
        <v>3</v>
      </c>
      <c r="AC38" s="17" t="n">
        <v>3</v>
      </c>
      <c r="AD38" s="17" t="n">
        <v>3</v>
      </c>
    </row>
    <row r="39" customFormat="false" ht="15" hidden="false" customHeight="false" outlineLevel="0" collapsed="false">
      <c r="A39" s="14" t="s">
        <v>179</v>
      </c>
      <c r="B39" s="14" t="s">
        <v>218</v>
      </c>
      <c r="C39" s="14" t="s">
        <v>213</v>
      </c>
      <c r="D39" s="14" t="s">
        <v>210</v>
      </c>
      <c r="E39" s="14" t="s">
        <v>179</v>
      </c>
      <c r="F39" s="30" t="n">
        <f aca="false">IF($A39="","",'Market levels'!I39)</f>
        <v>11770.8</v>
      </c>
      <c r="G39" s="31" t="n">
        <v>178</v>
      </c>
      <c r="H39" s="32"/>
      <c r="I39" s="32"/>
      <c r="J39" s="31" t="n">
        <v>88</v>
      </c>
      <c r="K39" s="33" t="n">
        <f aca="false">IF($A39="","",IFERROR(('Market levels'!I39/'Market levels'!D39)^(1/5)-1,""))</f>
        <v>-0.0137269352433753</v>
      </c>
      <c r="L39" s="33" t="n">
        <f aca="false">IF($A39="","",IFERROR('Market levels'!J39/'Market levels'!I39-1,""))</f>
        <v>0.0243441397356168</v>
      </c>
      <c r="M39" s="33" t="n">
        <f aca="false">IF($A39="","",IFERROR(('Market levels'!O39/'Market levels'!J39)^(1/5)-1,""))</f>
        <v>0.0223445448537853</v>
      </c>
      <c r="N39" s="34" t="n">
        <f aca="false">IF($A39="","",IFERROR('Market levels'!U39/'Market levels'!I39,""))</f>
        <v>0.591599551432358</v>
      </c>
      <c r="O39" s="33" t="n">
        <f aca="false">IF($A39="","",IFERROR(('Market levels'!U39/'Market levels'!P39)^(1/5)-1,""))</f>
        <v>0.0153103604232856</v>
      </c>
      <c r="P39" s="33" t="n">
        <f aca="false">IF($A39="","",IFERROR('Market levels'!V39/'Market levels'!U39-1,""))</f>
        <v>-0.00598253776782132</v>
      </c>
      <c r="Q39" s="33" t="n">
        <f aca="false">IF($A39="","",IFERROR(('Market levels'!AA39/'Market levels'!V39)^(1/5)-1,""))</f>
        <v>0.0313870044129079</v>
      </c>
      <c r="R39" s="33" t="n">
        <f aca="false">IF($A39="","",IFERROR(('Market levels'!AG39/'Market levels'!AB39)^(1/5)-1,""))</f>
        <v>-0.0483484732141297</v>
      </c>
      <c r="S39" s="33" t="n">
        <f aca="false">IF($A39="","",IFERROR('Market levels'!AH39/'Market levels'!AG39-1,""))</f>
        <v>0.0682746713263438</v>
      </c>
      <c r="T39" s="33" t="n">
        <f aca="false">IF($A39="","",IFERROR(('Market levels'!AM39/'Market levels'!AH39)^(1/5)-1,""))</f>
        <v>0.00962630833084033</v>
      </c>
      <c r="U39" s="31" t="n">
        <v>5.8</v>
      </c>
      <c r="V39" s="32" t="n">
        <v>0.02</v>
      </c>
      <c r="W39" s="32" t="n">
        <v>0.01</v>
      </c>
      <c r="X39" s="32" t="n">
        <v>0.035</v>
      </c>
      <c r="Y39" s="32"/>
      <c r="Z39" s="32"/>
      <c r="AA39" s="17" t="n">
        <v>4</v>
      </c>
      <c r="AB39" s="17" t="n">
        <v>3</v>
      </c>
      <c r="AC39" s="17" t="n">
        <v>3</v>
      </c>
      <c r="AD39" s="17" t="n">
        <v>3</v>
      </c>
    </row>
    <row r="40" customFormat="false" ht="15" hidden="false" customHeight="false" outlineLevel="0" collapsed="false">
      <c r="A40" s="14" t="s">
        <v>179</v>
      </c>
      <c r="B40" s="14" t="s">
        <v>218</v>
      </c>
      <c r="C40" s="14" t="s">
        <v>213</v>
      </c>
      <c r="D40" s="14" t="s">
        <v>211</v>
      </c>
      <c r="E40" s="14" t="s">
        <v>179</v>
      </c>
      <c r="F40" s="30" t="n">
        <f aca="false">IF($A40="","",'Market levels'!I40)</f>
        <v>11770.8</v>
      </c>
      <c r="G40" s="31" t="n">
        <v>29</v>
      </c>
      <c r="H40" s="32"/>
      <c r="I40" s="32"/>
      <c r="J40" s="31" t="n">
        <v>9</v>
      </c>
      <c r="K40" s="33" t="n">
        <f aca="false">IF($A40="","",IFERROR(('Market levels'!I40/'Market levels'!D40)^(1/5)-1,""))</f>
        <v>-0.0137269352433753</v>
      </c>
      <c r="L40" s="33" t="n">
        <f aca="false">IF($A40="","",IFERROR('Market levels'!J40/'Market levels'!I40-1,""))</f>
        <v>0.0243441397356168</v>
      </c>
      <c r="M40" s="33" t="n">
        <f aca="false">IF($A40="","",IFERROR(('Market levels'!O40/'Market levels'!J40)^(1/5)-1,""))</f>
        <v>0.0223445448537853</v>
      </c>
      <c r="N40" s="34" t="n">
        <f aca="false">IF($A40="","",IFERROR('Market levels'!U40/'Market levels'!I40,""))</f>
        <v>0.591599551432358</v>
      </c>
      <c r="O40" s="33" t="n">
        <f aca="false">IF($A40="","",IFERROR(('Market levels'!U40/'Market levels'!P40)^(1/5)-1,""))</f>
        <v>0.0153103604232856</v>
      </c>
      <c r="P40" s="33" t="n">
        <f aca="false">IF($A40="","",IFERROR('Market levels'!V40/'Market levels'!U40-1,""))</f>
        <v>-0.00598253776782132</v>
      </c>
      <c r="Q40" s="33" t="n">
        <f aca="false">IF($A40="","",IFERROR(('Market levels'!AA40/'Market levels'!V40)^(1/5)-1,""))</f>
        <v>0.0313870044129079</v>
      </c>
      <c r="R40" s="33" t="n">
        <f aca="false">IF($A40="","",IFERROR(('Market levels'!AG40/'Market levels'!AB40)^(1/5)-1,""))</f>
        <v>-0.0483484732141297</v>
      </c>
      <c r="S40" s="33" t="n">
        <f aca="false">IF($A40="","",IFERROR('Market levels'!AH40/'Market levels'!AG40-1,""))</f>
        <v>0.0682746713263438</v>
      </c>
      <c r="T40" s="33" t="n">
        <f aca="false">IF($A40="","",IFERROR(('Market levels'!AM40/'Market levels'!AH40)^(1/5)-1,""))</f>
        <v>0.00962630833084033</v>
      </c>
      <c r="U40" s="31" t="n">
        <v>0.3</v>
      </c>
      <c r="V40" s="32" t="n">
        <v>0.035</v>
      </c>
      <c r="W40" s="32" t="n">
        <v>0.025</v>
      </c>
      <c r="X40" s="32" t="n">
        <v>0.05</v>
      </c>
      <c r="Y40" s="32"/>
      <c r="Z40" s="32"/>
      <c r="AA40" s="17" t="n">
        <v>4</v>
      </c>
      <c r="AB40" s="17" t="n">
        <v>3</v>
      </c>
      <c r="AC40" s="17" t="n">
        <v>3</v>
      </c>
      <c r="AD40" s="17" t="n">
        <v>3</v>
      </c>
    </row>
    <row r="41" customFormat="false" ht="15" hidden="false" customHeight="false" outlineLevel="0" collapsed="false">
      <c r="A41" s="14" t="s">
        <v>179</v>
      </c>
      <c r="B41" s="14" t="s">
        <v>218</v>
      </c>
      <c r="C41" s="14" t="s">
        <v>213</v>
      </c>
      <c r="D41" s="14" t="s">
        <v>212</v>
      </c>
      <c r="E41" s="14" t="s">
        <v>179</v>
      </c>
      <c r="F41" s="30" t="n">
        <f aca="false">IF($A41="","",'Market levels'!I41)</f>
        <v>11770.8</v>
      </c>
      <c r="G41" s="31" t="n">
        <v>81</v>
      </c>
      <c r="H41" s="32"/>
      <c r="I41" s="32"/>
      <c r="J41" s="31" t="n">
        <v>33</v>
      </c>
      <c r="K41" s="33" t="n">
        <f aca="false">IF($A41="","",IFERROR(('Market levels'!I41/'Market levels'!D41)^(1/5)-1,""))</f>
        <v>-0.0137269352433753</v>
      </c>
      <c r="L41" s="33" t="n">
        <f aca="false">IF($A41="","",IFERROR('Market levels'!J41/'Market levels'!I41-1,""))</f>
        <v>0.0243441397356168</v>
      </c>
      <c r="M41" s="33" t="n">
        <f aca="false">IF($A41="","",IFERROR(('Market levels'!O41/'Market levels'!J41)^(1/5)-1,""))</f>
        <v>0.0223445448537853</v>
      </c>
      <c r="N41" s="34" t="n">
        <f aca="false">IF($A41="","",IFERROR('Market levels'!U41/'Market levels'!I41,""))</f>
        <v>0.591599551432358</v>
      </c>
      <c r="O41" s="33" t="n">
        <f aca="false">IF($A41="","",IFERROR(('Market levels'!U41/'Market levels'!P41)^(1/5)-1,""))</f>
        <v>0.0153103604232856</v>
      </c>
      <c r="P41" s="33" t="n">
        <f aca="false">IF($A41="","",IFERROR('Market levels'!V41/'Market levels'!U41-1,""))</f>
        <v>-0.00598253776782132</v>
      </c>
      <c r="Q41" s="33" t="n">
        <f aca="false">IF($A41="","",IFERROR(('Market levels'!AA41/'Market levels'!V41)^(1/5)-1,""))</f>
        <v>0.0313870044129079</v>
      </c>
      <c r="R41" s="33" t="n">
        <f aca="false">IF($A41="","",IFERROR(('Market levels'!AG41/'Market levels'!AB41)^(1/5)-1,""))</f>
        <v>-0.0483484732141297</v>
      </c>
      <c r="S41" s="33" t="n">
        <f aca="false">IF($A41="","",IFERROR('Market levels'!AH41/'Market levels'!AG41-1,""))</f>
        <v>0.0682746713263438</v>
      </c>
      <c r="T41" s="33" t="n">
        <f aca="false">IF($A41="","",IFERROR(('Market levels'!AM41/'Market levels'!AH41)^(1/5)-1,""))</f>
        <v>0.00962630833084033</v>
      </c>
      <c r="U41" s="31" t="n">
        <v>1.6</v>
      </c>
      <c r="V41" s="32" t="n">
        <v>0.025</v>
      </c>
      <c r="W41" s="32" t="n">
        <v>0.015</v>
      </c>
      <c r="X41" s="32" t="n">
        <v>0.04</v>
      </c>
      <c r="Y41" s="32"/>
      <c r="Z41" s="32"/>
      <c r="AA41" s="17" t="n">
        <v>4</v>
      </c>
      <c r="AB41" s="17" t="n">
        <v>3</v>
      </c>
      <c r="AC41" s="17" t="n">
        <v>3</v>
      </c>
      <c r="AD41" s="17" t="n">
        <v>3</v>
      </c>
    </row>
    <row r="42" customFormat="false" ht="15" hidden="false" customHeight="false" outlineLevel="0" collapsed="false">
      <c r="A42" s="14" t="s">
        <v>167</v>
      </c>
      <c r="B42" s="14" t="s">
        <v>219</v>
      </c>
      <c r="C42" s="14" t="s">
        <v>209</v>
      </c>
      <c r="D42" s="14" t="s">
        <v>210</v>
      </c>
      <c r="E42" s="14" t="s">
        <v>167</v>
      </c>
      <c r="F42" s="30" t="n">
        <f aca="false">IF($A42="","",'Market levels'!I42)</f>
        <v>1692.48</v>
      </c>
      <c r="G42" s="31" t="n">
        <v>26</v>
      </c>
      <c r="H42" s="32"/>
      <c r="I42" s="32"/>
      <c r="J42" s="31" t="n">
        <v>13</v>
      </c>
      <c r="K42" s="33" t="n">
        <f aca="false">IF($A42="","",IFERROR(('Market levels'!I42/'Market levels'!D42)^(1/5)-1,""))</f>
        <v>-0.0624297451878662</v>
      </c>
      <c r="L42" s="33" t="n">
        <f aca="false">IF($A42="","",IFERROR('Market levels'!J42/'Market levels'!I42-1,""))</f>
        <v>-0.0297078842881453</v>
      </c>
      <c r="M42" s="33" t="n">
        <f aca="false">IF($A42="","",IFERROR(('Market levels'!O42/'Market levels'!J42)^(1/5)-1,""))</f>
        <v>0.0410537557782591</v>
      </c>
      <c r="N42" s="34" t="n">
        <f aca="false">IF($A42="","",IFERROR('Market levels'!U42/'Market levels'!I42,""))</f>
        <v>0.800228067687654</v>
      </c>
      <c r="O42" s="33" t="n">
        <f aca="false">IF($A42="","",IFERROR(('Market levels'!U42/'Market levels'!P42)^(1/5)-1,""))</f>
        <v>-0.0401624266565354</v>
      </c>
      <c r="P42" s="33" t="n">
        <f aca="false">IF($A42="","",IFERROR('Market levels'!V42/'Market levels'!U42-1,""))</f>
        <v>-0.0163397003772973</v>
      </c>
      <c r="Q42" s="33" t="n">
        <f aca="false">IF($A42="","",IFERROR(('Market levels'!AA42/'Market levels'!V42)^(1/5)-1,""))</f>
        <v>0.0379303960728621</v>
      </c>
      <c r="R42" s="33" t="n">
        <f aca="false">IF($A42="","",IFERROR(('Market levels'!AG42/'Market levels'!AB42)^(1/5)-1,""))</f>
        <v>-0.128804316121209</v>
      </c>
      <c r="S42" s="33" t="n">
        <f aca="false">IF($A42="","",IFERROR('Market levels'!AH42/'Market levels'!AG42-1,""))</f>
        <v>-0.0832569282186273</v>
      </c>
      <c r="T42" s="33" t="n">
        <f aca="false">IF($A42="","",IFERROR(('Market levels'!AM42/'Market levels'!AH42)^(1/5)-1,""))</f>
        <v>0.0540684666979081</v>
      </c>
      <c r="U42" s="31" t="n">
        <v>1</v>
      </c>
      <c r="V42" s="32" t="n">
        <v>0.005</v>
      </c>
      <c r="W42" s="32" t="n">
        <v>-0.005</v>
      </c>
      <c r="X42" s="32" t="n">
        <v>0.03</v>
      </c>
      <c r="Y42" s="32"/>
      <c r="Z42" s="32"/>
      <c r="AA42" s="17" t="n">
        <v>4</v>
      </c>
      <c r="AB42" s="17" t="n">
        <v>3</v>
      </c>
      <c r="AC42" s="17" t="n">
        <v>3</v>
      </c>
      <c r="AD42" s="17" t="n">
        <v>3</v>
      </c>
    </row>
    <row r="43" customFormat="false" ht="15" hidden="false" customHeight="false" outlineLevel="0" collapsed="false">
      <c r="A43" s="14" t="s">
        <v>167</v>
      </c>
      <c r="B43" s="14" t="s">
        <v>219</v>
      </c>
      <c r="C43" s="14" t="s">
        <v>209</v>
      </c>
      <c r="D43" s="14" t="s">
        <v>211</v>
      </c>
      <c r="E43" s="14" t="s">
        <v>167</v>
      </c>
      <c r="F43" s="30" t="n">
        <f aca="false">IF($A43="","",'Market levels'!I43)</f>
        <v>1692.48</v>
      </c>
      <c r="G43" s="31" t="n">
        <v>3</v>
      </c>
      <c r="H43" s="32"/>
      <c r="I43" s="32"/>
      <c r="J43" s="31" t="n">
        <v>1</v>
      </c>
      <c r="K43" s="33" t="n">
        <f aca="false">IF($A43="","",IFERROR(('Market levels'!I43/'Market levels'!D43)^(1/5)-1,""))</f>
        <v>-0.0624297451878662</v>
      </c>
      <c r="L43" s="33" t="n">
        <f aca="false">IF($A43="","",IFERROR('Market levels'!J43/'Market levels'!I43-1,""))</f>
        <v>-0.0297078842881453</v>
      </c>
      <c r="M43" s="33" t="n">
        <f aca="false">IF($A43="","",IFERROR(('Market levels'!O43/'Market levels'!J43)^(1/5)-1,""))</f>
        <v>0.0410537557782591</v>
      </c>
      <c r="N43" s="34" t="n">
        <f aca="false">IF($A43="","",IFERROR('Market levels'!U43/'Market levels'!I43,""))</f>
        <v>0.800228067687654</v>
      </c>
      <c r="O43" s="33" t="n">
        <f aca="false">IF($A43="","",IFERROR(('Market levels'!U43/'Market levels'!P43)^(1/5)-1,""))</f>
        <v>-0.0401624266565354</v>
      </c>
      <c r="P43" s="33" t="n">
        <f aca="false">IF($A43="","",IFERROR('Market levels'!V43/'Market levels'!U43-1,""))</f>
        <v>-0.0163397003772973</v>
      </c>
      <c r="Q43" s="33" t="n">
        <f aca="false">IF($A43="","",IFERROR(('Market levels'!AA43/'Market levels'!V43)^(1/5)-1,""))</f>
        <v>0.0379303960728621</v>
      </c>
      <c r="R43" s="33" t="n">
        <f aca="false">IF($A43="","",IFERROR(('Market levels'!AG43/'Market levels'!AB43)^(1/5)-1,""))</f>
        <v>-0.128804316121209</v>
      </c>
      <c r="S43" s="33" t="n">
        <f aca="false">IF($A43="","",IFERROR('Market levels'!AH43/'Market levels'!AG43-1,""))</f>
        <v>-0.0832569282186273</v>
      </c>
      <c r="T43" s="33" t="n">
        <f aca="false">IF($A43="","",IFERROR(('Market levels'!AM43/'Market levels'!AH43)^(1/5)-1,""))</f>
        <v>0.0540684666979081</v>
      </c>
      <c r="U43" s="31" t="n">
        <v>0</v>
      </c>
      <c r="V43" s="32" t="n">
        <v>0.02</v>
      </c>
      <c r="W43" s="32" t="n">
        <v>0.01</v>
      </c>
      <c r="X43" s="32" t="n">
        <v>0.045</v>
      </c>
      <c r="Y43" s="32"/>
      <c r="Z43" s="32"/>
      <c r="AA43" s="17" t="n">
        <v>4</v>
      </c>
      <c r="AB43" s="17" t="n">
        <v>3</v>
      </c>
      <c r="AC43" s="17" t="n">
        <v>3</v>
      </c>
      <c r="AD43" s="17" t="n">
        <v>3</v>
      </c>
    </row>
    <row r="44" customFormat="false" ht="15" hidden="false" customHeight="false" outlineLevel="0" collapsed="false">
      <c r="A44" s="14" t="s">
        <v>167</v>
      </c>
      <c r="B44" s="14" t="s">
        <v>219</v>
      </c>
      <c r="C44" s="14" t="s">
        <v>209</v>
      </c>
      <c r="D44" s="14" t="s">
        <v>212</v>
      </c>
      <c r="E44" s="14" t="s">
        <v>167</v>
      </c>
      <c r="F44" s="30" t="n">
        <f aca="false">IF($A44="","",'Market levels'!I44)</f>
        <v>1692.48</v>
      </c>
      <c r="G44" s="31" t="n">
        <v>12</v>
      </c>
      <c r="H44" s="32"/>
      <c r="I44" s="32"/>
      <c r="J44" s="31" t="n">
        <v>5</v>
      </c>
      <c r="K44" s="33" t="n">
        <f aca="false">IF($A44="","",IFERROR(('Market levels'!I44/'Market levels'!D44)^(1/5)-1,""))</f>
        <v>-0.0624297451878662</v>
      </c>
      <c r="L44" s="33" t="n">
        <f aca="false">IF($A44="","",IFERROR('Market levels'!J44/'Market levels'!I44-1,""))</f>
        <v>-0.0297078842881453</v>
      </c>
      <c r="M44" s="33" t="n">
        <f aca="false">IF($A44="","",IFERROR(('Market levels'!O44/'Market levels'!J44)^(1/5)-1,""))</f>
        <v>0.0410537557782591</v>
      </c>
      <c r="N44" s="34" t="n">
        <f aca="false">IF($A44="","",IFERROR('Market levels'!U44/'Market levels'!I44,""))</f>
        <v>0.800228067687654</v>
      </c>
      <c r="O44" s="33" t="n">
        <f aca="false">IF($A44="","",IFERROR(('Market levels'!U44/'Market levels'!P44)^(1/5)-1,""))</f>
        <v>-0.0401624266565354</v>
      </c>
      <c r="P44" s="33" t="n">
        <f aca="false">IF($A44="","",IFERROR('Market levels'!V44/'Market levels'!U44-1,""))</f>
        <v>-0.0163397003772973</v>
      </c>
      <c r="Q44" s="33" t="n">
        <f aca="false">IF($A44="","",IFERROR(('Market levels'!AA44/'Market levels'!V44)^(1/5)-1,""))</f>
        <v>0.0379303960728621</v>
      </c>
      <c r="R44" s="33" t="n">
        <f aca="false">IF($A44="","",IFERROR(('Market levels'!AG44/'Market levels'!AB44)^(1/5)-1,""))</f>
        <v>-0.128804316121209</v>
      </c>
      <c r="S44" s="33" t="n">
        <f aca="false">IF($A44="","",IFERROR('Market levels'!AH44/'Market levels'!AG44-1,""))</f>
        <v>-0.0832569282186273</v>
      </c>
      <c r="T44" s="33" t="n">
        <f aca="false">IF($A44="","",IFERROR(('Market levels'!AM44/'Market levels'!AH44)^(1/5)-1,""))</f>
        <v>0.0540684666979081</v>
      </c>
      <c r="U44" s="31" t="n">
        <v>0.3</v>
      </c>
      <c r="V44" s="32" t="n">
        <v>0.01</v>
      </c>
      <c r="W44" s="32" t="n">
        <v>0</v>
      </c>
      <c r="X44" s="32" t="n">
        <v>0.035</v>
      </c>
      <c r="Y44" s="32"/>
      <c r="Z44" s="32"/>
      <c r="AA44" s="17" t="n">
        <v>4</v>
      </c>
      <c r="AB44" s="17" t="n">
        <v>3</v>
      </c>
      <c r="AC44" s="17" t="n">
        <v>3</v>
      </c>
      <c r="AD44" s="17" t="n">
        <v>3</v>
      </c>
    </row>
    <row r="45" customFormat="false" ht="15" hidden="false" customHeight="false" outlineLevel="0" collapsed="false">
      <c r="A45" s="14" t="s">
        <v>167</v>
      </c>
      <c r="B45" s="14" t="s">
        <v>219</v>
      </c>
      <c r="C45" s="14" t="s">
        <v>213</v>
      </c>
      <c r="D45" s="14" t="s">
        <v>210</v>
      </c>
      <c r="E45" s="14" t="s">
        <v>167</v>
      </c>
      <c r="F45" s="30" t="n">
        <f aca="false">IF($A45="","",'Market levels'!I45)</f>
        <v>4695.02</v>
      </c>
      <c r="G45" s="31" t="n">
        <v>73</v>
      </c>
      <c r="H45" s="32"/>
      <c r="I45" s="32"/>
      <c r="J45" s="31" t="n">
        <v>36</v>
      </c>
      <c r="K45" s="33" t="n">
        <f aca="false">IF($A45="","",IFERROR(('Market levels'!I45/'Market levels'!D45)^(1/5)-1,""))</f>
        <v>-0.062718340864463</v>
      </c>
      <c r="L45" s="33" t="n">
        <f aca="false">IF($A45="","",IFERROR('Market levels'!J45/'Market levels'!I45-1,""))</f>
        <v>-0.00852818518344989</v>
      </c>
      <c r="M45" s="33" t="n">
        <f aca="false">IF($A45="","",IFERROR(('Market levels'!O45/'Market levels'!J45)^(1/5)-1,""))</f>
        <v>0.0330537597407516</v>
      </c>
      <c r="N45" s="34" t="n">
        <f aca="false">IF($A45="","",IFERROR('Market levels'!U45/'Market levels'!I45,""))</f>
        <v>0.625839719532611</v>
      </c>
      <c r="O45" s="33" t="n">
        <f aca="false">IF($A45="","",IFERROR(('Market levels'!U45/'Market levels'!P45)^(1/5)-1,""))</f>
        <v>-0.0193795965026594</v>
      </c>
      <c r="P45" s="33" t="n">
        <f aca="false">IF($A45="","",IFERROR('Market levels'!V45/'Market levels'!U45-1,""))</f>
        <v>0.0296631079558796</v>
      </c>
      <c r="Q45" s="33" t="n">
        <f aca="false">IF($A45="","",IFERROR(('Market levels'!AA45/'Market levels'!V45)^(1/5)-1,""))</f>
        <v>0.029650174076602</v>
      </c>
      <c r="R45" s="33" t="n">
        <f aca="false">IF($A45="","",IFERROR(('Market levels'!AG45/'Market levels'!AB45)^(1/5)-1,""))</f>
        <v>-0.115789490686626</v>
      </c>
      <c r="S45" s="33" t="n">
        <f aca="false">IF($A45="","",IFERROR('Market levels'!AH45/'Market levels'!AG45-1,""))</f>
        <v>-0.0724089053845585</v>
      </c>
      <c r="T45" s="33" t="n">
        <f aca="false">IF($A45="","",IFERROR(('Market levels'!AM45/'Market levels'!AH45)^(1/5)-1,""))</f>
        <v>0.0392567847289851</v>
      </c>
      <c r="U45" s="31" t="n">
        <v>2.2</v>
      </c>
      <c r="V45" s="32" t="n">
        <v>0.01</v>
      </c>
      <c r="W45" s="32" t="n">
        <v>0</v>
      </c>
      <c r="X45" s="32" t="n">
        <v>0.035</v>
      </c>
      <c r="Y45" s="32"/>
      <c r="Z45" s="32"/>
      <c r="AA45" s="17" t="n">
        <v>4</v>
      </c>
      <c r="AB45" s="17" t="n">
        <v>3</v>
      </c>
      <c r="AC45" s="17" t="n">
        <v>3</v>
      </c>
      <c r="AD45" s="17" t="n">
        <v>3</v>
      </c>
    </row>
    <row r="46" customFormat="false" ht="15" hidden="false" customHeight="false" outlineLevel="0" collapsed="false">
      <c r="A46" s="14" t="s">
        <v>167</v>
      </c>
      <c r="B46" s="14" t="s">
        <v>219</v>
      </c>
      <c r="C46" s="14" t="s">
        <v>213</v>
      </c>
      <c r="D46" s="14" t="s">
        <v>211</v>
      </c>
      <c r="E46" s="14" t="s">
        <v>167</v>
      </c>
      <c r="F46" s="30" t="n">
        <f aca="false">IF($A46="","",'Market levels'!I46)</f>
        <v>4695.02</v>
      </c>
      <c r="G46" s="31" t="n">
        <v>10</v>
      </c>
      <c r="H46" s="32"/>
      <c r="I46" s="32"/>
      <c r="J46" s="31" t="n">
        <v>3</v>
      </c>
      <c r="K46" s="33" t="n">
        <f aca="false">IF($A46="","",IFERROR(('Market levels'!I46/'Market levels'!D46)^(1/5)-1,""))</f>
        <v>-0.062718340864463</v>
      </c>
      <c r="L46" s="33" t="n">
        <f aca="false">IF($A46="","",IFERROR('Market levels'!J46/'Market levels'!I46-1,""))</f>
        <v>-0.00852818518344989</v>
      </c>
      <c r="M46" s="33" t="n">
        <f aca="false">IF($A46="","",IFERROR(('Market levels'!O46/'Market levels'!J46)^(1/5)-1,""))</f>
        <v>0.0330537597407516</v>
      </c>
      <c r="N46" s="34" t="n">
        <f aca="false">IF($A46="","",IFERROR('Market levels'!U46/'Market levels'!I46,""))</f>
        <v>0.625839719532611</v>
      </c>
      <c r="O46" s="33" t="n">
        <f aca="false">IF($A46="","",IFERROR(('Market levels'!U46/'Market levels'!P46)^(1/5)-1,""))</f>
        <v>-0.0193795965026594</v>
      </c>
      <c r="P46" s="33" t="n">
        <f aca="false">IF($A46="","",IFERROR('Market levels'!V46/'Market levels'!U46-1,""))</f>
        <v>0.0296631079558796</v>
      </c>
      <c r="Q46" s="33" t="n">
        <f aca="false">IF($A46="","",IFERROR(('Market levels'!AA46/'Market levels'!V46)^(1/5)-1,""))</f>
        <v>0.029650174076602</v>
      </c>
      <c r="R46" s="33" t="n">
        <f aca="false">IF($A46="","",IFERROR(('Market levels'!AG46/'Market levels'!AB46)^(1/5)-1,""))</f>
        <v>-0.115789490686626</v>
      </c>
      <c r="S46" s="33" t="n">
        <f aca="false">IF($A46="","",IFERROR('Market levels'!AH46/'Market levels'!AG46-1,""))</f>
        <v>-0.0724089053845585</v>
      </c>
      <c r="T46" s="33" t="n">
        <f aca="false">IF($A46="","",IFERROR(('Market levels'!AM46/'Market levels'!AH46)^(1/5)-1,""))</f>
        <v>0.0392567847289851</v>
      </c>
      <c r="U46" s="31" t="n">
        <v>0.1</v>
      </c>
      <c r="V46" s="32" t="n">
        <v>0.025</v>
      </c>
      <c r="W46" s="32" t="n">
        <v>0.015</v>
      </c>
      <c r="X46" s="32" t="n">
        <v>0.05</v>
      </c>
      <c r="Y46" s="32"/>
      <c r="Z46" s="32"/>
      <c r="AA46" s="17" t="n">
        <v>4</v>
      </c>
      <c r="AB46" s="17" t="n">
        <v>3</v>
      </c>
      <c r="AC46" s="17" t="n">
        <v>3</v>
      </c>
      <c r="AD46" s="17" t="n">
        <v>3</v>
      </c>
    </row>
    <row r="47" customFormat="false" ht="15" hidden="false" customHeight="false" outlineLevel="0" collapsed="false">
      <c r="A47" s="14" t="s">
        <v>167</v>
      </c>
      <c r="B47" s="14" t="s">
        <v>219</v>
      </c>
      <c r="C47" s="14" t="s">
        <v>213</v>
      </c>
      <c r="D47" s="14" t="s">
        <v>212</v>
      </c>
      <c r="E47" s="14" t="s">
        <v>167</v>
      </c>
      <c r="F47" s="30" t="n">
        <f aca="false">IF($A47="","",'Market levels'!I47)</f>
        <v>4695.02</v>
      </c>
      <c r="G47" s="31" t="n">
        <v>32</v>
      </c>
      <c r="H47" s="32"/>
      <c r="I47" s="32"/>
      <c r="J47" s="31" t="n">
        <v>13</v>
      </c>
      <c r="K47" s="33" t="n">
        <f aca="false">IF($A47="","",IFERROR(('Market levels'!I47/'Market levels'!D47)^(1/5)-1,""))</f>
        <v>-0.062718340864463</v>
      </c>
      <c r="L47" s="33" t="n">
        <f aca="false">IF($A47="","",IFERROR('Market levels'!J47/'Market levels'!I47-1,""))</f>
        <v>-0.00852818518344989</v>
      </c>
      <c r="M47" s="33" t="n">
        <f aca="false">IF($A47="","",IFERROR(('Market levels'!O47/'Market levels'!J47)^(1/5)-1,""))</f>
        <v>0.0330537597407516</v>
      </c>
      <c r="N47" s="34" t="n">
        <f aca="false">IF($A47="","",IFERROR('Market levels'!U47/'Market levels'!I47,""))</f>
        <v>0.625839719532611</v>
      </c>
      <c r="O47" s="33" t="n">
        <f aca="false">IF($A47="","",IFERROR(('Market levels'!U47/'Market levels'!P47)^(1/5)-1,""))</f>
        <v>-0.0193795965026594</v>
      </c>
      <c r="P47" s="33" t="n">
        <f aca="false">IF($A47="","",IFERROR('Market levels'!V47/'Market levels'!U47-1,""))</f>
        <v>0.0296631079558796</v>
      </c>
      <c r="Q47" s="33" t="n">
        <f aca="false">IF($A47="","",IFERROR(('Market levels'!AA47/'Market levels'!V47)^(1/5)-1,""))</f>
        <v>0.029650174076602</v>
      </c>
      <c r="R47" s="33" t="n">
        <f aca="false">IF($A47="","",IFERROR(('Market levels'!AG47/'Market levels'!AB47)^(1/5)-1,""))</f>
        <v>-0.115789490686626</v>
      </c>
      <c r="S47" s="33" t="n">
        <f aca="false">IF($A47="","",IFERROR('Market levels'!AH47/'Market levels'!AG47-1,""))</f>
        <v>-0.0724089053845585</v>
      </c>
      <c r="T47" s="33" t="n">
        <f aca="false">IF($A47="","",IFERROR(('Market levels'!AM47/'Market levels'!AH47)^(1/5)-1,""))</f>
        <v>0.0392567847289851</v>
      </c>
      <c r="U47" s="31" t="n">
        <v>0.6</v>
      </c>
      <c r="V47" s="32" t="n">
        <v>0.015</v>
      </c>
      <c r="W47" s="32" t="n">
        <v>0.005</v>
      </c>
      <c r="X47" s="32" t="n">
        <v>0.04</v>
      </c>
      <c r="Y47" s="32"/>
      <c r="Z47" s="32"/>
      <c r="AA47" s="17" t="n">
        <v>4</v>
      </c>
      <c r="AB47" s="17" t="n">
        <v>3</v>
      </c>
      <c r="AC47" s="17" t="n">
        <v>3</v>
      </c>
      <c r="AD47" s="17" t="n">
        <v>3</v>
      </c>
    </row>
    <row r="48" customFormat="false" ht="15" hidden="false" customHeight="false" outlineLevel="0" collapsed="false">
      <c r="A48" s="14" t="s">
        <v>163</v>
      </c>
      <c r="B48" s="14" t="s">
        <v>220</v>
      </c>
      <c r="C48" s="14" t="s">
        <v>209</v>
      </c>
      <c r="D48" s="14" t="s">
        <v>210</v>
      </c>
      <c r="E48" s="14" t="s">
        <v>163</v>
      </c>
      <c r="F48" s="30" t="n">
        <f aca="false">IF($A48="","",'Market levels'!I48)</f>
        <v>12045.18</v>
      </c>
      <c r="G48" s="31" t="n">
        <v>155</v>
      </c>
      <c r="H48" s="32"/>
      <c r="I48" s="32"/>
      <c r="J48" s="31" t="n">
        <v>85</v>
      </c>
      <c r="K48" s="33" t="n">
        <f aca="false">IF($A48="","",IFERROR(('Market levels'!I48/'Market levels'!D48)^(1/5)-1,""))</f>
        <v>0.0326397767255737</v>
      </c>
      <c r="L48" s="33" t="n">
        <f aca="false">IF($A48="","",IFERROR('Market levels'!J48/'Market levels'!I48-1,""))</f>
        <v>-0.0530170574453849</v>
      </c>
      <c r="M48" s="33" t="n">
        <f aca="false">IF($A48="","",IFERROR(('Market levels'!O48/'Market levels'!J48)^(1/5)-1,""))</f>
        <v>0.0181504700923969</v>
      </c>
      <c r="N48" s="34" t="n">
        <f aca="false">IF($A48="","",IFERROR('Market levels'!U48/'Market levels'!I48,""))</f>
        <v>0.816850391608926</v>
      </c>
      <c r="O48" s="33" t="n">
        <f aca="false">IF($A48="","",IFERROR(('Market levels'!U48/'Market levels'!P48)^(1/5)-1,""))</f>
        <v>0.0582416845072404</v>
      </c>
      <c r="P48" s="33" t="n">
        <f aca="false">IF($A48="","",IFERROR('Market levels'!V48/'Market levels'!U48-1,""))</f>
        <v>-0.0506153503721374</v>
      </c>
      <c r="Q48" s="33" t="n">
        <f aca="false">IF($A48="","",IFERROR(('Market levels'!AA48/'Market levels'!V48)^(1/5)-1,""))</f>
        <v>0.0281623776166671</v>
      </c>
      <c r="R48" s="33" t="n">
        <f aca="false">IF($A48="","",IFERROR(('Market levels'!AG48/'Market levels'!AB48)^(1/5)-1,""))</f>
        <v>-0.0495651228964285</v>
      </c>
      <c r="S48" s="33" t="n">
        <f aca="false">IF($A48="","",IFERROR('Market levels'!AH48/'Market levels'!AG48-1,""))</f>
        <v>-0.0637287121442204</v>
      </c>
      <c r="T48" s="33" t="n">
        <f aca="false">IF($A48="","",IFERROR(('Market levels'!AM48/'Market levels'!AH48)^(1/5)-1,""))</f>
        <v>-0.0328957912463279</v>
      </c>
      <c r="U48" s="31" t="n">
        <v>8.2</v>
      </c>
      <c r="V48" s="32" t="n">
        <v>0.02</v>
      </c>
      <c r="W48" s="32" t="n">
        <v>0.01</v>
      </c>
      <c r="X48" s="32" t="n">
        <v>0.03</v>
      </c>
      <c r="Y48" s="32"/>
      <c r="Z48" s="32"/>
      <c r="AA48" s="17" t="n">
        <v>4</v>
      </c>
      <c r="AB48" s="17" t="n">
        <v>3</v>
      </c>
      <c r="AC48" s="17" t="n">
        <v>3</v>
      </c>
      <c r="AD48" s="17" t="n">
        <v>3</v>
      </c>
    </row>
    <row r="49" customFormat="false" ht="15" hidden="false" customHeight="false" outlineLevel="0" collapsed="false">
      <c r="A49" s="14" t="s">
        <v>163</v>
      </c>
      <c r="B49" s="14" t="s">
        <v>220</v>
      </c>
      <c r="C49" s="14" t="s">
        <v>209</v>
      </c>
      <c r="D49" s="14" t="s">
        <v>211</v>
      </c>
      <c r="E49" s="14" t="s">
        <v>163</v>
      </c>
      <c r="F49" s="30" t="n">
        <f aca="false">IF($A49="","",'Market levels'!I49)</f>
        <v>12045.18</v>
      </c>
      <c r="G49" s="31" t="n">
        <v>37</v>
      </c>
      <c r="H49" s="32"/>
      <c r="I49" s="32"/>
      <c r="J49" s="31" t="n">
        <v>13</v>
      </c>
      <c r="K49" s="33" t="n">
        <f aca="false">IF($A49="","",IFERROR(('Market levels'!I49/'Market levels'!D49)^(1/5)-1,""))</f>
        <v>0.0326397767255737</v>
      </c>
      <c r="L49" s="33" t="n">
        <f aca="false">IF($A49="","",IFERROR('Market levels'!J49/'Market levels'!I49-1,""))</f>
        <v>-0.0530170574453849</v>
      </c>
      <c r="M49" s="33" t="n">
        <f aca="false">IF($A49="","",IFERROR(('Market levels'!O49/'Market levels'!J49)^(1/5)-1,""))</f>
        <v>0.0181504700923969</v>
      </c>
      <c r="N49" s="34" t="n">
        <f aca="false">IF($A49="","",IFERROR('Market levels'!U49/'Market levels'!I49,""))</f>
        <v>0.816850391608926</v>
      </c>
      <c r="O49" s="33" t="n">
        <f aca="false">IF($A49="","",IFERROR(('Market levels'!U49/'Market levels'!P49)^(1/5)-1,""))</f>
        <v>0.0582416845072404</v>
      </c>
      <c r="P49" s="33" t="n">
        <f aca="false">IF($A49="","",IFERROR('Market levels'!V49/'Market levels'!U49-1,""))</f>
        <v>-0.0506153503721374</v>
      </c>
      <c r="Q49" s="33" t="n">
        <f aca="false">IF($A49="","",IFERROR(('Market levels'!AA49/'Market levels'!V49)^(1/5)-1,""))</f>
        <v>0.0281623776166671</v>
      </c>
      <c r="R49" s="33" t="n">
        <f aca="false">IF($A49="","",IFERROR(('Market levels'!AG49/'Market levels'!AB49)^(1/5)-1,""))</f>
        <v>-0.0495651228964285</v>
      </c>
      <c r="S49" s="33" t="n">
        <f aca="false">IF($A49="","",IFERROR('Market levels'!AH49/'Market levels'!AG49-1,""))</f>
        <v>-0.0637287121442204</v>
      </c>
      <c r="T49" s="33" t="n">
        <f aca="false">IF($A49="","",IFERROR(('Market levels'!AM49/'Market levels'!AH49)^(1/5)-1,""))</f>
        <v>-0.0328957912463279</v>
      </c>
      <c r="U49" s="31" t="n">
        <v>0.6</v>
      </c>
      <c r="V49" s="32" t="n">
        <v>0.035</v>
      </c>
      <c r="W49" s="32" t="n">
        <v>0.025</v>
      </c>
      <c r="X49" s="32" t="n">
        <v>0.045</v>
      </c>
      <c r="Y49" s="32"/>
      <c r="Z49" s="32"/>
      <c r="AA49" s="17" t="n">
        <v>4</v>
      </c>
      <c r="AB49" s="17" t="n">
        <v>3</v>
      </c>
      <c r="AC49" s="17" t="n">
        <v>3</v>
      </c>
      <c r="AD49" s="17" t="n">
        <v>3</v>
      </c>
    </row>
    <row r="50" customFormat="false" ht="15" hidden="false" customHeight="false" outlineLevel="0" collapsed="false">
      <c r="A50" s="14" t="s">
        <v>163</v>
      </c>
      <c r="B50" s="14" t="s">
        <v>220</v>
      </c>
      <c r="C50" s="14" t="s">
        <v>209</v>
      </c>
      <c r="D50" s="14" t="s">
        <v>212</v>
      </c>
      <c r="E50" s="14" t="s">
        <v>163</v>
      </c>
      <c r="F50" s="30" t="n">
        <f aca="false">IF($A50="","",'Market levels'!I50)</f>
        <v>12045.18</v>
      </c>
      <c r="G50" s="31" t="n">
        <v>78</v>
      </c>
      <c r="H50" s="32"/>
      <c r="I50" s="32"/>
      <c r="J50" s="31" t="n">
        <v>35</v>
      </c>
      <c r="K50" s="33" t="n">
        <f aca="false">IF($A50="","",IFERROR(('Market levels'!I50/'Market levels'!D50)^(1/5)-1,""))</f>
        <v>0.0326397767255737</v>
      </c>
      <c r="L50" s="33" t="n">
        <f aca="false">IF($A50="","",IFERROR('Market levels'!J50/'Market levels'!I50-1,""))</f>
        <v>-0.0530170574453849</v>
      </c>
      <c r="M50" s="33" t="n">
        <f aca="false">IF($A50="","",IFERROR(('Market levels'!O50/'Market levels'!J50)^(1/5)-1,""))</f>
        <v>0.0181504700923969</v>
      </c>
      <c r="N50" s="34" t="n">
        <f aca="false">IF($A50="","",IFERROR('Market levels'!U50/'Market levels'!I50,""))</f>
        <v>0.816850391608926</v>
      </c>
      <c r="O50" s="33" t="n">
        <f aca="false">IF($A50="","",IFERROR(('Market levels'!U50/'Market levels'!P50)^(1/5)-1,""))</f>
        <v>0.0582416845072404</v>
      </c>
      <c r="P50" s="33" t="n">
        <f aca="false">IF($A50="","",IFERROR('Market levels'!V50/'Market levels'!U50-1,""))</f>
        <v>-0.0506153503721374</v>
      </c>
      <c r="Q50" s="33" t="n">
        <f aca="false">IF($A50="","",IFERROR(('Market levels'!AA50/'Market levels'!V50)^(1/5)-1,""))</f>
        <v>0.0281623776166671</v>
      </c>
      <c r="R50" s="33" t="n">
        <f aca="false">IF($A50="","",IFERROR(('Market levels'!AG50/'Market levels'!AB50)^(1/5)-1,""))</f>
        <v>-0.0495651228964285</v>
      </c>
      <c r="S50" s="33" t="n">
        <f aca="false">IF($A50="","",IFERROR('Market levels'!AH50/'Market levels'!AG50-1,""))</f>
        <v>-0.0637287121442204</v>
      </c>
      <c r="T50" s="33" t="n">
        <f aca="false">IF($A50="","",IFERROR(('Market levels'!AM50/'Market levels'!AH50)^(1/5)-1,""))</f>
        <v>-0.0328957912463279</v>
      </c>
      <c r="U50" s="31" t="n">
        <v>2.5</v>
      </c>
      <c r="V50" s="32" t="n">
        <v>0.025</v>
      </c>
      <c r="W50" s="32" t="n">
        <v>0.015</v>
      </c>
      <c r="X50" s="32" t="n">
        <v>0.035</v>
      </c>
      <c r="Y50" s="32"/>
      <c r="Z50" s="32"/>
      <c r="AA50" s="17" t="n">
        <v>4</v>
      </c>
      <c r="AB50" s="17" t="n">
        <v>3</v>
      </c>
      <c r="AC50" s="17" t="n">
        <v>3</v>
      </c>
      <c r="AD50" s="17" t="n">
        <v>3</v>
      </c>
    </row>
    <row r="51" customFormat="false" ht="15" hidden="false" customHeight="false" outlineLevel="0" collapsed="false">
      <c r="A51" s="14" t="s">
        <v>163</v>
      </c>
      <c r="B51" s="14" t="s">
        <v>220</v>
      </c>
      <c r="C51" s="14" t="s">
        <v>213</v>
      </c>
      <c r="D51" s="14" t="s">
        <v>210</v>
      </c>
      <c r="E51" s="14" t="s">
        <v>163</v>
      </c>
      <c r="F51" s="30" t="n">
        <f aca="false">IF($A51="","",'Market levels'!I51)</f>
        <v>8042.48</v>
      </c>
      <c r="G51" s="31" t="n">
        <v>104</v>
      </c>
      <c r="H51" s="32"/>
      <c r="I51" s="32"/>
      <c r="J51" s="31" t="n">
        <v>57</v>
      </c>
      <c r="K51" s="33" t="n">
        <f aca="false">IF($A51="","",IFERROR(('Market levels'!I51/'Market levels'!D51)^(1/5)-1,""))</f>
        <v>0.0354377644926591</v>
      </c>
      <c r="L51" s="33" t="n">
        <f aca="false">IF($A51="","",IFERROR('Market levels'!J51/'Market levels'!I51-1,""))</f>
        <v>-0.0407821965363917</v>
      </c>
      <c r="M51" s="33" t="n">
        <f aca="false">IF($A51="","",IFERROR(('Market levels'!O51/'Market levels'!J51)^(1/5)-1,""))</f>
        <v>0.0215696868689033</v>
      </c>
      <c r="N51" s="34" t="n">
        <f aca="false">IF($A51="","",IFERROR('Market levels'!U51/'Market levels'!I51,""))</f>
        <v>0.450710477365191</v>
      </c>
      <c r="O51" s="33" t="n">
        <f aca="false">IF($A51="","",IFERROR(('Market levels'!U51/'Market levels'!P51)^(1/5)-1,""))</f>
        <v>0.0682346136542571</v>
      </c>
      <c r="P51" s="33" t="n">
        <f aca="false">IF($A51="","",IFERROR('Market levels'!V51/'Market levels'!U51-1,""))</f>
        <v>-0.0350664720828288</v>
      </c>
      <c r="Q51" s="33" t="n">
        <f aca="false">IF($A51="","",IFERROR(('Market levels'!AA51/'Market levels'!V51)^(1/5)-1,""))</f>
        <v>0.0287223647508359</v>
      </c>
      <c r="R51" s="33" t="n">
        <f aca="false">IF($A51="","",IFERROR(('Market levels'!AG51/'Market levels'!AB51)^(1/5)-1,""))</f>
        <v>0.012511518316763</v>
      </c>
      <c r="S51" s="33" t="n">
        <f aca="false">IF($A51="","",IFERROR('Market levels'!AH51/'Market levels'!AG51-1,""))</f>
        <v>-0.0454721401650197</v>
      </c>
      <c r="T51" s="33" t="n">
        <f aca="false">IF($A51="","",IFERROR(('Market levels'!AM51/'Market levels'!AH51)^(1/5)-1,""))</f>
        <v>0.015480878882054</v>
      </c>
      <c r="U51" s="31" t="n">
        <v>4.1</v>
      </c>
      <c r="V51" s="32" t="n">
        <v>0.025</v>
      </c>
      <c r="W51" s="32" t="n">
        <v>0.015</v>
      </c>
      <c r="X51" s="32" t="n">
        <v>0.035</v>
      </c>
      <c r="Y51" s="32"/>
      <c r="Z51" s="32"/>
      <c r="AA51" s="17" t="n">
        <v>4</v>
      </c>
      <c r="AB51" s="17" t="n">
        <v>3</v>
      </c>
      <c r="AC51" s="17" t="n">
        <v>3</v>
      </c>
      <c r="AD51" s="17" t="n">
        <v>3</v>
      </c>
    </row>
    <row r="52" customFormat="false" ht="15" hidden="false" customHeight="false" outlineLevel="0" collapsed="false">
      <c r="A52" s="14" t="s">
        <v>163</v>
      </c>
      <c r="B52" s="14" t="s">
        <v>220</v>
      </c>
      <c r="C52" s="14" t="s">
        <v>213</v>
      </c>
      <c r="D52" s="14" t="s">
        <v>211</v>
      </c>
      <c r="E52" s="14" t="s">
        <v>163</v>
      </c>
      <c r="F52" s="30" t="n">
        <f aca="false">IF($A52="","",'Market levels'!I52)</f>
        <v>8042.48</v>
      </c>
      <c r="G52" s="31" t="n">
        <v>26</v>
      </c>
      <c r="H52" s="32"/>
      <c r="I52" s="32"/>
      <c r="J52" s="31" t="n">
        <v>9</v>
      </c>
      <c r="K52" s="33" t="n">
        <f aca="false">IF($A52="","",IFERROR(('Market levels'!I52/'Market levels'!D52)^(1/5)-1,""))</f>
        <v>0.0354377644926591</v>
      </c>
      <c r="L52" s="33" t="n">
        <f aca="false">IF($A52="","",IFERROR('Market levels'!J52/'Market levels'!I52-1,""))</f>
        <v>-0.0407821965363917</v>
      </c>
      <c r="M52" s="33" t="n">
        <f aca="false">IF($A52="","",IFERROR(('Market levels'!O52/'Market levels'!J52)^(1/5)-1,""))</f>
        <v>0.0215696868689033</v>
      </c>
      <c r="N52" s="34" t="n">
        <f aca="false">IF($A52="","",IFERROR('Market levels'!U52/'Market levels'!I52,""))</f>
        <v>0.450710477365191</v>
      </c>
      <c r="O52" s="33" t="n">
        <f aca="false">IF($A52="","",IFERROR(('Market levels'!U52/'Market levels'!P52)^(1/5)-1,""))</f>
        <v>0.0682346136542571</v>
      </c>
      <c r="P52" s="33" t="n">
        <f aca="false">IF($A52="","",IFERROR('Market levels'!V52/'Market levels'!U52-1,""))</f>
        <v>-0.0350664720828288</v>
      </c>
      <c r="Q52" s="33" t="n">
        <f aca="false">IF($A52="","",IFERROR(('Market levels'!AA52/'Market levels'!V52)^(1/5)-1,""))</f>
        <v>0.0287223647508359</v>
      </c>
      <c r="R52" s="33" t="n">
        <f aca="false">IF($A52="","",IFERROR(('Market levels'!AG52/'Market levels'!AB52)^(1/5)-1,""))</f>
        <v>0.012511518316763</v>
      </c>
      <c r="S52" s="33" t="n">
        <f aca="false">IF($A52="","",IFERROR('Market levels'!AH52/'Market levels'!AG52-1,""))</f>
        <v>-0.0454721401650197</v>
      </c>
      <c r="T52" s="33" t="n">
        <f aca="false">IF($A52="","",IFERROR(('Market levels'!AM52/'Market levels'!AH52)^(1/5)-1,""))</f>
        <v>0.015480878882054</v>
      </c>
      <c r="U52" s="31" t="n">
        <v>0.3</v>
      </c>
      <c r="V52" s="32" t="n">
        <v>0.04</v>
      </c>
      <c r="W52" s="32" t="n">
        <v>0.03</v>
      </c>
      <c r="X52" s="32" t="n">
        <v>0.05</v>
      </c>
      <c r="Y52" s="32"/>
      <c r="Z52" s="32"/>
      <c r="AA52" s="17" t="n">
        <v>4</v>
      </c>
      <c r="AB52" s="17" t="n">
        <v>3</v>
      </c>
      <c r="AC52" s="17" t="n">
        <v>3</v>
      </c>
      <c r="AD52" s="17" t="n">
        <v>3</v>
      </c>
    </row>
    <row r="53" customFormat="false" ht="15" hidden="false" customHeight="false" outlineLevel="0" collapsed="false">
      <c r="A53" s="14" t="s">
        <v>163</v>
      </c>
      <c r="B53" s="14" t="s">
        <v>220</v>
      </c>
      <c r="C53" s="14" t="s">
        <v>213</v>
      </c>
      <c r="D53" s="14" t="s">
        <v>212</v>
      </c>
      <c r="E53" s="14" t="s">
        <v>163</v>
      </c>
      <c r="F53" s="30" t="n">
        <f aca="false">IF($A53="","",'Market levels'!I53)</f>
        <v>8042.48</v>
      </c>
      <c r="G53" s="31" t="n">
        <v>51</v>
      </c>
      <c r="H53" s="32"/>
      <c r="I53" s="32"/>
      <c r="J53" s="31" t="n">
        <v>23</v>
      </c>
      <c r="K53" s="33" t="n">
        <f aca="false">IF($A53="","",IFERROR(('Market levels'!I53/'Market levels'!D53)^(1/5)-1,""))</f>
        <v>0.0354377644926591</v>
      </c>
      <c r="L53" s="33" t="n">
        <f aca="false">IF($A53="","",IFERROR('Market levels'!J53/'Market levels'!I53-1,""))</f>
        <v>-0.0407821965363917</v>
      </c>
      <c r="M53" s="33" t="n">
        <f aca="false">IF($A53="","",IFERROR(('Market levels'!O53/'Market levels'!J53)^(1/5)-1,""))</f>
        <v>0.0215696868689033</v>
      </c>
      <c r="N53" s="34" t="n">
        <f aca="false">IF($A53="","",IFERROR('Market levels'!U53/'Market levels'!I53,""))</f>
        <v>0.450710477365191</v>
      </c>
      <c r="O53" s="33" t="n">
        <f aca="false">IF($A53="","",IFERROR(('Market levels'!U53/'Market levels'!P53)^(1/5)-1,""))</f>
        <v>0.0682346136542571</v>
      </c>
      <c r="P53" s="33" t="n">
        <f aca="false">IF($A53="","",IFERROR('Market levels'!V53/'Market levels'!U53-1,""))</f>
        <v>-0.0350664720828288</v>
      </c>
      <c r="Q53" s="33" t="n">
        <f aca="false">IF($A53="","",IFERROR(('Market levels'!AA53/'Market levels'!V53)^(1/5)-1,""))</f>
        <v>0.0287223647508359</v>
      </c>
      <c r="R53" s="33" t="n">
        <f aca="false">IF($A53="","",IFERROR(('Market levels'!AG53/'Market levels'!AB53)^(1/5)-1,""))</f>
        <v>0.012511518316763</v>
      </c>
      <c r="S53" s="33" t="n">
        <f aca="false">IF($A53="","",IFERROR('Market levels'!AH53/'Market levels'!AG53-1,""))</f>
        <v>-0.0454721401650197</v>
      </c>
      <c r="T53" s="33" t="n">
        <f aca="false">IF($A53="","",IFERROR(('Market levels'!AM53/'Market levels'!AH53)^(1/5)-1,""))</f>
        <v>0.015480878882054</v>
      </c>
      <c r="U53" s="31" t="n">
        <v>1.2</v>
      </c>
      <c r="V53" s="32" t="n">
        <v>0.03</v>
      </c>
      <c r="W53" s="32" t="n">
        <v>0.02</v>
      </c>
      <c r="X53" s="32" t="n">
        <v>0.04</v>
      </c>
      <c r="Y53" s="32"/>
      <c r="Z53" s="32"/>
      <c r="AA53" s="17" t="n">
        <v>4</v>
      </c>
      <c r="AB53" s="17" t="n">
        <v>3</v>
      </c>
      <c r="AC53" s="17" t="n">
        <v>3</v>
      </c>
      <c r="AD53" s="17" t="n">
        <v>3</v>
      </c>
    </row>
    <row r="54" customFormat="false" ht="15" hidden="false" customHeight="false" outlineLevel="0" collapsed="false">
      <c r="A54" s="14" t="s">
        <v>161</v>
      </c>
      <c r="B54" s="14" t="s">
        <v>221</v>
      </c>
      <c r="C54" s="14" t="s">
        <v>209</v>
      </c>
      <c r="D54" s="14" t="s">
        <v>210</v>
      </c>
      <c r="E54" s="14" t="s">
        <v>161</v>
      </c>
      <c r="F54" s="30" t="n">
        <f aca="false">IF($A54="","",'Market levels'!I54)</f>
        <v>96006.35</v>
      </c>
      <c r="G54" s="31" t="n">
        <v>1118</v>
      </c>
      <c r="H54" s="32"/>
      <c r="I54" s="32"/>
      <c r="J54" s="31" t="n">
        <v>615</v>
      </c>
      <c r="K54" s="33" t="n">
        <f aca="false">IF($A54="","",IFERROR(('Market levels'!I54/'Market levels'!D54)^(1/5)-1,""))</f>
        <v>-0.0534251096435302</v>
      </c>
      <c r="L54" s="33" t="n">
        <f aca="false">IF($A54="","",IFERROR('Market levels'!J54/'Market levels'!I54-1,""))</f>
        <v>-0.00566275043265374</v>
      </c>
      <c r="M54" s="33" t="n">
        <f aca="false">IF($A54="","",IFERROR(('Market levels'!O54/'Market levels'!J54)^(1/5)-1,""))</f>
        <v>0.0287276954117597</v>
      </c>
      <c r="N54" s="34" t="n">
        <f aca="false">IF($A54="","",IFERROR('Market levels'!U54/'Market levels'!I54,""))</f>
        <v>0.824697116388656</v>
      </c>
      <c r="O54" s="33" t="n">
        <f aca="false">IF($A54="","",IFERROR(('Market levels'!U54/'Market levels'!P54)^(1/5)-1,""))</f>
        <v>-0.030846031919548</v>
      </c>
      <c r="P54" s="33" t="n">
        <f aca="false">IF($A54="","",IFERROR('Market levels'!V54/'Market levels'!U54-1,""))</f>
        <v>-0.0229630989934343</v>
      </c>
      <c r="Q54" s="33" t="n">
        <f aca="false">IF($A54="","",IFERROR(('Market levels'!AA54/'Market levels'!V54)^(1/5)-1,""))</f>
        <v>0.0297289891885875</v>
      </c>
      <c r="R54" s="33" t="n">
        <f aca="false">IF($A54="","",IFERROR(('Market levels'!AG54/'Market levels'!AB54)^(1/5)-1,""))</f>
        <v>-0.129815449999589</v>
      </c>
      <c r="S54" s="33" t="n">
        <f aca="false">IF($A54="","",IFERROR('Market levels'!AH54/'Market levels'!AG54-1,""))</f>
        <v>0.0757252294834458</v>
      </c>
      <c r="T54" s="33" t="n">
        <f aca="false">IF($A54="","",IFERROR(('Market levels'!AM54/'Market levels'!AH54)^(1/5)-1,""))</f>
        <v>0.024404828150171</v>
      </c>
      <c r="U54" s="31" t="n">
        <v>44.3</v>
      </c>
      <c r="V54" s="32" t="n">
        <v>0.02</v>
      </c>
      <c r="W54" s="32" t="n">
        <v>-0.02</v>
      </c>
      <c r="X54" s="32" t="n">
        <v>0.03</v>
      </c>
      <c r="Y54" s="32"/>
      <c r="Z54" s="32"/>
      <c r="AA54" s="17" t="n">
        <v>3</v>
      </c>
      <c r="AB54" s="17" t="n">
        <v>2</v>
      </c>
      <c r="AC54" s="17" t="n">
        <v>3</v>
      </c>
      <c r="AD54" s="17" t="n">
        <v>3</v>
      </c>
    </row>
    <row r="55" customFormat="false" ht="15" hidden="false" customHeight="false" outlineLevel="0" collapsed="false">
      <c r="A55" s="14" t="s">
        <v>161</v>
      </c>
      <c r="B55" s="14" t="s">
        <v>221</v>
      </c>
      <c r="C55" s="14" t="s">
        <v>209</v>
      </c>
      <c r="D55" s="14" t="s">
        <v>211</v>
      </c>
      <c r="E55" s="14" t="s">
        <v>161</v>
      </c>
      <c r="F55" s="30" t="n">
        <f aca="false">IF($A55="","",'Market levels'!I55)</f>
        <v>96006.35</v>
      </c>
      <c r="G55" s="31" t="n">
        <v>454</v>
      </c>
      <c r="H55" s="32"/>
      <c r="I55" s="32"/>
      <c r="J55" s="31" t="n">
        <v>159</v>
      </c>
      <c r="K55" s="33" t="n">
        <f aca="false">IF($A55="","",IFERROR(('Market levels'!I55/'Market levels'!D55)^(1/5)-1,""))</f>
        <v>-0.0534251096435302</v>
      </c>
      <c r="L55" s="33" t="n">
        <f aca="false">IF($A55="","",IFERROR('Market levels'!J55/'Market levels'!I55-1,""))</f>
        <v>-0.00566275043265374</v>
      </c>
      <c r="M55" s="33" t="n">
        <f aca="false">IF($A55="","",IFERROR(('Market levels'!O55/'Market levels'!J55)^(1/5)-1,""))</f>
        <v>0.0287276954117597</v>
      </c>
      <c r="N55" s="34" t="n">
        <f aca="false">IF($A55="","",IFERROR('Market levels'!U55/'Market levels'!I55,""))</f>
        <v>0.824697116388656</v>
      </c>
      <c r="O55" s="33" t="n">
        <f aca="false">IF($A55="","",IFERROR(('Market levels'!U55/'Market levels'!P55)^(1/5)-1,""))</f>
        <v>-0.030846031919548</v>
      </c>
      <c r="P55" s="33" t="n">
        <f aca="false">IF($A55="","",IFERROR('Market levels'!V55/'Market levels'!U55-1,""))</f>
        <v>-0.0229630989934343</v>
      </c>
      <c r="Q55" s="33" t="n">
        <f aca="false">IF($A55="","",IFERROR(('Market levels'!AA55/'Market levels'!V55)^(1/5)-1,""))</f>
        <v>0.0297289891885875</v>
      </c>
      <c r="R55" s="33" t="n">
        <f aca="false">IF($A55="","",IFERROR(('Market levels'!AG55/'Market levels'!AB55)^(1/5)-1,""))</f>
        <v>-0.129815449999589</v>
      </c>
      <c r="S55" s="33" t="n">
        <f aca="false">IF($A55="","",IFERROR('Market levels'!AH55/'Market levels'!AG55-1,""))</f>
        <v>0.0757252294834458</v>
      </c>
      <c r="T55" s="33" t="n">
        <f aca="false">IF($A55="","",IFERROR(('Market levels'!AM55/'Market levels'!AH55)^(1/5)-1,""))</f>
        <v>0.024404828150171</v>
      </c>
      <c r="U55" s="31" t="n">
        <v>5.7</v>
      </c>
      <c r="V55" s="32" t="n">
        <v>0.035</v>
      </c>
      <c r="W55" s="32" t="n">
        <v>-0.005</v>
      </c>
      <c r="X55" s="32" t="n">
        <v>0.045</v>
      </c>
      <c r="Y55" s="32"/>
      <c r="Z55" s="32"/>
      <c r="AA55" s="17" t="n">
        <v>3</v>
      </c>
      <c r="AB55" s="17" t="n">
        <v>2</v>
      </c>
      <c r="AC55" s="17" t="n">
        <v>3</v>
      </c>
      <c r="AD55" s="17" t="n">
        <v>3</v>
      </c>
    </row>
    <row r="56" customFormat="false" ht="15" hidden="false" customHeight="false" outlineLevel="0" collapsed="false">
      <c r="A56" s="14" t="s">
        <v>161</v>
      </c>
      <c r="B56" s="14" t="s">
        <v>221</v>
      </c>
      <c r="C56" s="14" t="s">
        <v>209</v>
      </c>
      <c r="D56" s="14" t="s">
        <v>212</v>
      </c>
      <c r="E56" s="14" t="s">
        <v>161</v>
      </c>
      <c r="F56" s="30" t="n">
        <f aca="false">IF($A56="","",'Market levels'!I56)</f>
        <v>96006.35</v>
      </c>
      <c r="G56" s="31" t="n">
        <v>636</v>
      </c>
      <c r="H56" s="32"/>
      <c r="I56" s="32"/>
      <c r="J56" s="31" t="n">
        <v>286</v>
      </c>
      <c r="K56" s="33" t="n">
        <f aca="false">IF($A56="","",IFERROR(('Market levels'!I56/'Market levels'!D56)^(1/5)-1,""))</f>
        <v>-0.0534251096435302</v>
      </c>
      <c r="L56" s="33" t="n">
        <f aca="false">IF($A56="","",IFERROR('Market levels'!J56/'Market levels'!I56-1,""))</f>
        <v>-0.00566275043265374</v>
      </c>
      <c r="M56" s="33" t="n">
        <f aca="false">IF($A56="","",IFERROR(('Market levels'!O56/'Market levels'!J56)^(1/5)-1,""))</f>
        <v>0.0287276954117597</v>
      </c>
      <c r="N56" s="34" t="n">
        <f aca="false">IF($A56="","",IFERROR('Market levels'!U56/'Market levels'!I56,""))</f>
        <v>0.824697116388656</v>
      </c>
      <c r="O56" s="33" t="n">
        <f aca="false">IF($A56="","",IFERROR(('Market levels'!U56/'Market levels'!P56)^(1/5)-1,""))</f>
        <v>-0.030846031919548</v>
      </c>
      <c r="P56" s="33" t="n">
        <f aca="false">IF($A56="","",IFERROR('Market levels'!V56/'Market levels'!U56-1,""))</f>
        <v>-0.0229630989934343</v>
      </c>
      <c r="Q56" s="33" t="n">
        <f aca="false">IF($A56="","",IFERROR(('Market levels'!AA56/'Market levels'!V56)^(1/5)-1,""))</f>
        <v>0.0297289891885875</v>
      </c>
      <c r="R56" s="33" t="n">
        <f aca="false">IF($A56="","",IFERROR(('Market levels'!AG56/'Market levels'!AB56)^(1/5)-1,""))</f>
        <v>-0.129815449999589</v>
      </c>
      <c r="S56" s="33" t="n">
        <f aca="false">IF($A56="","",IFERROR('Market levels'!AH56/'Market levels'!AG56-1,""))</f>
        <v>0.0757252294834458</v>
      </c>
      <c r="T56" s="33" t="n">
        <f aca="false">IF($A56="","",IFERROR(('Market levels'!AM56/'Market levels'!AH56)^(1/5)-1,""))</f>
        <v>0.024404828150171</v>
      </c>
      <c r="U56" s="31" t="n">
        <v>15.4</v>
      </c>
      <c r="V56" s="32" t="n">
        <v>0.025</v>
      </c>
      <c r="W56" s="32" t="n">
        <v>-0.015</v>
      </c>
      <c r="X56" s="32" t="n">
        <v>0.035</v>
      </c>
      <c r="Y56" s="32"/>
      <c r="Z56" s="32"/>
      <c r="AA56" s="17" t="n">
        <v>3</v>
      </c>
      <c r="AB56" s="17" t="n">
        <v>2</v>
      </c>
      <c r="AC56" s="17" t="n">
        <v>3</v>
      </c>
      <c r="AD56" s="17" t="n">
        <v>3</v>
      </c>
    </row>
    <row r="57" customFormat="false" ht="15" hidden="false" customHeight="false" outlineLevel="0" collapsed="false">
      <c r="A57" s="14" t="s">
        <v>161</v>
      </c>
      <c r="B57" s="14" t="s">
        <v>221</v>
      </c>
      <c r="C57" s="14" t="s">
        <v>213</v>
      </c>
      <c r="D57" s="14" t="s">
        <v>210</v>
      </c>
      <c r="E57" s="14" t="s">
        <v>161</v>
      </c>
      <c r="F57" s="30" t="n">
        <f aca="false">IF($A57="","",'Market levels'!I57)</f>
        <v>108414.85</v>
      </c>
      <c r="G57" s="31" t="n">
        <v>1262</v>
      </c>
      <c r="H57" s="32"/>
      <c r="I57" s="32"/>
      <c r="J57" s="31" t="n">
        <v>694</v>
      </c>
      <c r="K57" s="33" t="n">
        <f aca="false">IF($A57="","",IFERROR(('Market levels'!I57/'Market levels'!D57)^(1/5)-1,""))</f>
        <v>-0.0519121631727134</v>
      </c>
      <c r="L57" s="33" t="n">
        <f aca="false">IF($A57="","",IFERROR('Market levels'!J57/'Market levels'!I57-1,""))</f>
        <v>0.0236626255536028</v>
      </c>
      <c r="M57" s="33" t="n">
        <f aca="false">IF($A57="","",IFERROR(('Market levels'!O57/'Market levels'!J57)^(1/5)-1,""))</f>
        <v>0.0372633789674854</v>
      </c>
      <c r="N57" s="34" t="n">
        <f aca="false">IF($A57="","",IFERROR('Market levels'!U57/'Market levels'!I57,""))</f>
        <v>0.63452931032972</v>
      </c>
      <c r="O57" s="33" t="n">
        <f aca="false">IF($A57="","",IFERROR(('Market levels'!U57/'Market levels'!P57)^(1/5)-1,""))</f>
        <v>-0.0440679867822753</v>
      </c>
      <c r="P57" s="33" t="n">
        <f aca="false">IF($A57="","",IFERROR('Market levels'!V57/'Market levels'!U57-1,""))</f>
        <v>0.0199575825236509</v>
      </c>
      <c r="Q57" s="33" t="n">
        <f aca="false">IF($A57="","",IFERROR(('Market levels'!AA57/'Market levels'!V57)^(1/5)-1,""))</f>
        <v>0.041331877077611</v>
      </c>
      <c r="R57" s="33" t="n">
        <f aca="false">IF($A57="","",IFERROR(('Market levels'!AG57/'Market levels'!AB57)^(1/5)-1,""))</f>
        <v>-0.0646681041890747</v>
      </c>
      <c r="S57" s="33" t="n">
        <f aca="false">IF($A57="","",IFERROR('Market levels'!AH57/'Market levels'!AG57-1,""))</f>
        <v>0.030095312127342</v>
      </c>
      <c r="T57" s="33" t="n">
        <f aca="false">IF($A57="","",IFERROR(('Market levels'!AM57/'Market levels'!AH57)^(1/5)-1,""))</f>
        <v>0.0301162820635343</v>
      </c>
      <c r="U57" s="31" t="n">
        <v>37.5</v>
      </c>
      <c r="V57" s="32" t="n">
        <v>0.025</v>
      </c>
      <c r="W57" s="32" t="n">
        <v>-0.015</v>
      </c>
      <c r="X57" s="32" t="n">
        <v>0.035</v>
      </c>
      <c r="Y57" s="32"/>
      <c r="Z57" s="32"/>
      <c r="AA57" s="17" t="n">
        <v>3</v>
      </c>
      <c r="AB57" s="17" t="n">
        <v>2</v>
      </c>
      <c r="AC57" s="17" t="n">
        <v>3</v>
      </c>
      <c r="AD57" s="17" t="n">
        <v>3</v>
      </c>
    </row>
    <row r="58" customFormat="false" ht="15" hidden="false" customHeight="false" outlineLevel="0" collapsed="false">
      <c r="A58" s="14" t="s">
        <v>161</v>
      </c>
      <c r="B58" s="14" t="s">
        <v>221</v>
      </c>
      <c r="C58" s="14" t="s">
        <v>213</v>
      </c>
      <c r="D58" s="14" t="s">
        <v>211</v>
      </c>
      <c r="E58" s="14" t="s">
        <v>161</v>
      </c>
      <c r="F58" s="30" t="n">
        <f aca="false">IF($A58="","",'Market levels'!I58)</f>
        <v>108414.85</v>
      </c>
      <c r="G58" s="31" t="n">
        <v>514</v>
      </c>
      <c r="H58" s="32"/>
      <c r="I58" s="32"/>
      <c r="J58" s="31" t="n">
        <v>180</v>
      </c>
      <c r="K58" s="33" t="n">
        <f aca="false">IF($A58="","",IFERROR(('Market levels'!I58/'Market levels'!D58)^(1/5)-1,""))</f>
        <v>-0.0519121631727134</v>
      </c>
      <c r="L58" s="33" t="n">
        <f aca="false">IF($A58="","",IFERROR('Market levels'!J58/'Market levels'!I58-1,""))</f>
        <v>0.0236626255536028</v>
      </c>
      <c r="M58" s="33" t="n">
        <f aca="false">IF($A58="","",IFERROR(('Market levels'!O58/'Market levels'!J58)^(1/5)-1,""))</f>
        <v>0.0372633789674854</v>
      </c>
      <c r="N58" s="34" t="n">
        <f aca="false">IF($A58="","",IFERROR('Market levels'!U58/'Market levels'!I58,""))</f>
        <v>0.63452931032972</v>
      </c>
      <c r="O58" s="33" t="n">
        <f aca="false">IF($A58="","",IFERROR(('Market levels'!U58/'Market levels'!P58)^(1/5)-1,""))</f>
        <v>-0.0440679867822753</v>
      </c>
      <c r="P58" s="33" t="n">
        <f aca="false">IF($A58="","",IFERROR('Market levels'!V58/'Market levels'!U58-1,""))</f>
        <v>0.0199575825236509</v>
      </c>
      <c r="Q58" s="33" t="n">
        <f aca="false">IF($A58="","",IFERROR(('Market levels'!AA58/'Market levels'!V58)^(1/5)-1,""))</f>
        <v>0.041331877077611</v>
      </c>
      <c r="R58" s="33" t="n">
        <f aca="false">IF($A58="","",IFERROR(('Market levels'!AG58/'Market levels'!AB58)^(1/5)-1,""))</f>
        <v>-0.0646681041890747</v>
      </c>
      <c r="S58" s="33" t="n">
        <f aca="false">IF($A58="","",IFERROR('Market levels'!AH58/'Market levels'!AG58-1,""))</f>
        <v>0.030095312127342</v>
      </c>
      <c r="T58" s="33" t="n">
        <f aca="false">IF($A58="","",IFERROR(('Market levels'!AM58/'Market levels'!AH58)^(1/5)-1,""))</f>
        <v>0.0301162820635343</v>
      </c>
      <c r="U58" s="31" t="n">
        <v>4.9</v>
      </c>
      <c r="V58" s="32" t="n">
        <v>0.04</v>
      </c>
      <c r="W58" s="32" t="n">
        <v>0</v>
      </c>
      <c r="X58" s="32" t="n">
        <v>0.05</v>
      </c>
      <c r="Y58" s="32"/>
      <c r="Z58" s="32"/>
      <c r="AA58" s="17" t="n">
        <v>3</v>
      </c>
      <c r="AB58" s="17" t="n">
        <v>2</v>
      </c>
      <c r="AC58" s="17" t="n">
        <v>3</v>
      </c>
      <c r="AD58" s="17" t="n">
        <v>3</v>
      </c>
    </row>
    <row r="59" customFormat="false" ht="15" hidden="false" customHeight="false" outlineLevel="0" collapsed="false">
      <c r="A59" s="14" t="s">
        <v>161</v>
      </c>
      <c r="B59" s="14" t="s">
        <v>221</v>
      </c>
      <c r="C59" s="14" t="s">
        <v>213</v>
      </c>
      <c r="D59" s="14" t="s">
        <v>212</v>
      </c>
      <c r="E59" s="14" t="s">
        <v>161</v>
      </c>
      <c r="F59" s="30" t="n">
        <f aca="false">IF($A59="","",'Market levels'!I59)</f>
        <v>108414.85</v>
      </c>
      <c r="G59" s="31" t="n">
        <v>718</v>
      </c>
      <c r="H59" s="32"/>
      <c r="I59" s="32"/>
      <c r="J59" s="31" t="n">
        <v>323</v>
      </c>
      <c r="K59" s="33" t="n">
        <f aca="false">IF($A59="","",IFERROR(('Market levels'!I59/'Market levels'!D59)^(1/5)-1,""))</f>
        <v>-0.0519121631727134</v>
      </c>
      <c r="L59" s="33" t="n">
        <f aca="false">IF($A59="","",IFERROR('Market levels'!J59/'Market levels'!I59-1,""))</f>
        <v>0.0236626255536028</v>
      </c>
      <c r="M59" s="33" t="n">
        <f aca="false">IF($A59="","",IFERROR(('Market levels'!O59/'Market levels'!J59)^(1/5)-1,""))</f>
        <v>0.0372633789674854</v>
      </c>
      <c r="N59" s="34" t="n">
        <f aca="false">IF($A59="","",IFERROR('Market levels'!U59/'Market levels'!I59,""))</f>
        <v>0.63452931032972</v>
      </c>
      <c r="O59" s="33" t="n">
        <f aca="false">IF($A59="","",IFERROR(('Market levels'!U59/'Market levels'!P59)^(1/5)-1,""))</f>
        <v>-0.0440679867822753</v>
      </c>
      <c r="P59" s="33" t="n">
        <f aca="false">IF($A59="","",IFERROR('Market levels'!V59/'Market levels'!U59-1,""))</f>
        <v>0.0199575825236509</v>
      </c>
      <c r="Q59" s="33" t="n">
        <f aca="false">IF($A59="","",IFERROR(('Market levels'!AA59/'Market levels'!V59)^(1/5)-1,""))</f>
        <v>0.041331877077611</v>
      </c>
      <c r="R59" s="33" t="n">
        <f aca="false">IF($A59="","",IFERROR(('Market levels'!AG59/'Market levels'!AB59)^(1/5)-1,""))</f>
        <v>-0.0646681041890747</v>
      </c>
      <c r="S59" s="33" t="n">
        <f aca="false">IF($A59="","",IFERROR('Market levels'!AH59/'Market levels'!AG59-1,""))</f>
        <v>0.030095312127342</v>
      </c>
      <c r="T59" s="33" t="n">
        <f aca="false">IF($A59="","",IFERROR(('Market levels'!AM59/'Market levels'!AH59)^(1/5)-1,""))</f>
        <v>0.0301162820635343</v>
      </c>
      <c r="U59" s="31" t="n">
        <v>13.1</v>
      </c>
      <c r="V59" s="32" t="n">
        <v>0.03</v>
      </c>
      <c r="W59" s="32" t="n">
        <v>-0.01</v>
      </c>
      <c r="X59" s="32" t="n">
        <v>0.04</v>
      </c>
      <c r="Y59" s="32"/>
      <c r="Z59" s="32"/>
      <c r="AA59" s="17" t="n">
        <v>3</v>
      </c>
      <c r="AB59" s="17" t="n">
        <v>2</v>
      </c>
      <c r="AC59" s="17" t="n">
        <v>3</v>
      </c>
      <c r="AD59" s="17" t="n">
        <v>3</v>
      </c>
    </row>
    <row r="60" customFormat="false" ht="15" hidden="false" customHeight="false" outlineLevel="0" collapsed="false">
      <c r="A60" s="14" t="s">
        <v>127</v>
      </c>
      <c r="B60" s="14" t="s">
        <v>222</v>
      </c>
      <c r="C60" s="14" t="s">
        <v>209</v>
      </c>
      <c r="D60" s="14" t="s">
        <v>210</v>
      </c>
      <c r="E60" s="14" t="s">
        <v>127</v>
      </c>
      <c r="F60" s="30" t="n">
        <f aca="false">IF($A60="","",'Market levels'!I60)</f>
        <v>7724.59</v>
      </c>
      <c r="G60" s="31" t="n">
        <v>87</v>
      </c>
      <c r="H60" s="32"/>
      <c r="I60" s="32"/>
      <c r="J60" s="31" t="n">
        <v>48</v>
      </c>
      <c r="K60" s="33" t="n">
        <f aca="false">IF($A60="","",IFERROR(('Market levels'!I60/'Market levels'!D60)^(1/5)-1,""))</f>
        <v>-0.040347959574352</v>
      </c>
      <c r="L60" s="33" t="n">
        <f aca="false">IF($A60="","",IFERROR('Market levels'!J60/'Market levels'!I60-1,""))</f>
        <v>0.0249825557084584</v>
      </c>
      <c r="M60" s="33" t="n">
        <f aca="false">IF($A60="","",IFERROR(('Market levels'!O60/'Market levels'!J60)^(1/5)-1,""))</f>
        <v>0.0373754977616738</v>
      </c>
      <c r="N60" s="34" t="n">
        <f aca="false">IF($A60="","",IFERROR('Market levels'!U60/'Market levels'!I60,""))</f>
        <v>0.422373226281265</v>
      </c>
      <c r="O60" s="33" t="n">
        <f aca="false">IF($A60="","",IFERROR(('Market levels'!U60/'Market levels'!P60)^(1/5)-1,""))</f>
        <v>-0.0120433774159285</v>
      </c>
      <c r="P60" s="33" t="n">
        <f aca="false">IF($A60="","",IFERROR('Market levels'!V60/'Market levels'!U60-1,""))</f>
        <v>0.00751227526006448</v>
      </c>
      <c r="Q60" s="33" t="n">
        <f aca="false">IF($A60="","",IFERROR(('Market levels'!AA60/'Market levels'!V60)^(1/5)-1,""))</f>
        <v>0.0363238899541662</v>
      </c>
      <c r="R60" s="33" t="n">
        <f aca="false">IF($A60="","",IFERROR(('Market levels'!AG60/'Market levels'!AB60)^(1/5)-1,""))</f>
        <v>-0.0582815705090648</v>
      </c>
      <c r="S60" s="33" t="n">
        <f aca="false">IF($A60="","",IFERROR('Market levels'!AH60/'Market levels'!AG60-1,""))</f>
        <v>0.0377572037212595</v>
      </c>
      <c r="T60" s="33" t="n">
        <f aca="false">IF($A60="","",IFERROR(('Market levels'!AM60/'Market levels'!AH60)^(1/5)-1,""))</f>
        <v>0.0381194653775636</v>
      </c>
      <c r="U60" s="31" t="n">
        <v>4</v>
      </c>
      <c r="V60" s="32" t="n">
        <v>0.02</v>
      </c>
      <c r="W60" s="32" t="n">
        <v>-0.01</v>
      </c>
      <c r="X60" s="32" t="n">
        <v>0.025</v>
      </c>
      <c r="Y60" s="32"/>
      <c r="Z60" s="32"/>
      <c r="AA60" s="17" t="n">
        <v>4</v>
      </c>
      <c r="AB60" s="17" t="n">
        <v>3</v>
      </c>
      <c r="AC60" s="17" t="n">
        <v>3</v>
      </c>
      <c r="AD60" s="17" t="n">
        <v>4</v>
      </c>
    </row>
    <row r="61" customFormat="false" ht="15" hidden="false" customHeight="false" outlineLevel="0" collapsed="false">
      <c r="A61" s="14" t="s">
        <v>127</v>
      </c>
      <c r="B61" s="14" t="s">
        <v>222</v>
      </c>
      <c r="C61" s="14" t="s">
        <v>209</v>
      </c>
      <c r="D61" s="14" t="s">
        <v>211</v>
      </c>
      <c r="E61" s="14" t="s">
        <v>127</v>
      </c>
      <c r="F61" s="30" t="n">
        <f aca="false">IF($A61="","",'Market levels'!I61)</f>
        <v>7724.59</v>
      </c>
      <c r="G61" s="31" t="n">
        <v>40</v>
      </c>
      <c r="H61" s="32"/>
      <c r="I61" s="32"/>
      <c r="J61" s="31" t="n">
        <v>14</v>
      </c>
      <c r="K61" s="33" t="n">
        <f aca="false">IF($A61="","",IFERROR(('Market levels'!I61/'Market levels'!D61)^(1/5)-1,""))</f>
        <v>-0.040347959574352</v>
      </c>
      <c r="L61" s="33" t="n">
        <f aca="false">IF($A61="","",IFERROR('Market levels'!J61/'Market levels'!I61-1,""))</f>
        <v>0.0249825557084584</v>
      </c>
      <c r="M61" s="33" t="n">
        <f aca="false">IF($A61="","",IFERROR(('Market levels'!O61/'Market levels'!J61)^(1/5)-1,""))</f>
        <v>0.0373754977616738</v>
      </c>
      <c r="N61" s="34" t="n">
        <f aca="false">IF($A61="","",IFERROR('Market levels'!U61/'Market levels'!I61,""))</f>
        <v>0.422373226281265</v>
      </c>
      <c r="O61" s="33" t="n">
        <f aca="false">IF($A61="","",IFERROR(('Market levels'!U61/'Market levels'!P61)^(1/5)-1,""))</f>
        <v>-0.0120433774159285</v>
      </c>
      <c r="P61" s="33" t="n">
        <f aca="false">IF($A61="","",IFERROR('Market levels'!V61/'Market levels'!U61-1,""))</f>
        <v>0.00751227526006448</v>
      </c>
      <c r="Q61" s="33" t="n">
        <f aca="false">IF($A61="","",IFERROR(('Market levels'!AA61/'Market levels'!V61)^(1/5)-1,""))</f>
        <v>0.0363238899541662</v>
      </c>
      <c r="R61" s="33" t="n">
        <f aca="false">IF($A61="","",IFERROR(('Market levels'!AG61/'Market levels'!AB61)^(1/5)-1,""))</f>
        <v>-0.0582815705090648</v>
      </c>
      <c r="S61" s="33" t="n">
        <f aca="false">IF($A61="","",IFERROR('Market levels'!AH61/'Market levels'!AG61-1,""))</f>
        <v>0.0377572037212595</v>
      </c>
      <c r="T61" s="33" t="n">
        <f aca="false">IF($A61="","",IFERROR(('Market levels'!AM61/'Market levels'!AH61)^(1/5)-1,""))</f>
        <v>0.0381194653775636</v>
      </c>
      <c r="U61" s="31" t="n">
        <v>0.6</v>
      </c>
      <c r="V61" s="32" t="n">
        <v>0.035</v>
      </c>
      <c r="W61" s="32" t="n">
        <v>0.005</v>
      </c>
      <c r="X61" s="32" t="n">
        <v>0.04</v>
      </c>
      <c r="Y61" s="32"/>
      <c r="Z61" s="32"/>
      <c r="AA61" s="17" t="n">
        <v>4</v>
      </c>
      <c r="AB61" s="17" t="n">
        <v>3</v>
      </c>
      <c r="AC61" s="17" t="n">
        <v>3</v>
      </c>
      <c r="AD61" s="17" t="n">
        <v>4</v>
      </c>
    </row>
    <row r="62" customFormat="false" ht="15" hidden="false" customHeight="false" outlineLevel="0" collapsed="false">
      <c r="A62" s="14" t="s">
        <v>127</v>
      </c>
      <c r="B62" s="14" t="s">
        <v>222</v>
      </c>
      <c r="C62" s="14" t="s">
        <v>209</v>
      </c>
      <c r="D62" s="14" t="s">
        <v>212</v>
      </c>
      <c r="E62" s="14" t="s">
        <v>127</v>
      </c>
      <c r="F62" s="30" t="n">
        <f aca="false">IF($A62="","",'Market levels'!I62)</f>
        <v>7724.59</v>
      </c>
      <c r="G62" s="31" t="n">
        <v>51</v>
      </c>
      <c r="H62" s="32"/>
      <c r="I62" s="32"/>
      <c r="J62" s="31" t="n">
        <v>23</v>
      </c>
      <c r="K62" s="33" t="n">
        <f aca="false">IF($A62="","",IFERROR(('Market levels'!I62/'Market levels'!D62)^(1/5)-1,""))</f>
        <v>-0.040347959574352</v>
      </c>
      <c r="L62" s="33" t="n">
        <f aca="false">IF($A62="","",IFERROR('Market levels'!J62/'Market levels'!I62-1,""))</f>
        <v>0.0249825557084584</v>
      </c>
      <c r="M62" s="33" t="n">
        <f aca="false">IF($A62="","",IFERROR(('Market levels'!O62/'Market levels'!J62)^(1/5)-1,""))</f>
        <v>0.0373754977616738</v>
      </c>
      <c r="N62" s="34" t="n">
        <f aca="false">IF($A62="","",IFERROR('Market levels'!U62/'Market levels'!I62,""))</f>
        <v>0.422373226281265</v>
      </c>
      <c r="O62" s="33" t="n">
        <f aca="false">IF($A62="","",IFERROR(('Market levels'!U62/'Market levels'!P62)^(1/5)-1,""))</f>
        <v>-0.0120433774159285</v>
      </c>
      <c r="P62" s="33" t="n">
        <f aca="false">IF($A62="","",IFERROR('Market levels'!V62/'Market levels'!U62-1,""))</f>
        <v>0.00751227526006448</v>
      </c>
      <c r="Q62" s="33" t="n">
        <f aca="false">IF($A62="","",IFERROR(('Market levels'!AA62/'Market levels'!V62)^(1/5)-1,""))</f>
        <v>0.0363238899541662</v>
      </c>
      <c r="R62" s="33" t="n">
        <f aca="false">IF($A62="","",IFERROR(('Market levels'!AG62/'Market levels'!AB62)^(1/5)-1,""))</f>
        <v>-0.0582815705090648</v>
      </c>
      <c r="S62" s="33" t="n">
        <f aca="false">IF($A62="","",IFERROR('Market levels'!AH62/'Market levels'!AG62-1,""))</f>
        <v>0.0377572037212595</v>
      </c>
      <c r="T62" s="33" t="n">
        <f aca="false">IF($A62="","",IFERROR(('Market levels'!AM62/'Market levels'!AH62)^(1/5)-1,""))</f>
        <v>0.0381194653775636</v>
      </c>
      <c r="U62" s="31" t="n">
        <v>1.4</v>
      </c>
      <c r="V62" s="32" t="n">
        <v>0.025</v>
      </c>
      <c r="W62" s="32" t="n">
        <v>-0.005</v>
      </c>
      <c r="X62" s="32" t="n">
        <v>0.03</v>
      </c>
      <c r="Y62" s="32"/>
      <c r="Z62" s="32"/>
      <c r="AA62" s="17" t="n">
        <v>4</v>
      </c>
      <c r="AB62" s="17" t="n">
        <v>3</v>
      </c>
      <c r="AC62" s="17" t="n">
        <v>3</v>
      </c>
      <c r="AD62" s="17" t="n">
        <v>4</v>
      </c>
    </row>
    <row r="63" customFormat="false" ht="15" hidden="false" customHeight="false" outlineLevel="0" collapsed="false">
      <c r="A63" s="14" t="s">
        <v>127</v>
      </c>
      <c r="B63" s="14" t="s">
        <v>222</v>
      </c>
      <c r="C63" s="14" t="s">
        <v>213</v>
      </c>
      <c r="D63" s="14" t="s">
        <v>210</v>
      </c>
      <c r="E63" s="14" t="s">
        <v>127</v>
      </c>
      <c r="F63" s="30" t="n">
        <f aca="false">IF($A63="","",'Market levels'!I63)</f>
        <v>21958.65</v>
      </c>
      <c r="G63" s="31" t="n">
        <v>251</v>
      </c>
      <c r="H63" s="32"/>
      <c r="I63" s="32"/>
      <c r="J63" s="31" t="n">
        <v>138</v>
      </c>
      <c r="K63" s="33" t="n">
        <f aca="false">IF($A63="","",IFERROR(('Market levels'!I63/'Market levels'!D63)^(1/5)-1,""))</f>
        <v>-0.0499056314974363</v>
      </c>
      <c r="L63" s="33" t="n">
        <f aca="false">IF($A63="","",IFERROR('Market levels'!J63/'Market levels'!I63-1,""))</f>
        <v>0.0319045114339906</v>
      </c>
      <c r="M63" s="33" t="n">
        <f aca="false">IF($A63="","",IFERROR(('Market levels'!O63/'Market levels'!J63)^(1/5)-1,""))</f>
        <v>0.0257312661499052</v>
      </c>
      <c r="N63" s="34" t="n">
        <f aca="false">IF($A63="","",IFERROR('Market levels'!U63/'Market levels'!I63,""))</f>
        <v>0.365886791765432</v>
      </c>
      <c r="O63" s="33" t="n">
        <f aca="false">IF($A63="","",IFERROR(('Market levels'!U63/'Market levels'!P63)^(1/5)-1,""))</f>
        <v>-0.00562353815248129</v>
      </c>
      <c r="P63" s="33" t="n">
        <f aca="false">IF($A63="","",IFERROR('Market levels'!V63/'Market levels'!U63-1,""))</f>
        <v>0.113371535824793</v>
      </c>
      <c r="Q63" s="33" t="n">
        <f aca="false">IF($A63="","",IFERROR(('Market levels'!AA63/'Market levels'!V63)^(1/5)-1,""))</f>
        <v>0.0210523171085899</v>
      </c>
      <c r="R63" s="33" t="n">
        <f aca="false">IF($A63="","",IFERROR(('Market levels'!AG63/'Market levels'!AB63)^(1/5)-1,""))</f>
        <v>-0.0707882974039739</v>
      </c>
      <c r="S63" s="33" t="n">
        <f aca="false">IF($A63="","",IFERROR('Market levels'!AH63/'Market levels'!AG63-1,""))</f>
        <v>-0.0151024075229796</v>
      </c>
      <c r="T63" s="33" t="n">
        <f aca="false">IF($A63="","",IFERROR(('Market levels'!AM63/'Market levels'!AH63)^(1/5)-1,""))</f>
        <v>0.0287378216168481</v>
      </c>
      <c r="U63" s="31" t="n">
        <v>8.3</v>
      </c>
      <c r="V63" s="32" t="n">
        <v>0.025</v>
      </c>
      <c r="W63" s="32" t="n">
        <v>-0.005</v>
      </c>
      <c r="X63" s="32" t="n">
        <v>0.03</v>
      </c>
      <c r="Y63" s="32"/>
      <c r="Z63" s="32"/>
      <c r="AA63" s="17" t="n">
        <v>4</v>
      </c>
      <c r="AB63" s="17" t="n">
        <v>3</v>
      </c>
      <c r="AC63" s="17" t="n">
        <v>3</v>
      </c>
      <c r="AD63" s="17" t="n">
        <v>4</v>
      </c>
    </row>
    <row r="64" customFormat="false" ht="15" hidden="false" customHeight="false" outlineLevel="0" collapsed="false">
      <c r="A64" s="14" t="s">
        <v>127</v>
      </c>
      <c r="B64" s="14" t="s">
        <v>222</v>
      </c>
      <c r="C64" s="14" t="s">
        <v>213</v>
      </c>
      <c r="D64" s="14" t="s">
        <v>211</v>
      </c>
      <c r="E64" s="14" t="s">
        <v>127</v>
      </c>
      <c r="F64" s="30" t="n">
        <f aca="false">IF($A64="","",'Market levels'!I64)</f>
        <v>21958.65</v>
      </c>
      <c r="G64" s="31" t="n">
        <v>111</v>
      </c>
      <c r="H64" s="32"/>
      <c r="I64" s="32"/>
      <c r="J64" s="31" t="n">
        <v>39</v>
      </c>
      <c r="K64" s="33" t="n">
        <f aca="false">IF($A64="","",IFERROR(('Market levels'!I64/'Market levels'!D64)^(1/5)-1,""))</f>
        <v>-0.0499056314974363</v>
      </c>
      <c r="L64" s="33" t="n">
        <f aca="false">IF($A64="","",IFERROR('Market levels'!J64/'Market levels'!I64-1,""))</f>
        <v>0.0319045114339906</v>
      </c>
      <c r="M64" s="33" t="n">
        <f aca="false">IF($A64="","",IFERROR(('Market levels'!O64/'Market levels'!J64)^(1/5)-1,""))</f>
        <v>0.0257312661499052</v>
      </c>
      <c r="N64" s="34" t="n">
        <f aca="false">IF($A64="","",IFERROR('Market levels'!U64/'Market levels'!I64,""))</f>
        <v>0.365886791765432</v>
      </c>
      <c r="O64" s="33" t="n">
        <f aca="false">IF($A64="","",IFERROR(('Market levels'!U64/'Market levels'!P64)^(1/5)-1,""))</f>
        <v>-0.00562353815248129</v>
      </c>
      <c r="P64" s="33" t="n">
        <f aca="false">IF($A64="","",IFERROR('Market levels'!V64/'Market levels'!U64-1,""))</f>
        <v>0.113371535824793</v>
      </c>
      <c r="Q64" s="33" t="n">
        <f aca="false">IF($A64="","",IFERROR(('Market levels'!AA64/'Market levels'!V64)^(1/5)-1,""))</f>
        <v>0.0210523171085899</v>
      </c>
      <c r="R64" s="33" t="n">
        <f aca="false">IF($A64="","",IFERROR(('Market levels'!AG64/'Market levels'!AB64)^(1/5)-1,""))</f>
        <v>-0.0707882974039739</v>
      </c>
      <c r="S64" s="33" t="n">
        <f aca="false">IF($A64="","",IFERROR('Market levels'!AH64/'Market levels'!AG64-1,""))</f>
        <v>-0.0151024075229796</v>
      </c>
      <c r="T64" s="33" t="n">
        <f aca="false">IF($A64="","",IFERROR(('Market levels'!AM64/'Market levels'!AH64)^(1/5)-1,""))</f>
        <v>0.0287378216168481</v>
      </c>
      <c r="U64" s="31" t="n">
        <v>1.2</v>
      </c>
      <c r="V64" s="32" t="n">
        <v>0.04</v>
      </c>
      <c r="W64" s="32" t="n">
        <v>0.01</v>
      </c>
      <c r="X64" s="32" t="n">
        <v>0.045</v>
      </c>
      <c r="Y64" s="32"/>
      <c r="Z64" s="32"/>
      <c r="AA64" s="17" t="n">
        <v>4</v>
      </c>
      <c r="AB64" s="17" t="n">
        <v>3</v>
      </c>
      <c r="AC64" s="17" t="n">
        <v>3</v>
      </c>
      <c r="AD64" s="17" t="n">
        <v>4</v>
      </c>
    </row>
    <row r="65" customFormat="false" ht="15" hidden="false" customHeight="false" outlineLevel="0" collapsed="false">
      <c r="A65" s="14" t="s">
        <v>127</v>
      </c>
      <c r="B65" s="14" t="s">
        <v>222</v>
      </c>
      <c r="C65" s="14" t="s">
        <v>213</v>
      </c>
      <c r="D65" s="14" t="s">
        <v>212</v>
      </c>
      <c r="E65" s="14" t="s">
        <v>127</v>
      </c>
      <c r="F65" s="30" t="n">
        <f aca="false">IF($A65="","",'Market levels'!I65)</f>
        <v>21958.65</v>
      </c>
      <c r="G65" s="31" t="n">
        <v>144</v>
      </c>
      <c r="H65" s="32"/>
      <c r="I65" s="32"/>
      <c r="J65" s="31" t="n">
        <v>65</v>
      </c>
      <c r="K65" s="33" t="n">
        <f aca="false">IF($A65="","",IFERROR(('Market levels'!I65/'Market levels'!D65)^(1/5)-1,""))</f>
        <v>-0.0499056314974363</v>
      </c>
      <c r="L65" s="33" t="n">
        <f aca="false">IF($A65="","",IFERROR('Market levels'!J65/'Market levels'!I65-1,""))</f>
        <v>0.0319045114339906</v>
      </c>
      <c r="M65" s="33" t="n">
        <f aca="false">IF($A65="","",IFERROR(('Market levels'!O65/'Market levels'!J65)^(1/5)-1,""))</f>
        <v>0.0257312661499052</v>
      </c>
      <c r="N65" s="34" t="n">
        <f aca="false">IF($A65="","",IFERROR('Market levels'!U65/'Market levels'!I65,""))</f>
        <v>0.365886791765432</v>
      </c>
      <c r="O65" s="33" t="n">
        <f aca="false">IF($A65="","",IFERROR(('Market levels'!U65/'Market levels'!P65)^(1/5)-1,""))</f>
        <v>-0.00562353815248129</v>
      </c>
      <c r="P65" s="33" t="n">
        <f aca="false">IF($A65="","",IFERROR('Market levels'!V65/'Market levels'!U65-1,""))</f>
        <v>0.113371535824793</v>
      </c>
      <c r="Q65" s="33" t="n">
        <f aca="false">IF($A65="","",IFERROR(('Market levels'!AA65/'Market levels'!V65)^(1/5)-1,""))</f>
        <v>0.0210523171085899</v>
      </c>
      <c r="R65" s="33" t="n">
        <f aca="false">IF($A65="","",IFERROR(('Market levels'!AG65/'Market levels'!AB65)^(1/5)-1,""))</f>
        <v>-0.0707882974039739</v>
      </c>
      <c r="S65" s="33" t="n">
        <f aca="false">IF($A65="","",IFERROR('Market levels'!AH65/'Market levels'!AG65-1,""))</f>
        <v>-0.0151024075229796</v>
      </c>
      <c r="T65" s="33" t="n">
        <f aca="false">IF($A65="","",IFERROR(('Market levels'!AM65/'Market levels'!AH65)^(1/5)-1,""))</f>
        <v>0.0287378216168481</v>
      </c>
      <c r="U65" s="31" t="n">
        <v>2.9</v>
      </c>
      <c r="V65" s="32" t="n">
        <v>0.03</v>
      </c>
      <c r="W65" s="32" t="n">
        <v>0</v>
      </c>
      <c r="X65" s="32" t="n">
        <v>0.035</v>
      </c>
      <c r="Y65" s="32"/>
      <c r="Z65" s="32"/>
      <c r="AA65" s="17" t="n">
        <v>4</v>
      </c>
      <c r="AB65" s="17" t="n">
        <v>3</v>
      </c>
      <c r="AC65" s="17" t="n">
        <v>3</v>
      </c>
      <c r="AD65" s="17" t="n">
        <v>4</v>
      </c>
    </row>
    <row r="66" customFormat="false" ht="15" hidden="false" customHeight="false" outlineLevel="0" collapsed="false">
      <c r="A66" s="14" t="s">
        <v>157</v>
      </c>
      <c r="B66" s="14" t="s">
        <v>223</v>
      </c>
      <c r="C66" s="14" t="s">
        <v>209</v>
      </c>
      <c r="D66" s="14" t="s">
        <v>210</v>
      </c>
      <c r="E66" s="14" t="s">
        <v>157</v>
      </c>
      <c r="F66" s="30" t="n">
        <f aca="false">IF($A66="","",'Market levels'!I66)</f>
        <v>6790.22</v>
      </c>
      <c r="G66" s="31" t="n">
        <v>64</v>
      </c>
      <c r="H66" s="32"/>
      <c r="I66" s="32"/>
      <c r="J66" s="31" t="n">
        <v>42</v>
      </c>
      <c r="K66" s="33" t="n">
        <f aca="false">IF($A66="","",IFERROR(('Market levels'!I66/'Market levels'!D66)^(1/5)-1,""))</f>
        <v>0.000294211687557056</v>
      </c>
      <c r="L66" s="33" t="n">
        <f aca="false">IF($A66="","",IFERROR('Market levels'!J66/'Market levels'!I66-1,""))</f>
        <v>-0.00784952475766632</v>
      </c>
      <c r="M66" s="33" t="n">
        <f aca="false">IF($A66="","",IFERROR(('Market levels'!O66/'Market levels'!J66)^(1/5)-1,""))</f>
        <v>0.0143685816568195</v>
      </c>
      <c r="N66" s="34" t="n">
        <f aca="false">IF($A66="","",IFERROR('Market levels'!U66/'Market levels'!I66,""))</f>
        <v>0.433918194108586</v>
      </c>
      <c r="O66" s="33" t="n">
        <f aca="false">IF($A66="","",IFERROR(('Market levels'!U66/'Market levels'!P66)^(1/5)-1,""))</f>
        <v>-0.00549538485364742</v>
      </c>
      <c r="P66" s="33" t="n">
        <f aca="false">IF($A66="","",IFERROR('Market levels'!V66/'Market levels'!U66-1,""))</f>
        <v>0.0266935921802878</v>
      </c>
      <c r="Q66" s="33" t="n">
        <f aca="false">IF($A66="","",IFERROR(('Market levels'!AA66/'Market levels'!V66)^(1/5)-1,""))</f>
        <v>0.0362517979469283</v>
      </c>
      <c r="R66" s="33" t="n">
        <f aca="false">IF($A66="","",IFERROR(('Market levels'!AG66/'Market levels'!AB66)^(1/5)-1,""))</f>
        <v>0.00487241319101606</v>
      </c>
      <c r="S66" s="33" t="n">
        <f aca="false">IF($A66="","",IFERROR('Market levels'!AH66/'Market levels'!AG66-1,""))</f>
        <v>-0.0343278301273214</v>
      </c>
      <c r="T66" s="33" t="n">
        <f aca="false">IF($A66="","",IFERROR(('Market levels'!AM66/'Market levels'!AH66)^(1/5)-1,""))</f>
        <v>-0.00497562582892686</v>
      </c>
      <c r="U66" s="31" t="n">
        <v>6</v>
      </c>
      <c r="V66" s="32" t="n">
        <v>0.025</v>
      </c>
      <c r="W66" s="32" t="n">
        <v>0.015</v>
      </c>
      <c r="X66" s="32" t="n">
        <v>0.02</v>
      </c>
      <c r="Y66" s="32"/>
      <c r="Z66" s="32"/>
      <c r="AA66" s="17" t="n">
        <v>5</v>
      </c>
      <c r="AB66" s="17" t="n">
        <v>4</v>
      </c>
      <c r="AC66" s="17" t="n">
        <v>4</v>
      </c>
      <c r="AD66" s="17" t="n">
        <v>4</v>
      </c>
    </row>
    <row r="67" customFormat="false" ht="15" hidden="false" customHeight="false" outlineLevel="0" collapsed="false">
      <c r="A67" s="14" t="s">
        <v>157</v>
      </c>
      <c r="B67" s="14" t="s">
        <v>223</v>
      </c>
      <c r="C67" s="14" t="s">
        <v>209</v>
      </c>
      <c r="D67" s="14" t="s">
        <v>211</v>
      </c>
      <c r="E67" s="14" t="s">
        <v>157</v>
      </c>
      <c r="F67" s="30" t="n">
        <f aca="false">IF($A67="","",'Market levels'!I67)</f>
        <v>6790.22</v>
      </c>
      <c r="G67" s="31" t="n">
        <v>31</v>
      </c>
      <c r="H67" s="32"/>
      <c r="I67" s="32"/>
      <c r="J67" s="31" t="n">
        <v>13</v>
      </c>
      <c r="K67" s="33" t="n">
        <f aca="false">IF($A67="","",IFERROR(('Market levels'!I67/'Market levels'!D67)^(1/5)-1,""))</f>
        <v>0.000294211687557056</v>
      </c>
      <c r="L67" s="33" t="n">
        <f aca="false">IF($A67="","",IFERROR('Market levels'!J67/'Market levels'!I67-1,""))</f>
        <v>-0.00784952475766632</v>
      </c>
      <c r="M67" s="33" t="n">
        <f aca="false">IF($A67="","",IFERROR(('Market levels'!O67/'Market levels'!J67)^(1/5)-1,""))</f>
        <v>0.0143685816568195</v>
      </c>
      <c r="N67" s="34" t="n">
        <f aca="false">IF($A67="","",IFERROR('Market levels'!U67/'Market levels'!I67,""))</f>
        <v>0.433918194108586</v>
      </c>
      <c r="O67" s="33" t="n">
        <f aca="false">IF($A67="","",IFERROR(('Market levels'!U67/'Market levels'!P67)^(1/5)-1,""))</f>
        <v>-0.00549538485364742</v>
      </c>
      <c r="P67" s="33" t="n">
        <f aca="false">IF($A67="","",IFERROR('Market levels'!V67/'Market levels'!U67-1,""))</f>
        <v>0.0266935921802878</v>
      </c>
      <c r="Q67" s="33" t="n">
        <f aca="false">IF($A67="","",IFERROR(('Market levels'!AA67/'Market levels'!V67)^(1/5)-1,""))</f>
        <v>0.0362517979469283</v>
      </c>
      <c r="R67" s="33" t="n">
        <f aca="false">IF($A67="","",IFERROR(('Market levels'!AG67/'Market levels'!AB67)^(1/5)-1,""))</f>
        <v>0.00487241319101606</v>
      </c>
      <c r="S67" s="33" t="n">
        <f aca="false">IF($A67="","",IFERROR('Market levels'!AH67/'Market levels'!AG67-1,""))</f>
        <v>-0.0343278301273214</v>
      </c>
      <c r="T67" s="33" t="n">
        <f aca="false">IF($A67="","",IFERROR(('Market levels'!AM67/'Market levels'!AH67)^(1/5)-1,""))</f>
        <v>-0.00497562582892686</v>
      </c>
      <c r="U67" s="31" t="n">
        <v>0.9</v>
      </c>
      <c r="V67" s="32" t="n">
        <v>0.04</v>
      </c>
      <c r="W67" s="32" t="n">
        <v>0.03</v>
      </c>
      <c r="X67" s="32" t="n">
        <v>0.035</v>
      </c>
      <c r="Y67" s="32"/>
      <c r="Z67" s="32"/>
      <c r="AA67" s="17" t="n">
        <v>5</v>
      </c>
      <c r="AB67" s="17" t="n">
        <v>4</v>
      </c>
      <c r="AC67" s="17" t="n">
        <v>4</v>
      </c>
      <c r="AD67" s="17" t="n">
        <v>4</v>
      </c>
    </row>
    <row r="68" customFormat="false" ht="15" hidden="false" customHeight="false" outlineLevel="0" collapsed="false">
      <c r="A68" s="14" t="s">
        <v>157</v>
      </c>
      <c r="B68" s="14" t="s">
        <v>223</v>
      </c>
      <c r="C68" s="14" t="s">
        <v>209</v>
      </c>
      <c r="D68" s="14" t="s">
        <v>212</v>
      </c>
      <c r="E68" s="14" t="s">
        <v>157</v>
      </c>
      <c r="F68" s="30" t="n">
        <f aca="false">IF($A68="","",'Market levels'!I68)</f>
        <v>6790.22</v>
      </c>
      <c r="G68" s="31" t="n">
        <v>37</v>
      </c>
      <c r="H68" s="32"/>
      <c r="I68" s="32"/>
      <c r="J68" s="31" t="n">
        <v>20</v>
      </c>
      <c r="K68" s="33" t="n">
        <f aca="false">IF($A68="","",IFERROR(('Market levels'!I68/'Market levels'!D68)^(1/5)-1,""))</f>
        <v>0.000294211687557056</v>
      </c>
      <c r="L68" s="33" t="n">
        <f aca="false">IF($A68="","",IFERROR('Market levels'!J68/'Market levels'!I68-1,""))</f>
        <v>-0.00784952475766632</v>
      </c>
      <c r="M68" s="33" t="n">
        <f aca="false">IF($A68="","",IFERROR(('Market levels'!O68/'Market levels'!J68)^(1/5)-1,""))</f>
        <v>0.0143685816568195</v>
      </c>
      <c r="N68" s="34" t="n">
        <f aca="false">IF($A68="","",IFERROR('Market levels'!U68/'Market levels'!I68,""))</f>
        <v>0.433918194108586</v>
      </c>
      <c r="O68" s="33" t="n">
        <f aca="false">IF($A68="","",IFERROR(('Market levels'!U68/'Market levels'!P68)^(1/5)-1,""))</f>
        <v>-0.00549538485364742</v>
      </c>
      <c r="P68" s="33" t="n">
        <f aca="false">IF($A68="","",IFERROR('Market levels'!V68/'Market levels'!U68-1,""))</f>
        <v>0.0266935921802878</v>
      </c>
      <c r="Q68" s="33" t="n">
        <f aca="false">IF($A68="","",IFERROR(('Market levels'!AA68/'Market levels'!V68)^(1/5)-1,""))</f>
        <v>0.0362517979469283</v>
      </c>
      <c r="R68" s="33" t="n">
        <f aca="false">IF($A68="","",IFERROR(('Market levels'!AG68/'Market levels'!AB68)^(1/5)-1,""))</f>
        <v>0.00487241319101606</v>
      </c>
      <c r="S68" s="33" t="n">
        <f aca="false">IF($A68="","",IFERROR('Market levels'!AH68/'Market levels'!AG68-1,""))</f>
        <v>-0.0343278301273214</v>
      </c>
      <c r="T68" s="33" t="n">
        <f aca="false">IF($A68="","",IFERROR(('Market levels'!AM68/'Market levels'!AH68)^(1/5)-1,""))</f>
        <v>-0.00497562582892686</v>
      </c>
      <c r="U68" s="31" t="n">
        <v>2.2</v>
      </c>
      <c r="V68" s="32" t="n">
        <v>0.03</v>
      </c>
      <c r="W68" s="32" t="n">
        <v>0.02</v>
      </c>
      <c r="X68" s="32" t="n">
        <v>0.025</v>
      </c>
      <c r="Y68" s="32"/>
      <c r="Z68" s="32"/>
      <c r="AA68" s="17" t="n">
        <v>5</v>
      </c>
      <c r="AB68" s="17" t="n">
        <v>4</v>
      </c>
      <c r="AC68" s="17" t="n">
        <v>4</v>
      </c>
      <c r="AD68" s="17" t="n">
        <v>4</v>
      </c>
    </row>
    <row r="69" customFormat="false" ht="15" hidden="false" customHeight="false" outlineLevel="0" collapsed="false">
      <c r="A69" s="14" t="s">
        <v>157</v>
      </c>
      <c r="B69" s="14" t="s">
        <v>223</v>
      </c>
      <c r="C69" s="14" t="s">
        <v>213</v>
      </c>
      <c r="D69" s="14" t="s">
        <v>210</v>
      </c>
      <c r="E69" s="14" t="s">
        <v>157</v>
      </c>
      <c r="F69" s="30" t="n">
        <f aca="false">IF($A69="","",'Market levels'!I69)</f>
        <v>33602.22</v>
      </c>
      <c r="G69" s="31" t="n">
        <v>315</v>
      </c>
      <c r="H69" s="32"/>
      <c r="I69" s="32"/>
      <c r="J69" s="31" t="n">
        <v>208</v>
      </c>
      <c r="K69" s="33" t="n">
        <f aca="false">IF($A69="","",IFERROR(('Market levels'!I69/'Market levels'!D69)^(1/5)-1,""))</f>
        <v>-0.00202959145329351</v>
      </c>
      <c r="L69" s="33" t="n">
        <f aca="false">IF($A69="","",IFERROR('Market levels'!J69/'Market levels'!I69-1,""))</f>
        <v>0.0223934609082377</v>
      </c>
      <c r="M69" s="33" t="n">
        <f aca="false">IF($A69="","",IFERROR(('Market levels'!O69/'Market levels'!J69)^(1/5)-1,""))</f>
        <v>0.0287017530362954</v>
      </c>
      <c r="N69" s="34" t="n">
        <f aca="false">IF($A69="","",IFERROR('Market levels'!U69/'Market levels'!I69,""))</f>
        <v>0.347129743213395</v>
      </c>
      <c r="O69" s="33" t="n">
        <f aca="false">IF($A69="","",IFERROR(('Market levels'!U69/'Market levels'!P69)^(1/5)-1,""))</f>
        <v>0.0136656008008185</v>
      </c>
      <c r="P69" s="33" t="n">
        <f aca="false">IF($A69="","",IFERROR('Market levels'!V69/'Market levels'!U69-1,""))</f>
        <v>-0.0220012636816688</v>
      </c>
      <c r="Q69" s="33" t="n">
        <f aca="false">IF($A69="","",IFERROR(('Market levels'!AA69/'Market levels'!V69)^(1/5)-1,""))</f>
        <v>0.00920711679532471</v>
      </c>
      <c r="R69" s="33" t="n">
        <f aca="false">IF($A69="","",IFERROR(('Market levels'!AG69/'Market levels'!AB69)^(1/5)-1,""))</f>
        <v>-0.00980964662788009</v>
      </c>
      <c r="S69" s="33" t="n">
        <f aca="false">IF($A69="","",IFERROR('Market levels'!AH69/'Market levels'!AG69-1,""))</f>
        <v>0.0459980426558799</v>
      </c>
      <c r="T69" s="33" t="n">
        <f aca="false">IF($A69="","",IFERROR(('Market levels'!AM69/'Market levels'!AH69)^(1/5)-1,""))</f>
        <v>0.0378679398493862</v>
      </c>
      <c r="U69" s="31" t="n">
        <v>25</v>
      </c>
      <c r="V69" s="32" t="n">
        <v>0.03</v>
      </c>
      <c r="W69" s="32" t="n">
        <v>0.02</v>
      </c>
      <c r="X69" s="32" t="n">
        <v>0.025</v>
      </c>
      <c r="Y69" s="32"/>
      <c r="Z69" s="32"/>
      <c r="AA69" s="17" t="n">
        <v>5</v>
      </c>
      <c r="AB69" s="17" t="n">
        <v>4</v>
      </c>
      <c r="AC69" s="17" t="n">
        <v>4</v>
      </c>
      <c r="AD69" s="17" t="n">
        <v>4</v>
      </c>
    </row>
    <row r="70" customFormat="false" ht="15" hidden="false" customHeight="false" outlineLevel="0" collapsed="false">
      <c r="A70" s="14" t="s">
        <v>157</v>
      </c>
      <c r="B70" s="14" t="s">
        <v>223</v>
      </c>
      <c r="C70" s="14" t="s">
        <v>213</v>
      </c>
      <c r="D70" s="14" t="s">
        <v>211</v>
      </c>
      <c r="E70" s="14" t="s">
        <v>157</v>
      </c>
      <c r="F70" s="30" t="n">
        <f aca="false">IF($A70="","",'Market levels'!I70)</f>
        <v>33602.22</v>
      </c>
      <c r="G70" s="31" t="n">
        <v>150</v>
      </c>
      <c r="H70" s="32"/>
      <c r="I70" s="32"/>
      <c r="J70" s="31" t="n">
        <v>63</v>
      </c>
      <c r="K70" s="33" t="n">
        <f aca="false">IF($A70="","",IFERROR(('Market levels'!I70/'Market levels'!D70)^(1/5)-1,""))</f>
        <v>-0.00202959145329351</v>
      </c>
      <c r="L70" s="33" t="n">
        <f aca="false">IF($A70="","",IFERROR('Market levels'!J70/'Market levels'!I70-1,""))</f>
        <v>0.0223934609082377</v>
      </c>
      <c r="M70" s="33" t="n">
        <f aca="false">IF($A70="","",IFERROR(('Market levels'!O70/'Market levels'!J70)^(1/5)-1,""))</f>
        <v>0.0287017530362954</v>
      </c>
      <c r="N70" s="34" t="n">
        <f aca="false">IF($A70="","",IFERROR('Market levels'!U70/'Market levels'!I70,""))</f>
        <v>0.347129743213395</v>
      </c>
      <c r="O70" s="33" t="n">
        <f aca="false">IF($A70="","",IFERROR(('Market levels'!U70/'Market levels'!P70)^(1/5)-1,""))</f>
        <v>0.0136656008008185</v>
      </c>
      <c r="P70" s="33" t="n">
        <f aca="false">IF($A70="","",IFERROR('Market levels'!V70/'Market levels'!U70-1,""))</f>
        <v>-0.0220012636816688</v>
      </c>
      <c r="Q70" s="33" t="n">
        <f aca="false">IF($A70="","",IFERROR(('Market levels'!AA70/'Market levels'!V70)^(1/5)-1,""))</f>
        <v>0.00920711679532471</v>
      </c>
      <c r="R70" s="33" t="n">
        <f aca="false">IF($A70="","",IFERROR(('Market levels'!AG70/'Market levels'!AB70)^(1/5)-1,""))</f>
        <v>-0.00980964662788009</v>
      </c>
      <c r="S70" s="33" t="n">
        <f aca="false">IF($A70="","",IFERROR('Market levels'!AH70/'Market levels'!AG70-1,""))</f>
        <v>0.0459980426558799</v>
      </c>
      <c r="T70" s="33" t="n">
        <f aca="false">IF($A70="","",IFERROR(('Market levels'!AM70/'Market levels'!AH70)^(1/5)-1,""))</f>
        <v>0.0378679398493862</v>
      </c>
      <c r="U70" s="31" t="n">
        <v>3.8</v>
      </c>
      <c r="V70" s="32" t="n">
        <v>0.045</v>
      </c>
      <c r="W70" s="32" t="n">
        <v>0.035</v>
      </c>
      <c r="X70" s="32" t="n">
        <v>0.04</v>
      </c>
      <c r="Y70" s="32"/>
      <c r="Z70" s="32"/>
      <c r="AA70" s="17" t="n">
        <v>5</v>
      </c>
      <c r="AB70" s="17" t="n">
        <v>4</v>
      </c>
      <c r="AC70" s="17" t="n">
        <v>4</v>
      </c>
      <c r="AD70" s="17" t="n">
        <v>4</v>
      </c>
    </row>
    <row r="71" customFormat="false" ht="15" hidden="false" customHeight="false" outlineLevel="0" collapsed="false">
      <c r="A71" s="14" t="s">
        <v>157</v>
      </c>
      <c r="B71" s="14" t="s">
        <v>223</v>
      </c>
      <c r="C71" s="14" t="s">
        <v>213</v>
      </c>
      <c r="D71" s="14" t="s">
        <v>212</v>
      </c>
      <c r="E71" s="14" t="s">
        <v>157</v>
      </c>
      <c r="F71" s="30" t="n">
        <f aca="false">IF($A71="","",'Market levels'!I71)</f>
        <v>33602.22</v>
      </c>
      <c r="G71" s="31" t="n">
        <v>185</v>
      </c>
      <c r="H71" s="32"/>
      <c r="I71" s="32"/>
      <c r="J71" s="31" t="n">
        <v>100</v>
      </c>
      <c r="K71" s="33" t="n">
        <f aca="false">IF($A71="","",IFERROR(('Market levels'!I71/'Market levels'!D71)^(1/5)-1,""))</f>
        <v>-0.00202959145329351</v>
      </c>
      <c r="L71" s="33" t="n">
        <f aca="false">IF($A71="","",IFERROR('Market levels'!J71/'Market levels'!I71-1,""))</f>
        <v>0.0223934609082377</v>
      </c>
      <c r="M71" s="33" t="n">
        <f aca="false">IF($A71="","",IFERROR(('Market levels'!O71/'Market levels'!J71)^(1/5)-1,""))</f>
        <v>0.0287017530362954</v>
      </c>
      <c r="N71" s="34" t="n">
        <f aca="false">IF($A71="","",IFERROR('Market levels'!U71/'Market levels'!I71,""))</f>
        <v>0.347129743213395</v>
      </c>
      <c r="O71" s="33" t="n">
        <f aca="false">IF($A71="","",IFERROR(('Market levels'!U71/'Market levels'!P71)^(1/5)-1,""))</f>
        <v>0.0136656008008185</v>
      </c>
      <c r="P71" s="33" t="n">
        <f aca="false">IF($A71="","",IFERROR('Market levels'!V71/'Market levels'!U71-1,""))</f>
        <v>-0.0220012636816688</v>
      </c>
      <c r="Q71" s="33" t="n">
        <f aca="false">IF($A71="","",IFERROR(('Market levels'!AA71/'Market levels'!V71)^(1/5)-1,""))</f>
        <v>0.00920711679532471</v>
      </c>
      <c r="R71" s="33" t="n">
        <f aca="false">IF($A71="","",IFERROR(('Market levels'!AG71/'Market levels'!AB71)^(1/5)-1,""))</f>
        <v>-0.00980964662788009</v>
      </c>
      <c r="S71" s="33" t="n">
        <f aca="false">IF($A71="","",IFERROR('Market levels'!AH71/'Market levels'!AG71-1,""))</f>
        <v>0.0459980426558799</v>
      </c>
      <c r="T71" s="33" t="n">
        <f aca="false">IF($A71="","",IFERROR(('Market levels'!AM71/'Market levels'!AH71)^(1/5)-1,""))</f>
        <v>0.0378679398493862</v>
      </c>
      <c r="U71" s="31" t="n">
        <v>9</v>
      </c>
      <c r="V71" s="32" t="n">
        <v>0.035</v>
      </c>
      <c r="W71" s="32" t="n">
        <v>0.025</v>
      </c>
      <c r="X71" s="32" t="n">
        <v>0.03</v>
      </c>
      <c r="Y71" s="32"/>
      <c r="Z71" s="32"/>
      <c r="AA71" s="17" t="n">
        <v>5</v>
      </c>
      <c r="AB71" s="17" t="n">
        <v>4</v>
      </c>
      <c r="AC71" s="17" t="n">
        <v>4</v>
      </c>
      <c r="AD71" s="17" t="n">
        <v>4</v>
      </c>
    </row>
    <row r="72" customFormat="false" ht="15" hidden="false" customHeight="false" outlineLevel="0" collapsed="false">
      <c r="A72" s="14" t="s">
        <v>189</v>
      </c>
      <c r="B72" s="14" t="s">
        <v>224</v>
      </c>
      <c r="C72" s="14" t="s">
        <v>209</v>
      </c>
      <c r="D72" s="14" t="s">
        <v>210</v>
      </c>
      <c r="E72" s="14" t="s">
        <v>189</v>
      </c>
      <c r="F72" s="30" t="n">
        <f aca="false">IF($A72="","",'Market levels'!I72)</f>
        <v>91052.98</v>
      </c>
      <c r="G72" s="31" t="n">
        <v>1827</v>
      </c>
      <c r="H72" s="32"/>
      <c r="I72" s="32"/>
      <c r="J72" s="31" t="n">
        <v>603</v>
      </c>
      <c r="K72" s="33" t="n">
        <f aca="false">IF($A72="","",IFERROR(('Market levels'!I72/'Market levels'!D72)^(1/5)-1,""))</f>
        <v>0.0484928270822107</v>
      </c>
      <c r="L72" s="33" t="n">
        <f aca="false">IF($A72="","",IFERROR('Market levels'!J72/'Market levels'!I72-1,""))</f>
        <v>0.00965295150142276</v>
      </c>
      <c r="M72" s="33" t="n">
        <f aca="false">IF($A72="","",IFERROR(('Market levels'!O72/'Market levels'!J72)^(1/5)-1,""))</f>
        <v>0.0423295425363863</v>
      </c>
      <c r="N72" s="34" t="n">
        <f aca="false">IF($A72="","",IFERROR('Market levels'!U72/'Market levels'!I72,""))</f>
        <v>0.476396818643388</v>
      </c>
      <c r="O72" s="33" t="n">
        <f aca="false">IF($A72="","",IFERROR(('Market levels'!U72/'Market levels'!P72)^(1/5)-1,""))</f>
        <v>0.0780631180286031</v>
      </c>
      <c r="P72" s="33" t="n">
        <f aca="false">IF($A72="","",IFERROR('Market levels'!V72/'Market levels'!U72-1,""))</f>
        <v>-0.0292014150242004</v>
      </c>
      <c r="Q72" s="33" t="n">
        <f aca="false">IF($A72="","",IFERROR(('Market levels'!AA72/'Market levels'!V72)^(1/5)-1,""))</f>
        <v>0.03475600059401</v>
      </c>
      <c r="R72" s="33" t="n">
        <f aca="false">IF($A72="","",IFERROR(('Market levels'!AG72/'Market levels'!AB72)^(1/5)-1,""))</f>
        <v>0.0253395688618621</v>
      </c>
      <c r="S72" s="33" t="n">
        <f aca="false">IF($A72="","",IFERROR('Market levels'!AH72/'Market levels'!AG72-1,""))</f>
        <v>0.0450043344996176</v>
      </c>
      <c r="T72" s="33" t="n">
        <f aca="false">IF($A72="","",IFERROR(('Market levels'!AM72/'Market levels'!AH72)^(1/5)-1,""))</f>
        <v>0.0485635979840966</v>
      </c>
      <c r="U72" s="31" t="n">
        <v>23.2</v>
      </c>
      <c r="V72" s="32" t="n">
        <v>-0.01</v>
      </c>
      <c r="W72" s="32" t="n">
        <v>0.015</v>
      </c>
      <c r="X72" s="32" t="n">
        <v>0.025</v>
      </c>
      <c r="Y72" s="32"/>
      <c r="Z72" s="32"/>
      <c r="AA72" s="17" t="n">
        <v>3</v>
      </c>
      <c r="AB72" s="17" t="n">
        <v>2</v>
      </c>
      <c r="AC72" s="17" t="n">
        <v>2</v>
      </c>
      <c r="AD72" s="17" t="n">
        <v>3</v>
      </c>
    </row>
    <row r="73" customFormat="false" ht="15" hidden="false" customHeight="false" outlineLevel="0" collapsed="false">
      <c r="A73" s="14" t="s">
        <v>189</v>
      </c>
      <c r="B73" s="14" t="s">
        <v>224</v>
      </c>
      <c r="C73" s="14" t="s">
        <v>209</v>
      </c>
      <c r="D73" s="14" t="s">
        <v>211</v>
      </c>
      <c r="E73" s="14" t="s">
        <v>189</v>
      </c>
      <c r="F73" s="30" t="n">
        <f aca="false">IF($A73="","",'Market levels'!I73)</f>
        <v>91052.98</v>
      </c>
      <c r="G73" s="31" t="n">
        <v>671</v>
      </c>
      <c r="H73" s="32"/>
      <c r="I73" s="32"/>
      <c r="J73" s="31" t="n">
        <v>141</v>
      </c>
      <c r="K73" s="33" t="n">
        <f aca="false">IF($A73="","",IFERROR(('Market levels'!I73/'Market levels'!D73)^(1/5)-1,""))</f>
        <v>0.0484928270822107</v>
      </c>
      <c r="L73" s="33" t="n">
        <f aca="false">IF($A73="","",IFERROR('Market levels'!J73/'Market levels'!I73-1,""))</f>
        <v>0.00965295150142276</v>
      </c>
      <c r="M73" s="33" t="n">
        <f aca="false">IF($A73="","",IFERROR(('Market levels'!O73/'Market levels'!J73)^(1/5)-1,""))</f>
        <v>0.0423295425363863</v>
      </c>
      <c r="N73" s="34" t="n">
        <f aca="false">IF($A73="","",IFERROR('Market levels'!U73/'Market levels'!I73,""))</f>
        <v>0.476396818643388</v>
      </c>
      <c r="O73" s="33" t="n">
        <f aca="false">IF($A73="","",IFERROR(('Market levels'!U73/'Market levels'!P73)^(1/5)-1,""))</f>
        <v>0.0780631180286031</v>
      </c>
      <c r="P73" s="33" t="n">
        <f aca="false">IF($A73="","",IFERROR('Market levels'!V73/'Market levels'!U73-1,""))</f>
        <v>-0.0292014150242004</v>
      </c>
      <c r="Q73" s="33" t="n">
        <f aca="false">IF($A73="","",IFERROR(('Market levels'!AA73/'Market levels'!V73)^(1/5)-1,""))</f>
        <v>0.03475600059401</v>
      </c>
      <c r="R73" s="33" t="n">
        <f aca="false">IF($A73="","",IFERROR(('Market levels'!AG73/'Market levels'!AB73)^(1/5)-1,""))</f>
        <v>0.0253395688618621</v>
      </c>
      <c r="S73" s="33" t="n">
        <f aca="false">IF($A73="","",IFERROR('Market levels'!AH73/'Market levels'!AG73-1,""))</f>
        <v>0.0450043344996176</v>
      </c>
      <c r="T73" s="33" t="n">
        <f aca="false">IF($A73="","",IFERROR(('Market levels'!AM73/'Market levels'!AH73)^(1/5)-1,""))</f>
        <v>0.0485635979840966</v>
      </c>
      <c r="U73" s="31" t="n">
        <v>2.7</v>
      </c>
      <c r="V73" s="32" t="n">
        <v>0.005</v>
      </c>
      <c r="W73" s="32" t="n">
        <v>0.03</v>
      </c>
      <c r="X73" s="32" t="n">
        <v>0.04</v>
      </c>
      <c r="Y73" s="32"/>
      <c r="Z73" s="32"/>
      <c r="AA73" s="17" t="n">
        <v>3</v>
      </c>
      <c r="AB73" s="17" t="n">
        <v>2</v>
      </c>
      <c r="AC73" s="17" t="n">
        <v>2</v>
      </c>
      <c r="AD73" s="17" t="n">
        <v>3</v>
      </c>
    </row>
    <row r="74" customFormat="false" ht="15" hidden="false" customHeight="false" outlineLevel="0" collapsed="false">
      <c r="A74" s="14" t="s">
        <v>189</v>
      </c>
      <c r="B74" s="14" t="s">
        <v>224</v>
      </c>
      <c r="C74" s="14" t="s">
        <v>209</v>
      </c>
      <c r="D74" s="14" t="s">
        <v>212</v>
      </c>
      <c r="E74" s="14" t="s">
        <v>189</v>
      </c>
      <c r="F74" s="30" t="n">
        <f aca="false">IF($A74="","",'Market levels'!I74)</f>
        <v>91052.98</v>
      </c>
      <c r="G74" s="31" t="n">
        <v>967</v>
      </c>
      <c r="H74" s="32"/>
      <c r="I74" s="32"/>
      <c r="J74" s="31" t="n">
        <v>261</v>
      </c>
      <c r="K74" s="33" t="n">
        <f aca="false">IF($A74="","",IFERROR(('Market levels'!I74/'Market levels'!D74)^(1/5)-1,""))</f>
        <v>0.0484928270822107</v>
      </c>
      <c r="L74" s="33" t="n">
        <f aca="false">IF($A74="","",IFERROR('Market levels'!J74/'Market levels'!I74-1,""))</f>
        <v>0.00965295150142276</v>
      </c>
      <c r="M74" s="33" t="n">
        <f aca="false">IF($A74="","",IFERROR(('Market levels'!O74/'Market levels'!J74)^(1/5)-1,""))</f>
        <v>0.0423295425363863</v>
      </c>
      <c r="N74" s="34" t="n">
        <f aca="false">IF($A74="","",IFERROR('Market levels'!U74/'Market levels'!I74,""))</f>
        <v>0.476396818643388</v>
      </c>
      <c r="O74" s="33" t="n">
        <f aca="false">IF($A74="","",IFERROR(('Market levels'!U74/'Market levels'!P74)^(1/5)-1,""))</f>
        <v>0.0780631180286031</v>
      </c>
      <c r="P74" s="33" t="n">
        <f aca="false">IF($A74="","",IFERROR('Market levels'!V74/'Market levels'!U74-1,""))</f>
        <v>-0.0292014150242004</v>
      </c>
      <c r="Q74" s="33" t="n">
        <f aca="false">IF($A74="","",IFERROR(('Market levels'!AA74/'Market levels'!V74)^(1/5)-1,""))</f>
        <v>0.03475600059401</v>
      </c>
      <c r="R74" s="33" t="n">
        <f aca="false">IF($A74="","",IFERROR(('Market levels'!AG74/'Market levels'!AB74)^(1/5)-1,""))</f>
        <v>0.0253395688618621</v>
      </c>
      <c r="S74" s="33" t="n">
        <f aca="false">IF($A74="","",IFERROR('Market levels'!AH74/'Market levels'!AG74-1,""))</f>
        <v>0.0450043344996176</v>
      </c>
      <c r="T74" s="33" t="n">
        <f aca="false">IF($A74="","",IFERROR(('Market levels'!AM74/'Market levels'!AH74)^(1/5)-1,""))</f>
        <v>0.0485635979840966</v>
      </c>
      <c r="U74" s="31" t="n">
        <v>7.5</v>
      </c>
      <c r="V74" s="32" t="n">
        <v>-0.005</v>
      </c>
      <c r="W74" s="32" t="n">
        <v>0.02</v>
      </c>
      <c r="X74" s="32" t="n">
        <v>0.03</v>
      </c>
      <c r="Y74" s="32"/>
      <c r="Z74" s="32"/>
      <c r="AA74" s="17" t="n">
        <v>3</v>
      </c>
      <c r="AB74" s="17" t="n">
        <v>2</v>
      </c>
      <c r="AC74" s="17" t="n">
        <v>2</v>
      </c>
      <c r="AD74" s="17" t="n">
        <v>3</v>
      </c>
    </row>
    <row r="75" customFormat="false" ht="15" hidden="false" customHeight="false" outlineLevel="0" collapsed="false">
      <c r="A75" s="14" t="s">
        <v>189</v>
      </c>
      <c r="B75" s="14" t="s">
        <v>224</v>
      </c>
      <c r="C75" s="14" t="s">
        <v>213</v>
      </c>
      <c r="D75" s="14" t="s">
        <v>210</v>
      </c>
      <c r="E75" s="14" t="s">
        <v>189</v>
      </c>
      <c r="F75" s="30" t="n">
        <f aca="false">IF($A75="","",'Market levels'!I75)</f>
        <v>68667.69</v>
      </c>
      <c r="G75" s="31" t="n">
        <v>1379</v>
      </c>
      <c r="H75" s="32"/>
      <c r="I75" s="32"/>
      <c r="J75" s="31" t="n">
        <v>455</v>
      </c>
      <c r="K75" s="33" t="n">
        <f aca="false">IF($A75="","",IFERROR(('Market levels'!I75/'Market levels'!D75)^(1/5)-1,""))</f>
        <v>0.00479005986441861</v>
      </c>
      <c r="L75" s="33" t="n">
        <f aca="false">IF($A75="","",IFERROR('Market levels'!J75/'Market levels'!I75-1,""))</f>
        <v>-0.00535419205160392</v>
      </c>
      <c r="M75" s="33" t="n">
        <f aca="false">IF($A75="","",IFERROR(('Market levels'!O75/'Market levels'!J75)^(1/5)-1,""))</f>
        <v>0.0403468721186624</v>
      </c>
      <c r="N75" s="34" t="n">
        <f aca="false">IF($A75="","",IFERROR('Market levels'!U75/'Market levels'!I75,""))</f>
        <v>0.407700623102364</v>
      </c>
      <c r="O75" s="33" t="n">
        <f aca="false">IF($A75="","",IFERROR(('Market levels'!U75/'Market levels'!P75)^(1/5)-1,""))</f>
        <v>0.0532599551238662</v>
      </c>
      <c r="P75" s="33" t="n">
        <f aca="false">IF($A75="","",IFERROR('Market levels'!V75/'Market levels'!U75-1,""))</f>
        <v>-0.00083047993524743</v>
      </c>
      <c r="Q75" s="33" t="n">
        <f aca="false">IF($A75="","",IFERROR(('Market levels'!AA75/'Market levels'!V75)^(1/5)-1,""))</f>
        <v>0.0538909749105168</v>
      </c>
      <c r="R75" s="33" t="n">
        <f aca="false">IF($A75="","",IFERROR(('Market levels'!AG75/'Market levels'!AB75)^(1/5)-1,""))</f>
        <v>-0.0219632883829541</v>
      </c>
      <c r="S75" s="33" t="n">
        <f aca="false">IF($A75="","",IFERROR('Market levels'!AH75/'Market levels'!AG75-1,""))</f>
        <v>-0.00846802319934958</v>
      </c>
      <c r="T75" s="33" t="n">
        <f aca="false">IF($A75="","",IFERROR(('Market levels'!AM75/'Market levels'!AH75)^(1/5)-1,""))</f>
        <v>0.030520471588577</v>
      </c>
      <c r="U75" s="31" t="n">
        <v>15.3</v>
      </c>
      <c r="V75" s="32" t="n">
        <v>-0.005</v>
      </c>
      <c r="W75" s="32" t="n">
        <v>0.02</v>
      </c>
      <c r="X75" s="32" t="n">
        <v>0.03</v>
      </c>
      <c r="Y75" s="32"/>
      <c r="Z75" s="32"/>
      <c r="AA75" s="17" t="n">
        <v>3</v>
      </c>
      <c r="AB75" s="17" t="n">
        <v>2</v>
      </c>
      <c r="AC75" s="17" t="n">
        <v>2</v>
      </c>
      <c r="AD75" s="17" t="n">
        <v>3</v>
      </c>
    </row>
    <row r="76" customFormat="false" ht="15" hidden="false" customHeight="false" outlineLevel="0" collapsed="false">
      <c r="A76" s="14" t="s">
        <v>189</v>
      </c>
      <c r="B76" s="14" t="s">
        <v>224</v>
      </c>
      <c r="C76" s="14" t="s">
        <v>213</v>
      </c>
      <c r="D76" s="14" t="s">
        <v>211</v>
      </c>
      <c r="E76" s="14" t="s">
        <v>189</v>
      </c>
      <c r="F76" s="30" t="n">
        <f aca="false">IF($A76="","",'Market levels'!I76)</f>
        <v>68667.69</v>
      </c>
      <c r="G76" s="31" t="n">
        <v>505</v>
      </c>
      <c r="H76" s="32"/>
      <c r="I76" s="32"/>
      <c r="J76" s="31" t="n">
        <v>106</v>
      </c>
      <c r="K76" s="33" t="n">
        <f aca="false">IF($A76="","",IFERROR(('Market levels'!I76/'Market levels'!D76)^(1/5)-1,""))</f>
        <v>0.00479005986441861</v>
      </c>
      <c r="L76" s="33" t="n">
        <f aca="false">IF($A76="","",IFERROR('Market levels'!J76/'Market levels'!I76-1,""))</f>
        <v>-0.00535419205160392</v>
      </c>
      <c r="M76" s="33" t="n">
        <f aca="false">IF($A76="","",IFERROR(('Market levels'!O76/'Market levels'!J76)^(1/5)-1,""))</f>
        <v>0.0403468721186624</v>
      </c>
      <c r="N76" s="34" t="n">
        <f aca="false">IF($A76="","",IFERROR('Market levels'!U76/'Market levels'!I76,""))</f>
        <v>0.407700623102364</v>
      </c>
      <c r="O76" s="33" t="n">
        <f aca="false">IF($A76="","",IFERROR(('Market levels'!U76/'Market levels'!P76)^(1/5)-1,""))</f>
        <v>0.0532599551238662</v>
      </c>
      <c r="P76" s="33" t="n">
        <f aca="false">IF($A76="","",IFERROR('Market levels'!V76/'Market levels'!U76-1,""))</f>
        <v>-0.00083047993524743</v>
      </c>
      <c r="Q76" s="33" t="n">
        <f aca="false">IF($A76="","",IFERROR(('Market levels'!AA76/'Market levels'!V76)^(1/5)-1,""))</f>
        <v>0.0538909749105168</v>
      </c>
      <c r="R76" s="33" t="n">
        <f aca="false">IF($A76="","",IFERROR(('Market levels'!AG76/'Market levels'!AB76)^(1/5)-1,""))</f>
        <v>-0.0219632883829541</v>
      </c>
      <c r="S76" s="33" t="n">
        <f aca="false">IF($A76="","",IFERROR('Market levels'!AH76/'Market levels'!AG76-1,""))</f>
        <v>-0.00846802319934958</v>
      </c>
      <c r="T76" s="33" t="n">
        <f aca="false">IF($A76="","",IFERROR(('Market levels'!AM76/'Market levels'!AH76)^(1/5)-1,""))</f>
        <v>0.030520471588577</v>
      </c>
      <c r="U76" s="31" t="n">
        <v>1.8</v>
      </c>
      <c r="V76" s="32" t="n">
        <v>0.01</v>
      </c>
      <c r="W76" s="32" t="n">
        <v>0.035</v>
      </c>
      <c r="X76" s="32" t="n">
        <v>0.045</v>
      </c>
      <c r="Y76" s="32"/>
      <c r="Z76" s="32"/>
      <c r="AA76" s="17" t="n">
        <v>3</v>
      </c>
      <c r="AB76" s="17" t="n">
        <v>2</v>
      </c>
      <c r="AC76" s="17" t="n">
        <v>2</v>
      </c>
      <c r="AD76" s="17" t="n">
        <v>3</v>
      </c>
    </row>
    <row r="77" customFormat="false" ht="15" hidden="false" customHeight="false" outlineLevel="0" collapsed="false">
      <c r="A77" s="14" t="s">
        <v>189</v>
      </c>
      <c r="B77" s="14" t="s">
        <v>224</v>
      </c>
      <c r="C77" s="14" t="s">
        <v>213</v>
      </c>
      <c r="D77" s="14" t="s">
        <v>212</v>
      </c>
      <c r="E77" s="14" t="s">
        <v>189</v>
      </c>
      <c r="F77" s="30" t="n">
        <f aca="false">IF($A77="","",'Market levels'!I77)</f>
        <v>68667.69</v>
      </c>
      <c r="G77" s="31" t="n">
        <v>730</v>
      </c>
      <c r="H77" s="32"/>
      <c r="I77" s="32"/>
      <c r="J77" s="31" t="n">
        <v>197</v>
      </c>
      <c r="K77" s="33" t="n">
        <f aca="false">IF($A77="","",IFERROR(('Market levels'!I77/'Market levels'!D77)^(1/5)-1,""))</f>
        <v>0.00479005986441861</v>
      </c>
      <c r="L77" s="33" t="n">
        <f aca="false">IF($A77="","",IFERROR('Market levels'!J77/'Market levels'!I77-1,""))</f>
        <v>-0.00535419205160392</v>
      </c>
      <c r="M77" s="33" t="n">
        <f aca="false">IF($A77="","",IFERROR(('Market levels'!O77/'Market levels'!J77)^(1/5)-1,""))</f>
        <v>0.0403468721186624</v>
      </c>
      <c r="N77" s="34" t="n">
        <f aca="false">IF($A77="","",IFERROR('Market levels'!U77/'Market levels'!I77,""))</f>
        <v>0.407700623102364</v>
      </c>
      <c r="O77" s="33" t="n">
        <f aca="false">IF($A77="","",IFERROR(('Market levels'!U77/'Market levels'!P77)^(1/5)-1,""))</f>
        <v>0.0532599551238662</v>
      </c>
      <c r="P77" s="33" t="n">
        <f aca="false">IF($A77="","",IFERROR('Market levels'!V77/'Market levels'!U77-1,""))</f>
        <v>-0.00083047993524743</v>
      </c>
      <c r="Q77" s="33" t="n">
        <f aca="false">IF($A77="","",IFERROR(('Market levels'!AA77/'Market levels'!V77)^(1/5)-1,""))</f>
        <v>0.0538909749105168</v>
      </c>
      <c r="R77" s="33" t="n">
        <f aca="false">IF($A77="","",IFERROR(('Market levels'!AG77/'Market levels'!AB77)^(1/5)-1,""))</f>
        <v>-0.0219632883829541</v>
      </c>
      <c r="S77" s="33" t="n">
        <f aca="false">IF($A77="","",IFERROR('Market levels'!AH77/'Market levels'!AG77-1,""))</f>
        <v>-0.00846802319934958</v>
      </c>
      <c r="T77" s="33" t="n">
        <f aca="false">IF($A77="","",IFERROR(('Market levels'!AM77/'Market levels'!AH77)^(1/5)-1,""))</f>
        <v>0.030520471588577</v>
      </c>
      <c r="U77" s="31" t="n">
        <v>5</v>
      </c>
      <c r="V77" s="32" t="n">
        <v>0</v>
      </c>
      <c r="W77" s="32" t="n">
        <v>0.025</v>
      </c>
      <c r="X77" s="32" t="n">
        <v>0.035</v>
      </c>
      <c r="Y77" s="32"/>
      <c r="Z77" s="32"/>
      <c r="AA77" s="17" t="n">
        <v>3</v>
      </c>
      <c r="AB77" s="17" t="n">
        <v>2</v>
      </c>
      <c r="AC77" s="17" t="n">
        <v>2</v>
      </c>
      <c r="AD77" s="17" t="n">
        <v>3</v>
      </c>
    </row>
    <row r="78" customFormat="false" ht="15" hidden="false" customHeight="false" outlineLevel="0" collapsed="false">
      <c r="A78" s="14" t="s">
        <v>169</v>
      </c>
      <c r="B78" s="14" t="s">
        <v>225</v>
      </c>
      <c r="C78" s="14" t="s">
        <v>209</v>
      </c>
      <c r="D78" s="14" t="s">
        <v>210</v>
      </c>
      <c r="E78" s="14" t="s">
        <v>169</v>
      </c>
      <c r="F78" s="30" t="n">
        <f aca="false">IF($A78="","",'Market levels'!I78)</f>
        <v>47504.24</v>
      </c>
      <c r="G78" s="31" t="n">
        <v>352</v>
      </c>
      <c r="H78" s="32"/>
      <c r="I78" s="32"/>
      <c r="J78" s="31" t="n">
        <v>252</v>
      </c>
      <c r="K78" s="33" t="n">
        <f aca="false">IF($A78="","",IFERROR(('Market levels'!I78/'Market levels'!D78)^(1/5)-1,""))</f>
        <v>-0.0154949361668216</v>
      </c>
      <c r="L78" s="33" t="n">
        <f aca="false">IF($A78="","",IFERROR('Market levels'!J78/'Market levels'!I78-1,""))</f>
        <v>0.00409163476775953</v>
      </c>
      <c r="M78" s="33" t="n">
        <f aca="false">IF($A78="","",IFERROR(('Market levels'!O78/'Market levels'!J78)^(1/5)-1,""))</f>
        <v>0.0191750853803925</v>
      </c>
      <c r="N78" s="34" t="n">
        <f aca="false">IF($A78="","",IFERROR('Market levels'!U78/'Market levels'!I78,""))</f>
        <v>0.774944720723876</v>
      </c>
      <c r="O78" s="33" t="n">
        <f aca="false">IF($A78="","",IFERROR(('Market levels'!U78/'Market levels'!P78)^(1/5)-1,""))</f>
        <v>0.0280821798617414</v>
      </c>
      <c r="P78" s="33" t="n">
        <f aca="false">IF($A78="","",IFERROR('Market levels'!V78/'Market levels'!U78-1,""))</f>
        <v>0.0176184277578997</v>
      </c>
      <c r="Q78" s="33" t="n">
        <f aca="false">IF($A78="","",IFERROR(('Market levels'!AA78/'Market levels'!V78)^(1/5)-1,""))</f>
        <v>0.0192596423783837</v>
      </c>
      <c r="R78" s="33" t="n">
        <f aca="false">IF($A78="","",IFERROR(('Market levels'!AG78/'Market levels'!AB78)^(1/5)-1,""))</f>
        <v>-0.111514335254401</v>
      </c>
      <c r="S78" s="33" t="n">
        <f aca="false">IF($A78="","",IFERROR('Market levels'!AH78/'Market levels'!AG78-1,""))</f>
        <v>-0.0424858854297232</v>
      </c>
      <c r="T78" s="33" t="n">
        <f aca="false">IF($A78="","",IFERROR(('Market levels'!AM78/'Market levels'!AH78)^(1/5)-1,""))</f>
        <v>0.0188654098880188</v>
      </c>
      <c r="U78" s="31" t="n">
        <v>54.4</v>
      </c>
      <c r="V78" s="32" t="n">
        <v>0.04</v>
      </c>
      <c r="W78" s="32" t="n">
        <v>0.01</v>
      </c>
      <c r="X78" s="32" t="n">
        <v>0.035</v>
      </c>
      <c r="Y78" s="32"/>
      <c r="Z78" s="32"/>
      <c r="AA78" s="17" t="n">
        <v>4</v>
      </c>
      <c r="AB78" s="17" t="n">
        <v>3</v>
      </c>
      <c r="AC78" s="17" t="n">
        <v>4</v>
      </c>
      <c r="AD78" s="17" t="n">
        <v>4</v>
      </c>
    </row>
    <row r="79" customFormat="false" ht="15" hidden="false" customHeight="false" outlineLevel="0" collapsed="false">
      <c r="A79" s="14" t="s">
        <v>169</v>
      </c>
      <c r="B79" s="14" t="s">
        <v>225</v>
      </c>
      <c r="C79" s="14" t="s">
        <v>209</v>
      </c>
      <c r="D79" s="14" t="s">
        <v>211</v>
      </c>
      <c r="E79" s="14" t="s">
        <v>169</v>
      </c>
      <c r="F79" s="30" t="n">
        <f aca="false">IF($A79="","",'Market levels'!I79)</f>
        <v>47504.24</v>
      </c>
      <c r="G79" s="31" t="n">
        <v>310</v>
      </c>
      <c r="H79" s="32"/>
      <c r="I79" s="32"/>
      <c r="J79" s="31" t="n">
        <v>141</v>
      </c>
      <c r="K79" s="33" t="n">
        <f aca="false">IF($A79="","",IFERROR(('Market levels'!I79/'Market levels'!D79)^(1/5)-1,""))</f>
        <v>-0.0154949361668216</v>
      </c>
      <c r="L79" s="33" t="n">
        <f aca="false">IF($A79="","",IFERROR('Market levels'!J79/'Market levels'!I79-1,""))</f>
        <v>0.00409163476775953</v>
      </c>
      <c r="M79" s="33" t="n">
        <f aca="false">IF($A79="","",IFERROR(('Market levels'!O79/'Market levels'!J79)^(1/5)-1,""))</f>
        <v>0.0191750853803925</v>
      </c>
      <c r="N79" s="34" t="n">
        <f aca="false">IF($A79="","",IFERROR('Market levels'!U79/'Market levels'!I79,""))</f>
        <v>0.774944720723876</v>
      </c>
      <c r="O79" s="33" t="n">
        <f aca="false">IF($A79="","",IFERROR(('Market levels'!U79/'Market levels'!P79)^(1/5)-1,""))</f>
        <v>0.0280821798617414</v>
      </c>
      <c r="P79" s="33" t="n">
        <f aca="false">IF($A79="","",IFERROR('Market levels'!V79/'Market levels'!U79-1,""))</f>
        <v>0.0176184277578997</v>
      </c>
      <c r="Q79" s="33" t="n">
        <f aca="false">IF($A79="","",IFERROR(('Market levels'!AA79/'Market levels'!V79)^(1/5)-1,""))</f>
        <v>0.0192596423783837</v>
      </c>
      <c r="R79" s="33" t="n">
        <f aca="false">IF($A79="","",IFERROR(('Market levels'!AG79/'Market levels'!AB79)^(1/5)-1,""))</f>
        <v>-0.111514335254401</v>
      </c>
      <c r="S79" s="33" t="n">
        <f aca="false">IF($A79="","",IFERROR('Market levels'!AH79/'Market levels'!AG79-1,""))</f>
        <v>-0.0424858854297232</v>
      </c>
      <c r="T79" s="33" t="n">
        <f aca="false">IF($A79="","",IFERROR(('Market levels'!AM79/'Market levels'!AH79)^(1/5)-1,""))</f>
        <v>0.0188654098880188</v>
      </c>
      <c r="U79" s="31" t="n">
        <v>15.2</v>
      </c>
      <c r="V79" s="32" t="n">
        <v>0.055</v>
      </c>
      <c r="W79" s="32" t="n">
        <v>0.025</v>
      </c>
      <c r="X79" s="32" t="n">
        <v>0.05</v>
      </c>
      <c r="Y79" s="32"/>
      <c r="Z79" s="32"/>
      <c r="AA79" s="17" t="n">
        <v>4</v>
      </c>
      <c r="AB79" s="17" t="n">
        <v>3</v>
      </c>
      <c r="AC79" s="17" t="n">
        <v>4</v>
      </c>
      <c r="AD79" s="17" t="n">
        <v>4</v>
      </c>
    </row>
    <row r="80" customFormat="false" ht="15" hidden="false" customHeight="false" outlineLevel="0" collapsed="false">
      <c r="A80" s="14" t="s">
        <v>169</v>
      </c>
      <c r="B80" s="14" t="s">
        <v>225</v>
      </c>
      <c r="C80" s="14" t="s">
        <v>209</v>
      </c>
      <c r="D80" s="14" t="s">
        <v>212</v>
      </c>
      <c r="E80" s="14" t="s">
        <v>169</v>
      </c>
      <c r="F80" s="30" t="n">
        <f aca="false">IF($A80="","",'Market levels'!I80)</f>
        <v>47504.24</v>
      </c>
      <c r="G80" s="31" t="n">
        <v>224</v>
      </c>
      <c r="H80" s="32"/>
      <c r="I80" s="32"/>
      <c r="J80" s="31" t="n">
        <v>131</v>
      </c>
      <c r="K80" s="33" t="n">
        <f aca="false">IF($A80="","",IFERROR(('Market levels'!I80/'Market levels'!D80)^(1/5)-1,""))</f>
        <v>-0.0154949361668216</v>
      </c>
      <c r="L80" s="33" t="n">
        <f aca="false">IF($A80="","",IFERROR('Market levels'!J80/'Market levels'!I80-1,""))</f>
        <v>0.00409163476775953</v>
      </c>
      <c r="M80" s="33" t="n">
        <f aca="false">IF($A80="","",IFERROR(('Market levels'!O80/'Market levels'!J80)^(1/5)-1,""))</f>
        <v>0.0191750853803925</v>
      </c>
      <c r="N80" s="34" t="n">
        <f aca="false">IF($A80="","",IFERROR('Market levels'!U80/'Market levels'!I80,""))</f>
        <v>0.774944720723876</v>
      </c>
      <c r="O80" s="33" t="n">
        <f aca="false">IF($A80="","",IFERROR(('Market levels'!U80/'Market levels'!P80)^(1/5)-1,""))</f>
        <v>0.0280821798617414</v>
      </c>
      <c r="P80" s="33" t="n">
        <f aca="false">IF($A80="","",IFERROR('Market levels'!V80/'Market levels'!U80-1,""))</f>
        <v>0.0176184277578997</v>
      </c>
      <c r="Q80" s="33" t="n">
        <f aca="false">IF($A80="","",IFERROR(('Market levels'!AA80/'Market levels'!V80)^(1/5)-1,""))</f>
        <v>0.0192596423783837</v>
      </c>
      <c r="R80" s="33" t="n">
        <f aca="false">IF($A80="","",IFERROR(('Market levels'!AG80/'Market levels'!AB80)^(1/5)-1,""))</f>
        <v>-0.111514335254401</v>
      </c>
      <c r="S80" s="33" t="n">
        <f aca="false">IF($A80="","",IFERROR('Market levels'!AH80/'Market levels'!AG80-1,""))</f>
        <v>-0.0424858854297232</v>
      </c>
      <c r="T80" s="33" t="n">
        <f aca="false">IF($A80="","",IFERROR(('Market levels'!AM80/'Market levels'!AH80)^(1/5)-1,""))</f>
        <v>0.0188654098880188</v>
      </c>
      <c r="U80" s="31" t="n">
        <v>21.2</v>
      </c>
      <c r="V80" s="32" t="n">
        <v>0.045</v>
      </c>
      <c r="W80" s="32" t="n">
        <v>0.015</v>
      </c>
      <c r="X80" s="32" t="n">
        <v>0.04</v>
      </c>
      <c r="Y80" s="32"/>
      <c r="Z80" s="32"/>
      <c r="AA80" s="17" t="n">
        <v>4</v>
      </c>
      <c r="AB80" s="17" t="n">
        <v>3</v>
      </c>
      <c r="AC80" s="17" t="n">
        <v>4</v>
      </c>
      <c r="AD80" s="17" t="n">
        <v>4</v>
      </c>
    </row>
    <row r="81" customFormat="false" ht="15" hidden="false" customHeight="false" outlineLevel="0" collapsed="false">
      <c r="A81" s="14" t="s">
        <v>169</v>
      </c>
      <c r="B81" s="14" t="s">
        <v>225</v>
      </c>
      <c r="C81" s="14" t="s">
        <v>213</v>
      </c>
      <c r="D81" s="14" t="s">
        <v>210</v>
      </c>
      <c r="E81" s="14" t="s">
        <v>169</v>
      </c>
      <c r="F81" s="30" t="n">
        <f aca="false">IF($A81="","",'Market levels'!I81)</f>
        <v>92949.87</v>
      </c>
      <c r="G81" s="31" t="n">
        <v>688</v>
      </c>
      <c r="H81" s="32"/>
      <c r="I81" s="32"/>
      <c r="J81" s="31" t="n">
        <v>492</v>
      </c>
      <c r="K81" s="33" t="n">
        <f aca="false">IF($A81="","",IFERROR(('Market levels'!I81/'Market levels'!D81)^(1/5)-1,""))</f>
        <v>0.00737970337835248</v>
      </c>
      <c r="L81" s="33" t="n">
        <f aca="false">IF($A81="","",IFERROR('Market levels'!J81/'Market levels'!I81-1,""))</f>
        <v>0.0104207784260486</v>
      </c>
      <c r="M81" s="33" t="n">
        <f aca="false">IF($A81="","",IFERROR(('Market levels'!O81/'Market levels'!J81)^(1/5)-1,""))</f>
        <v>0.0121628290255464</v>
      </c>
      <c r="N81" s="34" t="n">
        <f aca="false">IF($A81="","",IFERROR('Market levels'!U81/'Market levels'!I81,""))</f>
        <v>0.634343436951553</v>
      </c>
      <c r="O81" s="33" t="n">
        <f aca="false">IF($A81="","",IFERROR(('Market levels'!U81/'Market levels'!P81)^(1/5)-1,""))</f>
        <v>0.0445764611895643</v>
      </c>
      <c r="P81" s="33" t="n">
        <f aca="false">IF($A81="","",IFERROR('Market levels'!V81/'Market levels'!U81-1,""))</f>
        <v>0.0164129049590125</v>
      </c>
      <c r="Q81" s="33" t="n">
        <f aca="false">IF($A81="","",IFERROR(('Market levels'!AA81/'Market levels'!V81)^(1/5)-1,""))</f>
        <v>0.0168941707468939</v>
      </c>
      <c r="R81" s="33" t="n">
        <f aca="false">IF($A81="","",IFERROR(('Market levels'!AG81/'Market levels'!AB81)^(1/5)-1,""))</f>
        <v>-0.0422906958929223</v>
      </c>
      <c r="S81" s="33" t="n">
        <f aca="false">IF($A81="","",IFERROR('Market levels'!AH81/'Market levels'!AG81-1,""))</f>
        <v>2.55974729705954E-005</v>
      </c>
      <c r="T81" s="33" t="n">
        <f aca="false">IF($A81="","",IFERROR(('Market levels'!AM81/'Market levels'!AH81)^(1/5)-1,""))</f>
        <v>0.00359828535973383</v>
      </c>
      <c r="U81" s="31" t="n">
        <v>82.7</v>
      </c>
      <c r="V81" s="32" t="n">
        <v>0.045</v>
      </c>
      <c r="W81" s="32" t="n">
        <v>0.015</v>
      </c>
      <c r="X81" s="32" t="n">
        <v>0.04</v>
      </c>
      <c r="Y81" s="32"/>
      <c r="Z81" s="32"/>
      <c r="AA81" s="17" t="n">
        <v>4</v>
      </c>
      <c r="AB81" s="17" t="n">
        <v>3</v>
      </c>
      <c r="AC81" s="17" t="n">
        <v>4</v>
      </c>
      <c r="AD81" s="17" t="n">
        <v>4</v>
      </c>
    </row>
    <row r="82" customFormat="false" ht="15" hidden="false" customHeight="false" outlineLevel="0" collapsed="false">
      <c r="A82" s="14" t="s">
        <v>169</v>
      </c>
      <c r="B82" s="14" t="s">
        <v>225</v>
      </c>
      <c r="C82" s="14" t="s">
        <v>213</v>
      </c>
      <c r="D82" s="14" t="s">
        <v>211</v>
      </c>
      <c r="E82" s="14" t="s">
        <v>169</v>
      </c>
      <c r="F82" s="30" t="n">
        <f aca="false">IF($A82="","",'Market levels'!I82)</f>
        <v>92949.87</v>
      </c>
      <c r="G82" s="31" t="n">
        <v>609</v>
      </c>
      <c r="H82" s="32"/>
      <c r="I82" s="32"/>
      <c r="J82" s="31" t="n">
        <v>277</v>
      </c>
      <c r="K82" s="33" t="n">
        <f aca="false">IF($A82="","",IFERROR(('Market levels'!I82/'Market levels'!D82)^(1/5)-1,""))</f>
        <v>0.00737970337835248</v>
      </c>
      <c r="L82" s="33" t="n">
        <f aca="false">IF($A82="","",IFERROR('Market levels'!J82/'Market levels'!I82-1,""))</f>
        <v>0.0104207784260486</v>
      </c>
      <c r="M82" s="33" t="n">
        <f aca="false">IF($A82="","",IFERROR(('Market levels'!O82/'Market levels'!J82)^(1/5)-1,""))</f>
        <v>0.0121628290255464</v>
      </c>
      <c r="N82" s="34" t="n">
        <f aca="false">IF($A82="","",IFERROR('Market levels'!U82/'Market levels'!I82,""))</f>
        <v>0.634343436951553</v>
      </c>
      <c r="O82" s="33" t="n">
        <f aca="false">IF($A82="","",IFERROR(('Market levels'!U82/'Market levels'!P82)^(1/5)-1,""))</f>
        <v>0.0445764611895643</v>
      </c>
      <c r="P82" s="33" t="n">
        <f aca="false">IF($A82="","",IFERROR('Market levels'!V82/'Market levels'!U82-1,""))</f>
        <v>0.0164129049590125</v>
      </c>
      <c r="Q82" s="33" t="n">
        <f aca="false">IF($A82="","",IFERROR(('Market levels'!AA82/'Market levels'!V82)^(1/5)-1,""))</f>
        <v>0.0168941707468939</v>
      </c>
      <c r="R82" s="33" t="n">
        <f aca="false">IF($A82="","",IFERROR(('Market levels'!AG82/'Market levels'!AB82)^(1/5)-1,""))</f>
        <v>-0.0422906958929223</v>
      </c>
      <c r="S82" s="33" t="n">
        <f aca="false">IF($A82="","",IFERROR('Market levels'!AH82/'Market levels'!AG82-1,""))</f>
        <v>2.55974729705954E-005</v>
      </c>
      <c r="T82" s="33" t="n">
        <f aca="false">IF($A82="","",IFERROR(('Market levels'!AM82/'Market levels'!AH82)^(1/5)-1,""))</f>
        <v>0.00359828535973383</v>
      </c>
      <c r="U82" s="31" t="n">
        <v>23.3</v>
      </c>
      <c r="V82" s="32" t="n">
        <v>0.06</v>
      </c>
      <c r="W82" s="32" t="n">
        <v>0.03</v>
      </c>
      <c r="X82" s="32" t="n">
        <v>0.055</v>
      </c>
      <c r="Y82" s="32"/>
      <c r="Z82" s="32"/>
      <c r="AA82" s="17" t="n">
        <v>4</v>
      </c>
      <c r="AB82" s="17" t="n">
        <v>3</v>
      </c>
      <c r="AC82" s="17" t="n">
        <v>4</v>
      </c>
      <c r="AD82" s="17" t="n">
        <v>4</v>
      </c>
    </row>
    <row r="83" customFormat="false" ht="15" hidden="false" customHeight="false" outlineLevel="0" collapsed="false">
      <c r="A83" s="14" t="s">
        <v>169</v>
      </c>
      <c r="B83" s="14" t="s">
        <v>225</v>
      </c>
      <c r="C83" s="14" t="s">
        <v>213</v>
      </c>
      <c r="D83" s="14" t="s">
        <v>212</v>
      </c>
      <c r="E83" s="14" t="s">
        <v>169</v>
      </c>
      <c r="F83" s="30" t="n">
        <f aca="false">IF($A83="","",'Market levels'!I83)</f>
        <v>92949.87</v>
      </c>
      <c r="G83" s="31" t="n">
        <v>439</v>
      </c>
      <c r="H83" s="32"/>
      <c r="I83" s="32"/>
      <c r="J83" s="31" t="n">
        <v>257</v>
      </c>
      <c r="K83" s="33" t="n">
        <f aca="false">IF($A83="","",IFERROR(('Market levels'!I83/'Market levels'!D83)^(1/5)-1,""))</f>
        <v>0.00737970337835248</v>
      </c>
      <c r="L83" s="33" t="n">
        <f aca="false">IF($A83="","",IFERROR('Market levels'!J83/'Market levels'!I83-1,""))</f>
        <v>0.0104207784260486</v>
      </c>
      <c r="M83" s="33" t="n">
        <f aca="false">IF($A83="","",IFERROR(('Market levels'!O83/'Market levels'!J83)^(1/5)-1,""))</f>
        <v>0.0121628290255464</v>
      </c>
      <c r="N83" s="34" t="n">
        <f aca="false">IF($A83="","",IFERROR('Market levels'!U83/'Market levels'!I83,""))</f>
        <v>0.634343436951553</v>
      </c>
      <c r="O83" s="33" t="n">
        <f aca="false">IF($A83="","",IFERROR(('Market levels'!U83/'Market levels'!P83)^(1/5)-1,""))</f>
        <v>0.0445764611895643</v>
      </c>
      <c r="P83" s="33" t="n">
        <f aca="false">IF($A83="","",IFERROR('Market levels'!V83/'Market levels'!U83-1,""))</f>
        <v>0.0164129049590125</v>
      </c>
      <c r="Q83" s="33" t="n">
        <f aca="false">IF($A83="","",IFERROR(('Market levels'!AA83/'Market levels'!V83)^(1/5)-1,""))</f>
        <v>0.0168941707468939</v>
      </c>
      <c r="R83" s="33" t="n">
        <f aca="false">IF($A83="","",IFERROR(('Market levels'!AG83/'Market levels'!AB83)^(1/5)-1,""))</f>
        <v>-0.0422906958929223</v>
      </c>
      <c r="S83" s="33" t="n">
        <f aca="false">IF($A83="","",IFERROR('Market levels'!AH83/'Market levels'!AG83-1,""))</f>
        <v>2.55974729705954E-005</v>
      </c>
      <c r="T83" s="33" t="n">
        <f aca="false">IF($A83="","",IFERROR(('Market levels'!AM83/'Market levels'!AH83)^(1/5)-1,""))</f>
        <v>0.00359828535973383</v>
      </c>
      <c r="U83" s="31" t="n">
        <v>32.4</v>
      </c>
      <c r="V83" s="32" t="n">
        <v>0.05</v>
      </c>
      <c r="W83" s="32" t="n">
        <v>0.02</v>
      </c>
      <c r="X83" s="32" t="n">
        <v>0.045</v>
      </c>
      <c r="Y83" s="32"/>
      <c r="Z83" s="32"/>
      <c r="AA83" s="17" t="n">
        <v>4</v>
      </c>
      <c r="AB83" s="17" t="n">
        <v>3</v>
      </c>
      <c r="AC83" s="17" t="n">
        <v>4</v>
      </c>
      <c r="AD83" s="17" t="n">
        <v>4</v>
      </c>
    </row>
    <row r="84" customFormat="false" ht="15" hidden="false" customHeight="false" outlineLevel="0" collapsed="false">
      <c r="A84" s="14" t="s">
        <v>175</v>
      </c>
      <c r="B84" s="14" t="s">
        <v>226</v>
      </c>
      <c r="C84" s="14" t="s">
        <v>209</v>
      </c>
      <c r="D84" s="14" t="s">
        <v>210</v>
      </c>
      <c r="E84" s="14" t="s">
        <v>175</v>
      </c>
      <c r="F84" s="30" t="n">
        <f aca="false">IF($A84="","",'Market levels'!I84)</f>
        <v>27391</v>
      </c>
      <c r="G84" s="31" t="n">
        <v>200</v>
      </c>
      <c r="H84" s="32"/>
      <c r="I84" s="32"/>
      <c r="J84" s="31" t="n">
        <v>121</v>
      </c>
      <c r="K84" s="33" t="n">
        <f aca="false">IF($A84="","",IFERROR(('Market levels'!I84/'Market levels'!D84)^(1/5)-1,""))</f>
        <v>0.105067721311887</v>
      </c>
      <c r="L84" s="33" t="n">
        <f aca="false">IF($A84="","",IFERROR('Market levels'!J84/'Market levels'!I84-1,""))</f>
        <v>-0.0282235040706802</v>
      </c>
      <c r="M84" s="33" t="n">
        <f aca="false">IF($A84="","",IFERROR(('Market levels'!O84/'Market levels'!J84)^(1/5)-1,""))</f>
        <v>-0.0223924451401707</v>
      </c>
      <c r="N84" s="34" t="n">
        <f aca="false">IF($A84="","",IFERROR('Market levels'!U84/'Market levels'!I84,""))</f>
        <v>0.791549048957687</v>
      </c>
      <c r="O84" s="33" t="n">
        <f aca="false">IF($A84="","",IFERROR(('Market levels'!U84/'Market levels'!P84)^(1/5)-1,""))</f>
        <v>0.107577956686453</v>
      </c>
      <c r="P84" s="33" t="n">
        <f aca="false">IF($A84="","",IFERROR('Market levels'!V84/'Market levels'!U84-1,""))</f>
        <v>-0.0414001546031331</v>
      </c>
      <c r="Q84" s="33" t="n">
        <f aca="false">IF($A84="","",IFERROR(('Market levels'!AA84/'Market levels'!V84)^(1/5)-1,""))</f>
        <v>-0.0126639827652932</v>
      </c>
      <c r="R84" s="33" t="n">
        <f aca="false">IF($A84="","",IFERROR(('Market levels'!AG84/'Market levels'!AB84)^(1/5)-1,""))</f>
        <v>0.0958361832028132</v>
      </c>
      <c r="S84" s="33" t="n">
        <f aca="false">IF($A84="","",IFERROR('Market levels'!AH84/'Market levels'!AG84-1,""))</f>
        <v>0.0218120805369129</v>
      </c>
      <c r="T84" s="33" t="n">
        <f aca="false">IF($A84="","",IFERROR(('Market levels'!AM84/'Market levels'!AH84)^(1/5)-1,""))</f>
        <v>-0.0606206801980648</v>
      </c>
      <c r="U84" s="31" t="n">
        <v>16</v>
      </c>
      <c r="V84" s="32" t="n">
        <v>0.03</v>
      </c>
      <c r="W84" s="32" t="n">
        <v>-0.03</v>
      </c>
      <c r="X84" s="32" t="n">
        <v>0.02</v>
      </c>
      <c r="Y84" s="32"/>
      <c r="Z84" s="32"/>
      <c r="AA84" s="17" t="n">
        <v>3</v>
      </c>
      <c r="AB84" s="17" t="n">
        <v>3</v>
      </c>
      <c r="AC84" s="17" t="n">
        <v>4</v>
      </c>
      <c r="AD84" s="17" t="n">
        <v>3</v>
      </c>
    </row>
    <row r="85" customFormat="false" ht="15" hidden="false" customHeight="false" outlineLevel="0" collapsed="false">
      <c r="A85" s="14" t="s">
        <v>175</v>
      </c>
      <c r="B85" s="14" t="s">
        <v>226</v>
      </c>
      <c r="C85" s="14" t="s">
        <v>209</v>
      </c>
      <c r="D85" s="14" t="s">
        <v>211</v>
      </c>
      <c r="E85" s="14" t="s">
        <v>175</v>
      </c>
      <c r="F85" s="30" t="n">
        <f aca="false">IF($A85="","",'Market levels'!I85)</f>
        <v>27391</v>
      </c>
      <c r="G85" s="31" t="n">
        <v>275</v>
      </c>
      <c r="H85" s="32"/>
      <c r="I85" s="32"/>
      <c r="J85" s="31" t="n">
        <v>106</v>
      </c>
      <c r="K85" s="33" t="n">
        <f aca="false">IF($A85="","",IFERROR(('Market levels'!I85/'Market levels'!D85)^(1/5)-1,""))</f>
        <v>0.105067721311887</v>
      </c>
      <c r="L85" s="33" t="n">
        <f aca="false">IF($A85="","",IFERROR('Market levels'!J85/'Market levels'!I85-1,""))</f>
        <v>-0.0282235040706802</v>
      </c>
      <c r="M85" s="33" t="n">
        <f aca="false">IF($A85="","",IFERROR(('Market levels'!O85/'Market levels'!J85)^(1/5)-1,""))</f>
        <v>-0.0223924451401707</v>
      </c>
      <c r="N85" s="34" t="n">
        <f aca="false">IF($A85="","",IFERROR('Market levels'!U85/'Market levels'!I85,""))</f>
        <v>0.791549048957687</v>
      </c>
      <c r="O85" s="33" t="n">
        <f aca="false">IF($A85="","",IFERROR(('Market levels'!U85/'Market levels'!P85)^(1/5)-1,""))</f>
        <v>0.107577956686453</v>
      </c>
      <c r="P85" s="33" t="n">
        <f aca="false">IF($A85="","",IFERROR('Market levels'!V85/'Market levels'!U85-1,""))</f>
        <v>-0.0414001546031331</v>
      </c>
      <c r="Q85" s="33" t="n">
        <f aca="false">IF($A85="","",IFERROR(('Market levels'!AA85/'Market levels'!V85)^(1/5)-1,""))</f>
        <v>-0.0126639827652932</v>
      </c>
      <c r="R85" s="33" t="n">
        <f aca="false">IF($A85="","",IFERROR(('Market levels'!AG85/'Market levels'!AB85)^(1/5)-1,""))</f>
        <v>0.0958361832028132</v>
      </c>
      <c r="S85" s="33" t="n">
        <f aca="false">IF($A85="","",IFERROR('Market levels'!AH85/'Market levels'!AG85-1,""))</f>
        <v>0.0218120805369129</v>
      </c>
      <c r="T85" s="33" t="n">
        <f aca="false">IF($A85="","",IFERROR(('Market levels'!AM85/'Market levels'!AH85)^(1/5)-1,""))</f>
        <v>-0.0606206801980648</v>
      </c>
      <c r="U85" s="31" t="n">
        <v>7</v>
      </c>
      <c r="V85" s="32" t="n">
        <v>0.045</v>
      </c>
      <c r="W85" s="32" t="n">
        <v>-0.015</v>
      </c>
      <c r="X85" s="32" t="n">
        <v>0.035</v>
      </c>
      <c r="Y85" s="32"/>
      <c r="Z85" s="32"/>
      <c r="AA85" s="17" t="n">
        <v>3</v>
      </c>
      <c r="AB85" s="17" t="n">
        <v>3</v>
      </c>
      <c r="AC85" s="17" t="n">
        <v>4</v>
      </c>
      <c r="AD85" s="17" t="n">
        <v>3</v>
      </c>
    </row>
    <row r="86" customFormat="false" ht="15" hidden="false" customHeight="false" outlineLevel="0" collapsed="false">
      <c r="A86" s="14" t="s">
        <v>175</v>
      </c>
      <c r="B86" s="14" t="s">
        <v>226</v>
      </c>
      <c r="C86" s="14" t="s">
        <v>209</v>
      </c>
      <c r="D86" s="14" t="s">
        <v>212</v>
      </c>
      <c r="E86" s="14" t="s">
        <v>175</v>
      </c>
      <c r="F86" s="30" t="n">
        <f aca="false">IF($A86="","",'Market levels'!I86)</f>
        <v>27391</v>
      </c>
      <c r="G86" s="31" t="n">
        <v>152</v>
      </c>
      <c r="H86" s="32"/>
      <c r="I86" s="32"/>
      <c r="J86" s="31" t="n">
        <v>75</v>
      </c>
      <c r="K86" s="33" t="n">
        <f aca="false">IF($A86="","",IFERROR(('Market levels'!I86/'Market levels'!D86)^(1/5)-1,""))</f>
        <v>0.105067721311887</v>
      </c>
      <c r="L86" s="33" t="n">
        <f aca="false">IF($A86="","",IFERROR('Market levels'!J86/'Market levels'!I86-1,""))</f>
        <v>-0.0282235040706802</v>
      </c>
      <c r="M86" s="33" t="n">
        <f aca="false">IF($A86="","",IFERROR(('Market levels'!O86/'Market levels'!J86)^(1/5)-1,""))</f>
        <v>-0.0223924451401707</v>
      </c>
      <c r="N86" s="34" t="n">
        <f aca="false">IF($A86="","",IFERROR('Market levels'!U86/'Market levels'!I86,""))</f>
        <v>0.791549048957687</v>
      </c>
      <c r="O86" s="33" t="n">
        <f aca="false">IF($A86="","",IFERROR(('Market levels'!U86/'Market levels'!P86)^(1/5)-1,""))</f>
        <v>0.107577956686453</v>
      </c>
      <c r="P86" s="33" t="n">
        <f aca="false">IF($A86="","",IFERROR('Market levels'!V86/'Market levels'!U86-1,""))</f>
        <v>-0.0414001546031331</v>
      </c>
      <c r="Q86" s="33" t="n">
        <f aca="false">IF($A86="","",IFERROR(('Market levels'!AA86/'Market levels'!V86)^(1/5)-1,""))</f>
        <v>-0.0126639827652932</v>
      </c>
      <c r="R86" s="33" t="n">
        <f aca="false">IF($A86="","",IFERROR(('Market levels'!AG86/'Market levels'!AB86)^(1/5)-1,""))</f>
        <v>0.0958361832028132</v>
      </c>
      <c r="S86" s="33" t="n">
        <f aca="false">IF($A86="","",IFERROR('Market levels'!AH86/'Market levels'!AG86-1,""))</f>
        <v>0.0218120805369129</v>
      </c>
      <c r="T86" s="33" t="n">
        <f aca="false">IF($A86="","",IFERROR(('Market levels'!AM86/'Market levels'!AH86)^(1/5)-1,""))</f>
        <v>-0.0606206801980648</v>
      </c>
      <c r="U86" s="31" t="n">
        <v>7.4</v>
      </c>
      <c r="V86" s="32" t="n">
        <v>0.035</v>
      </c>
      <c r="W86" s="32" t="n">
        <v>-0.025</v>
      </c>
      <c r="X86" s="32" t="n">
        <v>0.025</v>
      </c>
      <c r="Y86" s="32"/>
      <c r="Z86" s="32"/>
      <c r="AA86" s="17" t="n">
        <v>3</v>
      </c>
      <c r="AB86" s="17" t="n">
        <v>3</v>
      </c>
      <c r="AC86" s="17" t="n">
        <v>4</v>
      </c>
      <c r="AD86" s="17" t="n">
        <v>3</v>
      </c>
    </row>
    <row r="87" customFormat="false" ht="15" hidden="false" customHeight="false" outlineLevel="0" collapsed="false">
      <c r="A87" s="14" t="s">
        <v>175</v>
      </c>
      <c r="B87" s="14" t="s">
        <v>226</v>
      </c>
      <c r="C87" s="14" t="s">
        <v>213</v>
      </c>
      <c r="D87" s="14" t="s">
        <v>210</v>
      </c>
      <c r="E87" s="14" t="s">
        <v>175</v>
      </c>
      <c r="F87" s="30" t="n">
        <f aca="false">IF($A87="","",'Market levels'!I87)</f>
        <v>93406.3</v>
      </c>
      <c r="G87" s="31" t="n">
        <v>681</v>
      </c>
      <c r="H87" s="32"/>
      <c r="I87" s="32"/>
      <c r="J87" s="31" t="n">
        <v>412</v>
      </c>
      <c r="K87" s="33" t="n">
        <f aca="false">IF($A87="","",IFERROR(('Market levels'!I87/'Market levels'!D87)^(1/5)-1,""))</f>
        <v>0.0957594627731746</v>
      </c>
      <c r="L87" s="33" t="n">
        <f aca="false">IF($A87="","",IFERROR('Market levels'!J87/'Market levels'!I87-1,""))</f>
        <v>0.0017024547594755</v>
      </c>
      <c r="M87" s="33" t="n">
        <f aca="false">IF($A87="","",IFERROR(('Market levels'!O87/'Market levels'!J87)^(1/5)-1,""))</f>
        <v>0.014115777056698</v>
      </c>
      <c r="N87" s="34" t="n">
        <f aca="false">IF($A87="","",IFERROR('Market levels'!U87/'Market levels'!I87,""))</f>
        <v>0.82766365866114</v>
      </c>
      <c r="O87" s="33" t="n">
        <f aca="false">IF($A87="","",IFERROR(('Market levels'!U87/'Market levels'!P87)^(1/5)-1,""))</f>
        <v>0.0974080767571552</v>
      </c>
      <c r="P87" s="33" t="n">
        <f aca="false">IF($A87="","",IFERROR('Market levels'!V87/'Market levels'!U87-1,""))</f>
        <v>-0.0009399940498519</v>
      </c>
      <c r="Q87" s="33" t="n">
        <f aca="false">IF($A87="","",IFERROR(('Market levels'!AA87/'Market levels'!V87)^(1/5)-1,""))</f>
        <v>0.0122338287491848</v>
      </c>
      <c r="R87" s="33" t="n">
        <f aca="false">IF($A87="","",IFERROR(('Market levels'!AG87/'Market levels'!AB87)^(1/5)-1,""))</f>
        <v>0.0880431610028938</v>
      </c>
      <c r="S87" s="33" t="n">
        <f aca="false">IF($A87="","",IFERROR('Market levels'!AH87/'Market levels'!AG87-1,""))</f>
        <v>0.0143930969789967</v>
      </c>
      <c r="T87" s="33" t="n">
        <f aca="false">IF($A87="","",IFERROR(('Market levels'!AM87/'Market levels'!AH87)^(1/5)-1,""))</f>
        <v>0.0228332714927464</v>
      </c>
      <c r="U87" s="31" t="n">
        <v>47</v>
      </c>
      <c r="V87" s="32" t="n">
        <v>0.035</v>
      </c>
      <c r="W87" s="32" t="n">
        <v>-0.025</v>
      </c>
      <c r="X87" s="32" t="n">
        <v>0.025</v>
      </c>
      <c r="Y87" s="32"/>
      <c r="Z87" s="32"/>
      <c r="AA87" s="17" t="n">
        <v>3</v>
      </c>
      <c r="AB87" s="17" t="n">
        <v>3</v>
      </c>
      <c r="AC87" s="17" t="n">
        <v>4</v>
      </c>
      <c r="AD87" s="17" t="n">
        <v>3</v>
      </c>
    </row>
    <row r="88" customFormat="false" ht="15" hidden="false" customHeight="false" outlineLevel="0" collapsed="false">
      <c r="A88" s="14" t="s">
        <v>175</v>
      </c>
      <c r="B88" s="14" t="s">
        <v>226</v>
      </c>
      <c r="C88" s="14" t="s">
        <v>213</v>
      </c>
      <c r="D88" s="14" t="s">
        <v>211</v>
      </c>
      <c r="E88" s="14" t="s">
        <v>175</v>
      </c>
      <c r="F88" s="30" t="n">
        <f aca="false">IF($A88="","",'Market levels'!I88)</f>
        <v>93406.3</v>
      </c>
      <c r="G88" s="31" t="n">
        <v>938</v>
      </c>
      <c r="H88" s="32"/>
      <c r="I88" s="32"/>
      <c r="J88" s="31" t="n">
        <v>361</v>
      </c>
      <c r="K88" s="33" t="n">
        <f aca="false">IF($A88="","",IFERROR(('Market levels'!I88/'Market levels'!D88)^(1/5)-1,""))</f>
        <v>0.0957594627731746</v>
      </c>
      <c r="L88" s="33" t="n">
        <f aca="false">IF($A88="","",IFERROR('Market levels'!J88/'Market levels'!I88-1,""))</f>
        <v>0.0017024547594755</v>
      </c>
      <c r="M88" s="33" t="n">
        <f aca="false">IF($A88="","",IFERROR(('Market levels'!O88/'Market levels'!J88)^(1/5)-1,""))</f>
        <v>0.014115777056698</v>
      </c>
      <c r="N88" s="34" t="n">
        <f aca="false">IF($A88="","",IFERROR('Market levels'!U88/'Market levels'!I88,""))</f>
        <v>0.82766365866114</v>
      </c>
      <c r="O88" s="33" t="n">
        <f aca="false">IF($A88="","",IFERROR(('Market levels'!U88/'Market levels'!P88)^(1/5)-1,""))</f>
        <v>0.0974080767571552</v>
      </c>
      <c r="P88" s="33" t="n">
        <f aca="false">IF($A88="","",IFERROR('Market levels'!V88/'Market levels'!U88-1,""))</f>
        <v>-0.0009399940498519</v>
      </c>
      <c r="Q88" s="33" t="n">
        <f aca="false">IF($A88="","",IFERROR(('Market levels'!AA88/'Market levels'!V88)^(1/5)-1,""))</f>
        <v>0.0122338287491848</v>
      </c>
      <c r="R88" s="33" t="n">
        <f aca="false">IF($A88="","",IFERROR(('Market levels'!AG88/'Market levels'!AB88)^(1/5)-1,""))</f>
        <v>0.0880431610028938</v>
      </c>
      <c r="S88" s="33" t="n">
        <f aca="false">IF($A88="","",IFERROR('Market levels'!AH88/'Market levels'!AG88-1,""))</f>
        <v>0.0143930969789967</v>
      </c>
      <c r="T88" s="33" t="n">
        <f aca="false">IF($A88="","",IFERROR(('Market levels'!AM88/'Market levels'!AH88)^(1/5)-1,""))</f>
        <v>0.0228332714927464</v>
      </c>
      <c r="U88" s="31" t="n">
        <v>20.6</v>
      </c>
      <c r="V88" s="32" t="n">
        <v>0.05</v>
      </c>
      <c r="W88" s="32" t="n">
        <v>-0.01</v>
      </c>
      <c r="X88" s="32" t="n">
        <v>0.04</v>
      </c>
      <c r="Y88" s="32"/>
      <c r="Z88" s="32"/>
      <c r="AA88" s="17" t="n">
        <v>3</v>
      </c>
      <c r="AB88" s="17" t="n">
        <v>3</v>
      </c>
      <c r="AC88" s="17" t="n">
        <v>4</v>
      </c>
      <c r="AD88" s="17" t="n">
        <v>3</v>
      </c>
    </row>
    <row r="89" customFormat="false" ht="15" hidden="false" customHeight="false" outlineLevel="0" collapsed="false">
      <c r="A89" s="14" t="s">
        <v>175</v>
      </c>
      <c r="B89" s="14" t="s">
        <v>226</v>
      </c>
      <c r="C89" s="14" t="s">
        <v>213</v>
      </c>
      <c r="D89" s="14" t="s">
        <v>212</v>
      </c>
      <c r="E89" s="14" t="s">
        <v>175</v>
      </c>
      <c r="F89" s="30" t="n">
        <f aca="false">IF($A89="","",'Market levels'!I89)</f>
        <v>93406.3</v>
      </c>
      <c r="G89" s="31" t="n">
        <v>521</v>
      </c>
      <c r="H89" s="32"/>
      <c r="I89" s="32"/>
      <c r="J89" s="31" t="n">
        <v>258</v>
      </c>
      <c r="K89" s="33" t="n">
        <f aca="false">IF($A89="","",IFERROR(('Market levels'!I89/'Market levels'!D89)^(1/5)-1,""))</f>
        <v>0.0957594627731746</v>
      </c>
      <c r="L89" s="33" t="n">
        <f aca="false">IF($A89="","",IFERROR('Market levels'!J89/'Market levels'!I89-1,""))</f>
        <v>0.0017024547594755</v>
      </c>
      <c r="M89" s="33" t="n">
        <f aca="false">IF($A89="","",IFERROR(('Market levels'!O89/'Market levels'!J89)^(1/5)-1,""))</f>
        <v>0.014115777056698</v>
      </c>
      <c r="N89" s="34" t="n">
        <f aca="false">IF($A89="","",IFERROR('Market levels'!U89/'Market levels'!I89,""))</f>
        <v>0.82766365866114</v>
      </c>
      <c r="O89" s="33" t="n">
        <f aca="false">IF($A89="","",IFERROR(('Market levels'!U89/'Market levels'!P89)^(1/5)-1,""))</f>
        <v>0.0974080767571552</v>
      </c>
      <c r="P89" s="33" t="n">
        <f aca="false">IF($A89="","",IFERROR('Market levels'!V89/'Market levels'!U89-1,""))</f>
        <v>-0.0009399940498519</v>
      </c>
      <c r="Q89" s="33" t="n">
        <f aca="false">IF($A89="","",IFERROR(('Market levels'!AA89/'Market levels'!V89)^(1/5)-1,""))</f>
        <v>0.0122338287491848</v>
      </c>
      <c r="R89" s="33" t="n">
        <f aca="false">IF($A89="","",IFERROR(('Market levels'!AG89/'Market levels'!AB89)^(1/5)-1,""))</f>
        <v>0.0880431610028938</v>
      </c>
      <c r="S89" s="33" t="n">
        <f aca="false">IF($A89="","",IFERROR('Market levels'!AH89/'Market levels'!AG89-1,""))</f>
        <v>0.0143930969789967</v>
      </c>
      <c r="T89" s="33" t="n">
        <f aca="false">IF($A89="","",IFERROR(('Market levels'!AM89/'Market levels'!AH89)^(1/5)-1,""))</f>
        <v>0.0228332714927464</v>
      </c>
      <c r="U89" s="31" t="n">
        <v>22.1</v>
      </c>
      <c r="V89" s="32" t="n">
        <v>0.04</v>
      </c>
      <c r="W89" s="32" t="n">
        <v>-0.02</v>
      </c>
      <c r="X89" s="32" t="n">
        <v>0.03</v>
      </c>
      <c r="Y89" s="32"/>
      <c r="Z89" s="32"/>
      <c r="AA89" s="17" t="n">
        <v>3</v>
      </c>
      <c r="AB89" s="17" t="n">
        <v>3</v>
      </c>
      <c r="AC89" s="17" t="n">
        <v>4</v>
      </c>
      <c r="AD89" s="17" t="n">
        <v>3</v>
      </c>
    </row>
    <row r="90" customFormat="false" ht="15" hidden="false" customHeight="false" outlineLevel="0" collapsed="false">
      <c r="A90" s="14" t="s">
        <v>155</v>
      </c>
      <c r="B90" s="14" t="s">
        <v>227</v>
      </c>
      <c r="C90" s="14" t="s">
        <v>209</v>
      </c>
      <c r="D90" s="14" t="s">
        <v>210</v>
      </c>
      <c r="E90" s="14" t="s">
        <v>155</v>
      </c>
      <c r="F90" s="30" t="n">
        <f aca="false">IF($A90="","",'Market levels'!I90)</f>
        <v>10603.3</v>
      </c>
      <c r="G90" s="31" t="n">
        <v>97</v>
      </c>
      <c r="H90" s="32"/>
      <c r="I90" s="32"/>
      <c r="J90" s="31" t="n">
        <v>64</v>
      </c>
      <c r="K90" s="33" t="n">
        <f aca="false">IF($A90="","",IFERROR(('Market levels'!I90/'Market levels'!D90)^(1/5)-1,""))</f>
        <v>0.00562908296750186</v>
      </c>
      <c r="L90" s="33" t="n">
        <f aca="false">IF($A90="","",IFERROR('Market levels'!J90/'Market levels'!I90-1,""))</f>
        <v>-0.0300651683909728</v>
      </c>
      <c r="M90" s="33" t="n">
        <f aca="false">IF($A90="","",IFERROR(('Market levels'!O90/'Market levels'!J90)^(1/5)-1,""))</f>
        <v>0.0228529477061796</v>
      </c>
      <c r="N90" s="34" t="n">
        <f aca="false">IF($A90="","",IFERROR('Market levels'!U90/'Market levels'!I90,""))</f>
        <v>0.734945724444277</v>
      </c>
      <c r="O90" s="33" t="n">
        <f aca="false">IF($A90="","",IFERROR(('Market levels'!U90/'Market levels'!P90)^(1/5)-1,""))</f>
        <v>0.0308497612928871</v>
      </c>
      <c r="P90" s="33" t="n">
        <f aca="false">IF($A90="","",IFERROR('Market levels'!V90/'Market levels'!U90-1,""))</f>
        <v>-0.011184611534933</v>
      </c>
      <c r="Q90" s="33" t="n">
        <f aca="false">IF($A90="","",IFERROR(('Market levels'!AA90/'Market levels'!V90)^(1/5)-1,""))</f>
        <v>0.022191660573325</v>
      </c>
      <c r="R90" s="33" t="n">
        <f aca="false">IF($A90="","",IFERROR(('Market levels'!AG90/'Market levels'!AB90)^(1/5)-1,""))</f>
        <v>-0.0491197569657782</v>
      </c>
      <c r="S90" s="33" t="n">
        <f aca="false">IF($A90="","",IFERROR('Market levels'!AH90/'Market levels'!AG90-1,""))</f>
        <v>-0.0824174064651568</v>
      </c>
      <c r="T90" s="33" t="n">
        <f aca="false">IF($A90="","",IFERROR(('Market levels'!AM90/'Market levels'!AH90)^(1/5)-1,""))</f>
        <v>0.0248187944641731</v>
      </c>
      <c r="U90" s="31" t="n">
        <v>11.5</v>
      </c>
      <c r="V90" s="32" t="n">
        <v>0.03</v>
      </c>
      <c r="W90" s="32" t="n">
        <v>0.02</v>
      </c>
      <c r="X90" s="32" t="n">
        <v>0.035</v>
      </c>
      <c r="Y90" s="32"/>
      <c r="Z90" s="32"/>
      <c r="AA90" s="17" t="n">
        <v>4</v>
      </c>
      <c r="AB90" s="17" t="n">
        <v>3</v>
      </c>
      <c r="AC90" s="17" t="n">
        <v>4</v>
      </c>
      <c r="AD90" s="17" t="n">
        <v>4</v>
      </c>
    </row>
    <row r="91" customFormat="false" ht="15" hidden="false" customHeight="false" outlineLevel="0" collapsed="false">
      <c r="A91" s="14" t="s">
        <v>155</v>
      </c>
      <c r="B91" s="14" t="s">
        <v>227</v>
      </c>
      <c r="C91" s="14" t="s">
        <v>209</v>
      </c>
      <c r="D91" s="14" t="s">
        <v>211</v>
      </c>
      <c r="E91" s="14" t="s">
        <v>155</v>
      </c>
      <c r="F91" s="30" t="n">
        <f aca="false">IF($A91="","",'Market levels'!I91)</f>
        <v>10603.3</v>
      </c>
      <c r="G91" s="31" t="n">
        <v>52</v>
      </c>
      <c r="H91" s="32"/>
      <c r="I91" s="32"/>
      <c r="J91" s="31" t="n">
        <v>22</v>
      </c>
      <c r="K91" s="33" t="n">
        <f aca="false">IF($A91="","",IFERROR(('Market levels'!I91/'Market levels'!D91)^(1/5)-1,""))</f>
        <v>0.00562908296750186</v>
      </c>
      <c r="L91" s="33" t="n">
        <f aca="false">IF($A91="","",IFERROR('Market levels'!J91/'Market levels'!I91-1,""))</f>
        <v>-0.0300651683909728</v>
      </c>
      <c r="M91" s="33" t="n">
        <f aca="false">IF($A91="","",IFERROR(('Market levels'!O91/'Market levels'!J91)^(1/5)-1,""))</f>
        <v>0.0228529477061796</v>
      </c>
      <c r="N91" s="34" t="n">
        <f aca="false">IF($A91="","",IFERROR('Market levels'!U91/'Market levels'!I91,""))</f>
        <v>0.734945724444277</v>
      </c>
      <c r="O91" s="33" t="n">
        <f aca="false">IF($A91="","",IFERROR(('Market levels'!U91/'Market levels'!P91)^(1/5)-1,""))</f>
        <v>0.0308497612928871</v>
      </c>
      <c r="P91" s="33" t="n">
        <f aca="false">IF($A91="","",IFERROR('Market levels'!V91/'Market levels'!U91-1,""))</f>
        <v>-0.011184611534933</v>
      </c>
      <c r="Q91" s="33" t="n">
        <f aca="false">IF($A91="","",IFERROR(('Market levels'!AA91/'Market levels'!V91)^(1/5)-1,""))</f>
        <v>0.022191660573325</v>
      </c>
      <c r="R91" s="33" t="n">
        <f aca="false">IF($A91="","",IFERROR(('Market levels'!AG91/'Market levels'!AB91)^(1/5)-1,""))</f>
        <v>-0.0491197569657782</v>
      </c>
      <c r="S91" s="33" t="n">
        <f aca="false">IF($A91="","",IFERROR('Market levels'!AH91/'Market levels'!AG91-1,""))</f>
        <v>-0.0824174064651568</v>
      </c>
      <c r="T91" s="33" t="n">
        <f aca="false">IF($A91="","",IFERROR(('Market levels'!AM91/'Market levels'!AH91)^(1/5)-1,""))</f>
        <v>0.0248187944641731</v>
      </c>
      <c r="U91" s="31" t="n">
        <v>2</v>
      </c>
      <c r="V91" s="32" t="n">
        <v>0.045</v>
      </c>
      <c r="W91" s="32" t="n">
        <v>0.035</v>
      </c>
      <c r="X91" s="32" t="n">
        <v>0.05</v>
      </c>
      <c r="Y91" s="32"/>
      <c r="Z91" s="32"/>
      <c r="AA91" s="17" t="n">
        <v>4</v>
      </c>
      <c r="AB91" s="17" t="n">
        <v>3</v>
      </c>
      <c r="AC91" s="17" t="n">
        <v>4</v>
      </c>
      <c r="AD91" s="17" t="n">
        <v>4</v>
      </c>
    </row>
    <row r="92" customFormat="false" ht="15" hidden="false" customHeight="false" outlineLevel="0" collapsed="false">
      <c r="A92" s="14" t="s">
        <v>155</v>
      </c>
      <c r="B92" s="14" t="s">
        <v>227</v>
      </c>
      <c r="C92" s="14" t="s">
        <v>209</v>
      </c>
      <c r="D92" s="14" t="s">
        <v>212</v>
      </c>
      <c r="E92" s="14" t="s">
        <v>155</v>
      </c>
      <c r="F92" s="30" t="n">
        <f aca="false">IF($A92="","",'Market levels'!I92)</f>
        <v>10603.3</v>
      </c>
      <c r="G92" s="31" t="n">
        <v>57</v>
      </c>
      <c r="H92" s="32"/>
      <c r="I92" s="32"/>
      <c r="J92" s="31" t="n">
        <v>31</v>
      </c>
      <c r="K92" s="33" t="n">
        <f aca="false">IF($A92="","",IFERROR(('Market levels'!I92/'Market levels'!D92)^(1/5)-1,""))</f>
        <v>0.00562908296750186</v>
      </c>
      <c r="L92" s="33" t="n">
        <f aca="false">IF($A92="","",IFERROR('Market levels'!J92/'Market levels'!I92-1,""))</f>
        <v>-0.0300651683909728</v>
      </c>
      <c r="M92" s="33" t="n">
        <f aca="false">IF($A92="","",IFERROR(('Market levels'!O92/'Market levels'!J92)^(1/5)-1,""))</f>
        <v>0.0228529477061796</v>
      </c>
      <c r="N92" s="34" t="n">
        <f aca="false">IF($A92="","",IFERROR('Market levels'!U92/'Market levels'!I92,""))</f>
        <v>0.734945724444277</v>
      </c>
      <c r="O92" s="33" t="n">
        <f aca="false">IF($A92="","",IFERROR(('Market levels'!U92/'Market levels'!P92)^(1/5)-1,""))</f>
        <v>0.0308497612928871</v>
      </c>
      <c r="P92" s="33" t="n">
        <f aca="false">IF($A92="","",IFERROR('Market levels'!V92/'Market levels'!U92-1,""))</f>
        <v>-0.011184611534933</v>
      </c>
      <c r="Q92" s="33" t="n">
        <f aca="false">IF($A92="","",IFERROR(('Market levels'!AA92/'Market levels'!V92)^(1/5)-1,""))</f>
        <v>0.022191660573325</v>
      </c>
      <c r="R92" s="33" t="n">
        <f aca="false">IF($A92="","",IFERROR(('Market levels'!AG92/'Market levels'!AB92)^(1/5)-1,""))</f>
        <v>-0.0491197569657782</v>
      </c>
      <c r="S92" s="33" t="n">
        <f aca="false">IF($A92="","",IFERROR('Market levels'!AH92/'Market levels'!AG92-1,""))</f>
        <v>-0.0824174064651568</v>
      </c>
      <c r="T92" s="33" t="n">
        <f aca="false">IF($A92="","",IFERROR(('Market levels'!AM92/'Market levels'!AH92)^(1/5)-1,""))</f>
        <v>0.0248187944641731</v>
      </c>
      <c r="U92" s="31" t="n">
        <v>4.2</v>
      </c>
      <c r="V92" s="32" t="n">
        <v>0.035</v>
      </c>
      <c r="W92" s="32" t="n">
        <v>0.025</v>
      </c>
      <c r="X92" s="32" t="n">
        <v>0.04</v>
      </c>
      <c r="Y92" s="32"/>
      <c r="Z92" s="32"/>
      <c r="AA92" s="17" t="n">
        <v>4</v>
      </c>
      <c r="AB92" s="17" t="n">
        <v>3</v>
      </c>
      <c r="AC92" s="17" t="n">
        <v>4</v>
      </c>
      <c r="AD92" s="17" t="n">
        <v>4</v>
      </c>
    </row>
    <row r="93" customFormat="false" ht="15" hidden="false" customHeight="false" outlineLevel="0" collapsed="false">
      <c r="A93" s="14" t="s">
        <v>155</v>
      </c>
      <c r="B93" s="14" t="s">
        <v>227</v>
      </c>
      <c r="C93" s="14" t="s">
        <v>213</v>
      </c>
      <c r="D93" s="14" t="s">
        <v>210</v>
      </c>
      <c r="E93" s="14" t="s">
        <v>155</v>
      </c>
      <c r="F93" s="30" t="n">
        <f aca="false">IF($A93="","",'Market levels'!I93)</f>
        <v>19662.69</v>
      </c>
      <c r="G93" s="31" t="n">
        <v>180</v>
      </c>
      <c r="H93" s="32"/>
      <c r="I93" s="32"/>
      <c r="J93" s="31" t="n">
        <v>119</v>
      </c>
      <c r="K93" s="33" t="n">
        <f aca="false">IF($A93="","",IFERROR(('Market levels'!I93/'Market levels'!D93)^(1/5)-1,""))</f>
        <v>0.0259293584493279</v>
      </c>
      <c r="L93" s="33" t="n">
        <f aca="false">IF($A93="","",IFERROR('Market levels'!J93/'Market levels'!I93-1,""))</f>
        <v>0.0181236646664318</v>
      </c>
      <c r="M93" s="33" t="n">
        <f aca="false">IF($A93="","",IFERROR(('Market levels'!O93/'Market levels'!J93)^(1/5)-1,""))</f>
        <v>0.0306407394366455</v>
      </c>
      <c r="N93" s="34" t="n">
        <f aca="false">IF($A93="","",IFERROR('Market levels'!U93/'Market levels'!I93,""))</f>
        <v>0.586862733430675</v>
      </c>
      <c r="O93" s="33" t="n">
        <f aca="false">IF($A93="","",IFERROR(('Market levels'!U93/'Market levels'!P93)^(1/5)-1,""))</f>
        <v>0.0386848576517109</v>
      </c>
      <c r="P93" s="33" t="n">
        <f aca="false">IF($A93="","",IFERROR('Market levels'!V93/'Market levels'!U93-1,""))</f>
        <v>0.0187125735529885</v>
      </c>
      <c r="Q93" s="33" t="n">
        <f aca="false">IF($A93="","",IFERROR(('Market levels'!AA93/'Market levels'!V93)^(1/5)-1,""))</f>
        <v>0.0377712242046187</v>
      </c>
      <c r="R93" s="33" t="n">
        <f aca="false">IF($A93="","",IFERROR(('Market levels'!AG93/'Market levels'!AB93)^(1/5)-1,""))</f>
        <v>0.00930642174728846</v>
      </c>
      <c r="S93" s="33" t="n">
        <f aca="false">IF($A93="","",IFERROR('Market levels'!AH93/'Market levels'!AG93-1,""))</f>
        <v>0.0172871178165765</v>
      </c>
      <c r="T93" s="33" t="n">
        <f aca="false">IF($A93="","",IFERROR(('Market levels'!AM93/'Market levels'!AH93)^(1/5)-1,""))</f>
        <v>0.020144731624145</v>
      </c>
      <c r="U93" s="31" t="n">
        <v>17.1</v>
      </c>
      <c r="V93" s="32" t="n">
        <v>0.035</v>
      </c>
      <c r="W93" s="32" t="n">
        <v>0.025</v>
      </c>
      <c r="X93" s="32" t="n">
        <v>0.04</v>
      </c>
      <c r="Y93" s="32"/>
      <c r="Z93" s="32"/>
      <c r="AA93" s="17" t="n">
        <v>4</v>
      </c>
      <c r="AB93" s="17" t="n">
        <v>3</v>
      </c>
      <c r="AC93" s="17" t="n">
        <v>4</v>
      </c>
      <c r="AD93" s="17" t="n">
        <v>4</v>
      </c>
    </row>
    <row r="94" customFormat="false" ht="15" hidden="false" customHeight="false" outlineLevel="0" collapsed="false">
      <c r="A94" s="14" t="s">
        <v>155</v>
      </c>
      <c r="B94" s="14" t="s">
        <v>227</v>
      </c>
      <c r="C94" s="14" t="s">
        <v>213</v>
      </c>
      <c r="D94" s="14" t="s">
        <v>211</v>
      </c>
      <c r="E94" s="14" t="s">
        <v>155</v>
      </c>
      <c r="F94" s="30" t="n">
        <f aca="false">IF($A94="","",'Market levels'!I94)</f>
        <v>19662.69</v>
      </c>
      <c r="G94" s="31" t="n">
        <v>98</v>
      </c>
      <c r="H94" s="32"/>
      <c r="I94" s="32"/>
      <c r="J94" s="31" t="n">
        <v>41</v>
      </c>
      <c r="K94" s="33" t="n">
        <f aca="false">IF($A94="","",IFERROR(('Market levels'!I94/'Market levels'!D94)^(1/5)-1,""))</f>
        <v>0.0259293584493279</v>
      </c>
      <c r="L94" s="33" t="n">
        <f aca="false">IF($A94="","",IFERROR('Market levels'!J94/'Market levels'!I94-1,""))</f>
        <v>0.0181236646664318</v>
      </c>
      <c r="M94" s="33" t="n">
        <f aca="false">IF($A94="","",IFERROR(('Market levels'!O94/'Market levels'!J94)^(1/5)-1,""))</f>
        <v>0.0306407394366455</v>
      </c>
      <c r="N94" s="34" t="n">
        <f aca="false">IF($A94="","",IFERROR('Market levels'!U94/'Market levels'!I94,""))</f>
        <v>0.586862733430675</v>
      </c>
      <c r="O94" s="33" t="n">
        <f aca="false">IF($A94="","",IFERROR(('Market levels'!U94/'Market levels'!P94)^(1/5)-1,""))</f>
        <v>0.0386848576517109</v>
      </c>
      <c r="P94" s="33" t="n">
        <f aca="false">IF($A94="","",IFERROR('Market levels'!V94/'Market levels'!U94-1,""))</f>
        <v>0.0187125735529885</v>
      </c>
      <c r="Q94" s="33" t="n">
        <f aca="false">IF($A94="","",IFERROR(('Market levels'!AA94/'Market levels'!V94)^(1/5)-1,""))</f>
        <v>0.0377712242046187</v>
      </c>
      <c r="R94" s="33" t="n">
        <f aca="false">IF($A94="","",IFERROR(('Market levels'!AG94/'Market levels'!AB94)^(1/5)-1,""))</f>
        <v>0.00930642174728846</v>
      </c>
      <c r="S94" s="33" t="n">
        <f aca="false">IF($A94="","",IFERROR('Market levels'!AH94/'Market levels'!AG94-1,""))</f>
        <v>0.0172871178165765</v>
      </c>
      <c r="T94" s="33" t="n">
        <f aca="false">IF($A94="","",IFERROR(('Market levels'!AM94/'Market levels'!AH94)^(1/5)-1,""))</f>
        <v>0.020144731624145</v>
      </c>
      <c r="U94" s="31" t="n">
        <v>3</v>
      </c>
      <c r="V94" s="32" t="n">
        <v>0.05</v>
      </c>
      <c r="W94" s="32" t="n">
        <v>0.04</v>
      </c>
      <c r="X94" s="32" t="n">
        <v>0.055</v>
      </c>
      <c r="Y94" s="32"/>
      <c r="Z94" s="32"/>
      <c r="AA94" s="17" t="n">
        <v>4</v>
      </c>
      <c r="AB94" s="17" t="n">
        <v>3</v>
      </c>
      <c r="AC94" s="17" t="n">
        <v>4</v>
      </c>
      <c r="AD94" s="17" t="n">
        <v>4</v>
      </c>
    </row>
    <row r="95" customFormat="false" ht="15" hidden="false" customHeight="false" outlineLevel="0" collapsed="false">
      <c r="A95" s="14" t="s">
        <v>155</v>
      </c>
      <c r="B95" s="14" t="s">
        <v>227</v>
      </c>
      <c r="C95" s="14" t="s">
        <v>213</v>
      </c>
      <c r="D95" s="14" t="s">
        <v>212</v>
      </c>
      <c r="E95" s="14" t="s">
        <v>155</v>
      </c>
      <c r="F95" s="30" t="n">
        <f aca="false">IF($A95="","",'Market levels'!I95)</f>
        <v>19662.69</v>
      </c>
      <c r="G95" s="31" t="n">
        <v>106</v>
      </c>
      <c r="H95" s="32"/>
      <c r="I95" s="32"/>
      <c r="J95" s="31" t="n">
        <v>57</v>
      </c>
      <c r="K95" s="33" t="n">
        <f aca="false">IF($A95="","",IFERROR(('Market levels'!I95/'Market levels'!D95)^(1/5)-1,""))</f>
        <v>0.0259293584493279</v>
      </c>
      <c r="L95" s="33" t="n">
        <f aca="false">IF($A95="","",IFERROR('Market levels'!J95/'Market levels'!I95-1,""))</f>
        <v>0.0181236646664318</v>
      </c>
      <c r="M95" s="33" t="n">
        <f aca="false">IF($A95="","",IFERROR(('Market levels'!O95/'Market levels'!J95)^(1/5)-1,""))</f>
        <v>0.0306407394366455</v>
      </c>
      <c r="N95" s="34" t="n">
        <f aca="false">IF($A95="","",IFERROR('Market levels'!U95/'Market levels'!I95,""))</f>
        <v>0.586862733430675</v>
      </c>
      <c r="O95" s="33" t="n">
        <f aca="false">IF($A95="","",IFERROR(('Market levels'!U95/'Market levels'!P95)^(1/5)-1,""))</f>
        <v>0.0386848576517109</v>
      </c>
      <c r="P95" s="33" t="n">
        <f aca="false">IF($A95="","",IFERROR('Market levels'!V95/'Market levels'!U95-1,""))</f>
        <v>0.0187125735529885</v>
      </c>
      <c r="Q95" s="33" t="n">
        <f aca="false">IF($A95="","",IFERROR(('Market levels'!AA95/'Market levels'!V95)^(1/5)-1,""))</f>
        <v>0.0377712242046187</v>
      </c>
      <c r="R95" s="33" t="n">
        <f aca="false">IF($A95="","",IFERROR(('Market levels'!AG95/'Market levels'!AB95)^(1/5)-1,""))</f>
        <v>0.00930642174728846</v>
      </c>
      <c r="S95" s="33" t="n">
        <f aca="false">IF($A95="","",IFERROR('Market levels'!AH95/'Market levels'!AG95-1,""))</f>
        <v>0.0172871178165765</v>
      </c>
      <c r="T95" s="33" t="n">
        <f aca="false">IF($A95="","",IFERROR(('Market levels'!AM95/'Market levels'!AH95)^(1/5)-1,""))</f>
        <v>0.020144731624145</v>
      </c>
      <c r="U95" s="31" t="n">
        <v>6.2</v>
      </c>
      <c r="V95" s="32" t="n">
        <v>0.04</v>
      </c>
      <c r="W95" s="32" t="n">
        <v>0.03</v>
      </c>
      <c r="X95" s="32" t="n">
        <v>0.045</v>
      </c>
      <c r="Y95" s="32"/>
      <c r="Z95" s="32"/>
      <c r="AA95" s="17" t="n">
        <v>4</v>
      </c>
      <c r="AB95" s="17" t="n">
        <v>3</v>
      </c>
      <c r="AC95" s="17" t="n">
        <v>4</v>
      </c>
      <c r="AD95" s="17" t="n">
        <v>4</v>
      </c>
    </row>
    <row r="96" customFormat="false" ht="15" hidden="false" customHeight="false" outlineLevel="0" collapsed="false">
      <c r="A96" s="14" t="s">
        <v>165</v>
      </c>
      <c r="B96" s="14" t="s">
        <v>228</v>
      </c>
      <c r="C96" s="14" t="s">
        <v>209</v>
      </c>
      <c r="D96" s="14" t="s">
        <v>210</v>
      </c>
      <c r="E96" s="14" t="s">
        <v>165</v>
      </c>
      <c r="F96" s="30" t="n">
        <f aca="false">IF($A96="","",'Market levels'!I96)</f>
        <v>19526.91</v>
      </c>
      <c r="G96" s="31" t="n">
        <v>131</v>
      </c>
      <c r="H96" s="32"/>
      <c r="I96" s="32"/>
      <c r="J96" s="31" t="n">
        <v>65</v>
      </c>
      <c r="K96" s="33" t="n">
        <f aca="false">IF($A96="","",IFERROR(('Market levels'!I96/'Market levels'!D96)^(1/5)-1,""))</f>
        <v>0.0326404738113613</v>
      </c>
      <c r="L96" s="33" t="n">
        <f aca="false">IF($A96="","",IFERROR('Market levels'!J96/'Market levels'!I96-1,""))</f>
        <v>0.0176740713200401</v>
      </c>
      <c r="M96" s="33" t="n">
        <f aca="false">IF($A96="","",IFERROR(('Market levels'!O96/'Market levels'!J96)^(1/5)-1,""))</f>
        <v>0.02324374871934</v>
      </c>
      <c r="N96" s="34" t="n">
        <f aca="false">IF($A96="","",IFERROR('Market levels'!U96/'Market levels'!I96,""))</f>
        <v>0.370363257678762</v>
      </c>
      <c r="O96" s="33" t="n">
        <f aca="false">IF($A96="","",IFERROR(('Market levels'!U96/'Market levels'!P96)^(1/5)-1,""))</f>
        <v>0.0174934729126028</v>
      </c>
      <c r="P96" s="33" t="n">
        <f aca="false">IF($A96="","",IFERROR('Market levels'!V96/'Market levels'!U96-1,""))</f>
        <v>-0.0301297695674121</v>
      </c>
      <c r="Q96" s="33" t="n">
        <f aca="false">IF($A96="","",IFERROR(('Market levels'!AA96/'Market levels'!V96)^(1/5)-1,""))</f>
        <v>0.0295128136891052</v>
      </c>
      <c r="R96" s="33" t="n">
        <f aca="false">IF($A96="","",IFERROR(('Market levels'!AG96/'Market levels'!AB96)^(1/5)-1,""))</f>
        <v>0.0422168609023978</v>
      </c>
      <c r="S96" s="33" t="n">
        <f aca="false">IF($A96="","",IFERROR('Market levels'!AH96/'Market levels'!AG96-1,""))</f>
        <v>0.0457931200517943</v>
      </c>
      <c r="T96" s="33" t="n">
        <f aca="false">IF($A96="","",IFERROR(('Market levels'!AM96/'Market levels'!AH96)^(1/5)-1,""))</f>
        <v>0.0197580582580648</v>
      </c>
      <c r="U96" s="31" t="n">
        <v>7.6</v>
      </c>
      <c r="V96" s="32" t="n">
        <v>0.075</v>
      </c>
      <c r="W96" s="32" t="n">
        <v>0.06</v>
      </c>
      <c r="X96" s="32" t="n">
        <v>0.08</v>
      </c>
      <c r="Y96" s="32"/>
      <c r="Z96" s="32"/>
      <c r="AA96" s="17" t="n">
        <v>3</v>
      </c>
      <c r="AB96" s="17" t="n">
        <v>3</v>
      </c>
      <c r="AC96" s="17" t="n">
        <v>3</v>
      </c>
      <c r="AD96" s="17" t="n">
        <v>4</v>
      </c>
    </row>
    <row r="97" customFormat="false" ht="15" hidden="false" customHeight="false" outlineLevel="0" collapsed="false">
      <c r="A97" s="14" t="s">
        <v>165</v>
      </c>
      <c r="B97" s="14" t="s">
        <v>228</v>
      </c>
      <c r="C97" s="14" t="s">
        <v>209</v>
      </c>
      <c r="D97" s="14" t="s">
        <v>211</v>
      </c>
      <c r="E97" s="14" t="s">
        <v>165</v>
      </c>
      <c r="F97" s="30" t="n">
        <f aca="false">IF($A97="","",'Market levels'!I97)</f>
        <v>19526.91</v>
      </c>
      <c r="G97" s="31" t="n">
        <v>308</v>
      </c>
      <c r="H97" s="32"/>
      <c r="I97" s="32"/>
      <c r="J97" s="31" t="n">
        <v>97</v>
      </c>
      <c r="K97" s="33" t="n">
        <f aca="false">IF($A97="","",IFERROR(('Market levels'!I97/'Market levels'!D97)^(1/5)-1,""))</f>
        <v>0.0326404738113613</v>
      </c>
      <c r="L97" s="33" t="n">
        <f aca="false">IF($A97="","",IFERROR('Market levels'!J97/'Market levels'!I97-1,""))</f>
        <v>0.0176740713200401</v>
      </c>
      <c r="M97" s="33" t="n">
        <f aca="false">IF($A97="","",IFERROR(('Market levels'!O97/'Market levels'!J97)^(1/5)-1,""))</f>
        <v>0.02324374871934</v>
      </c>
      <c r="N97" s="34" t="n">
        <f aca="false">IF($A97="","",IFERROR('Market levels'!U97/'Market levels'!I97,""))</f>
        <v>0.370363257678762</v>
      </c>
      <c r="O97" s="33" t="n">
        <f aca="false">IF($A97="","",IFERROR(('Market levels'!U97/'Market levels'!P97)^(1/5)-1,""))</f>
        <v>0.0174934729126028</v>
      </c>
      <c r="P97" s="33" t="n">
        <f aca="false">IF($A97="","",IFERROR('Market levels'!V97/'Market levels'!U97-1,""))</f>
        <v>-0.0301297695674121</v>
      </c>
      <c r="Q97" s="33" t="n">
        <f aca="false">IF($A97="","",IFERROR(('Market levels'!AA97/'Market levels'!V97)^(1/5)-1,""))</f>
        <v>0.0295128136891052</v>
      </c>
      <c r="R97" s="33" t="n">
        <f aca="false">IF($A97="","",IFERROR(('Market levels'!AG97/'Market levels'!AB97)^(1/5)-1,""))</f>
        <v>0.0422168609023978</v>
      </c>
      <c r="S97" s="33" t="n">
        <f aca="false">IF($A97="","",IFERROR('Market levels'!AH97/'Market levels'!AG97-1,""))</f>
        <v>0.0457931200517943</v>
      </c>
      <c r="T97" s="33" t="n">
        <f aca="false">IF($A97="","",IFERROR(('Market levels'!AM97/'Market levels'!AH97)^(1/5)-1,""))</f>
        <v>0.0197580582580648</v>
      </c>
      <c r="U97" s="31" t="n">
        <v>5.7</v>
      </c>
      <c r="V97" s="32" t="n">
        <v>0.09</v>
      </c>
      <c r="W97" s="32" t="n">
        <v>0.075</v>
      </c>
      <c r="X97" s="32" t="n">
        <v>0.095</v>
      </c>
      <c r="Y97" s="32"/>
      <c r="Z97" s="32"/>
      <c r="AA97" s="17" t="n">
        <v>3</v>
      </c>
      <c r="AB97" s="17" t="n">
        <v>3</v>
      </c>
      <c r="AC97" s="17" t="n">
        <v>3</v>
      </c>
      <c r="AD97" s="17" t="n">
        <v>4</v>
      </c>
    </row>
    <row r="98" customFormat="false" ht="15" hidden="false" customHeight="false" outlineLevel="0" collapsed="false">
      <c r="A98" s="14" t="s">
        <v>165</v>
      </c>
      <c r="B98" s="14" t="s">
        <v>228</v>
      </c>
      <c r="C98" s="14" t="s">
        <v>209</v>
      </c>
      <c r="D98" s="14" t="s">
        <v>212</v>
      </c>
      <c r="E98" s="14" t="s">
        <v>165</v>
      </c>
      <c r="F98" s="30" t="n">
        <f aca="false">IF($A98="","",'Market levels'!I98)</f>
        <v>19526.91</v>
      </c>
      <c r="G98" s="31" t="n">
        <v>133</v>
      </c>
      <c r="H98" s="32"/>
      <c r="I98" s="32"/>
      <c r="J98" s="31" t="n">
        <v>54</v>
      </c>
      <c r="K98" s="33" t="n">
        <f aca="false">IF($A98="","",IFERROR(('Market levels'!I98/'Market levels'!D98)^(1/5)-1,""))</f>
        <v>0.0326404738113613</v>
      </c>
      <c r="L98" s="33" t="n">
        <f aca="false">IF($A98="","",IFERROR('Market levels'!J98/'Market levels'!I98-1,""))</f>
        <v>0.0176740713200401</v>
      </c>
      <c r="M98" s="33" t="n">
        <f aca="false">IF($A98="","",IFERROR(('Market levels'!O98/'Market levels'!J98)^(1/5)-1,""))</f>
        <v>0.02324374871934</v>
      </c>
      <c r="N98" s="34" t="n">
        <f aca="false">IF($A98="","",IFERROR('Market levels'!U98/'Market levels'!I98,""))</f>
        <v>0.370363257678762</v>
      </c>
      <c r="O98" s="33" t="n">
        <f aca="false">IF($A98="","",IFERROR(('Market levels'!U98/'Market levels'!P98)^(1/5)-1,""))</f>
        <v>0.0174934729126028</v>
      </c>
      <c r="P98" s="33" t="n">
        <f aca="false">IF($A98="","",IFERROR('Market levels'!V98/'Market levels'!U98-1,""))</f>
        <v>-0.0301297695674121</v>
      </c>
      <c r="Q98" s="33" t="n">
        <f aca="false">IF($A98="","",IFERROR(('Market levels'!AA98/'Market levels'!V98)^(1/5)-1,""))</f>
        <v>0.0295128136891052</v>
      </c>
      <c r="R98" s="33" t="n">
        <f aca="false">IF($A98="","",IFERROR(('Market levels'!AG98/'Market levels'!AB98)^(1/5)-1,""))</f>
        <v>0.0422168609023978</v>
      </c>
      <c r="S98" s="33" t="n">
        <f aca="false">IF($A98="","",IFERROR('Market levels'!AH98/'Market levels'!AG98-1,""))</f>
        <v>0.0457931200517943</v>
      </c>
      <c r="T98" s="33" t="n">
        <f aca="false">IF($A98="","",IFERROR(('Market levels'!AM98/'Market levels'!AH98)^(1/5)-1,""))</f>
        <v>0.0197580582580648</v>
      </c>
      <c r="U98" s="31" t="n">
        <v>4.8</v>
      </c>
      <c r="V98" s="32" t="n">
        <v>0.08</v>
      </c>
      <c r="W98" s="32" t="n">
        <v>0.065</v>
      </c>
      <c r="X98" s="32" t="n">
        <v>0.085</v>
      </c>
      <c r="Y98" s="32"/>
      <c r="Z98" s="32"/>
      <c r="AA98" s="17" t="n">
        <v>3</v>
      </c>
      <c r="AB98" s="17" t="n">
        <v>3</v>
      </c>
      <c r="AC98" s="17" t="n">
        <v>3</v>
      </c>
      <c r="AD98" s="17" t="n">
        <v>4</v>
      </c>
    </row>
    <row r="99" customFormat="false" ht="15" hidden="false" customHeight="false" outlineLevel="0" collapsed="false">
      <c r="A99" s="14" t="s">
        <v>165</v>
      </c>
      <c r="B99" s="14" t="s">
        <v>228</v>
      </c>
      <c r="C99" s="14" t="s">
        <v>213</v>
      </c>
      <c r="D99" s="14" t="s">
        <v>210</v>
      </c>
      <c r="E99" s="14" t="s">
        <v>165</v>
      </c>
      <c r="F99" s="30" t="n">
        <f aca="false">IF($A99="","",'Market levels'!I99)</f>
        <v>85393.01</v>
      </c>
      <c r="G99" s="31" t="n">
        <v>572</v>
      </c>
      <c r="H99" s="32"/>
      <c r="I99" s="32"/>
      <c r="J99" s="31" t="n">
        <v>283</v>
      </c>
      <c r="K99" s="33" t="n">
        <f aca="false">IF($A99="","",IFERROR(('Market levels'!I99/'Market levels'!D99)^(1/5)-1,""))</f>
        <v>0.0467386273311994</v>
      </c>
      <c r="L99" s="33" t="n">
        <f aca="false">IF($A99="","",IFERROR('Market levels'!J99/'Market levels'!I99-1,""))</f>
        <v>0.0667727955719091</v>
      </c>
      <c r="M99" s="33" t="n">
        <f aca="false">IF($A99="","",IFERROR(('Market levels'!O99/'Market levels'!J99)^(1/5)-1,""))</f>
        <v>0.0365555194596321</v>
      </c>
      <c r="N99" s="34" t="n">
        <f aca="false">IF($A99="","",IFERROR('Market levels'!U99/'Market levels'!I99,""))</f>
        <v>0.358499952162361</v>
      </c>
      <c r="O99" s="33" t="n">
        <f aca="false">IF($A99="","",IFERROR(('Market levels'!U99/'Market levels'!P99)^(1/5)-1,""))</f>
        <v>0.0506196522202851</v>
      </c>
      <c r="P99" s="33" t="n">
        <f aca="false">IF($A99="","",IFERROR('Market levels'!V99/'Market levels'!U99-1,""))</f>
        <v>-0.00126513267560391</v>
      </c>
      <c r="Q99" s="33" t="n">
        <f aca="false">IF($A99="","",IFERROR(('Market levels'!AA99/'Market levels'!V99)^(1/5)-1,""))</f>
        <v>0.0406819560795881</v>
      </c>
      <c r="R99" s="33" t="n">
        <f aca="false">IF($A99="","",IFERROR(('Market levels'!AG99/'Market levels'!AB99)^(1/5)-1,""))</f>
        <v>0.0446067368696885</v>
      </c>
      <c r="S99" s="33" t="n">
        <f aca="false">IF($A99="","",IFERROR('Market levels'!AH99/'Market levels'!AG99-1,""))</f>
        <v>0.10479554257587</v>
      </c>
      <c r="T99" s="33" t="n">
        <f aca="false">IF($A99="","",IFERROR(('Market levels'!AM99/'Market levels'!AH99)^(1/5)-1,""))</f>
        <v>0.0344456205032071</v>
      </c>
      <c r="U99" s="31" t="n">
        <v>25.5</v>
      </c>
      <c r="V99" s="32" t="n">
        <v>0.08</v>
      </c>
      <c r="W99" s="32" t="n">
        <v>0.065</v>
      </c>
      <c r="X99" s="32" t="n">
        <v>0.085</v>
      </c>
      <c r="Y99" s="32"/>
      <c r="Z99" s="32"/>
      <c r="AA99" s="17" t="n">
        <v>3</v>
      </c>
      <c r="AB99" s="17" t="n">
        <v>3</v>
      </c>
      <c r="AC99" s="17" t="n">
        <v>3</v>
      </c>
      <c r="AD99" s="17" t="n">
        <v>4</v>
      </c>
    </row>
    <row r="100" customFormat="false" ht="15" hidden="false" customHeight="false" outlineLevel="0" collapsed="false">
      <c r="A100" s="14" t="s">
        <v>165</v>
      </c>
      <c r="B100" s="14" t="s">
        <v>228</v>
      </c>
      <c r="C100" s="14" t="s">
        <v>213</v>
      </c>
      <c r="D100" s="14" t="s">
        <v>211</v>
      </c>
      <c r="E100" s="14" t="s">
        <v>165</v>
      </c>
      <c r="F100" s="30" t="n">
        <f aca="false">IF($A100="","",'Market levels'!I100)</f>
        <v>85393.01</v>
      </c>
      <c r="G100" s="31" t="n">
        <v>1346</v>
      </c>
      <c r="H100" s="32"/>
      <c r="I100" s="32"/>
      <c r="J100" s="31" t="n">
        <v>424</v>
      </c>
      <c r="K100" s="33" t="n">
        <f aca="false">IF($A100="","",IFERROR(('Market levels'!I100/'Market levels'!D100)^(1/5)-1,""))</f>
        <v>0.0467386273311994</v>
      </c>
      <c r="L100" s="33" t="n">
        <f aca="false">IF($A100="","",IFERROR('Market levels'!J100/'Market levels'!I100-1,""))</f>
        <v>0.0667727955719091</v>
      </c>
      <c r="M100" s="33" t="n">
        <f aca="false">IF($A100="","",IFERROR(('Market levels'!O100/'Market levels'!J100)^(1/5)-1,""))</f>
        <v>0.0365555194596321</v>
      </c>
      <c r="N100" s="34" t="n">
        <f aca="false">IF($A100="","",IFERROR('Market levels'!U100/'Market levels'!I100,""))</f>
        <v>0.358499952162361</v>
      </c>
      <c r="O100" s="33" t="n">
        <f aca="false">IF($A100="","",IFERROR(('Market levels'!U100/'Market levels'!P100)^(1/5)-1,""))</f>
        <v>0.0506196522202851</v>
      </c>
      <c r="P100" s="33" t="n">
        <f aca="false">IF($A100="","",IFERROR('Market levels'!V100/'Market levels'!U100-1,""))</f>
        <v>-0.00126513267560391</v>
      </c>
      <c r="Q100" s="33" t="n">
        <f aca="false">IF($A100="","",IFERROR(('Market levels'!AA100/'Market levels'!V100)^(1/5)-1,""))</f>
        <v>0.0406819560795881</v>
      </c>
      <c r="R100" s="33" t="n">
        <f aca="false">IF($A100="","",IFERROR(('Market levels'!AG100/'Market levels'!AB100)^(1/5)-1,""))</f>
        <v>0.0446067368696885</v>
      </c>
      <c r="S100" s="33" t="n">
        <f aca="false">IF($A100="","",IFERROR('Market levels'!AH100/'Market levels'!AG100-1,""))</f>
        <v>0.10479554257587</v>
      </c>
      <c r="T100" s="33" t="n">
        <f aca="false">IF($A100="","",IFERROR(('Market levels'!AM100/'Market levels'!AH100)^(1/5)-1,""))</f>
        <v>0.0344456205032071</v>
      </c>
      <c r="U100" s="31" t="n">
        <v>19.1</v>
      </c>
      <c r="V100" s="32" t="n">
        <v>0.095</v>
      </c>
      <c r="W100" s="32" t="n">
        <v>0.08</v>
      </c>
      <c r="X100" s="32" t="n">
        <v>0.1</v>
      </c>
      <c r="Y100" s="32"/>
      <c r="Z100" s="32"/>
      <c r="AA100" s="17" t="n">
        <v>3</v>
      </c>
      <c r="AB100" s="17" t="n">
        <v>3</v>
      </c>
      <c r="AC100" s="17" t="n">
        <v>3</v>
      </c>
      <c r="AD100" s="17" t="n">
        <v>4</v>
      </c>
    </row>
    <row r="101" customFormat="false" ht="15" hidden="false" customHeight="false" outlineLevel="0" collapsed="false">
      <c r="A101" s="14" t="s">
        <v>165</v>
      </c>
      <c r="B101" s="14" t="s">
        <v>228</v>
      </c>
      <c r="C101" s="14" t="s">
        <v>213</v>
      </c>
      <c r="D101" s="14" t="s">
        <v>212</v>
      </c>
      <c r="E101" s="14" t="s">
        <v>165</v>
      </c>
      <c r="F101" s="30" t="n">
        <f aca="false">IF($A101="","",'Market levels'!I101)</f>
        <v>85393.01</v>
      </c>
      <c r="G101" s="31" t="n">
        <v>583</v>
      </c>
      <c r="H101" s="32"/>
      <c r="I101" s="32"/>
      <c r="J101" s="31" t="n">
        <v>236</v>
      </c>
      <c r="K101" s="33" t="n">
        <f aca="false">IF($A101="","",IFERROR(('Market levels'!I101/'Market levels'!D101)^(1/5)-1,""))</f>
        <v>0.0467386273311994</v>
      </c>
      <c r="L101" s="33" t="n">
        <f aca="false">IF($A101="","",IFERROR('Market levels'!J101/'Market levels'!I101-1,""))</f>
        <v>0.0667727955719091</v>
      </c>
      <c r="M101" s="33" t="n">
        <f aca="false">IF($A101="","",IFERROR(('Market levels'!O101/'Market levels'!J101)^(1/5)-1,""))</f>
        <v>0.0365555194596321</v>
      </c>
      <c r="N101" s="34" t="n">
        <f aca="false">IF($A101="","",IFERROR('Market levels'!U101/'Market levels'!I101,""))</f>
        <v>0.358499952162361</v>
      </c>
      <c r="O101" s="33" t="n">
        <f aca="false">IF($A101="","",IFERROR(('Market levels'!U101/'Market levels'!P101)^(1/5)-1,""))</f>
        <v>0.0506196522202851</v>
      </c>
      <c r="P101" s="33" t="n">
        <f aca="false">IF($A101="","",IFERROR('Market levels'!V101/'Market levels'!U101-1,""))</f>
        <v>-0.00126513267560391</v>
      </c>
      <c r="Q101" s="33" t="n">
        <f aca="false">IF($A101="","",IFERROR(('Market levels'!AA101/'Market levels'!V101)^(1/5)-1,""))</f>
        <v>0.0406819560795881</v>
      </c>
      <c r="R101" s="33" t="n">
        <f aca="false">IF($A101="","",IFERROR(('Market levels'!AG101/'Market levels'!AB101)^(1/5)-1,""))</f>
        <v>0.0446067368696885</v>
      </c>
      <c r="S101" s="33" t="n">
        <f aca="false">IF($A101="","",IFERROR('Market levels'!AH101/'Market levels'!AG101-1,""))</f>
        <v>0.10479554257587</v>
      </c>
      <c r="T101" s="33" t="n">
        <f aca="false">IF($A101="","",IFERROR(('Market levels'!AM101/'Market levels'!AH101)^(1/5)-1,""))</f>
        <v>0.0344456205032071</v>
      </c>
      <c r="U101" s="31" t="n">
        <v>15.9</v>
      </c>
      <c r="V101" s="32" t="n">
        <v>0.085</v>
      </c>
      <c r="W101" s="32" t="n">
        <v>0.07</v>
      </c>
      <c r="X101" s="32" t="n">
        <v>0.09</v>
      </c>
      <c r="Y101" s="32"/>
      <c r="Z101" s="32"/>
      <c r="AA101" s="17" t="n">
        <v>3</v>
      </c>
      <c r="AB101" s="17" t="n">
        <v>3</v>
      </c>
      <c r="AC101" s="17" t="n">
        <v>3</v>
      </c>
      <c r="AD101" s="17" t="n">
        <v>4</v>
      </c>
    </row>
    <row r="102" customFormat="false" ht="15" hidden="false" customHeight="false" outlineLevel="0" collapsed="false">
      <c r="A102" s="14" t="s">
        <v>183</v>
      </c>
      <c r="B102" s="14" t="s">
        <v>229</v>
      </c>
      <c r="C102" s="14" t="s">
        <v>209</v>
      </c>
      <c r="D102" s="14" t="s">
        <v>210</v>
      </c>
      <c r="E102" s="14" t="s">
        <v>183</v>
      </c>
      <c r="F102" s="30" t="n">
        <f aca="false">IF($A102="","",'Market levels'!I102)</f>
        <v>3971.49</v>
      </c>
      <c r="G102" s="31" t="n">
        <v>32</v>
      </c>
      <c r="H102" s="32"/>
      <c r="I102" s="32"/>
      <c r="J102" s="31" t="n">
        <v>14</v>
      </c>
      <c r="K102" s="33" t="n">
        <f aca="false">IF($A102="","",IFERROR(('Market levels'!I102/'Market levels'!D102)^(1/5)-1,""))</f>
        <v>0.0302065041126041</v>
      </c>
      <c r="L102" s="33" t="n">
        <f aca="false">IF($A102="","",IFERROR('Market levels'!J102/'Market levels'!I102-1,""))</f>
        <v>0.0422738065562294</v>
      </c>
      <c r="M102" s="33" t="n">
        <f aca="false">IF($A102="","",IFERROR(('Market levels'!O102/'Market levels'!J102)^(1/5)-1,""))</f>
        <v>0.00194248928808927</v>
      </c>
      <c r="N102" s="34" t="n">
        <f aca="false">IF($A102="","",IFERROR('Market levels'!U102/'Market levels'!I102,""))</f>
        <v>0.79572654092041</v>
      </c>
      <c r="O102" s="33" t="n">
        <f aca="false">IF($A102="","",IFERROR(('Market levels'!U102/'Market levels'!P102)^(1/5)-1,""))</f>
        <v>0.0767251779377851</v>
      </c>
      <c r="P102" s="33" t="n">
        <f aca="false">IF($A102="","",IFERROR('Market levels'!V102/'Market levels'!U102-1,""))</f>
        <v>0.0311465657454226</v>
      </c>
      <c r="Q102" s="33" t="n">
        <f aca="false">IF($A102="","",IFERROR(('Market levels'!AA102/'Market levels'!V102)^(1/5)-1,""))</f>
        <v>-0.00232400479225148</v>
      </c>
      <c r="R102" s="33" t="n">
        <f aca="false">IF($A102="","",IFERROR(('Market levels'!AG102/'Market levels'!AB102)^(1/5)-1,""))</f>
        <v>-0.0811615626027069</v>
      </c>
      <c r="S102" s="33" t="n">
        <f aca="false">IF($A102="","",IFERROR('Market levels'!AH102/'Market levels'!AG102-1,""))</f>
        <v>0.085618844527716</v>
      </c>
      <c r="T102" s="33" t="n">
        <f aca="false">IF($A102="","",IFERROR(('Market levels'!AM102/'Market levels'!AH102)^(1/5)-1,""))</f>
        <v>0.0171271224812015</v>
      </c>
      <c r="U102" s="31" t="n">
        <v>1.3</v>
      </c>
      <c r="V102" s="32" t="n">
        <v>0.065</v>
      </c>
      <c r="W102" s="32" t="n">
        <v>0.05</v>
      </c>
      <c r="X102" s="32" t="n">
        <v>0.05</v>
      </c>
      <c r="Y102" s="32"/>
      <c r="Z102" s="32"/>
      <c r="AA102" s="17" t="n">
        <v>3</v>
      </c>
      <c r="AB102" s="17" t="n">
        <v>3</v>
      </c>
      <c r="AC102" s="17" t="n">
        <v>3</v>
      </c>
      <c r="AD102" s="17" t="n">
        <v>4</v>
      </c>
    </row>
    <row r="103" customFormat="false" ht="15" hidden="false" customHeight="false" outlineLevel="0" collapsed="false">
      <c r="A103" s="14" t="s">
        <v>183</v>
      </c>
      <c r="B103" s="14" t="s">
        <v>229</v>
      </c>
      <c r="C103" s="14" t="s">
        <v>209</v>
      </c>
      <c r="D103" s="14" t="s">
        <v>211</v>
      </c>
      <c r="E103" s="14" t="s">
        <v>183</v>
      </c>
      <c r="F103" s="30" t="n">
        <f aca="false">IF($A103="","",'Market levels'!I103)</f>
        <v>3971.49</v>
      </c>
      <c r="G103" s="31" t="n">
        <v>64</v>
      </c>
      <c r="H103" s="32"/>
      <c r="I103" s="32"/>
      <c r="J103" s="31" t="n">
        <v>18</v>
      </c>
      <c r="K103" s="33" t="n">
        <f aca="false">IF($A103="","",IFERROR(('Market levels'!I103/'Market levels'!D103)^(1/5)-1,""))</f>
        <v>0.0302065041126041</v>
      </c>
      <c r="L103" s="33" t="n">
        <f aca="false">IF($A103="","",IFERROR('Market levels'!J103/'Market levels'!I103-1,""))</f>
        <v>0.0422738065562294</v>
      </c>
      <c r="M103" s="33" t="n">
        <f aca="false">IF($A103="","",IFERROR(('Market levels'!O103/'Market levels'!J103)^(1/5)-1,""))</f>
        <v>0.00194248928808927</v>
      </c>
      <c r="N103" s="34" t="n">
        <f aca="false">IF($A103="","",IFERROR('Market levels'!U103/'Market levels'!I103,""))</f>
        <v>0.79572654092041</v>
      </c>
      <c r="O103" s="33" t="n">
        <f aca="false">IF($A103="","",IFERROR(('Market levels'!U103/'Market levels'!P103)^(1/5)-1,""))</f>
        <v>0.0767251779377851</v>
      </c>
      <c r="P103" s="33" t="n">
        <f aca="false">IF($A103="","",IFERROR('Market levels'!V103/'Market levels'!U103-1,""))</f>
        <v>0.0311465657454226</v>
      </c>
      <c r="Q103" s="33" t="n">
        <f aca="false">IF($A103="","",IFERROR(('Market levels'!AA103/'Market levels'!V103)^(1/5)-1,""))</f>
        <v>-0.00232400479225148</v>
      </c>
      <c r="R103" s="33" t="n">
        <f aca="false">IF($A103="","",IFERROR(('Market levels'!AG103/'Market levels'!AB103)^(1/5)-1,""))</f>
        <v>-0.0811615626027069</v>
      </c>
      <c r="S103" s="33" t="n">
        <f aca="false">IF($A103="","",IFERROR('Market levels'!AH103/'Market levels'!AG103-1,""))</f>
        <v>0.085618844527716</v>
      </c>
      <c r="T103" s="33" t="n">
        <f aca="false">IF($A103="","",IFERROR(('Market levels'!AM103/'Market levels'!AH103)^(1/5)-1,""))</f>
        <v>0.0171271224812015</v>
      </c>
      <c r="U103" s="31" t="n">
        <v>0.9</v>
      </c>
      <c r="V103" s="32" t="n">
        <v>0.08</v>
      </c>
      <c r="W103" s="32" t="n">
        <v>0.065</v>
      </c>
      <c r="X103" s="32" t="n">
        <v>0.065</v>
      </c>
      <c r="Y103" s="32"/>
      <c r="Z103" s="32"/>
      <c r="AA103" s="17" t="n">
        <v>3</v>
      </c>
      <c r="AB103" s="17" t="n">
        <v>3</v>
      </c>
      <c r="AC103" s="17" t="n">
        <v>3</v>
      </c>
      <c r="AD103" s="17" t="n">
        <v>4</v>
      </c>
    </row>
    <row r="104" customFormat="false" ht="15" hidden="false" customHeight="false" outlineLevel="0" collapsed="false">
      <c r="A104" s="14" t="s">
        <v>183</v>
      </c>
      <c r="B104" s="14" t="s">
        <v>229</v>
      </c>
      <c r="C104" s="14" t="s">
        <v>209</v>
      </c>
      <c r="D104" s="14" t="s">
        <v>212</v>
      </c>
      <c r="E104" s="14" t="s">
        <v>183</v>
      </c>
      <c r="F104" s="30" t="n">
        <f aca="false">IF($A104="","",'Market levels'!I104)</f>
        <v>3971.49</v>
      </c>
      <c r="G104" s="31" t="n">
        <v>33</v>
      </c>
      <c r="H104" s="32"/>
      <c r="I104" s="32"/>
      <c r="J104" s="31" t="n">
        <v>12</v>
      </c>
      <c r="K104" s="33" t="n">
        <f aca="false">IF($A104="","",IFERROR(('Market levels'!I104/'Market levels'!D104)^(1/5)-1,""))</f>
        <v>0.0302065041126041</v>
      </c>
      <c r="L104" s="33" t="n">
        <f aca="false">IF($A104="","",IFERROR('Market levels'!J104/'Market levels'!I104-1,""))</f>
        <v>0.0422738065562294</v>
      </c>
      <c r="M104" s="33" t="n">
        <f aca="false">IF($A104="","",IFERROR(('Market levels'!O104/'Market levels'!J104)^(1/5)-1,""))</f>
        <v>0.00194248928808927</v>
      </c>
      <c r="N104" s="34" t="n">
        <f aca="false">IF($A104="","",IFERROR('Market levels'!U104/'Market levels'!I104,""))</f>
        <v>0.79572654092041</v>
      </c>
      <c r="O104" s="33" t="n">
        <f aca="false">IF($A104="","",IFERROR(('Market levels'!U104/'Market levels'!P104)^(1/5)-1,""))</f>
        <v>0.0767251779377851</v>
      </c>
      <c r="P104" s="33" t="n">
        <f aca="false">IF($A104="","",IFERROR('Market levels'!V104/'Market levels'!U104-1,""))</f>
        <v>0.0311465657454226</v>
      </c>
      <c r="Q104" s="33" t="n">
        <f aca="false">IF($A104="","",IFERROR(('Market levels'!AA104/'Market levels'!V104)^(1/5)-1,""))</f>
        <v>-0.00232400479225148</v>
      </c>
      <c r="R104" s="33" t="n">
        <f aca="false">IF($A104="","",IFERROR(('Market levels'!AG104/'Market levels'!AB104)^(1/5)-1,""))</f>
        <v>-0.0811615626027069</v>
      </c>
      <c r="S104" s="33" t="n">
        <f aca="false">IF($A104="","",IFERROR('Market levels'!AH104/'Market levels'!AG104-1,""))</f>
        <v>0.085618844527716</v>
      </c>
      <c r="T104" s="33" t="n">
        <f aca="false">IF($A104="","",IFERROR(('Market levels'!AM104/'Market levels'!AH104)^(1/5)-1,""))</f>
        <v>0.0171271224812015</v>
      </c>
      <c r="U104" s="31" t="n">
        <v>0.9</v>
      </c>
      <c r="V104" s="32" t="n">
        <v>0.07</v>
      </c>
      <c r="W104" s="32" t="n">
        <v>0.055</v>
      </c>
      <c r="X104" s="32" t="n">
        <v>0.055</v>
      </c>
      <c r="Y104" s="32"/>
      <c r="Z104" s="32"/>
      <c r="AA104" s="17" t="n">
        <v>3</v>
      </c>
      <c r="AB104" s="17" t="n">
        <v>3</v>
      </c>
      <c r="AC104" s="17" t="n">
        <v>3</v>
      </c>
      <c r="AD104" s="17" t="n">
        <v>4</v>
      </c>
    </row>
    <row r="105" customFormat="false" ht="15" hidden="false" customHeight="false" outlineLevel="0" collapsed="false">
      <c r="A105" s="14" t="s">
        <v>183</v>
      </c>
      <c r="B105" s="14" t="s">
        <v>229</v>
      </c>
      <c r="C105" s="14" t="s">
        <v>213</v>
      </c>
      <c r="D105" s="14" t="s">
        <v>210</v>
      </c>
      <c r="E105" s="14" t="s">
        <v>183</v>
      </c>
      <c r="F105" s="30" t="n">
        <f aca="false">IF($A105="","",'Market levels'!I105)</f>
        <v>8433.78</v>
      </c>
      <c r="G105" s="31" t="n">
        <v>68</v>
      </c>
      <c r="H105" s="32"/>
      <c r="I105" s="32"/>
      <c r="J105" s="31" t="n">
        <v>30</v>
      </c>
      <c r="K105" s="33" t="n">
        <f aca="false">IF($A105="","",IFERROR(('Market levels'!I105/'Market levels'!D105)^(1/5)-1,""))</f>
        <v>0.0374424361121726</v>
      </c>
      <c r="L105" s="33" t="n">
        <f aca="false">IF($A105="","",IFERROR('Market levels'!J105/'Market levels'!I105-1,""))</f>
        <v>0.0845552053764742</v>
      </c>
      <c r="M105" s="33" t="n">
        <f aca="false">IF($A105="","",IFERROR(('Market levels'!O105/'Market levels'!J105)^(1/5)-1,""))</f>
        <v>0.0275274473643183</v>
      </c>
      <c r="N105" s="34" t="n">
        <f aca="false">IF($A105="","",IFERROR('Market levels'!U105/'Market levels'!I105,""))</f>
        <v>0.540378098551302</v>
      </c>
      <c r="O105" s="33" t="n">
        <f aca="false">IF($A105="","",IFERROR(('Market levels'!U105/'Market levels'!P105)^(1/5)-1,""))</f>
        <v>0.0161817401524029</v>
      </c>
      <c r="P105" s="33" t="n">
        <f aca="false">IF($A105="","",IFERROR('Market levels'!V105/'Market levels'!U105-1,""))</f>
        <v>0.0875866442271192</v>
      </c>
      <c r="Q105" s="33" t="n">
        <f aca="false">IF($A105="","",IFERROR(('Market levels'!AA105/'Market levels'!V105)^(1/5)-1,""))</f>
        <v>0.0311504606403505</v>
      </c>
      <c r="R105" s="33" t="n">
        <f aca="false">IF($A105="","",IFERROR(('Market levels'!AG105/'Market levels'!AB105)^(1/5)-1,""))</f>
        <v>0.0663143162899706</v>
      </c>
      <c r="S105" s="33" t="n">
        <f aca="false">IF($A105="","",IFERROR('Market levels'!AH105/'Market levels'!AG105-1,""))</f>
        <v>0.0809911385710784</v>
      </c>
      <c r="T105" s="33" t="n">
        <f aca="false">IF($A105="","",IFERROR(('Market levels'!AM105/'Market levels'!AH105)^(1/5)-1,""))</f>
        <v>0.0231748286927724</v>
      </c>
      <c r="U105" s="31" t="n">
        <v>2.2</v>
      </c>
      <c r="V105" s="32" t="n">
        <v>0.07</v>
      </c>
      <c r="W105" s="32" t="n">
        <v>0.055</v>
      </c>
      <c r="X105" s="32" t="n">
        <v>0.055</v>
      </c>
      <c r="Y105" s="32"/>
      <c r="Z105" s="32"/>
      <c r="AA105" s="17" t="n">
        <v>3</v>
      </c>
      <c r="AB105" s="17" t="n">
        <v>3</v>
      </c>
      <c r="AC105" s="17" t="n">
        <v>3</v>
      </c>
      <c r="AD105" s="17" t="n">
        <v>4</v>
      </c>
    </row>
    <row r="106" customFormat="false" ht="15" hidden="false" customHeight="false" outlineLevel="0" collapsed="false">
      <c r="A106" s="14" t="s">
        <v>183</v>
      </c>
      <c r="B106" s="14" t="s">
        <v>229</v>
      </c>
      <c r="C106" s="14" t="s">
        <v>213</v>
      </c>
      <c r="D106" s="14" t="s">
        <v>211</v>
      </c>
      <c r="E106" s="14" t="s">
        <v>183</v>
      </c>
      <c r="F106" s="30" t="n">
        <f aca="false">IF($A106="","",'Market levels'!I106)</f>
        <v>8433.78</v>
      </c>
      <c r="G106" s="31" t="n">
        <v>139</v>
      </c>
      <c r="H106" s="32"/>
      <c r="I106" s="32"/>
      <c r="J106" s="31" t="n">
        <v>39</v>
      </c>
      <c r="K106" s="33" t="n">
        <f aca="false">IF($A106="","",IFERROR(('Market levels'!I106/'Market levels'!D106)^(1/5)-1,""))</f>
        <v>0.0374424361121726</v>
      </c>
      <c r="L106" s="33" t="n">
        <f aca="false">IF($A106="","",IFERROR('Market levels'!J106/'Market levels'!I106-1,""))</f>
        <v>0.0845552053764742</v>
      </c>
      <c r="M106" s="33" t="n">
        <f aca="false">IF($A106="","",IFERROR(('Market levels'!O106/'Market levels'!J106)^(1/5)-1,""))</f>
        <v>0.0275274473643183</v>
      </c>
      <c r="N106" s="34" t="n">
        <f aca="false">IF($A106="","",IFERROR('Market levels'!U106/'Market levels'!I106,""))</f>
        <v>0.540378098551302</v>
      </c>
      <c r="O106" s="33" t="n">
        <f aca="false">IF($A106="","",IFERROR(('Market levels'!U106/'Market levels'!P106)^(1/5)-1,""))</f>
        <v>0.0161817401524029</v>
      </c>
      <c r="P106" s="33" t="n">
        <f aca="false">IF($A106="","",IFERROR('Market levels'!V106/'Market levels'!U106-1,""))</f>
        <v>0.0875866442271192</v>
      </c>
      <c r="Q106" s="33" t="n">
        <f aca="false">IF($A106="","",IFERROR(('Market levels'!AA106/'Market levels'!V106)^(1/5)-1,""))</f>
        <v>0.0311504606403505</v>
      </c>
      <c r="R106" s="33" t="n">
        <f aca="false">IF($A106="","",IFERROR(('Market levels'!AG106/'Market levels'!AB106)^(1/5)-1,""))</f>
        <v>0.0663143162899706</v>
      </c>
      <c r="S106" s="33" t="n">
        <f aca="false">IF($A106="","",IFERROR('Market levels'!AH106/'Market levels'!AG106-1,""))</f>
        <v>0.0809911385710784</v>
      </c>
      <c r="T106" s="33" t="n">
        <f aca="false">IF($A106="","",IFERROR(('Market levels'!AM106/'Market levels'!AH106)^(1/5)-1,""))</f>
        <v>0.0231748286927724</v>
      </c>
      <c r="U106" s="31" t="n">
        <v>1.4</v>
      </c>
      <c r="V106" s="32" t="n">
        <v>0.085</v>
      </c>
      <c r="W106" s="32" t="n">
        <v>0.07</v>
      </c>
      <c r="X106" s="32" t="n">
        <v>0.07</v>
      </c>
      <c r="Y106" s="32"/>
      <c r="Z106" s="32"/>
      <c r="AA106" s="17" t="n">
        <v>3</v>
      </c>
      <c r="AB106" s="17" t="n">
        <v>3</v>
      </c>
      <c r="AC106" s="17" t="n">
        <v>3</v>
      </c>
      <c r="AD106" s="17" t="n">
        <v>4</v>
      </c>
    </row>
    <row r="107" customFormat="false" ht="15" hidden="false" customHeight="false" outlineLevel="0" collapsed="false">
      <c r="A107" s="14" t="s">
        <v>183</v>
      </c>
      <c r="B107" s="14" t="s">
        <v>229</v>
      </c>
      <c r="C107" s="14" t="s">
        <v>213</v>
      </c>
      <c r="D107" s="14" t="s">
        <v>212</v>
      </c>
      <c r="E107" s="14" t="s">
        <v>183</v>
      </c>
      <c r="F107" s="30" t="n">
        <f aca="false">IF($A107="","",'Market levels'!I107)</f>
        <v>8433.78</v>
      </c>
      <c r="G107" s="31" t="n">
        <v>67</v>
      </c>
      <c r="H107" s="32"/>
      <c r="I107" s="32"/>
      <c r="J107" s="31" t="n">
        <v>24</v>
      </c>
      <c r="K107" s="33" t="n">
        <f aca="false">IF($A107="","",IFERROR(('Market levels'!I107/'Market levels'!D107)^(1/5)-1,""))</f>
        <v>0.0374424361121726</v>
      </c>
      <c r="L107" s="33" t="n">
        <f aca="false">IF($A107="","",IFERROR('Market levels'!J107/'Market levels'!I107-1,""))</f>
        <v>0.0845552053764742</v>
      </c>
      <c r="M107" s="33" t="n">
        <f aca="false">IF($A107="","",IFERROR(('Market levels'!O107/'Market levels'!J107)^(1/5)-1,""))</f>
        <v>0.0275274473643183</v>
      </c>
      <c r="N107" s="34" t="n">
        <f aca="false">IF($A107="","",IFERROR('Market levels'!U107/'Market levels'!I107,""))</f>
        <v>0.540378098551302</v>
      </c>
      <c r="O107" s="33" t="n">
        <f aca="false">IF($A107="","",IFERROR(('Market levels'!U107/'Market levels'!P107)^(1/5)-1,""))</f>
        <v>0.0161817401524029</v>
      </c>
      <c r="P107" s="33" t="n">
        <f aca="false">IF($A107="","",IFERROR('Market levels'!V107/'Market levels'!U107-1,""))</f>
        <v>0.0875866442271192</v>
      </c>
      <c r="Q107" s="33" t="n">
        <f aca="false">IF($A107="","",IFERROR(('Market levels'!AA107/'Market levels'!V107)^(1/5)-1,""))</f>
        <v>0.0311504606403505</v>
      </c>
      <c r="R107" s="33" t="n">
        <f aca="false">IF($A107="","",IFERROR(('Market levels'!AG107/'Market levels'!AB107)^(1/5)-1,""))</f>
        <v>0.0663143162899706</v>
      </c>
      <c r="S107" s="33" t="n">
        <f aca="false">IF($A107="","",IFERROR('Market levels'!AH107/'Market levels'!AG107-1,""))</f>
        <v>0.0809911385710784</v>
      </c>
      <c r="T107" s="33" t="n">
        <f aca="false">IF($A107="","",IFERROR(('Market levels'!AM107/'Market levels'!AH107)^(1/5)-1,""))</f>
        <v>0.0231748286927724</v>
      </c>
      <c r="U107" s="31" t="n">
        <v>1.3</v>
      </c>
      <c r="V107" s="32" t="n">
        <v>0.075</v>
      </c>
      <c r="W107" s="32" t="n">
        <v>0.06</v>
      </c>
      <c r="X107" s="32" t="n">
        <v>0.06</v>
      </c>
      <c r="Y107" s="32"/>
      <c r="Z107" s="32"/>
      <c r="AA107" s="17" t="n">
        <v>3</v>
      </c>
      <c r="AB107" s="17" t="n">
        <v>3</v>
      </c>
      <c r="AC107" s="17" t="n">
        <v>3</v>
      </c>
      <c r="AD107" s="17" t="n">
        <v>4</v>
      </c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30" t="str">
        <f aca="false">IF($A108="","",'Market levels'!I108)</f>
        <v/>
      </c>
      <c r="G108" s="31"/>
      <c r="H108" s="32"/>
      <c r="I108" s="32"/>
      <c r="J108" s="31"/>
      <c r="K108" s="33" t="str">
        <f aca="false">IF($A108="","",IFERROR(('Market levels'!I108/'Market levels'!D108)^(1/5)-1,""))</f>
        <v/>
      </c>
      <c r="L108" s="33" t="str">
        <f aca="false">IF($A108="","",IFERROR('Market levels'!J108/'Market levels'!I108-1,""))</f>
        <v/>
      </c>
      <c r="M108" s="33" t="str">
        <f aca="false">IF($A108="","",IFERROR(('Market levels'!O108/'Market levels'!J108)^(1/5)-1,""))</f>
        <v/>
      </c>
      <c r="N108" s="34" t="str">
        <f aca="false">IF($A108="","",IFERROR('Market levels'!U108/'Market levels'!I108,""))</f>
        <v/>
      </c>
      <c r="O108" s="33" t="str">
        <f aca="false">IF($A108="","",IFERROR(('Market levels'!U108/'Market levels'!P108)^(1/5)-1,""))</f>
        <v/>
      </c>
      <c r="P108" s="33" t="str">
        <f aca="false">IF($A108="","",IFERROR('Market levels'!V108/'Market levels'!U108-1,""))</f>
        <v/>
      </c>
      <c r="Q108" s="33" t="str">
        <f aca="false">IF($A108="","",IFERROR(('Market levels'!AA108/'Market levels'!V108)^(1/5)-1,""))</f>
        <v/>
      </c>
      <c r="R108" s="33" t="str">
        <f aca="false">IF($A108="","",IFERROR(('Market levels'!AG108/'Market levels'!AB108)^(1/5)-1,""))</f>
        <v/>
      </c>
      <c r="S108" s="33" t="str">
        <f aca="false">IF($A108="","",IFERROR('Market levels'!AH108/'Market levels'!AG108-1,""))</f>
        <v/>
      </c>
      <c r="T108" s="33" t="str">
        <f aca="false">IF($A108="","",IFERROR(('Market levels'!AM108/'Market levels'!AH108)^(1/5)-1,""))</f>
        <v/>
      </c>
      <c r="U108" s="31"/>
      <c r="V108" s="32"/>
      <c r="W108" s="32"/>
      <c r="X108" s="32"/>
      <c r="Y108" s="32"/>
      <c r="Z108" s="32"/>
      <c r="AA108" s="17"/>
      <c r="AB108" s="17"/>
      <c r="AC108" s="17"/>
      <c r="AD108" s="17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30" t="str">
        <f aca="false">IF($A109="","",'Market levels'!I109)</f>
        <v/>
      </c>
      <c r="G109" s="31"/>
      <c r="H109" s="32"/>
      <c r="I109" s="32"/>
      <c r="J109" s="31"/>
      <c r="K109" s="33" t="str">
        <f aca="false">IF($A109="","",IFERROR(('Market levels'!I109/'Market levels'!D109)^(1/5)-1,""))</f>
        <v/>
      </c>
      <c r="L109" s="33" t="str">
        <f aca="false">IF($A109="","",IFERROR('Market levels'!J109/'Market levels'!I109-1,""))</f>
        <v/>
      </c>
      <c r="M109" s="33" t="str">
        <f aca="false">IF($A109="","",IFERROR(('Market levels'!O109/'Market levels'!J109)^(1/5)-1,""))</f>
        <v/>
      </c>
      <c r="N109" s="34" t="str">
        <f aca="false">IF($A109="","",IFERROR('Market levels'!U109/'Market levels'!I109,""))</f>
        <v/>
      </c>
      <c r="O109" s="33" t="str">
        <f aca="false">IF($A109="","",IFERROR(('Market levels'!U109/'Market levels'!P109)^(1/5)-1,""))</f>
        <v/>
      </c>
      <c r="P109" s="33" t="str">
        <f aca="false">IF($A109="","",IFERROR('Market levels'!V109/'Market levels'!U109-1,""))</f>
        <v/>
      </c>
      <c r="Q109" s="33" t="str">
        <f aca="false">IF($A109="","",IFERROR(('Market levels'!AA109/'Market levels'!V109)^(1/5)-1,""))</f>
        <v/>
      </c>
      <c r="R109" s="33" t="str">
        <f aca="false">IF($A109="","",IFERROR(('Market levels'!AG109/'Market levels'!AB109)^(1/5)-1,""))</f>
        <v/>
      </c>
      <c r="S109" s="33" t="str">
        <f aca="false">IF($A109="","",IFERROR('Market levels'!AH109/'Market levels'!AG109-1,""))</f>
        <v/>
      </c>
      <c r="T109" s="33" t="str">
        <f aca="false">IF($A109="","",IFERROR(('Market levels'!AM109/'Market levels'!AH109)^(1/5)-1,""))</f>
        <v/>
      </c>
      <c r="U109" s="31"/>
      <c r="V109" s="32"/>
      <c r="W109" s="32"/>
      <c r="X109" s="32"/>
      <c r="Y109" s="32"/>
      <c r="Z109" s="32"/>
      <c r="AA109" s="17"/>
      <c r="AB109" s="17"/>
      <c r="AC109" s="17"/>
      <c r="AD109" s="17"/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30" t="str">
        <f aca="false">IF($A110="","",'Market levels'!I110)</f>
        <v/>
      </c>
      <c r="G110" s="31"/>
      <c r="H110" s="32"/>
      <c r="I110" s="32"/>
      <c r="J110" s="31"/>
      <c r="K110" s="33" t="str">
        <f aca="false">IF($A110="","",IFERROR(('Market levels'!I110/'Market levels'!D110)^(1/5)-1,""))</f>
        <v/>
      </c>
      <c r="L110" s="33" t="str">
        <f aca="false">IF($A110="","",IFERROR('Market levels'!J110/'Market levels'!I110-1,""))</f>
        <v/>
      </c>
      <c r="M110" s="33" t="str">
        <f aca="false">IF($A110="","",IFERROR(('Market levels'!O110/'Market levels'!J110)^(1/5)-1,""))</f>
        <v/>
      </c>
      <c r="N110" s="34" t="str">
        <f aca="false">IF($A110="","",IFERROR('Market levels'!U110/'Market levels'!I110,""))</f>
        <v/>
      </c>
      <c r="O110" s="33" t="str">
        <f aca="false">IF($A110="","",IFERROR(('Market levels'!U110/'Market levels'!P110)^(1/5)-1,""))</f>
        <v/>
      </c>
      <c r="P110" s="33" t="str">
        <f aca="false">IF($A110="","",IFERROR('Market levels'!V110/'Market levels'!U110-1,""))</f>
        <v/>
      </c>
      <c r="Q110" s="33" t="str">
        <f aca="false">IF($A110="","",IFERROR(('Market levels'!AA110/'Market levels'!V110)^(1/5)-1,""))</f>
        <v/>
      </c>
      <c r="R110" s="33" t="str">
        <f aca="false">IF($A110="","",IFERROR(('Market levels'!AG110/'Market levels'!AB110)^(1/5)-1,""))</f>
        <v/>
      </c>
      <c r="S110" s="33" t="str">
        <f aca="false">IF($A110="","",IFERROR('Market levels'!AH110/'Market levels'!AG110-1,""))</f>
        <v/>
      </c>
      <c r="T110" s="33" t="str">
        <f aca="false">IF($A110="","",IFERROR(('Market levels'!AM110/'Market levels'!AH110)^(1/5)-1,""))</f>
        <v/>
      </c>
      <c r="U110" s="31"/>
      <c r="V110" s="32"/>
      <c r="W110" s="32"/>
      <c r="X110" s="32"/>
      <c r="Y110" s="32"/>
      <c r="Z110" s="32"/>
      <c r="AA110" s="17"/>
      <c r="AB110" s="17"/>
      <c r="AC110" s="17"/>
      <c r="AD110" s="17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30" t="str">
        <f aca="false">IF($A111="","",'Market levels'!I111)</f>
        <v/>
      </c>
      <c r="G111" s="31"/>
      <c r="H111" s="32"/>
      <c r="I111" s="32"/>
      <c r="J111" s="31"/>
      <c r="K111" s="33" t="str">
        <f aca="false">IF($A111="","",IFERROR(('Market levels'!I111/'Market levels'!D111)^(1/5)-1,""))</f>
        <v/>
      </c>
      <c r="L111" s="33" t="str">
        <f aca="false">IF($A111="","",IFERROR('Market levels'!J111/'Market levels'!I111-1,""))</f>
        <v/>
      </c>
      <c r="M111" s="33" t="str">
        <f aca="false">IF($A111="","",IFERROR(('Market levels'!O111/'Market levels'!J111)^(1/5)-1,""))</f>
        <v/>
      </c>
      <c r="N111" s="34" t="str">
        <f aca="false">IF($A111="","",IFERROR('Market levels'!U111/'Market levels'!I111,""))</f>
        <v/>
      </c>
      <c r="O111" s="33" t="str">
        <f aca="false">IF($A111="","",IFERROR(('Market levels'!U111/'Market levels'!P111)^(1/5)-1,""))</f>
        <v/>
      </c>
      <c r="P111" s="33" t="str">
        <f aca="false">IF($A111="","",IFERROR('Market levels'!V111/'Market levels'!U111-1,""))</f>
        <v/>
      </c>
      <c r="Q111" s="33" t="str">
        <f aca="false">IF($A111="","",IFERROR(('Market levels'!AA111/'Market levels'!V111)^(1/5)-1,""))</f>
        <v/>
      </c>
      <c r="R111" s="33" t="str">
        <f aca="false">IF($A111="","",IFERROR(('Market levels'!AG111/'Market levels'!AB111)^(1/5)-1,""))</f>
        <v/>
      </c>
      <c r="S111" s="33" t="str">
        <f aca="false">IF($A111="","",IFERROR('Market levels'!AH111/'Market levels'!AG111-1,""))</f>
        <v/>
      </c>
      <c r="T111" s="33" t="str">
        <f aca="false">IF($A111="","",IFERROR(('Market levels'!AM111/'Market levels'!AH111)^(1/5)-1,""))</f>
        <v/>
      </c>
      <c r="U111" s="31"/>
      <c r="V111" s="32"/>
      <c r="W111" s="32"/>
      <c r="X111" s="32"/>
      <c r="Y111" s="32"/>
      <c r="Z111" s="32"/>
      <c r="AA111" s="17"/>
      <c r="AB111" s="17"/>
      <c r="AC111" s="17"/>
      <c r="AD111" s="17"/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30" t="str">
        <f aca="false">IF($A112="","",'Market levels'!I112)</f>
        <v/>
      </c>
      <c r="G112" s="31"/>
      <c r="H112" s="32"/>
      <c r="I112" s="32"/>
      <c r="J112" s="31"/>
      <c r="K112" s="33" t="str">
        <f aca="false">IF($A112="","",IFERROR(('Market levels'!I112/'Market levels'!D112)^(1/5)-1,""))</f>
        <v/>
      </c>
      <c r="L112" s="33" t="str">
        <f aca="false">IF($A112="","",IFERROR('Market levels'!J112/'Market levels'!I112-1,""))</f>
        <v/>
      </c>
      <c r="M112" s="33" t="str">
        <f aca="false">IF($A112="","",IFERROR(('Market levels'!O112/'Market levels'!J112)^(1/5)-1,""))</f>
        <v/>
      </c>
      <c r="N112" s="34" t="str">
        <f aca="false">IF($A112="","",IFERROR('Market levels'!U112/'Market levels'!I112,""))</f>
        <v/>
      </c>
      <c r="O112" s="33" t="str">
        <f aca="false">IF($A112="","",IFERROR(('Market levels'!U112/'Market levels'!P112)^(1/5)-1,""))</f>
        <v/>
      </c>
      <c r="P112" s="33" t="str">
        <f aca="false">IF($A112="","",IFERROR('Market levels'!V112/'Market levels'!U112-1,""))</f>
        <v/>
      </c>
      <c r="Q112" s="33" t="str">
        <f aca="false">IF($A112="","",IFERROR(('Market levels'!AA112/'Market levels'!V112)^(1/5)-1,""))</f>
        <v/>
      </c>
      <c r="R112" s="33" t="str">
        <f aca="false">IF($A112="","",IFERROR(('Market levels'!AG112/'Market levels'!AB112)^(1/5)-1,""))</f>
        <v/>
      </c>
      <c r="S112" s="33" t="str">
        <f aca="false">IF($A112="","",IFERROR('Market levels'!AH112/'Market levels'!AG112-1,""))</f>
        <v/>
      </c>
      <c r="T112" s="33" t="str">
        <f aca="false">IF($A112="","",IFERROR(('Market levels'!AM112/'Market levels'!AH112)^(1/5)-1,""))</f>
        <v/>
      </c>
      <c r="U112" s="31"/>
      <c r="V112" s="32"/>
      <c r="W112" s="32"/>
      <c r="X112" s="32"/>
      <c r="Y112" s="32"/>
      <c r="Z112" s="32"/>
      <c r="AA112" s="17"/>
      <c r="AB112" s="17"/>
      <c r="AC112" s="17"/>
      <c r="AD112" s="17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30" t="str">
        <f aca="false">IF($A113="","",'Market levels'!I113)</f>
        <v/>
      </c>
      <c r="G113" s="31"/>
      <c r="H113" s="32"/>
      <c r="I113" s="32"/>
      <c r="J113" s="31"/>
      <c r="K113" s="33" t="str">
        <f aca="false">IF($A113="","",IFERROR(('Market levels'!I113/'Market levels'!D113)^(1/5)-1,""))</f>
        <v/>
      </c>
      <c r="L113" s="33" t="str">
        <f aca="false">IF($A113="","",IFERROR('Market levels'!J113/'Market levels'!I113-1,""))</f>
        <v/>
      </c>
      <c r="M113" s="33" t="str">
        <f aca="false">IF($A113="","",IFERROR(('Market levels'!O113/'Market levels'!J113)^(1/5)-1,""))</f>
        <v/>
      </c>
      <c r="N113" s="34" t="str">
        <f aca="false">IF($A113="","",IFERROR('Market levels'!U113/'Market levels'!I113,""))</f>
        <v/>
      </c>
      <c r="O113" s="33" t="str">
        <f aca="false">IF($A113="","",IFERROR(('Market levels'!U113/'Market levels'!P113)^(1/5)-1,""))</f>
        <v/>
      </c>
      <c r="P113" s="33" t="str">
        <f aca="false">IF($A113="","",IFERROR('Market levels'!V113/'Market levels'!U113-1,""))</f>
        <v/>
      </c>
      <c r="Q113" s="33" t="str">
        <f aca="false">IF($A113="","",IFERROR(('Market levels'!AA113/'Market levels'!V113)^(1/5)-1,""))</f>
        <v/>
      </c>
      <c r="R113" s="33" t="str">
        <f aca="false">IF($A113="","",IFERROR(('Market levels'!AG113/'Market levels'!AB113)^(1/5)-1,""))</f>
        <v/>
      </c>
      <c r="S113" s="33" t="str">
        <f aca="false">IF($A113="","",IFERROR('Market levels'!AH113/'Market levels'!AG113-1,""))</f>
        <v/>
      </c>
      <c r="T113" s="33" t="str">
        <f aca="false">IF($A113="","",IFERROR(('Market levels'!AM113/'Market levels'!AH113)^(1/5)-1,""))</f>
        <v/>
      </c>
      <c r="U113" s="31"/>
      <c r="V113" s="32"/>
      <c r="W113" s="32"/>
      <c r="X113" s="32"/>
      <c r="Y113" s="32"/>
      <c r="Z113" s="32"/>
      <c r="AA113" s="17"/>
      <c r="AB113" s="17"/>
      <c r="AC113" s="17"/>
      <c r="AD113" s="17"/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30" t="str">
        <f aca="false">IF($A114="","",'Market levels'!I114)</f>
        <v/>
      </c>
      <c r="G114" s="31"/>
      <c r="H114" s="32"/>
      <c r="I114" s="32"/>
      <c r="J114" s="31"/>
      <c r="K114" s="33" t="str">
        <f aca="false">IF($A114="","",IFERROR(('Market levels'!I114/'Market levels'!D114)^(1/5)-1,""))</f>
        <v/>
      </c>
      <c r="L114" s="33" t="str">
        <f aca="false">IF($A114="","",IFERROR('Market levels'!J114/'Market levels'!I114-1,""))</f>
        <v/>
      </c>
      <c r="M114" s="33" t="str">
        <f aca="false">IF($A114="","",IFERROR(('Market levels'!O114/'Market levels'!J114)^(1/5)-1,""))</f>
        <v/>
      </c>
      <c r="N114" s="34" t="str">
        <f aca="false">IF($A114="","",IFERROR('Market levels'!U114/'Market levels'!I114,""))</f>
        <v/>
      </c>
      <c r="O114" s="33" t="str">
        <f aca="false">IF($A114="","",IFERROR(('Market levels'!U114/'Market levels'!P114)^(1/5)-1,""))</f>
        <v/>
      </c>
      <c r="P114" s="33" t="str">
        <f aca="false">IF($A114="","",IFERROR('Market levels'!V114/'Market levels'!U114-1,""))</f>
        <v/>
      </c>
      <c r="Q114" s="33" t="str">
        <f aca="false">IF($A114="","",IFERROR(('Market levels'!AA114/'Market levels'!V114)^(1/5)-1,""))</f>
        <v/>
      </c>
      <c r="R114" s="33" t="str">
        <f aca="false">IF($A114="","",IFERROR(('Market levels'!AG114/'Market levels'!AB114)^(1/5)-1,""))</f>
        <v/>
      </c>
      <c r="S114" s="33" t="str">
        <f aca="false">IF($A114="","",IFERROR('Market levels'!AH114/'Market levels'!AG114-1,""))</f>
        <v/>
      </c>
      <c r="T114" s="33" t="str">
        <f aca="false">IF($A114="","",IFERROR(('Market levels'!AM114/'Market levels'!AH114)^(1/5)-1,""))</f>
        <v/>
      </c>
      <c r="U114" s="31"/>
      <c r="V114" s="32"/>
      <c r="W114" s="32"/>
      <c r="X114" s="32"/>
      <c r="Y114" s="32"/>
      <c r="Z114" s="32"/>
      <c r="AA114" s="17"/>
      <c r="AB114" s="17"/>
      <c r="AC114" s="17"/>
      <c r="AD114" s="17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30" t="str">
        <f aca="false">IF($A115="","",'Market levels'!I115)</f>
        <v/>
      </c>
      <c r="G115" s="31"/>
      <c r="H115" s="32"/>
      <c r="I115" s="32"/>
      <c r="J115" s="31"/>
      <c r="K115" s="33" t="str">
        <f aca="false">IF($A115="","",IFERROR(('Market levels'!I115/'Market levels'!D115)^(1/5)-1,""))</f>
        <v/>
      </c>
      <c r="L115" s="33" t="str">
        <f aca="false">IF($A115="","",IFERROR('Market levels'!J115/'Market levels'!I115-1,""))</f>
        <v/>
      </c>
      <c r="M115" s="33" t="str">
        <f aca="false">IF($A115="","",IFERROR(('Market levels'!O115/'Market levels'!J115)^(1/5)-1,""))</f>
        <v/>
      </c>
      <c r="N115" s="34" t="str">
        <f aca="false">IF($A115="","",IFERROR('Market levels'!U115/'Market levels'!I115,""))</f>
        <v/>
      </c>
      <c r="O115" s="33" t="str">
        <f aca="false">IF($A115="","",IFERROR(('Market levels'!U115/'Market levels'!P115)^(1/5)-1,""))</f>
        <v/>
      </c>
      <c r="P115" s="33" t="str">
        <f aca="false">IF($A115="","",IFERROR('Market levels'!V115/'Market levels'!U115-1,""))</f>
        <v/>
      </c>
      <c r="Q115" s="33" t="str">
        <f aca="false">IF($A115="","",IFERROR(('Market levels'!AA115/'Market levels'!V115)^(1/5)-1,""))</f>
        <v/>
      </c>
      <c r="R115" s="33" t="str">
        <f aca="false">IF($A115="","",IFERROR(('Market levels'!AG115/'Market levels'!AB115)^(1/5)-1,""))</f>
        <v/>
      </c>
      <c r="S115" s="33" t="str">
        <f aca="false">IF($A115="","",IFERROR('Market levels'!AH115/'Market levels'!AG115-1,""))</f>
        <v/>
      </c>
      <c r="T115" s="33" t="str">
        <f aca="false">IF($A115="","",IFERROR(('Market levels'!AM115/'Market levels'!AH115)^(1/5)-1,""))</f>
        <v/>
      </c>
      <c r="U115" s="31"/>
      <c r="V115" s="32"/>
      <c r="W115" s="32"/>
      <c r="X115" s="32"/>
      <c r="Y115" s="32"/>
      <c r="Z115" s="32"/>
      <c r="AA115" s="17"/>
      <c r="AB115" s="17"/>
      <c r="AC115" s="17"/>
      <c r="AD115" s="17"/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30" t="str">
        <f aca="false">IF($A116="","",'Market levels'!I116)</f>
        <v/>
      </c>
      <c r="G116" s="31"/>
      <c r="H116" s="32"/>
      <c r="I116" s="32"/>
      <c r="J116" s="31"/>
      <c r="K116" s="33" t="str">
        <f aca="false">IF($A116="","",IFERROR(('Market levels'!I116/'Market levels'!D116)^(1/5)-1,""))</f>
        <v/>
      </c>
      <c r="L116" s="33" t="str">
        <f aca="false">IF($A116="","",IFERROR('Market levels'!J116/'Market levels'!I116-1,""))</f>
        <v/>
      </c>
      <c r="M116" s="33" t="str">
        <f aca="false">IF($A116="","",IFERROR(('Market levels'!O116/'Market levels'!J116)^(1/5)-1,""))</f>
        <v/>
      </c>
      <c r="N116" s="34" t="str">
        <f aca="false">IF($A116="","",IFERROR('Market levels'!U116/'Market levels'!I116,""))</f>
        <v/>
      </c>
      <c r="O116" s="33" t="str">
        <f aca="false">IF($A116="","",IFERROR(('Market levels'!U116/'Market levels'!P116)^(1/5)-1,""))</f>
        <v/>
      </c>
      <c r="P116" s="33" t="str">
        <f aca="false">IF($A116="","",IFERROR('Market levels'!V116/'Market levels'!U116-1,""))</f>
        <v/>
      </c>
      <c r="Q116" s="33" t="str">
        <f aca="false">IF($A116="","",IFERROR(('Market levels'!AA116/'Market levels'!V116)^(1/5)-1,""))</f>
        <v/>
      </c>
      <c r="R116" s="33" t="str">
        <f aca="false">IF($A116="","",IFERROR(('Market levels'!AG116/'Market levels'!AB116)^(1/5)-1,""))</f>
        <v/>
      </c>
      <c r="S116" s="33" t="str">
        <f aca="false">IF($A116="","",IFERROR('Market levels'!AH116/'Market levels'!AG116-1,""))</f>
        <v/>
      </c>
      <c r="T116" s="33" t="str">
        <f aca="false">IF($A116="","",IFERROR(('Market levels'!AM116/'Market levels'!AH116)^(1/5)-1,""))</f>
        <v/>
      </c>
      <c r="U116" s="31"/>
      <c r="V116" s="32"/>
      <c r="W116" s="32"/>
      <c r="X116" s="32"/>
      <c r="Y116" s="32"/>
      <c r="Z116" s="32"/>
      <c r="AA116" s="17"/>
      <c r="AB116" s="17"/>
      <c r="AC116" s="17"/>
      <c r="AD116" s="17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30" t="str">
        <f aca="false">IF($A117="","",'Market levels'!I117)</f>
        <v/>
      </c>
      <c r="G117" s="31"/>
      <c r="H117" s="32"/>
      <c r="I117" s="32"/>
      <c r="J117" s="31"/>
      <c r="K117" s="33" t="str">
        <f aca="false">IF($A117="","",IFERROR(('Market levels'!I117/'Market levels'!D117)^(1/5)-1,""))</f>
        <v/>
      </c>
      <c r="L117" s="33" t="str">
        <f aca="false">IF($A117="","",IFERROR('Market levels'!J117/'Market levels'!I117-1,""))</f>
        <v/>
      </c>
      <c r="M117" s="33" t="str">
        <f aca="false">IF($A117="","",IFERROR(('Market levels'!O117/'Market levels'!J117)^(1/5)-1,""))</f>
        <v/>
      </c>
      <c r="N117" s="34" t="str">
        <f aca="false">IF($A117="","",IFERROR('Market levels'!U117/'Market levels'!I117,""))</f>
        <v/>
      </c>
      <c r="O117" s="33" t="str">
        <f aca="false">IF($A117="","",IFERROR(('Market levels'!U117/'Market levels'!P117)^(1/5)-1,""))</f>
        <v/>
      </c>
      <c r="P117" s="33" t="str">
        <f aca="false">IF($A117="","",IFERROR('Market levels'!V117/'Market levels'!U117-1,""))</f>
        <v/>
      </c>
      <c r="Q117" s="33" t="str">
        <f aca="false">IF($A117="","",IFERROR(('Market levels'!AA117/'Market levels'!V117)^(1/5)-1,""))</f>
        <v/>
      </c>
      <c r="R117" s="33" t="str">
        <f aca="false">IF($A117="","",IFERROR(('Market levels'!AG117/'Market levels'!AB117)^(1/5)-1,""))</f>
        <v/>
      </c>
      <c r="S117" s="33" t="str">
        <f aca="false">IF($A117="","",IFERROR('Market levels'!AH117/'Market levels'!AG117-1,""))</f>
        <v/>
      </c>
      <c r="T117" s="33" t="str">
        <f aca="false">IF($A117="","",IFERROR(('Market levels'!AM117/'Market levels'!AH117)^(1/5)-1,""))</f>
        <v/>
      </c>
      <c r="U117" s="31"/>
      <c r="V117" s="32"/>
      <c r="W117" s="32"/>
      <c r="X117" s="32"/>
      <c r="Y117" s="32"/>
      <c r="Z117" s="32"/>
      <c r="AA117" s="17"/>
      <c r="AB117" s="17"/>
      <c r="AC117" s="17"/>
      <c r="AD117" s="17"/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30" t="str">
        <f aca="false">IF($A118="","",'Market levels'!I118)</f>
        <v/>
      </c>
      <c r="G118" s="31"/>
      <c r="H118" s="32"/>
      <c r="I118" s="32"/>
      <c r="J118" s="31"/>
      <c r="K118" s="33" t="str">
        <f aca="false">IF($A118="","",IFERROR(('Market levels'!I118/'Market levels'!D118)^(1/5)-1,""))</f>
        <v/>
      </c>
      <c r="L118" s="33" t="str">
        <f aca="false">IF($A118="","",IFERROR('Market levels'!J118/'Market levels'!I118-1,""))</f>
        <v/>
      </c>
      <c r="M118" s="33" t="str">
        <f aca="false">IF($A118="","",IFERROR(('Market levels'!O118/'Market levels'!J118)^(1/5)-1,""))</f>
        <v/>
      </c>
      <c r="N118" s="34" t="str">
        <f aca="false">IF($A118="","",IFERROR('Market levels'!U118/'Market levels'!I118,""))</f>
        <v/>
      </c>
      <c r="O118" s="33" t="str">
        <f aca="false">IF($A118="","",IFERROR(('Market levels'!U118/'Market levels'!P118)^(1/5)-1,""))</f>
        <v/>
      </c>
      <c r="P118" s="33" t="str">
        <f aca="false">IF($A118="","",IFERROR('Market levels'!V118/'Market levels'!U118-1,""))</f>
        <v/>
      </c>
      <c r="Q118" s="33" t="str">
        <f aca="false">IF($A118="","",IFERROR(('Market levels'!AA118/'Market levels'!V118)^(1/5)-1,""))</f>
        <v/>
      </c>
      <c r="R118" s="33" t="str">
        <f aca="false">IF($A118="","",IFERROR(('Market levels'!AG118/'Market levels'!AB118)^(1/5)-1,""))</f>
        <v/>
      </c>
      <c r="S118" s="33" t="str">
        <f aca="false">IF($A118="","",IFERROR('Market levels'!AH118/'Market levels'!AG118-1,""))</f>
        <v/>
      </c>
      <c r="T118" s="33" t="str">
        <f aca="false">IF($A118="","",IFERROR(('Market levels'!AM118/'Market levels'!AH118)^(1/5)-1,""))</f>
        <v/>
      </c>
      <c r="U118" s="31"/>
      <c r="V118" s="32"/>
      <c r="W118" s="32"/>
      <c r="X118" s="32"/>
      <c r="Y118" s="32"/>
      <c r="Z118" s="32"/>
      <c r="AA118" s="17"/>
      <c r="AB118" s="17"/>
      <c r="AC118" s="17"/>
      <c r="AD118" s="17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30" t="str">
        <f aca="false">IF($A119="","",'Market levels'!I119)</f>
        <v/>
      </c>
      <c r="G119" s="31"/>
      <c r="H119" s="32"/>
      <c r="I119" s="32"/>
      <c r="J119" s="31"/>
      <c r="K119" s="33" t="str">
        <f aca="false">IF($A119="","",IFERROR(('Market levels'!I119/'Market levels'!D119)^(1/5)-1,""))</f>
        <v/>
      </c>
      <c r="L119" s="33" t="str">
        <f aca="false">IF($A119="","",IFERROR('Market levels'!J119/'Market levels'!I119-1,""))</f>
        <v/>
      </c>
      <c r="M119" s="33" t="str">
        <f aca="false">IF($A119="","",IFERROR(('Market levels'!O119/'Market levels'!J119)^(1/5)-1,""))</f>
        <v/>
      </c>
      <c r="N119" s="34" t="str">
        <f aca="false">IF($A119="","",IFERROR('Market levels'!U119/'Market levels'!I119,""))</f>
        <v/>
      </c>
      <c r="O119" s="33" t="str">
        <f aca="false">IF($A119="","",IFERROR(('Market levels'!U119/'Market levels'!P119)^(1/5)-1,""))</f>
        <v/>
      </c>
      <c r="P119" s="33" t="str">
        <f aca="false">IF($A119="","",IFERROR('Market levels'!V119/'Market levels'!U119-1,""))</f>
        <v/>
      </c>
      <c r="Q119" s="33" t="str">
        <f aca="false">IF($A119="","",IFERROR(('Market levels'!AA119/'Market levels'!V119)^(1/5)-1,""))</f>
        <v/>
      </c>
      <c r="R119" s="33" t="str">
        <f aca="false">IF($A119="","",IFERROR(('Market levels'!AG119/'Market levels'!AB119)^(1/5)-1,""))</f>
        <v/>
      </c>
      <c r="S119" s="33" t="str">
        <f aca="false">IF($A119="","",IFERROR('Market levels'!AH119/'Market levels'!AG119-1,""))</f>
        <v/>
      </c>
      <c r="T119" s="33" t="str">
        <f aca="false">IF($A119="","",IFERROR(('Market levels'!AM119/'Market levels'!AH119)^(1/5)-1,""))</f>
        <v/>
      </c>
      <c r="U119" s="31"/>
      <c r="V119" s="32"/>
      <c r="W119" s="32"/>
      <c r="X119" s="32"/>
      <c r="Y119" s="32"/>
      <c r="Z119" s="32"/>
      <c r="AA119" s="17"/>
      <c r="AB119" s="17"/>
      <c r="AC119" s="17"/>
      <c r="AD119" s="17"/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30" t="str">
        <f aca="false">IF($A120="","",'Market levels'!I120)</f>
        <v/>
      </c>
      <c r="G120" s="31"/>
      <c r="H120" s="32"/>
      <c r="I120" s="32"/>
      <c r="J120" s="31"/>
      <c r="K120" s="33" t="str">
        <f aca="false">IF($A120="","",IFERROR(('Market levels'!I120/'Market levels'!D120)^(1/5)-1,""))</f>
        <v/>
      </c>
      <c r="L120" s="33" t="str">
        <f aca="false">IF($A120="","",IFERROR('Market levels'!J120/'Market levels'!I120-1,""))</f>
        <v/>
      </c>
      <c r="M120" s="33" t="str">
        <f aca="false">IF($A120="","",IFERROR(('Market levels'!O120/'Market levels'!J120)^(1/5)-1,""))</f>
        <v/>
      </c>
      <c r="N120" s="34" t="str">
        <f aca="false">IF($A120="","",IFERROR('Market levels'!U120/'Market levels'!I120,""))</f>
        <v/>
      </c>
      <c r="O120" s="33" t="str">
        <f aca="false">IF($A120="","",IFERROR(('Market levels'!U120/'Market levels'!P120)^(1/5)-1,""))</f>
        <v/>
      </c>
      <c r="P120" s="33" t="str">
        <f aca="false">IF($A120="","",IFERROR('Market levels'!V120/'Market levels'!U120-1,""))</f>
        <v/>
      </c>
      <c r="Q120" s="33" t="str">
        <f aca="false">IF($A120="","",IFERROR(('Market levels'!AA120/'Market levels'!V120)^(1/5)-1,""))</f>
        <v/>
      </c>
      <c r="R120" s="33" t="str">
        <f aca="false">IF($A120="","",IFERROR(('Market levels'!AG120/'Market levels'!AB120)^(1/5)-1,""))</f>
        <v/>
      </c>
      <c r="S120" s="33" t="str">
        <f aca="false">IF($A120="","",IFERROR('Market levels'!AH120/'Market levels'!AG120-1,""))</f>
        <v/>
      </c>
      <c r="T120" s="33" t="str">
        <f aca="false">IF($A120="","",IFERROR(('Market levels'!AM120/'Market levels'!AH120)^(1/5)-1,""))</f>
        <v/>
      </c>
      <c r="U120" s="31"/>
      <c r="V120" s="32"/>
      <c r="W120" s="32"/>
      <c r="X120" s="32"/>
      <c r="Y120" s="32"/>
      <c r="Z120" s="32"/>
      <c r="AA120" s="17"/>
      <c r="AB120" s="17"/>
      <c r="AC120" s="17"/>
      <c r="AD120" s="17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30" t="str">
        <f aca="false">IF($A121="","",'Market levels'!I121)</f>
        <v/>
      </c>
      <c r="G121" s="31"/>
      <c r="H121" s="32"/>
      <c r="I121" s="32"/>
      <c r="J121" s="31"/>
      <c r="K121" s="33" t="str">
        <f aca="false">IF($A121="","",IFERROR(('Market levels'!I121/'Market levels'!D121)^(1/5)-1,""))</f>
        <v/>
      </c>
      <c r="L121" s="33" t="str">
        <f aca="false">IF($A121="","",IFERROR('Market levels'!J121/'Market levels'!I121-1,""))</f>
        <v/>
      </c>
      <c r="M121" s="33" t="str">
        <f aca="false">IF($A121="","",IFERROR(('Market levels'!O121/'Market levels'!J121)^(1/5)-1,""))</f>
        <v/>
      </c>
      <c r="N121" s="34" t="str">
        <f aca="false">IF($A121="","",IFERROR('Market levels'!U121/'Market levels'!I121,""))</f>
        <v/>
      </c>
      <c r="O121" s="33" t="str">
        <f aca="false">IF($A121="","",IFERROR(('Market levels'!U121/'Market levels'!P121)^(1/5)-1,""))</f>
        <v/>
      </c>
      <c r="P121" s="33" t="str">
        <f aca="false">IF($A121="","",IFERROR('Market levels'!V121/'Market levels'!U121-1,""))</f>
        <v/>
      </c>
      <c r="Q121" s="33" t="str">
        <f aca="false">IF($A121="","",IFERROR(('Market levels'!AA121/'Market levels'!V121)^(1/5)-1,""))</f>
        <v/>
      </c>
      <c r="R121" s="33" t="str">
        <f aca="false">IF($A121="","",IFERROR(('Market levels'!AG121/'Market levels'!AB121)^(1/5)-1,""))</f>
        <v/>
      </c>
      <c r="S121" s="33" t="str">
        <f aca="false">IF($A121="","",IFERROR('Market levels'!AH121/'Market levels'!AG121-1,""))</f>
        <v/>
      </c>
      <c r="T121" s="33" t="str">
        <f aca="false">IF($A121="","",IFERROR(('Market levels'!AM121/'Market levels'!AH121)^(1/5)-1,""))</f>
        <v/>
      </c>
      <c r="U121" s="31"/>
      <c r="V121" s="32"/>
      <c r="W121" s="32"/>
      <c r="X121" s="32"/>
      <c r="Y121" s="32"/>
      <c r="Z121" s="32"/>
      <c r="AA121" s="17"/>
      <c r="AB121" s="17"/>
      <c r="AC121" s="17"/>
      <c r="AD121" s="17"/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30" t="str">
        <f aca="false">IF($A122="","",'Market levels'!I122)</f>
        <v/>
      </c>
      <c r="G122" s="31"/>
      <c r="H122" s="32"/>
      <c r="I122" s="32"/>
      <c r="J122" s="31"/>
      <c r="K122" s="33" t="str">
        <f aca="false">IF($A122="","",IFERROR(('Market levels'!I122/'Market levels'!D122)^(1/5)-1,""))</f>
        <v/>
      </c>
      <c r="L122" s="33" t="str">
        <f aca="false">IF($A122="","",IFERROR('Market levels'!J122/'Market levels'!I122-1,""))</f>
        <v/>
      </c>
      <c r="M122" s="33" t="str">
        <f aca="false">IF($A122="","",IFERROR(('Market levels'!O122/'Market levels'!J122)^(1/5)-1,""))</f>
        <v/>
      </c>
      <c r="N122" s="34" t="str">
        <f aca="false">IF($A122="","",IFERROR('Market levels'!U122/'Market levels'!I122,""))</f>
        <v/>
      </c>
      <c r="O122" s="33" t="str">
        <f aca="false">IF($A122="","",IFERROR(('Market levels'!U122/'Market levels'!P122)^(1/5)-1,""))</f>
        <v/>
      </c>
      <c r="P122" s="33" t="str">
        <f aca="false">IF($A122="","",IFERROR('Market levels'!V122/'Market levels'!U122-1,""))</f>
        <v/>
      </c>
      <c r="Q122" s="33" t="str">
        <f aca="false">IF($A122="","",IFERROR(('Market levels'!AA122/'Market levels'!V122)^(1/5)-1,""))</f>
        <v/>
      </c>
      <c r="R122" s="33" t="str">
        <f aca="false">IF($A122="","",IFERROR(('Market levels'!AG122/'Market levels'!AB122)^(1/5)-1,""))</f>
        <v/>
      </c>
      <c r="S122" s="33" t="str">
        <f aca="false">IF($A122="","",IFERROR('Market levels'!AH122/'Market levels'!AG122-1,""))</f>
        <v/>
      </c>
      <c r="T122" s="33" t="str">
        <f aca="false">IF($A122="","",IFERROR(('Market levels'!AM122/'Market levels'!AH122)^(1/5)-1,""))</f>
        <v/>
      </c>
      <c r="U122" s="31"/>
      <c r="V122" s="32"/>
      <c r="W122" s="32"/>
      <c r="X122" s="32"/>
      <c r="Y122" s="32"/>
      <c r="Z122" s="32"/>
      <c r="AA122" s="17"/>
      <c r="AB122" s="17"/>
      <c r="AC122" s="17"/>
      <c r="AD122" s="17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30" t="str">
        <f aca="false">IF($A123="","",'Market levels'!I123)</f>
        <v/>
      </c>
      <c r="G123" s="31"/>
      <c r="H123" s="32"/>
      <c r="I123" s="32"/>
      <c r="J123" s="31"/>
      <c r="K123" s="33" t="str">
        <f aca="false">IF($A123="","",IFERROR(('Market levels'!I123/'Market levels'!D123)^(1/5)-1,""))</f>
        <v/>
      </c>
      <c r="L123" s="33" t="str">
        <f aca="false">IF($A123="","",IFERROR('Market levels'!J123/'Market levels'!I123-1,""))</f>
        <v/>
      </c>
      <c r="M123" s="33" t="str">
        <f aca="false">IF($A123="","",IFERROR(('Market levels'!O123/'Market levels'!J123)^(1/5)-1,""))</f>
        <v/>
      </c>
      <c r="N123" s="34" t="str">
        <f aca="false">IF($A123="","",IFERROR('Market levels'!U123/'Market levels'!I123,""))</f>
        <v/>
      </c>
      <c r="O123" s="33" t="str">
        <f aca="false">IF($A123="","",IFERROR(('Market levels'!U123/'Market levels'!P123)^(1/5)-1,""))</f>
        <v/>
      </c>
      <c r="P123" s="33" t="str">
        <f aca="false">IF($A123="","",IFERROR('Market levels'!V123/'Market levels'!U123-1,""))</f>
        <v/>
      </c>
      <c r="Q123" s="33" t="str">
        <f aca="false">IF($A123="","",IFERROR(('Market levels'!AA123/'Market levels'!V123)^(1/5)-1,""))</f>
        <v/>
      </c>
      <c r="R123" s="33" t="str">
        <f aca="false">IF($A123="","",IFERROR(('Market levels'!AG123/'Market levels'!AB123)^(1/5)-1,""))</f>
        <v/>
      </c>
      <c r="S123" s="33" t="str">
        <f aca="false">IF($A123="","",IFERROR('Market levels'!AH123/'Market levels'!AG123-1,""))</f>
        <v/>
      </c>
      <c r="T123" s="33" t="str">
        <f aca="false">IF($A123="","",IFERROR(('Market levels'!AM123/'Market levels'!AH123)^(1/5)-1,""))</f>
        <v/>
      </c>
      <c r="U123" s="31"/>
      <c r="V123" s="32"/>
      <c r="W123" s="32"/>
      <c r="X123" s="32"/>
      <c r="Y123" s="32"/>
      <c r="Z123" s="32"/>
      <c r="AA123" s="17"/>
      <c r="AB123" s="17"/>
      <c r="AC123" s="17"/>
      <c r="AD123" s="17"/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30" t="str">
        <f aca="false">IF($A124="","",'Market levels'!I124)</f>
        <v/>
      </c>
      <c r="G124" s="31"/>
      <c r="H124" s="32"/>
      <c r="I124" s="32"/>
      <c r="J124" s="31"/>
      <c r="K124" s="33" t="str">
        <f aca="false">IF($A124="","",IFERROR(('Market levels'!I124/'Market levels'!D124)^(1/5)-1,""))</f>
        <v/>
      </c>
      <c r="L124" s="33" t="str">
        <f aca="false">IF($A124="","",IFERROR('Market levels'!J124/'Market levels'!I124-1,""))</f>
        <v/>
      </c>
      <c r="M124" s="33" t="str">
        <f aca="false">IF($A124="","",IFERROR(('Market levels'!O124/'Market levels'!J124)^(1/5)-1,""))</f>
        <v/>
      </c>
      <c r="N124" s="34" t="str">
        <f aca="false">IF($A124="","",IFERROR('Market levels'!U124/'Market levels'!I124,""))</f>
        <v/>
      </c>
      <c r="O124" s="33" t="str">
        <f aca="false">IF($A124="","",IFERROR(('Market levels'!U124/'Market levels'!P124)^(1/5)-1,""))</f>
        <v/>
      </c>
      <c r="P124" s="33" t="str">
        <f aca="false">IF($A124="","",IFERROR('Market levels'!V124/'Market levels'!U124-1,""))</f>
        <v/>
      </c>
      <c r="Q124" s="33" t="str">
        <f aca="false">IF($A124="","",IFERROR(('Market levels'!AA124/'Market levels'!V124)^(1/5)-1,""))</f>
        <v/>
      </c>
      <c r="R124" s="33" t="str">
        <f aca="false">IF($A124="","",IFERROR(('Market levels'!AG124/'Market levels'!AB124)^(1/5)-1,""))</f>
        <v/>
      </c>
      <c r="S124" s="33" t="str">
        <f aca="false">IF($A124="","",IFERROR('Market levels'!AH124/'Market levels'!AG124-1,""))</f>
        <v/>
      </c>
      <c r="T124" s="33" t="str">
        <f aca="false">IF($A124="","",IFERROR(('Market levels'!AM124/'Market levels'!AH124)^(1/5)-1,""))</f>
        <v/>
      </c>
      <c r="U124" s="31"/>
      <c r="V124" s="32"/>
      <c r="W124" s="32"/>
      <c r="X124" s="32"/>
      <c r="Y124" s="32"/>
      <c r="Z124" s="32"/>
      <c r="AA124" s="17"/>
      <c r="AB124" s="17"/>
      <c r="AC124" s="17"/>
      <c r="AD124" s="17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30" t="str">
        <f aca="false">IF($A125="","",'Market levels'!I125)</f>
        <v/>
      </c>
      <c r="G125" s="31"/>
      <c r="H125" s="32"/>
      <c r="I125" s="32"/>
      <c r="J125" s="31"/>
      <c r="K125" s="33" t="str">
        <f aca="false">IF($A125="","",IFERROR(('Market levels'!I125/'Market levels'!D125)^(1/5)-1,""))</f>
        <v/>
      </c>
      <c r="L125" s="33" t="str">
        <f aca="false">IF($A125="","",IFERROR('Market levels'!J125/'Market levels'!I125-1,""))</f>
        <v/>
      </c>
      <c r="M125" s="33" t="str">
        <f aca="false">IF($A125="","",IFERROR(('Market levels'!O125/'Market levels'!J125)^(1/5)-1,""))</f>
        <v/>
      </c>
      <c r="N125" s="34" t="str">
        <f aca="false">IF($A125="","",IFERROR('Market levels'!U125/'Market levels'!I125,""))</f>
        <v/>
      </c>
      <c r="O125" s="33" t="str">
        <f aca="false">IF($A125="","",IFERROR(('Market levels'!U125/'Market levels'!P125)^(1/5)-1,""))</f>
        <v/>
      </c>
      <c r="P125" s="33" t="str">
        <f aca="false">IF($A125="","",IFERROR('Market levels'!V125/'Market levels'!U125-1,""))</f>
        <v/>
      </c>
      <c r="Q125" s="33" t="str">
        <f aca="false">IF($A125="","",IFERROR(('Market levels'!AA125/'Market levels'!V125)^(1/5)-1,""))</f>
        <v/>
      </c>
      <c r="R125" s="33" t="str">
        <f aca="false">IF($A125="","",IFERROR(('Market levels'!AG125/'Market levels'!AB125)^(1/5)-1,""))</f>
        <v/>
      </c>
      <c r="S125" s="33" t="str">
        <f aca="false">IF($A125="","",IFERROR('Market levels'!AH125/'Market levels'!AG125-1,""))</f>
        <v/>
      </c>
      <c r="T125" s="33" t="str">
        <f aca="false">IF($A125="","",IFERROR(('Market levels'!AM125/'Market levels'!AH125)^(1/5)-1,""))</f>
        <v/>
      </c>
      <c r="U125" s="31"/>
      <c r="V125" s="32"/>
      <c r="W125" s="32"/>
      <c r="X125" s="32"/>
      <c r="Y125" s="32"/>
      <c r="Z125" s="32"/>
      <c r="AA125" s="17"/>
      <c r="AB125" s="17"/>
      <c r="AC125" s="17"/>
      <c r="AD125" s="17"/>
    </row>
  </sheetData>
  <mergeCells count="5">
    <mergeCell ref="A4:E4"/>
    <mergeCell ref="F4:M4"/>
    <mergeCell ref="N4:T4"/>
    <mergeCell ref="U4:Z4"/>
    <mergeCell ref="AA4:AD4"/>
  </mergeCells>
  <dataValidations count="4">
    <dataValidation allowBlank="true" errorStyle="stop" operator="between" showDropDown="false" showErrorMessage="false" showInputMessage="false" sqref="C6:C125" type="list">
      <formula1>"Residential,Commercial"</formula1>
      <formula2>0</formula2>
    </dataValidation>
    <dataValidation allowBlank="true" error="Enter a whole score from 1 to 5" errorStyle="stop" errorTitle="Score 1-5" operator="between" showDropDown="false" showErrorMessage="false" showInputMessage="false" sqref="AA6:AD125" type="whole">
      <formula1>1</formula1>
      <formula2>5</formula2>
    </dataValidation>
    <dataValidation allowBlank="true" error="Enter a percentage between 0% and 100%" errorStyle="stop" errorTitle="Percentage" operator="between" showDropDown="false" showErrorMessage="false" showInputMessage="false" sqref="Y6:Z125" type="decimal">
      <formula1>0</formula1>
      <formula2>1</formula2>
    </dataValidation>
    <dataValidation allowBlank="true" errorStyle="stop" operator="between" showDropDown="false" showErrorMessage="false" showInputMessage="false" sqref="D6:D125" type="list">
      <formula1>"Heating,Cooling,Sanitary"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AM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39" min="4" style="0" width="10"/>
  </cols>
  <sheetData>
    <row r="1" customFormat="false" ht="27.75" hidden="false" customHeight="tru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8" hidden="false" customHeight="true" outlineLevel="0" collapsed="false">
      <c r="A2" s="3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" hidden="false" customHeight="false" outlineLevel="0" collapsed="false">
      <c r="A3" s="19" t="s">
        <v>231</v>
      </c>
    </row>
    <row r="4" customFormat="false" ht="15" hidden="false" customHeight="true" outlineLevel="0" collapsed="false">
      <c r="D4" s="23" t="s">
        <v>232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 t="s">
        <v>233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5" t="s">
        <v>234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customFormat="false" ht="22.35" hidden="false" customHeight="false" outlineLevel="0" collapsed="false">
      <c r="A5" s="20" t="s">
        <v>198</v>
      </c>
      <c r="B5" s="20" t="s">
        <v>200</v>
      </c>
      <c r="C5" s="20" t="s">
        <v>235</v>
      </c>
      <c r="D5" s="35" t="n">
        <f aca="false">Settings!$B$7-6</f>
        <v>2020</v>
      </c>
      <c r="E5" s="35" t="n">
        <f aca="false">Settings!$B$7-5</f>
        <v>2021</v>
      </c>
      <c r="F5" s="35" t="n">
        <f aca="false">Settings!$B$7-4</f>
        <v>2022</v>
      </c>
      <c r="G5" s="35" t="n">
        <f aca="false">Settings!$B$7-3</f>
        <v>2023</v>
      </c>
      <c r="H5" s="35" t="n">
        <f aca="false">Settings!$B$7-2</f>
        <v>2024</v>
      </c>
      <c r="I5" s="35" t="n">
        <f aca="false">Settings!$B$7-1</f>
        <v>2025</v>
      </c>
      <c r="J5" s="36" t="n">
        <f aca="false">Settings!$B$7</f>
        <v>2026</v>
      </c>
      <c r="K5" s="36" t="n">
        <f aca="false">Settings!$B$7+1</f>
        <v>2027</v>
      </c>
      <c r="L5" s="36" t="n">
        <f aca="false">Settings!$B$7+2</f>
        <v>2028</v>
      </c>
      <c r="M5" s="36" t="n">
        <f aca="false">Settings!$B$7+3</f>
        <v>2029</v>
      </c>
      <c r="N5" s="36" t="n">
        <f aca="false">Settings!$B$7+4</f>
        <v>2030</v>
      </c>
      <c r="O5" s="36" t="n">
        <f aca="false">Settings!$B$7+5</f>
        <v>2031</v>
      </c>
      <c r="P5" s="35" t="n">
        <f aca="false">Settings!$B$7-6</f>
        <v>2020</v>
      </c>
      <c r="Q5" s="35" t="n">
        <f aca="false">Settings!$B$7-5</f>
        <v>2021</v>
      </c>
      <c r="R5" s="35" t="n">
        <f aca="false">Settings!$B$7-4</f>
        <v>2022</v>
      </c>
      <c r="S5" s="35" t="n">
        <f aca="false">Settings!$B$7-3</f>
        <v>2023</v>
      </c>
      <c r="T5" s="35" t="n">
        <f aca="false">Settings!$B$7-2</f>
        <v>2024</v>
      </c>
      <c r="U5" s="35" t="n">
        <f aca="false">Settings!$B$7-1</f>
        <v>2025</v>
      </c>
      <c r="V5" s="36" t="n">
        <f aca="false">Settings!$B$7</f>
        <v>2026</v>
      </c>
      <c r="W5" s="36" t="n">
        <f aca="false">Settings!$B$7+1</f>
        <v>2027</v>
      </c>
      <c r="X5" s="36" t="n">
        <f aca="false">Settings!$B$7+2</f>
        <v>2028</v>
      </c>
      <c r="Y5" s="36" t="n">
        <f aca="false">Settings!$B$7+3</f>
        <v>2029</v>
      </c>
      <c r="Z5" s="36" t="n">
        <f aca="false">Settings!$B$7+4</f>
        <v>2030</v>
      </c>
      <c r="AA5" s="36" t="n">
        <f aca="false">Settings!$B$7+5</f>
        <v>2031</v>
      </c>
      <c r="AB5" s="35" t="n">
        <f aca="false">Settings!$B$7-6</f>
        <v>2020</v>
      </c>
      <c r="AC5" s="35" t="n">
        <f aca="false">Settings!$B$7-5</f>
        <v>2021</v>
      </c>
      <c r="AD5" s="35" t="n">
        <f aca="false">Settings!$B$7-4</f>
        <v>2022</v>
      </c>
      <c r="AE5" s="35" t="n">
        <f aca="false">Settings!$B$7-3</f>
        <v>2023</v>
      </c>
      <c r="AF5" s="35" t="n">
        <f aca="false">Settings!$B$7-2</f>
        <v>2024</v>
      </c>
      <c r="AG5" s="35" t="n">
        <f aca="false">Settings!$B$7-1</f>
        <v>2025</v>
      </c>
      <c r="AH5" s="36" t="n">
        <f aca="false">Settings!$B$7</f>
        <v>2026</v>
      </c>
      <c r="AI5" s="36" t="n">
        <f aca="false">Settings!$B$7+1</f>
        <v>2027</v>
      </c>
      <c r="AJ5" s="36" t="n">
        <f aca="false">Settings!$B$7+2</f>
        <v>2028</v>
      </c>
      <c r="AK5" s="36" t="n">
        <f aca="false">Settings!$B$7+3</f>
        <v>2029</v>
      </c>
      <c r="AL5" s="36" t="n">
        <f aca="false">Settings!$B$7+4</f>
        <v>2030</v>
      </c>
      <c r="AM5" s="36" t="n">
        <f aca="false">Settings!$B$7+5</f>
        <v>2031</v>
      </c>
    </row>
    <row r="6" customFormat="false" ht="15" hidden="false" customHeight="false" outlineLevel="0" collapsed="false">
      <c r="A6" s="37" t="str">
        <f aca="false">IF('Raw data'!$A6="","",'Raw data'!$A6)</f>
        <v>Poland</v>
      </c>
      <c r="B6" s="37" t="str">
        <f aca="false">IF($A6="","",'Raw data'!$C6)</f>
        <v>Residential</v>
      </c>
      <c r="C6" s="37" t="str">
        <f aca="false">IF($A6="","",IF('Raw data'!$E6="",$A6,'Raw data'!$E6))</f>
        <v>Poland</v>
      </c>
      <c r="D6" s="38" t="n">
        <f aca="false">IF($A6="","",IF(AND(ISNUMBER(P6),ISNUMBER(AB6)),P6+AB6,""))</f>
        <v>11403.86</v>
      </c>
      <c r="E6" s="38" t="n">
        <f aca="false">IF($A6="","",IF(AND(ISNUMBER(Q6),ISNUMBER(AC6)),Q6+AC6,""))</f>
        <v>12741.87</v>
      </c>
      <c r="F6" s="38" t="n">
        <f aca="false">IF($A6="","",IF(AND(ISNUMBER(R6),ISNUMBER(AD6)),R6+AD6,""))</f>
        <v>13190.07</v>
      </c>
      <c r="G6" s="38" t="n">
        <f aca="false">IF($A6="","",IF(AND(ISNUMBER(S6),ISNUMBER(AE6)),S6+AE6,""))</f>
        <v>12256.2</v>
      </c>
      <c r="H6" s="38" t="n">
        <f aca="false">IF($A6="","",IF(AND(ISNUMBER(T6),ISNUMBER(AF6)),T6+AF6,""))</f>
        <v>10705.75</v>
      </c>
      <c r="I6" s="38" t="n">
        <f aca="false">IF($A6="","",IF(AND(ISNUMBER(U6),ISNUMBER(AG6)),U6+AG6,""))</f>
        <v>10329.28</v>
      </c>
      <c r="J6" s="38" t="n">
        <f aca="false">IF($A6="","",IF(AND(ISNUMBER(V6),ISNUMBER(AH6)),V6+AH6,""))</f>
        <v>11005.13</v>
      </c>
      <c r="K6" s="38" t="n">
        <f aca="false">IF($A6="","",IF(AND(ISNUMBER(W6),ISNUMBER(AI6)),W6+AI6,""))</f>
        <v>11536</v>
      </c>
      <c r="L6" s="38" t="n">
        <f aca="false">IF($A6="","",IF(AND(ISNUMBER(X6),ISNUMBER(AJ6)),X6+AJ6,""))</f>
        <v>11749.98</v>
      </c>
      <c r="M6" s="38" t="n">
        <f aca="false">IF($A6="","",IF(AND(ISNUMBER(Y6),ISNUMBER(AK6)),Y6+AK6,""))</f>
        <v>12006.34</v>
      </c>
      <c r="N6" s="38" t="n">
        <f aca="false">IF($A6="","",IF(AND(ISNUMBER(Z6),ISNUMBER(AL6)),Z6+AL6,""))</f>
        <v>12173.05</v>
      </c>
      <c r="O6" s="38" t="n">
        <f aca="false">IF($A6="","",IF(AND(ISNUMBER(AA6),ISNUMBER(AM6)),AA6+AM6,""))</f>
        <v>12300.28</v>
      </c>
      <c r="P6" s="38" t="n">
        <f aca="false">IF($A6="","",IFERROR(1/(1/IF($B6="Residential",SUMIFS(INDEX('Oxford Economics'!$A$7:$AZ$1000,0,IFERROR(MATCH(P$5,'Oxford Economics'!$A$6:$AZ$6,0),MATCH(P$5&amp;"",'Oxford Economics'!$A$6:$AZ$6,0))),'Oxford Economics'!$A$7:$A$1000,$C6,'Oxford Economics'!$B$7:$B$1000,Settings!$B$13)-SUMIFS(INDEX('Oxford Economics'!$A$7:$AZ$1000,0,IFERROR(MATCH(P$5,'Oxford Economics'!$A$6:$AZ$6,0),MATCH(P$5&amp;"",'Oxford Economics'!$A$6:$AZ$6,0))),'Oxford Economics'!$A$7:$A$1000,$C6,'Oxford Economics'!$B$7:$B$1000,Settings!$B$15),SUMIFS(INDEX('Oxford Economics'!$A$7:$AZ$1000,0,IFERROR(MATCH(P$5,'Oxford Economics'!$A$6:$AZ$6,0),MATCH(P$5&amp;"",'Oxford Economics'!$A$6:$AZ$6,0))),'Oxford Economics'!$A$7:$A$1000,$C6,'Oxford Economics'!$B$7:$B$1000,Settings!$B$15)+SUMIFS(INDEX('Oxford Economics'!$A$7:$AZ$1000,0,IFERROR(MATCH(P$5,'Oxford Economics'!$A$6:$AZ$6,0),MATCH(P$5&amp;"",'Oxford Economics'!$A$6:$AZ$6,0))),'Oxford Economics'!$A$7:$A$1000,$C6,'Oxford Economics'!$B$7:$B$1000,Settings!$B$17)+IF(Settings!$B$19="",0,SUMIFS(INDEX('Oxford Economics'!$A$7:$AZ$1000,0,IFERROR(MATCH(P$5,'Oxford Economics'!$A$6:$AZ$6,0),MATCH(P$5&amp;"",'Oxford Economics'!$A$6:$AZ$6,0))),'Oxford Economics'!$A$7:$A$1000,$C6,'Oxford Economics'!$B$7:$B$1000,Settings!$B$19)))),""))</f>
        <v>4955.49</v>
      </c>
      <c r="Q6" s="38" t="n">
        <f aca="false">IF($A6="","",IFERROR(1/(1/IF($B6="Residential",SUMIFS(INDEX('Oxford Economics'!$A$7:$AZ$1000,0,IFERROR(MATCH(Q$5,'Oxford Economics'!$A$6:$AZ$6,0),MATCH(Q$5&amp;"",'Oxford Economics'!$A$6:$AZ$6,0))),'Oxford Economics'!$A$7:$A$1000,$C6,'Oxford Economics'!$B$7:$B$1000,Settings!$B$13)-SUMIFS(INDEX('Oxford Economics'!$A$7:$AZ$1000,0,IFERROR(MATCH(Q$5,'Oxford Economics'!$A$6:$AZ$6,0),MATCH(Q$5&amp;"",'Oxford Economics'!$A$6:$AZ$6,0))),'Oxford Economics'!$A$7:$A$1000,$C6,'Oxford Economics'!$B$7:$B$1000,Settings!$B$15),SUMIFS(INDEX('Oxford Economics'!$A$7:$AZ$1000,0,IFERROR(MATCH(Q$5,'Oxford Economics'!$A$6:$AZ$6,0),MATCH(Q$5&amp;"",'Oxford Economics'!$A$6:$AZ$6,0))),'Oxford Economics'!$A$7:$A$1000,$C6,'Oxford Economics'!$B$7:$B$1000,Settings!$B$15)+SUMIFS(INDEX('Oxford Economics'!$A$7:$AZ$1000,0,IFERROR(MATCH(Q$5,'Oxford Economics'!$A$6:$AZ$6,0),MATCH(Q$5&amp;"",'Oxford Economics'!$A$6:$AZ$6,0))),'Oxford Economics'!$A$7:$A$1000,$C6,'Oxford Economics'!$B$7:$B$1000,Settings!$B$17)+IF(Settings!$B$19="",0,SUMIFS(INDEX('Oxford Economics'!$A$7:$AZ$1000,0,IFERROR(MATCH(Q$5,'Oxford Economics'!$A$6:$AZ$6,0),MATCH(Q$5&amp;"",'Oxford Economics'!$A$6:$AZ$6,0))),'Oxford Economics'!$A$7:$A$1000,$C6,'Oxford Economics'!$B$7:$B$1000,Settings!$B$19)))),""))</f>
        <v>5528.95</v>
      </c>
      <c r="R6" s="38" t="n">
        <f aca="false">IF($A6="","",IFERROR(1/(1/IF($B6="Residential",SUMIFS(INDEX('Oxford Economics'!$A$7:$AZ$1000,0,IFERROR(MATCH(R$5,'Oxford Economics'!$A$6:$AZ$6,0),MATCH(R$5&amp;"",'Oxford Economics'!$A$6:$AZ$6,0))),'Oxford Economics'!$A$7:$A$1000,$C6,'Oxford Economics'!$B$7:$B$1000,Settings!$B$13)-SUMIFS(INDEX('Oxford Economics'!$A$7:$AZ$1000,0,IFERROR(MATCH(R$5,'Oxford Economics'!$A$6:$AZ$6,0),MATCH(R$5&amp;"",'Oxford Economics'!$A$6:$AZ$6,0))),'Oxford Economics'!$A$7:$A$1000,$C6,'Oxford Economics'!$B$7:$B$1000,Settings!$B$15),SUMIFS(INDEX('Oxford Economics'!$A$7:$AZ$1000,0,IFERROR(MATCH(R$5,'Oxford Economics'!$A$6:$AZ$6,0),MATCH(R$5&amp;"",'Oxford Economics'!$A$6:$AZ$6,0))),'Oxford Economics'!$A$7:$A$1000,$C6,'Oxford Economics'!$B$7:$B$1000,Settings!$B$15)+SUMIFS(INDEX('Oxford Economics'!$A$7:$AZ$1000,0,IFERROR(MATCH(R$5,'Oxford Economics'!$A$6:$AZ$6,0),MATCH(R$5&amp;"",'Oxford Economics'!$A$6:$AZ$6,0))),'Oxford Economics'!$A$7:$A$1000,$C6,'Oxford Economics'!$B$7:$B$1000,Settings!$B$17)+IF(Settings!$B$19="",0,SUMIFS(INDEX('Oxford Economics'!$A$7:$AZ$1000,0,IFERROR(MATCH(R$5,'Oxford Economics'!$A$6:$AZ$6,0),MATCH(R$5&amp;"",'Oxford Economics'!$A$6:$AZ$6,0))),'Oxford Economics'!$A$7:$A$1000,$C6,'Oxford Economics'!$B$7:$B$1000,Settings!$B$19)))),""))</f>
        <v>6104.35</v>
      </c>
      <c r="S6" s="38" t="n">
        <f aca="false">IF($A6="","",IFERROR(1/(1/IF($B6="Residential",SUMIFS(INDEX('Oxford Economics'!$A$7:$AZ$1000,0,IFERROR(MATCH(S$5,'Oxford Economics'!$A$6:$AZ$6,0),MATCH(S$5&amp;"",'Oxford Economics'!$A$6:$AZ$6,0))),'Oxford Economics'!$A$7:$A$1000,$C6,'Oxford Economics'!$B$7:$B$1000,Settings!$B$13)-SUMIFS(INDEX('Oxford Economics'!$A$7:$AZ$1000,0,IFERROR(MATCH(S$5,'Oxford Economics'!$A$6:$AZ$6,0),MATCH(S$5&amp;"",'Oxford Economics'!$A$6:$AZ$6,0))),'Oxford Economics'!$A$7:$A$1000,$C6,'Oxford Economics'!$B$7:$B$1000,Settings!$B$15),SUMIFS(INDEX('Oxford Economics'!$A$7:$AZ$1000,0,IFERROR(MATCH(S$5,'Oxford Economics'!$A$6:$AZ$6,0),MATCH(S$5&amp;"",'Oxford Economics'!$A$6:$AZ$6,0))),'Oxford Economics'!$A$7:$A$1000,$C6,'Oxford Economics'!$B$7:$B$1000,Settings!$B$15)+SUMIFS(INDEX('Oxford Economics'!$A$7:$AZ$1000,0,IFERROR(MATCH(S$5,'Oxford Economics'!$A$6:$AZ$6,0),MATCH(S$5&amp;"",'Oxford Economics'!$A$6:$AZ$6,0))),'Oxford Economics'!$A$7:$A$1000,$C6,'Oxford Economics'!$B$7:$B$1000,Settings!$B$17)+IF(Settings!$B$19="",0,SUMIFS(INDEX('Oxford Economics'!$A$7:$AZ$1000,0,IFERROR(MATCH(S$5,'Oxford Economics'!$A$6:$AZ$6,0),MATCH(S$5&amp;"",'Oxford Economics'!$A$6:$AZ$6,0))),'Oxford Economics'!$A$7:$A$1000,$C6,'Oxford Economics'!$B$7:$B$1000,Settings!$B$19)))),""))</f>
        <v>6328.52</v>
      </c>
      <c r="T6" s="38" t="n">
        <f aca="false">IF($A6="","",IFERROR(1/(1/IF($B6="Residential",SUMIFS(INDEX('Oxford Economics'!$A$7:$AZ$1000,0,IFERROR(MATCH(T$5,'Oxford Economics'!$A$6:$AZ$6,0),MATCH(T$5&amp;"",'Oxford Economics'!$A$6:$AZ$6,0))),'Oxford Economics'!$A$7:$A$1000,$C6,'Oxford Economics'!$B$7:$B$1000,Settings!$B$13)-SUMIFS(INDEX('Oxford Economics'!$A$7:$AZ$1000,0,IFERROR(MATCH(T$5,'Oxford Economics'!$A$6:$AZ$6,0),MATCH(T$5&amp;"",'Oxford Economics'!$A$6:$AZ$6,0))),'Oxford Economics'!$A$7:$A$1000,$C6,'Oxford Economics'!$B$7:$B$1000,Settings!$B$15),SUMIFS(INDEX('Oxford Economics'!$A$7:$AZ$1000,0,IFERROR(MATCH(T$5,'Oxford Economics'!$A$6:$AZ$6,0),MATCH(T$5&amp;"",'Oxford Economics'!$A$6:$AZ$6,0))),'Oxford Economics'!$A$7:$A$1000,$C6,'Oxford Economics'!$B$7:$B$1000,Settings!$B$15)+SUMIFS(INDEX('Oxford Economics'!$A$7:$AZ$1000,0,IFERROR(MATCH(T$5,'Oxford Economics'!$A$6:$AZ$6,0),MATCH(T$5&amp;"",'Oxford Economics'!$A$6:$AZ$6,0))),'Oxford Economics'!$A$7:$A$1000,$C6,'Oxford Economics'!$B$7:$B$1000,Settings!$B$17)+IF(Settings!$B$19="",0,SUMIFS(INDEX('Oxford Economics'!$A$7:$AZ$1000,0,IFERROR(MATCH(T$5,'Oxford Economics'!$A$6:$AZ$6,0),MATCH(T$5&amp;"",'Oxford Economics'!$A$6:$AZ$6,0))),'Oxford Economics'!$A$7:$A$1000,$C6,'Oxford Economics'!$B$7:$B$1000,Settings!$B$19)))),""))</f>
        <v>5426.79</v>
      </c>
      <c r="U6" s="38" t="n">
        <f aca="false">IF($A6="","",IFERROR(1/(1/IF($B6="Residential",SUMIFS(INDEX('Oxford Economics'!$A$7:$AZ$1000,0,IFERROR(MATCH(U$5,'Oxford Economics'!$A$6:$AZ$6,0),MATCH(U$5&amp;"",'Oxford Economics'!$A$6:$AZ$6,0))),'Oxford Economics'!$A$7:$A$1000,$C6,'Oxford Economics'!$B$7:$B$1000,Settings!$B$13)-SUMIFS(INDEX('Oxford Economics'!$A$7:$AZ$1000,0,IFERROR(MATCH(U$5,'Oxford Economics'!$A$6:$AZ$6,0),MATCH(U$5&amp;"",'Oxford Economics'!$A$6:$AZ$6,0))),'Oxford Economics'!$A$7:$A$1000,$C6,'Oxford Economics'!$B$7:$B$1000,Settings!$B$15),SUMIFS(INDEX('Oxford Economics'!$A$7:$AZ$1000,0,IFERROR(MATCH(U$5,'Oxford Economics'!$A$6:$AZ$6,0),MATCH(U$5&amp;"",'Oxford Economics'!$A$6:$AZ$6,0))),'Oxford Economics'!$A$7:$A$1000,$C6,'Oxford Economics'!$B$7:$B$1000,Settings!$B$15)+SUMIFS(INDEX('Oxford Economics'!$A$7:$AZ$1000,0,IFERROR(MATCH(U$5,'Oxford Economics'!$A$6:$AZ$6,0),MATCH(U$5&amp;"",'Oxford Economics'!$A$6:$AZ$6,0))),'Oxford Economics'!$A$7:$A$1000,$C6,'Oxford Economics'!$B$7:$B$1000,Settings!$B$17)+IF(Settings!$B$19="",0,SUMIFS(INDEX('Oxford Economics'!$A$7:$AZ$1000,0,IFERROR(MATCH(U$5,'Oxford Economics'!$A$6:$AZ$6,0),MATCH(U$5&amp;"",'Oxford Economics'!$A$6:$AZ$6,0))),'Oxford Economics'!$A$7:$A$1000,$C6,'Oxford Economics'!$B$7:$B$1000,Settings!$B$19)))),""))</f>
        <v>5501.24</v>
      </c>
      <c r="V6" s="38" t="n">
        <f aca="false">IF($A6="","",IFERROR(1/(1/IF($B6="Residential",SUMIFS(INDEX('Oxford Economics'!$A$7:$AZ$1000,0,IFERROR(MATCH(V$5,'Oxford Economics'!$A$6:$AZ$6,0),MATCH(V$5&amp;"",'Oxford Economics'!$A$6:$AZ$6,0))),'Oxford Economics'!$A$7:$A$1000,$C6,'Oxford Economics'!$B$7:$B$1000,Settings!$B$13)-SUMIFS(INDEX('Oxford Economics'!$A$7:$AZ$1000,0,IFERROR(MATCH(V$5,'Oxford Economics'!$A$6:$AZ$6,0),MATCH(V$5&amp;"",'Oxford Economics'!$A$6:$AZ$6,0))),'Oxford Economics'!$A$7:$A$1000,$C6,'Oxford Economics'!$B$7:$B$1000,Settings!$B$15),SUMIFS(INDEX('Oxford Economics'!$A$7:$AZ$1000,0,IFERROR(MATCH(V$5,'Oxford Economics'!$A$6:$AZ$6,0),MATCH(V$5&amp;"",'Oxford Economics'!$A$6:$AZ$6,0))),'Oxford Economics'!$A$7:$A$1000,$C6,'Oxford Economics'!$B$7:$B$1000,Settings!$B$15)+SUMIFS(INDEX('Oxford Economics'!$A$7:$AZ$1000,0,IFERROR(MATCH(V$5,'Oxford Economics'!$A$6:$AZ$6,0),MATCH(V$5&amp;"",'Oxford Economics'!$A$6:$AZ$6,0))),'Oxford Economics'!$A$7:$A$1000,$C6,'Oxford Economics'!$B$7:$B$1000,Settings!$B$17)+IF(Settings!$B$19="",0,SUMIFS(INDEX('Oxford Economics'!$A$7:$AZ$1000,0,IFERROR(MATCH(V$5,'Oxford Economics'!$A$6:$AZ$6,0),MATCH(V$5&amp;"",'Oxford Economics'!$A$6:$AZ$6,0))),'Oxford Economics'!$A$7:$A$1000,$C6,'Oxford Economics'!$B$7:$B$1000,Settings!$B$19)))),""))</f>
        <v>6523.65</v>
      </c>
      <c r="W6" s="38" t="n">
        <f aca="false">IF($A6="","",IFERROR(1/(1/IF($B6="Residential",SUMIFS(INDEX('Oxford Economics'!$A$7:$AZ$1000,0,IFERROR(MATCH(W$5,'Oxford Economics'!$A$6:$AZ$6,0),MATCH(W$5&amp;"",'Oxford Economics'!$A$6:$AZ$6,0))),'Oxford Economics'!$A$7:$A$1000,$C6,'Oxford Economics'!$B$7:$B$1000,Settings!$B$13)-SUMIFS(INDEX('Oxford Economics'!$A$7:$AZ$1000,0,IFERROR(MATCH(W$5,'Oxford Economics'!$A$6:$AZ$6,0),MATCH(W$5&amp;"",'Oxford Economics'!$A$6:$AZ$6,0))),'Oxford Economics'!$A$7:$A$1000,$C6,'Oxford Economics'!$B$7:$B$1000,Settings!$B$15),SUMIFS(INDEX('Oxford Economics'!$A$7:$AZ$1000,0,IFERROR(MATCH(W$5,'Oxford Economics'!$A$6:$AZ$6,0),MATCH(W$5&amp;"",'Oxford Economics'!$A$6:$AZ$6,0))),'Oxford Economics'!$A$7:$A$1000,$C6,'Oxford Economics'!$B$7:$B$1000,Settings!$B$15)+SUMIFS(INDEX('Oxford Economics'!$A$7:$AZ$1000,0,IFERROR(MATCH(W$5,'Oxford Economics'!$A$6:$AZ$6,0),MATCH(W$5&amp;"",'Oxford Economics'!$A$6:$AZ$6,0))),'Oxford Economics'!$A$7:$A$1000,$C6,'Oxford Economics'!$B$7:$B$1000,Settings!$B$17)+IF(Settings!$B$19="",0,SUMIFS(INDEX('Oxford Economics'!$A$7:$AZ$1000,0,IFERROR(MATCH(W$5,'Oxford Economics'!$A$6:$AZ$6,0),MATCH(W$5&amp;"",'Oxford Economics'!$A$6:$AZ$6,0))),'Oxford Economics'!$A$7:$A$1000,$C6,'Oxford Economics'!$B$7:$B$1000,Settings!$B$19)))),""))</f>
        <v>7133.31</v>
      </c>
      <c r="X6" s="38" t="n">
        <f aca="false">IF($A6="","",IFERROR(1/(1/IF($B6="Residential",SUMIFS(INDEX('Oxford Economics'!$A$7:$AZ$1000,0,IFERROR(MATCH(X$5,'Oxford Economics'!$A$6:$AZ$6,0),MATCH(X$5&amp;"",'Oxford Economics'!$A$6:$AZ$6,0))),'Oxford Economics'!$A$7:$A$1000,$C6,'Oxford Economics'!$B$7:$B$1000,Settings!$B$13)-SUMIFS(INDEX('Oxford Economics'!$A$7:$AZ$1000,0,IFERROR(MATCH(X$5,'Oxford Economics'!$A$6:$AZ$6,0),MATCH(X$5&amp;"",'Oxford Economics'!$A$6:$AZ$6,0))),'Oxford Economics'!$A$7:$A$1000,$C6,'Oxford Economics'!$B$7:$B$1000,Settings!$B$15),SUMIFS(INDEX('Oxford Economics'!$A$7:$AZ$1000,0,IFERROR(MATCH(X$5,'Oxford Economics'!$A$6:$AZ$6,0),MATCH(X$5&amp;"",'Oxford Economics'!$A$6:$AZ$6,0))),'Oxford Economics'!$A$7:$A$1000,$C6,'Oxford Economics'!$B$7:$B$1000,Settings!$B$15)+SUMIFS(INDEX('Oxford Economics'!$A$7:$AZ$1000,0,IFERROR(MATCH(X$5,'Oxford Economics'!$A$6:$AZ$6,0),MATCH(X$5&amp;"",'Oxford Economics'!$A$6:$AZ$6,0))),'Oxford Economics'!$A$7:$A$1000,$C6,'Oxford Economics'!$B$7:$B$1000,Settings!$B$17)+IF(Settings!$B$19="",0,SUMIFS(INDEX('Oxford Economics'!$A$7:$AZ$1000,0,IFERROR(MATCH(X$5,'Oxford Economics'!$A$6:$AZ$6,0),MATCH(X$5&amp;"",'Oxford Economics'!$A$6:$AZ$6,0))),'Oxford Economics'!$A$7:$A$1000,$C6,'Oxford Economics'!$B$7:$B$1000,Settings!$B$19)))),""))</f>
        <v>7143.19</v>
      </c>
      <c r="Y6" s="38" t="n">
        <f aca="false">IF($A6="","",IFERROR(1/(1/IF($B6="Residential",SUMIFS(INDEX('Oxford Economics'!$A$7:$AZ$1000,0,IFERROR(MATCH(Y$5,'Oxford Economics'!$A$6:$AZ$6,0),MATCH(Y$5&amp;"",'Oxford Economics'!$A$6:$AZ$6,0))),'Oxford Economics'!$A$7:$A$1000,$C6,'Oxford Economics'!$B$7:$B$1000,Settings!$B$13)-SUMIFS(INDEX('Oxford Economics'!$A$7:$AZ$1000,0,IFERROR(MATCH(Y$5,'Oxford Economics'!$A$6:$AZ$6,0),MATCH(Y$5&amp;"",'Oxford Economics'!$A$6:$AZ$6,0))),'Oxford Economics'!$A$7:$A$1000,$C6,'Oxford Economics'!$B$7:$B$1000,Settings!$B$15),SUMIFS(INDEX('Oxford Economics'!$A$7:$AZ$1000,0,IFERROR(MATCH(Y$5,'Oxford Economics'!$A$6:$AZ$6,0),MATCH(Y$5&amp;"",'Oxford Economics'!$A$6:$AZ$6,0))),'Oxford Economics'!$A$7:$A$1000,$C6,'Oxford Economics'!$B$7:$B$1000,Settings!$B$15)+SUMIFS(INDEX('Oxford Economics'!$A$7:$AZ$1000,0,IFERROR(MATCH(Y$5,'Oxford Economics'!$A$6:$AZ$6,0),MATCH(Y$5&amp;"",'Oxford Economics'!$A$6:$AZ$6,0))),'Oxford Economics'!$A$7:$A$1000,$C6,'Oxford Economics'!$B$7:$B$1000,Settings!$B$17)+IF(Settings!$B$19="",0,SUMIFS(INDEX('Oxford Economics'!$A$7:$AZ$1000,0,IFERROR(MATCH(Y$5,'Oxford Economics'!$A$6:$AZ$6,0),MATCH(Y$5&amp;"",'Oxford Economics'!$A$6:$AZ$6,0))),'Oxford Economics'!$A$7:$A$1000,$C6,'Oxford Economics'!$B$7:$B$1000,Settings!$B$19)))),""))</f>
        <v>7123.88</v>
      </c>
      <c r="Z6" s="38" t="n">
        <f aca="false">IF($A6="","",IFERROR(1/(1/IF($B6="Residential",SUMIFS(INDEX('Oxford Economics'!$A$7:$AZ$1000,0,IFERROR(MATCH(Z$5,'Oxford Economics'!$A$6:$AZ$6,0),MATCH(Z$5&amp;"",'Oxford Economics'!$A$6:$AZ$6,0))),'Oxford Economics'!$A$7:$A$1000,$C6,'Oxford Economics'!$B$7:$B$1000,Settings!$B$13)-SUMIFS(INDEX('Oxford Economics'!$A$7:$AZ$1000,0,IFERROR(MATCH(Z$5,'Oxford Economics'!$A$6:$AZ$6,0),MATCH(Z$5&amp;"",'Oxford Economics'!$A$6:$AZ$6,0))),'Oxford Economics'!$A$7:$A$1000,$C6,'Oxford Economics'!$B$7:$B$1000,Settings!$B$15),SUMIFS(INDEX('Oxford Economics'!$A$7:$AZ$1000,0,IFERROR(MATCH(Z$5,'Oxford Economics'!$A$6:$AZ$6,0),MATCH(Z$5&amp;"",'Oxford Economics'!$A$6:$AZ$6,0))),'Oxford Economics'!$A$7:$A$1000,$C6,'Oxford Economics'!$B$7:$B$1000,Settings!$B$15)+SUMIFS(INDEX('Oxford Economics'!$A$7:$AZ$1000,0,IFERROR(MATCH(Z$5,'Oxford Economics'!$A$6:$AZ$6,0),MATCH(Z$5&amp;"",'Oxford Economics'!$A$6:$AZ$6,0))),'Oxford Economics'!$A$7:$A$1000,$C6,'Oxford Economics'!$B$7:$B$1000,Settings!$B$17)+IF(Settings!$B$19="",0,SUMIFS(INDEX('Oxford Economics'!$A$7:$AZ$1000,0,IFERROR(MATCH(Z$5,'Oxford Economics'!$A$6:$AZ$6,0),MATCH(Z$5&amp;"",'Oxford Economics'!$A$6:$AZ$6,0))),'Oxford Economics'!$A$7:$A$1000,$C6,'Oxford Economics'!$B$7:$B$1000,Settings!$B$19)))),""))</f>
        <v>7037.25</v>
      </c>
      <c r="AA6" s="38" t="n">
        <f aca="false">IF($A6="","",IFERROR(1/(1/IF($B6="Residential",SUMIFS(INDEX('Oxford Economics'!$A$7:$AZ$1000,0,IFERROR(MATCH(AA$5,'Oxford Economics'!$A$6:$AZ$6,0),MATCH(AA$5&amp;"",'Oxford Economics'!$A$6:$AZ$6,0))),'Oxford Economics'!$A$7:$A$1000,$C6,'Oxford Economics'!$B$7:$B$1000,Settings!$B$13)-SUMIFS(INDEX('Oxford Economics'!$A$7:$AZ$1000,0,IFERROR(MATCH(AA$5,'Oxford Economics'!$A$6:$AZ$6,0),MATCH(AA$5&amp;"",'Oxford Economics'!$A$6:$AZ$6,0))),'Oxford Economics'!$A$7:$A$1000,$C6,'Oxford Economics'!$B$7:$B$1000,Settings!$B$15),SUMIFS(INDEX('Oxford Economics'!$A$7:$AZ$1000,0,IFERROR(MATCH(AA$5,'Oxford Economics'!$A$6:$AZ$6,0),MATCH(AA$5&amp;"",'Oxford Economics'!$A$6:$AZ$6,0))),'Oxford Economics'!$A$7:$A$1000,$C6,'Oxford Economics'!$B$7:$B$1000,Settings!$B$15)+SUMIFS(INDEX('Oxford Economics'!$A$7:$AZ$1000,0,IFERROR(MATCH(AA$5,'Oxford Economics'!$A$6:$AZ$6,0),MATCH(AA$5&amp;"",'Oxford Economics'!$A$6:$AZ$6,0))),'Oxford Economics'!$A$7:$A$1000,$C6,'Oxford Economics'!$B$7:$B$1000,Settings!$B$17)+IF(Settings!$B$19="",0,SUMIFS(INDEX('Oxford Economics'!$A$7:$AZ$1000,0,IFERROR(MATCH(AA$5,'Oxford Economics'!$A$6:$AZ$6,0),MATCH(AA$5&amp;"",'Oxford Economics'!$A$6:$AZ$6,0))),'Oxford Economics'!$A$7:$A$1000,$C6,'Oxford Economics'!$B$7:$B$1000,Settings!$B$19)))),""))</f>
        <v>6999.5</v>
      </c>
      <c r="AB6" s="38" t="n">
        <f aca="false">IF($A6="","",IFERROR(1/(1/IF($B6="Residential",SUMIFS(INDEX('Oxford Economics'!$A$7:$AZ$1000,0,IFERROR(MATCH(AB$5,'Oxford Economics'!$A$6:$AZ$6,0),MATCH(AB$5&amp;"",'Oxford Economics'!$A$6:$AZ$6,0))),'Oxford Economics'!$A$7:$A$1000,$C6,'Oxford Economics'!$B$7:$B$1000,Settings!$B$12)-SUMIFS(INDEX('Oxford Economics'!$A$7:$AZ$1000,0,IFERROR(MATCH(AB$5,'Oxford Economics'!$A$6:$AZ$6,0),MATCH(AB$5&amp;"",'Oxford Economics'!$A$6:$AZ$6,0))),'Oxford Economics'!$A$7:$A$1000,$C6,'Oxford Economics'!$B$7:$B$1000,Settings!$B$14),SUMIFS(INDEX('Oxford Economics'!$A$7:$AZ$1000,0,IFERROR(MATCH(AB$5,'Oxford Economics'!$A$6:$AZ$6,0),MATCH(AB$5&amp;"",'Oxford Economics'!$A$6:$AZ$6,0))),'Oxford Economics'!$A$7:$A$1000,$C6,'Oxford Economics'!$B$7:$B$1000,Settings!$B$14)+SUMIFS(INDEX('Oxford Economics'!$A$7:$AZ$1000,0,IFERROR(MATCH(AB$5,'Oxford Economics'!$A$6:$AZ$6,0),MATCH(AB$5&amp;"",'Oxford Economics'!$A$6:$AZ$6,0))),'Oxford Economics'!$A$7:$A$1000,$C6,'Oxford Economics'!$B$7:$B$1000,Settings!$B$16)+IF(Settings!$B$18="",0,SUMIFS(INDEX('Oxford Economics'!$A$7:$AZ$1000,0,IFERROR(MATCH(AB$5,'Oxford Economics'!$A$6:$AZ$6,0),MATCH(AB$5&amp;"",'Oxford Economics'!$A$6:$AZ$6,0))),'Oxford Economics'!$A$7:$A$1000,$C6,'Oxford Economics'!$B$7:$B$1000,Settings!$B$18)))),""))</f>
        <v>6448.37</v>
      </c>
      <c r="AC6" s="38" t="n">
        <f aca="false">IF($A6="","",IFERROR(1/(1/IF($B6="Residential",SUMIFS(INDEX('Oxford Economics'!$A$7:$AZ$1000,0,IFERROR(MATCH(AC$5,'Oxford Economics'!$A$6:$AZ$6,0),MATCH(AC$5&amp;"",'Oxford Economics'!$A$6:$AZ$6,0))),'Oxford Economics'!$A$7:$A$1000,$C6,'Oxford Economics'!$B$7:$B$1000,Settings!$B$12)-SUMIFS(INDEX('Oxford Economics'!$A$7:$AZ$1000,0,IFERROR(MATCH(AC$5,'Oxford Economics'!$A$6:$AZ$6,0),MATCH(AC$5&amp;"",'Oxford Economics'!$A$6:$AZ$6,0))),'Oxford Economics'!$A$7:$A$1000,$C6,'Oxford Economics'!$B$7:$B$1000,Settings!$B$14),SUMIFS(INDEX('Oxford Economics'!$A$7:$AZ$1000,0,IFERROR(MATCH(AC$5,'Oxford Economics'!$A$6:$AZ$6,0),MATCH(AC$5&amp;"",'Oxford Economics'!$A$6:$AZ$6,0))),'Oxford Economics'!$A$7:$A$1000,$C6,'Oxford Economics'!$B$7:$B$1000,Settings!$B$14)+SUMIFS(INDEX('Oxford Economics'!$A$7:$AZ$1000,0,IFERROR(MATCH(AC$5,'Oxford Economics'!$A$6:$AZ$6,0),MATCH(AC$5&amp;"",'Oxford Economics'!$A$6:$AZ$6,0))),'Oxford Economics'!$A$7:$A$1000,$C6,'Oxford Economics'!$B$7:$B$1000,Settings!$B$16)+IF(Settings!$B$18="",0,SUMIFS(INDEX('Oxford Economics'!$A$7:$AZ$1000,0,IFERROR(MATCH(AC$5,'Oxford Economics'!$A$6:$AZ$6,0),MATCH(AC$5&amp;"",'Oxford Economics'!$A$6:$AZ$6,0))),'Oxford Economics'!$A$7:$A$1000,$C6,'Oxford Economics'!$B$7:$B$1000,Settings!$B$18)))),""))</f>
        <v>7212.92</v>
      </c>
      <c r="AD6" s="38" t="n">
        <f aca="false">IF($A6="","",IFERROR(1/(1/IF($B6="Residential",SUMIFS(INDEX('Oxford Economics'!$A$7:$AZ$1000,0,IFERROR(MATCH(AD$5,'Oxford Economics'!$A$6:$AZ$6,0),MATCH(AD$5&amp;"",'Oxford Economics'!$A$6:$AZ$6,0))),'Oxford Economics'!$A$7:$A$1000,$C6,'Oxford Economics'!$B$7:$B$1000,Settings!$B$12)-SUMIFS(INDEX('Oxford Economics'!$A$7:$AZ$1000,0,IFERROR(MATCH(AD$5,'Oxford Economics'!$A$6:$AZ$6,0),MATCH(AD$5&amp;"",'Oxford Economics'!$A$6:$AZ$6,0))),'Oxford Economics'!$A$7:$A$1000,$C6,'Oxford Economics'!$B$7:$B$1000,Settings!$B$14),SUMIFS(INDEX('Oxford Economics'!$A$7:$AZ$1000,0,IFERROR(MATCH(AD$5,'Oxford Economics'!$A$6:$AZ$6,0),MATCH(AD$5&amp;"",'Oxford Economics'!$A$6:$AZ$6,0))),'Oxford Economics'!$A$7:$A$1000,$C6,'Oxford Economics'!$B$7:$B$1000,Settings!$B$14)+SUMIFS(INDEX('Oxford Economics'!$A$7:$AZ$1000,0,IFERROR(MATCH(AD$5,'Oxford Economics'!$A$6:$AZ$6,0),MATCH(AD$5&amp;"",'Oxford Economics'!$A$6:$AZ$6,0))),'Oxford Economics'!$A$7:$A$1000,$C6,'Oxford Economics'!$B$7:$B$1000,Settings!$B$16)+IF(Settings!$B$18="",0,SUMIFS(INDEX('Oxford Economics'!$A$7:$AZ$1000,0,IFERROR(MATCH(AD$5,'Oxford Economics'!$A$6:$AZ$6,0),MATCH(AD$5&amp;"",'Oxford Economics'!$A$6:$AZ$6,0))),'Oxford Economics'!$A$7:$A$1000,$C6,'Oxford Economics'!$B$7:$B$1000,Settings!$B$18)))),""))</f>
        <v>7085.72</v>
      </c>
      <c r="AE6" s="38" t="n">
        <f aca="false">IF($A6="","",IFERROR(1/(1/IF($B6="Residential",SUMIFS(INDEX('Oxford Economics'!$A$7:$AZ$1000,0,IFERROR(MATCH(AE$5,'Oxford Economics'!$A$6:$AZ$6,0),MATCH(AE$5&amp;"",'Oxford Economics'!$A$6:$AZ$6,0))),'Oxford Economics'!$A$7:$A$1000,$C6,'Oxford Economics'!$B$7:$B$1000,Settings!$B$12)-SUMIFS(INDEX('Oxford Economics'!$A$7:$AZ$1000,0,IFERROR(MATCH(AE$5,'Oxford Economics'!$A$6:$AZ$6,0),MATCH(AE$5&amp;"",'Oxford Economics'!$A$6:$AZ$6,0))),'Oxford Economics'!$A$7:$A$1000,$C6,'Oxford Economics'!$B$7:$B$1000,Settings!$B$14),SUMIFS(INDEX('Oxford Economics'!$A$7:$AZ$1000,0,IFERROR(MATCH(AE$5,'Oxford Economics'!$A$6:$AZ$6,0),MATCH(AE$5&amp;"",'Oxford Economics'!$A$6:$AZ$6,0))),'Oxford Economics'!$A$7:$A$1000,$C6,'Oxford Economics'!$B$7:$B$1000,Settings!$B$14)+SUMIFS(INDEX('Oxford Economics'!$A$7:$AZ$1000,0,IFERROR(MATCH(AE$5,'Oxford Economics'!$A$6:$AZ$6,0),MATCH(AE$5&amp;"",'Oxford Economics'!$A$6:$AZ$6,0))),'Oxford Economics'!$A$7:$A$1000,$C6,'Oxford Economics'!$B$7:$B$1000,Settings!$B$16)+IF(Settings!$B$18="",0,SUMIFS(INDEX('Oxford Economics'!$A$7:$AZ$1000,0,IFERROR(MATCH(AE$5,'Oxford Economics'!$A$6:$AZ$6,0),MATCH(AE$5&amp;"",'Oxford Economics'!$A$6:$AZ$6,0))),'Oxford Economics'!$A$7:$A$1000,$C6,'Oxford Economics'!$B$7:$B$1000,Settings!$B$18)))),""))</f>
        <v>5927.68</v>
      </c>
      <c r="AF6" s="38" t="n">
        <f aca="false">IF($A6="","",IFERROR(1/(1/IF($B6="Residential",SUMIFS(INDEX('Oxford Economics'!$A$7:$AZ$1000,0,IFERROR(MATCH(AF$5,'Oxford Economics'!$A$6:$AZ$6,0),MATCH(AF$5&amp;"",'Oxford Economics'!$A$6:$AZ$6,0))),'Oxford Economics'!$A$7:$A$1000,$C6,'Oxford Economics'!$B$7:$B$1000,Settings!$B$12)-SUMIFS(INDEX('Oxford Economics'!$A$7:$AZ$1000,0,IFERROR(MATCH(AF$5,'Oxford Economics'!$A$6:$AZ$6,0),MATCH(AF$5&amp;"",'Oxford Economics'!$A$6:$AZ$6,0))),'Oxford Economics'!$A$7:$A$1000,$C6,'Oxford Economics'!$B$7:$B$1000,Settings!$B$14),SUMIFS(INDEX('Oxford Economics'!$A$7:$AZ$1000,0,IFERROR(MATCH(AF$5,'Oxford Economics'!$A$6:$AZ$6,0),MATCH(AF$5&amp;"",'Oxford Economics'!$A$6:$AZ$6,0))),'Oxford Economics'!$A$7:$A$1000,$C6,'Oxford Economics'!$B$7:$B$1000,Settings!$B$14)+SUMIFS(INDEX('Oxford Economics'!$A$7:$AZ$1000,0,IFERROR(MATCH(AF$5,'Oxford Economics'!$A$6:$AZ$6,0),MATCH(AF$5&amp;"",'Oxford Economics'!$A$6:$AZ$6,0))),'Oxford Economics'!$A$7:$A$1000,$C6,'Oxford Economics'!$B$7:$B$1000,Settings!$B$16)+IF(Settings!$B$18="",0,SUMIFS(INDEX('Oxford Economics'!$A$7:$AZ$1000,0,IFERROR(MATCH(AF$5,'Oxford Economics'!$A$6:$AZ$6,0),MATCH(AF$5&amp;"",'Oxford Economics'!$A$6:$AZ$6,0))),'Oxford Economics'!$A$7:$A$1000,$C6,'Oxford Economics'!$B$7:$B$1000,Settings!$B$18)))),""))</f>
        <v>5278.96</v>
      </c>
      <c r="AG6" s="38" t="n">
        <f aca="false">IF($A6="","",IFERROR(1/(1/IF($B6="Residential",SUMIFS(INDEX('Oxford Economics'!$A$7:$AZ$1000,0,IFERROR(MATCH(AG$5,'Oxford Economics'!$A$6:$AZ$6,0),MATCH(AG$5&amp;"",'Oxford Economics'!$A$6:$AZ$6,0))),'Oxford Economics'!$A$7:$A$1000,$C6,'Oxford Economics'!$B$7:$B$1000,Settings!$B$12)-SUMIFS(INDEX('Oxford Economics'!$A$7:$AZ$1000,0,IFERROR(MATCH(AG$5,'Oxford Economics'!$A$6:$AZ$6,0),MATCH(AG$5&amp;"",'Oxford Economics'!$A$6:$AZ$6,0))),'Oxford Economics'!$A$7:$A$1000,$C6,'Oxford Economics'!$B$7:$B$1000,Settings!$B$14),SUMIFS(INDEX('Oxford Economics'!$A$7:$AZ$1000,0,IFERROR(MATCH(AG$5,'Oxford Economics'!$A$6:$AZ$6,0),MATCH(AG$5&amp;"",'Oxford Economics'!$A$6:$AZ$6,0))),'Oxford Economics'!$A$7:$A$1000,$C6,'Oxford Economics'!$B$7:$B$1000,Settings!$B$14)+SUMIFS(INDEX('Oxford Economics'!$A$7:$AZ$1000,0,IFERROR(MATCH(AG$5,'Oxford Economics'!$A$6:$AZ$6,0),MATCH(AG$5&amp;"",'Oxford Economics'!$A$6:$AZ$6,0))),'Oxford Economics'!$A$7:$A$1000,$C6,'Oxford Economics'!$B$7:$B$1000,Settings!$B$16)+IF(Settings!$B$18="",0,SUMIFS(INDEX('Oxford Economics'!$A$7:$AZ$1000,0,IFERROR(MATCH(AG$5,'Oxford Economics'!$A$6:$AZ$6,0),MATCH(AG$5&amp;"",'Oxford Economics'!$A$6:$AZ$6,0))),'Oxford Economics'!$A$7:$A$1000,$C6,'Oxford Economics'!$B$7:$B$1000,Settings!$B$18)))),""))</f>
        <v>4828.04</v>
      </c>
      <c r="AH6" s="38" t="n">
        <f aca="false">IF($A6="","",IFERROR(1/(1/IF($B6="Residential",SUMIFS(INDEX('Oxford Economics'!$A$7:$AZ$1000,0,IFERROR(MATCH(AH$5,'Oxford Economics'!$A$6:$AZ$6,0),MATCH(AH$5&amp;"",'Oxford Economics'!$A$6:$AZ$6,0))),'Oxford Economics'!$A$7:$A$1000,$C6,'Oxford Economics'!$B$7:$B$1000,Settings!$B$12)-SUMIFS(INDEX('Oxford Economics'!$A$7:$AZ$1000,0,IFERROR(MATCH(AH$5,'Oxford Economics'!$A$6:$AZ$6,0),MATCH(AH$5&amp;"",'Oxford Economics'!$A$6:$AZ$6,0))),'Oxford Economics'!$A$7:$A$1000,$C6,'Oxford Economics'!$B$7:$B$1000,Settings!$B$14),SUMIFS(INDEX('Oxford Economics'!$A$7:$AZ$1000,0,IFERROR(MATCH(AH$5,'Oxford Economics'!$A$6:$AZ$6,0),MATCH(AH$5&amp;"",'Oxford Economics'!$A$6:$AZ$6,0))),'Oxford Economics'!$A$7:$A$1000,$C6,'Oxford Economics'!$B$7:$B$1000,Settings!$B$14)+SUMIFS(INDEX('Oxford Economics'!$A$7:$AZ$1000,0,IFERROR(MATCH(AH$5,'Oxford Economics'!$A$6:$AZ$6,0),MATCH(AH$5&amp;"",'Oxford Economics'!$A$6:$AZ$6,0))),'Oxford Economics'!$A$7:$A$1000,$C6,'Oxford Economics'!$B$7:$B$1000,Settings!$B$16)+IF(Settings!$B$18="",0,SUMIFS(INDEX('Oxford Economics'!$A$7:$AZ$1000,0,IFERROR(MATCH(AH$5,'Oxford Economics'!$A$6:$AZ$6,0),MATCH(AH$5&amp;"",'Oxford Economics'!$A$6:$AZ$6,0))),'Oxford Economics'!$A$7:$A$1000,$C6,'Oxford Economics'!$B$7:$B$1000,Settings!$B$18)))),""))</f>
        <v>4481.48</v>
      </c>
      <c r="AI6" s="38" t="n">
        <f aca="false">IF($A6="","",IFERROR(1/(1/IF($B6="Residential",SUMIFS(INDEX('Oxford Economics'!$A$7:$AZ$1000,0,IFERROR(MATCH(AI$5,'Oxford Economics'!$A$6:$AZ$6,0),MATCH(AI$5&amp;"",'Oxford Economics'!$A$6:$AZ$6,0))),'Oxford Economics'!$A$7:$A$1000,$C6,'Oxford Economics'!$B$7:$B$1000,Settings!$B$12)-SUMIFS(INDEX('Oxford Economics'!$A$7:$AZ$1000,0,IFERROR(MATCH(AI$5,'Oxford Economics'!$A$6:$AZ$6,0),MATCH(AI$5&amp;"",'Oxford Economics'!$A$6:$AZ$6,0))),'Oxford Economics'!$A$7:$A$1000,$C6,'Oxford Economics'!$B$7:$B$1000,Settings!$B$14),SUMIFS(INDEX('Oxford Economics'!$A$7:$AZ$1000,0,IFERROR(MATCH(AI$5,'Oxford Economics'!$A$6:$AZ$6,0),MATCH(AI$5&amp;"",'Oxford Economics'!$A$6:$AZ$6,0))),'Oxford Economics'!$A$7:$A$1000,$C6,'Oxford Economics'!$B$7:$B$1000,Settings!$B$14)+SUMIFS(INDEX('Oxford Economics'!$A$7:$AZ$1000,0,IFERROR(MATCH(AI$5,'Oxford Economics'!$A$6:$AZ$6,0),MATCH(AI$5&amp;"",'Oxford Economics'!$A$6:$AZ$6,0))),'Oxford Economics'!$A$7:$A$1000,$C6,'Oxford Economics'!$B$7:$B$1000,Settings!$B$16)+IF(Settings!$B$18="",0,SUMIFS(INDEX('Oxford Economics'!$A$7:$AZ$1000,0,IFERROR(MATCH(AI$5,'Oxford Economics'!$A$6:$AZ$6,0),MATCH(AI$5&amp;"",'Oxford Economics'!$A$6:$AZ$6,0))),'Oxford Economics'!$A$7:$A$1000,$C6,'Oxford Economics'!$B$7:$B$1000,Settings!$B$18)))),""))</f>
        <v>4402.69</v>
      </c>
      <c r="AJ6" s="38" t="n">
        <f aca="false">IF($A6="","",IFERROR(1/(1/IF($B6="Residential",SUMIFS(INDEX('Oxford Economics'!$A$7:$AZ$1000,0,IFERROR(MATCH(AJ$5,'Oxford Economics'!$A$6:$AZ$6,0),MATCH(AJ$5&amp;"",'Oxford Economics'!$A$6:$AZ$6,0))),'Oxford Economics'!$A$7:$A$1000,$C6,'Oxford Economics'!$B$7:$B$1000,Settings!$B$12)-SUMIFS(INDEX('Oxford Economics'!$A$7:$AZ$1000,0,IFERROR(MATCH(AJ$5,'Oxford Economics'!$A$6:$AZ$6,0),MATCH(AJ$5&amp;"",'Oxford Economics'!$A$6:$AZ$6,0))),'Oxford Economics'!$A$7:$A$1000,$C6,'Oxford Economics'!$B$7:$B$1000,Settings!$B$14),SUMIFS(INDEX('Oxford Economics'!$A$7:$AZ$1000,0,IFERROR(MATCH(AJ$5,'Oxford Economics'!$A$6:$AZ$6,0),MATCH(AJ$5&amp;"",'Oxford Economics'!$A$6:$AZ$6,0))),'Oxford Economics'!$A$7:$A$1000,$C6,'Oxford Economics'!$B$7:$B$1000,Settings!$B$14)+SUMIFS(INDEX('Oxford Economics'!$A$7:$AZ$1000,0,IFERROR(MATCH(AJ$5,'Oxford Economics'!$A$6:$AZ$6,0),MATCH(AJ$5&amp;"",'Oxford Economics'!$A$6:$AZ$6,0))),'Oxford Economics'!$A$7:$A$1000,$C6,'Oxford Economics'!$B$7:$B$1000,Settings!$B$16)+IF(Settings!$B$18="",0,SUMIFS(INDEX('Oxford Economics'!$A$7:$AZ$1000,0,IFERROR(MATCH(AJ$5,'Oxford Economics'!$A$6:$AZ$6,0),MATCH(AJ$5&amp;"",'Oxford Economics'!$A$6:$AZ$6,0))),'Oxford Economics'!$A$7:$A$1000,$C6,'Oxford Economics'!$B$7:$B$1000,Settings!$B$18)))),""))</f>
        <v>4606.79</v>
      </c>
      <c r="AK6" s="38" t="n">
        <f aca="false">IF($A6="","",IFERROR(1/(1/IF($B6="Residential",SUMIFS(INDEX('Oxford Economics'!$A$7:$AZ$1000,0,IFERROR(MATCH(AK$5,'Oxford Economics'!$A$6:$AZ$6,0),MATCH(AK$5&amp;"",'Oxford Economics'!$A$6:$AZ$6,0))),'Oxford Economics'!$A$7:$A$1000,$C6,'Oxford Economics'!$B$7:$B$1000,Settings!$B$12)-SUMIFS(INDEX('Oxford Economics'!$A$7:$AZ$1000,0,IFERROR(MATCH(AK$5,'Oxford Economics'!$A$6:$AZ$6,0),MATCH(AK$5&amp;"",'Oxford Economics'!$A$6:$AZ$6,0))),'Oxford Economics'!$A$7:$A$1000,$C6,'Oxford Economics'!$B$7:$B$1000,Settings!$B$14),SUMIFS(INDEX('Oxford Economics'!$A$7:$AZ$1000,0,IFERROR(MATCH(AK$5,'Oxford Economics'!$A$6:$AZ$6,0),MATCH(AK$5&amp;"",'Oxford Economics'!$A$6:$AZ$6,0))),'Oxford Economics'!$A$7:$A$1000,$C6,'Oxford Economics'!$B$7:$B$1000,Settings!$B$14)+SUMIFS(INDEX('Oxford Economics'!$A$7:$AZ$1000,0,IFERROR(MATCH(AK$5,'Oxford Economics'!$A$6:$AZ$6,0),MATCH(AK$5&amp;"",'Oxford Economics'!$A$6:$AZ$6,0))),'Oxford Economics'!$A$7:$A$1000,$C6,'Oxford Economics'!$B$7:$B$1000,Settings!$B$16)+IF(Settings!$B$18="",0,SUMIFS(INDEX('Oxford Economics'!$A$7:$AZ$1000,0,IFERROR(MATCH(AK$5,'Oxford Economics'!$A$6:$AZ$6,0),MATCH(AK$5&amp;"",'Oxford Economics'!$A$6:$AZ$6,0))),'Oxford Economics'!$A$7:$A$1000,$C6,'Oxford Economics'!$B$7:$B$1000,Settings!$B$18)))),""))</f>
        <v>4882.46</v>
      </c>
      <c r="AL6" s="38" t="n">
        <f aca="false">IF($A6="","",IFERROR(1/(1/IF($B6="Residential",SUMIFS(INDEX('Oxford Economics'!$A$7:$AZ$1000,0,IFERROR(MATCH(AL$5,'Oxford Economics'!$A$6:$AZ$6,0),MATCH(AL$5&amp;"",'Oxford Economics'!$A$6:$AZ$6,0))),'Oxford Economics'!$A$7:$A$1000,$C6,'Oxford Economics'!$B$7:$B$1000,Settings!$B$12)-SUMIFS(INDEX('Oxford Economics'!$A$7:$AZ$1000,0,IFERROR(MATCH(AL$5,'Oxford Economics'!$A$6:$AZ$6,0),MATCH(AL$5&amp;"",'Oxford Economics'!$A$6:$AZ$6,0))),'Oxford Economics'!$A$7:$A$1000,$C6,'Oxford Economics'!$B$7:$B$1000,Settings!$B$14),SUMIFS(INDEX('Oxford Economics'!$A$7:$AZ$1000,0,IFERROR(MATCH(AL$5,'Oxford Economics'!$A$6:$AZ$6,0),MATCH(AL$5&amp;"",'Oxford Economics'!$A$6:$AZ$6,0))),'Oxford Economics'!$A$7:$A$1000,$C6,'Oxford Economics'!$B$7:$B$1000,Settings!$B$14)+SUMIFS(INDEX('Oxford Economics'!$A$7:$AZ$1000,0,IFERROR(MATCH(AL$5,'Oxford Economics'!$A$6:$AZ$6,0),MATCH(AL$5&amp;"",'Oxford Economics'!$A$6:$AZ$6,0))),'Oxford Economics'!$A$7:$A$1000,$C6,'Oxford Economics'!$B$7:$B$1000,Settings!$B$16)+IF(Settings!$B$18="",0,SUMIFS(INDEX('Oxford Economics'!$A$7:$AZ$1000,0,IFERROR(MATCH(AL$5,'Oxford Economics'!$A$6:$AZ$6,0),MATCH(AL$5&amp;"",'Oxford Economics'!$A$6:$AZ$6,0))),'Oxford Economics'!$A$7:$A$1000,$C6,'Oxford Economics'!$B$7:$B$1000,Settings!$B$18)))),""))</f>
        <v>5135.8</v>
      </c>
      <c r="AM6" s="38" t="n">
        <f aca="false">IF($A6="","",IFERROR(1/(1/IF($B6="Residential",SUMIFS(INDEX('Oxford Economics'!$A$7:$AZ$1000,0,IFERROR(MATCH(AM$5,'Oxford Economics'!$A$6:$AZ$6,0),MATCH(AM$5&amp;"",'Oxford Economics'!$A$6:$AZ$6,0))),'Oxford Economics'!$A$7:$A$1000,$C6,'Oxford Economics'!$B$7:$B$1000,Settings!$B$12)-SUMIFS(INDEX('Oxford Economics'!$A$7:$AZ$1000,0,IFERROR(MATCH(AM$5,'Oxford Economics'!$A$6:$AZ$6,0),MATCH(AM$5&amp;"",'Oxford Economics'!$A$6:$AZ$6,0))),'Oxford Economics'!$A$7:$A$1000,$C6,'Oxford Economics'!$B$7:$B$1000,Settings!$B$14),SUMIFS(INDEX('Oxford Economics'!$A$7:$AZ$1000,0,IFERROR(MATCH(AM$5,'Oxford Economics'!$A$6:$AZ$6,0),MATCH(AM$5&amp;"",'Oxford Economics'!$A$6:$AZ$6,0))),'Oxford Economics'!$A$7:$A$1000,$C6,'Oxford Economics'!$B$7:$B$1000,Settings!$B$14)+SUMIFS(INDEX('Oxford Economics'!$A$7:$AZ$1000,0,IFERROR(MATCH(AM$5,'Oxford Economics'!$A$6:$AZ$6,0),MATCH(AM$5&amp;"",'Oxford Economics'!$A$6:$AZ$6,0))),'Oxford Economics'!$A$7:$A$1000,$C6,'Oxford Economics'!$B$7:$B$1000,Settings!$B$16)+IF(Settings!$B$18="",0,SUMIFS(INDEX('Oxford Economics'!$A$7:$AZ$1000,0,IFERROR(MATCH(AM$5,'Oxford Economics'!$A$6:$AZ$6,0),MATCH(AM$5&amp;"",'Oxford Economics'!$A$6:$AZ$6,0))),'Oxford Economics'!$A$7:$A$1000,$C6,'Oxford Economics'!$B$7:$B$1000,Settings!$B$18)))),""))</f>
        <v>5300.78</v>
      </c>
    </row>
    <row r="7" customFormat="false" ht="15" hidden="false" customHeight="false" outlineLevel="0" collapsed="false">
      <c r="A7" s="37" t="str">
        <f aca="false">IF('Raw data'!$A7="","",'Raw data'!$A7)</f>
        <v>Poland</v>
      </c>
      <c r="B7" s="37" t="str">
        <f aca="false">IF($A7="","",'Raw data'!$C7)</f>
        <v>Residential</v>
      </c>
      <c r="C7" s="37" t="str">
        <f aca="false">IF($A7="","",IF('Raw data'!$E7="",$A7,'Raw data'!$E7))</f>
        <v>Poland</v>
      </c>
      <c r="D7" s="38" t="n">
        <f aca="false">IF($A7="","",IF(AND(ISNUMBER(P7),ISNUMBER(AB7)),P7+AB7,""))</f>
        <v>11403.86</v>
      </c>
      <c r="E7" s="38" t="n">
        <f aca="false">IF($A7="","",IF(AND(ISNUMBER(Q7),ISNUMBER(AC7)),Q7+AC7,""))</f>
        <v>12741.87</v>
      </c>
      <c r="F7" s="38" t="n">
        <f aca="false">IF($A7="","",IF(AND(ISNUMBER(R7),ISNUMBER(AD7)),R7+AD7,""))</f>
        <v>13190.07</v>
      </c>
      <c r="G7" s="38" t="n">
        <f aca="false">IF($A7="","",IF(AND(ISNUMBER(S7),ISNUMBER(AE7)),S7+AE7,""))</f>
        <v>12256.2</v>
      </c>
      <c r="H7" s="38" t="n">
        <f aca="false">IF($A7="","",IF(AND(ISNUMBER(T7),ISNUMBER(AF7)),T7+AF7,""))</f>
        <v>10705.75</v>
      </c>
      <c r="I7" s="38" t="n">
        <f aca="false">IF($A7="","",IF(AND(ISNUMBER(U7),ISNUMBER(AG7)),U7+AG7,""))</f>
        <v>10329.28</v>
      </c>
      <c r="J7" s="38" t="n">
        <f aca="false">IF($A7="","",IF(AND(ISNUMBER(V7),ISNUMBER(AH7)),V7+AH7,""))</f>
        <v>11005.13</v>
      </c>
      <c r="K7" s="38" t="n">
        <f aca="false">IF($A7="","",IF(AND(ISNUMBER(W7),ISNUMBER(AI7)),W7+AI7,""))</f>
        <v>11536</v>
      </c>
      <c r="L7" s="38" t="n">
        <f aca="false">IF($A7="","",IF(AND(ISNUMBER(X7),ISNUMBER(AJ7)),X7+AJ7,""))</f>
        <v>11749.98</v>
      </c>
      <c r="M7" s="38" t="n">
        <f aca="false">IF($A7="","",IF(AND(ISNUMBER(Y7),ISNUMBER(AK7)),Y7+AK7,""))</f>
        <v>12006.34</v>
      </c>
      <c r="N7" s="38" t="n">
        <f aca="false">IF($A7="","",IF(AND(ISNUMBER(Z7),ISNUMBER(AL7)),Z7+AL7,""))</f>
        <v>12173.05</v>
      </c>
      <c r="O7" s="38" t="n">
        <f aca="false">IF($A7="","",IF(AND(ISNUMBER(AA7),ISNUMBER(AM7)),AA7+AM7,""))</f>
        <v>12300.28</v>
      </c>
      <c r="P7" s="38" t="n">
        <f aca="false">IF($A7="","",IFERROR(1/(1/IF($B7="Residential",SUMIFS(INDEX('Oxford Economics'!$A$7:$AZ$1000,0,IFERROR(MATCH(P$5,'Oxford Economics'!$A$6:$AZ$6,0),MATCH(P$5&amp;"",'Oxford Economics'!$A$6:$AZ$6,0))),'Oxford Economics'!$A$7:$A$1000,$C7,'Oxford Economics'!$B$7:$B$1000,Settings!$B$13)-SUMIFS(INDEX('Oxford Economics'!$A$7:$AZ$1000,0,IFERROR(MATCH(P$5,'Oxford Economics'!$A$6:$AZ$6,0),MATCH(P$5&amp;"",'Oxford Economics'!$A$6:$AZ$6,0))),'Oxford Economics'!$A$7:$A$1000,$C7,'Oxford Economics'!$B$7:$B$1000,Settings!$B$15),SUMIFS(INDEX('Oxford Economics'!$A$7:$AZ$1000,0,IFERROR(MATCH(P$5,'Oxford Economics'!$A$6:$AZ$6,0),MATCH(P$5&amp;"",'Oxford Economics'!$A$6:$AZ$6,0))),'Oxford Economics'!$A$7:$A$1000,$C7,'Oxford Economics'!$B$7:$B$1000,Settings!$B$15)+SUMIFS(INDEX('Oxford Economics'!$A$7:$AZ$1000,0,IFERROR(MATCH(P$5,'Oxford Economics'!$A$6:$AZ$6,0),MATCH(P$5&amp;"",'Oxford Economics'!$A$6:$AZ$6,0))),'Oxford Economics'!$A$7:$A$1000,$C7,'Oxford Economics'!$B$7:$B$1000,Settings!$B$17)+IF(Settings!$B$19="",0,SUMIFS(INDEX('Oxford Economics'!$A$7:$AZ$1000,0,IFERROR(MATCH(P$5,'Oxford Economics'!$A$6:$AZ$6,0),MATCH(P$5&amp;"",'Oxford Economics'!$A$6:$AZ$6,0))),'Oxford Economics'!$A$7:$A$1000,$C7,'Oxford Economics'!$B$7:$B$1000,Settings!$B$19)))),""))</f>
        <v>4955.49</v>
      </c>
      <c r="Q7" s="38" t="n">
        <f aca="false">IF($A7="","",IFERROR(1/(1/IF($B7="Residential",SUMIFS(INDEX('Oxford Economics'!$A$7:$AZ$1000,0,IFERROR(MATCH(Q$5,'Oxford Economics'!$A$6:$AZ$6,0),MATCH(Q$5&amp;"",'Oxford Economics'!$A$6:$AZ$6,0))),'Oxford Economics'!$A$7:$A$1000,$C7,'Oxford Economics'!$B$7:$B$1000,Settings!$B$13)-SUMIFS(INDEX('Oxford Economics'!$A$7:$AZ$1000,0,IFERROR(MATCH(Q$5,'Oxford Economics'!$A$6:$AZ$6,0),MATCH(Q$5&amp;"",'Oxford Economics'!$A$6:$AZ$6,0))),'Oxford Economics'!$A$7:$A$1000,$C7,'Oxford Economics'!$B$7:$B$1000,Settings!$B$15),SUMIFS(INDEX('Oxford Economics'!$A$7:$AZ$1000,0,IFERROR(MATCH(Q$5,'Oxford Economics'!$A$6:$AZ$6,0),MATCH(Q$5&amp;"",'Oxford Economics'!$A$6:$AZ$6,0))),'Oxford Economics'!$A$7:$A$1000,$C7,'Oxford Economics'!$B$7:$B$1000,Settings!$B$15)+SUMIFS(INDEX('Oxford Economics'!$A$7:$AZ$1000,0,IFERROR(MATCH(Q$5,'Oxford Economics'!$A$6:$AZ$6,0),MATCH(Q$5&amp;"",'Oxford Economics'!$A$6:$AZ$6,0))),'Oxford Economics'!$A$7:$A$1000,$C7,'Oxford Economics'!$B$7:$B$1000,Settings!$B$17)+IF(Settings!$B$19="",0,SUMIFS(INDEX('Oxford Economics'!$A$7:$AZ$1000,0,IFERROR(MATCH(Q$5,'Oxford Economics'!$A$6:$AZ$6,0),MATCH(Q$5&amp;"",'Oxford Economics'!$A$6:$AZ$6,0))),'Oxford Economics'!$A$7:$A$1000,$C7,'Oxford Economics'!$B$7:$B$1000,Settings!$B$19)))),""))</f>
        <v>5528.95</v>
      </c>
      <c r="R7" s="38" t="n">
        <f aca="false">IF($A7="","",IFERROR(1/(1/IF($B7="Residential",SUMIFS(INDEX('Oxford Economics'!$A$7:$AZ$1000,0,IFERROR(MATCH(R$5,'Oxford Economics'!$A$6:$AZ$6,0),MATCH(R$5&amp;"",'Oxford Economics'!$A$6:$AZ$6,0))),'Oxford Economics'!$A$7:$A$1000,$C7,'Oxford Economics'!$B$7:$B$1000,Settings!$B$13)-SUMIFS(INDEX('Oxford Economics'!$A$7:$AZ$1000,0,IFERROR(MATCH(R$5,'Oxford Economics'!$A$6:$AZ$6,0),MATCH(R$5&amp;"",'Oxford Economics'!$A$6:$AZ$6,0))),'Oxford Economics'!$A$7:$A$1000,$C7,'Oxford Economics'!$B$7:$B$1000,Settings!$B$15),SUMIFS(INDEX('Oxford Economics'!$A$7:$AZ$1000,0,IFERROR(MATCH(R$5,'Oxford Economics'!$A$6:$AZ$6,0),MATCH(R$5&amp;"",'Oxford Economics'!$A$6:$AZ$6,0))),'Oxford Economics'!$A$7:$A$1000,$C7,'Oxford Economics'!$B$7:$B$1000,Settings!$B$15)+SUMIFS(INDEX('Oxford Economics'!$A$7:$AZ$1000,0,IFERROR(MATCH(R$5,'Oxford Economics'!$A$6:$AZ$6,0),MATCH(R$5&amp;"",'Oxford Economics'!$A$6:$AZ$6,0))),'Oxford Economics'!$A$7:$A$1000,$C7,'Oxford Economics'!$B$7:$B$1000,Settings!$B$17)+IF(Settings!$B$19="",0,SUMIFS(INDEX('Oxford Economics'!$A$7:$AZ$1000,0,IFERROR(MATCH(R$5,'Oxford Economics'!$A$6:$AZ$6,0),MATCH(R$5&amp;"",'Oxford Economics'!$A$6:$AZ$6,0))),'Oxford Economics'!$A$7:$A$1000,$C7,'Oxford Economics'!$B$7:$B$1000,Settings!$B$19)))),""))</f>
        <v>6104.35</v>
      </c>
      <c r="S7" s="38" t="n">
        <f aca="false">IF($A7="","",IFERROR(1/(1/IF($B7="Residential",SUMIFS(INDEX('Oxford Economics'!$A$7:$AZ$1000,0,IFERROR(MATCH(S$5,'Oxford Economics'!$A$6:$AZ$6,0),MATCH(S$5&amp;"",'Oxford Economics'!$A$6:$AZ$6,0))),'Oxford Economics'!$A$7:$A$1000,$C7,'Oxford Economics'!$B$7:$B$1000,Settings!$B$13)-SUMIFS(INDEX('Oxford Economics'!$A$7:$AZ$1000,0,IFERROR(MATCH(S$5,'Oxford Economics'!$A$6:$AZ$6,0),MATCH(S$5&amp;"",'Oxford Economics'!$A$6:$AZ$6,0))),'Oxford Economics'!$A$7:$A$1000,$C7,'Oxford Economics'!$B$7:$B$1000,Settings!$B$15),SUMIFS(INDEX('Oxford Economics'!$A$7:$AZ$1000,0,IFERROR(MATCH(S$5,'Oxford Economics'!$A$6:$AZ$6,0),MATCH(S$5&amp;"",'Oxford Economics'!$A$6:$AZ$6,0))),'Oxford Economics'!$A$7:$A$1000,$C7,'Oxford Economics'!$B$7:$B$1000,Settings!$B$15)+SUMIFS(INDEX('Oxford Economics'!$A$7:$AZ$1000,0,IFERROR(MATCH(S$5,'Oxford Economics'!$A$6:$AZ$6,0),MATCH(S$5&amp;"",'Oxford Economics'!$A$6:$AZ$6,0))),'Oxford Economics'!$A$7:$A$1000,$C7,'Oxford Economics'!$B$7:$B$1000,Settings!$B$17)+IF(Settings!$B$19="",0,SUMIFS(INDEX('Oxford Economics'!$A$7:$AZ$1000,0,IFERROR(MATCH(S$5,'Oxford Economics'!$A$6:$AZ$6,0),MATCH(S$5&amp;"",'Oxford Economics'!$A$6:$AZ$6,0))),'Oxford Economics'!$A$7:$A$1000,$C7,'Oxford Economics'!$B$7:$B$1000,Settings!$B$19)))),""))</f>
        <v>6328.52</v>
      </c>
      <c r="T7" s="38" t="n">
        <f aca="false">IF($A7="","",IFERROR(1/(1/IF($B7="Residential",SUMIFS(INDEX('Oxford Economics'!$A$7:$AZ$1000,0,IFERROR(MATCH(T$5,'Oxford Economics'!$A$6:$AZ$6,0),MATCH(T$5&amp;"",'Oxford Economics'!$A$6:$AZ$6,0))),'Oxford Economics'!$A$7:$A$1000,$C7,'Oxford Economics'!$B$7:$B$1000,Settings!$B$13)-SUMIFS(INDEX('Oxford Economics'!$A$7:$AZ$1000,0,IFERROR(MATCH(T$5,'Oxford Economics'!$A$6:$AZ$6,0),MATCH(T$5&amp;"",'Oxford Economics'!$A$6:$AZ$6,0))),'Oxford Economics'!$A$7:$A$1000,$C7,'Oxford Economics'!$B$7:$B$1000,Settings!$B$15),SUMIFS(INDEX('Oxford Economics'!$A$7:$AZ$1000,0,IFERROR(MATCH(T$5,'Oxford Economics'!$A$6:$AZ$6,0),MATCH(T$5&amp;"",'Oxford Economics'!$A$6:$AZ$6,0))),'Oxford Economics'!$A$7:$A$1000,$C7,'Oxford Economics'!$B$7:$B$1000,Settings!$B$15)+SUMIFS(INDEX('Oxford Economics'!$A$7:$AZ$1000,0,IFERROR(MATCH(T$5,'Oxford Economics'!$A$6:$AZ$6,0),MATCH(T$5&amp;"",'Oxford Economics'!$A$6:$AZ$6,0))),'Oxford Economics'!$A$7:$A$1000,$C7,'Oxford Economics'!$B$7:$B$1000,Settings!$B$17)+IF(Settings!$B$19="",0,SUMIFS(INDEX('Oxford Economics'!$A$7:$AZ$1000,0,IFERROR(MATCH(T$5,'Oxford Economics'!$A$6:$AZ$6,0),MATCH(T$5&amp;"",'Oxford Economics'!$A$6:$AZ$6,0))),'Oxford Economics'!$A$7:$A$1000,$C7,'Oxford Economics'!$B$7:$B$1000,Settings!$B$19)))),""))</f>
        <v>5426.79</v>
      </c>
      <c r="U7" s="38" t="n">
        <f aca="false">IF($A7="","",IFERROR(1/(1/IF($B7="Residential",SUMIFS(INDEX('Oxford Economics'!$A$7:$AZ$1000,0,IFERROR(MATCH(U$5,'Oxford Economics'!$A$6:$AZ$6,0),MATCH(U$5&amp;"",'Oxford Economics'!$A$6:$AZ$6,0))),'Oxford Economics'!$A$7:$A$1000,$C7,'Oxford Economics'!$B$7:$B$1000,Settings!$B$13)-SUMIFS(INDEX('Oxford Economics'!$A$7:$AZ$1000,0,IFERROR(MATCH(U$5,'Oxford Economics'!$A$6:$AZ$6,0),MATCH(U$5&amp;"",'Oxford Economics'!$A$6:$AZ$6,0))),'Oxford Economics'!$A$7:$A$1000,$C7,'Oxford Economics'!$B$7:$B$1000,Settings!$B$15),SUMIFS(INDEX('Oxford Economics'!$A$7:$AZ$1000,0,IFERROR(MATCH(U$5,'Oxford Economics'!$A$6:$AZ$6,0),MATCH(U$5&amp;"",'Oxford Economics'!$A$6:$AZ$6,0))),'Oxford Economics'!$A$7:$A$1000,$C7,'Oxford Economics'!$B$7:$B$1000,Settings!$B$15)+SUMIFS(INDEX('Oxford Economics'!$A$7:$AZ$1000,0,IFERROR(MATCH(U$5,'Oxford Economics'!$A$6:$AZ$6,0),MATCH(U$5&amp;"",'Oxford Economics'!$A$6:$AZ$6,0))),'Oxford Economics'!$A$7:$A$1000,$C7,'Oxford Economics'!$B$7:$B$1000,Settings!$B$17)+IF(Settings!$B$19="",0,SUMIFS(INDEX('Oxford Economics'!$A$7:$AZ$1000,0,IFERROR(MATCH(U$5,'Oxford Economics'!$A$6:$AZ$6,0),MATCH(U$5&amp;"",'Oxford Economics'!$A$6:$AZ$6,0))),'Oxford Economics'!$A$7:$A$1000,$C7,'Oxford Economics'!$B$7:$B$1000,Settings!$B$19)))),""))</f>
        <v>5501.24</v>
      </c>
      <c r="V7" s="38" t="n">
        <f aca="false">IF($A7="","",IFERROR(1/(1/IF($B7="Residential",SUMIFS(INDEX('Oxford Economics'!$A$7:$AZ$1000,0,IFERROR(MATCH(V$5,'Oxford Economics'!$A$6:$AZ$6,0),MATCH(V$5&amp;"",'Oxford Economics'!$A$6:$AZ$6,0))),'Oxford Economics'!$A$7:$A$1000,$C7,'Oxford Economics'!$B$7:$B$1000,Settings!$B$13)-SUMIFS(INDEX('Oxford Economics'!$A$7:$AZ$1000,0,IFERROR(MATCH(V$5,'Oxford Economics'!$A$6:$AZ$6,0),MATCH(V$5&amp;"",'Oxford Economics'!$A$6:$AZ$6,0))),'Oxford Economics'!$A$7:$A$1000,$C7,'Oxford Economics'!$B$7:$B$1000,Settings!$B$15),SUMIFS(INDEX('Oxford Economics'!$A$7:$AZ$1000,0,IFERROR(MATCH(V$5,'Oxford Economics'!$A$6:$AZ$6,0),MATCH(V$5&amp;"",'Oxford Economics'!$A$6:$AZ$6,0))),'Oxford Economics'!$A$7:$A$1000,$C7,'Oxford Economics'!$B$7:$B$1000,Settings!$B$15)+SUMIFS(INDEX('Oxford Economics'!$A$7:$AZ$1000,0,IFERROR(MATCH(V$5,'Oxford Economics'!$A$6:$AZ$6,0),MATCH(V$5&amp;"",'Oxford Economics'!$A$6:$AZ$6,0))),'Oxford Economics'!$A$7:$A$1000,$C7,'Oxford Economics'!$B$7:$B$1000,Settings!$B$17)+IF(Settings!$B$19="",0,SUMIFS(INDEX('Oxford Economics'!$A$7:$AZ$1000,0,IFERROR(MATCH(V$5,'Oxford Economics'!$A$6:$AZ$6,0),MATCH(V$5&amp;"",'Oxford Economics'!$A$6:$AZ$6,0))),'Oxford Economics'!$A$7:$A$1000,$C7,'Oxford Economics'!$B$7:$B$1000,Settings!$B$19)))),""))</f>
        <v>6523.65</v>
      </c>
      <c r="W7" s="38" t="n">
        <f aca="false">IF($A7="","",IFERROR(1/(1/IF($B7="Residential",SUMIFS(INDEX('Oxford Economics'!$A$7:$AZ$1000,0,IFERROR(MATCH(W$5,'Oxford Economics'!$A$6:$AZ$6,0),MATCH(W$5&amp;"",'Oxford Economics'!$A$6:$AZ$6,0))),'Oxford Economics'!$A$7:$A$1000,$C7,'Oxford Economics'!$B$7:$B$1000,Settings!$B$13)-SUMIFS(INDEX('Oxford Economics'!$A$7:$AZ$1000,0,IFERROR(MATCH(W$5,'Oxford Economics'!$A$6:$AZ$6,0),MATCH(W$5&amp;"",'Oxford Economics'!$A$6:$AZ$6,0))),'Oxford Economics'!$A$7:$A$1000,$C7,'Oxford Economics'!$B$7:$B$1000,Settings!$B$15),SUMIFS(INDEX('Oxford Economics'!$A$7:$AZ$1000,0,IFERROR(MATCH(W$5,'Oxford Economics'!$A$6:$AZ$6,0),MATCH(W$5&amp;"",'Oxford Economics'!$A$6:$AZ$6,0))),'Oxford Economics'!$A$7:$A$1000,$C7,'Oxford Economics'!$B$7:$B$1000,Settings!$B$15)+SUMIFS(INDEX('Oxford Economics'!$A$7:$AZ$1000,0,IFERROR(MATCH(W$5,'Oxford Economics'!$A$6:$AZ$6,0),MATCH(W$5&amp;"",'Oxford Economics'!$A$6:$AZ$6,0))),'Oxford Economics'!$A$7:$A$1000,$C7,'Oxford Economics'!$B$7:$B$1000,Settings!$B$17)+IF(Settings!$B$19="",0,SUMIFS(INDEX('Oxford Economics'!$A$7:$AZ$1000,0,IFERROR(MATCH(W$5,'Oxford Economics'!$A$6:$AZ$6,0),MATCH(W$5&amp;"",'Oxford Economics'!$A$6:$AZ$6,0))),'Oxford Economics'!$A$7:$A$1000,$C7,'Oxford Economics'!$B$7:$B$1000,Settings!$B$19)))),""))</f>
        <v>7133.31</v>
      </c>
      <c r="X7" s="38" t="n">
        <f aca="false">IF($A7="","",IFERROR(1/(1/IF($B7="Residential",SUMIFS(INDEX('Oxford Economics'!$A$7:$AZ$1000,0,IFERROR(MATCH(X$5,'Oxford Economics'!$A$6:$AZ$6,0),MATCH(X$5&amp;"",'Oxford Economics'!$A$6:$AZ$6,0))),'Oxford Economics'!$A$7:$A$1000,$C7,'Oxford Economics'!$B$7:$B$1000,Settings!$B$13)-SUMIFS(INDEX('Oxford Economics'!$A$7:$AZ$1000,0,IFERROR(MATCH(X$5,'Oxford Economics'!$A$6:$AZ$6,0),MATCH(X$5&amp;"",'Oxford Economics'!$A$6:$AZ$6,0))),'Oxford Economics'!$A$7:$A$1000,$C7,'Oxford Economics'!$B$7:$B$1000,Settings!$B$15),SUMIFS(INDEX('Oxford Economics'!$A$7:$AZ$1000,0,IFERROR(MATCH(X$5,'Oxford Economics'!$A$6:$AZ$6,0),MATCH(X$5&amp;"",'Oxford Economics'!$A$6:$AZ$6,0))),'Oxford Economics'!$A$7:$A$1000,$C7,'Oxford Economics'!$B$7:$B$1000,Settings!$B$15)+SUMIFS(INDEX('Oxford Economics'!$A$7:$AZ$1000,0,IFERROR(MATCH(X$5,'Oxford Economics'!$A$6:$AZ$6,0),MATCH(X$5&amp;"",'Oxford Economics'!$A$6:$AZ$6,0))),'Oxford Economics'!$A$7:$A$1000,$C7,'Oxford Economics'!$B$7:$B$1000,Settings!$B$17)+IF(Settings!$B$19="",0,SUMIFS(INDEX('Oxford Economics'!$A$7:$AZ$1000,0,IFERROR(MATCH(X$5,'Oxford Economics'!$A$6:$AZ$6,0),MATCH(X$5&amp;"",'Oxford Economics'!$A$6:$AZ$6,0))),'Oxford Economics'!$A$7:$A$1000,$C7,'Oxford Economics'!$B$7:$B$1000,Settings!$B$19)))),""))</f>
        <v>7143.19</v>
      </c>
      <c r="Y7" s="38" t="n">
        <f aca="false">IF($A7="","",IFERROR(1/(1/IF($B7="Residential",SUMIFS(INDEX('Oxford Economics'!$A$7:$AZ$1000,0,IFERROR(MATCH(Y$5,'Oxford Economics'!$A$6:$AZ$6,0),MATCH(Y$5&amp;"",'Oxford Economics'!$A$6:$AZ$6,0))),'Oxford Economics'!$A$7:$A$1000,$C7,'Oxford Economics'!$B$7:$B$1000,Settings!$B$13)-SUMIFS(INDEX('Oxford Economics'!$A$7:$AZ$1000,0,IFERROR(MATCH(Y$5,'Oxford Economics'!$A$6:$AZ$6,0),MATCH(Y$5&amp;"",'Oxford Economics'!$A$6:$AZ$6,0))),'Oxford Economics'!$A$7:$A$1000,$C7,'Oxford Economics'!$B$7:$B$1000,Settings!$B$15),SUMIFS(INDEX('Oxford Economics'!$A$7:$AZ$1000,0,IFERROR(MATCH(Y$5,'Oxford Economics'!$A$6:$AZ$6,0),MATCH(Y$5&amp;"",'Oxford Economics'!$A$6:$AZ$6,0))),'Oxford Economics'!$A$7:$A$1000,$C7,'Oxford Economics'!$B$7:$B$1000,Settings!$B$15)+SUMIFS(INDEX('Oxford Economics'!$A$7:$AZ$1000,0,IFERROR(MATCH(Y$5,'Oxford Economics'!$A$6:$AZ$6,0),MATCH(Y$5&amp;"",'Oxford Economics'!$A$6:$AZ$6,0))),'Oxford Economics'!$A$7:$A$1000,$C7,'Oxford Economics'!$B$7:$B$1000,Settings!$B$17)+IF(Settings!$B$19="",0,SUMIFS(INDEX('Oxford Economics'!$A$7:$AZ$1000,0,IFERROR(MATCH(Y$5,'Oxford Economics'!$A$6:$AZ$6,0),MATCH(Y$5&amp;"",'Oxford Economics'!$A$6:$AZ$6,0))),'Oxford Economics'!$A$7:$A$1000,$C7,'Oxford Economics'!$B$7:$B$1000,Settings!$B$19)))),""))</f>
        <v>7123.88</v>
      </c>
      <c r="Z7" s="38" t="n">
        <f aca="false">IF($A7="","",IFERROR(1/(1/IF($B7="Residential",SUMIFS(INDEX('Oxford Economics'!$A$7:$AZ$1000,0,IFERROR(MATCH(Z$5,'Oxford Economics'!$A$6:$AZ$6,0),MATCH(Z$5&amp;"",'Oxford Economics'!$A$6:$AZ$6,0))),'Oxford Economics'!$A$7:$A$1000,$C7,'Oxford Economics'!$B$7:$B$1000,Settings!$B$13)-SUMIFS(INDEX('Oxford Economics'!$A$7:$AZ$1000,0,IFERROR(MATCH(Z$5,'Oxford Economics'!$A$6:$AZ$6,0),MATCH(Z$5&amp;"",'Oxford Economics'!$A$6:$AZ$6,0))),'Oxford Economics'!$A$7:$A$1000,$C7,'Oxford Economics'!$B$7:$B$1000,Settings!$B$15),SUMIFS(INDEX('Oxford Economics'!$A$7:$AZ$1000,0,IFERROR(MATCH(Z$5,'Oxford Economics'!$A$6:$AZ$6,0),MATCH(Z$5&amp;"",'Oxford Economics'!$A$6:$AZ$6,0))),'Oxford Economics'!$A$7:$A$1000,$C7,'Oxford Economics'!$B$7:$B$1000,Settings!$B$15)+SUMIFS(INDEX('Oxford Economics'!$A$7:$AZ$1000,0,IFERROR(MATCH(Z$5,'Oxford Economics'!$A$6:$AZ$6,0),MATCH(Z$5&amp;"",'Oxford Economics'!$A$6:$AZ$6,0))),'Oxford Economics'!$A$7:$A$1000,$C7,'Oxford Economics'!$B$7:$B$1000,Settings!$B$17)+IF(Settings!$B$19="",0,SUMIFS(INDEX('Oxford Economics'!$A$7:$AZ$1000,0,IFERROR(MATCH(Z$5,'Oxford Economics'!$A$6:$AZ$6,0),MATCH(Z$5&amp;"",'Oxford Economics'!$A$6:$AZ$6,0))),'Oxford Economics'!$A$7:$A$1000,$C7,'Oxford Economics'!$B$7:$B$1000,Settings!$B$19)))),""))</f>
        <v>7037.25</v>
      </c>
      <c r="AA7" s="38" t="n">
        <f aca="false">IF($A7="","",IFERROR(1/(1/IF($B7="Residential",SUMIFS(INDEX('Oxford Economics'!$A$7:$AZ$1000,0,IFERROR(MATCH(AA$5,'Oxford Economics'!$A$6:$AZ$6,0),MATCH(AA$5&amp;"",'Oxford Economics'!$A$6:$AZ$6,0))),'Oxford Economics'!$A$7:$A$1000,$C7,'Oxford Economics'!$B$7:$B$1000,Settings!$B$13)-SUMIFS(INDEX('Oxford Economics'!$A$7:$AZ$1000,0,IFERROR(MATCH(AA$5,'Oxford Economics'!$A$6:$AZ$6,0),MATCH(AA$5&amp;"",'Oxford Economics'!$A$6:$AZ$6,0))),'Oxford Economics'!$A$7:$A$1000,$C7,'Oxford Economics'!$B$7:$B$1000,Settings!$B$15),SUMIFS(INDEX('Oxford Economics'!$A$7:$AZ$1000,0,IFERROR(MATCH(AA$5,'Oxford Economics'!$A$6:$AZ$6,0),MATCH(AA$5&amp;"",'Oxford Economics'!$A$6:$AZ$6,0))),'Oxford Economics'!$A$7:$A$1000,$C7,'Oxford Economics'!$B$7:$B$1000,Settings!$B$15)+SUMIFS(INDEX('Oxford Economics'!$A$7:$AZ$1000,0,IFERROR(MATCH(AA$5,'Oxford Economics'!$A$6:$AZ$6,0),MATCH(AA$5&amp;"",'Oxford Economics'!$A$6:$AZ$6,0))),'Oxford Economics'!$A$7:$A$1000,$C7,'Oxford Economics'!$B$7:$B$1000,Settings!$B$17)+IF(Settings!$B$19="",0,SUMIFS(INDEX('Oxford Economics'!$A$7:$AZ$1000,0,IFERROR(MATCH(AA$5,'Oxford Economics'!$A$6:$AZ$6,0),MATCH(AA$5&amp;"",'Oxford Economics'!$A$6:$AZ$6,0))),'Oxford Economics'!$A$7:$A$1000,$C7,'Oxford Economics'!$B$7:$B$1000,Settings!$B$19)))),""))</f>
        <v>6999.5</v>
      </c>
      <c r="AB7" s="38" t="n">
        <f aca="false">IF($A7="","",IFERROR(1/(1/IF($B7="Residential",SUMIFS(INDEX('Oxford Economics'!$A$7:$AZ$1000,0,IFERROR(MATCH(AB$5,'Oxford Economics'!$A$6:$AZ$6,0),MATCH(AB$5&amp;"",'Oxford Economics'!$A$6:$AZ$6,0))),'Oxford Economics'!$A$7:$A$1000,$C7,'Oxford Economics'!$B$7:$B$1000,Settings!$B$12)-SUMIFS(INDEX('Oxford Economics'!$A$7:$AZ$1000,0,IFERROR(MATCH(AB$5,'Oxford Economics'!$A$6:$AZ$6,0),MATCH(AB$5&amp;"",'Oxford Economics'!$A$6:$AZ$6,0))),'Oxford Economics'!$A$7:$A$1000,$C7,'Oxford Economics'!$B$7:$B$1000,Settings!$B$14),SUMIFS(INDEX('Oxford Economics'!$A$7:$AZ$1000,0,IFERROR(MATCH(AB$5,'Oxford Economics'!$A$6:$AZ$6,0),MATCH(AB$5&amp;"",'Oxford Economics'!$A$6:$AZ$6,0))),'Oxford Economics'!$A$7:$A$1000,$C7,'Oxford Economics'!$B$7:$B$1000,Settings!$B$14)+SUMIFS(INDEX('Oxford Economics'!$A$7:$AZ$1000,0,IFERROR(MATCH(AB$5,'Oxford Economics'!$A$6:$AZ$6,0),MATCH(AB$5&amp;"",'Oxford Economics'!$A$6:$AZ$6,0))),'Oxford Economics'!$A$7:$A$1000,$C7,'Oxford Economics'!$B$7:$B$1000,Settings!$B$16)+IF(Settings!$B$18="",0,SUMIFS(INDEX('Oxford Economics'!$A$7:$AZ$1000,0,IFERROR(MATCH(AB$5,'Oxford Economics'!$A$6:$AZ$6,0),MATCH(AB$5&amp;"",'Oxford Economics'!$A$6:$AZ$6,0))),'Oxford Economics'!$A$7:$A$1000,$C7,'Oxford Economics'!$B$7:$B$1000,Settings!$B$18)))),""))</f>
        <v>6448.37</v>
      </c>
      <c r="AC7" s="38" t="n">
        <f aca="false">IF($A7="","",IFERROR(1/(1/IF($B7="Residential",SUMIFS(INDEX('Oxford Economics'!$A$7:$AZ$1000,0,IFERROR(MATCH(AC$5,'Oxford Economics'!$A$6:$AZ$6,0),MATCH(AC$5&amp;"",'Oxford Economics'!$A$6:$AZ$6,0))),'Oxford Economics'!$A$7:$A$1000,$C7,'Oxford Economics'!$B$7:$B$1000,Settings!$B$12)-SUMIFS(INDEX('Oxford Economics'!$A$7:$AZ$1000,0,IFERROR(MATCH(AC$5,'Oxford Economics'!$A$6:$AZ$6,0),MATCH(AC$5&amp;"",'Oxford Economics'!$A$6:$AZ$6,0))),'Oxford Economics'!$A$7:$A$1000,$C7,'Oxford Economics'!$B$7:$B$1000,Settings!$B$14),SUMIFS(INDEX('Oxford Economics'!$A$7:$AZ$1000,0,IFERROR(MATCH(AC$5,'Oxford Economics'!$A$6:$AZ$6,0),MATCH(AC$5&amp;"",'Oxford Economics'!$A$6:$AZ$6,0))),'Oxford Economics'!$A$7:$A$1000,$C7,'Oxford Economics'!$B$7:$B$1000,Settings!$B$14)+SUMIFS(INDEX('Oxford Economics'!$A$7:$AZ$1000,0,IFERROR(MATCH(AC$5,'Oxford Economics'!$A$6:$AZ$6,0),MATCH(AC$5&amp;"",'Oxford Economics'!$A$6:$AZ$6,0))),'Oxford Economics'!$A$7:$A$1000,$C7,'Oxford Economics'!$B$7:$B$1000,Settings!$B$16)+IF(Settings!$B$18="",0,SUMIFS(INDEX('Oxford Economics'!$A$7:$AZ$1000,0,IFERROR(MATCH(AC$5,'Oxford Economics'!$A$6:$AZ$6,0),MATCH(AC$5&amp;"",'Oxford Economics'!$A$6:$AZ$6,0))),'Oxford Economics'!$A$7:$A$1000,$C7,'Oxford Economics'!$B$7:$B$1000,Settings!$B$18)))),""))</f>
        <v>7212.92</v>
      </c>
      <c r="AD7" s="38" t="n">
        <f aca="false">IF($A7="","",IFERROR(1/(1/IF($B7="Residential",SUMIFS(INDEX('Oxford Economics'!$A$7:$AZ$1000,0,IFERROR(MATCH(AD$5,'Oxford Economics'!$A$6:$AZ$6,0),MATCH(AD$5&amp;"",'Oxford Economics'!$A$6:$AZ$6,0))),'Oxford Economics'!$A$7:$A$1000,$C7,'Oxford Economics'!$B$7:$B$1000,Settings!$B$12)-SUMIFS(INDEX('Oxford Economics'!$A$7:$AZ$1000,0,IFERROR(MATCH(AD$5,'Oxford Economics'!$A$6:$AZ$6,0),MATCH(AD$5&amp;"",'Oxford Economics'!$A$6:$AZ$6,0))),'Oxford Economics'!$A$7:$A$1000,$C7,'Oxford Economics'!$B$7:$B$1000,Settings!$B$14),SUMIFS(INDEX('Oxford Economics'!$A$7:$AZ$1000,0,IFERROR(MATCH(AD$5,'Oxford Economics'!$A$6:$AZ$6,0),MATCH(AD$5&amp;"",'Oxford Economics'!$A$6:$AZ$6,0))),'Oxford Economics'!$A$7:$A$1000,$C7,'Oxford Economics'!$B$7:$B$1000,Settings!$B$14)+SUMIFS(INDEX('Oxford Economics'!$A$7:$AZ$1000,0,IFERROR(MATCH(AD$5,'Oxford Economics'!$A$6:$AZ$6,0),MATCH(AD$5&amp;"",'Oxford Economics'!$A$6:$AZ$6,0))),'Oxford Economics'!$A$7:$A$1000,$C7,'Oxford Economics'!$B$7:$B$1000,Settings!$B$16)+IF(Settings!$B$18="",0,SUMIFS(INDEX('Oxford Economics'!$A$7:$AZ$1000,0,IFERROR(MATCH(AD$5,'Oxford Economics'!$A$6:$AZ$6,0),MATCH(AD$5&amp;"",'Oxford Economics'!$A$6:$AZ$6,0))),'Oxford Economics'!$A$7:$A$1000,$C7,'Oxford Economics'!$B$7:$B$1000,Settings!$B$18)))),""))</f>
        <v>7085.72</v>
      </c>
      <c r="AE7" s="38" t="n">
        <f aca="false">IF($A7="","",IFERROR(1/(1/IF($B7="Residential",SUMIFS(INDEX('Oxford Economics'!$A$7:$AZ$1000,0,IFERROR(MATCH(AE$5,'Oxford Economics'!$A$6:$AZ$6,0),MATCH(AE$5&amp;"",'Oxford Economics'!$A$6:$AZ$6,0))),'Oxford Economics'!$A$7:$A$1000,$C7,'Oxford Economics'!$B$7:$B$1000,Settings!$B$12)-SUMIFS(INDEX('Oxford Economics'!$A$7:$AZ$1000,0,IFERROR(MATCH(AE$5,'Oxford Economics'!$A$6:$AZ$6,0),MATCH(AE$5&amp;"",'Oxford Economics'!$A$6:$AZ$6,0))),'Oxford Economics'!$A$7:$A$1000,$C7,'Oxford Economics'!$B$7:$B$1000,Settings!$B$14),SUMIFS(INDEX('Oxford Economics'!$A$7:$AZ$1000,0,IFERROR(MATCH(AE$5,'Oxford Economics'!$A$6:$AZ$6,0),MATCH(AE$5&amp;"",'Oxford Economics'!$A$6:$AZ$6,0))),'Oxford Economics'!$A$7:$A$1000,$C7,'Oxford Economics'!$B$7:$B$1000,Settings!$B$14)+SUMIFS(INDEX('Oxford Economics'!$A$7:$AZ$1000,0,IFERROR(MATCH(AE$5,'Oxford Economics'!$A$6:$AZ$6,0),MATCH(AE$5&amp;"",'Oxford Economics'!$A$6:$AZ$6,0))),'Oxford Economics'!$A$7:$A$1000,$C7,'Oxford Economics'!$B$7:$B$1000,Settings!$B$16)+IF(Settings!$B$18="",0,SUMIFS(INDEX('Oxford Economics'!$A$7:$AZ$1000,0,IFERROR(MATCH(AE$5,'Oxford Economics'!$A$6:$AZ$6,0),MATCH(AE$5&amp;"",'Oxford Economics'!$A$6:$AZ$6,0))),'Oxford Economics'!$A$7:$A$1000,$C7,'Oxford Economics'!$B$7:$B$1000,Settings!$B$18)))),""))</f>
        <v>5927.68</v>
      </c>
      <c r="AF7" s="38" t="n">
        <f aca="false">IF($A7="","",IFERROR(1/(1/IF($B7="Residential",SUMIFS(INDEX('Oxford Economics'!$A$7:$AZ$1000,0,IFERROR(MATCH(AF$5,'Oxford Economics'!$A$6:$AZ$6,0),MATCH(AF$5&amp;"",'Oxford Economics'!$A$6:$AZ$6,0))),'Oxford Economics'!$A$7:$A$1000,$C7,'Oxford Economics'!$B$7:$B$1000,Settings!$B$12)-SUMIFS(INDEX('Oxford Economics'!$A$7:$AZ$1000,0,IFERROR(MATCH(AF$5,'Oxford Economics'!$A$6:$AZ$6,0),MATCH(AF$5&amp;"",'Oxford Economics'!$A$6:$AZ$6,0))),'Oxford Economics'!$A$7:$A$1000,$C7,'Oxford Economics'!$B$7:$B$1000,Settings!$B$14),SUMIFS(INDEX('Oxford Economics'!$A$7:$AZ$1000,0,IFERROR(MATCH(AF$5,'Oxford Economics'!$A$6:$AZ$6,0),MATCH(AF$5&amp;"",'Oxford Economics'!$A$6:$AZ$6,0))),'Oxford Economics'!$A$7:$A$1000,$C7,'Oxford Economics'!$B$7:$B$1000,Settings!$B$14)+SUMIFS(INDEX('Oxford Economics'!$A$7:$AZ$1000,0,IFERROR(MATCH(AF$5,'Oxford Economics'!$A$6:$AZ$6,0),MATCH(AF$5&amp;"",'Oxford Economics'!$A$6:$AZ$6,0))),'Oxford Economics'!$A$7:$A$1000,$C7,'Oxford Economics'!$B$7:$B$1000,Settings!$B$16)+IF(Settings!$B$18="",0,SUMIFS(INDEX('Oxford Economics'!$A$7:$AZ$1000,0,IFERROR(MATCH(AF$5,'Oxford Economics'!$A$6:$AZ$6,0),MATCH(AF$5&amp;"",'Oxford Economics'!$A$6:$AZ$6,0))),'Oxford Economics'!$A$7:$A$1000,$C7,'Oxford Economics'!$B$7:$B$1000,Settings!$B$18)))),""))</f>
        <v>5278.96</v>
      </c>
      <c r="AG7" s="38" t="n">
        <f aca="false">IF($A7="","",IFERROR(1/(1/IF($B7="Residential",SUMIFS(INDEX('Oxford Economics'!$A$7:$AZ$1000,0,IFERROR(MATCH(AG$5,'Oxford Economics'!$A$6:$AZ$6,0),MATCH(AG$5&amp;"",'Oxford Economics'!$A$6:$AZ$6,0))),'Oxford Economics'!$A$7:$A$1000,$C7,'Oxford Economics'!$B$7:$B$1000,Settings!$B$12)-SUMIFS(INDEX('Oxford Economics'!$A$7:$AZ$1000,0,IFERROR(MATCH(AG$5,'Oxford Economics'!$A$6:$AZ$6,0),MATCH(AG$5&amp;"",'Oxford Economics'!$A$6:$AZ$6,0))),'Oxford Economics'!$A$7:$A$1000,$C7,'Oxford Economics'!$B$7:$B$1000,Settings!$B$14),SUMIFS(INDEX('Oxford Economics'!$A$7:$AZ$1000,0,IFERROR(MATCH(AG$5,'Oxford Economics'!$A$6:$AZ$6,0),MATCH(AG$5&amp;"",'Oxford Economics'!$A$6:$AZ$6,0))),'Oxford Economics'!$A$7:$A$1000,$C7,'Oxford Economics'!$B$7:$B$1000,Settings!$B$14)+SUMIFS(INDEX('Oxford Economics'!$A$7:$AZ$1000,0,IFERROR(MATCH(AG$5,'Oxford Economics'!$A$6:$AZ$6,0),MATCH(AG$5&amp;"",'Oxford Economics'!$A$6:$AZ$6,0))),'Oxford Economics'!$A$7:$A$1000,$C7,'Oxford Economics'!$B$7:$B$1000,Settings!$B$16)+IF(Settings!$B$18="",0,SUMIFS(INDEX('Oxford Economics'!$A$7:$AZ$1000,0,IFERROR(MATCH(AG$5,'Oxford Economics'!$A$6:$AZ$6,0),MATCH(AG$5&amp;"",'Oxford Economics'!$A$6:$AZ$6,0))),'Oxford Economics'!$A$7:$A$1000,$C7,'Oxford Economics'!$B$7:$B$1000,Settings!$B$18)))),""))</f>
        <v>4828.04</v>
      </c>
      <c r="AH7" s="38" t="n">
        <f aca="false">IF($A7="","",IFERROR(1/(1/IF($B7="Residential",SUMIFS(INDEX('Oxford Economics'!$A$7:$AZ$1000,0,IFERROR(MATCH(AH$5,'Oxford Economics'!$A$6:$AZ$6,0),MATCH(AH$5&amp;"",'Oxford Economics'!$A$6:$AZ$6,0))),'Oxford Economics'!$A$7:$A$1000,$C7,'Oxford Economics'!$B$7:$B$1000,Settings!$B$12)-SUMIFS(INDEX('Oxford Economics'!$A$7:$AZ$1000,0,IFERROR(MATCH(AH$5,'Oxford Economics'!$A$6:$AZ$6,0),MATCH(AH$5&amp;"",'Oxford Economics'!$A$6:$AZ$6,0))),'Oxford Economics'!$A$7:$A$1000,$C7,'Oxford Economics'!$B$7:$B$1000,Settings!$B$14),SUMIFS(INDEX('Oxford Economics'!$A$7:$AZ$1000,0,IFERROR(MATCH(AH$5,'Oxford Economics'!$A$6:$AZ$6,0),MATCH(AH$5&amp;"",'Oxford Economics'!$A$6:$AZ$6,0))),'Oxford Economics'!$A$7:$A$1000,$C7,'Oxford Economics'!$B$7:$B$1000,Settings!$B$14)+SUMIFS(INDEX('Oxford Economics'!$A$7:$AZ$1000,0,IFERROR(MATCH(AH$5,'Oxford Economics'!$A$6:$AZ$6,0),MATCH(AH$5&amp;"",'Oxford Economics'!$A$6:$AZ$6,0))),'Oxford Economics'!$A$7:$A$1000,$C7,'Oxford Economics'!$B$7:$B$1000,Settings!$B$16)+IF(Settings!$B$18="",0,SUMIFS(INDEX('Oxford Economics'!$A$7:$AZ$1000,0,IFERROR(MATCH(AH$5,'Oxford Economics'!$A$6:$AZ$6,0),MATCH(AH$5&amp;"",'Oxford Economics'!$A$6:$AZ$6,0))),'Oxford Economics'!$A$7:$A$1000,$C7,'Oxford Economics'!$B$7:$B$1000,Settings!$B$18)))),""))</f>
        <v>4481.48</v>
      </c>
      <c r="AI7" s="38" t="n">
        <f aca="false">IF($A7="","",IFERROR(1/(1/IF($B7="Residential",SUMIFS(INDEX('Oxford Economics'!$A$7:$AZ$1000,0,IFERROR(MATCH(AI$5,'Oxford Economics'!$A$6:$AZ$6,0),MATCH(AI$5&amp;"",'Oxford Economics'!$A$6:$AZ$6,0))),'Oxford Economics'!$A$7:$A$1000,$C7,'Oxford Economics'!$B$7:$B$1000,Settings!$B$12)-SUMIFS(INDEX('Oxford Economics'!$A$7:$AZ$1000,0,IFERROR(MATCH(AI$5,'Oxford Economics'!$A$6:$AZ$6,0),MATCH(AI$5&amp;"",'Oxford Economics'!$A$6:$AZ$6,0))),'Oxford Economics'!$A$7:$A$1000,$C7,'Oxford Economics'!$B$7:$B$1000,Settings!$B$14),SUMIFS(INDEX('Oxford Economics'!$A$7:$AZ$1000,0,IFERROR(MATCH(AI$5,'Oxford Economics'!$A$6:$AZ$6,0),MATCH(AI$5&amp;"",'Oxford Economics'!$A$6:$AZ$6,0))),'Oxford Economics'!$A$7:$A$1000,$C7,'Oxford Economics'!$B$7:$B$1000,Settings!$B$14)+SUMIFS(INDEX('Oxford Economics'!$A$7:$AZ$1000,0,IFERROR(MATCH(AI$5,'Oxford Economics'!$A$6:$AZ$6,0),MATCH(AI$5&amp;"",'Oxford Economics'!$A$6:$AZ$6,0))),'Oxford Economics'!$A$7:$A$1000,$C7,'Oxford Economics'!$B$7:$B$1000,Settings!$B$16)+IF(Settings!$B$18="",0,SUMIFS(INDEX('Oxford Economics'!$A$7:$AZ$1000,0,IFERROR(MATCH(AI$5,'Oxford Economics'!$A$6:$AZ$6,0),MATCH(AI$5&amp;"",'Oxford Economics'!$A$6:$AZ$6,0))),'Oxford Economics'!$A$7:$A$1000,$C7,'Oxford Economics'!$B$7:$B$1000,Settings!$B$18)))),""))</f>
        <v>4402.69</v>
      </c>
      <c r="AJ7" s="38" t="n">
        <f aca="false">IF($A7="","",IFERROR(1/(1/IF($B7="Residential",SUMIFS(INDEX('Oxford Economics'!$A$7:$AZ$1000,0,IFERROR(MATCH(AJ$5,'Oxford Economics'!$A$6:$AZ$6,0),MATCH(AJ$5&amp;"",'Oxford Economics'!$A$6:$AZ$6,0))),'Oxford Economics'!$A$7:$A$1000,$C7,'Oxford Economics'!$B$7:$B$1000,Settings!$B$12)-SUMIFS(INDEX('Oxford Economics'!$A$7:$AZ$1000,0,IFERROR(MATCH(AJ$5,'Oxford Economics'!$A$6:$AZ$6,0),MATCH(AJ$5&amp;"",'Oxford Economics'!$A$6:$AZ$6,0))),'Oxford Economics'!$A$7:$A$1000,$C7,'Oxford Economics'!$B$7:$B$1000,Settings!$B$14),SUMIFS(INDEX('Oxford Economics'!$A$7:$AZ$1000,0,IFERROR(MATCH(AJ$5,'Oxford Economics'!$A$6:$AZ$6,0),MATCH(AJ$5&amp;"",'Oxford Economics'!$A$6:$AZ$6,0))),'Oxford Economics'!$A$7:$A$1000,$C7,'Oxford Economics'!$B$7:$B$1000,Settings!$B$14)+SUMIFS(INDEX('Oxford Economics'!$A$7:$AZ$1000,0,IFERROR(MATCH(AJ$5,'Oxford Economics'!$A$6:$AZ$6,0),MATCH(AJ$5&amp;"",'Oxford Economics'!$A$6:$AZ$6,0))),'Oxford Economics'!$A$7:$A$1000,$C7,'Oxford Economics'!$B$7:$B$1000,Settings!$B$16)+IF(Settings!$B$18="",0,SUMIFS(INDEX('Oxford Economics'!$A$7:$AZ$1000,0,IFERROR(MATCH(AJ$5,'Oxford Economics'!$A$6:$AZ$6,0),MATCH(AJ$5&amp;"",'Oxford Economics'!$A$6:$AZ$6,0))),'Oxford Economics'!$A$7:$A$1000,$C7,'Oxford Economics'!$B$7:$B$1000,Settings!$B$18)))),""))</f>
        <v>4606.79</v>
      </c>
      <c r="AK7" s="38" t="n">
        <f aca="false">IF($A7="","",IFERROR(1/(1/IF($B7="Residential",SUMIFS(INDEX('Oxford Economics'!$A$7:$AZ$1000,0,IFERROR(MATCH(AK$5,'Oxford Economics'!$A$6:$AZ$6,0),MATCH(AK$5&amp;"",'Oxford Economics'!$A$6:$AZ$6,0))),'Oxford Economics'!$A$7:$A$1000,$C7,'Oxford Economics'!$B$7:$B$1000,Settings!$B$12)-SUMIFS(INDEX('Oxford Economics'!$A$7:$AZ$1000,0,IFERROR(MATCH(AK$5,'Oxford Economics'!$A$6:$AZ$6,0),MATCH(AK$5&amp;"",'Oxford Economics'!$A$6:$AZ$6,0))),'Oxford Economics'!$A$7:$A$1000,$C7,'Oxford Economics'!$B$7:$B$1000,Settings!$B$14),SUMIFS(INDEX('Oxford Economics'!$A$7:$AZ$1000,0,IFERROR(MATCH(AK$5,'Oxford Economics'!$A$6:$AZ$6,0),MATCH(AK$5&amp;"",'Oxford Economics'!$A$6:$AZ$6,0))),'Oxford Economics'!$A$7:$A$1000,$C7,'Oxford Economics'!$B$7:$B$1000,Settings!$B$14)+SUMIFS(INDEX('Oxford Economics'!$A$7:$AZ$1000,0,IFERROR(MATCH(AK$5,'Oxford Economics'!$A$6:$AZ$6,0),MATCH(AK$5&amp;"",'Oxford Economics'!$A$6:$AZ$6,0))),'Oxford Economics'!$A$7:$A$1000,$C7,'Oxford Economics'!$B$7:$B$1000,Settings!$B$16)+IF(Settings!$B$18="",0,SUMIFS(INDEX('Oxford Economics'!$A$7:$AZ$1000,0,IFERROR(MATCH(AK$5,'Oxford Economics'!$A$6:$AZ$6,0),MATCH(AK$5&amp;"",'Oxford Economics'!$A$6:$AZ$6,0))),'Oxford Economics'!$A$7:$A$1000,$C7,'Oxford Economics'!$B$7:$B$1000,Settings!$B$18)))),""))</f>
        <v>4882.46</v>
      </c>
      <c r="AL7" s="38" t="n">
        <f aca="false">IF($A7="","",IFERROR(1/(1/IF($B7="Residential",SUMIFS(INDEX('Oxford Economics'!$A$7:$AZ$1000,0,IFERROR(MATCH(AL$5,'Oxford Economics'!$A$6:$AZ$6,0),MATCH(AL$5&amp;"",'Oxford Economics'!$A$6:$AZ$6,0))),'Oxford Economics'!$A$7:$A$1000,$C7,'Oxford Economics'!$B$7:$B$1000,Settings!$B$12)-SUMIFS(INDEX('Oxford Economics'!$A$7:$AZ$1000,0,IFERROR(MATCH(AL$5,'Oxford Economics'!$A$6:$AZ$6,0),MATCH(AL$5&amp;"",'Oxford Economics'!$A$6:$AZ$6,0))),'Oxford Economics'!$A$7:$A$1000,$C7,'Oxford Economics'!$B$7:$B$1000,Settings!$B$14),SUMIFS(INDEX('Oxford Economics'!$A$7:$AZ$1000,0,IFERROR(MATCH(AL$5,'Oxford Economics'!$A$6:$AZ$6,0),MATCH(AL$5&amp;"",'Oxford Economics'!$A$6:$AZ$6,0))),'Oxford Economics'!$A$7:$A$1000,$C7,'Oxford Economics'!$B$7:$B$1000,Settings!$B$14)+SUMIFS(INDEX('Oxford Economics'!$A$7:$AZ$1000,0,IFERROR(MATCH(AL$5,'Oxford Economics'!$A$6:$AZ$6,0),MATCH(AL$5&amp;"",'Oxford Economics'!$A$6:$AZ$6,0))),'Oxford Economics'!$A$7:$A$1000,$C7,'Oxford Economics'!$B$7:$B$1000,Settings!$B$16)+IF(Settings!$B$18="",0,SUMIFS(INDEX('Oxford Economics'!$A$7:$AZ$1000,0,IFERROR(MATCH(AL$5,'Oxford Economics'!$A$6:$AZ$6,0),MATCH(AL$5&amp;"",'Oxford Economics'!$A$6:$AZ$6,0))),'Oxford Economics'!$A$7:$A$1000,$C7,'Oxford Economics'!$B$7:$B$1000,Settings!$B$18)))),""))</f>
        <v>5135.8</v>
      </c>
      <c r="AM7" s="38" t="n">
        <f aca="false">IF($A7="","",IFERROR(1/(1/IF($B7="Residential",SUMIFS(INDEX('Oxford Economics'!$A$7:$AZ$1000,0,IFERROR(MATCH(AM$5,'Oxford Economics'!$A$6:$AZ$6,0),MATCH(AM$5&amp;"",'Oxford Economics'!$A$6:$AZ$6,0))),'Oxford Economics'!$A$7:$A$1000,$C7,'Oxford Economics'!$B$7:$B$1000,Settings!$B$12)-SUMIFS(INDEX('Oxford Economics'!$A$7:$AZ$1000,0,IFERROR(MATCH(AM$5,'Oxford Economics'!$A$6:$AZ$6,0),MATCH(AM$5&amp;"",'Oxford Economics'!$A$6:$AZ$6,0))),'Oxford Economics'!$A$7:$A$1000,$C7,'Oxford Economics'!$B$7:$B$1000,Settings!$B$14),SUMIFS(INDEX('Oxford Economics'!$A$7:$AZ$1000,0,IFERROR(MATCH(AM$5,'Oxford Economics'!$A$6:$AZ$6,0),MATCH(AM$5&amp;"",'Oxford Economics'!$A$6:$AZ$6,0))),'Oxford Economics'!$A$7:$A$1000,$C7,'Oxford Economics'!$B$7:$B$1000,Settings!$B$14)+SUMIFS(INDEX('Oxford Economics'!$A$7:$AZ$1000,0,IFERROR(MATCH(AM$5,'Oxford Economics'!$A$6:$AZ$6,0),MATCH(AM$5&amp;"",'Oxford Economics'!$A$6:$AZ$6,0))),'Oxford Economics'!$A$7:$A$1000,$C7,'Oxford Economics'!$B$7:$B$1000,Settings!$B$16)+IF(Settings!$B$18="",0,SUMIFS(INDEX('Oxford Economics'!$A$7:$AZ$1000,0,IFERROR(MATCH(AM$5,'Oxford Economics'!$A$6:$AZ$6,0),MATCH(AM$5&amp;"",'Oxford Economics'!$A$6:$AZ$6,0))),'Oxford Economics'!$A$7:$A$1000,$C7,'Oxford Economics'!$B$7:$B$1000,Settings!$B$18)))),""))</f>
        <v>5300.78</v>
      </c>
    </row>
    <row r="8" customFormat="false" ht="15" hidden="false" customHeight="false" outlineLevel="0" collapsed="false">
      <c r="A8" s="37" t="str">
        <f aca="false">IF('Raw data'!$A8="","",'Raw data'!$A8)</f>
        <v>Poland</v>
      </c>
      <c r="B8" s="37" t="str">
        <f aca="false">IF($A8="","",'Raw data'!$C8)</f>
        <v>Residential</v>
      </c>
      <c r="C8" s="37" t="str">
        <f aca="false">IF($A8="","",IF('Raw data'!$E8="",$A8,'Raw data'!$E8))</f>
        <v>Poland</v>
      </c>
      <c r="D8" s="38" t="n">
        <f aca="false">IF($A8="","",IF(AND(ISNUMBER(P8),ISNUMBER(AB8)),P8+AB8,""))</f>
        <v>11403.86</v>
      </c>
      <c r="E8" s="38" t="n">
        <f aca="false">IF($A8="","",IF(AND(ISNUMBER(Q8),ISNUMBER(AC8)),Q8+AC8,""))</f>
        <v>12741.87</v>
      </c>
      <c r="F8" s="38" t="n">
        <f aca="false">IF($A8="","",IF(AND(ISNUMBER(R8),ISNUMBER(AD8)),R8+AD8,""))</f>
        <v>13190.07</v>
      </c>
      <c r="G8" s="38" t="n">
        <f aca="false">IF($A8="","",IF(AND(ISNUMBER(S8),ISNUMBER(AE8)),S8+AE8,""))</f>
        <v>12256.2</v>
      </c>
      <c r="H8" s="38" t="n">
        <f aca="false">IF($A8="","",IF(AND(ISNUMBER(T8),ISNUMBER(AF8)),T8+AF8,""))</f>
        <v>10705.75</v>
      </c>
      <c r="I8" s="38" t="n">
        <f aca="false">IF($A8="","",IF(AND(ISNUMBER(U8),ISNUMBER(AG8)),U8+AG8,""))</f>
        <v>10329.28</v>
      </c>
      <c r="J8" s="38" t="n">
        <f aca="false">IF($A8="","",IF(AND(ISNUMBER(V8),ISNUMBER(AH8)),V8+AH8,""))</f>
        <v>11005.13</v>
      </c>
      <c r="K8" s="38" t="n">
        <f aca="false">IF($A8="","",IF(AND(ISNUMBER(W8),ISNUMBER(AI8)),W8+AI8,""))</f>
        <v>11536</v>
      </c>
      <c r="L8" s="38" t="n">
        <f aca="false">IF($A8="","",IF(AND(ISNUMBER(X8),ISNUMBER(AJ8)),X8+AJ8,""))</f>
        <v>11749.98</v>
      </c>
      <c r="M8" s="38" t="n">
        <f aca="false">IF($A8="","",IF(AND(ISNUMBER(Y8),ISNUMBER(AK8)),Y8+AK8,""))</f>
        <v>12006.34</v>
      </c>
      <c r="N8" s="38" t="n">
        <f aca="false">IF($A8="","",IF(AND(ISNUMBER(Z8),ISNUMBER(AL8)),Z8+AL8,""))</f>
        <v>12173.05</v>
      </c>
      <c r="O8" s="38" t="n">
        <f aca="false">IF($A8="","",IF(AND(ISNUMBER(AA8),ISNUMBER(AM8)),AA8+AM8,""))</f>
        <v>12300.28</v>
      </c>
      <c r="P8" s="38" t="n">
        <f aca="false">IF($A8="","",IFERROR(1/(1/IF($B8="Residential",SUMIFS(INDEX('Oxford Economics'!$A$7:$AZ$1000,0,IFERROR(MATCH(P$5,'Oxford Economics'!$A$6:$AZ$6,0),MATCH(P$5&amp;"",'Oxford Economics'!$A$6:$AZ$6,0))),'Oxford Economics'!$A$7:$A$1000,$C8,'Oxford Economics'!$B$7:$B$1000,Settings!$B$13)-SUMIFS(INDEX('Oxford Economics'!$A$7:$AZ$1000,0,IFERROR(MATCH(P$5,'Oxford Economics'!$A$6:$AZ$6,0),MATCH(P$5&amp;"",'Oxford Economics'!$A$6:$AZ$6,0))),'Oxford Economics'!$A$7:$A$1000,$C8,'Oxford Economics'!$B$7:$B$1000,Settings!$B$15),SUMIFS(INDEX('Oxford Economics'!$A$7:$AZ$1000,0,IFERROR(MATCH(P$5,'Oxford Economics'!$A$6:$AZ$6,0),MATCH(P$5&amp;"",'Oxford Economics'!$A$6:$AZ$6,0))),'Oxford Economics'!$A$7:$A$1000,$C8,'Oxford Economics'!$B$7:$B$1000,Settings!$B$15)+SUMIFS(INDEX('Oxford Economics'!$A$7:$AZ$1000,0,IFERROR(MATCH(P$5,'Oxford Economics'!$A$6:$AZ$6,0),MATCH(P$5&amp;"",'Oxford Economics'!$A$6:$AZ$6,0))),'Oxford Economics'!$A$7:$A$1000,$C8,'Oxford Economics'!$B$7:$B$1000,Settings!$B$17)+IF(Settings!$B$19="",0,SUMIFS(INDEX('Oxford Economics'!$A$7:$AZ$1000,0,IFERROR(MATCH(P$5,'Oxford Economics'!$A$6:$AZ$6,0),MATCH(P$5&amp;"",'Oxford Economics'!$A$6:$AZ$6,0))),'Oxford Economics'!$A$7:$A$1000,$C8,'Oxford Economics'!$B$7:$B$1000,Settings!$B$19)))),""))</f>
        <v>4955.49</v>
      </c>
      <c r="Q8" s="38" t="n">
        <f aca="false">IF($A8="","",IFERROR(1/(1/IF($B8="Residential",SUMIFS(INDEX('Oxford Economics'!$A$7:$AZ$1000,0,IFERROR(MATCH(Q$5,'Oxford Economics'!$A$6:$AZ$6,0),MATCH(Q$5&amp;"",'Oxford Economics'!$A$6:$AZ$6,0))),'Oxford Economics'!$A$7:$A$1000,$C8,'Oxford Economics'!$B$7:$B$1000,Settings!$B$13)-SUMIFS(INDEX('Oxford Economics'!$A$7:$AZ$1000,0,IFERROR(MATCH(Q$5,'Oxford Economics'!$A$6:$AZ$6,0),MATCH(Q$5&amp;"",'Oxford Economics'!$A$6:$AZ$6,0))),'Oxford Economics'!$A$7:$A$1000,$C8,'Oxford Economics'!$B$7:$B$1000,Settings!$B$15),SUMIFS(INDEX('Oxford Economics'!$A$7:$AZ$1000,0,IFERROR(MATCH(Q$5,'Oxford Economics'!$A$6:$AZ$6,0),MATCH(Q$5&amp;"",'Oxford Economics'!$A$6:$AZ$6,0))),'Oxford Economics'!$A$7:$A$1000,$C8,'Oxford Economics'!$B$7:$B$1000,Settings!$B$15)+SUMIFS(INDEX('Oxford Economics'!$A$7:$AZ$1000,0,IFERROR(MATCH(Q$5,'Oxford Economics'!$A$6:$AZ$6,0),MATCH(Q$5&amp;"",'Oxford Economics'!$A$6:$AZ$6,0))),'Oxford Economics'!$A$7:$A$1000,$C8,'Oxford Economics'!$B$7:$B$1000,Settings!$B$17)+IF(Settings!$B$19="",0,SUMIFS(INDEX('Oxford Economics'!$A$7:$AZ$1000,0,IFERROR(MATCH(Q$5,'Oxford Economics'!$A$6:$AZ$6,0),MATCH(Q$5&amp;"",'Oxford Economics'!$A$6:$AZ$6,0))),'Oxford Economics'!$A$7:$A$1000,$C8,'Oxford Economics'!$B$7:$B$1000,Settings!$B$19)))),""))</f>
        <v>5528.95</v>
      </c>
      <c r="R8" s="38" t="n">
        <f aca="false">IF($A8="","",IFERROR(1/(1/IF($B8="Residential",SUMIFS(INDEX('Oxford Economics'!$A$7:$AZ$1000,0,IFERROR(MATCH(R$5,'Oxford Economics'!$A$6:$AZ$6,0),MATCH(R$5&amp;"",'Oxford Economics'!$A$6:$AZ$6,0))),'Oxford Economics'!$A$7:$A$1000,$C8,'Oxford Economics'!$B$7:$B$1000,Settings!$B$13)-SUMIFS(INDEX('Oxford Economics'!$A$7:$AZ$1000,0,IFERROR(MATCH(R$5,'Oxford Economics'!$A$6:$AZ$6,0),MATCH(R$5&amp;"",'Oxford Economics'!$A$6:$AZ$6,0))),'Oxford Economics'!$A$7:$A$1000,$C8,'Oxford Economics'!$B$7:$B$1000,Settings!$B$15),SUMIFS(INDEX('Oxford Economics'!$A$7:$AZ$1000,0,IFERROR(MATCH(R$5,'Oxford Economics'!$A$6:$AZ$6,0),MATCH(R$5&amp;"",'Oxford Economics'!$A$6:$AZ$6,0))),'Oxford Economics'!$A$7:$A$1000,$C8,'Oxford Economics'!$B$7:$B$1000,Settings!$B$15)+SUMIFS(INDEX('Oxford Economics'!$A$7:$AZ$1000,0,IFERROR(MATCH(R$5,'Oxford Economics'!$A$6:$AZ$6,0),MATCH(R$5&amp;"",'Oxford Economics'!$A$6:$AZ$6,0))),'Oxford Economics'!$A$7:$A$1000,$C8,'Oxford Economics'!$B$7:$B$1000,Settings!$B$17)+IF(Settings!$B$19="",0,SUMIFS(INDEX('Oxford Economics'!$A$7:$AZ$1000,0,IFERROR(MATCH(R$5,'Oxford Economics'!$A$6:$AZ$6,0),MATCH(R$5&amp;"",'Oxford Economics'!$A$6:$AZ$6,0))),'Oxford Economics'!$A$7:$A$1000,$C8,'Oxford Economics'!$B$7:$B$1000,Settings!$B$19)))),""))</f>
        <v>6104.35</v>
      </c>
      <c r="S8" s="38" t="n">
        <f aca="false">IF($A8="","",IFERROR(1/(1/IF($B8="Residential",SUMIFS(INDEX('Oxford Economics'!$A$7:$AZ$1000,0,IFERROR(MATCH(S$5,'Oxford Economics'!$A$6:$AZ$6,0),MATCH(S$5&amp;"",'Oxford Economics'!$A$6:$AZ$6,0))),'Oxford Economics'!$A$7:$A$1000,$C8,'Oxford Economics'!$B$7:$B$1000,Settings!$B$13)-SUMIFS(INDEX('Oxford Economics'!$A$7:$AZ$1000,0,IFERROR(MATCH(S$5,'Oxford Economics'!$A$6:$AZ$6,0),MATCH(S$5&amp;"",'Oxford Economics'!$A$6:$AZ$6,0))),'Oxford Economics'!$A$7:$A$1000,$C8,'Oxford Economics'!$B$7:$B$1000,Settings!$B$15),SUMIFS(INDEX('Oxford Economics'!$A$7:$AZ$1000,0,IFERROR(MATCH(S$5,'Oxford Economics'!$A$6:$AZ$6,0),MATCH(S$5&amp;"",'Oxford Economics'!$A$6:$AZ$6,0))),'Oxford Economics'!$A$7:$A$1000,$C8,'Oxford Economics'!$B$7:$B$1000,Settings!$B$15)+SUMIFS(INDEX('Oxford Economics'!$A$7:$AZ$1000,0,IFERROR(MATCH(S$5,'Oxford Economics'!$A$6:$AZ$6,0),MATCH(S$5&amp;"",'Oxford Economics'!$A$6:$AZ$6,0))),'Oxford Economics'!$A$7:$A$1000,$C8,'Oxford Economics'!$B$7:$B$1000,Settings!$B$17)+IF(Settings!$B$19="",0,SUMIFS(INDEX('Oxford Economics'!$A$7:$AZ$1000,0,IFERROR(MATCH(S$5,'Oxford Economics'!$A$6:$AZ$6,0),MATCH(S$5&amp;"",'Oxford Economics'!$A$6:$AZ$6,0))),'Oxford Economics'!$A$7:$A$1000,$C8,'Oxford Economics'!$B$7:$B$1000,Settings!$B$19)))),""))</f>
        <v>6328.52</v>
      </c>
      <c r="T8" s="38" t="n">
        <f aca="false">IF($A8="","",IFERROR(1/(1/IF($B8="Residential",SUMIFS(INDEX('Oxford Economics'!$A$7:$AZ$1000,0,IFERROR(MATCH(T$5,'Oxford Economics'!$A$6:$AZ$6,0),MATCH(T$5&amp;"",'Oxford Economics'!$A$6:$AZ$6,0))),'Oxford Economics'!$A$7:$A$1000,$C8,'Oxford Economics'!$B$7:$B$1000,Settings!$B$13)-SUMIFS(INDEX('Oxford Economics'!$A$7:$AZ$1000,0,IFERROR(MATCH(T$5,'Oxford Economics'!$A$6:$AZ$6,0),MATCH(T$5&amp;"",'Oxford Economics'!$A$6:$AZ$6,0))),'Oxford Economics'!$A$7:$A$1000,$C8,'Oxford Economics'!$B$7:$B$1000,Settings!$B$15),SUMIFS(INDEX('Oxford Economics'!$A$7:$AZ$1000,0,IFERROR(MATCH(T$5,'Oxford Economics'!$A$6:$AZ$6,0),MATCH(T$5&amp;"",'Oxford Economics'!$A$6:$AZ$6,0))),'Oxford Economics'!$A$7:$A$1000,$C8,'Oxford Economics'!$B$7:$B$1000,Settings!$B$15)+SUMIFS(INDEX('Oxford Economics'!$A$7:$AZ$1000,0,IFERROR(MATCH(T$5,'Oxford Economics'!$A$6:$AZ$6,0),MATCH(T$5&amp;"",'Oxford Economics'!$A$6:$AZ$6,0))),'Oxford Economics'!$A$7:$A$1000,$C8,'Oxford Economics'!$B$7:$B$1000,Settings!$B$17)+IF(Settings!$B$19="",0,SUMIFS(INDEX('Oxford Economics'!$A$7:$AZ$1000,0,IFERROR(MATCH(T$5,'Oxford Economics'!$A$6:$AZ$6,0),MATCH(T$5&amp;"",'Oxford Economics'!$A$6:$AZ$6,0))),'Oxford Economics'!$A$7:$A$1000,$C8,'Oxford Economics'!$B$7:$B$1000,Settings!$B$19)))),""))</f>
        <v>5426.79</v>
      </c>
      <c r="U8" s="38" t="n">
        <f aca="false">IF($A8="","",IFERROR(1/(1/IF($B8="Residential",SUMIFS(INDEX('Oxford Economics'!$A$7:$AZ$1000,0,IFERROR(MATCH(U$5,'Oxford Economics'!$A$6:$AZ$6,0),MATCH(U$5&amp;"",'Oxford Economics'!$A$6:$AZ$6,0))),'Oxford Economics'!$A$7:$A$1000,$C8,'Oxford Economics'!$B$7:$B$1000,Settings!$B$13)-SUMIFS(INDEX('Oxford Economics'!$A$7:$AZ$1000,0,IFERROR(MATCH(U$5,'Oxford Economics'!$A$6:$AZ$6,0),MATCH(U$5&amp;"",'Oxford Economics'!$A$6:$AZ$6,0))),'Oxford Economics'!$A$7:$A$1000,$C8,'Oxford Economics'!$B$7:$B$1000,Settings!$B$15),SUMIFS(INDEX('Oxford Economics'!$A$7:$AZ$1000,0,IFERROR(MATCH(U$5,'Oxford Economics'!$A$6:$AZ$6,0),MATCH(U$5&amp;"",'Oxford Economics'!$A$6:$AZ$6,0))),'Oxford Economics'!$A$7:$A$1000,$C8,'Oxford Economics'!$B$7:$B$1000,Settings!$B$15)+SUMIFS(INDEX('Oxford Economics'!$A$7:$AZ$1000,0,IFERROR(MATCH(U$5,'Oxford Economics'!$A$6:$AZ$6,0),MATCH(U$5&amp;"",'Oxford Economics'!$A$6:$AZ$6,0))),'Oxford Economics'!$A$7:$A$1000,$C8,'Oxford Economics'!$B$7:$B$1000,Settings!$B$17)+IF(Settings!$B$19="",0,SUMIFS(INDEX('Oxford Economics'!$A$7:$AZ$1000,0,IFERROR(MATCH(U$5,'Oxford Economics'!$A$6:$AZ$6,0),MATCH(U$5&amp;"",'Oxford Economics'!$A$6:$AZ$6,0))),'Oxford Economics'!$A$7:$A$1000,$C8,'Oxford Economics'!$B$7:$B$1000,Settings!$B$19)))),""))</f>
        <v>5501.24</v>
      </c>
      <c r="V8" s="38" t="n">
        <f aca="false">IF($A8="","",IFERROR(1/(1/IF($B8="Residential",SUMIFS(INDEX('Oxford Economics'!$A$7:$AZ$1000,0,IFERROR(MATCH(V$5,'Oxford Economics'!$A$6:$AZ$6,0),MATCH(V$5&amp;"",'Oxford Economics'!$A$6:$AZ$6,0))),'Oxford Economics'!$A$7:$A$1000,$C8,'Oxford Economics'!$B$7:$B$1000,Settings!$B$13)-SUMIFS(INDEX('Oxford Economics'!$A$7:$AZ$1000,0,IFERROR(MATCH(V$5,'Oxford Economics'!$A$6:$AZ$6,0),MATCH(V$5&amp;"",'Oxford Economics'!$A$6:$AZ$6,0))),'Oxford Economics'!$A$7:$A$1000,$C8,'Oxford Economics'!$B$7:$B$1000,Settings!$B$15),SUMIFS(INDEX('Oxford Economics'!$A$7:$AZ$1000,0,IFERROR(MATCH(V$5,'Oxford Economics'!$A$6:$AZ$6,0),MATCH(V$5&amp;"",'Oxford Economics'!$A$6:$AZ$6,0))),'Oxford Economics'!$A$7:$A$1000,$C8,'Oxford Economics'!$B$7:$B$1000,Settings!$B$15)+SUMIFS(INDEX('Oxford Economics'!$A$7:$AZ$1000,0,IFERROR(MATCH(V$5,'Oxford Economics'!$A$6:$AZ$6,0),MATCH(V$5&amp;"",'Oxford Economics'!$A$6:$AZ$6,0))),'Oxford Economics'!$A$7:$A$1000,$C8,'Oxford Economics'!$B$7:$B$1000,Settings!$B$17)+IF(Settings!$B$19="",0,SUMIFS(INDEX('Oxford Economics'!$A$7:$AZ$1000,0,IFERROR(MATCH(V$5,'Oxford Economics'!$A$6:$AZ$6,0),MATCH(V$5&amp;"",'Oxford Economics'!$A$6:$AZ$6,0))),'Oxford Economics'!$A$7:$A$1000,$C8,'Oxford Economics'!$B$7:$B$1000,Settings!$B$19)))),""))</f>
        <v>6523.65</v>
      </c>
      <c r="W8" s="38" t="n">
        <f aca="false">IF($A8="","",IFERROR(1/(1/IF($B8="Residential",SUMIFS(INDEX('Oxford Economics'!$A$7:$AZ$1000,0,IFERROR(MATCH(W$5,'Oxford Economics'!$A$6:$AZ$6,0),MATCH(W$5&amp;"",'Oxford Economics'!$A$6:$AZ$6,0))),'Oxford Economics'!$A$7:$A$1000,$C8,'Oxford Economics'!$B$7:$B$1000,Settings!$B$13)-SUMIFS(INDEX('Oxford Economics'!$A$7:$AZ$1000,0,IFERROR(MATCH(W$5,'Oxford Economics'!$A$6:$AZ$6,0),MATCH(W$5&amp;"",'Oxford Economics'!$A$6:$AZ$6,0))),'Oxford Economics'!$A$7:$A$1000,$C8,'Oxford Economics'!$B$7:$B$1000,Settings!$B$15),SUMIFS(INDEX('Oxford Economics'!$A$7:$AZ$1000,0,IFERROR(MATCH(W$5,'Oxford Economics'!$A$6:$AZ$6,0),MATCH(W$5&amp;"",'Oxford Economics'!$A$6:$AZ$6,0))),'Oxford Economics'!$A$7:$A$1000,$C8,'Oxford Economics'!$B$7:$B$1000,Settings!$B$15)+SUMIFS(INDEX('Oxford Economics'!$A$7:$AZ$1000,0,IFERROR(MATCH(W$5,'Oxford Economics'!$A$6:$AZ$6,0),MATCH(W$5&amp;"",'Oxford Economics'!$A$6:$AZ$6,0))),'Oxford Economics'!$A$7:$A$1000,$C8,'Oxford Economics'!$B$7:$B$1000,Settings!$B$17)+IF(Settings!$B$19="",0,SUMIFS(INDEX('Oxford Economics'!$A$7:$AZ$1000,0,IFERROR(MATCH(W$5,'Oxford Economics'!$A$6:$AZ$6,0),MATCH(W$5&amp;"",'Oxford Economics'!$A$6:$AZ$6,0))),'Oxford Economics'!$A$7:$A$1000,$C8,'Oxford Economics'!$B$7:$B$1000,Settings!$B$19)))),""))</f>
        <v>7133.31</v>
      </c>
      <c r="X8" s="38" t="n">
        <f aca="false">IF($A8="","",IFERROR(1/(1/IF($B8="Residential",SUMIFS(INDEX('Oxford Economics'!$A$7:$AZ$1000,0,IFERROR(MATCH(X$5,'Oxford Economics'!$A$6:$AZ$6,0),MATCH(X$5&amp;"",'Oxford Economics'!$A$6:$AZ$6,0))),'Oxford Economics'!$A$7:$A$1000,$C8,'Oxford Economics'!$B$7:$B$1000,Settings!$B$13)-SUMIFS(INDEX('Oxford Economics'!$A$7:$AZ$1000,0,IFERROR(MATCH(X$5,'Oxford Economics'!$A$6:$AZ$6,0),MATCH(X$5&amp;"",'Oxford Economics'!$A$6:$AZ$6,0))),'Oxford Economics'!$A$7:$A$1000,$C8,'Oxford Economics'!$B$7:$B$1000,Settings!$B$15),SUMIFS(INDEX('Oxford Economics'!$A$7:$AZ$1000,0,IFERROR(MATCH(X$5,'Oxford Economics'!$A$6:$AZ$6,0),MATCH(X$5&amp;"",'Oxford Economics'!$A$6:$AZ$6,0))),'Oxford Economics'!$A$7:$A$1000,$C8,'Oxford Economics'!$B$7:$B$1000,Settings!$B$15)+SUMIFS(INDEX('Oxford Economics'!$A$7:$AZ$1000,0,IFERROR(MATCH(X$5,'Oxford Economics'!$A$6:$AZ$6,0),MATCH(X$5&amp;"",'Oxford Economics'!$A$6:$AZ$6,0))),'Oxford Economics'!$A$7:$A$1000,$C8,'Oxford Economics'!$B$7:$B$1000,Settings!$B$17)+IF(Settings!$B$19="",0,SUMIFS(INDEX('Oxford Economics'!$A$7:$AZ$1000,0,IFERROR(MATCH(X$5,'Oxford Economics'!$A$6:$AZ$6,0),MATCH(X$5&amp;"",'Oxford Economics'!$A$6:$AZ$6,0))),'Oxford Economics'!$A$7:$A$1000,$C8,'Oxford Economics'!$B$7:$B$1000,Settings!$B$19)))),""))</f>
        <v>7143.19</v>
      </c>
      <c r="Y8" s="38" t="n">
        <f aca="false">IF($A8="","",IFERROR(1/(1/IF($B8="Residential",SUMIFS(INDEX('Oxford Economics'!$A$7:$AZ$1000,0,IFERROR(MATCH(Y$5,'Oxford Economics'!$A$6:$AZ$6,0),MATCH(Y$5&amp;"",'Oxford Economics'!$A$6:$AZ$6,0))),'Oxford Economics'!$A$7:$A$1000,$C8,'Oxford Economics'!$B$7:$B$1000,Settings!$B$13)-SUMIFS(INDEX('Oxford Economics'!$A$7:$AZ$1000,0,IFERROR(MATCH(Y$5,'Oxford Economics'!$A$6:$AZ$6,0),MATCH(Y$5&amp;"",'Oxford Economics'!$A$6:$AZ$6,0))),'Oxford Economics'!$A$7:$A$1000,$C8,'Oxford Economics'!$B$7:$B$1000,Settings!$B$15),SUMIFS(INDEX('Oxford Economics'!$A$7:$AZ$1000,0,IFERROR(MATCH(Y$5,'Oxford Economics'!$A$6:$AZ$6,0),MATCH(Y$5&amp;"",'Oxford Economics'!$A$6:$AZ$6,0))),'Oxford Economics'!$A$7:$A$1000,$C8,'Oxford Economics'!$B$7:$B$1000,Settings!$B$15)+SUMIFS(INDEX('Oxford Economics'!$A$7:$AZ$1000,0,IFERROR(MATCH(Y$5,'Oxford Economics'!$A$6:$AZ$6,0),MATCH(Y$5&amp;"",'Oxford Economics'!$A$6:$AZ$6,0))),'Oxford Economics'!$A$7:$A$1000,$C8,'Oxford Economics'!$B$7:$B$1000,Settings!$B$17)+IF(Settings!$B$19="",0,SUMIFS(INDEX('Oxford Economics'!$A$7:$AZ$1000,0,IFERROR(MATCH(Y$5,'Oxford Economics'!$A$6:$AZ$6,0),MATCH(Y$5&amp;"",'Oxford Economics'!$A$6:$AZ$6,0))),'Oxford Economics'!$A$7:$A$1000,$C8,'Oxford Economics'!$B$7:$B$1000,Settings!$B$19)))),""))</f>
        <v>7123.88</v>
      </c>
      <c r="Z8" s="38" t="n">
        <f aca="false">IF($A8="","",IFERROR(1/(1/IF($B8="Residential",SUMIFS(INDEX('Oxford Economics'!$A$7:$AZ$1000,0,IFERROR(MATCH(Z$5,'Oxford Economics'!$A$6:$AZ$6,0),MATCH(Z$5&amp;"",'Oxford Economics'!$A$6:$AZ$6,0))),'Oxford Economics'!$A$7:$A$1000,$C8,'Oxford Economics'!$B$7:$B$1000,Settings!$B$13)-SUMIFS(INDEX('Oxford Economics'!$A$7:$AZ$1000,0,IFERROR(MATCH(Z$5,'Oxford Economics'!$A$6:$AZ$6,0),MATCH(Z$5&amp;"",'Oxford Economics'!$A$6:$AZ$6,0))),'Oxford Economics'!$A$7:$A$1000,$C8,'Oxford Economics'!$B$7:$B$1000,Settings!$B$15),SUMIFS(INDEX('Oxford Economics'!$A$7:$AZ$1000,0,IFERROR(MATCH(Z$5,'Oxford Economics'!$A$6:$AZ$6,0),MATCH(Z$5&amp;"",'Oxford Economics'!$A$6:$AZ$6,0))),'Oxford Economics'!$A$7:$A$1000,$C8,'Oxford Economics'!$B$7:$B$1000,Settings!$B$15)+SUMIFS(INDEX('Oxford Economics'!$A$7:$AZ$1000,0,IFERROR(MATCH(Z$5,'Oxford Economics'!$A$6:$AZ$6,0),MATCH(Z$5&amp;"",'Oxford Economics'!$A$6:$AZ$6,0))),'Oxford Economics'!$A$7:$A$1000,$C8,'Oxford Economics'!$B$7:$B$1000,Settings!$B$17)+IF(Settings!$B$19="",0,SUMIFS(INDEX('Oxford Economics'!$A$7:$AZ$1000,0,IFERROR(MATCH(Z$5,'Oxford Economics'!$A$6:$AZ$6,0),MATCH(Z$5&amp;"",'Oxford Economics'!$A$6:$AZ$6,0))),'Oxford Economics'!$A$7:$A$1000,$C8,'Oxford Economics'!$B$7:$B$1000,Settings!$B$19)))),""))</f>
        <v>7037.25</v>
      </c>
      <c r="AA8" s="38" t="n">
        <f aca="false">IF($A8="","",IFERROR(1/(1/IF($B8="Residential",SUMIFS(INDEX('Oxford Economics'!$A$7:$AZ$1000,0,IFERROR(MATCH(AA$5,'Oxford Economics'!$A$6:$AZ$6,0),MATCH(AA$5&amp;"",'Oxford Economics'!$A$6:$AZ$6,0))),'Oxford Economics'!$A$7:$A$1000,$C8,'Oxford Economics'!$B$7:$B$1000,Settings!$B$13)-SUMIFS(INDEX('Oxford Economics'!$A$7:$AZ$1000,0,IFERROR(MATCH(AA$5,'Oxford Economics'!$A$6:$AZ$6,0),MATCH(AA$5&amp;"",'Oxford Economics'!$A$6:$AZ$6,0))),'Oxford Economics'!$A$7:$A$1000,$C8,'Oxford Economics'!$B$7:$B$1000,Settings!$B$15),SUMIFS(INDEX('Oxford Economics'!$A$7:$AZ$1000,0,IFERROR(MATCH(AA$5,'Oxford Economics'!$A$6:$AZ$6,0),MATCH(AA$5&amp;"",'Oxford Economics'!$A$6:$AZ$6,0))),'Oxford Economics'!$A$7:$A$1000,$C8,'Oxford Economics'!$B$7:$B$1000,Settings!$B$15)+SUMIFS(INDEX('Oxford Economics'!$A$7:$AZ$1000,0,IFERROR(MATCH(AA$5,'Oxford Economics'!$A$6:$AZ$6,0),MATCH(AA$5&amp;"",'Oxford Economics'!$A$6:$AZ$6,0))),'Oxford Economics'!$A$7:$A$1000,$C8,'Oxford Economics'!$B$7:$B$1000,Settings!$B$17)+IF(Settings!$B$19="",0,SUMIFS(INDEX('Oxford Economics'!$A$7:$AZ$1000,0,IFERROR(MATCH(AA$5,'Oxford Economics'!$A$6:$AZ$6,0),MATCH(AA$5&amp;"",'Oxford Economics'!$A$6:$AZ$6,0))),'Oxford Economics'!$A$7:$A$1000,$C8,'Oxford Economics'!$B$7:$B$1000,Settings!$B$19)))),""))</f>
        <v>6999.5</v>
      </c>
      <c r="AB8" s="38" t="n">
        <f aca="false">IF($A8="","",IFERROR(1/(1/IF($B8="Residential",SUMIFS(INDEX('Oxford Economics'!$A$7:$AZ$1000,0,IFERROR(MATCH(AB$5,'Oxford Economics'!$A$6:$AZ$6,0),MATCH(AB$5&amp;"",'Oxford Economics'!$A$6:$AZ$6,0))),'Oxford Economics'!$A$7:$A$1000,$C8,'Oxford Economics'!$B$7:$B$1000,Settings!$B$12)-SUMIFS(INDEX('Oxford Economics'!$A$7:$AZ$1000,0,IFERROR(MATCH(AB$5,'Oxford Economics'!$A$6:$AZ$6,0),MATCH(AB$5&amp;"",'Oxford Economics'!$A$6:$AZ$6,0))),'Oxford Economics'!$A$7:$A$1000,$C8,'Oxford Economics'!$B$7:$B$1000,Settings!$B$14),SUMIFS(INDEX('Oxford Economics'!$A$7:$AZ$1000,0,IFERROR(MATCH(AB$5,'Oxford Economics'!$A$6:$AZ$6,0),MATCH(AB$5&amp;"",'Oxford Economics'!$A$6:$AZ$6,0))),'Oxford Economics'!$A$7:$A$1000,$C8,'Oxford Economics'!$B$7:$B$1000,Settings!$B$14)+SUMIFS(INDEX('Oxford Economics'!$A$7:$AZ$1000,0,IFERROR(MATCH(AB$5,'Oxford Economics'!$A$6:$AZ$6,0),MATCH(AB$5&amp;"",'Oxford Economics'!$A$6:$AZ$6,0))),'Oxford Economics'!$A$7:$A$1000,$C8,'Oxford Economics'!$B$7:$B$1000,Settings!$B$16)+IF(Settings!$B$18="",0,SUMIFS(INDEX('Oxford Economics'!$A$7:$AZ$1000,0,IFERROR(MATCH(AB$5,'Oxford Economics'!$A$6:$AZ$6,0),MATCH(AB$5&amp;"",'Oxford Economics'!$A$6:$AZ$6,0))),'Oxford Economics'!$A$7:$A$1000,$C8,'Oxford Economics'!$B$7:$B$1000,Settings!$B$18)))),""))</f>
        <v>6448.37</v>
      </c>
      <c r="AC8" s="38" t="n">
        <f aca="false">IF($A8="","",IFERROR(1/(1/IF($B8="Residential",SUMIFS(INDEX('Oxford Economics'!$A$7:$AZ$1000,0,IFERROR(MATCH(AC$5,'Oxford Economics'!$A$6:$AZ$6,0),MATCH(AC$5&amp;"",'Oxford Economics'!$A$6:$AZ$6,0))),'Oxford Economics'!$A$7:$A$1000,$C8,'Oxford Economics'!$B$7:$B$1000,Settings!$B$12)-SUMIFS(INDEX('Oxford Economics'!$A$7:$AZ$1000,0,IFERROR(MATCH(AC$5,'Oxford Economics'!$A$6:$AZ$6,0),MATCH(AC$5&amp;"",'Oxford Economics'!$A$6:$AZ$6,0))),'Oxford Economics'!$A$7:$A$1000,$C8,'Oxford Economics'!$B$7:$B$1000,Settings!$B$14),SUMIFS(INDEX('Oxford Economics'!$A$7:$AZ$1000,0,IFERROR(MATCH(AC$5,'Oxford Economics'!$A$6:$AZ$6,0),MATCH(AC$5&amp;"",'Oxford Economics'!$A$6:$AZ$6,0))),'Oxford Economics'!$A$7:$A$1000,$C8,'Oxford Economics'!$B$7:$B$1000,Settings!$B$14)+SUMIFS(INDEX('Oxford Economics'!$A$7:$AZ$1000,0,IFERROR(MATCH(AC$5,'Oxford Economics'!$A$6:$AZ$6,0),MATCH(AC$5&amp;"",'Oxford Economics'!$A$6:$AZ$6,0))),'Oxford Economics'!$A$7:$A$1000,$C8,'Oxford Economics'!$B$7:$B$1000,Settings!$B$16)+IF(Settings!$B$18="",0,SUMIFS(INDEX('Oxford Economics'!$A$7:$AZ$1000,0,IFERROR(MATCH(AC$5,'Oxford Economics'!$A$6:$AZ$6,0),MATCH(AC$5&amp;"",'Oxford Economics'!$A$6:$AZ$6,0))),'Oxford Economics'!$A$7:$A$1000,$C8,'Oxford Economics'!$B$7:$B$1000,Settings!$B$18)))),""))</f>
        <v>7212.92</v>
      </c>
      <c r="AD8" s="38" t="n">
        <f aca="false">IF($A8="","",IFERROR(1/(1/IF($B8="Residential",SUMIFS(INDEX('Oxford Economics'!$A$7:$AZ$1000,0,IFERROR(MATCH(AD$5,'Oxford Economics'!$A$6:$AZ$6,0),MATCH(AD$5&amp;"",'Oxford Economics'!$A$6:$AZ$6,0))),'Oxford Economics'!$A$7:$A$1000,$C8,'Oxford Economics'!$B$7:$B$1000,Settings!$B$12)-SUMIFS(INDEX('Oxford Economics'!$A$7:$AZ$1000,0,IFERROR(MATCH(AD$5,'Oxford Economics'!$A$6:$AZ$6,0),MATCH(AD$5&amp;"",'Oxford Economics'!$A$6:$AZ$6,0))),'Oxford Economics'!$A$7:$A$1000,$C8,'Oxford Economics'!$B$7:$B$1000,Settings!$B$14),SUMIFS(INDEX('Oxford Economics'!$A$7:$AZ$1000,0,IFERROR(MATCH(AD$5,'Oxford Economics'!$A$6:$AZ$6,0),MATCH(AD$5&amp;"",'Oxford Economics'!$A$6:$AZ$6,0))),'Oxford Economics'!$A$7:$A$1000,$C8,'Oxford Economics'!$B$7:$B$1000,Settings!$B$14)+SUMIFS(INDEX('Oxford Economics'!$A$7:$AZ$1000,0,IFERROR(MATCH(AD$5,'Oxford Economics'!$A$6:$AZ$6,0),MATCH(AD$5&amp;"",'Oxford Economics'!$A$6:$AZ$6,0))),'Oxford Economics'!$A$7:$A$1000,$C8,'Oxford Economics'!$B$7:$B$1000,Settings!$B$16)+IF(Settings!$B$18="",0,SUMIFS(INDEX('Oxford Economics'!$A$7:$AZ$1000,0,IFERROR(MATCH(AD$5,'Oxford Economics'!$A$6:$AZ$6,0),MATCH(AD$5&amp;"",'Oxford Economics'!$A$6:$AZ$6,0))),'Oxford Economics'!$A$7:$A$1000,$C8,'Oxford Economics'!$B$7:$B$1000,Settings!$B$18)))),""))</f>
        <v>7085.72</v>
      </c>
      <c r="AE8" s="38" t="n">
        <f aca="false">IF($A8="","",IFERROR(1/(1/IF($B8="Residential",SUMIFS(INDEX('Oxford Economics'!$A$7:$AZ$1000,0,IFERROR(MATCH(AE$5,'Oxford Economics'!$A$6:$AZ$6,0),MATCH(AE$5&amp;"",'Oxford Economics'!$A$6:$AZ$6,0))),'Oxford Economics'!$A$7:$A$1000,$C8,'Oxford Economics'!$B$7:$B$1000,Settings!$B$12)-SUMIFS(INDEX('Oxford Economics'!$A$7:$AZ$1000,0,IFERROR(MATCH(AE$5,'Oxford Economics'!$A$6:$AZ$6,0),MATCH(AE$5&amp;"",'Oxford Economics'!$A$6:$AZ$6,0))),'Oxford Economics'!$A$7:$A$1000,$C8,'Oxford Economics'!$B$7:$B$1000,Settings!$B$14),SUMIFS(INDEX('Oxford Economics'!$A$7:$AZ$1000,0,IFERROR(MATCH(AE$5,'Oxford Economics'!$A$6:$AZ$6,0),MATCH(AE$5&amp;"",'Oxford Economics'!$A$6:$AZ$6,0))),'Oxford Economics'!$A$7:$A$1000,$C8,'Oxford Economics'!$B$7:$B$1000,Settings!$B$14)+SUMIFS(INDEX('Oxford Economics'!$A$7:$AZ$1000,0,IFERROR(MATCH(AE$5,'Oxford Economics'!$A$6:$AZ$6,0),MATCH(AE$5&amp;"",'Oxford Economics'!$A$6:$AZ$6,0))),'Oxford Economics'!$A$7:$A$1000,$C8,'Oxford Economics'!$B$7:$B$1000,Settings!$B$16)+IF(Settings!$B$18="",0,SUMIFS(INDEX('Oxford Economics'!$A$7:$AZ$1000,0,IFERROR(MATCH(AE$5,'Oxford Economics'!$A$6:$AZ$6,0),MATCH(AE$5&amp;"",'Oxford Economics'!$A$6:$AZ$6,0))),'Oxford Economics'!$A$7:$A$1000,$C8,'Oxford Economics'!$B$7:$B$1000,Settings!$B$18)))),""))</f>
        <v>5927.68</v>
      </c>
      <c r="AF8" s="38" t="n">
        <f aca="false">IF($A8="","",IFERROR(1/(1/IF($B8="Residential",SUMIFS(INDEX('Oxford Economics'!$A$7:$AZ$1000,0,IFERROR(MATCH(AF$5,'Oxford Economics'!$A$6:$AZ$6,0),MATCH(AF$5&amp;"",'Oxford Economics'!$A$6:$AZ$6,0))),'Oxford Economics'!$A$7:$A$1000,$C8,'Oxford Economics'!$B$7:$B$1000,Settings!$B$12)-SUMIFS(INDEX('Oxford Economics'!$A$7:$AZ$1000,0,IFERROR(MATCH(AF$5,'Oxford Economics'!$A$6:$AZ$6,0),MATCH(AF$5&amp;"",'Oxford Economics'!$A$6:$AZ$6,0))),'Oxford Economics'!$A$7:$A$1000,$C8,'Oxford Economics'!$B$7:$B$1000,Settings!$B$14),SUMIFS(INDEX('Oxford Economics'!$A$7:$AZ$1000,0,IFERROR(MATCH(AF$5,'Oxford Economics'!$A$6:$AZ$6,0),MATCH(AF$5&amp;"",'Oxford Economics'!$A$6:$AZ$6,0))),'Oxford Economics'!$A$7:$A$1000,$C8,'Oxford Economics'!$B$7:$B$1000,Settings!$B$14)+SUMIFS(INDEX('Oxford Economics'!$A$7:$AZ$1000,0,IFERROR(MATCH(AF$5,'Oxford Economics'!$A$6:$AZ$6,0),MATCH(AF$5&amp;"",'Oxford Economics'!$A$6:$AZ$6,0))),'Oxford Economics'!$A$7:$A$1000,$C8,'Oxford Economics'!$B$7:$B$1000,Settings!$B$16)+IF(Settings!$B$18="",0,SUMIFS(INDEX('Oxford Economics'!$A$7:$AZ$1000,0,IFERROR(MATCH(AF$5,'Oxford Economics'!$A$6:$AZ$6,0),MATCH(AF$5&amp;"",'Oxford Economics'!$A$6:$AZ$6,0))),'Oxford Economics'!$A$7:$A$1000,$C8,'Oxford Economics'!$B$7:$B$1000,Settings!$B$18)))),""))</f>
        <v>5278.96</v>
      </c>
      <c r="AG8" s="38" t="n">
        <f aca="false">IF($A8="","",IFERROR(1/(1/IF($B8="Residential",SUMIFS(INDEX('Oxford Economics'!$A$7:$AZ$1000,0,IFERROR(MATCH(AG$5,'Oxford Economics'!$A$6:$AZ$6,0),MATCH(AG$5&amp;"",'Oxford Economics'!$A$6:$AZ$6,0))),'Oxford Economics'!$A$7:$A$1000,$C8,'Oxford Economics'!$B$7:$B$1000,Settings!$B$12)-SUMIFS(INDEX('Oxford Economics'!$A$7:$AZ$1000,0,IFERROR(MATCH(AG$5,'Oxford Economics'!$A$6:$AZ$6,0),MATCH(AG$5&amp;"",'Oxford Economics'!$A$6:$AZ$6,0))),'Oxford Economics'!$A$7:$A$1000,$C8,'Oxford Economics'!$B$7:$B$1000,Settings!$B$14),SUMIFS(INDEX('Oxford Economics'!$A$7:$AZ$1000,0,IFERROR(MATCH(AG$5,'Oxford Economics'!$A$6:$AZ$6,0),MATCH(AG$5&amp;"",'Oxford Economics'!$A$6:$AZ$6,0))),'Oxford Economics'!$A$7:$A$1000,$C8,'Oxford Economics'!$B$7:$B$1000,Settings!$B$14)+SUMIFS(INDEX('Oxford Economics'!$A$7:$AZ$1000,0,IFERROR(MATCH(AG$5,'Oxford Economics'!$A$6:$AZ$6,0),MATCH(AG$5&amp;"",'Oxford Economics'!$A$6:$AZ$6,0))),'Oxford Economics'!$A$7:$A$1000,$C8,'Oxford Economics'!$B$7:$B$1000,Settings!$B$16)+IF(Settings!$B$18="",0,SUMIFS(INDEX('Oxford Economics'!$A$7:$AZ$1000,0,IFERROR(MATCH(AG$5,'Oxford Economics'!$A$6:$AZ$6,0),MATCH(AG$5&amp;"",'Oxford Economics'!$A$6:$AZ$6,0))),'Oxford Economics'!$A$7:$A$1000,$C8,'Oxford Economics'!$B$7:$B$1000,Settings!$B$18)))),""))</f>
        <v>4828.04</v>
      </c>
      <c r="AH8" s="38" t="n">
        <f aca="false">IF($A8="","",IFERROR(1/(1/IF($B8="Residential",SUMIFS(INDEX('Oxford Economics'!$A$7:$AZ$1000,0,IFERROR(MATCH(AH$5,'Oxford Economics'!$A$6:$AZ$6,0),MATCH(AH$5&amp;"",'Oxford Economics'!$A$6:$AZ$6,0))),'Oxford Economics'!$A$7:$A$1000,$C8,'Oxford Economics'!$B$7:$B$1000,Settings!$B$12)-SUMIFS(INDEX('Oxford Economics'!$A$7:$AZ$1000,0,IFERROR(MATCH(AH$5,'Oxford Economics'!$A$6:$AZ$6,0),MATCH(AH$5&amp;"",'Oxford Economics'!$A$6:$AZ$6,0))),'Oxford Economics'!$A$7:$A$1000,$C8,'Oxford Economics'!$B$7:$B$1000,Settings!$B$14),SUMIFS(INDEX('Oxford Economics'!$A$7:$AZ$1000,0,IFERROR(MATCH(AH$5,'Oxford Economics'!$A$6:$AZ$6,0),MATCH(AH$5&amp;"",'Oxford Economics'!$A$6:$AZ$6,0))),'Oxford Economics'!$A$7:$A$1000,$C8,'Oxford Economics'!$B$7:$B$1000,Settings!$B$14)+SUMIFS(INDEX('Oxford Economics'!$A$7:$AZ$1000,0,IFERROR(MATCH(AH$5,'Oxford Economics'!$A$6:$AZ$6,0),MATCH(AH$5&amp;"",'Oxford Economics'!$A$6:$AZ$6,0))),'Oxford Economics'!$A$7:$A$1000,$C8,'Oxford Economics'!$B$7:$B$1000,Settings!$B$16)+IF(Settings!$B$18="",0,SUMIFS(INDEX('Oxford Economics'!$A$7:$AZ$1000,0,IFERROR(MATCH(AH$5,'Oxford Economics'!$A$6:$AZ$6,0),MATCH(AH$5&amp;"",'Oxford Economics'!$A$6:$AZ$6,0))),'Oxford Economics'!$A$7:$A$1000,$C8,'Oxford Economics'!$B$7:$B$1000,Settings!$B$18)))),""))</f>
        <v>4481.48</v>
      </c>
      <c r="AI8" s="38" t="n">
        <f aca="false">IF($A8="","",IFERROR(1/(1/IF($B8="Residential",SUMIFS(INDEX('Oxford Economics'!$A$7:$AZ$1000,0,IFERROR(MATCH(AI$5,'Oxford Economics'!$A$6:$AZ$6,0),MATCH(AI$5&amp;"",'Oxford Economics'!$A$6:$AZ$6,0))),'Oxford Economics'!$A$7:$A$1000,$C8,'Oxford Economics'!$B$7:$B$1000,Settings!$B$12)-SUMIFS(INDEX('Oxford Economics'!$A$7:$AZ$1000,0,IFERROR(MATCH(AI$5,'Oxford Economics'!$A$6:$AZ$6,0),MATCH(AI$5&amp;"",'Oxford Economics'!$A$6:$AZ$6,0))),'Oxford Economics'!$A$7:$A$1000,$C8,'Oxford Economics'!$B$7:$B$1000,Settings!$B$14),SUMIFS(INDEX('Oxford Economics'!$A$7:$AZ$1000,0,IFERROR(MATCH(AI$5,'Oxford Economics'!$A$6:$AZ$6,0),MATCH(AI$5&amp;"",'Oxford Economics'!$A$6:$AZ$6,0))),'Oxford Economics'!$A$7:$A$1000,$C8,'Oxford Economics'!$B$7:$B$1000,Settings!$B$14)+SUMIFS(INDEX('Oxford Economics'!$A$7:$AZ$1000,0,IFERROR(MATCH(AI$5,'Oxford Economics'!$A$6:$AZ$6,0),MATCH(AI$5&amp;"",'Oxford Economics'!$A$6:$AZ$6,0))),'Oxford Economics'!$A$7:$A$1000,$C8,'Oxford Economics'!$B$7:$B$1000,Settings!$B$16)+IF(Settings!$B$18="",0,SUMIFS(INDEX('Oxford Economics'!$A$7:$AZ$1000,0,IFERROR(MATCH(AI$5,'Oxford Economics'!$A$6:$AZ$6,0),MATCH(AI$5&amp;"",'Oxford Economics'!$A$6:$AZ$6,0))),'Oxford Economics'!$A$7:$A$1000,$C8,'Oxford Economics'!$B$7:$B$1000,Settings!$B$18)))),""))</f>
        <v>4402.69</v>
      </c>
      <c r="AJ8" s="38" t="n">
        <f aca="false">IF($A8="","",IFERROR(1/(1/IF($B8="Residential",SUMIFS(INDEX('Oxford Economics'!$A$7:$AZ$1000,0,IFERROR(MATCH(AJ$5,'Oxford Economics'!$A$6:$AZ$6,0),MATCH(AJ$5&amp;"",'Oxford Economics'!$A$6:$AZ$6,0))),'Oxford Economics'!$A$7:$A$1000,$C8,'Oxford Economics'!$B$7:$B$1000,Settings!$B$12)-SUMIFS(INDEX('Oxford Economics'!$A$7:$AZ$1000,0,IFERROR(MATCH(AJ$5,'Oxford Economics'!$A$6:$AZ$6,0),MATCH(AJ$5&amp;"",'Oxford Economics'!$A$6:$AZ$6,0))),'Oxford Economics'!$A$7:$A$1000,$C8,'Oxford Economics'!$B$7:$B$1000,Settings!$B$14),SUMIFS(INDEX('Oxford Economics'!$A$7:$AZ$1000,0,IFERROR(MATCH(AJ$5,'Oxford Economics'!$A$6:$AZ$6,0),MATCH(AJ$5&amp;"",'Oxford Economics'!$A$6:$AZ$6,0))),'Oxford Economics'!$A$7:$A$1000,$C8,'Oxford Economics'!$B$7:$B$1000,Settings!$B$14)+SUMIFS(INDEX('Oxford Economics'!$A$7:$AZ$1000,0,IFERROR(MATCH(AJ$5,'Oxford Economics'!$A$6:$AZ$6,0),MATCH(AJ$5&amp;"",'Oxford Economics'!$A$6:$AZ$6,0))),'Oxford Economics'!$A$7:$A$1000,$C8,'Oxford Economics'!$B$7:$B$1000,Settings!$B$16)+IF(Settings!$B$18="",0,SUMIFS(INDEX('Oxford Economics'!$A$7:$AZ$1000,0,IFERROR(MATCH(AJ$5,'Oxford Economics'!$A$6:$AZ$6,0),MATCH(AJ$5&amp;"",'Oxford Economics'!$A$6:$AZ$6,0))),'Oxford Economics'!$A$7:$A$1000,$C8,'Oxford Economics'!$B$7:$B$1000,Settings!$B$18)))),""))</f>
        <v>4606.79</v>
      </c>
      <c r="AK8" s="38" t="n">
        <f aca="false">IF($A8="","",IFERROR(1/(1/IF($B8="Residential",SUMIFS(INDEX('Oxford Economics'!$A$7:$AZ$1000,0,IFERROR(MATCH(AK$5,'Oxford Economics'!$A$6:$AZ$6,0),MATCH(AK$5&amp;"",'Oxford Economics'!$A$6:$AZ$6,0))),'Oxford Economics'!$A$7:$A$1000,$C8,'Oxford Economics'!$B$7:$B$1000,Settings!$B$12)-SUMIFS(INDEX('Oxford Economics'!$A$7:$AZ$1000,0,IFERROR(MATCH(AK$5,'Oxford Economics'!$A$6:$AZ$6,0),MATCH(AK$5&amp;"",'Oxford Economics'!$A$6:$AZ$6,0))),'Oxford Economics'!$A$7:$A$1000,$C8,'Oxford Economics'!$B$7:$B$1000,Settings!$B$14),SUMIFS(INDEX('Oxford Economics'!$A$7:$AZ$1000,0,IFERROR(MATCH(AK$5,'Oxford Economics'!$A$6:$AZ$6,0),MATCH(AK$5&amp;"",'Oxford Economics'!$A$6:$AZ$6,0))),'Oxford Economics'!$A$7:$A$1000,$C8,'Oxford Economics'!$B$7:$B$1000,Settings!$B$14)+SUMIFS(INDEX('Oxford Economics'!$A$7:$AZ$1000,0,IFERROR(MATCH(AK$5,'Oxford Economics'!$A$6:$AZ$6,0),MATCH(AK$5&amp;"",'Oxford Economics'!$A$6:$AZ$6,0))),'Oxford Economics'!$A$7:$A$1000,$C8,'Oxford Economics'!$B$7:$B$1000,Settings!$B$16)+IF(Settings!$B$18="",0,SUMIFS(INDEX('Oxford Economics'!$A$7:$AZ$1000,0,IFERROR(MATCH(AK$5,'Oxford Economics'!$A$6:$AZ$6,0),MATCH(AK$5&amp;"",'Oxford Economics'!$A$6:$AZ$6,0))),'Oxford Economics'!$A$7:$A$1000,$C8,'Oxford Economics'!$B$7:$B$1000,Settings!$B$18)))),""))</f>
        <v>4882.46</v>
      </c>
      <c r="AL8" s="38" t="n">
        <f aca="false">IF($A8="","",IFERROR(1/(1/IF($B8="Residential",SUMIFS(INDEX('Oxford Economics'!$A$7:$AZ$1000,0,IFERROR(MATCH(AL$5,'Oxford Economics'!$A$6:$AZ$6,0),MATCH(AL$5&amp;"",'Oxford Economics'!$A$6:$AZ$6,0))),'Oxford Economics'!$A$7:$A$1000,$C8,'Oxford Economics'!$B$7:$B$1000,Settings!$B$12)-SUMIFS(INDEX('Oxford Economics'!$A$7:$AZ$1000,0,IFERROR(MATCH(AL$5,'Oxford Economics'!$A$6:$AZ$6,0),MATCH(AL$5&amp;"",'Oxford Economics'!$A$6:$AZ$6,0))),'Oxford Economics'!$A$7:$A$1000,$C8,'Oxford Economics'!$B$7:$B$1000,Settings!$B$14),SUMIFS(INDEX('Oxford Economics'!$A$7:$AZ$1000,0,IFERROR(MATCH(AL$5,'Oxford Economics'!$A$6:$AZ$6,0),MATCH(AL$5&amp;"",'Oxford Economics'!$A$6:$AZ$6,0))),'Oxford Economics'!$A$7:$A$1000,$C8,'Oxford Economics'!$B$7:$B$1000,Settings!$B$14)+SUMIFS(INDEX('Oxford Economics'!$A$7:$AZ$1000,0,IFERROR(MATCH(AL$5,'Oxford Economics'!$A$6:$AZ$6,0),MATCH(AL$5&amp;"",'Oxford Economics'!$A$6:$AZ$6,0))),'Oxford Economics'!$A$7:$A$1000,$C8,'Oxford Economics'!$B$7:$B$1000,Settings!$B$16)+IF(Settings!$B$18="",0,SUMIFS(INDEX('Oxford Economics'!$A$7:$AZ$1000,0,IFERROR(MATCH(AL$5,'Oxford Economics'!$A$6:$AZ$6,0),MATCH(AL$5&amp;"",'Oxford Economics'!$A$6:$AZ$6,0))),'Oxford Economics'!$A$7:$A$1000,$C8,'Oxford Economics'!$B$7:$B$1000,Settings!$B$18)))),""))</f>
        <v>5135.8</v>
      </c>
      <c r="AM8" s="38" t="n">
        <f aca="false">IF($A8="","",IFERROR(1/(1/IF($B8="Residential",SUMIFS(INDEX('Oxford Economics'!$A$7:$AZ$1000,0,IFERROR(MATCH(AM$5,'Oxford Economics'!$A$6:$AZ$6,0),MATCH(AM$5&amp;"",'Oxford Economics'!$A$6:$AZ$6,0))),'Oxford Economics'!$A$7:$A$1000,$C8,'Oxford Economics'!$B$7:$B$1000,Settings!$B$12)-SUMIFS(INDEX('Oxford Economics'!$A$7:$AZ$1000,0,IFERROR(MATCH(AM$5,'Oxford Economics'!$A$6:$AZ$6,0),MATCH(AM$5&amp;"",'Oxford Economics'!$A$6:$AZ$6,0))),'Oxford Economics'!$A$7:$A$1000,$C8,'Oxford Economics'!$B$7:$B$1000,Settings!$B$14),SUMIFS(INDEX('Oxford Economics'!$A$7:$AZ$1000,0,IFERROR(MATCH(AM$5,'Oxford Economics'!$A$6:$AZ$6,0),MATCH(AM$5&amp;"",'Oxford Economics'!$A$6:$AZ$6,0))),'Oxford Economics'!$A$7:$A$1000,$C8,'Oxford Economics'!$B$7:$B$1000,Settings!$B$14)+SUMIFS(INDEX('Oxford Economics'!$A$7:$AZ$1000,0,IFERROR(MATCH(AM$5,'Oxford Economics'!$A$6:$AZ$6,0),MATCH(AM$5&amp;"",'Oxford Economics'!$A$6:$AZ$6,0))),'Oxford Economics'!$A$7:$A$1000,$C8,'Oxford Economics'!$B$7:$B$1000,Settings!$B$16)+IF(Settings!$B$18="",0,SUMIFS(INDEX('Oxford Economics'!$A$7:$AZ$1000,0,IFERROR(MATCH(AM$5,'Oxford Economics'!$A$6:$AZ$6,0),MATCH(AM$5&amp;"",'Oxford Economics'!$A$6:$AZ$6,0))),'Oxford Economics'!$A$7:$A$1000,$C8,'Oxford Economics'!$B$7:$B$1000,Settings!$B$18)))),""))</f>
        <v>5300.78</v>
      </c>
    </row>
    <row r="9" customFormat="false" ht="15" hidden="false" customHeight="false" outlineLevel="0" collapsed="false">
      <c r="A9" s="37" t="str">
        <f aca="false">IF('Raw data'!$A9="","",'Raw data'!$A9)</f>
        <v>Poland</v>
      </c>
      <c r="B9" s="37" t="str">
        <f aca="false">IF($A9="","",'Raw data'!$C9)</f>
        <v>Commercial</v>
      </c>
      <c r="C9" s="37" t="str">
        <f aca="false">IF($A9="","",IF('Raw data'!$E9="",$A9,'Raw data'!$E9))</f>
        <v>Poland</v>
      </c>
      <c r="D9" s="38" t="n">
        <f aca="false">IF($A9="","",IF(AND(ISNUMBER(P9),ISNUMBER(AB9)),P9+AB9,""))</f>
        <v>23022.46</v>
      </c>
      <c r="E9" s="38" t="n">
        <f aca="false">IF($A9="","",IF(AND(ISNUMBER(Q9),ISNUMBER(AC9)),Q9+AC9,""))</f>
        <v>24690.96</v>
      </c>
      <c r="F9" s="38" t="n">
        <f aca="false">IF($A9="","",IF(AND(ISNUMBER(R9),ISNUMBER(AD9)),R9+AD9,""))</f>
        <v>26232.67</v>
      </c>
      <c r="G9" s="38" t="n">
        <f aca="false">IF($A9="","",IF(AND(ISNUMBER(S9),ISNUMBER(AE9)),S9+AE9,""))</f>
        <v>25718.99</v>
      </c>
      <c r="H9" s="38" t="n">
        <f aca="false">IF($A9="","",IF(AND(ISNUMBER(T9),ISNUMBER(AF9)),T9+AF9,""))</f>
        <v>23546.6</v>
      </c>
      <c r="I9" s="38" t="n">
        <f aca="false">IF($A9="","",IF(AND(ISNUMBER(U9),ISNUMBER(AG9)),U9+AG9,""))</f>
        <v>23418.23</v>
      </c>
      <c r="J9" s="38" t="n">
        <f aca="false">IF($A9="","",IF(AND(ISNUMBER(V9),ISNUMBER(AH9)),V9+AH9,""))</f>
        <v>24815.34</v>
      </c>
      <c r="K9" s="38" t="n">
        <f aca="false">IF($A9="","",IF(AND(ISNUMBER(W9),ISNUMBER(AI9)),W9+AI9,""))</f>
        <v>25932.61</v>
      </c>
      <c r="L9" s="38" t="n">
        <f aca="false">IF($A9="","",IF(AND(ISNUMBER(X9),ISNUMBER(AJ9)),X9+AJ9,""))</f>
        <v>26482.38</v>
      </c>
      <c r="M9" s="38" t="n">
        <f aca="false">IF($A9="","",IF(AND(ISNUMBER(Y9),ISNUMBER(AK9)),Y9+AK9,""))</f>
        <v>26945.25</v>
      </c>
      <c r="N9" s="38" t="n">
        <f aca="false">IF($A9="","",IF(AND(ISNUMBER(Z9),ISNUMBER(AL9)),Z9+AL9,""))</f>
        <v>27454.96</v>
      </c>
      <c r="O9" s="38" t="n">
        <f aca="false">IF($A9="","",IF(AND(ISNUMBER(AA9),ISNUMBER(AM9)),AA9+AM9,""))</f>
        <v>27864.75</v>
      </c>
      <c r="P9" s="38" t="n">
        <f aca="false">IF($A9="","",IFERROR(1/(1/IF($B9="Residential",SUMIFS(INDEX('Oxford Economics'!$A$7:$AZ$1000,0,IFERROR(MATCH(P$5,'Oxford Economics'!$A$6:$AZ$6,0),MATCH(P$5&amp;"",'Oxford Economics'!$A$6:$AZ$6,0))),'Oxford Economics'!$A$7:$A$1000,$C9,'Oxford Economics'!$B$7:$B$1000,Settings!$B$13)-SUMIFS(INDEX('Oxford Economics'!$A$7:$AZ$1000,0,IFERROR(MATCH(P$5,'Oxford Economics'!$A$6:$AZ$6,0),MATCH(P$5&amp;"",'Oxford Economics'!$A$6:$AZ$6,0))),'Oxford Economics'!$A$7:$A$1000,$C9,'Oxford Economics'!$B$7:$B$1000,Settings!$B$15),SUMIFS(INDEX('Oxford Economics'!$A$7:$AZ$1000,0,IFERROR(MATCH(P$5,'Oxford Economics'!$A$6:$AZ$6,0),MATCH(P$5&amp;"",'Oxford Economics'!$A$6:$AZ$6,0))),'Oxford Economics'!$A$7:$A$1000,$C9,'Oxford Economics'!$B$7:$B$1000,Settings!$B$15)+SUMIFS(INDEX('Oxford Economics'!$A$7:$AZ$1000,0,IFERROR(MATCH(P$5,'Oxford Economics'!$A$6:$AZ$6,0),MATCH(P$5&amp;"",'Oxford Economics'!$A$6:$AZ$6,0))),'Oxford Economics'!$A$7:$A$1000,$C9,'Oxford Economics'!$B$7:$B$1000,Settings!$B$17)+IF(Settings!$B$19="",0,SUMIFS(INDEX('Oxford Economics'!$A$7:$AZ$1000,0,IFERROR(MATCH(P$5,'Oxford Economics'!$A$6:$AZ$6,0),MATCH(P$5&amp;"",'Oxford Economics'!$A$6:$AZ$6,0))),'Oxford Economics'!$A$7:$A$1000,$C9,'Oxford Economics'!$B$7:$B$1000,Settings!$B$19)))),""))</f>
        <v>7288.73</v>
      </c>
      <c r="Q9" s="38" t="n">
        <f aca="false">IF($A9="","",IFERROR(1/(1/IF($B9="Residential",SUMIFS(INDEX('Oxford Economics'!$A$7:$AZ$1000,0,IFERROR(MATCH(Q$5,'Oxford Economics'!$A$6:$AZ$6,0),MATCH(Q$5&amp;"",'Oxford Economics'!$A$6:$AZ$6,0))),'Oxford Economics'!$A$7:$A$1000,$C9,'Oxford Economics'!$B$7:$B$1000,Settings!$B$13)-SUMIFS(INDEX('Oxford Economics'!$A$7:$AZ$1000,0,IFERROR(MATCH(Q$5,'Oxford Economics'!$A$6:$AZ$6,0),MATCH(Q$5&amp;"",'Oxford Economics'!$A$6:$AZ$6,0))),'Oxford Economics'!$A$7:$A$1000,$C9,'Oxford Economics'!$B$7:$B$1000,Settings!$B$15),SUMIFS(INDEX('Oxford Economics'!$A$7:$AZ$1000,0,IFERROR(MATCH(Q$5,'Oxford Economics'!$A$6:$AZ$6,0),MATCH(Q$5&amp;"",'Oxford Economics'!$A$6:$AZ$6,0))),'Oxford Economics'!$A$7:$A$1000,$C9,'Oxford Economics'!$B$7:$B$1000,Settings!$B$15)+SUMIFS(INDEX('Oxford Economics'!$A$7:$AZ$1000,0,IFERROR(MATCH(Q$5,'Oxford Economics'!$A$6:$AZ$6,0),MATCH(Q$5&amp;"",'Oxford Economics'!$A$6:$AZ$6,0))),'Oxford Economics'!$A$7:$A$1000,$C9,'Oxford Economics'!$B$7:$B$1000,Settings!$B$17)+IF(Settings!$B$19="",0,SUMIFS(INDEX('Oxford Economics'!$A$7:$AZ$1000,0,IFERROR(MATCH(Q$5,'Oxford Economics'!$A$6:$AZ$6,0),MATCH(Q$5&amp;"",'Oxford Economics'!$A$6:$AZ$6,0))),'Oxford Economics'!$A$7:$A$1000,$C9,'Oxford Economics'!$B$7:$B$1000,Settings!$B$19)))),""))</f>
        <v>8032.69</v>
      </c>
      <c r="R9" s="38" t="n">
        <f aca="false">IF($A9="","",IFERROR(1/(1/IF($B9="Residential",SUMIFS(INDEX('Oxford Economics'!$A$7:$AZ$1000,0,IFERROR(MATCH(R$5,'Oxford Economics'!$A$6:$AZ$6,0),MATCH(R$5&amp;"",'Oxford Economics'!$A$6:$AZ$6,0))),'Oxford Economics'!$A$7:$A$1000,$C9,'Oxford Economics'!$B$7:$B$1000,Settings!$B$13)-SUMIFS(INDEX('Oxford Economics'!$A$7:$AZ$1000,0,IFERROR(MATCH(R$5,'Oxford Economics'!$A$6:$AZ$6,0),MATCH(R$5&amp;"",'Oxford Economics'!$A$6:$AZ$6,0))),'Oxford Economics'!$A$7:$A$1000,$C9,'Oxford Economics'!$B$7:$B$1000,Settings!$B$15),SUMIFS(INDEX('Oxford Economics'!$A$7:$AZ$1000,0,IFERROR(MATCH(R$5,'Oxford Economics'!$A$6:$AZ$6,0),MATCH(R$5&amp;"",'Oxford Economics'!$A$6:$AZ$6,0))),'Oxford Economics'!$A$7:$A$1000,$C9,'Oxford Economics'!$B$7:$B$1000,Settings!$B$15)+SUMIFS(INDEX('Oxford Economics'!$A$7:$AZ$1000,0,IFERROR(MATCH(R$5,'Oxford Economics'!$A$6:$AZ$6,0),MATCH(R$5&amp;"",'Oxford Economics'!$A$6:$AZ$6,0))),'Oxford Economics'!$A$7:$A$1000,$C9,'Oxford Economics'!$B$7:$B$1000,Settings!$B$17)+IF(Settings!$B$19="",0,SUMIFS(INDEX('Oxford Economics'!$A$7:$AZ$1000,0,IFERROR(MATCH(R$5,'Oxford Economics'!$A$6:$AZ$6,0),MATCH(R$5&amp;"",'Oxford Economics'!$A$6:$AZ$6,0))),'Oxford Economics'!$A$7:$A$1000,$C9,'Oxford Economics'!$B$7:$B$1000,Settings!$B$19)))),""))</f>
        <v>8295.68</v>
      </c>
      <c r="S9" s="38" t="n">
        <f aca="false">IF($A9="","",IFERROR(1/(1/IF($B9="Residential",SUMIFS(INDEX('Oxford Economics'!$A$7:$AZ$1000,0,IFERROR(MATCH(S$5,'Oxford Economics'!$A$6:$AZ$6,0),MATCH(S$5&amp;"",'Oxford Economics'!$A$6:$AZ$6,0))),'Oxford Economics'!$A$7:$A$1000,$C9,'Oxford Economics'!$B$7:$B$1000,Settings!$B$13)-SUMIFS(INDEX('Oxford Economics'!$A$7:$AZ$1000,0,IFERROR(MATCH(S$5,'Oxford Economics'!$A$6:$AZ$6,0),MATCH(S$5&amp;"",'Oxford Economics'!$A$6:$AZ$6,0))),'Oxford Economics'!$A$7:$A$1000,$C9,'Oxford Economics'!$B$7:$B$1000,Settings!$B$15),SUMIFS(INDEX('Oxford Economics'!$A$7:$AZ$1000,0,IFERROR(MATCH(S$5,'Oxford Economics'!$A$6:$AZ$6,0),MATCH(S$5&amp;"",'Oxford Economics'!$A$6:$AZ$6,0))),'Oxford Economics'!$A$7:$A$1000,$C9,'Oxford Economics'!$B$7:$B$1000,Settings!$B$15)+SUMIFS(INDEX('Oxford Economics'!$A$7:$AZ$1000,0,IFERROR(MATCH(S$5,'Oxford Economics'!$A$6:$AZ$6,0),MATCH(S$5&amp;"",'Oxford Economics'!$A$6:$AZ$6,0))),'Oxford Economics'!$A$7:$A$1000,$C9,'Oxford Economics'!$B$7:$B$1000,Settings!$B$17)+IF(Settings!$B$19="",0,SUMIFS(INDEX('Oxford Economics'!$A$7:$AZ$1000,0,IFERROR(MATCH(S$5,'Oxford Economics'!$A$6:$AZ$6,0),MATCH(S$5&amp;"",'Oxford Economics'!$A$6:$AZ$6,0))),'Oxford Economics'!$A$7:$A$1000,$C9,'Oxford Economics'!$B$7:$B$1000,Settings!$B$19)))),""))</f>
        <v>8116.65</v>
      </c>
      <c r="T9" s="38" t="n">
        <f aca="false">IF($A9="","",IFERROR(1/(1/IF($B9="Residential",SUMIFS(INDEX('Oxford Economics'!$A$7:$AZ$1000,0,IFERROR(MATCH(T$5,'Oxford Economics'!$A$6:$AZ$6,0),MATCH(T$5&amp;"",'Oxford Economics'!$A$6:$AZ$6,0))),'Oxford Economics'!$A$7:$A$1000,$C9,'Oxford Economics'!$B$7:$B$1000,Settings!$B$13)-SUMIFS(INDEX('Oxford Economics'!$A$7:$AZ$1000,0,IFERROR(MATCH(T$5,'Oxford Economics'!$A$6:$AZ$6,0),MATCH(T$5&amp;"",'Oxford Economics'!$A$6:$AZ$6,0))),'Oxford Economics'!$A$7:$A$1000,$C9,'Oxford Economics'!$B$7:$B$1000,Settings!$B$15),SUMIFS(INDEX('Oxford Economics'!$A$7:$AZ$1000,0,IFERROR(MATCH(T$5,'Oxford Economics'!$A$6:$AZ$6,0),MATCH(T$5&amp;"",'Oxford Economics'!$A$6:$AZ$6,0))),'Oxford Economics'!$A$7:$A$1000,$C9,'Oxford Economics'!$B$7:$B$1000,Settings!$B$15)+SUMIFS(INDEX('Oxford Economics'!$A$7:$AZ$1000,0,IFERROR(MATCH(T$5,'Oxford Economics'!$A$6:$AZ$6,0),MATCH(T$5&amp;"",'Oxford Economics'!$A$6:$AZ$6,0))),'Oxford Economics'!$A$7:$A$1000,$C9,'Oxford Economics'!$B$7:$B$1000,Settings!$B$17)+IF(Settings!$B$19="",0,SUMIFS(INDEX('Oxford Economics'!$A$7:$AZ$1000,0,IFERROR(MATCH(T$5,'Oxford Economics'!$A$6:$AZ$6,0),MATCH(T$5&amp;"",'Oxford Economics'!$A$6:$AZ$6,0))),'Oxford Economics'!$A$7:$A$1000,$C9,'Oxford Economics'!$B$7:$B$1000,Settings!$B$19)))),""))</f>
        <v>7641.74</v>
      </c>
      <c r="U9" s="38" t="n">
        <f aca="false">IF($A9="","",IFERROR(1/(1/IF($B9="Residential",SUMIFS(INDEX('Oxford Economics'!$A$7:$AZ$1000,0,IFERROR(MATCH(U$5,'Oxford Economics'!$A$6:$AZ$6,0),MATCH(U$5&amp;"",'Oxford Economics'!$A$6:$AZ$6,0))),'Oxford Economics'!$A$7:$A$1000,$C9,'Oxford Economics'!$B$7:$B$1000,Settings!$B$13)-SUMIFS(INDEX('Oxford Economics'!$A$7:$AZ$1000,0,IFERROR(MATCH(U$5,'Oxford Economics'!$A$6:$AZ$6,0),MATCH(U$5&amp;"",'Oxford Economics'!$A$6:$AZ$6,0))),'Oxford Economics'!$A$7:$A$1000,$C9,'Oxford Economics'!$B$7:$B$1000,Settings!$B$15),SUMIFS(INDEX('Oxford Economics'!$A$7:$AZ$1000,0,IFERROR(MATCH(U$5,'Oxford Economics'!$A$6:$AZ$6,0),MATCH(U$5&amp;"",'Oxford Economics'!$A$6:$AZ$6,0))),'Oxford Economics'!$A$7:$A$1000,$C9,'Oxford Economics'!$B$7:$B$1000,Settings!$B$15)+SUMIFS(INDEX('Oxford Economics'!$A$7:$AZ$1000,0,IFERROR(MATCH(U$5,'Oxford Economics'!$A$6:$AZ$6,0),MATCH(U$5&amp;"",'Oxford Economics'!$A$6:$AZ$6,0))),'Oxford Economics'!$A$7:$A$1000,$C9,'Oxford Economics'!$B$7:$B$1000,Settings!$B$17)+IF(Settings!$B$19="",0,SUMIFS(INDEX('Oxford Economics'!$A$7:$AZ$1000,0,IFERROR(MATCH(U$5,'Oxford Economics'!$A$6:$AZ$6,0),MATCH(U$5&amp;"",'Oxford Economics'!$A$6:$AZ$6,0))),'Oxford Economics'!$A$7:$A$1000,$C9,'Oxford Economics'!$B$7:$B$1000,Settings!$B$19)))),""))</f>
        <v>7658.13</v>
      </c>
      <c r="V9" s="38" t="n">
        <f aca="false">IF($A9="","",IFERROR(1/(1/IF($B9="Residential",SUMIFS(INDEX('Oxford Economics'!$A$7:$AZ$1000,0,IFERROR(MATCH(V$5,'Oxford Economics'!$A$6:$AZ$6,0),MATCH(V$5&amp;"",'Oxford Economics'!$A$6:$AZ$6,0))),'Oxford Economics'!$A$7:$A$1000,$C9,'Oxford Economics'!$B$7:$B$1000,Settings!$B$13)-SUMIFS(INDEX('Oxford Economics'!$A$7:$AZ$1000,0,IFERROR(MATCH(V$5,'Oxford Economics'!$A$6:$AZ$6,0),MATCH(V$5&amp;"",'Oxford Economics'!$A$6:$AZ$6,0))),'Oxford Economics'!$A$7:$A$1000,$C9,'Oxford Economics'!$B$7:$B$1000,Settings!$B$15),SUMIFS(INDEX('Oxford Economics'!$A$7:$AZ$1000,0,IFERROR(MATCH(V$5,'Oxford Economics'!$A$6:$AZ$6,0),MATCH(V$5&amp;"",'Oxford Economics'!$A$6:$AZ$6,0))),'Oxford Economics'!$A$7:$A$1000,$C9,'Oxford Economics'!$B$7:$B$1000,Settings!$B$15)+SUMIFS(INDEX('Oxford Economics'!$A$7:$AZ$1000,0,IFERROR(MATCH(V$5,'Oxford Economics'!$A$6:$AZ$6,0),MATCH(V$5&amp;"",'Oxford Economics'!$A$6:$AZ$6,0))),'Oxford Economics'!$A$7:$A$1000,$C9,'Oxford Economics'!$B$7:$B$1000,Settings!$B$17)+IF(Settings!$B$19="",0,SUMIFS(INDEX('Oxford Economics'!$A$7:$AZ$1000,0,IFERROR(MATCH(V$5,'Oxford Economics'!$A$6:$AZ$6,0),MATCH(V$5&amp;"",'Oxford Economics'!$A$6:$AZ$6,0))),'Oxford Economics'!$A$7:$A$1000,$C9,'Oxford Economics'!$B$7:$B$1000,Settings!$B$19)))),""))</f>
        <v>8922.78</v>
      </c>
      <c r="W9" s="38" t="n">
        <f aca="false">IF($A9="","",IFERROR(1/(1/IF($B9="Residential",SUMIFS(INDEX('Oxford Economics'!$A$7:$AZ$1000,0,IFERROR(MATCH(W$5,'Oxford Economics'!$A$6:$AZ$6,0),MATCH(W$5&amp;"",'Oxford Economics'!$A$6:$AZ$6,0))),'Oxford Economics'!$A$7:$A$1000,$C9,'Oxford Economics'!$B$7:$B$1000,Settings!$B$13)-SUMIFS(INDEX('Oxford Economics'!$A$7:$AZ$1000,0,IFERROR(MATCH(W$5,'Oxford Economics'!$A$6:$AZ$6,0),MATCH(W$5&amp;"",'Oxford Economics'!$A$6:$AZ$6,0))),'Oxford Economics'!$A$7:$A$1000,$C9,'Oxford Economics'!$B$7:$B$1000,Settings!$B$15),SUMIFS(INDEX('Oxford Economics'!$A$7:$AZ$1000,0,IFERROR(MATCH(W$5,'Oxford Economics'!$A$6:$AZ$6,0),MATCH(W$5&amp;"",'Oxford Economics'!$A$6:$AZ$6,0))),'Oxford Economics'!$A$7:$A$1000,$C9,'Oxford Economics'!$B$7:$B$1000,Settings!$B$15)+SUMIFS(INDEX('Oxford Economics'!$A$7:$AZ$1000,0,IFERROR(MATCH(W$5,'Oxford Economics'!$A$6:$AZ$6,0),MATCH(W$5&amp;"",'Oxford Economics'!$A$6:$AZ$6,0))),'Oxford Economics'!$A$7:$A$1000,$C9,'Oxford Economics'!$B$7:$B$1000,Settings!$B$17)+IF(Settings!$B$19="",0,SUMIFS(INDEX('Oxford Economics'!$A$7:$AZ$1000,0,IFERROR(MATCH(W$5,'Oxford Economics'!$A$6:$AZ$6,0),MATCH(W$5&amp;"",'Oxford Economics'!$A$6:$AZ$6,0))),'Oxford Economics'!$A$7:$A$1000,$C9,'Oxford Economics'!$B$7:$B$1000,Settings!$B$19)))),""))</f>
        <v>10039.98</v>
      </c>
      <c r="X9" s="38" t="n">
        <f aca="false">IF($A9="","",IFERROR(1/(1/IF($B9="Residential",SUMIFS(INDEX('Oxford Economics'!$A$7:$AZ$1000,0,IFERROR(MATCH(X$5,'Oxford Economics'!$A$6:$AZ$6,0),MATCH(X$5&amp;"",'Oxford Economics'!$A$6:$AZ$6,0))),'Oxford Economics'!$A$7:$A$1000,$C9,'Oxford Economics'!$B$7:$B$1000,Settings!$B$13)-SUMIFS(INDEX('Oxford Economics'!$A$7:$AZ$1000,0,IFERROR(MATCH(X$5,'Oxford Economics'!$A$6:$AZ$6,0),MATCH(X$5&amp;"",'Oxford Economics'!$A$6:$AZ$6,0))),'Oxford Economics'!$A$7:$A$1000,$C9,'Oxford Economics'!$B$7:$B$1000,Settings!$B$15),SUMIFS(INDEX('Oxford Economics'!$A$7:$AZ$1000,0,IFERROR(MATCH(X$5,'Oxford Economics'!$A$6:$AZ$6,0),MATCH(X$5&amp;"",'Oxford Economics'!$A$6:$AZ$6,0))),'Oxford Economics'!$A$7:$A$1000,$C9,'Oxford Economics'!$B$7:$B$1000,Settings!$B$15)+SUMIFS(INDEX('Oxford Economics'!$A$7:$AZ$1000,0,IFERROR(MATCH(X$5,'Oxford Economics'!$A$6:$AZ$6,0),MATCH(X$5&amp;"",'Oxford Economics'!$A$6:$AZ$6,0))),'Oxford Economics'!$A$7:$A$1000,$C9,'Oxford Economics'!$B$7:$B$1000,Settings!$B$17)+IF(Settings!$B$19="",0,SUMIFS(INDEX('Oxford Economics'!$A$7:$AZ$1000,0,IFERROR(MATCH(X$5,'Oxford Economics'!$A$6:$AZ$6,0),MATCH(X$5&amp;"",'Oxford Economics'!$A$6:$AZ$6,0))),'Oxford Economics'!$A$7:$A$1000,$C9,'Oxford Economics'!$B$7:$B$1000,Settings!$B$19)))),""))</f>
        <v>10316.23</v>
      </c>
      <c r="Y9" s="38" t="n">
        <f aca="false">IF($A9="","",IFERROR(1/(1/IF($B9="Residential",SUMIFS(INDEX('Oxford Economics'!$A$7:$AZ$1000,0,IFERROR(MATCH(Y$5,'Oxford Economics'!$A$6:$AZ$6,0),MATCH(Y$5&amp;"",'Oxford Economics'!$A$6:$AZ$6,0))),'Oxford Economics'!$A$7:$A$1000,$C9,'Oxford Economics'!$B$7:$B$1000,Settings!$B$13)-SUMIFS(INDEX('Oxford Economics'!$A$7:$AZ$1000,0,IFERROR(MATCH(Y$5,'Oxford Economics'!$A$6:$AZ$6,0),MATCH(Y$5&amp;"",'Oxford Economics'!$A$6:$AZ$6,0))),'Oxford Economics'!$A$7:$A$1000,$C9,'Oxford Economics'!$B$7:$B$1000,Settings!$B$15),SUMIFS(INDEX('Oxford Economics'!$A$7:$AZ$1000,0,IFERROR(MATCH(Y$5,'Oxford Economics'!$A$6:$AZ$6,0),MATCH(Y$5&amp;"",'Oxford Economics'!$A$6:$AZ$6,0))),'Oxford Economics'!$A$7:$A$1000,$C9,'Oxford Economics'!$B$7:$B$1000,Settings!$B$15)+SUMIFS(INDEX('Oxford Economics'!$A$7:$AZ$1000,0,IFERROR(MATCH(Y$5,'Oxford Economics'!$A$6:$AZ$6,0),MATCH(Y$5&amp;"",'Oxford Economics'!$A$6:$AZ$6,0))),'Oxford Economics'!$A$7:$A$1000,$C9,'Oxford Economics'!$B$7:$B$1000,Settings!$B$17)+IF(Settings!$B$19="",0,SUMIFS(INDEX('Oxford Economics'!$A$7:$AZ$1000,0,IFERROR(MATCH(Y$5,'Oxford Economics'!$A$6:$AZ$6,0),MATCH(Y$5&amp;"",'Oxford Economics'!$A$6:$AZ$6,0))),'Oxford Economics'!$A$7:$A$1000,$C9,'Oxford Economics'!$B$7:$B$1000,Settings!$B$19)))),""))</f>
        <v>10203.37</v>
      </c>
      <c r="Z9" s="38" t="n">
        <f aca="false">IF($A9="","",IFERROR(1/(1/IF($B9="Residential",SUMIFS(INDEX('Oxford Economics'!$A$7:$AZ$1000,0,IFERROR(MATCH(Z$5,'Oxford Economics'!$A$6:$AZ$6,0),MATCH(Z$5&amp;"",'Oxford Economics'!$A$6:$AZ$6,0))),'Oxford Economics'!$A$7:$A$1000,$C9,'Oxford Economics'!$B$7:$B$1000,Settings!$B$13)-SUMIFS(INDEX('Oxford Economics'!$A$7:$AZ$1000,0,IFERROR(MATCH(Z$5,'Oxford Economics'!$A$6:$AZ$6,0),MATCH(Z$5&amp;"",'Oxford Economics'!$A$6:$AZ$6,0))),'Oxford Economics'!$A$7:$A$1000,$C9,'Oxford Economics'!$B$7:$B$1000,Settings!$B$15),SUMIFS(INDEX('Oxford Economics'!$A$7:$AZ$1000,0,IFERROR(MATCH(Z$5,'Oxford Economics'!$A$6:$AZ$6,0),MATCH(Z$5&amp;"",'Oxford Economics'!$A$6:$AZ$6,0))),'Oxford Economics'!$A$7:$A$1000,$C9,'Oxford Economics'!$B$7:$B$1000,Settings!$B$15)+SUMIFS(INDEX('Oxford Economics'!$A$7:$AZ$1000,0,IFERROR(MATCH(Z$5,'Oxford Economics'!$A$6:$AZ$6,0),MATCH(Z$5&amp;"",'Oxford Economics'!$A$6:$AZ$6,0))),'Oxford Economics'!$A$7:$A$1000,$C9,'Oxford Economics'!$B$7:$B$1000,Settings!$B$17)+IF(Settings!$B$19="",0,SUMIFS(INDEX('Oxford Economics'!$A$7:$AZ$1000,0,IFERROR(MATCH(Z$5,'Oxford Economics'!$A$6:$AZ$6,0),MATCH(Z$5&amp;"",'Oxford Economics'!$A$6:$AZ$6,0))),'Oxford Economics'!$A$7:$A$1000,$C9,'Oxford Economics'!$B$7:$B$1000,Settings!$B$19)))),""))</f>
        <v>10034.26</v>
      </c>
      <c r="AA9" s="38" t="n">
        <f aca="false">IF($A9="","",IFERROR(1/(1/IF($B9="Residential",SUMIFS(INDEX('Oxford Economics'!$A$7:$AZ$1000,0,IFERROR(MATCH(AA$5,'Oxford Economics'!$A$6:$AZ$6,0),MATCH(AA$5&amp;"",'Oxford Economics'!$A$6:$AZ$6,0))),'Oxford Economics'!$A$7:$A$1000,$C9,'Oxford Economics'!$B$7:$B$1000,Settings!$B$13)-SUMIFS(INDEX('Oxford Economics'!$A$7:$AZ$1000,0,IFERROR(MATCH(AA$5,'Oxford Economics'!$A$6:$AZ$6,0),MATCH(AA$5&amp;"",'Oxford Economics'!$A$6:$AZ$6,0))),'Oxford Economics'!$A$7:$A$1000,$C9,'Oxford Economics'!$B$7:$B$1000,Settings!$B$15),SUMIFS(INDEX('Oxford Economics'!$A$7:$AZ$1000,0,IFERROR(MATCH(AA$5,'Oxford Economics'!$A$6:$AZ$6,0),MATCH(AA$5&amp;"",'Oxford Economics'!$A$6:$AZ$6,0))),'Oxford Economics'!$A$7:$A$1000,$C9,'Oxford Economics'!$B$7:$B$1000,Settings!$B$15)+SUMIFS(INDEX('Oxford Economics'!$A$7:$AZ$1000,0,IFERROR(MATCH(AA$5,'Oxford Economics'!$A$6:$AZ$6,0),MATCH(AA$5&amp;"",'Oxford Economics'!$A$6:$AZ$6,0))),'Oxford Economics'!$A$7:$A$1000,$C9,'Oxford Economics'!$B$7:$B$1000,Settings!$B$17)+IF(Settings!$B$19="",0,SUMIFS(INDEX('Oxford Economics'!$A$7:$AZ$1000,0,IFERROR(MATCH(AA$5,'Oxford Economics'!$A$6:$AZ$6,0),MATCH(AA$5&amp;"",'Oxford Economics'!$A$6:$AZ$6,0))),'Oxford Economics'!$A$7:$A$1000,$C9,'Oxford Economics'!$B$7:$B$1000,Settings!$B$19)))),""))</f>
        <v>9875.23</v>
      </c>
      <c r="AB9" s="38" t="n">
        <f aca="false">IF($A9="","",IFERROR(1/(1/IF($B9="Residential",SUMIFS(INDEX('Oxford Economics'!$A$7:$AZ$1000,0,IFERROR(MATCH(AB$5,'Oxford Economics'!$A$6:$AZ$6,0),MATCH(AB$5&amp;"",'Oxford Economics'!$A$6:$AZ$6,0))),'Oxford Economics'!$A$7:$A$1000,$C9,'Oxford Economics'!$B$7:$B$1000,Settings!$B$12)-SUMIFS(INDEX('Oxford Economics'!$A$7:$AZ$1000,0,IFERROR(MATCH(AB$5,'Oxford Economics'!$A$6:$AZ$6,0),MATCH(AB$5&amp;"",'Oxford Economics'!$A$6:$AZ$6,0))),'Oxford Economics'!$A$7:$A$1000,$C9,'Oxford Economics'!$B$7:$B$1000,Settings!$B$14),SUMIFS(INDEX('Oxford Economics'!$A$7:$AZ$1000,0,IFERROR(MATCH(AB$5,'Oxford Economics'!$A$6:$AZ$6,0),MATCH(AB$5&amp;"",'Oxford Economics'!$A$6:$AZ$6,0))),'Oxford Economics'!$A$7:$A$1000,$C9,'Oxford Economics'!$B$7:$B$1000,Settings!$B$14)+SUMIFS(INDEX('Oxford Economics'!$A$7:$AZ$1000,0,IFERROR(MATCH(AB$5,'Oxford Economics'!$A$6:$AZ$6,0),MATCH(AB$5&amp;"",'Oxford Economics'!$A$6:$AZ$6,0))),'Oxford Economics'!$A$7:$A$1000,$C9,'Oxford Economics'!$B$7:$B$1000,Settings!$B$16)+IF(Settings!$B$18="",0,SUMIFS(INDEX('Oxford Economics'!$A$7:$AZ$1000,0,IFERROR(MATCH(AB$5,'Oxford Economics'!$A$6:$AZ$6,0),MATCH(AB$5&amp;"",'Oxford Economics'!$A$6:$AZ$6,0))),'Oxford Economics'!$A$7:$A$1000,$C9,'Oxford Economics'!$B$7:$B$1000,Settings!$B$18)))),""))</f>
        <v>15733.73</v>
      </c>
      <c r="AC9" s="38" t="n">
        <f aca="false">IF($A9="","",IFERROR(1/(1/IF($B9="Residential",SUMIFS(INDEX('Oxford Economics'!$A$7:$AZ$1000,0,IFERROR(MATCH(AC$5,'Oxford Economics'!$A$6:$AZ$6,0),MATCH(AC$5&amp;"",'Oxford Economics'!$A$6:$AZ$6,0))),'Oxford Economics'!$A$7:$A$1000,$C9,'Oxford Economics'!$B$7:$B$1000,Settings!$B$12)-SUMIFS(INDEX('Oxford Economics'!$A$7:$AZ$1000,0,IFERROR(MATCH(AC$5,'Oxford Economics'!$A$6:$AZ$6,0),MATCH(AC$5&amp;"",'Oxford Economics'!$A$6:$AZ$6,0))),'Oxford Economics'!$A$7:$A$1000,$C9,'Oxford Economics'!$B$7:$B$1000,Settings!$B$14),SUMIFS(INDEX('Oxford Economics'!$A$7:$AZ$1000,0,IFERROR(MATCH(AC$5,'Oxford Economics'!$A$6:$AZ$6,0),MATCH(AC$5&amp;"",'Oxford Economics'!$A$6:$AZ$6,0))),'Oxford Economics'!$A$7:$A$1000,$C9,'Oxford Economics'!$B$7:$B$1000,Settings!$B$14)+SUMIFS(INDEX('Oxford Economics'!$A$7:$AZ$1000,0,IFERROR(MATCH(AC$5,'Oxford Economics'!$A$6:$AZ$6,0),MATCH(AC$5&amp;"",'Oxford Economics'!$A$6:$AZ$6,0))),'Oxford Economics'!$A$7:$A$1000,$C9,'Oxford Economics'!$B$7:$B$1000,Settings!$B$16)+IF(Settings!$B$18="",0,SUMIFS(INDEX('Oxford Economics'!$A$7:$AZ$1000,0,IFERROR(MATCH(AC$5,'Oxford Economics'!$A$6:$AZ$6,0),MATCH(AC$5&amp;"",'Oxford Economics'!$A$6:$AZ$6,0))),'Oxford Economics'!$A$7:$A$1000,$C9,'Oxford Economics'!$B$7:$B$1000,Settings!$B$18)))),""))</f>
        <v>16658.27</v>
      </c>
      <c r="AD9" s="38" t="n">
        <f aca="false">IF($A9="","",IFERROR(1/(1/IF($B9="Residential",SUMIFS(INDEX('Oxford Economics'!$A$7:$AZ$1000,0,IFERROR(MATCH(AD$5,'Oxford Economics'!$A$6:$AZ$6,0),MATCH(AD$5&amp;"",'Oxford Economics'!$A$6:$AZ$6,0))),'Oxford Economics'!$A$7:$A$1000,$C9,'Oxford Economics'!$B$7:$B$1000,Settings!$B$12)-SUMIFS(INDEX('Oxford Economics'!$A$7:$AZ$1000,0,IFERROR(MATCH(AD$5,'Oxford Economics'!$A$6:$AZ$6,0),MATCH(AD$5&amp;"",'Oxford Economics'!$A$6:$AZ$6,0))),'Oxford Economics'!$A$7:$A$1000,$C9,'Oxford Economics'!$B$7:$B$1000,Settings!$B$14),SUMIFS(INDEX('Oxford Economics'!$A$7:$AZ$1000,0,IFERROR(MATCH(AD$5,'Oxford Economics'!$A$6:$AZ$6,0),MATCH(AD$5&amp;"",'Oxford Economics'!$A$6:$AZ$6,0))),'Oxford Economics'!$A$7:$A$1000,$C9,'Oxford Economics'!$B$7:$B$1000,Settings!$B$14)+SUMIFS(INDEX('Oxford Economics'!$A$7:$AZ$1000,0,IFERROR(MATCH(AD$5,'Oxford Economics'!$A$6:$AZ$6,0),MATCH(AD$5&amp;"",'Oxford Economics'!$A$6:$AZ$6,0))),'Oxford Economics'!$A$7:$A$1000,$C9,'Oxford Economics'!$B$7:$B$1000,Settings!$B$16)+IF(Settings!$B$18="",0,SUMIFS(INDEX('Oxford Economics'!$A$7:$AZ$1000,0,IFERROR(MATCH(AD$5,'Oxford Economics'!$A$6:$AZ$6,0),MATCH(AD$5&amp;"",'Oxford Economics'!$A$6:$AZ$6,0))),'Oxford Economics'!$A$7:$A$1000,$C9,'Oxford Economics'!$B$7:$B$1000,Settings!$B$18)))),""))</f>
        <v>17936.99</v>
      </c>
      <c r="AE9" s="38" t="n">
        <f aca="false">IF($A9="","",IFERROR(1/(1/IF($B9="Residential",SUMIFS(INDEX('Oxford Economics'!$A$7:$AZ$1000,0,IFERROR(MATCH(AE$5,'Oxford Economics'!$A$6:$AZ$6,0),MATCH(AE$5&amp;"",'Oxford Economics'!$A$6:$AZ$6,0))),'Oxford Economics'!$A$7:$A$1000,$C9,'Oxford Economics'!$B$7:$B$1000,Settings!$B$12)-SUMIFS(INDEX('Oxford Economics'!$A$7:$AZ$1000,0,IFERROR(MATCH(AE$5,'Oxford Economics'!$A$6:$AZ$6,0),MATCH(AE$5&amp;"",'Oxford Economics'!$A$6:$AZ$6,0))),'Oxford Economics'!$A$7:$A$1000,$C9,'Oxford Economics'!$B$7:$B$1000,Settings!$B$14),SUMIFS(INDEX('Oxford Economics'!$A$7:$AZ$1000,0,IFERROR(MATCH(AE$5,'Oxford Economics'!$A$6:$AZ$6,0),MATCH(AE$5&amp;"",'Oxford Economics'!$A$6:$AZ$6,0))),'Oxford Economics'!$A$7:$A$1000,$C9,'Oxford Economics'!$B$7:$B$1000,Settings!$B$14)+SUMIFS(INDEX('Oxford Economics'!$A$7:$AZ$1000,0,IFERROR(MATCH(AE$5,'Oxford Economics'!$A$6:$AZ$6,0),MATCH(AE$5&amp;"",'Oxford Economics'!$A$6:$AZ$6,0))),'Oxford Economics'!$A$7:$A$1000,$C9,'Oxford Economics'!$B$7:$B$1000,Settings!$B$16)+IF(Settings!$B$18="",0,SUMIFS(INDEX('Oxford Economics'!$A$7:$AZ$1000,0,IFERROR(MATCH(AE$5,'Oxford Economics'!$A$6:$AZ$6,0),MATCH(AE$5&amp;"",'Oxford Economics'!$A$6:$AZ$6,0))),'Oxford Economics'!$A$7:$A$1000,$C9,'Oxford Economics'!$B$7:$B$1000,Settings!$B$18)))),""))</f>
        <v>17602.34</v>
      </c>
      <c r="AF9" s="38" t="n">
        <f aca="false">IF($A9="","",IFERROR(1/(1/IF($B9="Residential",SUMIFS(INDEX('Oxford Economics'!$A$7:$AZ$1000,0,IFERROR(MATCH(AF$5,'Oxford Economics'!$A$6:$AZ$6,0),MATCH(AF$5&amp;"",'Oxford Economics'!$A$6:$AZ$6,0))),'Oxford Economics'!$A$7:$A$1000,$C9,'Oxford Economics'!$B$7:$B$1000,Settings!$B$12)-SUMIFS(INDEX('Oxford Economics'!$A$7:$AZ$1000,0,IFERROR(MATCH(AF$5,'Oxford Economics'!$A$6:$AZ$6,0),MATCH(AF$5&amp;"",'Oxford Economics'!$A$6:$AZ$6,0))),'Oxford Economics'!$A$7:$A$1000,$C9,'Oxford Economics'!$B$7:$B$1000,Settings!$B$14),SUMIFS(INDEX('Oxford Economics'!$A$7:$AZ$1000,0,IFERROR(MATCH(AF$5,'Oxford Economics'!$A$6:$AZ$6,0),MATCH(AF$5&amp;"",'Oxford Economics'!$A$6:$AZ$6,0))),'Oxford Economics'!$A$7:$A$1000,$C9,'Oxford Economics'!$B$7:$B$1000,Settings!$B$14)+SUMIFS(INDEX('Oxford Economics'!$A$7:$AZ$1000,0,IFERROR(MATCH(AF$5,'Oxford Economics'!$A$6:$AZ$6,0),MATCH(AF$5&amp;"",'Oxford Economics'!$A$6:$AZ$6,0))),'Oxford Economics'!$A$7:$A$1000,$C9,'Oxford Economics'!$B$7:$B$1000,Settings!$B$16)+IF(Settings!$B$18="",0,SUMIFS(INDEX('Oxford Economics'!$A$7:$AZ$1000,0,IFERROR(MATCH(AF$5,'Oxford Economics'!$A$6:$AZ$6,0),MATCH(AF$5&amp;"",'Oxford Economics'!$A$6:$AZ$6,0))),'Oxford Economics'!$A$7:$A$1000,$C9,'Oxford Economics'!$B$7:$B$1000,Settings!$B$18)))),""))</f>
        <v>15904.86</v>
      </c>
      <c r="AG9" s="38" t="n">
        <f aca="false">IF($A9="","",IFERROR(1/(1/IF($B9="Residential",SUMIFS(INDEX('Oxford Economics'!$A$7:$AZ$1000,0,IFERROR(MATCH(AG$5,'Oxford Economics'!$A$6:$AZ$6,0),MATCH(AG$5&amp;"",'Oxford Economics'!$A$6:$AZ$6,0))),'Oxford Economics'!$A$7:$A$1000,$C9,'Oxford Economics'!$B$7:$B$1000,Settings!$B$12)-SUMIFS(INDEX('Oxford Economics'!$A$7:$AZ$1000,0,IFERROR(MATCH(AG$5,'Oxford Economics'!$A$6:$AZ$6,0),MATCH(AG$5&amp;"",'Oxford Economics'!$A$6:$AZ$6,0))),'Oxford Economics'!$A$7:$A$1000,$C9,'Oxford Economics'!$B$7:$B$1000,Settings!$B$14),SUMIFS(INDEX('Oxford Economics'!$A$7:$AZ$1000,0,IFERROR(MATCH(AG$5,'Oxford Economics'!$A$6:$AZ$6,0),MATCH(AG$5&amp;"",'Oxford Economics'!$A$6:$AZ$6,0))),'Oxford Economics'!$A$7:$A$1000,$C9,'Oxford Economics'!$B$7:$B$1000,Settings!$B$14)+SUMIFS(INDEX('Oxford Economics'!$A$7:$AZ$1000,0,IFERROR(MATCH(AG$5,'Oxford Economics'!$A$6:$AZ$6,0),MATCH(AG$5&amp;"",'Oxford Economics'!$A$6:$AZ$6,0))),'Oxford Economics'!$A$7:$A$1000,$C9,'Oxford Economics'!$B$7:$B$1000,Settings!$B$16)+IF(Settings!$B$18="",0,SUMIFS(INDEX('Oxford Economics'!$A$7:$AZ$1000,0,IFERROR(MATCH(AG$5,'Oxford Economics'!$A$6:$AZ$6,0),MATCH(AG$5&amp;"",'Oxford Economics'!$A$6:$AZ$6,0))),'Oxford Economics'!$A$7:$A$1000,$C9,'Oxford Economics'!$B$7:$B$1000,Settings!$B$18)))),""))</f>
        <v>15760.1</v>
      </c>
      <c r="AH9" s="38" t="n">
        <f aca="false">IF($A9="","",IFERROR(1/(1/IF($B9="Residential",SUMIFS(INDEX('Oxford Economics'!$A$7:$AZ$1000,0,IFERROR(MATCH(AH$5,'Oxford Economics'!$A$6:$AZ$6,0),MATCH(AH$5&amp;"",'Oxford Economics'!$A$6:$AZ$6,0))),'Oxford Economics'!$A$7:$A$1000,$C9,'Oxford Economics'!$B$7:$B$1000,Settings!$B$12)-SUMIFS(INDEX('Oxford Economics'!$A$7:$AZ$1000,0,IFERROR(MATCH(AH$5,'Oxford Economics'!$A$6:$AZ$6,0),MATCH(AH$5&amp;"",'Oxford Economics'!$A$6:$AZ$6,0))),'Oxford Economics'!$A$7:$A$1000,$C9,'Oxford Economics'!$B$7:$B$1000,Settings!$B$14),SUMIFS(INDEX('Oxford Economics'!$A$7:$AZ$1000,0,IFERROR(MATCH(AH$5,'Oxford Economics'!$A$6:$AZ$6,0),MATCH(AH$5&amp;"",'Oxford Economics'!$A$6:$AZ$6,0))),'Oxford Economics'!$A$7:$A$1000,$C9,'Oxford Economics'!$B$7:$B$1000,Settings!$B$14)+SUMIFS(INDEX('Oxford Economics'!$A$7:$AZ$1000,0,IFERROR(MATCH(AH$5,'Oxford Economics'!$A$6:$AZ$6,0),MATCH(AH$5&amp;"",'Oxford Economics'!$A$6:$AZ$6,0))),'Oxford Economics'!$A$7:$A$1000,$C9,'Oxford Economics'!$B$7:$B$1000,Settings!$B$16)+IF(Settings!$B$18="",0,SUMIFS(INDEX('Oxford Economics'!$A$7:$AZ$1000,0,IFERROR(MATCH(AH$5,'Oxford Economics'!$A$6:$AZ$6,0),MATCH(AH$5&amp;"",'Oxford Economics'!$A$6:$AZ$6,0))),'Oxford Economics'!$A$7:$A$1000,$C9,'Oxford Economics'!$B$7:$B$1000,Settings!$B$18)))),""))</f>
        <v>15892.56</v>
      </c>
      <c r="AI9" s="38" t="n">
        <f aca="false">IF($A9="","",IFERROR(1/(1/IF($B9="Residential",SUMIFS(INDEX('Oxford Economics'!$A$7:$AZ$1000,0,IFERROR(MATCH(AI$5,'Oxford Economics'!$A$6:$AZ$6,0),MATCH(AI$5&amp;"",'Oxford Economics'!$A$6:$AZ$6,0))),'Oxford Economics'!$A$7:$A$1000,$C9,'Oxford Economics'!$B$7:$B$1000,Settings!$B$12)-SUMIFS(INDEX('Oxford Economics'!$A$7:$AZ$1000,0,IFERROR(MATCH(AI$5,'Oxford Economics'!$A$6:$AZ$6,0),MATCH(AI$5&amp;"",'Oxford Economics'!$A$6:$AZ$6,0))),'Oxford Economics'!$A$7:$A$1000,$C9,'Oxford Economics'!$B$7:$B$1000,Settings!$B$14),SUMIFS(INDEX('Oxford Economics'!$A$7:$AZ$1000,0,IFERROR(MATCH(AI$5,'Oxford Economics'!$A$6:$AZ$6,0),MATCH(AI$5&amp;"",'Oxford Economics'!$A$6:$AZ$6,0))),'Oxford Economics'!$A$7:$A$1000,$C9,'Oxford Economics'!$B$7:$B$1000,Settings!$B$14)+SUMIFS(INDEX('Oxford Economics'!$A$7:$AZ$1000,0,IFERROR(MATCH(AI$5,'Oxford Economics'!$A$6:$AZ$6,0),MATCH(AI$5&amp;"",'Oxford Economics'!$A$6:$AZ$6,0))),'Oxford Economics'!$A$7:$A$1000,$C9,'Oxford Economics'!$B$7:$B$1000,Settings!$B$16)+IF(Settings!$B$18="",0,SUMIFS(INDEX('Oxford Economics'!$A$7:$AZ$1000,0,IFERROR(MATCH(AI$5,'Oxford Economics'!$A$6:$AZ$6,0),MATCH(AI$5&amp;"",'Oxford Economics'!$A$6:$AZ$6,0))),'Oxford Economics'!$A$7:$A$1000,$C9,'Oxford Economics'!$B$7:$B$1000,Settings!$B$18)))),""))</f>
        <v>15892.63</v>
      </c>
      <c r="AJ9" s="38" t="n">
        <f aca="false">IF($A9="","",IFERROR(1/(1/IF($B9="Residential",SUMIFS(INDEX('Oxford Economics'!$A$7:$AZ$1000,0,IFERROR(MATCH(AJ$5,'Oxford Economics'!$A$6:$AZ$6,0),MATCH(AJ$5&amp;"",'Oxford Economics'!$A$6:$AZ$6,0))),'Oxford Economics'!$A$7:$A$1000,$C9,'Oxford Economics'!$B$7:$B$1000,Settings!$B$12)-SUMIFS(INDEX('Oxford Economics'!$A$7:$AZ$1000,0,IFERROR(MATCH(AJ$5,'Oxford Economics'!$A$6:$AZ$6,0),MATCH(AJ$5&amp;"",'Oxford Economics'!$A$6:$AZ$6,0))),'Oxford Economics'!$A$7:$A$1000,$C9,'Oxford Economics'!$B$7:$B$1000,Settings!$B$14),SUMIFS(INDEX('Oxford Economics'!$A$7:$AZ$1000,0,IFERROR(MATCH(AJ$5,'Oxford Economics'!$A$6:$AZ$6,0),MATCH(AJ$5&amp;"",'Oxford Economics'!$A$6:$AZ$6,0))),'Oxford Economics'!$A$7:$A$1000,$C9,'Oxford Economics'!$B$7:$B$1000,Settings!$B$14)+SUMIFS(INDEX('Oxford Economics'!$A$7:$AZ$1000,0,IFERROR(MATCH(AJ$5,'Oxford Economics'!$A$6:$AZ$6,0),MATCH(AJ$5&amp;"",'Oxford Economics'!$A$6:$AZ$6,0))),'Oxford Economics'!$A$7:$A$1000,$C9,'Oxford Economics'!$B$7:$B$1000,Settings!$B$16)+IF(Settings!$B$18="",0,SUMIFS(INDEX('Oxford Economics'!$A$7:$AZ$1000,0,IFERROR(MATCH(AJ$5,'Oxford Economics'!$A$6:$AZ$6,0),MATCH(AJ$5&amp;"",'Oxford Economics'!$A$6:$AZ$6,0))),'Oxford Economics'!$A$7:$A$1000,$C9,'Oxford Economics'!$B$7:$B$1000,Settings!$B$18)))),""))</f>
        <v>16166.15</v>
      </c>
      <c r="AK9" s="38" t="n">
        <f aca="false">IF($A9="","",IFERROR(1/(1/IF($B9="Residential",SUMIFS(INDEX('Oxford Economics'!$A$7:$AZ$1000,0,IFERROR(MATCH(AK$5,'Oxford Economics'!$A$6:$AZ$6,0),MATCH(AK$5&amp;"",'Oxford Economics'!$A$6:$AZ$6,0))),'Oxford Economics'!$A$7:$A$1000,$C9,'Oxford Economics'!$B$7:$B$1000,Settings!$B$12)-SUMIFS(INDEX('Oxford Economics'!$A$7:$AZ$1000,0,IFERROR(MATCH(AK$5,'Oxford Economics'!$A$6:$AZ$6,0),MATCH(AK$5&amp;"",'Oxford Economics'!$A$6:$AZ$6,0))),'Oxford Economics'!$A$7:$A$1000,$C9,'Oxford Economics'!$B$7:$B$1000,Settings!$B$14),SUMIFS(INDEX('Oxford Economics'!$A$7:$AZ$1000,0,IFERROR(MATCH(AK$5,'Oxford Economics'!$A$6:$AZ$6,0),MATCH(AK$5&amp;"",'Oxford Economics'!$A$6:$AZ$6,0))),'Oxford Economics'!$A$7:$A$1000,$C9,'Oxford Economics'!$B$7:$B$1000,Settings!$B$14)+SUMIFS(INDEX('Oxford Economics'!$A$7:$AZ$1000,0,IFERROR(MATCH(AK$5,'Oxford Economics'!$A$6:$AZ$6,0),MATCH(AK$5&amp;"",'Oxford Economics'!$A$6:$AZ$6,0))),'Oxford Economics'!$A$7:$A$1000,$C9,'Oxford Economics'!$B$7:$B$1000,Settings!$B$16)+IF(Settings!$B$18="",0,SUMIFS(INDEX('Oxford Economics'!$A$7:$AZ$1000,0,IFERROR(MATCH(AK$5,'Oxford Economics'!$A$6:$AZ$6,0),MATCH(AK$5&amp;"",'Oxford Economics'!$A$6:$AZ$6,0))),'Oxford Economics'!$A$7:$A$1000,$C9,'Oxford Economics'!$B$7:$B$1000,Settings!$B$18)))),""))</f>
        <v>16741.88</v>
      </c>
      <c r="AL9" s="38" t="n">
        <f aca="false">IF($A9="","",IFERROR(1/(1/IF($B9="Residential",SUMIFS(INDEX('Oxford Economics'!$A$7:$AZ$1000,0,IFERROR(MATCH(AL$5,'Oxford Economics'!$A$6:$AZ$6,0),MATCH(AL$5&amp;"",'Oxford Economics'!$A$6:$AZ$6,0))),'Oxford Economics'!$A$7:$A$1000,$C9,'Oxford Economics'!$B$7:$B$1000,Settings!$B$12)-SUMIFS(INDEX('Oxford Economics'!$A$7:$AZ$1000,0,IFERROR(MATCH(AL$5,'Oxford Economics'!$A$6:$AZ$6,0),MATCH(AL$5&amp;"",'Oxford Economics'!$A$6:$AZ$6,0))),'Oxford Economics'!$A$7:$A$1000,$C9,'Oxford Economics'!$B$7:$B$1000,Settings!$B$14),SUMIFS(INDEX('Oxford Economics'!$A$7:$AZ$1000,0,IFERROR(MATCH(AL$5,'Oxford Economics'!$A$6:$AZ$6,0),MATCH(AL$5&amp;"",'Oxford Economics'!$A$6:$AZ$6,0))),'Oxford Economics'!$A$7:$A$1000,$C9,'Oxford Economics'!$B$7:$B$1000,Settings!$B$14)+SUMIFS(INDEX('Oxford Economics'!$A$7:$AZ$1000,0,IFERROR(MATCH(AL$5,'Oxford Economics'!$A$6:$AZ$6,0),MATCH(AL$5&amp;"",'Oxford Economics'!$A$6:$AZ$6,0))),'Oxford Economics'!$A$7:$A$1000,$C9,'Oxford Economics'!$B$7:$B$1000,Settings!$B$16)+IF(Settings!$B$18="",0,SUMIFS(INDEX('Oxford Economics'!$A$7:$AZ$1000,0,IFERROR(MATCH(AL$5,'Oxford Economics'!$A$6:$AZ$6,0),MATCH(AL$5&amp;"",'Oxford Economics'!$A$6:$AZ$6,0))),'Oxford Economics'!$A$7:$A$1000,$C9,'Oxford Economics'!$B$7:$B$1000,Settings!$B$18)))),""))</f>
        <v>17420.7</v>
      </c>
      <c r="AM9" s="38" t="n">
        <f aca="false">IF($A9="","",IFERROR(1/(1/IF($B9="Residential",SUMIFS(INDEX('Oxford Economics'!$A$7:$AZ$1000,0,IFERROR(MATCH(AM$5,'Oxford Economics'!$A$6:$AZ$6,0),MATCH(AM$5&amp;"",'Oxford Economics'!$A$6:$AZ$6,0))),'Oxford Economics'!$A$7:$A$1000,$C9,'Oxford Economics'!$B$7:$B$1000,Settings!$B$12)-SUMIFS(INDEX('Oxford Economics'!$A$7:$AZ$1000,0,IFERROR(MATCH(AM$5,'Oxford Economics'!$A$6:$AZ$6,0),MATCH(AM$5&amp;"",'Oxford Economics'!$A$6:$AZ$6,0))),'Oxford Economics'!$A$7:$A$1000,$C9,'Oxford Economics'!$B$7:$B$1000,Settings!$B$14),SUMIFS(INDEX('Oxford Economics'!$A$7:$AZ$1000,0,IFERROR(MATCH(AM$5,'Oxford Economics'!$A$6:$AZ$6,0),MATCH(AM$5&amp;"",'Oxford Economics'!$A$6:$AZ$6,0))),'Oxford Economics'!$A$7:$A$1000,$C9,'Oxford Economics'!$B$7:$B$1000,Settings!$B$14)+SUMIFS(INDEX('Oxford Economics'!$A$7:$AZ$1000,0,IFERROR(MATCH(AM$5,'Oxford Economics'!$A$6:$AZ$6,0),MATCH(AM$5&amp;"",'Oxford Economics'!$A$6:$AZ$6,0))),'Oxford Economics'!$A$7:$A$1000,$C9,'Oxford Economics'!$B$7:$B$1000,Settings!$B$16)+IF(Settings!$B$18="",0,SUMIFS(INDEX('Oxford Economics'!$A$7:$AZ$1000,0,IFERROR(MATCH(AM$5,'Oxford Economics'!$A$6:$AZ$6,0),MATCH(AM$5&amp;"",'Oxford Economics'!$A$6:$AZ$6,0))),'Oxford Economics'!$A$7:$A$1000,$C9,'Oxford Economics'!$B$7:$B$1000,Settings!$B$18)))),""))</f>
        <v>17989.52</v>
      </c>
    </row>
    <row r="10" customFormat="false" ht="15" hidden="false" customHeight="false" outlineLevel="0" collapsed="false">
      <c r="A10" s="37" t="str">
        <f aca="false">IF('Raw data'!$A10="","",'Raw data'!$A10)</f>
        <v>Poland</v>
      </c>
      <c r="B10" s="37" t="str">
        <f aca="false">IF($A10="","",'Raw data'!$C10)</f>
        <v>Commercial</v>
      </c>
      <c r="C10" s="37" t="str">
        <f aca="false">IF($A10="","",IF('Raw data'!$E10="",$A10,'Raw data'!$E10))</f>
        <v>Poland</v>
      </c>
      <c r="D10" s="38" t="n">
        <f aca="false">IF($A10="","",IF(AND(ISNUMBER(P10),ISNUMBER(AB10)),P10+AB10,""))</f>
        <v>23022.46</v>
      </c>
      <c r="E10" s="38" t="n">
        <f aca="false">IF($A10="","",IF(AND(ISNUMBER(Q10),ISNUMBER(AC10)),Q10+AC10,""))</f>
        <v>24690.96</v>
      </c>
      <c r="F10" s="38" t="n">
        <f aca="false">IF($A10="","",IF(AND(ISNUMBER(R10),ISNUMBER(AD10)),R10+AD10,""))</f>
        <v>26232.67</v>
      </c>
      <c r="G10" s="38" t="n">
        <f aca="false">IF($A10="","",IF(AND(ISNUMBER(S10),ISNUMBER(AE10)),S10+AE10,""))</f>
        <v>25718.99</v>
      </c>
      <c r="H10" s="38" t="n">
        <f aca="false">IF($A10="","",IF(AND(ISNUMBER(T10),ISNUMBER(AF10)),T10+AF10,""))</f>
        <v>23546.6</v>
      </c>
      <c r="I10" s="38" t="n">
        <f aca="false">IF($A10="","",IF(AND(ISNUMBER(U10),ISNUMBER(AG10)),U10+AG10,""))</f>
        <v>23418.23</v>
      </c>
      <c r="J10" s="38" t="n">
        <f aca="false">IF($A10="","",IF(AND(ISNUMBER(V10),ISNUMBER(AH10)),V10+AH10,""))</f>
        <v>24815.34</v>
      </c>
      <c r="K10" s="38" t="n">
        <f aca="false">IF($A10="","",IF(AND(ISNUMBER(W10),ISNUMBER(AI10)),W10+AI10,""))</f>
        <v>25932.61</v>
      </c>
      <c r="L10" s="38" t="n">
        <f aca="false">IF($A10="","",IF(AND(ISNUMBER(X10),ISNUMBER(AJ10)),X10+AJ10,""))</f>
        <v>26482.38</v>
      </c>
      <c r="M10" s="38" t="n">
        <f aca="false">IF($A10="","",IF(AND(ISNUMBER(Y10),ISNUMBER(AK10)),Y10+AK10,""))</f>
        <v>26945.25</v>
      </c>
      <c r="N10" s="38" t="n">
        <f aca="false">IF($A10="","",IF(AND(ISNUMBER(Z10),ISNUMBER(AL10)),Z10+AL10,""))</f>
        <v>27454.96</v>
      </c>
      <c r="O10" s="38" t="n">
        <f aca="false">IF($A10="","",IF(AND(ISNUMBER(AA10),ISNUMBER(AM10)),AA10+AM10,""))</f>
        <v>27864.75</v>
      </c>
      <c r="P10" s="38" t="n">
        <f aca="false">IF($A10="","",IFERROR(1/(1/IF($B10="Residential",SUMIFS(INDEX('Oxford Economics'!$A$7:$AZ$1000,0,IFERROR(MATCH(P$5,'Oxford Economics'!$A$6:$AZ$6,0),MATCH(P$5&amp;"",'Oxford Economics'!$A$6:$AZ$6,0))),'Oxford Economics'!$A$7:$A$1000,$C10,'Oxford Economics'!$B$7:$B$1000,Settings!$B$13)-SUMIFS(INDEX('Oxford Economics'!$A$7:$AZ$1000,0,IFERROR(MATCH(P$5,'Oxford Economics'!$A$6:$AZ$6,0),MATCH(P$5&amp;"",'Oxford Economics'!$A$6:$AZ$6,0))),'Oxford Economics'!$A$7:$A$1000,$C10,'Oxford Economics'!$B$7:$B$1000,Settings!$B$15),SUMIFS(INDEX('Oxford Economics'!$A$7:$AZ$1000,0,IFERROR(MATCH(P$5,'Oxford Economics'!$A$6:$AZ$6,0),MATCH(P$5&amp;"",'Oxford Economics'!$A$6:$AZ$6,0))),'Oxford Economics'!$A$7:$A$1000,$C10,'Oxford Economics'!$B$7:$B$1000,Settings!$B$15)+SUMIFS(INDEX('Oxford Economics'!$A$7:$AZ$1000,0,IFERROR(MATCH(P$5,'Oxford Economics'!$A$6:$AZ$6,0),MATCH(P$5&amp;"",'Oxford Economics'!$A$6:$AZ$6,0))),'Oxford Economics'!$A$7:$A$1000,$C10,'Oxford Economics'!$B$7:$B$1000,Settings!$B$17)+IF(Settings!$B$19="",0,SUMIFS(INDEX('Oxford Economics'!$A$7:$AZ$1000,0,IFERROR(MATCH(P$5,'Oxford Economics'!$A$6:$AZ$6,0),MATCH(P$5&amp;"",'Oxford Economics'!$A$6:$AZ$6,0))),'Oxford Economics'!$A$7:$A$1000,$C10,'Oxford Economics'!$B$7:$B$1000,Settings!$B$19)))),""))</f>
        <v>7288.73</v>
      </c>
      <c r="Q10" s="38" t="n">
        <f aca="false">IF($A10="","",IFERROR(1/(1/IF($B10="Residential",SUMIFS(INDEX('Oxford Economics'!$A$7:$AZ$1000,0,IFERROR(MATCH(Q$5,'Oxford Economics'!$A$6:$AZ$6,0),MATCH(Q$5&amp;"",'Oxford Economics'!$A$6:$AZ$6,0))),'Oxford Economics'!$A$7:$A$1000,$C10,'Oxford Economics'!$B$7:$B$1000,Settings!$B$13)-SUMIFS(INDEX('Oxford Economics'!$A$7:$AZ$1000,0,IFERROR(MATCH(Q$5,'Oxford Economics'!$A$6:$AZ$6,0),MATCH(Q$5&amp;"",'Oxford Economics'!$A$6:$AZ$6,0))),'Oxford Economics'!$A$7:$A$1000,$C10,'Oxford Economics'!$B$7:$B$1000,Settings!$B$15),SUMIFS(INDEX('Oxford Economics'!$A$7:$AZ$1000,0,IFERROR(MATCH(Q$5,'Oxford Economics'!$A$6:$AZ$6,0),MATCH(Q$5&amp;"",'Oxford Economics'!$A$6:$AZ$6,0))),'Oxford Economics'!$A$7:$A$1000,$C10,'Oxford Economics'!$B$7:$B$1000,Settings!$B$15)+SUMIFS(INDEX('Oxford Economics'!$A$7:$AZ$1000,0,IFERROR(MATCH(Q$5,'Oxford Economics'!$A$6:$AZ$6,0),MATCH(Q$5&amp;"",'Oxford Economics'!$A$6:$AZ$6,0))),'Oxford Economics'!$A$7:$A$1000,$C10,'Oxford Economics'!$B$7:$B$1000,Settings!$B$17)+IF(Settings!$B$19="",0,SUMIFS(INDEX('Oxford Economics'!$A$7:$AZ$1000,0,IFERROR(MATCH(Q$5,'Oxford Economics'!$A$6:$AZ$6,0),MATCH(Q$5&amp;"",'Oxford Economics'!$A$6:$AZ$6,0))),'Oxford Economics'!$A$7:$A$1000,$C10,'Oxford Economics'!$B$7:$B$1000,Settings!$B$19)))),""))</f>
        <v>8032.69</v>
      </c>
      <c r="R10" s="38" t="n">
        <f aca="false">IF($A10="","",IFERROR(1/(1/IF($B10="Residential",SUMIFS(INDEX('Oxford Economics'!$A$7:$AZ$1000,0,IFERROR(MATCH(R$5,'Oxford Economics'!$A$6:$AZ$6,0),MATCH(R$5&amp;"",'Oxford Economics'!$A$6:$AZ$6,0))),'Oxford Economics'!$A$7:$A$1000,$C10,'Oxford Economics'!$B$7:$B$1000,Settings!$B$13)-SUMIFS(INDEX('Oxford Economics'!$A$7:$AZ$1000,0,IFERROR(MATCH(R$5,'Oxford Economics'!$A$6:$AZ$6,0),MATCH(R$5&amp;"",'Oxford Economics'!$A$6:$AZ$6,0))),'Oxford Economics'!$A$7:$A$1000,$C10,'Oxford Economics'!$B$7:$B$1000,Settings!$B$15),SUMIFS(INDEX('Oxford Economics'!$A$7:$AZ$1000,0,IFERROR(MATCH(R$5,'Oxford Economics'!$A$6:$AZ$6,0),MATCH(R$5&amp;"",'Oxford Economics'!$A$6:$AZ$6,0))),'Oxford Economics'!$A$7:$A$1000,$C10,'Oxford Economics'!$B$7:$B$1000,Settings!$B$15)+SUMIFS(INDEX('Oxford Economics'!$A$7:$AZ$1000,0,IFERROR(MATCH(R$5,'Oxford Economics'!$A$6:$AZ$6,0),MATCH(R$5&amp;"",'Oxford Economics'!$A$6:$AZ$6,0))),'Oxford Economics'!$A$7:$A$1000,$C10,'Oxford Economics'!$B$7:$B$1000,Settings!$B$17)+IF(Settings!$B$19="",0,SUMIFS(INDEX('Oxford Economics'!$A$7:$AZ$1000,0,IFERROR(MATCH(R$5,'Oxford Economics'!$A$6:$AZ$6,0),MATCH(R$5&amp;"",'Oxford Economics'!$A$6:$AZ$6,0))),'Oxford Economics'!$A$7:$A$1000,$C10,'Oxford Economics'!$B$7:$B$1000,Settings!$B$19)))),""))</f>
        <v>8295.68</v>
      </c>
      <c r="S10" s="38" t="n">
        <f aca="false">IF($A10="","",IFERROR(1/(1/IF($B10="Residential",SUMIFS(INDEX('Oxford Economics'!$A$7:$AZ$1000,0,IFERROR(MATCH(S$5,'Oxford Economics'!$A$6:$AZ$6,0),MATCH(S$5&amp;"",'Oxford Economics'!$A$6:$AZ$6,0))),'Oxford Economics'!$A$7:$A$1000,$C10,'Oxford Economics'!$B$7:$B$1000,Settings!$B$13)-SUMIFS(INDEX('Oxford Economics'!$A$7:$AZ$1000,0,IFERROR(MATCH(S$5,'Oxford Economics'!$A$6:$AZ$6,0),MATCH(S$5&amp;"",'Oxford Economics'!$A$6:$AZ$6,0))),'Oxford Economics'!$A$7:$A$1000,$C10,'Oxford Economics'!$B$7:$B$1000,Settings!$B$15),SUMIFS(INDEX('Oxford Economics'!$A$7:$AZ$1000,0,IFERROR(MATCH(S$5,'Oxford Economics'!$A$6:$AZ$6,0),MATCH(S$5&amp;"",'Oxford Economics'!$A$6:$AZ$6,0))),'Oxford Economics'!$A$7:$A$1000,$C10,'Oxford Economics'!$B$7:$B$1000,Settings!$B$15)+SUMIFS(INDEX('Oxford Economics'!$A$7:$AZ$1000,0,IFERROR(MATCH(S$5,'Oxford Economics'!$A$6:$AZ$6,0),MATCH(S$5&amp;"",'Oxford Economics'!$A$6:$AZ$6,0))),'Oxford Economics'!$A$7:$A$1000,$C10,'Oxford Economics'!$B$7:$B$1000,Settings!$B$17)+IF(Settings!$B$19="",0,SUMIFS(INDEX('Oxford Economics'!$A$7:$AZ$1000,0,IFERROR(MATCH(S$5,'Oxford Economics'!$A$6:$AZ$6,0),MATCH(S$5&amp;"",'Oxford Economics'!$A$6:$AZ$6,0))),'Oxford Economics'!$A$7:$A$1000,$C10,'Oxford Economics'!$B$7:$B$1000,Settings!$B$19)))),""))</f>
        <v>8116.65</v>
      </c>
      <c r="T10" s="38" t="n">
        <f aca="false">IF($A10="","",IFERROR(1/(1/IF($B10="Residential",SUMIFS(INDEX('Oxford Economics'!$A$7:$AZ$1000,0,IFERROR(MATCH(T$5,'Oxford Economics'!$A$6:$AZ$6,0),MATCH(T$5&amp;"",'Oxford Economics'!$A$6:$AZ$6,0))),'Oxford Economics'!$A$7:$A$1000,$C10,'Oxford Economics'!$B$7:$B$1000,Settings!$B$13)-SUMIFS(INDEX('Oxford Economics'!$A$7:$AZ$1000,0,IFERROR(MATCH(T$5,'Oxford Economics'!$A$6:$AZ$6,0),MATCH(T$5&amp;"",'Oxford Economics'!$A$6:$AZ$6,0))),'Oxford Economics'!$A$7:$A$1000,$C10,'Oxford Economics'!$B$7:$B$1000,Settings!$B$15),SUMIFS(INDEX('Oxford Economics'!$A$7:$AZ$1000,0,IFERROR(MATCH(T$5,'Oxford Economics'!$A$6:$AZ$6,0),MATCH(T$5&amp;"",'Oxford Economics'!$A$6:$AZ$6,0))),'Oxford Economics'!$A$7:$A$1000,$C10,'Oxford Economics'!$B$7:$B$1000,Settings!$B$15)+SUMIFS(INDEX('Oxford Economics'!$A$7:$AZ$1000,0,IFERROR(MATCH(T$5,'Oxford Economics'!$A$6:$AZ$6,0),MATCH(T$5&amp;"",'Oxford Economics'!$A$6:$AZ$6,0))),'Oxford Economics'!$A$7:$A$1000,$C10,'Oxford Economics'!$B$7:$B$1000,Settings!$B$17)+IF(Settings!$B$19="",0,SUMIFS(INDEX('Oxford Economics'!$A$7:$AZ$1000,0,IFERROR(MATCH(T$5,'Oxford Economics'!$A$6:$AZ$6,0),MATCH(T$5&amp;"",'Oxford Economics'!$A$6:$AZ$6,0))),'Oxford Economics'!$A$7:$A$1000,$C10,'Oxford Economics'!$B$7:$B$1000,Settings!$B$19)))),""))</f>
        <v>7641.74</v>
      </c>
      <c r="U10" s="38" t="n">
        <f aca="false">IF($A10="","",IFERROR(1/(1/IF($B10="Residential",SUMIFS(INDEX('Oxford Economics'!$A$7:$AZ$1000,0,IFERROR(MATCH(U$5,'Oxford Economics'!$A$6:$AZ$6,0),MATCH(U$5&amp;"",'Oxford Economics'!$A$6:$AZ$6,0))),'Oxford Economics'!$A$7:$A$1000,$C10,'Oxford Economics'!$B$7:$B$1000,Settings!$B$13)-SUMIFS(INDEX('Oxford Economics'!$A$7:$AZ$1000,0,IFERROR(MATCH(U$5,'Oxford Economics'!$A$6:$AZ$6,0),MATCH(U$5&amp;"",'Oxford Economics'!$A$6:$AZ$6,0))),'Oxford Economics'!$A$7:$A$1000,$C10,'Oxford Economics'!$B$7:$B$1000,Settings!$B$15),SUMIFS(INDEX('Oxford Economics'!$A$7:$AZ$1000,0,IFERROR(MATCH(U$5,'Oxford Economics'!$A$6:$AZ$6,0),MATCH(U$5&amp;"",'Oxford Economics'!$A$6:$AZ$6,0))),'Oxford Economics'!$A$7:$A$1000,$C10,'Oxford Economics'!$B$7:$B$1000,Settings!$B$15)+SUMIFS(INDEX('Oxford Economics'!$A$7:$AZ$1000,0,IFERROR(MATCH(U$5,'Oxford Economics'!$A$6:$AZ$6,0),MATCH(U$5&amp;"",'Oxford Economics'!$A$6:$AZ$6,0))),'Oxford Economics'!$A$7:$A$1000,$C10,'Oxford Economics'!$B$7:$B$1000,Settings!$B$17)+IF(Settings!$B$19="",0,SUMIFS(INDEX('Oxford Economics'!$A$7:$AZ$1000,0,IFERROR(MATCH(U$5,'Oxford Economics'!$A$6:$AZ$6,0),MATCH(U$5&amp;"",'Oxford Economics'!$A$6:$AZ$6,0))),'Oxford Economics'!$A$7:$A$1000,$C10,'Oxford Economics'!$B$7:$B$1000,Settings!$B$19)))),""))</f>
        <v>7658.13</v>
      </c>
      <c r="V10" s="38" t="n">
        <f aca="false">IF($A10="","",IFERROR(1/(1/IF($B10="Residential",SUMIFS(INDEX('Oxford Economics'!$A$7:$AZ$1000,0,IFERROR(MATCH(V$5,'Oxford Economics'!$A$6:$AZ$6,0),MATCH(V$5&amp;"",'Oxford Economics'!$A$6:$AZ$6,0))),'Oxford Economics'!$A$7:$A$1000,$C10,'Oxford Economics'!$B$7:$B$1000,Settings!$B$13)-SUMIFS(INDEX('Oxford Economics'!$A$7:$AZ$1000,0,IFERROR(MATCH(V$5,'Oxford Economics'!$A$6:$AZ$6,0),MATCH(V$5&amp;"",'Oxford Economics'!$A$6:$AZ$6,0))),'Oxford Economics'!$A$7:$A$1000,$C10,'Oxford Economics'!$B$7:$B$1000,Settings!$B$15),SUMIFS(INDEX('Oxford Economics'!$A$7:$AZ$1000,0,IFERROR(MATCH(V$5,'Oxford Economics'!$A$6:$AZ$6,0),MATCH(V$5&amp;"",'Oxford Economics'!$A$6:$AZ$6,0))),'Oxford Economics'!$A$7:$A$1000,$C10,'Oxford Economics'!$B$7:$B$1000,Settings!$B$15)+SUMIFS(INDEX('Oxford Economics'!$A$7:$AZ$1000,0,IFERROR(MATCH(V$5,'Oxford Economics'!$A$6:$AZ$6,0),MATCH(V$5&amp;"",'Oxford Economics'!$A$6:$AZ$6,0))),'Oxford Economics'!$A$7:$A$1000,$C10,'Oxford Economics'!$B$7:$B$1000,Settings!$B$17)+IF(Settings!$B$19="",0,SUMIFS(INDEX('Oxford Economics'!$A$7:$AZ$1000,0,IFERROR(MATCH(V$5,'Oxford Economics'!$A$6:$AZ$6,0),MATCH(V$5&amp;"",'Oxford Economics'!$A$6:$AZ$6,0))),'Oxford Economics'!$A$7:$A$1000,$C10,'Oxford Economics'!$B$7:$B$1000,Settings!$B$19)))),""))</f>
        <v>8922.78</v>
      </c>
      <c r="W10" s="38" t="n">
        <f aca="false">IF($A10="","",IFERROR(1/(1/IF($B10="Residential",SUMIFS(INDEX('Oxford Economics'!$A$7:$AZ$1000,0,IFERROR(MATCH(W$5,'Oxford Economics'!$A$6:$AZ$6,0),MATCH(W$5&amp;"",'Oxford Economics'!$A$6:$AZ$6,0))),'Oxford Economics'!$A$7:$A$1000,$C10,'Oxford Economics'!$B$7:$B$1000,Settings!$B$13)-SUMIFS(INDEX('Oxford Economics'!$A$7:$AZ$1000,0,IFERROR(MATCH(W$5,'Oxford Economics'!$A$6:$AZ$6,0),MATCH(W$5&amp;"",'Oxford Economics'!$A$6:$AZ$6,0))),'Oxford Economics'!$A$7:$A$1000,$C10,'Oxford Economics'!$B$7:$B$1000,Settings!$B$15),SUMIFS(INDEX('Oxford Economics'!$A$7:$AZ$1000,0,IFERROR(MATCH(W$5,'Oxford Economics'!$A$6:$AZ$6,0),MATCH(W$5&amp;"",'Oxford Economics'!$A$6:$AZ$6,0))),'Oxford Economics'!$A$7:$A$1000,$C10,'Oxford Economics'!$B$7:$B$1000,Settings!$B$15)+SUMIFS(INDEX('Oxford Economics'!$A$7:$AZ$1000,0,IFERROR(MATCH(W$5,'Oxford Economics'!$A$6:$AZ$6,0),MATCH(W$5&amp;"",'Oxford Economics'!$A$6:$AZ$6,0))),'Oxford Economics'!$A$7:$A$1000,$C10,'Oxford Economics'!$B$7:$B$1000,Settings!$B$17)+IF(Settings!$B$19="",0,SUMIFS(INDEX('Oxford Economics'!$A$7:$AZ$1000,0,IFERROR(MATCH(W$5,'Oxford Economics'!$A$6:$AZ$6,0),MATCH(W$5&amp;"",'Oxford Economics'!$A$6:$AZ$6,0))),'Oxford Economics'!$A$7:$A$1000,$C10,'Oxford Economics'!$B$7:$B$1000,Settings!$B$19)))),""))</f>
        <v>10039.98</v>
      </c>
      <c r="X10" s="38" t="n">
        <f aca="false">IF($A10="","",IFERROR(1/(1/IF($B10="Residential",SUMIFS(INDEX('Oxford Economics'!$A$7:$AZ$1000,0,IFERROR(MATCH(X$5,'Oxford Economics'!$A$6:$AZ$6,0),MATCH(X$5&amp;"",'Oxford Economics'!$A$6:$AZ$6,0))),'Oxford Economics'!$A$7:$A$1000,$C10,'Oxford Economics'!$B$7:$B$1000,Settings!$B$13)-SUMIFS(INDEX('Oxford Economics'!$A$7:$AZ$1000,0,IFERROR(MATCH(X$5,'Oxford Economics'!$A$6:$AZ$6,0),MATCH(X$5&amp;"",'Oxford Economics'!$A$6:$AZ$6,0))),'Oxford Economics'!$A$7:$A$1000,$C10,'Oxford Economics'!$B$7:$B$1000,Settings!$B$15),SUMIFS(INDEX('Oxford Economics'!$A$7:$AZ$1000,0,IFERROR(MATCH(X$5,'Oxford Economics'!$A$6:$AZ$6,0),MATCH(X$5&amp;"",'Oxford Economics'!$A$6:$AZ$6,0))),'Oxford Economics'!$A$7:$A$1000,$C10,'Oxford Economics'!$B$7:$B$1000,Settings!$B$15)+SUMIFS(INDEX('Oxford Economics'!$A$7:$AZ$1000,0,IFERROR(MATCH(X$5,'Oxford Economics'!$A$6:$AZ$6,0),MATCH(X$5&amp;"",'Oxford Economics'!$A$6:$AZ$6,0))),'Oxford Economics'!$A$7:$A$1000,$C10,'Oxford Economics'!$B$7:$B$1000,Settings!$B$17)+IF(Settings!$B$19="",0,SUMIFS(INDEX('Oxford Economics'!$A$7:$AZ$1000,0,IFERROR(MATCH(X$5,'Oxford Economics'!$A$6:$AZ$6,0),MATCH(X$5&amp;"",'Oxford Economics'!$A$6:$AZ$6,0))),'Oxford Economics'!$A$7:$A$1000,$C10,'Oxford Economics'!$B$7:$B$1000,Settings!$B$19)))),""))</f>
        <v>10316.23</v>
      </c>
      <c r="Y10" s="38" t="n">
        <f aca="false">IF($A10="","",IFERROR(1/(1/IF($B10="Residential",SUMIFS(INDEX('Oxford Economics'!$A$7:$AZ$1000,0,IFERROR(MATCH(Y$5,'Oxford Economics'!$A$6:$AZ$6,0),MATCH(Y$5&amp;"",'Oxford Economics'!$A$6:$AZ$6,0))),'Oxford Economics'!$A$7:$A$1000,$C10,'Oxford Economics'!$B$7:$B$1000,Settings!$B$13)-SUMIFS(INDEX('Oxford Economics'!$A$7:$AZ$1000,0,IFERROR(MATCH(Y$5,'Oxford Economics'!$A$6:$AZ$6,0),MATCH(Y$5&amp;"",'Oxford Economics'!$A$6:$AZ$6,0))),'Oxford Economics'!$A$7:$A$1000,$C10,'Oxford Economics'!$B$7:$B$1000,Settings!$B$15),SUMIFS(INDEX('Oxford Economics'!$A$7:$AZ$1000,0,IFERROR(MATCH(Y$5,'Oxford Economics'!$A$6:$AZ$6,0),MATCH(Y$5&amp;"",'Oxford Economics'!$A$6:$AZ$6,0))),'Oxford Economics'!$A$7:$A$1000,$C10,'Oxford Economics'!$B$7:$B$1000,Settings!$B$15)+SUMIFS(INDEX('Oxford Economics'!$A$7:$AZ$1000,0,IFERROR(MATCH(Y$5,'Oxford Economics'!$A$6:$AZ$6,0),MATCH(Y$5&amp;"",'Oxford Economics'!$A$6:$AZ$6,0))),'Oxford Economics'!$A$7:$A$1000,$C10,'Oxford Economics'!$B$7:$B$1000,Settings!$B$17)+IF(Settings!$B$19="",0,SUMIFS(INDEX('Oxford Economics'!$A$7:$AZ$1000,0,IFERROR(MATCH(Y$5,'Oxford Economics'!$A$6:$AZ$6,0),MATCH(Y$5&amp;"",'Oxford Economics'!$A$6:$AZ$6,0))),'Oxford Economics'!$A$7:$A$1000,$C10,'Oxford Economics'!$B$7:$B$1000,Settings!$B$19)))),""))</f>
        <v>10203.37</v>
      </c>
      <c r="Z10" s="38" t="n">
        <f aca="false">IF($A10="","",IFERROR(1/(1/IF($B10="Residential",SUMIFS(INDEX('Oxford Economics'!$A$7:$AZ$1000,0,IFERROR(MATCH(Z$5,'Oxford Economics'!$A$6:$AZ$6,0),MATCH(Z$5&amp;"",'Oxford Economics'!$A$6:$AZ$6,0))),'Oxford Economics'!$A$7:$A$1000,$C10,'Oxford Economics'!$B$7:$B$1000,Settings!$B$13)-SUMIFS(INDEX('Oxford Economics'!$A$7:$AZ$1000,0,IFERROR(MATCH(Z$5,'Oxford Economics'!$A$6:$AZ$6,0),MATCH(Z$5&amp;"",'Oxford Economics'!$A$6:$AZ$6,0))),'Oxford Economics'!$A$7:$A$1000,$C10,'Oxford Economics'!$B$7:$B$1000,Settings!$B$15),SUMIFS(INDEX('Oxford Economics'!$A$7:$AZ$1000,0,IFERROR(MATCH(Z$5,'Oxford Economics'!$A$6:$AZ$6,0),MATCH(Z$5&amp;"",'Oxford Economics'!$A$6:$AZ$6,0))),'Oxford Economics'!$A$7:$A$1000,$C10,'Oxford Economics'!$B$7:$B$1000,Settings!$B$15)+SUMIFS(INDEX('Oxford Economics'!$A$7:$AZ$1000,0,IFERROR(MATCH(Z$5,'Oxford Economics'!$A$6:$AZ$6,0),MATCH(Z$5&amp;"",'Oxford Economics'!$A$6:$AZ$6,0))),'Oxford Economics'!$A$7:$A$1000,$C10,'Oxford Economics'!$B$7:$B$1000,Settings!$B$17)+IF(Settings!$B$19="",0,SUMIFS(INDEX('Oxford Economics'!$A$7:$AZ$1000,0,IFERROR(MATCH(Z$5,'Oxford Economics'!$A$6:$AZ$6,0),MATCH(Z$5&amp;"",'Oxford Economics'!$A$6:$AZ$6,0))),'Oxford Economics'!$A$7:$A$1000,$C10,'Oxford Economics'!$B$7:$B$1000,Settings!$B$19)))),""))</f>
        <v>10034.26</v>
      </c>
      <c r="AA10" s="38" t="n">
        <f aca="false">IF($A10="","",IFERROR(1/(1/IF($B10="Residential",SUMIFS(INDEX('Oxford Economics'!$A$7:$AZ$1000,0,IFERROR(MATCH(AA$5,'Oxford Economics'!$A$6:$AZ$6,0),MATCH(AA$5&amp;"",'Oxford Economics'!$A$6:$AZ$6,0))),'Oxford Economics'!$A$7:$A$1000,$C10,'Oxford Economics'!$B$7:$B$1000,Settings!$B$13)-SUMIFS(INDEX('Oxford Economics'!$A$7:$AZ$1000,0,IFERROR(MATCH(AA$5,'Oxford Economics'!$A$6:$AZ$6,0),MATCH(AA$5&amp;"",'Oxford Economics'!$A$6:$AZ$6,0))),'Oxford Economics'!$A$7:$A$1000,$C10,'Oxford Economics'!$B$7:$B$1000,Settings!$B$15),SUMIFS(INDEX('Oxford Economics'!$A$7:$AZ$1000,0,IFERROR(MATCH(AA$5,'Oxford Economics'!$A$6:$AZ$6,0),MATCH(AA$5&amp;"",'Oxford Economics'!$A$6:$AZ$6,0))),'Oxford Economics'!$A$7:$A$1000,$C10,'Oxford Economics'!$B$7:$B$1000,Settings!$B$15)+SUMIFS(INDEX('Oxford Economics'!$A$7:$AZ$1000,0,IFERROR(MATCH(AA$5,'Oxford Economics'!$A$6:$AZ$6,0),MATCH(AA$5&amp;"",'Oxford Economics'!$A$6:$AZ$6,0))),'Oxford Economics'!$A$7:$A$1000,$C10,'Oxford Economics'!$B$7:$B$1000,Settings!$B$17)+IF(Settings!$B$19="",0,SUMIFS(INDEX('Oxford Economics'!$A$7:$AZ$1000,0,IFERROR(MATCH(AA$5,'Oxford Economics'!$A$6:$AZ$6,0),MATCH(AA$5&amp;"",'Oxford Economics'!$A$6:$AZ$6,0))),'Oxford Economics'!$A$7:$A$1000,$C10,'Oxford Economics'!$B$7:$B$1000,Settings!$B$19)))),""))</f>
        <v>9875.23</v>
      </c>
      <c r="AB10" s="38" t="n">
        <f aca="false">IF($A10="","",IFERROR(1/(1/IF($B10="Residential",SUMIFS(INDEX('Oxford Economics'!$A$7:$AZ$1000,0,IFERROR(MATCH(AB$5,'Oxford Economics'!$A$6:$AZ$6,0),MATCH(AB$5&amp;"",'Oxford Economics'!$A$6:$AZ$6,0))),'Oxford Economics'!$A$7:$A$1000,$C10,'Oxford Economics'!$B$7:$B$1000,Settings!$B$12)-SUMIFS(INDEX('Oxford Economics'!$A$7:$AZ$1000,0,IFERROR(MATCH(AB$5,'Oxford Economics'!$A$6:$AZ$6,0),MATCH(AB$5&amp;"",'Oxford Economics'!$A$6:$AZ$6,0))),'Oxford Economics'!$A$7:$A$1000,$C10,'Oxford Economics'!$B$7:$B$1000,Settings!$B$14),SUMIFS(INDEX('Oxford Economics'!$A$7:$AZ$1000,0,IFERROR(MATCH(AB$5,'Oxford Economics'!$A$6:$AZ$6,0),MATCH(AB$5&amp;"",'Oxford Economics'!$A$6:$AZ$6,0))),'Oxford Economics'!$A$7:$A$1000,$C10,'Oxford Economics'!$B$7:$B$1000,Settings!$B$14)+SUMIFS(INDEX('Oxford Economics'!$A$7:$AZ$1000,0,IFERROR(MATCH(AB$5,'Oxford Economics'!$A$6:$AZ$6,0),MATCH(AB$5&amp;"",'Oxford Economics'!$A$6:$AZ$6,0))),'Oxford Economics'!$A$7:$A$1000,$C10,'Oxford Economics'!$B$7:$B$1000,Settings!$B$16)+IF(Settings!$B$18="",0,SUMIFS(INDEX('Oxford Economics'!$A$7:$AZ$1000,0,IFERROR(MATCH(AB$5,'Oxford Economics'!$A$6:$AZ$6,0),MATCH(AB$5&amp;"",'Oxford Economics'!$A$6:$AZ$6,0))),'Oxford Economics'!$A$7:$A$1000,$C10,'Oxford Economics'!$B$7:$B$1000,Settings!$B$18)))),""))</f>
        <v>15733.73</v>
      </c>
      <c r="AC10" s="38" t="n">
        <f aca="false">IF($A10="","",IFERROR(1/(1/IF($B10="Residential",SUMIFS(INDEX('Oxford Economics'!$A$7:$AZ$1000,0,IFERROR(MATCH(AC$5,'Oxford Economics'!$A$6:$AZ$6,0),MATCH(AC$5&amp;"",'Oxford Economics'!$A$6:$AZ$6,0))),'Oxford Economics'!$A$7:$A$1000,$C10,'Oxford Economics'!$B$7:$B$1000,Settings!$B$12)-SUMIFS(INDEX('Oxford Economics'!$A$7:$AZ$1000,0,IFERROR(MATCH(AC$5,'Oxford Economics'!$A$6:$AZ$6,0),MATCH(AC$5&amp;"",'Oxford Economics'!$A$6:$AZ$6,0))),'Oxford Economics'!$A$7:$A$1000,$C10,'Oxford Economics'!$B$7:$B$1000,Settings!$B$14),SUMIFS(INDEX('Oxford Economics'!$A$7:$AZ$1000,0,IFERROR(MATCH(AC$5,'Oxford Economics'!$A$6:$AZ$6,0),MATCH(AC$5&amp;"",'Oxford Economics'!$A$6:$AZ$6,0))),'Oxford Economics'!$A$7:$A$1000,$C10,'Oxford Economics'!$B$7:$B$1000,Settings!$B$14)+SUMIFS(INDEX('Oxford Economics'!$A$7:$AZ$1000,0,IFERROR(MATCH(AC$5,'Oxford Economics'!$A$6:$AZ$6,0),MATCH(AC$5&amp;"",'Oxford Economics'!$A$6:$AZ$6,0))),'Oxford Economics'!$A$7:$A$1000,$C10,'Oxford Economics'!$B$7:$B$1000,Settings!$B$16)+IF(Settings!$B$18="",0,SUMIFS(INDEX('Oxford Economics'!$A$7:$AZ$1000,0,IFERROR(MATCH(AC$5,'Oxford Economics'!$A$6:$AZ$6,0),MATCH(AC$5&amp;"",'Oxford Economics'!$A$6:$AZ$6,0))),'Oxford Economics'!$A$7:$A$1000,$C10,'Oxford Economics'!$B$7:$B$1000,Settings!$B$18)))),""))</f>
        <v>16658.27</v>
      </c>
      <c r="AD10" s="38" t="n">
        <f aca="false">IF($A10="","",IFERROR(1/(1/IF($B10="Residential",SUMIFS(INDEX('Oxford Economics'!$A$7:$AZ$1000,0,IFERROR(MATCH(AD$5,'Oxford Economics'!$A$6:$AZ$6,0),MATCH(AD$5&amp;"",'Oxford Economics'!$A$6:$AZ$6,0))),'Oxford Economics'!$A$7:$A$1000,$C10,'Oxford Economics'!$B$7:$B$1000,Settings!$B$12)-SUMIFS(INDEX('Oxford Economics'!$A$7:$AZ$1000,0,IFERROR(MATCH(AD$5,'Oxford Economics'!$A$6:$AZ$6,0),MATCH(AD$5&amp;"",'Oxford Economics'!$A$6:$AZ$6,0))),'Oxford Economics'!$A$7:$A$1000,$C10,'Oxford Economics'!$B$7:$B$1000,Settings!$B$14),SUMIFS(INDEX('Oxford Economics'!$A$7:$AZ$1000,0,IFERROR(MATCH(AD$5,'Oxford Economics'!$A$6:$AZ$6,0),MATCH(AD$5&amp;"",'Oxford Economics'!$A$6:$AZ$6,0))),'Oxford Economics'!$A$7:$A$1000,$C10,'Oxford Economics'!$B$7:$B$1000,Settings!$B$14)+SUMIFS(INDEX('Oxford Economics'!$A$7:$AZ$1000,0,IFERROR(MATCH(AD$5,'Oxford Economics'!$A$6:$AZ$6,0),MATCH(AD$5&amp;"",'Oxford Economics'!$A$6:$AZ$6,0))),'Oxford Economics'!$A$7:$A$1000,$C10,'Oxford Economics'!$B$7:$B$1000,Settings!$B$16)+IF(Settings!$B$18="",0,SUMIFS(INDEX('Oxford Economics'!$A$7:$AZ$1000,0,IFERROR(MATCH(AD$5,'Oxford Economics'!$A$6:$AZ$6,0),MATCH(AD$5&amp;"",'Oxford Economics'!$A$6:$AZ$6,0))),'Oxford Economics'!$A$7:$A$1000,$C10,'Oxford Economics'!$B$7:$B$1000,Settings!$B$18)))),""))</f>
        <v>17936.99</v>
      </c>
      <c r="AE10" s="38" t="n">
        <f aca="false">IF($A10="","",IFERROR(1/(1/IF($B10="Residential",SUMIFS(INDEX('Oxford Economics'!$A$7:$AZ$1000,0,IFERROR(MATCH(AE$5,'Oxford Economics'!$A$6:$AZ$6,0),MATCH(AE$5&amp;"",'Oxford Economics'!$A$6:$AZ$6,0))),'Oxford Economics'!$A$7:$A$1000,$C10,'Oxford Economics'!$B$7:$B$1000,Settings!$B$12)-SUMIFS(INDEX('Oxford Economics'!$A$7:$AZ$1000,0,IFERROR(MATCH(AE$5,'Oxford Economics'!$A$6:$AZ$6,0),MATCH(AE$5&amp;"",'Oxford Economics'!$A$6:$AZ$6,0))),'Oxford Economics'!$A$7:$A$1000,$C10,'Oxford Economics'!$B$7:$B$1000,Settings!$B$14),SUMIFS(INDEX('Oxford Economics'!$A$7:$AZ$1000,0,IFERROR(MATCH(AE$5,'Oxford Economics'!$A$6:$AZ$6,0),MATCH(AE$5&amp;"",'Oxford Economics'!$A$6:$AZ$6,0))),'Oxford Economics'!$A$7:$A$1000,$C10,'Oxford Economics'!$B$7:$B$1000,Settings!$B$14)+SUMIFS(INDEX('Oxford Economics'!$A$7:$AZ$1000,0,IFERROR(MATCH(AE$5,'Oxford Economics'!$A$6:$AZ$6,0),MATCH(AE$5&amp;"",'Oxford Economics'!$A$6:$AZ$6,0))),'Oxford Economics'!$A$7:$A$1000,$C10,'Oxford Economics'!$B$7:$B$1000,Settings!$B$16)+IF(Settings!$B$18="",0,SUMIFS(INDEX('Oxford Economics'!$A$7:$AZ$1000,0,IFERROR(MATCH(AE$5,'Oxford Economics'!$A$6:$AZ$6,0),MATCH(AE$5&amp;"",'Oxford Economics'!$A$6:$AZ$6,0))),'Oxford Economics'!$A$7:$A$1000,$C10,'Oxford Economics'!$B$7:$B$1000,Settings!$B$18)))),""))</f>
        <v>17602.34</v>
      </c>
      <c r="AF10" s="38" t="n">
        <f aca="false">IF($A10="","",IFERROR(1/(1/IF($B10="Residential",SUMIFS(INDEX('Oxford Economics'!$A$7:$AZ$1000,0,IFERROR(MATCH(AF$5,'Oxford Economics'!$A$6:$AZ$6,0),MATCH(AF$5&amp;"",'Oxford Economics'!$A$6:$AZ$6,0))),'Oxford Economics'!$A$7:$A$1000,$C10,'Oxford Economics'!$B$7:$B$1000,Settings!$B$12)-SUMIFS(INDEX('Oxford Economics'!$A$7:$AZ$1000,0,IFERROR(MATCH(AF$5,'Oxford Economics'!$A$6:$AZ$6,0),MATCH(AF$5&amp;"",'Oxford Economics'!$A$6:$AZ$6,0))),'Oxford Economics'!$A$7:$A$1000,$C10,'Oxford Economics'!$B$7:$B$1000,Settings!$B$14),SUMIFS(INDEX('Oxford Economics'!$A$7:$AZ$1000,0,IFERROR(MATCH(AF$5,'Oxford Economics'!$A$6:$AZ$6,0),MATCH(AF$5&amp;"",'Oxford Economics'!$A$6:$AZ$6,0))),'Oxford Economics'!$A$7:$A$1000,$C10,'Oxford Economics'!$B$7:$B$1000,Settings!$B$14)+SUMIFS(INDEX('Oxford Economics'!$A$7:$AZ$1000,0,IFERROR(MATCH(AF$5,'Oxford Economics'!$A$6:$AZ$6,0),MATCH(AF$5&amp;"",'Oxford Economics'!$A$6:$AZ$6,0))),'Oxford Economics'!$A$7:$A$1000,$C10,'Oxford Economics'!$B$7:$B$1000,Settings!$B$16)+IF(Settings!$B$18="",0,SUMIFS(INDEX('Oxford Economics'!$A$7:$AZ$1000,0,IFERROR(MATCH(AF$5,'Oxford Economics'!$A$6:$AZ$6,0),MATCH(AF$5&amp;"",'Oxford Economics'!$A$6:$AZ$6,0))),'Oxford Economics'!$A$7:$A$1000,$C10,'Oxford Economics'!$B$7:$B$1000,Settings!$B$18)))),""))</f>
        <v>15904.86</v>
      </c>
      <c r="AG10" s="38" t="n">
        <f aca="false">IF($A10="","",IFERROR(1/(1/IF($B10="Residential",SUMIFS(INDEX('Oxford Economics'!$A$7:$AZ$1000,0,IFERROR(MATCH(AG$5,'Oxford Economics'!$A$6:$AZ$6,0),MATCH(AG$5&amp;"",'Oxford Economics'!$A$6:$AZ$6,0))),'Oxford Economics'!$A$7:$A$1000,$C10,'Oxford Economics'!$B$7:$B$1000,Settings!$B$12)-SUMIFS(INDEX('Oxford Economics'!$A$7:$AZ$1000,0,IFERROR(MATCH(AG$5,'Oxford Economics'!$A$6:$AZ$6,0),MATCH(AG$5&amp;"",'Oxford Economics'!$A$6:$AZ$6,0))),'Oxford Economics'!$A$7:$A$1000,$C10,'Oxford Economics'!$B$7:$B$1000,Settings!$B$14),SUMIFS(INDEX('Oxford Economics'!$A$7:$AZ$1000,0,IFERROR(MATCH(AG$5,'Oxford Economics'!$A$6:$AZ$6,0),MATCH(AG$5&amp;"",'Oxford Economics'!$A$6:$AZ$6,0))),'Oxford Economics'!$A$7:$A$1000,$C10,'Oxford Economics'!$B$7:$B$1000,Settings!$B$14)+SUMIFS(INDEX('Oxford Economics'!$A$7:$AZ$1000,0,IFERROR(MATCH(AG$5,'Oxford Economics'!$A$6:$AZ$6,0),MATCH(AG$5&amp;"",'Oxford Economics'!$A$6:$AZ$6,0))),'Oxford Economics'!$A$7:$A$1000,$C10,'Oxford Economics'!$B$7:$B$1000,Settings!$B$16)+IF(Settings!$B$18="",0,SUMIFS(INDEX('Oxford Economics'!$A$7:$AZ$1000,0,IFERROR(MATCH(AG$5,'Oxford Economics'!$A$6:$AZ$6,0),MATCH(AG$5&amp;"",'Oxford Economics'!$A$6:$AZ$6,0))),'Oxford Economics'!$A$7:$A$1000,$C10,'Oxford Economics'!$B$7:$B$1000,Settings!$B$18)))),""))</f>
        <v>15760.1</v>
      </c>
      <c r="AH10" s="38" t="n">
        <f aca="false">IF($A10="","",IFERROR(1/(1/IF($B10="Residential",SUMIFS(INDEX('Oxford Economics'!$A$7:$AZ$1000,0,IFERROR(MATCH(AH$5,'Oxford Economics'!$A$6:$AZ$6,0),MATCH(AH$5&amp;"",'Oxford Economics'!$A$6:$AZ$6,0))),'Oxford Economics'!$A$7:$A$1000,$C10,'Oxford Economics'!$B$7:$B$1000,Settings!$B$12)-SUMIFS(INDEX('Oxford Economics'!$A$7:$AZ$1000,0,IFERROR(MATCH(AH$5,'Oxford Economics'!$A$6:$AZ$6,0),MATCH(AH$5&amp;"",'Oxford Economics'!$A$6:$AZ$6,0))),'Oxford Economics'!$A$7:$A$1000,$C10,'Oxford Economics'!$B$7:$B$1000,Settings!$B$14),SUMIFS(INDEX('Oxford Economics'!$A$7:$AZ$1000,0,IFERROR(MATCH(AH$5,'Oxford Economics'!$A$6:$AZ$6,0),MATCH(AH$5&amp;"",'Oxford Economics'!$A$6:$AZ$6,0))),'Oxford Economics'!$A$7:$A$1000,$C10,'Oxford Economics'!$B$7:$B$1000,Settings!$B$14)+SUMIFS(INDEX('Oxford Economics'!$A$7:$AZ$1000,0,IFERROR(MATCH(AH$5,'Oxford Economics'!$A$6:$AZ$6,0),MATCH(AH$5&amp;"",'Oxford Economics'!$A$6:$AZ$6,0))),'Oxford Economics'!$A$7:$A$1000,$C10,'Oxford Economics'!$B$7:$B$1000,Settings!$B$16)+IF(Settings!$B$18="",0,SUMIFS(INDEX('Oxford Economics'!$A$7:$AZ$1000,0,IFERROR(MATCH(AH$5,'Oxford Economics'!$A$6:$AZ$6,0),MATCH(AH$5&amp;"",'Oxford Economics'!$A$6:$AZ$6,0))),'Oxford Economics'!$A$7:$A$1000,$C10,'Oxford Economics'!$B$7:$B$1000,Settings!$B$18)))),""))</f>
        <v>15892.56</v>
      </c>
      <c r="AI10" s="38" t="n">
        <f aca="false">IF($A10="","",IFERROR(1/(1/IF($B10="Residential",SUMIFS(INDEX('Oxford Economics'!$A$7:$AZ$1000,0,IFERROR(MATCH(AI$5,'Oxford Economics'!$A$6:$AZ$6,0),MATCH(AI$5&amp;"",'Oxford Economics'!$A$6:$AZ$6,0))),'Oxford Economics'!$A$7:$A$1000,$C10,'Oxford Economics'!$B$7:$B$1000,Settings!$B$12)-SUMIFS(INDEX('Oxford Economics'!$A$7:$AZ$1000,0,IFERROR(MATCH(AI$5,'Oxford Economics'!$A$6:$AZ$6,0),MATCH(AI$5&amp;"",'Oxford Economics'!$A$6:$AZ$6,0))),'Oxford Economics'!$A$7:$A$1000,$C10,'Oxford Economics'!$B$7:$B$1000,Settings!$B$14),SUMIFS(INDEX('Oxford Economics'!$A$7:$AZ$1000,0,IFERROR(MATCH(AI$5,'Oxford Economics'!$A$6:$AZ$6,0),MATCH(AI$5&amp;"",'Oxford Economics'!$A$6:$AZ$6,0))),'Oxford Economics'!$A$7:$A$1000,$C10,'Oxford Economics'!$B$7:$B$1000,Settings!$B$14)+SUMIFS(INDEX('Oxford Economics'!$A$7:$AZ$1000,0,IFERROR(MATCH(AI$5,'Oxford Economics'!$A$6:$AZ$6,0),MATCH(AI$5&amp;"",'Oxford Economics'!$A$6:$AZ$6,0))),'Oxford Economics'!$A$7:$A$1000,$C10,'Oxford Economics'!$B$7:$B$1000,Settings!$B$16)+IF(Settings!$B$18="",0,SUMIFS(INDEX('Oxford Economics'!$A$7:$AZ$1000,0,IFERROR(MATCH(AI$5,'Oxford Economics'!$A$6:$AZ$6,0),MATCH(AI$5&amp;"",'Oxford Economics'!$A$6:$AZ$6,0))),'Oxford Economics'!$A$7:$A$1000,$C10,'Oxford Economics'!$B$7:$B$1000,Settings!$B$18)))),""))</f>
        <v>15892.63</v>
      </c>
      <c r="AJ10" s="38" t="n">
        <f aca="false">IF($A10="","",IFERROR(1/(1/IF($B10="Residential",SUMIFS(INDEX('Oxford Economics'!$A$7:$AZ$1000,0,IFERROR(MATCH(AJ$5,'Oxford Economics'!$A$6:$AZ$6,0),MATCH(AJ$5&amp;"",'Oxford Economics'!$A$6:$AZ$6,0))),'Oxford Economics'!$A$7:$A$1000,$C10,'Oxford Economics'!$B$7:$B$1000,Settings!$B$12)-SUMIFS(INDEX('Oxford Economics'!$A$7:$AZ$1000,0,IFERROR(MATCH(AJ$5,'Oxford Economics'!$A$6:$AZ$6,0),MATCH(AJ$5&amp;"",'Oxford Economics'!$A$6:$AZ$6,0))),'Oxford Economics'!$A$7:$A$1000,$C10,'Oxford Economics'!$B$7:$B$1000,Settings!$B$14),SUMIFS(INDEX('Oxford Economics'!$A$7:$AZ$1000,0,IFERROR(MATCH(AJ$5,'Oxford Economics'!$A$6:$AZ$6,0),MATCH(AJ$5&amp;"",'Oxford Economics'!$A$6:$AZ$6,0))),'Oxford Economics'!$A$7:$A$1000,$C10,'Oxford Economics'!$B$7:$B$1000,Settings!$B$14)+SUMIFS(INDEX('Oxford Economics'!$A$7:$AZ$1000,0,IFERROR(MATCH(AJ$5,'Oxford Economics'!$A$6:$AZ$6,0),MATCH(AJ$5&amp;"",'Oxford Economics'!$A$6:$AZ$6,0))),'Oxford Economics'!$A$7:$A$1000,$C10,'Oxford Economics'!$B$7:$B$1000,Settings!$B$16)+IF(Settings!$B$18="",0,SUMIFS(INDEX('Oxford Economics'!$A$7:$AZ$1000,0,IFERROR(MATCH(AJ$5,'Oxford Economics'!$A$6:$AZ$6,0),MATCH(AJ$5&amp;"",'Oxford Economics'!$A$6:$AZ$6,0))),'Oxford Economics'!$A$7:$A$1000,$C10,'Oxford Economics'!$B$7:$B$1000,Settings!$B$18)))),""))</f>
        <v>16166.15</v>
      </c>
      <c r="AK10" s="38" t="n">
        <f aca="false">IF($A10="","",IFERROR(1/(1/IF($B10="Residential",SUMIFS(INDEX('Oxford Economics'!$A$7:$AZ$1000,0,IFERROR(MATCH(AK$5,'Oxford Economics'!$A$6:$AZ$6,0),MATCH(AK$5&amp;"",'Oxford Economics'!$A$6:$AZ$6,0))),'Oxford Economics'!$A$7:$A$1000,$C10,'Oxford Economics'!$B$7:$B$1000,Settings!$B$12)-SUMIFS(INDEX('Oxford Economics'!$A$7:$AZ$1000,0,IFERROR(MATCH(AK$5,'Oxford Economics'!$A$6:$AZ$6,0),MATCH(AK$5&amp;"",'Oxford Economics'!$A$6:$AZ$6,0))),'Oxford Economics'!$A$7:$A$1000,$C10,'Oxford Economics'!$B$7:$B$1000,Settings!$B$14),SUMIFS(INDEX('Oxford Economics'!$A$7:$AZ$1000,0,IFERROR(MATCH(AK$5,'Oxford Economics'!$A$6:$AZ$6,0),MATCH(AK$5&amp;"",'Oxford Economics'!$A$6:$AZ$6,0))),'Oxford Economics'!$A$7:$A$1000,$C10,'Oxford Economics'!$B$7:$B$1000,Settings!$B$14)+SUMIFS(INDEX('Oxford Economics'!$A$7:$AZ$1000,0,IFERROR(MATCH(AK$5,'Oxford Economics'!$A$6:$AZ$6,0),MATCH(AK$5&amp;"",'Oxford Economics'!$A$6:$AZ$6,0))),'Oxford Economics'!$A$7:$A$1000,$C10,'Oxford Economics'!$B$7:$B$1000,Settings!$B$16)+IF(Settings!$B$18="",0,SUMIFS(INDEX('Oxford Economics'!$A$7:$AZ$1000,0,IFERROR(MATCH(AK$5,'Oxford Economics'!$A$6:$AZ$6,0),MATCH(AK$5&amp;"",'Oxford Economics'!$A$6:$AZ$6,0))),'Oxford Economics'!$A$7:$A$1000,$C10,'Oxford Economics'!$B$7:$B$1000,Settings!$B$18)))),""))</f>
        <v>16741.88</v>
      </c>
      <c r="AL10" s="38" t="n">
        <f aca="false">IF($A10="","",IFERROR(1/(1/IF($B10="Residential",SUMIFS(INDEX('Oxford Economics'!$A$7:$AZ$1000,0,IFERROR(MATCH(AL$5,'Oxford Economics'!$A$6:$AZ$6,0),MATCH(AL$5&amp;"",'Oxford Economics'!$A$6:$AZ$6,0))),'Oxford Economics'!$A$7:$A$1000,$C10,'Oxford Economics'!$B$7:$B$1000,Settings!$B$12)-SUMIFS(INDEX('Oxford Economics'!$A$7:$AZ$1000,0,IFERROR(MATCH(AL$5,'Oxford Economics'!$A$6:$AZ$6,0),MATCH(AL$5&amp;"",'Oxford Economics'!$A$6:$AZ$6,0))),'Oxford Economics'!$A$7:$A$1000,$C10,'Oxford Economics'!$B$7:$B$1000,Settings!$B$14),SUMIFS(INDEX('Oxford Economics'!$A$7:$AZ$1000,0,IFERROR(MATCH(AL$5,'Oxford Economics'!$A$6:$AZ$6,0),MATCH(AL$5&amp;"",'Oxford Economics'!$A$6:$AZ$6,0))),'Oxford Economics'!$A$7:$A$1000,$C10,'Oxford Economics'!$B$7:$B$1000,Settings!$B$14)+SUMIFS(INDEX('Oxford Economics'!$A$7:$AZ$1000,0,IFERROR(MATCH(AL$5,'Oxford Economics'!$A$6:$AZ$6,0),MATCH(AL$5&amp;"",'Oxford Economics'!$A$6:$AZ$6,0))),'Oxford Economics'!$A$7:$A$1000,$C10,'Oxford Economics'!$B$7:$B$1000,Settings!$B$16)+IF(Settings!$B$18="",0,SUMIFS(INDEX('Oxford Economics'!$A$7:$AZ$1000,0,IFERROR(MATCH(AL$5,'Oxford Economics'!$A$6:$AZ$6,0),MATCH(AL$5&amp;"",'Oxford Economics'!$A$6:$AZ$6,0))),'Oxford Economics'!$A$7:$A$1000,$C10,'Oxford Economics'!$B$7:$B$1000,Settings!$B$18)))),""))</f>
        <v>17420.7</v>
      </c>
      <c r="AM10" s="38" t="n">
        <f aca="false">IF($A10="","",IFERROR(1/(1/IF($B10="Residential",SUMIFS(INDEX('Oxford Economics'!$A$7:$AZ$1000,0,IFERROR(MATCH(AM$5,'Oxford Economics'!$A$6:$AZ$6,0),MATCH(AM$5&amp;"",'Oxford Economics'!$A$6:$AZ$6,0))),'Oxford Economics'!$A$7:$A$1000,$C10,'Oxford Economics'!$B$7:$B$1000,Settings!$B$12)-SUMIFS(INDEX('Oxford Economics'!$A$7:$AZ$1000,0,IFERROR(MATCH(AM$5,'Oxford Economics'!$A$6:$AZ$6,0),MATCH(AM$5&amp;"",'Oxford Economics'!$A$6:$AZ$6,0))),'Oxford Economics'!$A$7:$A$1000,$C10,'Oxford Economics'!$B$7:$B$1000,Settings!$B$14),SUMIFS(INDEX('Oxford Economics'!$A$7:$AZ$1000,0,IFERROR(MATCH(AM$5,'Oxford Economics'!$A$6:$AZ$6,0),MATCH(AM$5&amp;"",'Oxford Economics'!$A$6:$AZ$6,0))),'Oxford Economics'!$A$7:$A$1000,$C10,'Oxford Economics'!$B$7:$B$1000,Settings!$B$14)+SUMIFS(INDEX('Oxford Economics'!$A$7:$AZ$1000,0,IFERROR(MATCH(AM$5,'Oxford Economics'!$A$6:$AZ$6,0),MATCH(AM$5&amp;"",'Oxford Economics'!$A$6:$AZ$6,0))),'Oxford Economics'!$A$7:$A$1000,$C10,'Oxford Economics'!$B$7:$B$1000,Settings!$B$16)+IF(Settings!$B$18="",0,SUMIFS(INDEX('Oxford Economics'!$A$7:$AZ$1000,0,IFERROR(MATCH(AM$5,'Oxford Economics'!$A$6:$AZ$6,0),MATCH(AM$5&amp;"",'Oxford Economics'!$A$6:$AZ$6,0))),'Oxford Economics'!$A$7:$A$1000,$C10,'Oxford Economics'!$B$7:$B$1000,Settings!$B$18)))),""))</f>
        <v>17989.52</v>
      </c>
    </row>
    <row r="11" customFormat="false" ht="15" hidden="false" customHeight="false" outlineLevel="0" collapsed="false">
      <c r="A11" s="37" t="str">
        <f aca="false">IF('Raw data'!$A11="","",'Raw data'!$A11)</f>
        <v>Poland</v>
      </c>
      <c r="B11" s="37" t="str">
        <f aca="false">IF($A11="","",'Raw data'!$C11)</f>
        <v>Commercial</v>
      </c>
      <c r="C11" s="37" t="str">
        <f aca="false">IF($A11="","",IF('Raw data'!$E11="",$A11,'Raw data'!$E11))</f>
        <v>Poland</v>
      </c>
      <c r="D11" s="38" t="n">
        <f aca="false">IF($A11="","",IF(AND(ISNUMBER(P11),ISNUMBER(AB11)),P11+AB11,""))</f>
        <v>23022.46</v>
      </c>
      <c r="E11" s="38" t="n">
        <f aca="false">IF($A11="","",IF(AND(ISNUMBER(Q11),ISNUMBER(AC11)),Q11+AC11,""))</f>
        <v>24690.96</v>
      </c>
      <c r="F11" s="38" t="n">
        <f aca="false">IF($A11="","",IF(AND(ISNUMBER(R11),ISNUMBER(AD11)),R11+AD11,""))</f>
        <v>26232.67</v>
      </c>
      <c r="G11" s="38" t="n">
        <f aca="false">IF($A11="","",IF(AND(ISNUMBER(S11),ISNUMBER(AE11)),S11+AE11,""))</f>
        <v>25718.99</v>
      </c>
      <c r="H11" s="38" t="n">
        <f aca="false">IF($A11="","",IF(AND(ISNUMBER(T11),ISNUMBER(AF11)),T11+AF11,""))</f>
        <v>23546.6</v>
      </c>
      <c r="I11" s="38" t="n">
        <f aca="false">IF($A11="","",IF(AND(ISNUMBER(U11),ISNUMBER(AG11)),U11+AG11,""))</f>
        <v>23418.23</v>
      </c>
      <c r="J11" s="38" t="n">
        <f aca="false">IF($A11="","",IF(AND(ISNUMBER(V11),ISNUMBER(AH11)),V11+AH11,""))</f>
        <v>24815.34</v>
      </c>
      <c r="K11" s="38" t="n">
        <f aca="false">IF($A11="","",IF(AND(ISNUMBER(W11),ISNUMBER(AI11)),W11+AI11,""))</f>
        <v>25932.61</v>
      </c>
      <c r="L11" s="38" t="n">
        <f aca="false">IF($A11="","",IF(AND(ISNUMBER(X11),ISNUMBER(AJ11)),X11+AJ11,""))</f>
        <v>26482.38</v>
      </c>
      <c r="M11" s="38" t="n">
        <f aca="false">IF($A11="","",IF(AND(ISNUMBER(Y11),ISNUMBER(AK11)),Y11+AK11,""))</f>
        <v>26945.25</v>
      </c>
      <c r="N11" s="38" t="n">
        <f aca="false">IF($A11="","",IF(AND(ISNUMBER(Z11),ISNUMBER(AL11)),Z11+AL11,""))</f>
        <v>27454.96</v>
      </c>
      <c r="O11" s="38" t="n">
        <f aca="false">IF($A11="","",IF(AND(ISNUMBER(AA11),ISNUMBER(AM11)),AA11+AM11,""))</f>
        <v>27864.75</v>
      </c>
      <c r="P11" s="38" t="n">
        <f aca="false">IF($A11="","",IFERROR(1/(1/IF($B11="Residential",SUMIFS(INDEX('Oxford Economics'!$A$7:$AZ$1000,0,IFERROR(MATCH(P$5,'Oxford Economics'!$A$6:$AZ$6,0),MATCH(P$5&amp;"",'Oxford Economics'!$A$6:$AZ$6,0))),'Oxford Economics'!$A$7:$A$1000,$C11,'Oxford Economics'!$B$7:$B$1000,Settings!$B$13)-SUMIFS(INDEX('Oxford Economics'!$A$7:$AZ$1000,0,IFERROR(MATCH(P$5,'Oxford Economics'!$A$6:$AZ$6,0),MATCH(P$5&amp;"",'Oxford Economics'!$A$6:$AZ$6,0))),'Oxford Economics'!$A$7:$A$1000,$C11,'Oxford Economics'!$B$7:$B$1000,Settings!$B$15),SUMIFS(INDEX('Oxford Economics'!$A$7:$AZ$1000,0,IFERROR(MATCH(P$5,'Oxford Economics'!$A$6:$AZ$6,0),MATCH(P$5&amp;"",'Oxford Economics'!$A$6:$AZ$6,0))),'Oxford Economics'!$A$7:$A$1000,$C11,'Oxford Economics'!$B$7:$B$1000,Settings!$B$15)+SUMIFS(INDEX('Oxford Economics'!$A$7:$AZ$1000,0,IFERROR(MATCH(P$5,'Oxford Economics'!$A$6:$AZ$6,0),MATCH(P$5&amp;"",'Oxford Economics'!$A$6:$AZ$6,0))),'Oxford Economics'!$A$7:$A$1000,$C11,'Oxford Economics'!$B$7:$B$1000,Settings!$B$17)+IF(Settings!$B$19="",0,SUMIFS(INDEX('Oxford Economics'!$A$7:$AZ$1000,0,IFERROR(MATCH(P$5,'Oxford Economics'!$A$6:$AZ$6,0),MATCH(P$5&amp;"",'Oxford Economics'!$A$6:$AZ$6,0))),'Oxford Economics'!$A$7:$A$1000,$C11,'Oxford Economics'!$B$7:$B$1000,Settings!$B$19)))),""))</f>
        <v>7288.73</v>
      </c>
      <c r="Q11" s="38" t="n">
        <f aca="false">IF($A11="","",IFERROR(1/(1/IF($B11="Residential",SUMIFS(INDEX('Oxford Economics'!$A$7:$AZ$1000,0,IFERROR(MATCH(Q$5,'Oxford Economics'!$A$6:$AZ$6,0),MATCH(Q$5&amp;"",'Oxford Economics'!$A$6:$AZ$6,0))),'Oxford Economics'!$A$7:$A$1000,$C11,'Oxford Economics'!$B$7:$B$1000,Settings!$B$13)-SUMIFS(INDEX('Oxford Economics'!$A$7:$AZ$1000,0,IFERROR(MATCH(Q$5,'Oxford Economics'!$A$6:$AZ$6,0),MATCH(Q$5&amp;"",'Oxford Economics'!$A$6:$AZ$6,0))),'Oxford Economics'!$A$7:$A$1000,$C11,'Oxford Economics'!$B$7:$B$1000,Settings!$B$15),SUMIFS(INDEX('Oxford Economics'!$A$7:$AZ$1000,0,IFERROR(MATCH(Q$5,'Oxford Economics'!$A$6:$AZ$6,0),MATCH(Q$5&amp;"",'Oxford Economics'!$A$6:$AZ$6,0))),'Oxford Economics'!$A$7:$A$1000,$C11,'Oxford Economics'!$B$7:$B$1000,Settings!$B$15)+SUMIFS(INDEX('Oxford Economics'!$A$7:$AZ$1000,0,IFERROR(MATCH(Q$5,'Oxford Economics'!$A$6:$AZ$6,0),MATCH(Q$5&amp;"",'Oxford Economics'!$A$6:$AZ$6,0))),'Oxford Economics'!$A$7:$A$1000,$C11,'Oxford Economics'!$B$7:$B$1000,Settings!$B$17)+IF(Settings!$B$19="",0,SUMIFS(INDEX('Oxford Economics'!$A$7:$AZ$1000,0,IFERROR(MATCH(Q$5,'Oxford Economics'!$A$6:$AZ$6,0),MATCH(Q$5&amp;"",'Oxford Economics'!$A$6:$AZ$6,0))),'Oxford Economics'!$A$7:$A$1000,$C11,'Oxford Economics'!$B$7:$B$1000,Settings!$B$19)))),""))</f>
        <v>8032.69</v>
      </c>
      <c r="R11" s="38" t="n">
        <f aca="false">IF($A11="","",IFERROR(1/(1/IF($B11="Residential",SUMIFS(INDEX('Oxford Economics'!$A$7:$AZ$1000,0,IFERROR(MATCH(R$5,'Oxford Economics'!$A$6:$AZ$6,0),MATCH(R$5&amp;"",'Oxford Economics'!$A$6:$AZ$6,0))),'Oxford Economics'!$A$7:$A$1000,$C11,'Oxford Economics'!$B$7:$B$1000,Settings!$B$13)-SUMIFS(INDEX('Oxford Economics'!$A$7:$AZ$1000,0,IFERROR(MATCH(R$5,'Oxford Economics'!$A$6:$AZ$6,0),MATCH(R$5&amp;"",'Oxford Economics'!$A$6:$AZ$6,0))),'Oxford Economics'!$A$7:$A$1000,$C11,'Oxford Economics'!$B$7:$B$1000,Settings!$B$15),SUMIFS(INDEX('Oxford Economics'!$A$7:$AZ$1000,0,IFERROR(MATCH(R$5,'Oxford Economics'!$A$6:$AZ$6,0),MATCH(R$5&amp;"",'Oxford Economics'!$A$6:$AZ$6,0))),'Oxford Economics'!$A$7:$A$1000,$C11,'Oxford Economics'!$B$7:$B$1000,Settings!$B$15)+SUMIFS(INDEX('Oxford Economics'!$A$7:$AZ$1000,0,IFERROR(MATCH(R$5,'Oxford Economics'!$A$6:$AZ$6,0),MATCH(R$5&amp;"",'Oxford Economics'!$A$6:$AZ$6,0))),'Oxford Economics'!$A$7:$A$1000,$C11,'Oxford Economics'!$B$7:$B$1000,Settings!$B$17)+IF(Settings!$B$19="",0,SUMIFS(INDEX('Oxford Economics'!$A$7:$AZ$1000,0,IFERROR(MATCH(R$5,'Oxford Economics'!$A$6:$AZ$6,0),MATCH(R$5&amp;"",'Oxford Economics'!$A$6:$AZ$6,0))),'Oxford Economics'!$A$7:$A$1000,$C11,'Oxford Economics'!$B$7:$B$1000,Settings!$B$19)))),""))</f>
        <v>8295.68</v>
      </c>
      <c r="S11" s="38" t="n">
        <f aca="false">IF($A11="","",IFERROR(1/(1/IF($B11="Residential",SUMIFS(INDEX('Oxford Economics'!$A$7:$AZ$1000,0,IFERROR(MATCH(S$5,'Oxford Economics'!$A$6:$AZ$6,0),MATCH(S$5&amp;"",'Oxford Economics'!$A$6:$AZ$6,0))),'Oxford Economics'!$A$7:$A$1000,$C11,'Oxford Economics'!$B$7:$B$1000,Settings!$B$13)-SUMIFS(INDEX('Oxford Economics'!$A$7:$AZ$1000,0,IFERROR(MATCH(S$5,'Oxford Economics'!$A$6:$AZ$6,0),MATCH(S$5&amp;"",'Oxford Economics'!$A$6:$AZ$6,0))),'Oxford Economics'!$A$7:$A$1000,$C11,'Oxford Economics'!$B$7:$B$1000,Settings!$B$15),SUMIFS(INDEX('Oxford Economics'!$A$7:$AZ$1000,0,IFERROR(MATCH(S$5,'Oxford Economics'!$A$6:$AZ$6,0),MATCH(S$5&amp;"",'Oxford Economics'!$A$6:$AZ$6,0))),'Oxford Economics'!$A$7:$A$1000,$C11,'Oxford Economics'!$B$7:$B$1000,Settings!$B$15)+SUMIFS(INDEX('Oxford Economics'!$A$7:$AZ$1000,0,IFERROR(MATCH(S$5,'Oxford Economics'!$A$6:$AZ$6,0),MATCH(S$5&amp;"",'Oxford Economics'!$A$6:$AZ$6,0))),'Oxford Economics'!$A$7:$A$1000,$C11,'Oxford Economics'!$B$7:$B$1000,Settings!$B$17)+IF(Settings!$B$19="",0,SUMIFS(INDEX('Oxford Economics'!$A$7:$AZ$1000,0,IFERROR(MATCH(S$5,'Oxford Economics'!$A$6:$AZ$6,0),MATCH(S$5&amp;"",'Oxford Economics'!$A$6:$AZ$6,0))),'Oxford Economics'!$A$7:$A$1000,$C11,'Oxford Economics'!$B$7:$B$1000,Settings!$B$19)))),""))</f>
        <v>8116.65</v>
      </c>
      <c r="T11" s="38" t="n">
        <f aca="false">IF($A11="","",IFERROR(1/(1/IF($B11="Residential",SUMIFS(INDEX('Oxford Economics'!$A$7:$AZ$1000,0,IFERROR(MATCH(T$5,'Oxford Economics'!$A$6:$AZ$6,0),MATCH(T$5&amp;"",'Oxford Economics'!$A$6:$AZ$6,0))),'Oxford Economics'!$A$7:$A$1000,$C11,'Oxford Economics'!$B$7:$B$1000,Settings!$B$13)-SUMIFS(INDEX('Oxford Economics'!$A$7:$AZ$1000,0,IFERROR(MATCH(T$5,'Oxford Economics'!$A$6:$AZ$6,0),MATCH(T$5&amp;"",'Oxford Economics'!$A$6:$AZ$6,0))),'Oxford Economics'!$A$7:$A$1000,$C11,'Oxford Economics'!$B$7:$B$1000,Settings!$B$15),SUMIFS(INDEX('Oxford Economics'!$A$7:$AZ$1000,0,IFERROR(MATCH(T$5,'Oxford Economics'!$A$6:$AZ$6,0),MATCH(T$5&amp;"",'Oxford Economics'!$A$6:$AZ$6,0))),'Oxford Economics'!$A$7:$A$1000,$C11,'Oxford Economics'!$B$7:$B$1000,Settings!$B$15)+SUMIFS(INDEX('Oxford Economics'!$A$7:$AZ$1000,0,IFERROR(MATCH(T$5,'Oxford Economics'!$A$6:$AZ$6,0),MATCH(T$5&amp;"",'Oxford Economics'!$A$6:$AZ$6,0))),'Oxford Economics'!$A$7:$A$1000,$C11,'Oxford Economics'!$B$7:$B$1000,Settings!$B$17)+IF(Settings!$B$19="",0,SUMIFS(INDEX('Oxford Economics'!$A$7:$AZ$1000,0,IFERROR(MATCH(T$5,'Oxford Economics'!$A$6:$AZ$6,0),MATCH(T$5&amp;"",'Oxford Economics'!$A$6:$AZ$6,0))),'Oxford Economics'!$A$7:$A$1000,$C11,'Oxford Economics'!$B$7:$B$1000,Settings!$B$19)))),""))</f>
        <v>7641.74</v>
      </c>
      <c r="U11" s="38" t="n">
        <f aca="false">IF($A11="","",IFERROR(1/(1/IF($B11="Residential",SUMIFS(INDEX('Oxford Economics'!$A$7:$AZ$1000,0,IFERROR(MATCH(U$5,'Oxford Economics'!$A$6:$AZ$6,0),MATCH(U$5&amp;"",'Oxford Economics'!$A$6:$AZ$6,0))),'Oxford Economics'!$A$7:$A$1000,$C11,'Oxford Economics'!$B$7:$B$1000,Settings!$B$13)-SUMIFS(INDEX('Oxford Economics'!$A$7:$AZ$1000,0,IFERROR(MATCH(U$5,'Oxford Economics'!$A$6:$AZ$6,0),MATCH(U$5&amp;"",'Oxford Economics'!$A$6:$AZ$6,0))),'Oxford Economics'!$A$7:$A$1000,$C11,'Oxford Economics'!$B$7:$B$1000,Settings!$B$15),SUMIFS(INDEX('Oxford Economics'!$A$7:$AZ$1000,0,IFERROR(MATCH(U$5,'Oxford Economics'!$A$6:$AZ$6,0),MATCH(U$5&amp;"",'Oxford Economics'!$A$6:$AZ$6,0))),'Oxford Economics'!$A$7:$A$1000,$C11,'Oxford Economics'!$B$7:$B$1000,Settings!$B$15)+SUMIFS(INDEX('Oxford Economics'!$A$7:$AZ$1000,0,IFERROR(MATCH(U$5,'Oxford Economics'!$A$6:$AZ$6,0),MATCH(U$5&amp;"",'Oxford Economics'!$A$6:$AZ$6,0))),'Oxford Economics'!$A$7:$A$1000,$C11,'Oxford Economics'!$B$7:$B$1000,Settings!$B$17)+IF(Settings!$B$19="",0,SUMIFS(INDEX('Oxford Economics'!$A$7:$AZ$1000,0,IFERROR(MATCH(U$5,'Oxford Economics'!$A$6:$AZ$6,0),MATCH(U$5&amp;"",'Oxford Economics'!$A$6:$AZ$6,0))),'Oxford Economics'!$A$7:$A$1000,$C11,'Oxford Economics'!$B$7:$B$1000,Settings!$B$19)))),""))</f>
        <v>7658.13</v>
      </c>
      <c r="V11" s="38" t="n">
        <f aca="false">IF($A11="","",IFERROR(1/(1/IF($B11="Residential",SUMIFS(INDEX('Oxford Economics'!$A$7:$AZ$1000,0,IFERROR(MATCH(V$5,'Oxford Economics'!$A$6:$AZ$6,0),MATCH(V$5&amp;"",'Oxford Economics'!$A$6:$AZ$6,0))),'Oxford Economics'!$A$7:$A$1000,$C11,'Oxford Economics'!$B$7:$B$1000,Settings!$B$13)-SUMIFS(INDEX('Oxford Economics'!$A$7:$AZ$1000,0,IFERROR(MATCH(V$5,'Oxford Economics'!$A$6:$AZ$6,0),MATCH(V$5&amp;"",'Oxford Economics'!$A$6:$AZ$6,0))),'Oxford Economics'!$A$7:$A$1000,$C11,'Oxford Economics'!$B$7:$B$1000,Settings!$B$15),SUMIFS(INDEX('Oxford Economics'!$A$7:$AZ$1000,0,IFERROR(MATCH(V$5,'Oxford Economics'!$A$6:$AZ$6,0),MATCH(V$5&amp;"",'Oxford Economics'!$A$6:$AZ$6,0))),'Oxford Economics'!$A$7:$A$1000,$C11,'Oxford Economics'!$B$7:$B$1000,Settings!$B$15)+SUMIFS(INDEX('Oxford Economics'!$A$7:$AZ$1000,0,IFERROR(MATCH(V$5,'Oxford Economics'!$A$6:$AZ$6,0),MATCH(V$5&amp;"",'Oxford Economics'!$A$6:$AZ$6,0))),'Oxford Economics'!$A$7:$A$1000,$C11,'Oxford Economics'!$B$7:$B$1000,Settings!$B$17)+IF(Settings!$B$19="",0,SUMIFS(INDEX('Oxford Economics'!$A$7:$AZ$1000,0,IFERROR(MATCH(V$5,'Oxford Economics'!$A$6:$AZ$6,0),MATCH(V$5&amp;"",'Oxford Economics'!$A$6:$AZ$6,0))),'Oxford Economics'!$A$7:$A$1000,$C11,'Oxford Economics'!$B$7:$B$1000,Settings!$B$19)))),""))</f>
        <v>8922.78</v>
      </c>
      <c r="W11" s="38" t="n">
        <f aca="false">IF($A11="","",IFERROR(1/(1/IF($B11="Residential",SUMIFS(INDEX('Oxford Economics'!$A$7:$AZ$1000,0,IFERROR(MATCH(W$5,'Oxford Economics'!$A$6:$AZ$6,0),MATCH(W$5&amp;"",'Oxford Economics'!$A$6:$AZ$6,0))),'Oxford Economics'!$A$7:$A$1000,$C11,'Oxford Economics'!$B$7:$B$1000,Settings!$B$13)-SUMIFS(INDEX('Oxford Economics'!$A$7:$AZ$1000,0,IFERROR(MATCH(W$5,'Oxford Economics'!$A$6:$AZ$6,0),MATCH(W$5&amp;"",'Oxford Economics'!$A$6:$AZ$6,0))),'Oxford Economics'!$A$7:$A$1000,$C11,'Oxford Economics'!$B$7:$B$1000,Settings!$B$15),SUMIFS(INDEX('Oxford Economics'!$A$7:$AZ$1000,0,IFERROR(MATCH(W$5,'Oxford Economics'!$A$6:$AZ$6,0),MATCH(W$5&amp;"",'Oxford Economics'!$A$6:$AZ$6,0))),'Oxford Economics'!$A$7:$A$1000,$C11,'Oxford Economics'!$B$7:$B$1000,Settings!$B$15)+SUMIFS(INDEX('Oxford Economics'!$A$7:$AZ$1000,0,IFERROR(MATCH(W$5,'Oxford Economics'!$A$6:$AZ$6,0),MATCH(W$5&amp;"",'Oxford Economics'!$A$6:$AZ$6,0))),'Oxford Economics'!$A$7:$A$1000,$C11,'Oxford Economics'!$B$7:$B$1000,Settings!$B$17)+IF(Settings!$B$19="",0,SUMIFS(INDEX('Oxford Economics'!$A$7:$AZ$1000,0,IFERROR(MATCH(W$5,'Oxford Economics'!$A$6:$AZ$6,0),MATCH(W$5&amp;"",'Oxford Economics'!$A$6:$AZ$6,0))),'Oxford Economics'!$A$7:$A$1000,$C11,'Oxford Economics'!$B$7:$B$1000,Settings!$B$19)))),""))</f>
        <v>10039.98</v>
      </c>
      <c r="X11" s="38" t="n">
        <f aca="false">IF($A11="","",IFERROR(1/(1/IF($B11="Residential",SUMIFS(INDEX('Oxford Economics'!$A$7:$AZ$1000,0,IFERROR(MATCH(X$5,'Oxford Economics'!$A$6:$AZ$6,0),MATCH(X$5&amp;"",'Oxford Economics'!$A$6:$AZ$6,0))),'Oxford Economics'!$A$7:$A$1000,$C11,'Oxford Economics'!$B$7:$B$1000,Settings!$B$13)-SUMIFS(INDEX('Oxford Economics'!$A$7:$AZ$1000,0,IFERROR(MATCH(X$5,'Oxford Economics'!$A$6:$AZ$6,0),MATCH(X$5&amp;"",'Oxford Economics'!$A$6:$AZ$6,0))),'Oxford Economics'!$A$7:$A$1000,$C11,'Oxford Economics'!$B$7:$B$1000,Settings!$B$15),SUMIFS(INDEX('Oxford Economics'!$A$7:$AZ$1000,0,IFERROR(MATCH(X$5,'Oxford Economics'!$A$6:$AZ$6,0),MATCH(X$5&amp;"",'Oxford Economics'!$A$6:$AZ$6,0))),'Oxford Economics'!$A$7:$A$1000,$C11,'Oxford Economics'!$B$7:$B$1000,Settings!$B$15)+SUMIFS(INDEX('Oxford Economics'!$A$7:$AZ$1000,0,IFERROR(MATCH(X$5,'Oxford Economics'!$A$6:$AZ$6,0),MATCH(X$5&amp;"",'Oxford Economics'!$A$6:$AZ$6,0))),'Oxford Economics'!$A$7:$A$1000,$C11,'Oxford Economics'!$B$7:$B$1000,Settings!$B$17)+IF(Settings!$B$19="",0,SUMIFS(INDEX('Oxford Economics'!$A$7:$AZ$1000,0,IFERROR(MATCH(X$5,'Oxford Economics'!$A$6:$AZ$6,0),MATCH(X$5&amp;"",'Oxford Economics'!$A$6:$AZ$6,0))),'Oxford Economics'!$A$7:$A$1000,$C11,'Oxford Economics'!$B$7:$B$1000,Settings!$B$19)))),""))</f>
        <v>10316.23</v>
      </c>
      <c r="Y11" s="38" t="n">
        <f aca="false">IF($A11="","",IFERROR(1/(1/IF($B11="Residential",SUMIFS(INDEX('Oxford Economics'!$A$7:$AZ$1000,0,IFERROR(MATCH(Y$5,'Oxford Economics'!$A$6:$AZ$6,0),MATCH(Y$5&amp;"",'Oxford Economics'!$A$6:$AZ$6,0))),'Oxford Economics'!$A$7:$A$1000,$C11,'Oxford Economics'!$B$7:$B$1000,Settings!$B$13)-SUMIFS(INDEX('Oxford Economics'!$A$7:$AZ$1000,0,IFERROR(MATCH(Y$5,'Oxford Economics'!$A$6:$AZ$6,0),MATCH(Y$5&amp;"",'Oxford Economics'!$A$6:$AZ$6,0))),'Oxford Economics'!$A$7:$A$1000,$C11,'Oxford Economics'!$B$7:$B$1000,Settings!$B$15),SUMIFS(INDEX('Oxford Economics'!$A$7:$AZ$1000,0,IFERROR(MATCH(Y$5,'Oxford Economics'!$A$6:$AZ$6,0),MATCH(Y$5&amp;"",'Oxford Economics'!$A$6:$AZ$6,0))),'Oxford Economics'!$A$7:$A$1000,$C11,'Oxford Economics'!$B$7:$B$1000,Settings!$B$15)+SUMIFS(INDEX('Oxford Economics'!$A$7:$AZ$1000,0,IFERROR(MATCH(Y$5,'Oxford Economics'!$A$6:$AZ$6,0),MATCH(Y$5&amp;"",'Oxford Economics'!$A$6:$AZ$6,0))),'Oxford Economics'!$A$7:$A$1000,$C11,'Oxford Economics'!$B$7:$B$1000,Settings!$B$17)+IF(Settings!$B$19="",0,SUMIFS(INDEX('Oxford Economics'!$A$7:$AZ$1000,0,IFERROR(MATCH(Y$5,'Oxford Economics'!$A$6:$AZ$6,0),MATCH(Y$5&amp;"",'Oxford Economics'!$A$6:$AZ$6,0))),'Oxford Economics'!$A$7:$A$1000,$C11,'Oxford Economics'!$B$7:$B$1000,Settings!$B$19)))),""))</f>
        <v>10203.37</v>
      </c>
      <c r="Z11" s="38" t="n">
        <f aca="false">IF($A11="","",IFERROR(1/(1/IF($B11="Residential",SUMIFS(INDEX('Oxford Economics'!$A$7:$AZ$1000,0,IFERROR(MATCH(Z$5,'Oxford Economics'!$A$6:$AZ$6,0),MATCH(Z$5&amp;"",'Oxford Economics'!$A$6:$AZ$6,0))),'Oxford Economics'!$A$7:$A$1000,$C11,'Oxford Economics'!$B$7:$B$1000,Settings!$B$13)-SUMIFS(INDEX('Oxford Economics'!$A$7:$AZ$1000,0,IFERROR(MATCH(Z$5,'Oxford Economics'!$A$6:$AZ$6,0),MATCH(Z$5&amp;"",'Oxford Economics'!$A$6:$AZ$6,0))),'Oxford Economics'!$A$7:$A$1000,$C11,'Oxford Economics'!$B$7:$B$1000,Settings!$B$15),SUMIFS(INDEX('Oxford Economics'!$A$7:$AZ$1000,0,IFERROR(MATCH(Z$5,'Oxford Economics'!$A$6:$AZ$6,0),MATCH(Z$5&amp;"",'Oxford Economics'!$A$6:$AZ$6,0))),'Oxford Economics'!$A$7:$A$1000,$C11,'Oxford Economics'!$B$7:$B$1000,Settings!$B$15)+SUMIFS(INDEX('Oxford Economics'!$A$7:$AZ$1000,0,IFERROR(MATCH(Z$5,'Oxford Economics'!$A$6:$AZ$6,0),MATCH(Z$5&amp;"",'Oxford Economics'!$A$6:$AZ$6,0))),'Oxford Economics'!$A$7:$A$1000,$C11,'Oxford Economics'!$B$7:$B$1000,Settings!$B$17)+IF(Settings!$B$19="",0,SUMIFS(INDEX('Oxford Economics'!$A$7:$AZ$1000,0,IFERROR(MATCH(Z$5,'Oxford Economics'!$A$6:$AZ$6,0),MATCH(Z$5&amp;"",'Oxford Economics'!$A$6:$AZ$6,0))),'Oxford Economics'!$A$7:$A$1000,$C11,'Oxford Economics'!$B$7:$B$1000,Settings!$B$19)))),""))</f>
        <v>10034.26</v>
      </c>
      <c r="AA11" s="38" t="n">
        <f aca="false">IF($A11="","",IFERROR(1/(1/IF($B11="Residential",SUMIFS(INDEX('Oxford Economics'!$A$7:$AZ$1000,0,IFERROR(MATCH(AA$5,'Oxford Economics'!$A$6:$AZ$6,0),MATCH(AA$5&amp;"",'Oxford Economics'!$A$6:$AZ$6,0))),'Oxford Economics'!$A$7:$A$1000,$C11,'Oxford Economics'!$B$7:$B$1000,Settings!$B$13)-SUMIFS(INDEX('Oxford Economics'!$A$7:$AZ$1000,0,IFERROR(MATCH(AA$5,'Oxford Economics'!$A$6:$AZ$6,0),MATCH(AA$5&amp;"",'Oxford Economics'!$A$6:$AZ$6,0))),'Oxford Economics'!$A$7:$A$1000,$C11,'Oxford Economics'!$B$7:$B$1000,Settings!$B$15),SUMIFS(INDEX('Oxford Economics'!$A$7:$AZ$1000,0,IFERROR(MATCH(AA$5,'Oxford Economics'!$A$6:$AZ$6,0),MATCH(AA$5&amp;"",'Oxford Economics'!$A$6:$AZ$6,0))),'Oxford Economics'!$A$7:$A$1000,$C11,'Oxford Economics'!$B$7:$B$1000,Settings!$B$15)+SUMIFS(INDEX('Oxford Economics'!$A$7:$AZ$1000,0,IFERROR(MATCH(AA$5,'Oxford Economics'!$A$6:$AZ$6,0),MATCH(AA$5&amp;"",'Oxford Economics'!$A$6:$AZ$6,0))),'Oxford Economics'!$A$7:$A$1000,$C11,'Oxford Economics'!$B$7:$B$1000,Settings!$B$17)+IF(Settings!$B$19="",0,SUMIFS(INDEX('Oxford Economics'!$A$7:$AZ$1000,0,IFERROR(MATCH(AA$5,'Oxford Economics'!$A$6:$AZ$6,0),MATCH(AA$5&amp;"",'Oxford Economics'!$A$6:$AZ$6,0))),'Oxford Economics'!$A$7:$A$1000,$C11,'Oxford Economics'!$B$7:$B$1000,Settings!$B$19)))),""))</f>
        <v>9875.23</v>
      </c>
      <c r="AB11" s="38" t="n">
        <f aca="false">IF($A11="","",IFERROR(1/(1/IF($B11="Residential",SUMIFS(INDEX('Oxford Economics'!$A$7:$AZ$1000,0,IFERROR(MATCH(AB$5,'Oxford Economics'!$A$6:$AZ$6,0),MATCH(AB$5&amp;"",'Oxford Economics'!$A$6:$AZ$6,0))),'Oxford Economics'!$A$7:$A$1000,$C11,'Oxford Economics'!$B$7:$B$1000,Settings!$B$12)-SUMIFS(INDEX('Oxford Economics'!$A$7:$AZ$1000,0,IFERROR(MATCH(AB$5,'Oxford Economics'!$A$6:$AZ$6,0),MATCH(AB$5&amp;"",'Oxford Economics'!$A$6:$AZ$6,0))),'Oxford Economics'!$A$7:$A$1000,$C11,'Oxford Economics'!$B$7:$B$1000,Settings!$B$14),SUMIFS(INDEX('Oxford Economics'!$A$7:$AZ$1000,0,IFERROR(MATCH(AB$5,'Oxford Economics'!$A$6:$AZ$6,0),MATCH(AB$5&amp;"",'Oxford Economics'!$A$6:$AZ$6,0))),'Oxford Economics'!$A$7:$A$1000,$C11,'Oxford Economics'!$B$7:$B$1000,Settings!$B$14)+SUMIFS(INDEX('Oxford Economics'!$A$7:$AZ$1000,0,IFERROR(MATCH(AB$5,'Oxford Economics'!$A$6:$AZ$6,0),MATCH(AB$5&amp;"",'Oxford Economics'!$A$6:$AZ$6,0))),'Oxford Economics'!$A$7:$A$1000,$C11,'Oxford Economics'!$B$7:$B$1000,Settings!$B$16)+IF(Settings!$B$18="",0,SUMIFS(INDEX('Oxford Economics'!$A$7:$AZ$1000,0,IFERROR(MATCH(AB$5,'Oxford Economics'!$A$6:$AZ$6,0),MATCH(AB$5&amp;"",'Oxford Economics'!$A$6:$AZ$6,0))),'Oxford Economics'!$A$7:$A$1000,$C11,'Oxford Economics'!$B$7:$B$1000,Settings!$B$18)))),""))</f>
        <v>15733.73</v>
      </c>
      <c r="AC11" s="38" t="n">
        <f aca="false">IF($A11="","",IFERROR(1/(1/IF($B11="Residential",SUMIFS(INDEX('Oxford Economics'!$A$7:$AZ$1000,0,IFERROR(MATCH(AC$5,'Oxford Economics'!$A$6:$AZ$6,0),MATCH(AC$5&amp;"",'Oxford Economics'!$A$6:$AZ$6,0))),'Oxford Economics'!$A$7:$A$1000,$C11,'Oxford Economics'!$B$7:$B$1000,Settings!$B$12)-SUMIFS(INDEX('Oxford Economics'!$A$7:$AZ$1000,0,IFERROR(MATCH(AC$5,'Oxford Economics'!$A$6:$AZ$6,0),MATCH(AC$5&amp;"",'Oxford Economics'!$A$6:$AZ$6,0))),'Oxford Economics'!$A$7:$A$1000,$C11,'Oxford Economics'!$B$7:$B$1000,Settings!$B$14),SUMIFS(INDEX('Oxford Economics'!$A$7:$AZ$1000,0,IFERROR(MATCH(AC$5,'Oxford Economics'!$A$6:$AZ$6,0),MATCH(AC$5&amp;"",'Oxford Economics'!$A$6:$AZ$6,0))),'Oxford Economics'!$A$7:$A$1000,$C11,'Oxford Economics'!$B$7:$B$1000,Settings!$B$14)+SUMIFS(INDEX('Oxford Economics'!$A$7:$AZ$1000,0,IFERROR(MATCH(AC$5,'Oxford Economics'!$A$6:$AZ$6,0),MATCH(AC$5&amp;"",'Oxford Economics'!$A$6:$AZ$6,0))),'Oxford Economics'!$A$7:$A$1000,$C11,'Oxford Economics'!$B$7:$B$1000,Settings!$B$16)+IF(Settings!$B$18="",0,SUMIFS(INDEX('Oxford Economics'!$A$7:$AZ$1000,0,IFERROR(MATCH(AC$5,'Oxford Economics'!$A$6:$AZ$6,0),MATCH(AC$5&amp;"",'Oxford Economics'!$A$6:$AZ$6,0))),'Oxford Economics'!$A$7:$A$1000,$C11,'Oxford Economics'!$B$7:$B$1000,Settings!$B$18)))),""))</f>
        <v>16658.27</v>
      </c>
      <c r="AD11" s="38" t="n">
        <f aca="false">IF($A11="","",IFERROR(1/(1/IF($B11="Residential",SUMIFS(INDEX('Oxford Economics'!$A$7:$AZ$1000,0,IFERROR(MATCH(AD$5,'Oxford Economics'!$A$6:$AZ$6,0),MATCH(AD$5&amp;"",'Oxford Economics'!$A$6:$AZ$6,0))),'Oxford Economics'!$A$7:$A$1000,$C11,'Oxford Economics'!$B$7:$B$1000,Settings!$B$12)-SUMIFS(INDEX('Oxford Economics'!$A$7:$AZ$1000,0,IFERROR(MATCH(AD$5,'Oxford Economics'!$A$6:$AZ$6,0),MATCH(AD$5&amp;"",'Oxford Economics'!$A$6:$AZ$6,0))),'Oxford Economics'!$A$7:$A$1000,$C11,'Oxford Economics'!$B$7:$B$1000,Settings!$B$14),SUMIFS(INDEX('Oxford Economics'!$A$7:$AZ$1000,0,IFERROR(MATCH(AD$5,'Oxford Economics'!$A$6:$AZ$6,0),MATCH(AD$5&amp;"",'Oxford Economics'!$A$6:$AZ$6,0))),'Oxford Economics'!$A$7:$A$1000,$C11,'Oxford Economics'!$B$7:$B$1000,Settings!$B$14)+SUMIFS(INDEX('Oxford Economics'!$A$7:$AZ$1000,0,IFERROR(MATCH(AD$5,'Oxford Economics'!$A$6:$AZ$6,0),MATCH(AD$5&amp;"",'Oxford Economics'!$A$6:$AZ$6,0))),'Oxford Economics'!$A$7:$A$1000,$C11,'Oxford Economics'!$B$7:$B$1000,Settings!$B$16)+IF(Settings!$B$18="",0,SUMIFS(INDEX('Oxford Economics'!$A$7:$AZ$1000,0,IFERROR(MATCH(AD$5,'Oxford Economics'!$A$6:$AZ$6,0),MATCH(AD$5&amp;"",'Oxford Economics'!$A$6:$AZ$6,0))),'Oxford Economics'!$A$7:$A$1000,$C11,'Oxford Economics'!$B$7:$B$1000,Settings!$B$18)))),""))</f>
        <v>17936.99</v>
      </c>
      <c r="AE11" s="38" t="n">
        <f aca="false">IF($A11="","",IFERROR(1/(1/IF($B11="Residential",SUMIFS(INDEX('Oxford Economics'!$A$7:$AZ$1000,0,IFERROR(MATCH(AE$5,'Oxford Economics'!$A$6:$AZ$6,0),MATCH(AE$5&amp;"",'Oxford Economics'!$A$6:$AZ$6,0))),'Oxford Economics'!$A$7:$A$1000,$C11,'Oxford Economics'!$B$7:$B$1000,Settings!$B$12)-SUMIFS(INDEX('Oxford Economics'!$A$7:$AZ$1000,0,IFERROR(MATCH(AE$5,'Oxford Economics'!$A$6:$AZ$6,0),MATCH(AE$5&amp;"",'Oxford Economics'!$A$6:$AZ$6,0))),'Oxford Economics'!$A$7:$A$1000,$C11,'Oxford Economics'!$B$7:$B$1000,Settings!$B$14),SUMIFS(INDEX('Oxford Economics'!$A$7:$AZ$1000,0,IFERROR(MATCH(AE$5,'Oxford Economics'!$A$6:$AZ$6,0),MATCH(AE$5&amp;"",'Oxford Economics'!$A$6:$AZ$6,0))),'Oxford Economics'!$A$7:$A$1000,$C11,'Oxford Economics'!$B$7:$B$1000,Settings!$B$14)+SUMIFS(INDEX('Oxford Economics'!$A$7:$AZ$1000,0,IFERROR(MATCH(AE$5,'Oxford Economics'!$A$6:$AZ$6,0),MATCH(AE$5&amp;"",'Oxford Economics'!$A$6:$AZ$6,0))),'Oxford Economics'!$A$7:$A$1000,$C11,'Oxford Economics'!$B$7:$B$1000,Settings!$B$16)+IF(Settings!$B$18="",0,SUMIFS(INDEX('Oxford Economics'!$A$7:$AZ$1000,0,IFERROR(MATCH(AE$5,'Oxford Economics'!$A$6:$AZ$6,0),MATCH(AE$5&amp;"",'Oxford Economics'!$A$6:$AZ$6,0))),'Oxford Economics'!$A$7:$A$1000,$C11,'Oxford Economics'!$B$7:$B$1000,Settings!$B$18)))),""))</f>
        <v>17602.34</v>
      </c>
      <c r="AF11" s="38" t="n">
        <f aca="false">IF($A11="","",IFERROR(1/(1/IF($B11="Residential",SUMIFS(INDEX('Oxford Economics'!$A$7:$AZ$1000,0,IFERROR(MATCH(AF$5,'Oxford Economics'!$A$6:$AZ$6,0),MATCH(AF$5&amp;"",'Oxford Economics'!$A$6:$AZ$6,0))),'Oxford Economics'!$A$7:$A$1000,$C11,'Oxford Economics'!$B$7:$B$1000,Settings!$B$12)-SUMIFS(INDEX('Oxford Economics'!$A$7:$AZ$1000,0,IFERROR(MATCH(AF$5,'Oxford Economics'!$A$6:$AZ$6,0),MATCH(AF$5&amp;"",'Oxford Economics'!$A$6:$AZ$6,0))),'Oxford Economics'!$A$7:$A$1000,$C11,'Oxford Economics'!$B$7:$B$1000,Settings!$B$14),SUMIFS(INDEX('Oxford Economics'!$A$7:$AZ$1000,0,IFERROR(MATCH(AF$5,'Oxford Economics'!$A$6:$AZ$6,0),MATCH(AF$5&amp;"",'Oxford Economics'!$A$6:$AZ$6,0))),'Oxford Economics'!$A$7:$A$1000,$C11,'Oxford Economics'!$B$7:$B$1000,Settings!$B$14)+SUMIFS(INDEX('Oxford Economics'!$A$7:$AZ$1000,0,IFERROR(MATCH(AF$5,'Oxford Economics'!$A$6:$AZ$6,0),MATCH(AF$5&amp;"",'Oxford Economics'!$A$6:$AZ$6,0))),'Oxford Economics'!$A$7:$A$1000,$C11,'Oxford Economics'!$B$7:$B$1000,Settings!$B$16)+IF(Settings!$B$18="",0,SUMIFS(INDEX('Oxford Economics'!$A$7:$AZ$1000,0,IFERROR(MATCH(AF$5,'Oxford Economics'!$A$6:$AZ$6,0),MATCH(AF$5&amp;"",'Oxford Economics'!$A$6:$AZ$6,0))),'Oxford Economics'!$A$7:$A$1000,$C11,'Oxford Economics'!$B$7:$B$1000,Settings!$B$18)))),""))</f>
        <v>15904.86</v>
      </c>
      <c r="AG11" s="38" t="n">
        <f aca="false">IF($A11="","",IFERROR(1/(1/IF($B11="Residential",SUMIFS(INDEX('Oxford Economics'!$A$7:$AZ$1000,0,IFERROR(MATCH(AG$5,'Oxford Economics'!$A$6:$AZ$6,0),MATCH(AG$5&amp;"",'Oxford Economics'!$A$6:$AZ$6,0))),'Oxford Economics'!$A$7:$A$1000,$C11,'Oxford Economics'!$B$7:$B$1000,Settings!$B$12)-SUMIFS(INDEX('Oxford Economics'!$A$7:$AZ$1000,0,IFERROR(MATCH(AG$5,'Oxford Economics'!$A$6:$AZ$6,0),MATCH(AG$5&amp;"",'Oxford Economics'!$A$6:$AZ$6,0))),'Oxford Economics'!$A$7:$A$1000,$C11,'Oxford Economics'!$B$7:$B$1000,Settings!$B$14),SUMIFS(INDEX('Oxford Economics'!$A$7:$AZ$1000,0,IFERROR(MATCH(AG$5,'Oxford Economics'!$A$6:$AZ$6,0),MATCH(AG$5&amp;"",'Oxford Economics'!$A$6:$AZ$6,0))),'Oxford Economics'!$A$7:$A$1000,$C11,'Oxford Economics'!$B$7:$B$1000,Settings!$B$14)+SUMIFS(INDEX('Oxford Economics'!$A$7:$AZ$1000,0,IFERROR(MATCH(AG$5,'Oxford Economics'!$A$6:$AZ$6,0),MATCH(AG$5&amp;"",'Oxford Economics'!$A$6:$AZ$6,0))),'Oxford Economics'!$A$7:$A$1000,$C11,'Oxford Economics'!$B$7:$B$1000,Settings!$B$16)+IF(Settings!$B$18="",0,SUMIFS(INDEX('Oxford Economics'!$A$7:$AZ$1000,0,IFERROR(MATCH(AG$5,'Oxford Economics'!$A$6:$AZ$6,0),MATCH(AG$5&amp;"",'Oxford Economics'!$A$6:$AZ$6,0))),'Oxford Economics'!$A$7:$A$1000,$C11,'Oxford Economics'!$B$7:$B$1000,Settings!$B$18)))),""))</f>
        <v>15760.1</v>
      </c>
      <c r="AH11" s="38" t="n">
        <f aca="false">IF($A11="","",IFERROR(1/(1/IF($B11="Residential",SUMIFS(INDEX('Oxford Economics'!$A$7:$AZ$1000,0,IFERROR(MATCH(AH$5,'Oxford Economics'!$A$6:$AZ$6,0),MATCH(AH$5&amp;"",'Oxford Economics'!$A$6:$AZ$6,0))),'Oxford Economics'!$A$7:$A$1000,$C11,'Oxford Economics'!$B$7:$B$1000,Settings!$B$12)-SUMIFS(INDEX('Oxford Economics'!$A$7:$AZ$1000,0,IFERROR(MATCH(AH$5,'Oxford Economics'!$A$6:$AZ$6,0),MATCH(AH$5&amp;"",'Oxford Economics'!$A$6:$AZ$6,0))),'Oxford Economics'!$A$7:$A$1000,$C11,'Oxford Economics'!$B$7:$B$1000,Settings!$B$14),SUMIFS(INDEX('Oxford Economics'!$A$7:$AZ$1000,0,IFERROR(MATCH(AH$5,'Oxford Economics'!$A$6:$AZ$6,0),MATCH(AH$5&amp;"",'Oxford Economics'!$A$6:$AZ$6,0))),'Oxford Economics'!$A$7:$A$1000,$C11,'Oxford Economics'!$B$7:$B$1000,Settings!$B$14)+SUMIFS(INDEX('Oxford Economics'!$A$7:$AZ$1000,0,IFERROR(MATCH(AH$5,'Oxford Economics'!$A$6:$AZ$6,0),MATCH(AH$5&amp;"",'Oxford Economics'!$A$6:$AZ$6,0))),'Oxford Economics'!$A$7:$A$1000,$C11,'Oxford Economics'!$B$7:$B$1000,Settings!$B$16)+IF(Settings!$B$18="",0,SUMIFS(INDEX('Oxford Economics'!$A$7:$AZ$1000,0,IFERROR(MATCH(AH$5,'Oxford Economics'!$A$6:$AZ$6,0),MATCH(AH$5&amp;"",'Oxford Economics'!$A$6:$AZ$6,0))),'Oxford Economics'!$A$7:$A$1000,$C11,'Oxford Economics'!$B$7:$B$1000,Settings!$B$18)))),""))</f>
        <v>15892.56</v>
      </c>
      <c r="AI11" s="38" t="n">
        <f aca="false">IF($A11="","",IFERROR(1/(1/IF($B11="Residential",SUMIFS(INDEX('Oxford Economics'!$A$7:$AZ$1000,0,IFERROR(MATCH(AI$5,'Oxford Economics'!$A$6:$AZ$6,0),MATCH(AI$5&amp;"",'Oxford Economics'!$A$6:$AZ$6,0))),'Oxford Economics'!$A$7:$A$1000,$C11,'Oxford Economics'!$B$7:$B$1000,Settings!$B$12)-SUMIFS(INDEX('Oxford Economics'!$A$7:$AZ$1000,0,IFERROR(MATCH(AI$5,'Oxford Economics'!$A$6:$AZ$6,0),MATCH(AI$5&amp;"",'Oxford Economics'!$A$6:$AZ$6,0))),'Oxford Economics'!$A$7:$A$1000,$C11,'Oxford Economics'!$B$7:$B$1000,Settings!$B$14),SUMIFS(INDEX('Oxford Economics'!$A$7:$AZ$1000,0,IFERROR(MATCH(AI$5,'Oxford Economics'!$A$6:$AZ$6,0),MATCH(AI$5&amp;"",'Oxford Economics'!$A$6:$AZ$6,0))),'Oxford Economics'!$A$7:$A$1000,$C11,'Oxford Economics'!$B$7:$B$1000,Settings!$B$14)+SUMIFS(INDEX('Oxford Economics'!$A$7:$AZ$1000,0,IFERROR(MATCH(AI$5,'Oxford Economics'!$A$6:$AZ$6,0),MATCH(AI$5&amp;"",'Oxford Economics'!$A$6:$AZ$6,0))),'Oxford Economics'!$A$7:$A$1000,$C11,'Oxford Economics'!$B$7:$B$1000,Settings!$B$16)+IF(Settings!$B$18="",0,SUMIFS(INDEX('Oxford Economics'!$A$7:$AZ$1000,0,IFERROR(MATCH(AI$5,'Oxford Economics'!$A$6:$AZ$6,0),MATCH(AI$5&amp;"",'Oxford Economics'!$A$6:$AZ$6,0))),'Oxford Economics'!$A$7:$A$1000,$C11,'Oxford Economics'!$B$7:$B$1000,Settings!$B$18)))),""))</f>
        <v>15892.63</v>
      </c>
      <c r="AJ11" s="38" t="n">
        <f aca="false">IF($A11="","",IFERROR(1/(1/IF($B11="Residential",SUMIFS(INDEX('Oxford Economics'!$A$7:$AZ$1000,0,IFERROR(MATCH(AJ$5,'Oxford Economics'!$A$6:$AZ$6,0),MATCH(AJ$5&amp;"",'Oxford Economics'!$A$6:$AZ$6,0))),'Oxford Economics'!$A$7:$A$1000,$C11,'Oxford Economics'!$B$7:$B$1000,Settings!$B$12)-SUMIFS(INDEX('Oxford Economics'!$A$7:$AZ$1000,0,IFERROR(MATCH(AJ$5,'Oxford Economics'!$A$6:$AZ$6,0),MATCH(AJ$5&amp;"",'Oxford Economics'!$A$6:$AZ$6,0))),'Oxford Economics'!$A$7:$A$1000,$C11,'Oxford Economics'!$B$7:$B$1000,Settings!$B$14),SUMIFS(INDEX('Oxford Economics'!$A$7:$AZ$1000,0,IFERROR(MATCH(AJ$5,'Oxford Economics'!$A$6:$AZ$6,0),MATCH(AJ$5&amp;"",'Oxford Economics'!$A$6:$AZ$6,0))),'Oxford Economics'!$A$7:$A$1000,$C11,'Oxford Economics'!$B$7:$B$1000,Settings!$B$14)+SUMIFS(INDEX('Oxford Economics'!$A$7:$AZ$1000,0,IFERROR(MATCH(AJ$5,'Oxford Economics'!$A$6:$AZ$6,0),MATCH(AJ$5&amp;"",'Oxford Economics'!$A$6:$AZ$6,0))),'Oxford Economics'!$A$7:$A$1000,$C11,'Oxford Economics'!$B$7:$B$1000,Settings!$B$16)+IF(Settings!$B$18="",0,SUMIFS(INDEX('Oxford Economics'!$A$7:$AZ$1000,0,IFERROR(MATCH(AJ$5,'Oxford Economics'!$A$6:$AZ$6,0),MATCH(AJ$5&amp;"",'Oxford Economics'!$A$6:$AZ$6,0))),'Oxford Economics'!$A$7:$A$1000,$C11,'Oxford Economics'!$B$7:$B$1000,Settings!$B$18)))),""))</f>
        <v>16166.15</v>
      </c>
      <c r="AK11" s="38" t="n">
        <f aca="false">IF($A11="","",IFERROR(1/(1/IF($B11="Residential",SUMIFS(INDEX('Oxford Economics'!$A$7:$AZ$1000,0,IFERROR(MATCH(AK$5,'Oxford Economics'!$A$6:$AZ$6,0),MATCH(AK$5&amp;"",'Oxford Economics'!$A$6:$AZ$6,0))),'Oxford Economics'!$A$7:$A$1000,$C11,'Oxford Economics'!$B$7:$B$1000,Settings!$B$12)-SUMIFS(INDEX('Oxford Economics'!$A$7:$AZ$1000,0,IFERROR(MATCH(AK$5,'Oxford Economics'!$A$6:$AZ$6,0),MATCH(AK$5&amp;"",'Oxford Economics'!$A$6:$AZ$6,0))),'Oxford Economics'!$A$7:$A$1000,$C11,'Oxford Economics'!$B$7:$B$1000,Settings!$B$14),SUMIFS(INDEX('Oxford Economics'!$A$7:$AZ$1000,0,IFERROR(MATCH(AK$5,'Oxford Economics'!$A$6:$AZ$6,0),MATCH(AK$5&amp;"",'Oxford Economics'!$A$6:$AZ$6,0))),'Oxford Economics'!$A$7:$A$1000,$C11,'Oxford Economics'!$B$7:$B$1000,Settings!$B$14)+SUMIFS(INDEX('Oxford Economics'!$A$7:$AZ$1000,0,IFERROR(MATCH(AK$5,'Oxford Economics'!$A$6:$AZ$6,0),MATCH(AK$5&amp;"",'Oxford Economics'!$A$6:$AZ$6,0))),'Oxford Economics'!$A$7:$A$1000,$C11,'Oxford Economics'!$B$7:$B$1000,Settings!$B$16)+IF(Settings!$B$18="",0,SUMIFS(INDEX('Oxford Economics'!$A$7:$AZ$1000,0,IFERROR(MATCH(AK$5,'Oxford Economics'!$A$6:$AZ$6,0),MATCH(AK$5&amp;"",'Oxford Economics'!$A$6:$AZ$6,0))),'Oxford Economics'!$A$7:$A$1000,$C11,'Oxford Economics'!$B$7:$B$1000,Settings!$B$18)))),""))</f>
        <v>16741.88</v>
      </c>
      <c r="AL11" s="38" t="n">
        <f aca="false">IF($A11="","",IFERROR(1/(1/IF($B11="Residential",SUMIFS(INDEX('Oxford Economics'!$A$7:$AZ$1000,0,IFERROR(MATCH(AL$5,'Oxford Economics'!$A$6:$AZ$6,0),MATCH(AL$5&amp;"",'Oxford Economics'!$A$6:$AZ$6,0))),'Oxford Economics'!$A$7:$A$1000,$C11,'Oxford Economics'!$B$7:$B$1000,Settings!$B$12)-SUMIFS(INDEX('Oxford Economics'!$A$7:$AZ$1000,0,IFERROR(MATCH(AL$5,'Oxford Economics'!$A$6:$AZ$6,0),MATCH(AL$5&amp;"",'Oxford Economics'!$A$6:$AZ$6,0))),'Oxford Economics'!$A$7:$A$1000,$C11,'Oxford Economics'!$B$7:$B$1000,Settings!$B$14),SUMIFS(INDEX('Oxford Economics'!$A$7:$AZ$1000,0,IFERROR(MATCH(AL$5,'Oxford Economics'!$A$6:$AZ$6,0),MATCH(AL$5&amp;"",'Oxford Economics'!$A$6:$AZ$6,0))),'Oxford Economics'!$A$7:$A$1000,$C11,'Oxford Economics'!$B$7:$B$1000,Settings!$B$14)+SUMIFS(INDEX('Oxford Economics'!$A$7:$AZ$1000,0,IFERROR(MATCH(AL$5,'Oxford Economics'!$A$6:$AZ$6,0),MATCH(AL$5&amp;"",'Oxford Economics'!$A$6:$AZ$6,0))),'Oxford Economics'!$A$7:$A$1000,$C11,'Oxford Economics'!$B$7:$B$1000,Settings!$B$16)+IF(Settings!$B$18="",0,SUMIFS(INDEX('Oxford Economics'!$A$7:$AZ$1000,0,IFERROR(MATCH(AL$5,'Oxford Economics'!$A$6:$AZ$6,0),MATCH(AL$5&amp;"",'Oxford Economics'!$A$6:$AZ$6,0))),'Oxford Economics'!$A$7:$A$1000,$C11,'Oxford Economics'!$B$7:$B$1000,Settings!$B$18)))),""))</f>
        <v>17420.7</v>
      </c>
      <c r="AM11" s="38" t="n">
        <f aca="false">IF($A11="","",IFERROR(1/(1/IF($B11="Residential",SUMIFS(INDEX('Oxford Economics'!$A$7:$AZ$1000,0,IFERROR(MATCH(AM$5,'Oxford Economics'!$A$6:$AZ$6,0),MATCH(AM$5&amp;"",'Oxford Economics'!$A$6:$AZ$6,0))),'Oxford Economics'!$A$7:$A$1000,$C11,'Oxford Economics'!$B$7:$B$1000,Settings!$B$12)-SUMIFS(INDEX('Oxford Economics'!$A$7:$AZ$1000,0,IFERROR(MATCH(AM$5,'Oxford Economics'!$A$6:$AZ$6,0),MATCH(AM$5&amp;"",'Oxford Economics'!$A$6:$AZ$6,0))),'Oxford Economics'!$A$7:$A$1000,$C11,'Oxford Economics'!$B$7:$B$1000,Settings!$B$14),SUMIFS(INDEX('Oxford Economics'!$A$7:$AZ$1000,0,IFERROR(MATCH(AM$5,'Oxford Economics'!$A$6:$AZ$6,0),MATCH(AM$5&amp;"",'Oxford Economics'!$A$6:$AZ$6,0))),'Oxford Economics'!$A$7:$A$1000,$C11,'Oxford Economics'!$B$7:$B$1000,Settings!$B$14)+SUMIFS(INDEX('Oxford Economics'!$A$7:$AZ$1000,0,IFERROR(MATCH(AM$5,'Oxford Economics'!$A$6:$AZ$6,0),MATCH(AM$5&amp;"",'Oxford Economics'!$A$6:$AZ$6,0))),'Oxford Economics'!$A$7:$A$1000,$C11,'Oxford Economics'!$B$7:$B$1000,Settings!$B$16)+IF(Settings!$B$18="",0,SUMIFS(INDEX('Oxford Economics'!$A$7:$AZ$1000,0,IFERROR(MATCH(AM$5,'Oxford Economics'!$A$6:$AZ$6,0),MATCH(AM$5&amp;"",'Oxford Economics'!$A$6:$AZ$6,0))),'Oxford Economics'!$A$7:$A$1000,$C11,'Oxford Economics'!$B$7:$B$1000,Settings!$B$18)))),""))</f>
        <v>17989.52</v>
      </c>
    </row>
    <row r="12" customFormat="false" ht="15" hidden="false" customHeight="false" outlineLevel="0" collapsed="false">
      <c r="A12" s="37" t="str">
        <f aca="false">IF('Raw data'!$A12="","",'Raw data'!$A12)</f>
        <v>Czech Republic</v>
      </c>
      <c r="B12" s="37" t="str">
        <f aca="false">IF($A12="","",'Raw data'!$C12)</f>
        <v>Residential</v>
      </c>
      <c r="C12" s="37" t="str">
        <f aca="false">IF($A12="","",IF('Raw data'!$E12="",$A12,'Raw data'!$E12))</f>
        <v>Czech Republic</v>
      </c>
      <c r="D12" s="38" t="n">
        <f aca="false">IF($A12="","",IF(AND(ISNUMBER(P12),ISNUMBER(AB12)),P12+AB12,""))</f>
        <v>6593.17</v>
      </c>
      <c r="E12" s="38" t="n">
        <f aca="false">IF($A12="","",IF(AND(ISNUMBER(Q12),ISNUMBER(AC12)),Q12+AC12,""))</f>
        <v>6639.44</v>
      </c>
      <c r="F12" s="38" t="n">
        <f aca="false">IF($A12="","",IF(AND(ISNUMBER(R12),ISNUMBER(AD12)),R12+AD12,""))</f>
        <v>6514.5</v>
      </c>
      <c r="G12" s="38" t="n">
        <f aca="false">IF($A12="","",IF(AND(ISNUMBER(S12),ISNUMBER(AE12)),S12+AE12,""))</f>
        <v>6260.49</v>
      </c>
      <c r="H12" s="38" t="n">
        <f aca="false">IF($A12="","",IF(AND(ISNUMBER(T12),ISNUMBER(AF12)),T12+AF12,""))</f>
        <v>6042.31</v>
      </c>
      <c r="I12" s="38" t="n">
        <f aca="false">IF($A12="","",IF(AND(ISNUMBER(U12),ISNUMBER(AG12)),U12+AG12,""))</f>
        <v>5836.52</v>
      </c>
      <c r="J12" s="38" t="n">
        <f aca="false">IF($A12="","",IF(AND(ISNUMBER(V12),ISNUMBER(AH12)),V12+AH12,""))</f>
        <v>5738.38</v>
      </c>
      <c r="K12" s="38" t="n">
        <f aca="false">IF($A12="","",IF(AND(ISNUMBER(W12),ISNUMBER(AI12)),W12+AI12,""))</f>
        <v>5843.95</v>
      </c>
      <c r="L12" s="38" t="n">
        <f aca="false">IF($A12="","",IF(AND(ISNUMBER(X12),ISNUMBER(AJ12)),X12+AJ12,""))</f>
        <v>5961.88</v>
      </c>
      <c r="M12" s="38" t="n">
        <f aca="false">IF($A12="","",IF(AND(ISNUMBER(Y12),ISNUMBER(AK12)),Y12+AK12,""))</f>
        <v>6059.96</v>
      </c>
      <c r="N12" s="38" t="n">
        <f aca="false">IF($A12="","",IF(AND(ISNUMBER(Z12),ISNUMBER(AL12)),Z12+AL12,""))</f>
        <v>6217.52</v>
      </c>
      <c r="O12" s="38" t="n">
        <f aca="false">IF($A12="","",IF(AND(ISNUMBER(AA12),ISNUMBER(AM12)),AA12+AM12,""))</f>
        <v>6395</v>
      </c>
      <c r="P12" s="38" t="n">
        <f aca="false">IF($A12="","",IFERROR(1/(1/IF($B12="Residential",SUMIFS(INDEX('Oxford Economics'!$A$7:$AZ$1000,0,IFERROR(MATCH(P$5,'Oxford Economics'!$A$6:$AZ$6,0),MATCH(P$5&amp;"",'Oxford Economics'!$A$6:$AZ$6,0))),'Oxford Economics'!$A$7:$A$1000,$C12,'Oxford Economics'!$B$7:$B$1000,Settings!$B$13)-SUMIFS(INDEX('Oxford Economics'!$A$7:$AZ$1000,0,IFERROR(MATCH(P$5,'Oxford Economics'!$A$6:$AZ$6,0),MATCH(P$5&amp;"",'Oxford Economics'!$A$6:$AZ$6,0))),'Oxford Economics'!$A$7:$A$1000,$C12,'Oxford Economics'!$B$7:$B$1000,Settings!$B$15),SUMIFS(INDEX('Oxford Economics'!$A$7:$AZ$1000,0,IFERROR(MATCH(P$5,'Oxford Economics'!$A$6:$AZ$6,0),MATCH(P$5&amp;"",'Oxford Economics'!$A$6:$AZ$6,0))),'Oxford Economics'!$A$7:$A$1000,$C12,'Oxford Economics'!$B$7:$B$1000,Settings!$B$15)+SUMIFS(INDEX('Oxford Economics'!$A$7:$AZ$1000,0,IFERROR(MATCH(P$5,'Oxford Economics'!$A$6:$AZ$6,0),MATCH(P$5&amp;"",'Oxford Economics'!$A$6:$AZ$6,0))),'Oxford Economics'!$A$7:$A$1000,$C12,'Oxford Economics'!$B$7:$B$1000,Settings!$B$17)+IF(Settings!$B$19="",0,SUMIFS(INDEX('Oxford Economics'!$A$7:$AZ$1000,0,IFERROR(MATCH(P$5,'Oxford Economics'!$A$6:$AZ$6,0),MATCH(P$5&amp;"",'Oxford Economics'!$A$6:$AZ$6,0))),'Oxford Economics'!$A$7:$A$1000,$C12,'Oxford Economics'!$B$7:$B$1000,Settings!$B$19)))),""))</f>
        <v>1612.86</v>
      </c>
      <c r="Q12" s="38" t="n">
        <f aca="false">IF($A12="","",IFERROR(1/(1/IF($B12="Residential",SUMIFS(INDEX('Oxford Economics'!$A$7:$AZ$1000,0,IFERROR(MATCH(Q$5,'Oxford Economics'!$A$6:$AZ$6,0),MATCH(Q$5&amp;"",'Oxford Economics'!$A$6:$AZ$6,0))),'Oxford Economics'!$A$7:$A$1000,$C12,'Oxford Economics'!$B$7:$B$1000,Settings!$B$13)-SUMIFS(INDEX('Oxford Economics'!$A$7:$AZ$1000,0,IFERROR(MATCH(Q$5,'Oxford Economics'!$A$6:$AZ$6,0),MATCH(Q$5&amp;"",'Oxford Economics'!$A$6:$AZ$6,0))),'Oxford Economics'!$A$7:$A$1000,$C12,'Oxford Economics'!$B$7:$B$1000,Settings!$B$15),SUMIFS(INDEX('Oxford Economics'!$A$7:$AZ$1000,0,IFERROR(MATCH(Q$5,'Oxford Economics'!$A$6:$AZ$6,0),MATCH(Q$5&amp;"",'Oxford Economics'!$A$6:$AZ$6,0))),'Oxford Economics'!$A$7:$A$1000,$C12,'Oxford Economics'!$B$7:$B$1000,Settings!$B$15)+SUMIFS(INDEX('Oxford Economics'!$A$7:$AZ$1000,0,IFERROR(MATCH(Q$5,'Oxford Economics'!$A$6:$AZ$6,0),MATCH(Q$5&amp;"",'Oxford Economics'!$A$6:$AZ$6,0))),'Oxford Economics'!$A$7:$A$1000,$C12,'Oxford Economics'!$B$7:$B$1000,Settings!$B$17)+IF(Settings!$B$19="",0,SUMIFS(INDEX('Oxford Economics'!$A$7:$AZ$1000,0,IFERROR(MATCH(Q$5,'Oxford Economics'!$A$6:$AZ$6,0),MATCH(Q$5&amp;"",'Oxford Economics'!$A$6:$AZ$6,0))),'Oxford Economics'!$A$7:$A$1000,$C12,'Oxford Economics'!$B$7:$B$1000,Settings!$B$19)))),""))</f>
        <v>1643.71</v>
      </c>
      <c r="R12" s="38" t="n">
        <f aca="false">IF($A12="","",IFERROR(1/(1/IF($B12="Residential",SUMIFS(INDEX('Oxford Economics'!$A$7:$AZ$1000,0,IFERROR(MATCH(R$5,'Oxford Economics'!$A$6:$AZ$6,0),MATCH(R$5&amp;"",'Oxford Economics'!$A$6:$AZ$6,0))),'Oxford Economics'!$A$7:$A$1000,$C12,'Oxford Economics'!$B$7:$B$1000,Settings!$B$13)-SUMIFS(INDEX('Oxford Economics'!$A$7:$AZ$1000,0,IFERROR(MATCH(R$5,'Oxford Economics'!$A$6:$AZ$6,0),MATCH(R$5&amp;"",'Oxford Economics'!$A$6:$AZ$6,0))),'Oxford Economics'!$A$7:$A$1000,$C12,'Oxford Economics'!$B$7:$B$1000,Settings!$B$15),SUMIFS(INDEX('Oxford Economics'!$A$7:$AZ$1000,0,IFERROR(MATCH(R$5,'Oxford Economics'!$A$6:$AZ$6,0),MATCH(R$5&amp;"",'Oxford Economics'!$A$6:$AZ$6,0))),'Oxford Economics'!$A$7:$A$1000,$C12,'Oxford Economics'!$B$7:$B$1000,Settings!$B$15)+SUMIFS(INDEX('Oxford Economics'!$A$7:$AZ$1000,0,IFERROR(MATCH(R$5,'Oxford Economics'!$A$6:$AZ$6,0),MATCH(R$5&amp;"",'Oxford Economics'!$A$6:$AZ$6,0))),'Oxford Economics'!$A$7:$A$1000,$C12,'Oxford Economics'!$B$7:$B$1000,Settings!$B$17)+IF(Settings!$B$19="",0,SUMIFS(INDEX('Oxford Economics'!$A$7:$AZ$1000,0,IFERROR(MATCH(R$5,'Oxford Economics'!$A$6:$AZ$6,0),MATCH(R$5&amp;"",'Oxford Economics'!$A$6:$AZ$6,0))),'Oxford Economics'!$A$7:$A$1000,$C12,'Oxford Economics'!$B$7:$B$1000,Settings!$B$19)))),""))</f>
        <v>1568.02</v>
      </c>
      <c r="S12" s="38" t="n">
        <f aca="false">IF($A12="","",IFERROR(1/(1/IF($B12="Residential",SUMIFS(INDEX('Oxford Economics'!$A$7:$AZ$1000,0,IFERROR(MATCH(S$5,'Oxford Economics'!$A$6:$AZ$6,0),MATCH(S$5&amp;"",'Oxford Economics'!$A$6:$AZ$6,0))),'Oxford Economics'!$A$7:$A$1000,$C12,'Oxford Economics'!$B$7:$B$1000,Settings!$B$13)-SUMIFS(INDEX('Oxford Economics'!$A$7:$AZ$1000,0,IFERROR(MATCH(S$5,'Oxford Economics'!$A$6:$AZ$6,0),MATCH(S$5&amp;"",'Oxford Economics'!$A$6:$AZ$6,0))),'Oxford Economics'!$A$7:$A$1000,$C12,'Oxford Economics'!$B$7:$B$1000,Settings!$B$15),SUMIFS(INDEX('Oxford Economics'!$A$7:$AZ$1000,0,IFERROR(MATCH(S$5,'Oxford Economics'!$A$6:$AZ$6,0),MATCH(S$5&amp;"",'Oxford Economics'!$A$6:$AZ$6,0))),'Oxford Economics'!$A$7:$A$1000,$C12,'Oxford Economics'!$B$7:$B$1000,Settings!$B$15)+SUMIFS(INDEX('Oxford Economics'!$A$7:$AZ$1000,0,IFERROR(MATCH(S$5,'Oxford Economics'!$A$6:$AZ$6,0),MATCH(S$5&amp;"",'Oxford Economics'!$A$6:$AZ$6,0))),'Oxford Economics'!$A$7:$A$1000,$C12,'Oxford Economics'!$B$7:$B$1000,Settings!$B$17)+IF(Settings!$B$19="",0,SUMIFS(INDEX('Oxford Economics'!$A$7:$AZ$1000,0,IFERROR(MATCH(S$5,'Oxford Economics'!$A$6:$AZ$6,0),MATCH(S$5&amp;"",'Oxford Economics'!$A$6:$AZ$6,0))),'Oxford Economics'!$A$7:$A$1000,$C12,'Oxford Economics'!$B$7:$B$1000,Settings!$B$19)))),""))</f>
        <v>1854.22</v>
      </c>
      <c r="T12" s="38" t="n">
        <f aca="false">IF($A12="","",IFERROR(1/(1/IF($B12="Residential",SUMIFS(INDEX('Oxford Economics'!$A$7:$AZ$1000,0,IFERROR(MATCH(T$5,'Oxford Economics'!$A$6:$AZ$6,0),MATCH(T$5&amp;"",'Oxford Economics'!$A$6:$AZ$6,0))),'Oxford Economics'!$A$7:$A$1000,$C12,'Oxford Economics'!$B$7:$B$1000,Settings!$B$13)-SUMIFS(INDEX('Oxford Economics'!$A$7:$AZ$1000,0,IFERROR(MATCH(T$5,'Oxford Economics'!$A$6:$AZ$6,0),MATCH(T$5&amp;"",'Oxford Economics'!$A$6:$AZ$6,0))),'Oxford Economics'!$A$7:$A$1000,$C12,'Oxford Economics'!$B$7:$B$1000,Settings!$B$15),SUMIFS(INDEX('Oxford Economics'!$A$7:$AZ$1000,0,IFERROR(MATCH(T$5,'Oxford Economics'!$A$6:$AZ$6,0),MATCH(T$5&amp;"",'Oxford Economics'!$A$6:$AZ$6,0))),'Oxford Economics'!$A$7:$A$1000,$C12,'Oxford Economics'!$B$7:$B$1000,Settings!$B$15)+SUMIFS(INDEX('Oxford Economics'!$A$7:$AZ$1000,0,IFERROR(MATCH(T$5,'Oxford Economics'!$A$6:$AZ$6,0),MATCH(T$5&amp;"",'Oxford Economics'!$A$6:$AZ$6,0))),'Oxford Economics'!$A$7:$A$1000,$C12,'Oxford Economics'!$B$7:$B$1000,Settings!$B$17)+IF(Settings!$B$19="",0,SUMIFS(INDEX('Oxford Economics'!$A$7:$AZ$1000,0,IFERROR(MATCH(T$5,'Oxford Economics'!$A$6:$AZ$6,0),MATCH(T$5&amp;"",'Oxford Economics'!$A$6:$AZ$6,0))),'Oxford Economics'!$A$7:$A$1000,$C12,'Oxford Economics'!$B$7:$B$1000,Settings!$B$19)))),""))</f>
        <v>2004.93</v>
      </c>
      <c r="U12" s="38" t="n">
        <f aca="false">IF($A12="","",IFERROR(1/(1/IF($B12="Residential",SUMIFS(INDEX('Oxford Economics'!$A$7:$AZ$1000,0,IFERROR(MATCH(U$5,'Oxford Economics'!$A$6:$AZ$6,0),MATCH(U$5&amp;"",'Oxford Economics'!$A$6:$AZ$6,0))),'Oxford Economics'!$A$7:$A$1000,$C12,'Oxford Economics'!$B$7:$B$1000,Settings!$B$13)-SUMIFS(INDEX('Oxford Economics'!$A$7:$AZ$1000,0,IFERROR(MATCH(U$5,'Oxford Economics'!$A$6:$AZ$6,0),MATCH(U$5&amp;"",'Oxford Economics'!$A$6:$AZ$6,0))),'Oxford Economics'!$A$7:$A$1000,$C12,'Oxford Economics'!$B$7:$B$1000,Settings!$B$15),SUMIFS(INDEX('Oxford Economics'!$A$7:$AZ$1000,0,IFERROR(MATCH(U$5,'Oxford Economics'!$A$6:$AZ$6,0),MATCH(U$5&amp;"",'Oxford Economics'!$A$6:$AZ$6,0))),'Oxford Economics'!$A$7:$A$1000,$C12,'Oxford Economics'!$B$7:$B$1000,Settings!$B$15)+SUMIFS(INDEX('Oxford Economics'!$A$7:$AZ$1000,0,IFERROR(MATCH(U$5,'Oxford Economics'!$A$6:$AZ$6,0),MATCH(U$5&amp;"",'Oxford Economics'!$A$6:$AZ$6,0))),'Oxford Economics'!$A$7:$A$1000,$C12,'Oxford Economics'!$B$7:$B$1000,Settings!$B$17)+IF(Settings!$B$19="",0,SUMIFS(INDEX('Oxford Economics'!$A$7:$AZ$1000,0,IFERROR(MATCH(U$5,'Oxford Economics'!$A$6:$AZ$6,0),MATCH(U$5&amp;"",'Oxford Economics'!$A$6:$AZ$6,0))),'Oxford Economics'!$A$7:$A$1000,$C12,'Oxford Economics'!$B$7:$B$1000,Settings!$B$19)))),""))</f>
        <v>1887.32</v>
      </c>
      <c r="V12" s="38" t="n">
        <f aca="false">IF($A12="","",IFERROR(1/(1/IF($B12="Residential",SUMIFS(INDEX('Oxford Economics'!$A$7:$AZ$1000,0,IFERROR(MATCH(V$5,'Oxford Economics'!$A$6:$AZ$6,0),MATCH(V$5&amp;"",'Oxford Economics'!$A$6:$AZ$6,0))),'Oxford Economics'!$A$7:$A$1000,$C12,'Oxford Economics'!$B$7:$B$1000,Settings!$B$13)-SUMIFS(INDEX('Oxford Economics'!$A$7:$AZ$1000,0,IFERROR(MATCH(V$5,'Oxford Economics'!$A$6:$AZ$6,0),MATCH(V$5&amp;"",'Oxford Economics'!$A$6:$AZ$6,0))),'Oxford Economics'!$A$7:$A$1000,$C12,'Oxford Economics'!$B$7:$B$1000,Settings!$B$15),SUMIFS(INDEX('Oxford Economics'!$A$7:$AZ$1000,0,IFERROR(MATCH(V$5,'Oxford Economics'!$A$6:$AZ$6,0),MATCH(V$5&amp;"",'Oxford Economics'!$A$6:$AZ$6,0))),'Oxford Economics'!$A$7:$A$1000,$C12,'Oxford Economics'!$B$7:$B$1000,Settings!$B$15)+SUMIFS(INDEX('Oxford Economics'!$A$7:$AZ$1000,0,IFERROR(MATCH(V$5,'Oxford Economics'!$A$6:$AZ$6,0),MATCH(V$5&amp;"",'Oxford Economics'!$A$6:$AZ$6,0))),'Oxford Economics'!$A$7:$A$1000,$C12,'Oxford Economics'!$B$7:$B$1000,Settings!$B$17)+IF(Settings!$B$19="",0,SUMIFS(INDEX('Oxford Economics'!$A$7:$AZ$1000,0,IFERROR(MATCH(V$5,'Oxford Economics'!$A$6:$AZ$6,0),MATCH(V$5&amp;"",'Oxford Economics'!$A$6:$AZ$6,0))),'Oxford Economics'!$A$7:$A$1000,$C12,'Oxford Economics'!$B$7:$B$1000,Settings!$B$19)))),""))</f>
        <v>1709.38</v>
      </c>
      <c r="W12" s="38" t="n">
        <f aca="false">IF($A12="","",IFERROR(1/(1/IF($B12="Residential",SUMIFS(INDEX('Oxford Economics'!$A$7:$AZ$1000,0,IFERROR(MATCH(W$5,'Oxford Economics'!$A$6:$AZ$6,0),MATCH(W$5&amp;"",'Oxford Economics'!$A$6:$AZ$6,0))),'Oxford Economics'!$A$7:$A$1000,$C12,'Oxford Economics'!$B$7:$B$1000,Settings!$B$13)-SUMIFS(INDEX('Oxford Economics'!$A$7:$AZ$1000,0,IFERROR(MATCH(W$5,'Oxford Economics'!$A$6:$AZ$6,0),MATCH(W$5&amp;"",'Oxford Economics'!$A$6:$AZ$6,0))),'Oxford Economics'!$A$7:$A$1000,$C12,'Oxford Economics'!$B$7:$B$1000,Settings!$B$15),SUMIFS(INDEX('Oxford Economics'!$A$7:$AZ$1000,0,IFERROR(MATCH(W$5,'Oxford Economics'!$A$6:$AZ$6,0),MATCH(W$5&amp;"",'Oxford Economics'!$A$6:$AZ$6,0))),'Oxford Economics'!$A$7:$A$1000,$C12,'Oxford Economics'!$B$7:$B$1000,Settings!$B$15)+SUMIFS(INDEX('Oxford Economics'!$A$7:$AZ$1000,0,IFERROR(MATCH(W$5,'Oxford Economics'!$A$6:$AZ$6,0),MATCH(W$5&amp;"",'Oxford Economics'!$A$6:$AZ$6,0))),'Oxford Economics'!$A$7:$A$1000,$C12,'Oxford Economics'!$B$7:$B$1000,Settings!$B$17)+IF(Settings!$B$19="",0,SUMIFS(INDEX('Oxford Economics'!$A$7:$AZ$1000,0,IFERROR(MATCH(W$5,'Oxford Economics'!$A$6:$AZ$6,0),MATCH(W$5&amp;"",'Oxford Economics'!$A$6:$AZ$6,0))),'Oxford Economics'!$A$7:$A$1000,$C12,'Oxford Economics'!$B$7:$B$1000,Settings!$B$19)))),""))</f>
        <v>1735.95</v>
      </c>
      <c r="X12" s="38" t="n">
        <f aca="false">IF($A12="","",IFERROR(1/(1/IF($B12="Residential",SUMIFS(INDEX('Oxford Economics'!$A$7:$AZ$1000,0,IFERROR(MATCH(X$5,'Oxford Economics'!$A$6:$AZ$6,0),MATCH(X$5&amp;"",'Oxford Economics'!$A$6:$AZ$6,0))),'Oxford Economics'!$A$7:$A$1000,$C12,'Oxford Economics'!$B$7:$B$1000,Settings!$B$13)-SUMIFS(INDEX('Oxford Economics'!$A$7:$AZ$1000,0,IFERROR(MATCH(X$5,'Oxford Economics'!$A$6:$AZ$6,0),MATCH(X$5&amp;"",'Oxford Economics'!$A$6:$AZ$6,0))),'Oxford Economics'!$A$7:$A$1000,$C12,'Oxford Economics'!$B$7:$B$1000,Settings!$B$15),SUMIFS(INDEX('Oxford Economics'!$A$7:$AZ$1000,0,IFERROR(MATCH(X$5,'Oxford Economics'!$A$6:$AZ$6,0),MATCH(X$5&amp;"",'Oxford Economics'!$A$6:$AZ$6,0))),'Oxford Economics'!$A$7:$A$1000,$C12,'Oxford Economics'!$B$7:$B$1000,Settings!$B$15)+SUMIFS(INDEX('Oxford Economics'!$A$7:$AZ$1000,0,IFERROR(MATCH(X$5,'Oxford Economics'!$A$6:$AZ$6,0),MATCH(X$5&amp;"",'Oxford Economics'!$A$6:$AZ$6,0))),'Oxford Economics'!$A$7:$A$1000,$C12,'Oxford Economics'!$B$7:$B$1000,Settings!$B$17)+IF(Settings!$B$19="",0,SUMIFS(INDEX('Oxford Economics'!$A$7:$AZ$1000,0,IFERROR(MATCH(X$5,'Oxford Economics'!$A$6:$AZ$6,0),MATCH(X$5&amp;"",'Oxford Economics'!$A$6:$AZ$6,0))),'Oxford Economics'!$A$7:$A$1000,$C12,'Oxford Economics'!$B$7:$B$1000,Settings!$B$19)))),""))</f>
        <v>1808.74</v>
      </c>
      <c r="Y12" s="38" t="n">
        <f aca="false">IF($A12="","",IFERROR(1/(1/IF($B12="Residential",SUMIFS(INDEX('Oxford Economics'!$A$7:$AZ$1000,0,IFERROR(MATCH(Y$5,'Oxford Economics'!$A$6:$AZ$6,0),MATCH(Y$5&amp;"",'Oxford Economics'!$A$6:$AZ$6,0))),'Oxford Economics'!$A$7:$A$1000,$C12,'Oxford Economics'!$B$7:$B$1000,Settings!$B$13)-SUMIFS(INDEX('Oxford Economics'!$A$7:$AZ$1000,0,IFERROR(MATCH(Y$5,'Oxford Economics'!$A$6:$AZ$6,0),MATCH(Y$5&amp;"",'Oxford Economics'!$A$6:$AZ$6,0))),'Oxford Economics'!$A$7:$A$1000,$C12,'Oxford Economics'!$B$7:$B$1000,Settings!$B$15),SUMIFS(INDEX('Oxford Economics'!$A$7:$AZ$1000,0,IFERROR(MATCH(Y$5,'Oxford Economics'!$A$6:$AZ$6,0),MATCH(Y$5&amp;"",'Oxford Economics'!$A$6:$AZ$6,0))),'Oxford Economics'!$A$7:$A$1000,$C12,'Oxford Economics'!$B$7:$B$1000,Settings!$B$15)+SUMIFS(INDEX('Oxford Economics'!$A$7:$AZ$1000,0,IFERROR(MATCH(Y$5,'Oxford Economics'!$A$6:$AZ$6,0),MATCH(Y$5&amp;"",'Oxford Economics'!$A$6:$AZ$6,0))),'Oxford Economics'!$A$7:$A$1000,$C12,'Oxford Economics'!$B$7:$B$1000,Settings!$B$17)+IF(Settings!$B$19="",0,SUMIFS(INDEX('Oxford Economics'!$A$7:$AZ$1000,0,IFERROR(MATCH(Y$5,'Oxford Economics'!$A$6:$AZ$6,0),MATCH(Y$5&amp;"",'Oxford Economics'!$A$6:$AZ$6,0))),'Oxford Economics'!$A$7:$A$1000,$C12,'Oxford Economics'!$B$7:$B$1000,Settings!$B$19)))),""))</f>
        <v>1868.93</v>
      </c>
      <c r="Z12" s="38" t="n">
        <f aca="false">IF($A12="","",IFERROR(1/(1/IF($B12="Residential",SUMIFS(INDEX('Oxford Economics'!$A$7:$AZ$1000,0,IFERROR(MATCH(Z$5,'Oxford Economics'!$A$6:$AZ$6,0),MATCH(Z$5&amp;"",'Oxford Economics'!$A$6:$AZ$6,0))),'Oxford Economics'!$A$7:$A$1000,$C12,'Oxford Economics'!$B$7:$B$1000,Settings!$B$13)-SUMIFS(INDEX('Oxford Economics'!$A$7:$AZ$1000,0,IFERROR(MATCH(Z$5,'Oxford Economics'!$A$6:$AZ$6,0),MATCH(Z$5&amp;"",'Oxford Economics'!$A$6:$AZ$6,0))),'Oxford Economics'!$A$7:$A$1000,$C12,'Oxford Economics'!$B$7:$B$1000,Settings!$B$15),SUMIFS(INDEX('Oxford Economics'!$A$7:$AZ$1000,0,IFERROR(MATCH(Z$5,'Oxford Economics'!$A$6:$AZ$6,0),MATCH(Z$5&amp;"",'Oxford Economics'!$A$6:$AZ$6,0))),'Oxford Economics'!$A$7:$A$1000,$C12,'Oxford Economics'!$B$7:$B$1000,Settings!$B$15)+SUMIFS(INDEX('Oxford Economics'!$A$7:$AZ$1000,0,IFERROR(MATCH(Z$5,'Oxford Economics'!$A$6:$AZ$6,0),MATCH(Z$5&amp;"",'Oxford Economics'!$A$6:$AZ$6,0))),'Oxford Economics'!$A$7:$A$1000,$C12,'Oxford Economics'!$B$7:$B$1000,Settings!$B$17)+IF(Settings!$B$19="",0,SUMIFS(INDEX('Oxford Economics'!$A$7:$AZ$1000,0,IFERROR(MATCH(Z$5,'Oxford Economics'!$A$6:$AZ$6,0),MATCH(Z$5&amp;"",'Oxford Economics'!$A$6:$AZ$6,0))),'Oxford Economics'!$A$7:$A$1000,$C12,'Oxford Economics'!$B$7:$B$1000,Settings!$B$19)))),""))</f>
        <v>1930.29</v>
      </c>
      <c r="AA12" s="38" t="n">
        <f aca="false">IF($A12="","",IFERROR(1/(1/IF($B12="Residential",SUMIFS(INDEX('Oxford Economics'!$A$7:$AZ$1000,0,IFERROR(MATCH(AA$5,'Oxford Economics'!$A$6:$AZ$6,0),MATCH(AA$5&amp;"",'Oxford Economics'!$A$6:$AZ$6,0))),'Oxford Economics'!$A$7:$A$1000,$C12,'Oxford Economics'!$B$7:$B$1000,Settings!$B$13)-SUMIFS(INDEX('Oxford Economics'!$A$7:$AZ$1000,0,IFERROR(MATCH(AA$5,'Oxford Economics'!$A$6:$AZ$6,0),MATCH(AA$5&amp;"",'Oxford Economics'!$A$6:$AZ$6,0))),'Oxford Economics'!$A$7:$A$1000,$C12,'Oxford Economics'!$B$7:$B$1000,Settings!$B$15),SUMIFS(INDEX('Oxford Economics'!$A$7:$AZ$1000,0,IFERROR(MATCH(AA$5,'Oxford Economics'!$A$6:$AZ$6,0),MATCH(AA$5&amp;"",'Oxford Economics'!$A$6:$AZ$6,0))),'Oxford Economics'!$A$7:$A$1000,$C12,'Oxford Economics'!$B$7:$B$1000,Settings!$B$15)+SUMIFS(INDEX('Oxford Economics'!$A$7:$AZ$1000,0,IFERROR(MATCH(AA$5,'Oxford Economics'!$A$6:$AZ$6,0),MATCH(AA$5&amp;"",'Oxford Economics'!$A$6:$AZ$6,0))),'Oxford Economics'!$A$7:$A$1000,$C12,'Oxford Economics'!$B$7:$B$1000,Settings!$B$17)+IF(Settings!$B$19="",0,SUMIFS(INDEX('Oxford Economics'!$A$7:$AZ$1000,0,IFERROR(MATCH(AA$5,'Oxford Economics'!$A$6:$AZ$6,0),MATCH(AA$5&amp;"",'Oxford Economics'!$A$6:$AZ$6,0))),'Oxford Economics'!$A$7:$A$1000,$C12,'Oxford Economics'!$B$7:$B$1000,Settings!$B$19)))),""))</f>
        <v>1991.94</v>
      </c>
      <c r="AB12" s="38" t="n">
        <f aca="false">IF($A12="","",IFERROR(1/(1/IF($B12="Residential",SUMIFS(INDEX('Oxford Economics'!$A$7:$AZ$1000,0,IFERROR(MATCH(AB$5,'Oxford Economics'!$A$6:$AZ$6,0),MATCH(AB$5&amp;"",'Oxford Economics'!$A$6:$AZ$6,0))),'Oxford Economics'!$A$7:$A$1000,$C12,'Oxford Economics'!$B$7:$B$1000,Settings!$B$12)-SUMIFS(INDEX('Oxford Economics'!$A$7:$AZ$1000,0,IFERROR(MATCH(AB$5,'Oxford Economics'!$A$6:$AZ$6,0),MATCH(AB$5&amp;"",'Oxford Economics'!$A$6:$AZ$6,0))),'Oxford Economics'!$A$7:$A$1000,$C12,'Oxford Economics'!$B$7:$B$1000,Settings!$B$14),SUMIFS(INDEX('Oxford Economics'!$A$7:$AZ$1000,0,IFERROR(MATCH(AB$5,'Oxford Economics'!$A$6:$AZ$6,0),MATCH(AB$5&amp;"",'Oxford Economics'!$A$6:$AZ$6,0))),'Oxford Economics'!$A$7:$A$1000,$C12,'Oxford Economics'!$B$7:$B$1000,Settings!$B$14)+SUMIFS(INDEX('Oxford Economics'!$A$7:$AZ$1000,0,IFERROR(MATCH(AB$5,'Oxford Economics'!$A$6:$AZ$6,0),MATCH(AB$5&amp;"",'Oxford Economics'!$A$6:$AZ$6,0))),'Oxford Economics'!$A$7:$A$1000,$C12,'Oxford Economics'!$B$7:$B$1000,Settings!$B$16)+IF(Settings!$B$18="",0,SUMIFS(INDEX('Oxford Economics'!$A$7:$AZ$1000,0,IFERROR(MATCH(AB$5,'Oxford Economics'!$A$6:$AZ$6,0),MATCH(AB$5&amp;"",'Oxford Economics'!$A$6:$AZ$6,0))),'Oxford Economics'!$A$7:$A$1000,$C12,'Oxford Economics'!$B$7:$B$1000,Settings!$B$18)))),""))</f>
        <v>4980.31</v>
      </c>
      <c r="AC12" s="38" t="n">
        <f aca="false">IF($A12="","",IFERROR(1/(1/IF($B12="Residential",SUMIFS(INDEX('Oxford Economics'!$A$7:$AZ$1000,0,IFERROR(MATCH(AC$5,'Oxford Economics'!$A$6:$AZ$6,0),MATCH(AC$5&amp;"",'Oxford Economics'!$A$6:$AZ$6,0))),'Oxford Economics'!$A$7:$A$1000,$C12,'Oxford Economics'!$B$7:$B$1000,Settings!$B$12)-SUMIFS(INDEX('Oxford Economics'!$A$7:$AZ$1000,0,IFERROR(MATCH(AC$5,'Oxford Economics'!$A$6:$AZ$6,0),MATCH(AC$5&amp;"",'Oxford Economics'!$A$6:$AZ$6,0))),'Oxford Economics'!$A$7:$A$1000,$C12,'Oxford Economics'!$B$7:$B$1000,Settings!$B$14),SUMIFS(INDEX('Oxford Economics'!$A$7:$AZ$1000,0,IFERROR(MATCH(AC$5,'Oxford Economics'!$A$6:$AZ$6,0),MATCH(AC$5&amp;"",'Oxford Economics'!$A$6:$AZ$6,0))),'Oxford Economics'!$A$7:$A$1000,$C12,'Oxford Economics'!$B$7:$B$1000,Settings!$B$14)+SUMIFS(INDEX('Oxford Economics'!$A$7:$AZ$1000,0,IFERROR(MATCH(AC$5,'Oxford Economics'!$A$6:$AZ$6,0),MATCH(AC$5&amp;"",'Oxford Economics'!$A$6:$AZ$6,0))),'Oxford Economics'!$A$7:$A$1000,$C12,'Oxford Economics'!$B$7:$B$1000,Settings!$B$16)+IF(Settings!$B$18="",0,SUMIFS(INDEX('Oxford Economics'!$A$7:$AZ$1000,0,IFERROR(MATCH(AC$5,'Oxford Economics'!$A$6:$AZ$6,0),MATCH(AC$5&amp;"",'Oxford Economics'!$A$6:$AZ$6,0))),'Oxford Economics'!$A$7:$A$1000,$C12,'Oxford Economics'!$B$7:$B$1000,Settings!$B$18)))),""))</f>
        <v>4995.73</v>
      </c>
      <c r="AD12" s="38" t="n">
        <f aca="false">IF($A12="","",IFERROR(1/(1/IF($B12="Residential",SUMIFS(INDEX('Oxford Economics'!$A$7:$AZ$1000,0,IFERROR(MATCH(AD$5,'Oxford Economics'!$A$6:$AZ$6,0),MATCH(AD$5&amp;"",'Oxford Economics'!$A$6:$AZ$6,0))),'Oxford Economics'!$A$7:$A$1000,$C12,'Oxford Economics'!$B$7:$B$1000,Settings!$B$12)-SUMIFS(INDEX('Oxford Economics'!$A$7:$AZ$1000,0,IFERROR(MATCH(AD$5,'Oxford Economics'!$A$6:$AZ$6,0),MATCH(AD$5&amp;"",'Oxford Economics'!$A$6:$AZ$6,0))),'Oxford Economics'!$A$7:$A$1000,$C12,'Oxford Economics'!$B$7:$B$1000,Settings!$B$14),SUMIFS(INDEX('Oxford Economics'!$A$7:$AZ$1000,0,IFERROR(MATCH(AD$5,'Oxford Economics'!$A$6:$AZ$6,0),MATCH(AD$5&amp;"",'Oxford Economics'!$A$6:$AZ$6,0))),'Oxford Economics'!$A$7:$A$1000,$C12,'Oxford Economics'!$B$7:$B$1000,Settings!$B$14)+SUMIFS(INDEX('Oxford Economics'!$A$7:$AZ$1000,0,IFERROR(MATCH(AD$5,'Oxford Economics'!$A$6:$AZ$6,0),MATCH(AD$5&amp;"",'Oxford Economics'!$A$6:$AZ$6,0))),'Oxford Economics'!$A$7:$A$1000,$C12,'Oxford Economics'!$B$7:$B$1000,Settings!$B$16)+IF(Settings!$B$18="",0,SUMIFS(INDEX('Oxford Economics'!$A$7:$AZ$1000,0,IFERROR(MATCH(AD$5,'Oxford Economics'!$A$6:$AZ$6,0),MATCH(AD$5&amp;"",'Oxford Economics'!$A$6:$AZ$6,0))),'Oxford Economics'!$A$7:$A$1000,$C12,'Oxford Economics'!$B$7:$B$1000,Settings!$B$18)))),""))</f>
        <v>4946.48</v>
      </c>
      <c r="AE12" s="38" t="n">
        <f aca="false">IF($A12="","",IFERROR(1/(1/IF($B12="Residential",SUMIFS(INDEX('Oxford Economics'!$A$7:$AZ$1000,0,IFERROR(MATCH(AE$5,'Oxford Economics'!$A$6:$AZ$6,0),MATCH(AE$5&amp;"",'Oxford Economics'!$A$6:$AZ$6,0))),'Oxford Economics'!$A$7:$A$1000,$C12,'Oxford Economics'!$B$7:$B$1000,Settings!$B$12)-SUMIFS(INDEX('Oxford Economics'!$A$7:$AZ$1000,0,IFERROR(MATCH(AE$5,'Oxford Economics'!$A$6:$AZ$6,0),MATCH(AE$5&amp;"",'Oxford Economics'!$A$6:$AZ$6,0))),'Oxford Economics'!$A$7:$A$1000,$C12,'Oxford Economics'!$B$7:$B$1000,Settings!$B$14),SUMIFS(INDEX('Oxford Economics'!$A$7:$AZ$1000,0,IFERROR(MATCH(AE$5,'Oxford Economics'!$A$6:$AZ$6,0),MATCH(AE$5&amp;"",'Oxford Economics'!$A$6:$AZ$6,0))),'Oxford Economics'!$A$7:$A$1000,$C12,'Oxford Economics'!$B$7:$B$1000,Settings!$B$14)+SUMIFS(INDEX('Oxford Economics'!$A$7:$AZ$1000,0,IFERROR(MATCH(AE$5,'Oxford Economics'!$A$6:$AZ$6,0),MATCH(AE$5&amp;"",'Oxford Economics'!$A$6:$AZ$6,0))),'Oxford Economics'!$A$7:$A$1000,$C12,'Oxford Economics'!$B$7:$B$1000,Settings!$B$16)+IF(Settings!$B$18="",0,SUMIFS(INDEX('Oxford Economics'!$A$7:$AZ$1000,0,IFERROR(MATCH(AE$5,'Oxford Economics'!$A$6:$AZ$6,0),MATCH(AE$5&amp;"",'Oxford Economics'!$A$6:$AZ$6,0))),'Oxford Economics'!$A$7:$A$1000,$C12,'Oxford Economics'!$B$7:$B$1000,Settings!$B$18)))),""))</f>
        <v>4406.27</v>
      </c>
      <c r="AF12" s="38" t="n">
        <f aca="false">IF($A12="","",IFERROR(1/(1/IF($B12="Residential",SUMIFS(INDEX('Oxford Economics'!$A$7:$AZ$1000,0,IFERROR(MATCH(AF$5,'Oxford Economics'!$A$6:$AZ$6,0),MATCH(AF$5&amp;"",'Oxford Economics'!$A$6:$AZ$6,0))),'Oxford Economics'!$A$7:$A$1000,$C12,'Oxford Economics'!$B$7:$B$1000,Settings!$B$12)-SUMIFS(INDEX('Oxford Economics'!$A$7:$AZ$1000,0,IFERROR(MATCH(AF$5,'Oxford Economics'!$A$6:$AZ$6,0),MATCH(AF$5&amp;"",'Oxford Economics'!$A$6:$AZ$6,0))),'Oxford Economics'!$A$7:$A$1000,$C12,'Oxford Economics'!$B$7:$B$1000,Settings!$B$14),SUMIFS(INDEX('Oxford Economics'!$A$7:$AZ$1000,0,IFERROR(MATCH(AF$5,'Oxford Economics'!$A$6:$AZ$6,0),MATCH(AF$5&amp;"",'Oxford Economics'!$A$6:$AZ$6,0))),'Oxford Economics'!$A$7:$A$1000,$C12,'Oxford Economics'!$B$7:$B$1000,Settings!$B$14)+SUMIFS(INDEX('Oxford Economics'!$A$7:$AZ$1000,0,IFERROR(MATCH(AF$5,'Oxford Economics'!$A$6:$AZ$6,0),MATCH(AF$5&amp;"",'Oxford Economics'!$A$6:$AZ$6,0))),'Oxford Economics'!$A$7:$A$1000,$C12,'Oxford Economics'!$B$7:$B$1000,Settings!$B$16)+IF(Settings!$B$18="",0,SUMIFS(INDEX('Oxford Economics'!$A$7:$AZ$1000,0,IFERROR(MATCH(AF$5,'Oxford Economics'!$A$6:$AZ$6,0),MATCH(AF$5&amp;"",'Oxford Economics'!$A$6:$AZ$6,0))),'Oxford Economics'!$A$7:$A$1000,$C12,'Oxford Economics'!$B$7:$B$1000,Settings!$B$18)))),""))</f>
        <v>4037.38</v>
      </c>
      <c r="AG12" s="38" t="n">
        <f aca="false">IF($A12="","",IFERROR(1/(1/IF($B12="Residential",SUMIFS(INDEX('Oxford Economics'!$A$7:$AZ$1000,0,IFERROR(MATCH(AG$5,'Oxford Economics'!$A$6:$AZ$6,0),MATCH(AG$5&amp;"",'Oxford Economics'!$A$6:$AZ$6,0))),'Oxford Economics'!$A$7:$A$1000,$C12,'Oxford Economics'!$B$7:$B$1000,Settings!$B$12)-SUMIFS(INDEX('Oxford Economics'!$A$7:$AZ$1000,0,IFERROR(MATCH(AG$5,'Oxford Economics'!$A$6:$AZ$6,0),MATCH(AG$5&amp;"",'Oxford Economics'!$A$6:$AZ$6,0))),'Oxford Economics'!$A$7:$A$1000,$C12,'Oxford Economics'!$B$7:$B$1000,Settings!$B$14),SUMIFS(INDEX('Oxford Economics'!$A$7:$AZ$1000,0,IFERROR(MATCH(AG$5,'Oxford Economics'!$A$6:$AZ$6,0),MATCH(AG$5&amp;"",'Oxford Economics'!$A$6:$AZ$6,0))),'Oxford Economics'!$A$7:$A$1000,$C12,'Oxford Economics'!$B$7:$B$1000,Settings!$B$14)+SUMIFS(INDEX('Oxford Economics'!$A$7:$AZ$1000,0,IFERROR(MATCH(AG$5,'Oxford Economics'!$A$6:$AZ$6,0),MATCH(AG$5&amp;"",'Oxford Economics'!$A$6:$AZ$6,0))),'Oxford Economics'!$A$7:$A$1000,$C12,'Oxford Economics'!$B$7:$B$1000,Settings!$B$16)+IF(Settings!$B$18="",0,SUMIFS(INDEX('Oxford Economics'!$A$7:$AZ$1000,0,IFERROR(MATCH(AG$5,'Oxford Economics'!$A$6:$AZ$6,0),MATCH(AG$5&amp;"",'Oxford Economics'!$A$6:$AZ$6,0))),'Oxford Economics'!$A$7:$A$1000,$C12,'Oxford Economics'!$B$7:$B$1000,Settings!$B$18)))),""))</f>
        <v>3949.2</v>
      </c>
      <c r="AH12" s="38" t="n">
        <f aca="false">IF($A12="","",IFERROR(1/(1/IF($B12="Residential",SUMIFS(INDEX('Oxford Economics'!$A$7:$AZ$1000,0,IFERROR(MATCH(AH$5,'Oxford Economics'!$A$6:$AZ$6,0),MATCH(AH$5&amp;"",'Oxford Economics'!$A$6:$AZ$6,0))),'Oxford Economics'!$A$7:$A$1000,$C12,'Oxford Economics'!$B$7:$B$1000,Settings!$B$12)-SUMIFS(INDEX('Oxford Economics'!$A$7:$AZ$1000,0,IFERROR(MATCH(AH$5,'Oxford Economics'!$A$6:$AZ$6,0),MATCH(AH$5&amp;"",'Oxford Economics'!$A$6:$AZ$6,0))),'Oxford Economics'!$A$7:$A$1000,$C12,'Oxford Economics'!$B$7:$B$1000,Settings!$B$14),SUMIFS(INDEX('Oxford Economics'!$A$7:$AZ$1000,0,IFERROR(MATCH(AH$5,'Oxford Economics'!$A$6:$AZ$6,0),MATCH(AH$5&amp;"",'Oxford Economics'!$A$6:$AZ$6,0))),'Oxford Economics'!$A$7:$A$1000,$C12,'Oxford Economics'!$B$7:$B$1000,Settings!$B$14)+SUMIFS(INDEX('Oxford Economics'!$A$7:$AZ$1000,0,IFERROR(MATCH(AH$5,'Oxford Economics'!$A$6:$AZ$6,0),MATCH(AH$5&amp;"",'Oxford Economics'!$A$6:$AZ$6,0))),'Oxford Economics'!$A$7:$A$1000,$C12,'Oxford Economics'!$B$7:$B$1000,Settings!$B$16)+IF(Settings!$B$18="",0,SUMIFS(INDEX('Oxford Economics'!$A$7:$AZ$1000,0,IFERROR(MATCH(AH$5,'Oxford Economics'!$A$6:$AZ$6,0),MATCH(AH$5&amp;"",'Oxford Economics'!$A$6:$AZ$6,0))),'Oxford Economics'!$A$7:$A$1000,$C12,'Oxford Economics'!$B$7:$B$1000,Settings!$B$18)))),""))</f>
        <v>4029</v>
      </c>
      <c r="AI12" s="38" t="n">
        <f aca="false">IF($A12="","",IFERROR(1/(1/IF($B12="Residential",SUMIFS(INDEX('Oxford Economics'!$A$7:$AZ$1000,0,IFERROR(MATCH(AI$5,'Oxford Economics'!$A$6:$AZ$6,0),MATCH(AI$5&amp;"",'Oxford Economics'!$A$6:$AZ$6,0))),'Oxford Economics'!$A$7:$A$1000,$C12,'Oxford Economics'!$B$7:$B$1000,Settings!$B$12)-SUMIFS(INDEX('Oxford Economics'!$A$7:$AZ$1000,0,IFERROR(MATCH(AI$5,'Oxford Economics'!$A$6:$AZ$6,0),MATCH(AI$5&amp;"",'Oxford Economics'!$A$6:$AZ$6,0))),'Oxford Economics'!$A$7:$A$1000,$C12,'Oxford Economics'!$B$7:$B$1000,Settings!$B$14),SUMIFS(INDEX('Oxford Economics'!$A$7:$AZ$1000,0,IFERROR(MATCH(AI$5,'Oxford Economics'!$A$6:$AZ$6,0),MATCH(AI$5&amp;"",'Oxford Economics'!$A$6:$AZ$6,0))),'Oxford Economics'!$A$7:$A$1000,$C12,'Oxford Economics'!$B$7:$B$1000,Settings!$B$14)+SUMIFS(INDEX('Oxford Economics'!$A$7:$AZ$1000,0,IFERROR(MATCH(AI$5,'Oxford Economics'!$A$6:$AZ$6,0),MATCH(AI$5&amp;"",'Oxford Economics'!$A$6:$AZ$6,0))),'Oxford Economics'!$A$7:$A$1000,$C12,'Oxford Economics'!$B$7:$B$1000,Settings!$B$16)+IF(Settings!$B$18="",0,SUMIFS(INDEX('Oxford Economics'!$A$7:$AZ$1000,0,IFERROR(MATCH(AI$5,'Oxford Economics'!$A$6:$AZ$6,0),MATCH(AI$5&amp;"",'Oxford Economics'!$A$6:$AZ$6,0))),'Oxford Economics'!$A$7:$A$1000,$C12,'Oxford Economics'!$B$7:$B$1000,Settings!$B$18)))),""))</f>
        <v>4108</v>
      </c>
      <c r="AJ12" s="38" t="n">
        <f aca="false">IF($A12="","",IFERROR(1/(1/IF($B12="Residential",SUMIFS(INDEX('Oxford Economics'!$A$7:$AZ$1000,0,IFERROR(MATCH(AJ$5,'Oxford Economics'!$A$6:$AZ$6,0),MATCH(AJ$5&amp;"",'Oxford Economics'!$A$6:$AZ$6,0))),'Oxford Economics'!$A$7:$A$1000,$C12,'Oxford Economics'!$B$7:$B$1000,Settings!$B$12)-SUMIFS(INDEX('Oxford Economics'!$A$7:$AZ$1000,0,IFERROR(MATCH(AJ$5,'Oxford Economics'!$A$6:$AZ$6,0),MATCH(AJ$5&amp;"",'Oxford Economics'!$A$6:$AZ$6,0))),'Oxford Economics'!$A$7:$A$1000,$C12,'Oxford Economics'!$B$7:$B$1000,Settings!$B$14),SUMIFS(INDEX('Oxford Economics'!$A$7:$AZ$1000,0,IFERROR(MATCH(AJ$5,'Oxford Economics'!$A$6:$AZ$6,0),MATCH(AJ$5&amp;"",'Oxford Economics'!$A$6:$AZ$6,0))),'Oxford Economics'!$A$7:$A$1000,$C12,'Oxford Economics'!$B$7:$B$1000,Settings!$B$14)+SUMIFS(INDEX('Oxford Economics'!$A$7:$AZ$1000,0,IFERROR(MATCH(AJ$5,'Oxford Economics'!$A$6:$AZ$6,0),MATCH(AJ$5&amp;"",'Oxford Economics'!$A$6:$AZ$6,0))),'Oxford Economics'!$A$7:$A$1000,$C12,'Oxford Economics'!$B$7:$B$1000,Settings!$B$16)+IF(Settings!$B$18="",0,SUMIFS(INDEX('Oxford Economics'!$A$7:$AZ$1000,0,IFERROR(MATCH(AJ$5,'Oxford Economics'!$A$6:$AZ$6,0),MATCH(AJ$5&amp;"",'Oxford Economics'!$A$6:$AZ$6,0))),'Oxford Economics'!$A$7:$A$1000,$C12,'Oxford Economics'!$B$7:$B$1000,Settings!$B$18)))),""))</f>
        <v>4153.14</v>
      </c>
      <c r="AK12" s="38" t="n">
        <f aca="false">IF($A12="","",IFERROR(1/(1/IF($B12="Residential",SUMIFS(INDEX('Oxford Economics'!$A$7:$AZ$1000,0,IFERROR(MATCH(AK$5,'Oxford Economics'!$A$6:$AZ$6,0),MATCH(AK$5&amp;"",'Oxford Economics'!$A$6:$AZ$6,0))),'Oxford Economics'!$A$7:$A$1000,$C12,'Oxford Economics'!$B$7:$B$1000,Settings!$B$12)-SUMIFS(INDEX('Oxford Economics'!$A$7:$AZ$1000,0,IFERROR(MATCH(AK$5,'Oxford Economics'!$A$6:$AZ$6,0),MATCH(AK$5&amp;"",'Oxford Economics'!$A$6:$AZ$6,0))),'Oxford Economics'!$A$7:$A$1000,$C12,'Oxford Economics'!$B$7:$B$1000,Settings!$B$14),SUMIFS(INDEX('Oxford Economics'!$A$7:$AZ$1000,0,IFERROR(MATCH(AK$5,'Oxford Economics'!$A$6:$AZ$6,0),MATCH(AK$5&amp;"",'Oxford Economics'!$A$6:$AZ$6,0))),'Oxford Economics'!$A$7:$A$1000,$C12,'Oxford Economics'!$B$7:$B$1000,Settings!$B$14)+SUMIFS(INDEX('Oxford Economics'!$A$7:$AZ$1000,0,IFERROR(MATCH(AK$5,'Oxford Economics'!$A$6:$AZ$6,0),MATCH(AK$5&amp;"",'Oxford Economics'!$A$6:$AZ$6,0))),'Oxford Economics'!$A$7:$A$1000,$C12,'Oxford Economics'!$B$7:$B$1000,Settings!$B$16)+IF(Settings!$B$18="",0,SUMIFS(INDEX('Oxford Economics'!$A$7:$AZ$1000,0,IFERROR(MATCH(AK$5,'Oxford Economics'!$A$6:$AZ$6,0),MATCH(AK$5&amp;"",'Oxford Economics'!$A$6:$AZ$6,0))),'Oxford Economics'!$A$7:$A$1000,$C12,'Oxford Economics'!$B$7:$B$1000,Settings!$B$18)))),""))</f>
        <v>4191.03</v>
      </c>
      <c r="AL12" s="38" t="n">
        <f aca="false">IF($A12="","",IFERROR(1/(1/IF($B12="Residential",SUMIFS(INDEX('Oxford Economics'!$A$7:$AZ$1000,0,IFERROR(MATCH(AL$5,'Oxford Economics'!$A$6:$AZ$6,0),MATCH(AL$5&amp;"",'Oxford Economics'!$A$6:$AZ$6,0))),'Oxford Economics'!$A$7:$A$1000,$C12,'Oxford Economics'!$B$7:$B$1000,Settings!$B$12)-SUMIFS(INDEX('Oxford Economics'!$A$7:$AZ$1000,0,IFERROR(MATCH(AL$5,'Oxford Economics'!$A$6:$AZ$6,0),MATCH(AL$5&amp;"",'Oxford Economics'!$A$6:$AZ$6,0))),'Oxford Economics'!$A$7:$A$1000,$C12,'Oxford Economics'!$B$7:$B$1000,Settings!$B$14),SUMIFS(INDEX('Oxford Economics'!$A$7:$AZ$1000,0,IFERROR(MATCH(AL$5,'Oxford Economics'!$A$6:$AZ$6,0),MATCH(AL$5&amp;"",'Oxford Economics'!$A$6:$AZ$6,0))),'Oxford Economics'!$A$7:$A$1000,$C12,'Oxford Economics'!$B$7:$B$1000,Settings!$B$14)+SUMIFS(INDEX('Oxford Economics'!$A$7:$AZ$1000,0,IFERROR(MATCH(AL$5,'Oxford Economics'!$A$6:$AZ$6,0),MATCH(AL$5&amp;"",'Oxford Economics'!$A$6:$AZ$6,0))),'Oxford Economics'!$A$7:$A$1000,$C12,'Oxford Economics'!$B$7:$B$1000,Settings!$B$16)+IF(Settings!$B$18="",0,SUMIFS(INDEX('Oxford Economics'!$A$7:$AZ$1000,0,IFERROR(MATCH(AL$5,'Oxford Economics'!$A$6:$AZ$6,0),MATCH(AL$5&amp;"",'Oxford Economics'!$A$6:$AZ$6,0))),'Oxford Economics'!$A$7:$A$1000,$C12,'Oxford Economics'!$B$7:$B$1000,Settings!$B$18)))),""))</f>
        <v>4287.23</v>
      </c>
      <c r="AM12" s="38" t="n">
        <f aca="false">IF($A12="","",IFERROR(1/(1/IF($B12="Residential",SUMIFS(INDEX('Oxford Economics'!$A$7:$AZ$1000,0,IFERROR(MATCH(AM$5,'Oxford Economics'!$A$6:$AZ$6,0),MATCH(AM$5&amp;"",'Oxford Economics'!$A$6:$AZ$6,0))),'Oxford Economics'!$A$7:$A$1000,$C12,'Oxford Economics'!$B$7:$B$1000,Settings!$B$12)-SUMIFS(INDEX('Oxford Economics'!$A$7:$AZ$1000,0,IFERROR(MATCH(AM$5,'Oxford Economics'!$A$6:$AZ$6,0),MATCH(AM$5&amp;"",'Oxford Economics'!$A$6:$AZ$6,0))),'Oxford Economics'!$A$7:$A$1000,$C12,'Oxford Economics'!$B$7:$B$1000,Settings!$B$14),SUMIFS(INDEX('Oxford Economics'!$A$7:$AZ$1000,0,IFERROR(MATCH(AM$5,'Oxford Economics'!$A$6:$AZ$6,0),MATCH(AM$5&amp;"",'Oxford Economics'!$A$6:$AZ$6,0))),'Oxford Economics'!$A$7:$A$1000,$C12,'Oxford Economics'!$B$7:$B$1000,Settings!$B$14)+SUMIFS(INDEX('Oxford Economics'!$A$7:$AZ$1000,0,IFERROR(MATCH(AM$5,'Oxford Economics'!$A$6:$AZ$6,0),MATCH(AM$5&amp;"",'Oxford Economics'!$A$6:$AZ$6,0))),'Oxford Economics'!$A$7:$A$1000,$C12,'Oxford Economics'!$B$7:$B$1000,Settings!$B$16)+IF(Settings!$B$18="",0,SUMIFS(INDEX('Oxford Economics'!$A$7:$AZ$1000,0,IFERROR(MATCH(AM$5,'Oxford Economics'!$A$6:$AZ$6,0),MATCH(AM$5&amp;"",'Oxford Economics'!$A$6:$AZ$6,0))),'Oxford Economics'!$A$7:$A$1000,$C12,'Oxford Economics'!$B$7:$B$1000,Settings!$B$18)))),""))</f>
        <v>4403.06</v>
      </c>
    </row>
    <row r="13" customFormat="false" ht="15" hidden="false" customHeight="false" outlineLevel="0" collapsed="false">
      <c r="A13" s="37" t="str">
        <f aca="false">IF('Raw data'!$A13="","",'Raw data'!$A13)</f>
        <v>Czech Republic</v>
      </c>
      <c r="B13" s="37" t="str">
        <f aca="false">IF($A13="","",'Raw data'!$C13)</f>
        <v>Residential</v>
      </c>
      <c r="C13" s="37" t="str">
        <f aca="false">IF($A13="","",IF('Raw data'!$E13="",$A13,'Raw data'!$E13))</f>
        <v>Czech Republic</v>
      </c>
      <c r="D13" s="38" t="n">
        <f aca="false">IF($A13="","",IF(AND(ISNUMBER(P13),ISNUMBER(AB13)),P13+AB13,""))</f>
        <v>6593.17</v>
      </c>
      <c r="E13" s="38" t="n">
        <f aca="false">IF($A13="","",IF(AND(ISNUMBER(Q13),ISNUMBER(AC13)),Q13+AC13,""))</f>
        <v>6639.44</v>
      </c>
      <c r="F13" s="38" t="n">
        <f aca="false">IF($A13="","",IF(AND(ISNUMBER(R13),ISNUMBER(AD13)),R13+AD13,""))</f>
        <v>6514.5</v>
      </c>
      <c r="G13" s="38" t="n">
        <f aca="false">IF($A13="","",IF(AND(ISNUMBER(S13),ISNUMBER(AE13)),S13+AE13,""))</f>
        <v>6260.49</v>
      </c>
      <c r="H13" s="38" t="n">
        <f aca="false">IF($A13="","",IF(AND(ISNUMBER(T13),ISNUMBER(AF13)),T13+AF13,""))</f>
        <v>6042.31</v>
      </c>
      <c r="I13" s="38" t="n">
        <f aca="false">IF($A13="","",IF(AND(ISNUMBER(U13),ISNUMBER(AG13)),U13+AG13,""))</f>
        <v>5836.52</v>
      </c>
      <c r="J13" s="38" t="n">
        <f aca="false">IF($A13="","",IF(AND(ISNUMBER(V13),ISNUMBER(AH13)),V13+AH13,""))</f>
        <v>5738.38</v>
      </c>
      <c r="K13" s="38" t="n">
        <f aca="false">IF($A13="","",IF(AND(ISNUMBER(W13),ISNUMBER(AI13)),W13+AI13,""))</f>
        <v>5843.95</v>
      </c>
      <c r="L13" s="38" t="n">
        <f aca="false">IF($A13="","",IF(AND(ISNUMBER(X13),ISNUMBER(AJ13)),X13+AJ13,""))</f>
        <v>5961.88</v>
      </c>
      <c r="M13" s="38" t="n">
        <f aca="false">IF($A13="","",IF(AND(ISNUMBER(Y13),ISNUMBER(AK13)),Y13+AK13,""))</f>
        <v>6059.96</v>
      </c>
      <c r="N13" s="38" t="n">
        <f aca="false">IF($A13="","",IF(AND(ISNUMBER(Z13),ISNUMBER(AL13)),Z13+AL13,""))</f>
        <v>6217.52</v>
      </c>
      <c r="O13" s="38" t="n">
        <f aca="false">IF($A13="","",IF(AND(ISNUMBER(AA13),ISNUMBER(AM13)),AA13+AM13,""))</f>
        <v>6395</v>
      </c>
      <c r="P13" s="38" t="n">
        <f aca="false">IF($A13="","",IFERROR(1/(1/IF($B13="Residential",SUMIFS(INDEX('Oxford Economics'!$A$7:$AZ$1000,0,IFERROR(MATCH(P$5,'Oxford Economics'!$A$6:$AZ$6,0),MATCH(P$5&amp;"",'Oxford Economics'!$A$6:$AZ$6,0))),'Oxford Economics'!$A$7:$A$1000,$C13,'Oxford Economics'!$B$7:$B$1000,Settings!$B$13)-SUMIFS(INDEX('Oxford Economics'!$A$7:$AZ$1000,0,IFERROR(MATCH(P$5,'Oxford Economics'!$A$6:$AZ$6,0),MATCH(P$5&amp;"",'Oxford Economics'!$A$6:$AZ$6,0))),'Oxford Economics'!$A$7:$A$1000,$C13,'Oxford Economics'!$B$7:$B$1000,Settings!$B$15),SUMIFS(INDEX('Oxford Economics'!$A$7:$AZ$1000,0,IFERROR(MATCH(P$5,'Oxford Economics'!$A$6:$AZ$6,0),MATCH(P$5&amp;"",'Oxford Economics'!$A$6:$AZ$6,0))),'Oxford Economics'!$A$7:$A$1000,$C13,'Oxford Economics'!$B$7:$B$1000,Settings!$B$15)+SUMIFS(INDEX('Oxford Economics'!$A$7:$AZ$1000,0,IFERROR(MATCH(P$5,'Oxford Economics'!$A$6:$AZ$6,0),MATCH(P$5&amp;"",'Oxford Economics'!$A$6:$AZ$6,0))),'Oxford Economics'!$A$7:$A$1000,$C13,'Oxford Economics'!$B$7:$B$1000,Settings!$B$17)+IF(Settings!$B$19="",0,SUMIFS(INDEX('Oxford Economics'!$A$7:$AZ$1000,0,IFERROR(MATCH(P$5,'Oxford Economics'!$A$6:$AZ$6,0),MATCH(P$5&amp;"",'Oxford Economics'!$A$6:$AZ$6,0))),'Oxford Economics'!$A$7:$A$1000,$C13,'Oxford Economics'!$B$7:$B$1000,Settings!$B$19)))),""))</f>
        <v>1612.86</v>
      </c>
      <c r="Q13" s="38" t="n">
        <f aca="false">IF($A13="","",IFERROR(1/(1/IF($B13="Residential",SUMIFS(INDEX('Oxford Economics'!$A$7:$AZ$1000,0,IFERROR(MATCH(Q$5,'Oxford Economics'!$A$6:$AZ$6,0),MATCH(Q$5&amp;"",'Oxford Economics'!$A$6:$AZ$6,0))),'Oxford Economics'!$A$7:$A$1000,$C13,'Oxford Economics'!$B$7:$B$1000,Settings!$B$13)-SUMIFS(INDEX('Oxford Economics'!$A$7:$AZ$1000,0,IFERROR(MATCH(Q$5,'Oxford Economics'!$A$6:$AZ$6,0),MATCH(Q$5&amp;"",'Oxford Economics'!$A$6:$AZ$6,0))),'Oxford Economics'!$A$7:$A$1000,$C13,'Oxford Economics'!$B$7:$B$1000,Settings!$B$15),SUMIFS(INDEX('Oxford Economics'!$A$7:$AZ$1000,0,IFERROR(MATCH(Q$5,'Oxford Economics'!$A$6:$AZ$6,0),MATCH(Q$5&amp;"",'Oxford Economics'!$A$6:$AZ$6,0))),'Oxford Economics'!$A$7:$A$1000,$C13,'Oxford Economics'!$B$7:$B$1000,Settings!$B$15)+SUMIFS(INDEX('Oxford Economics'!$A$7:$AZ$1000,0,IFERROR(MATCH(Q$5,'Oxford Economics'!$A$6:$AZ$6,0),MATCH(Q$5&amp;"",'Oxford Economics'!$A$6:$AZ$6,0))),'Oxford Economics'!$A$7:$A$1000,$C13,'Oxford Economics'!$B$7:$B$1000,Settings!$B$17)+IF(Settings!$B$19="",0,SUMIFS(INDEX('Oxford Economics'!$A$7:$AZ$1000,0,IFERROR(MATCH(Q$5,'Oxford Economics'!$A$6:$AZ$6,0),MATCH(Q$5&amp;"",'Oxford Economics'!$A$6:$AZ$6,0))),'Oxford Economics'!$A$7:$A$1000,$C13,'Oxford Economics'!$B$7:$B$1000,Settings!$B$19)))),""))</f>
        <v>1643.71</v>
      </c>
      <c r="R13" s="38" t="n">
        <f aca="false">IF($A13="","",IFERROR(1/(1/IF($B13="Residential",SUMIFS(INDEX('Oxford Economics'!$A$7:$AZ$1000,0,IFERROR(MATCH(R$5,'Oxford Economics'!$A$6:$AZ$6,0),MATCH(R$5&amp;"",'Oxford Economics'!$A$6:$AZ$6,0))),'Oxford Economics'!$A$7:$A$1000,$C13,'Oxford Economics'!$B$7:$B$1000,Settings!$B$13)-SUMIFS(INDEX('Oxford Economics'!$A$7:$AZ$1000,0,IFERROR(MATCH(R$5,'Oxford Economics'!$A$6:$AZ$6,0),MATCH(R$5&amp;"",'Oxford Economics'!$A$6:$AZ$6,0))),'Oxford Economics'!$A$7:$A$1000,$C13,'Oxford Economics'!$B$7:$B$1000,Settings!$B$15),SUMIFS(INDEX('Oxford Economics'!$A$7:$AZ$1000,0,IFERROR(MATCH(R$5,'Oxford Economics'!$A$6:$AZ$6,0),MATCH(R$5&amp;"",'Oxford Economics'!$A$6:$AZ$6,0))),'Oxford Economics'!$A$7:$A$1000,$C13,'Oxford Economics'!$B$7:$B$1000,Settings!$B$15)+SUMIFS(INDEX('Oxford Economics'!$A$7:$AZ$1000,0,IFERROR(MATCH(R$5,'Oxford Economics'!$A$6:$AZ$6,0),MATCH(R$5&amp;"",'Oxford Economics'!$A$6:$AZ$6,0))),'Oxford Economics'!$A$7:$A$1000,$C13,'Oxford Economics'!$B$7:$B$1000,Settings!$B$17)+IF(Settings!$B$19="",0,SUMIFS(INDEX('Oxford Economics'!$A$7:$AZ$1000,0,IFERROR(MATCH(R$5,'Oxford Economics'!$A$6:$AZ$6,0),MATCH(R$5&amp;"",'Oxford Economics'!$A$6:$AZ$6,0))),'Oxford Economics'!$A$7:$A$1000,$C13,'Oxford Economics'!$B$7:$B$1000,Settings!$B$19)))),""))</f>
        <v>1568.02</v>
      </c>
      <c r="S13" s="38" t="n">
        <f aca="false">IF($A13="","",IFERROR(1/(1/IF($B13="Residential",SUMIFS(INDEX('Oxford Economics'!$A$7:$AZ$1000,0,IFERROR(MATCH(S$5,'Oxford Economics'!$A$6:$AZ$6,0),MATCH(S$5&amp;"",'Oxford Economics'!$A$6:$AZ$6,0))),'Oxford Economics'!$A$7:$A$1000,$C13,'Oxford Economics'!$B$7:$B$1000,Settings!$B$13)-SUMIFS(INDEX('Oxford Economics'!$A$7:$AZ$1000,0,IFERROR(MATCH(S$5,'Oxford Economics'!$A$6:$AZ$6,0),MATCH(S$5&amp;"",'Oxford Economics'!$A$6:$AZ$6,0))),'Oxford Economics'!$A$7:$A$1000,$C13,'Oxford Economics'!$B$7:$B$1000,Settings!$B$15),SUMIFS(INDEX('Oxford Economics'!$A$7:$AZ$1000,0,IFERROR(MATCH(S$5,'Oxford Economics'!$A$6:$AZ$6,0),MATCH(S$5&amp;"",'Oxford Economics'!$A$6:$AZ$6,0))),'Oxford Economics'!$A$7:$A$1000,$C13,'Oxford Economics'!$B$7:$B$1000,Settings!$B$15)+SUMIFS(INDEX('Oxford Economics'!$A$7:$AZ$1000,0,IFERROR(MATCH(S$5,'Oxford Economics'!$A$6:$AZ$6,0),MATCH(S$5&amp;"",'Oxford Economics'!$A$6:$AZ$6,0))),'Oxford Economics'!$A$7:$A$1000,$C13,'Oxford Economics'!$B$7:$B$1000,Settings!$B$17)+IF(Settings!$B$19="",0,SUMIFS(INDEX('Oxford Economics'!$A$7:$AZ$1000,0,IFERROR(MATCH(S$5,'Oxford Economics'!$A$6:$AZ$6,0),MATCH(S$5&amp;"",'Oxford Economics'!$A$6:$AZ$6,0))),'Oxford Economics'!$A$7:$A$1000,$C13,'Oxford Economics'!$B$7:$B$1000,Settings!$B$19)))),""))</f>
        <v>1854.22</v>
      </c>
      <c r="T13" s="38" t="n">
        <f aca="false">IF($A13="","",IFERROR(1/(1/IF($B13="Residential",SUMIFS(INDEX('Oxford Economics'!$A$7:$AZ$1000,0,IFERROR(MATCH(T$5,'Oxford Economics'!$A$6:$AZ$6,0),MATCH(T$5&amp;"",'Oxford Economics'!$A$6:$AZ$6,0))),'Oxford Economics'!$A$7:$A$1000,$C13,'Oxford Economics'!$B$7:$B$1000,Settings!$B$13)-SUMIFS(INDEX('Oxford Economics'!$A$7:$AZ$1000,0,IFERROR(MATCH(T$5,'Oxford Economics'!$A$6:$AZ$6,0),MATCH(T$5&amp;"",'Oxford Economics'!$A$6:$AZ$6,0))),'Oxford Economics'!$A$7:$A$1000,$C13,'Oxford Economics'!$B$7:$B$1000,Settings!$B$15),SUMIFS(INDEX('Oxford Economics'!$A$7:$AZ$1000,0,IFERROR(MATCH(T$5,'Oxford Economics'!$A$6:$AZ$6,0),MATCH(T$5&amp;"",'Oxford Economics'!$A$6:$AZ$6,0))),'Oxford Economics'!$A$7:$A$1000,$C13,'Oxford Economics'!$B$7:$B$1000,Settings!$B$15)+SUMIFS(INDEX('Oxford Economics'!$A$7:$AZ$1000,0,IFERROR(MATCH(T$5,'Oxford Economics'!$A$6:$AZ$6,0),MATCH(T$5&amp;"",'Oxford Economics'!$A$6:$AZ$6,0))),'Oxford Economics'!$A$7:$A$1000,$C13,'Oxford Economics'!$B$7:$B$1000,Settings!$B$17)+IF(Settings!$B$19="",0,SUMIFS(INDEX('Oxford Economics'!$A$7:$AZ$1000,0,IFERROR(MATCH(T$5,'Oxford Economics'!$A$6:$AZ$6,0),MATCH(T$5&amp;"",'Oxford Economics'!$A$6:$AZ$6,0))),'Oxford Economics'!$A$7:$A$1000,$C13,'Oxford Economics'!$B$7:$B$1000,Settings!$B$19)))),""))</f>
        <v>2004.93</v>
      </c>
      <c r="U13" s="38" t="n">
        <f aca="false">IF($A13="","",IFERROR(1/(1/IF($B13="Residential",SUMIFS(INDEX('Oxford Economics'!$A$7:$AZ$1000,0,IFERROR(MATCH(U$5,'Oxford Economics'!$A$6:$AZ$6,0),MATCH(U$5&amp;"",'Oxford Economics'!$A$6:$AZ$6,0))),'Oxford Economics'!$A$7:$A$1000,$C13,'Oxford Economics'!$B$7:$B$1000,Settings!$B$13)-SUMIFS(INDEX('Oxford Economics'!$A$7:$AZ$1000,0,IFERROR(MATCH(U$5,'Oxford Economics'!$A$6:$AZ$6,0),MATCH(U$5&amp;"",'Oxford Economics'!$A$6:$AZ$6,0))),'Oxford Economics'!$A$7:$A$1000,$C13,'Oxford Economics'!$B$7:$B$1000,Settings!$B$15),SUMIFS(INDEX('Oxford Economics'!$A$7:$AZ$1000,0,IFERROR(MATCH(U$5,'Oxford Economics'!$A$6:$AZ$6,0),MATCH(U$5&amp;"",'Oxford Economics'!$A$6:$AZ$6,0))),'Oxford Economics'!$A$7:$A$1000,$C13,'Oxford Economics'!$B$7:$B$1000,Settings!$B$15)+SUMIFS(INDEX('Oxford Economics'!$A$7:$AZ$1000,0,IFERROR(MATCH(U$5,'Oxford Economics'!$A$6:$AZ$6,0),MATCH(U$5&amp;"",'Oxford Economics'!$A$6:$AZ$6,0))),'Oxford Economics'!$A$7:$A$1000,$C13,'Oxford Economics'!$B$7:$B$1000,Settings!$B$17)+IF(Settings!$B$19="",0,SUMIFS(INDEX('Oxford Economics'!$A$7:$AZ$1000,0,IFERROR(MATCH(U$5,'Oxford Economics'!$A$6:$AZ$6,0),MATCH(U$5&amp;"",'Oxford Economics'!$A$6:$AZ$6,0))),'Oxford Economics'!$A$7:$A$1000,$C13,'Oxford Economics'!$B$7:$B$1000,Settings!$B$19)))),""))</f>
        <v>1887.32</v>
      </c>
      <c r="V13" s="38" t="n">
        <f aca="false">IF($A13="","",IFERROR(1/(1/IF($B13="Residential",SUMIFS(INDEX('Oxford Economics'!$A$7:$AZ$1000,0,IFERROR(MATCH(V$5,'Oxford Economics'!$A$6:$AZ$6,0),MATCH(V$5&amp;"",'Oxford Economics'!$A$6:$AZ$6,0))),'Oxford Economics'!$A$7:$A$1000,$C13,'Oxford Economics'!$B$7:$B$1000,Settings!$B$13)-SUMIFS(INDEX('Oxford Economics'!$A$7:$AZ$1000,0,IFERROR(MATCH(V$5,'Oxford Economics'!$A$6:$AZ$6,0),MATCH(V$5&amp;"",'Oxford Economics'!$A$6:$AZ$6,0))),'Oxford Economics'!$A$7:$A$1000,$C13,'Oxford Economics'!$B$7:$B$1000,Settings!$B$15),SUMIFS(INDEX('Oxford Economics'!$A$7:$AZ$1000,0,IFERROR(MATCH(V$5,'Oxford Economics'!$A$6:$AZ$6,0),MATCH(V$5&amp;"",'Oxford Economics'!$A$6:$AZ$6,0))),'Oxford Economics'!$A$7:$A$1000,$C13,'Oxford Economics'!$B$7:$B$1000,Settings!$B$15)+SUMIFS(INDEX('Oxford Economics'!$A$7:$AZ$1000,0,IFERROR(MATCH(V$5,'Oxford Economics'!$A$6:$AZ$6,0),MATCH(V$5&amp;"",'Oxford Economics'!$A$6:$AZ$6,0))),'Oxford Economics'!$A$7:$A$1000,$C13,'Oxford Economics'!$B$7:$B$1000,Settings!$B$17)+IF(Settings!$B$19="",0,SUMIFS(INDEX('Oxford Economics'!$A$7:$AZ$1000,0,IFERROR(MATCH(V$5,'Oxford Economics'!$A$6:$AZ$6,0),MATCH(V$5&amp;"",'Oxford Economics'!$A$6:$AZ$6,0))),'Oxford Economics'!$A$7:$A$1000,$C13,'Oxford Economics'!$B$7:$B$1000,Settings!$B$19)))),""))</f>
        <v>1709.38</v>
      </c>
      <c r="W13" s="38" t="n">
        <f aca="false">IF($A13="","",IFERROR(1/(1/IF($B13="Residential",SUMIFS(INDEX('Oxford Economics'!$A$7:$AZ$1000,0,IFERROR(MATCH(W$5,'Oxford Economics'!$A$6:$AZ$6,0),MATCH(W$5&amp;"",'Oxford Economics'!$A$6:$AZ$6,0))),'Oxford Economics'!$A$7:$A$1000,$C13,'Oxford Economics'!$B$7:$B$1000,Settings!$B$13)-SUMIFS(INDEX('Oxford Economics'!$A$7:$AZ$1000,0,IFERROR(MATCH(W$5,'Oxford Economics'!$A$6:$AZ$6,0),MATCH(W$5&amp;"",'Oxford Economics'!$A$6:$AZ$6,0))),'Oxford Economics'!$A$7:$A$1000,$C13,'Oxford Economics'!$B$7:$B$1000,Settings!$B$15),SUMIFS(INDEX('Oxford Economics'!$A$7:$AZ$1000,0,IFERROR(MATCH(W$5,'Oxford Economics'!$A$6:$AZ$6,0),MATCH(W$5&amp;"",'Oxford Economics'!$A$6:$AZ$6,0))),'Oxford Economics'!$A$7:$A$1000,$C13,'Oxford Economics'!$B$7:$B$1000,Settings!$B$15)+SUMIFS(INDEX('Oxford Economics'!$A$7:$AZ$1000,0,IFERROR(MATCH(W$5,'Oxford Economics'!$A$6:$AZ$6,0),MATCH(W$5&amp;"",'Oxford Economics'!$A$6:$AZ$6,0))),'Oxford Economics'!$A$7:$A$1000,$C13,'Oxford Economics'!$B$7:$B$1000,Settings!$B$17)+IF(Settings!$B$19="",0,SUMIFS(INDEX('Oxford Economics'!$A$7:$AZ$1000,0,IFERROR(MATCH(W$5,'Oxford Economics'!$A$6:$AZ$6,0),MATCH(W$5&amp;"",'Oxford Economics'!$A$6:$AZ$6,0))),'Oxford Economics'!$A$7:$A$1000,$C13,'Oxford Economics'!$B$7:$B$1000,Settings!$B$19)))),""))</f>
        <v>1735.95</v>
      </c>
      <c r="X13" s="38" t="n">
        <f aca="false">IF($A13="","",IFERROR(1/(1/IF($B13="Residential",SUMIFS(INDEX('Oxford Economics'!$A$7:$AZ$1000,0,IFERROR(MATCH(X$5,'Oxford Economics'!$A$6:$AZ$6,0),MATCH(X$5&amp;"",'Oxford Economics'!$A$6:$AZ$6,0))),'Oxford Economics'!$A$7:$A$1000,$C13,'Oxford Economics'!$B$7:$B$1000,Settings!$B$13)-SUMIFS(INDEX('Oxford Economics'!$A$7:$AZ$1000,0,IFERROR(MATCH(X$5,'Oxford Economics'!$A$6:$AZ$6,0),MATCH(X$5&amp;"",'Oxford Economics'!$A$6:$AZ$6,0))),'Oxford Economics'!$A$7:$A$1000,$C13,'Oxford Economics'!$B$7:$B$1000,Settings!$B$15),SUMIFS(INDEX('Oxford Economics'!$A$7:$AZ$1000,0,IFERROR(MATCH(X$5,'Oxford Economics'!$A$6:$AZ$6,0),MATCH(X$5&amp;"",'Oxford Economics'!$A$6:$AZ$6,0))),'Oxford Economics'!$A$7:$A$1000,$C13,'Oxford Economics'!$B$7:$B$1000,Settings!$B$15)+SUMIFS(INDEX('Oxford Economics'!$A$7:$AZ$1000,0,IFERROR(MATCH(X$5,'Oxford Economics'!$A$6:$AZ$6,0),MATCH(X$5&amp;"",'Oxford Economics'!$A$6:$AZ$6,0))),'Oxford Economics'!$A$7:$A$1000,$C13,'Oxford Economics'!$B$7:$B$1000,Settings!$B$17)+IF(Settings!$B$19="",0,SUMIFS(INDEX('Oxford Economics'!$A$7:$AZ$1000,0,IFERROR(MATCH(X$5,'Oxford Economics'!$A$6:$AZ$6,0),MATCH(X$5&amp;"",'Oxford Economics'!$A$6:$AZ$6,0))),'Oxford Economics'!$A$7:$A$1000,$C13,'Oxford Economics'!$B$7:$B$1000,Settings!$B$19)))),""))</f>
        <v>1808.74</v>
      </c>
      <c r="Y13" s="38" t="n">
        <f aca="false">IF($A13="","",IFERROR(1/(1/IF($B13="Residential",SUMIFS(INDEX('Oxford Economics'!$A$7:$AZ$1000,0,IFERROR(MATCH(Y$5,'Oxford Economics'!$A$6:$AZ$6,0),MATCH(Y$5&amp;"",'Oxford Economics'!$A$6:$AZ$6,0))),'Oxford Economics'!$A$7:$A$1000,$C13,'Oxford Economics'!$B$7:$B$1000,Settings!$B$13)-SUMIFS(INDEX('Oxford Economics'!$A$7:$AZ$1000,0,IFERROR(MATCH(Y$5,'Oxford Economics'!$A$6:$AZ$6,0),MATCH(Y$5&amp;"",'Oxford Economics'!$A$6:$AZ$6,0))),'Oxford Economics'!$A$7:$A$1000,$C13,'Oxford Economics'!$B$7:$B$1000,Settings!$B$15),SUMIFS(INDEX('Oxford Economics'!$A$7:$AZ$1000,0,IFERROR(MATCH(Y$5,'Oxford Economics'!$A$6:$AZ$6,0),MATCH(Y$5&amp;"",'Oxford Economics'!$A$6:$AZ$6,0))),'Oxford Economics'!$A$7:$A$1000,$C13,'Oxford Economics'!$B$7:$B$1000,Settings!$B$15)+SUMIFS(INDEX('Oxford Economics'!$A$7:$AZ$1000,0,IFERROR(MATCH(Y$5,'Oxford Economics'!$A$6:$AZ$6,0),MATCH(Y$5&amp;"",'Oxford Economics'!$A$6:$AZ$6,0))),'Oxford Economics'!$A$7:$A$1000,$C13,'Oxford Economics'!$B$7:$B$1000,Settings!$B$17)+IF(Settings!$B$19="",0,SUMIFS(INDEX('Oxford Economics'!$A$7:$AZ$1000,0,IFERROR(MATCH(Y$5,'Oxford Economics'!$A$6:$AZ$6,0),MATCH(Y$5&amp;"",'Oxford Economics'!$A$6:$AZ$6,0))),'Oxford Economics'!$A$7:$A$1000,$C13,'Oxford Economics'!$B$7:$B$1000,Settings!$B$19)))),""))</f>
        <v>1868.93</v>
      </c>
      <c r="Z13" s="38" t="n">
        <f aca="false">IF($A13="","",IFERROR(1/(1/IF($B13="Residential",SUMIFS(INDEX('Oxford Economics'!$A$7:$AZ$1000,0,IFERROR(MATCH(Z$5,'Oxford Economics'!$A$6:$AZ$6,0),MATCH(Z$5&amp;"",'Oxford Economics'!$A$6:$AZ$6,0))),'Oxford Economics'!$A$7:$A$1000,$C13,'Oxford Economics'!$B$7:$B$1000,Settings!$B$13)-SUMIFS(INDEX('Oxford Economics'!$A$7:$AZ$1000,0,IFERROR(MATCH(Z$5,'Oxford Economics'!$A$6:$AZ$6,0),MATCH(Z$5&amp;"",'Oxford Economics'!$A$6:$AZ$6,0))),'Oxford Economics'!$A$7:$A$1000,$C13,'Oxford Economics'!$B$7:$B$1000,Settings!$B$15),SUMIFS(INDEX('Oxford Economics'!$A$7:$AZ$1000,0,IFERROR(MATCH(Z$5,'Oxford Economics'!$A$6:$AZ$6,0),MATCH(Z$5&amp;"",'Oxford Economics'!$A$6:$AZ$6,0))),'Oxford Economics'!$A$7:$A$1000,$C13,'Oxford Economics'!$B$7:$B$1000,Settings!$B$15)+SUMIFS(INDEX('Oxford Economics'!$A$7:$AZ$1000,0,IFERROR(MATCH(Z$5,'Oxford Economics'!$A$6:$AZ$6,0),MATCH(Z$5&amp;"",'Oxford Economics'!$A$6:$AZ$6,0))),'Oxford Economics'!$A$7:$A$1000,$C13,'Oxford Economics'!$B$7:$B$1000,Settings!$B$17)+IF(Settings!$B$19="",0,SUMIFS(INDEX('Oxford Economics'!$A$7:$AZ$1000,0,IFERROR(MATCH(Z$5,'Oxford Economics'!$A$6:$AZ$6,0),MATCH(Z$5&amp;"",'Oxford Economics'!$A$6:$AZ$6,0))),'Oxford Economics'!$A$7:$A$1000,$C13,'Oxford Economics'!$B$7:$B$1000,Settings!$B$19)))),""))</f>
        <v>1930.29</v>
      </c>
      <c r="AA13" s="38" t="n">
        <f aca="false">IF($A13="","",IFERROR(1/(1/IF($B13="Residential",SUMIFS(INDEX('Oxford Economics'!$A$7:$AZ$1000,0,IFERROR(MATCH(AA$5,'Oxford Economics'!$A$6:$AZ$6,0),MATCH(AA$5&amp;"",'Oxford Economics'!$A$6:$AZ$6,0))),'Oxford Economics'!$A$7:$A$1000,$C13,'Oxford Economics'!$B$7:$B$1000,Settings!$B$13)-SUMIFS(INDEX('Oxford Economics'!$A$7:$AZ$1000,0,IFERROR(MATCH(AA$5,'Oxford Economics'!$A$6:$AZ$6,0),MATCH(AA$5&amp;"",'Oxford Economics'!$A$6:$AZ$6,0))),'Oxford Economics'!$A$7:$A$1000,$C13,'Oxford Economics'!$B$7:$B$1000,Settings!$B$15),SUMIFS(INDEX('Oxford Economics'!$A$7:$AZ$1000,0,IFERROR(MATCH(AA$5,'Oxford Economics'!$A$6:$AZ$6,0),MATCH(AA$5&amp;"",'Oxford Economics'!$A$6:$AZ$6,0))),'Oxford Economics'!$A$7:$A$1000,$C13,'Oxford Economics'!$B$7:$B$1000,Settings!$B$15)+SUMIFS(INDEX('Oxford Economics'!$A$7:$AZ$1000,0,IFERROR(MATCH(AA$5,'Oxford Economics'!$A$6:$AZ$6,0),MATCH(AA$5&amp;"",'Oxford Economics'!$A$6:$AZ$6,0))),'Oxford Economics'!$A$7:$A$1000,$C13,'Oxford Economics'!$B$7:$B$1000,Settings!$B$17)+IF(Settings!$B$19="",0,SUMIFS(INDEX('Oxford Economics'!$A$7:$AZ$1000,0,IFERROR(MATCH(AA$5,'Oxford Economics'!$A$6:$AZ$6,0),MATCH(AA$5&amp;"",'Oxford Economics'!$A$6:$AZ$6,0))),'Oxford Economics'!$A$7:$A$1000,$C13,'Oxford Economics'!$B$7:$B$1000,Settings!$B$19)))),""))</f>
        <v>1991.94</v>
      </c>
      <c r="AB13" s="38" t="n">
        <f aca="false">IF($A13="","",IFERROR(1/(1/IF($B13="Residential",SUMIFS(INDEX('Oxford Economics'!$A$7:$AZ$1000,0,IFERROR(MATCH(AB$5,'Oxford Economics'!$A$6:$AZ$6,0),MATCH(AB$5&amp;"",'Oxford Economics'!$A$6:$AZ$6,0))),'Oxford Economics'!$A$7:$A$1000,$C13,'Oxford Economics'!$B$7:$B$1000,Settings!$B$12)-SUMIFS(INDEX('Oxford Economics'!$A$7:$AZ$1000,0,IFERROR(MATCH(AB$5,'Oxford Economics'!$A$6:$AZ$6,0),MATCH(AB$5&amp;"",'Oxford Economics'!$A$6:$AZ$6,0))),'Oxford Economics'!$A$7:$A$1000,$C13,'Oxford Economics'!$B$7:$B$1000,Settings!$B$14),SUMIFS(INDEX('Oxford Economics'!$A$7:$AZ$1000,0,IFERROR(MATCH(AB$5,'Oxford Economics'!$A$6:$AZ$6,0),MATCH(AB$5&amp;"",'Oxford Economics'!$A$6:$AZ$6,0))),'Oxford Economics'!$A$7:$A$1000,$C13,'Oxford Economics'!$B$7:$B$1000,Settings!$B$14)+SUMIFS(INDEX('Oxford Economics'!$A$7:$AZ$1000,0,IFERROR(MATCH(AB$5,'Oxford Economics'!$A$6:$AZ$6,0),MATCH(AB$5&amp;"",'Oxford Economics'!$A$6:$AZ$6,0))),'Oxford Economics'!$A$7:$A$1000,$C13,'Oxford Economics'!$B$7:$B$1000,Settings!$B$16)+IF(Settings!$B$18="",0,SUMIFS(INDEX('Oxford Economics'!$A$7:$AZ$1000,0,IFERROR(MATCH(AB$5,'Oxford Economics'!$A$6:$AZ$6,0),MATCH(AB$5&amp;"",'Oxford Economics'!$A$6:$AZ$6,0))),'Oxford Economics'!$A$7:$A$1000,$C13,'Oxford Economics'!$B$7:$B$1000,Settings!$B$18)))),""))</f>
        <v>4980.31</v>
      </c>
      <c r="AC13" s="38" t="n">
        <f aca="false">IF($A13="","",IFERROR(1/(1/IF($B13="Residential",SUMIFS(INDEX('Oxford Economics'!$A$7:$AZ$1000,0,IFERROR(MATCH(AC$5,'Oxford Economics'!$A$6:$AZ$6,0),MATCH(AC$5&amp;"",'Oxford Economics'!$A$6:$AZ$6,0))),'Oxford Economics'!$A$7:$A$1000,$C13,'Oxford Economics'!$B$7:$B$1000,Settings!$B$12)-SUMIFS(INDEX('Oxford Economics'!$A$7:$AZ$1000,0,IFERROR(MATCH(AC$5,'Oxford Economics'!$A$6:$AZ$6,0),MATCH(AC$5&amp;"",'Oxford Economics'!$A$6:$AZ$6,0))),'Oxford Economics'!$A$7:$A$1000,$C13,'Oxford Economics'!$B$7:$B$1000,Settings!$B$14),SUMIFS(INDEX('Oxford Economics'!$A$7:$AZ$1000,0,IFERROR(MATCH(AC$5,'Oxford Economics'!$A$6:$AZ$6,0),MATCH(AC$5&amp;"",'Oxford Economics'!$A$6:$AZ$6,0))),'Oxford Economics'!$A$7:$A$1000,$C13,'Oxford Economics'!$B$7:$B$1000,Settings!$B$14)+SUMIFS(INDEX('Oxford Economics'!$A$7:$AZ$1000,0,IFERROR(MATCH(AC$5,'Oxford Economics'!$A$6:$AZ$6,0),MATCH(AC$5&amp;"",'Oxford Economics'!$A$6:$AZ$6,0))),'Oxford Economics'!$A$7:$A$1000,$C13,'Oxford Economics'!$B$7:$B$1000,Settings!$B$16)+IF(Settings!$B$18="",0,SUMIFS(INDEX('Oxford Economics'!$A$7:$AZ$1000,0,IFERROR(MATCH(AC$5,'Oxford Economics'!$A$6:$AZ$6,0),MATCH(AC$5&amp;"",'Oxford Economics'!$A$6:$AZ$6,0))),'Oxford Economics'!$A$7:$A$1000,$C13,'Oxford Economics'!$B$7:$B$1000,Settings!$B$18)))),""))</f>
        <v>4995.73</v>
      </c>
      <c r="AD13" s="38" t="n">
        <f aca="false">IF($A13="","",IFERROR(1/(1/IF($B13="Residential",SUMIFS(INDEX('Oxford Economics'!$A$7:$AZ$1000,0,IFERROR(MATCH(AD$5,'Oxford Economics'!$A$6:$AZ$6,0),MATCH(AD$5&amp;"",'Oxford Economics'!$A$6:$AZ$6,0))),'Oxford Economics'!$A$7:$A$1000,$C13,'Oxford Economics'!$B$7:$B$1000,Settings!$B$12)-SUMIFS(INDEX('Oxford Economics'!$A$7:$AZ$1000,0,IFERROR(MATCH(AD$5,'Oxford Economics'!$A$6:$AZ$6,0),MATCH(AD$5&amp;"",'Oxford Economics'!$A$6:$AZ$6,0))),'Oxford Economics'!$A$7:$A$1000,$C13,'Oxford Economics'!$B$7:$B$1000,Settings!$B$14),SUMIFS(INDEX('Oxford Economics'!$A$7:$AZ$1000,0,IFERROR(MATCH(AD$5,'Oxford Economics'!$A$6:$AZ$6,0),MATCH(AD$5&amp;"",'Oxford Economics'!$A$6:$AZ$6,0))),'Oxford Economics'!$A$7:$A$1000,$C13,'Oxford Economics'!$B$7:$B$1000,Settings!$B$14)+SUMIFS(INDEX('Oxford Economics'!$A$7:$AZ$1000,0,IFERROR(MATCH(AD$5,'Oxford Economics'!$A$6:$AZ$6,0),MATCH(AD$5&amp;"",'Oxford Economics'!$A$6:$AZ$6,0))),'Oxford Economics'!$A$7:$A$1000,$C13,'Oxford Economics'!$B$7:$B$1000,Settings!$B$16)+IF(Settings!$B$18="",0,SUMIFS(INDEX('Oxford Economics'!$A$7:$AZ$1000,0,IFERROR(MATCH(AD$5,'Oxford Economics'!$A$6:$AZ$6,0),MATCH(AD$5&amp;"",'Oxford Economics'!$A$6:$AZ$6,0))),'Oxford Economics'!$A$7:$A$1000,$C13,'Oxford Economics'!$B$7:$B$1000,Settings!$B$18)))),""))</f>
        <v>4946.48</v>
      </c>
      <c r="AE13" s="38" t="n">
        <f aca="false">IF($A13="","",IFERROR(1/(1/IF($B13="Residential",SUMIFS(INDEX('Oxford Economics'!$A$7:$AZ$1000,0,IFERROR(MATCH(AE$5,'Oxford Economics'!$A$6:$AZ$6,0),MATCH(AE$5&amp;"",'Oxford Economics'!$A$6:$AZ$6,0))),'Oxford Economics'!$A$7:$A$1000,$C13,'Oxford Economics'!$B$7:$B$1000,Settings!$B$12)-SUMIFS(INDEX('Oxford Economics'!$A$7:$AZ$1000,0,IFERROR(MATCH(AE$5,'Oxford Economics'!$A$6:$AZ$6,0),MATCH(AE$5&amp;"",'Oxford Economics'!$A$6:$AZ$6,0))),'Oxford Economics'!$A$7:$A$1000,$C13,'Oxford Economics'!$B$7:$B$1000,Settings!$B$14),SUMIFS(INDEX('Oxford Economics'!$A$7:$AZ$1000,0,IFERROR(MATCH(AE$5,'Oxford Economics'!$A$6:$AZ$6,0),MATCH(AE$5&amp;"",'Oxford Economics'!$A$6:$AZ$6,0))),'Oxford Economics'!$A$7:$A$1000,$C13,'Oxford Economics'!$B$7:$B$1000,Settings!$B$14)+SUMIFS(INDEX('Oxford Economics'!$A$7:$AZ$1000,0,IFERROR(MATCH(AE$5,'Oxford Economics'!$A$6:$AZ$6,0),MATCH(AE$5&amp;"",'Oxford Economics'!$A$6:$AZ$6,0))),'Oxford Economics'!$A$7:$A$1000,$C13,'Oxford Economics'!$B$7:$B$1000,Settings!$B$16)+IF(Settings!$B$18="",0,SUMIFS(INDEX('Oxford Economics'!$A$7:$AZ$1000,0,IFERROR(MATCH(AE$5,'Oxford Economics'!$A$6:$AZ$6,0),MATCH(AE$5&amp;"",'Oxford Economics'!$A$6:$AZ$6,0))),'Oxford Economics'!$A$7:$A$1000,$C13,'Oxford Economics'!$B$7:$B$1000,Settings!$B$18)))),""))</f>
        <v>4406.27</v>
      </c>
      <c r="AF13" s="38" t="n">
        <f aca="false">IF($A13="","",IFERROR(1/(1/IF($B13="Residential",SUMIFS(INDEX('Oxford Economics'!$A$7:$AZ$1000,0,IFERROR(MATCH(AF$5,'Oxford Economics'!$A$6:$AZ$6,0),MATCH(AF$5&amp;"",'Oxford Economics'!$A$6:$AZ$6,0))),'Oxford Economics'!$A$7:$A$1000,$C13,'Oxford Economics'!$B$7:$B$1000,Settings!$B$12)-SUMIFS(INDEX('Oxford Economics'!$A$7:$AZ$1000,0,IFERROR(MATCH(AF$5,'Oxford Economics'!$A$6:$AZ$6,0),MATCH(AF$5&amp;"",'Oxford Economics'!$A$6:$AZ$6,0))),'Oxford Economics'!$A$7:$A$1000,$C13,'Oxford Economics'!$B$7:$B$1000,Settings!$B$14),SUMIFS(INDEX('Oxford Economics'!$A$7:$AZ$1000,0,IFERROR(MATCH(AF$5,'Oxford Economics'!$A$6:$AZ$6,0),MATCH(AF$5&amp;"",'Oxford Economics'!$A$6:$AZ$6,0))),'Oxford Economics'!$A$7:$A$1000,$C13,'Oxford Economics'!$B$7:$B$1000,Settings!$B$14)+SUMIFS(INDEX('Oxford Economics'!$A$7:$AZ$1000,0,IFERROR(MATCH(AF$5,'Oxford Economics'!$A$6:$AZ$6,0),MATCH(AF$5&amp;"",'Oxford Economics'!$A$6:$AZ$6,0))),'Oxford Economics'!$A$7:$A$1000,$C13,'Oxford Economics'!$B$7:$B$1000,Settings!$B$16)+IF(Settings!$B$18="",0,SUMIFS(INDEX('Oxford Economics'!$A$7:$AZ$1000,0,IFERROR(MATCH(AF$5,'Oxford Economics'!$A$6:$AZ$6,0),MATCH(AF$5&amp;"",'Oxford Economics'!$A$6:$AZ$6,0))),'Oxford Economics'!$A$7:$A$1000,$C13,'Oxford Economics'!$B$7:$B$1000,Settings!$B$18)))),""))</f>
        <v>4037.38</v>
      </c>
      <c r="AG13" s="38" t="n">
        <f aca="false">IF($A13="","",IFERROR(1/(1/IF($B13="Residential",SUMIFS(INDEX('Oxford Economics'!$A$7:$AZ$1000,0,IFERROR(MATCH(AG$5,'Oxford Economics'!$A$6:$AZ$6,0),MATCH(AG$5&amp;"",'Oxford Economics'!$A$6:$AZ$6,0))),'Oxford Economics'!$A$7:$A$1000,$C13,'Oxford Economics'!$B$7:$B$1000,Settings!$B$12)-SUMIFS(INDEX('Oxford Economics'!$A$7:$AZ$1000,0,IFERROR(MATCH(AG$5,'Oxford Economics'!$A$6:$AZ$6,0),MATCH(AG$5&amp;"",'Oxford Economics'!$A$6:$AZ$6,0))),'Oxford Economics'!$A$7:$A$1000,$C13,'Oxford Economics'!$B$7:$B$1000,Settings!$B$14),SUMIFS(INDEX('Oxford Economics'!$A$7:$AZ$1000,0,IFERROR(MATCH(AG$5,'Oxford Economics'!$A$6:$AZ$6,0),MATCH(AG$5&amp;"",'Oxford Economics'!$A$6:$AZ$6,0))),'Oxford Economics'!$A$7:$A$1000,$C13,'Oxford Economics'!$B$7:$B$1000,Settings!$B$14)+SUMIFS(INDEX('Oxford Economics'!$A$7:$AZ$1000,0,IFERROR(MATCH(AG$5,'Oxford Economics'!$A$6:$AZ$6,0),MATCH(AG$5&amp;"",'Oxford Economics'!$A$6:$AZ$6,0))),'Oxford Economics'!$A$7:$A$1000,$C13,'Oxford Economics'!$B$7:$B$1000,Settings!$B$16)+IF(Settings!$B$18="",0,SUMIFS(INDEX('Oxford Economics'!$A$7:$AZ$1000,0,IFERROR(MATCH(AG$5,'Oxford Economics'!$A$6:$AZ$6,0),MATCH(AG$5&amp;"",'Oxford Economics'!$A$6:$AZ$6,0))),'Oxford Economics'!$A$7:$A$1000,$C13,'Oxford Economics'!$B$7:$B$1000,Settings!$B$18)))),""))</f>
        <v>3949.2</v>
      </c>
      <c r="AH13" s="38" t="n">
        <f aca="false">IF($A13="","",IFERROR(1/(1/IF($B13="Residential",SUMIFS(INDEX('Oxford Economics'!$A$7:$AZ$1000,0,IFERROR(MATCH(AH$5,'Oxford Economics'!$A$6:$AZ$6,0),MATCH(AH$5&amp;"",'Oxford Economics'!$A$6:$AZ$6,0))),'Oxford Economics'!$A$7:$A$1000,$C13,'Oxford Economics'!$B$7:$B$1000,Settings!$B$12)-SUMIFS(INDEX('Oxford Economics'!$A$7:$AZ$1000,0,IFERROR(MATCH(AH$5,'Oxford Economics'!$A$6:$AZ$6,0),MATCH(AH$5&amp;"",'Oxford Economics'!$A$6:$AZ$6,0))),'Oxford Economics'!$A$7:$A$1000,$C13,'Oxford Economics'!$B$7:$B$1000,Settings!$B$14),SUMIFS(INDEX('Oxford Economics'!$A$7:$AZ$1000,0,IFERROR(MATCH(AH$5,'Oxford Economics'!$A$6:$AZ$6,0),MATCH(AH$5&amp;"",'Oxford Economics'!$A$6:$AZ$6,0))),'Oxford Economics'!$A$7:$A$1000,$C13,'Oxford Economics'!$B$7:$B$1000,Settings!$B$14)+SUMIFS(INDEX('Oxford Economics'!$A$7:$AZ$1000,0,IFERROR(MATCH(AH$5,'Oxford Economics'!$A$6:$AZ$6,0),MATCH(AH$5&amp;"",'Oxford Economics'!$A$6:$AZ$6,0))),'Oxford Economics'!$A$7:$A$1000,$C13,'Oxford Economics'!$B$7:$B$1000,Settings!$B$16)+IF(Settings!$B$18="",0,SUMIFS(INDEX('Oxford Economics'!$A$7:$AZ$1000,0,IFERROR(MATCH(AH$5,'Oxford Economics'!$A$6:$AZ$6,0),MATCH(AH$5&amp;"",'Oxford Economics'!$A$6:$AZ$6,0))),'Oxford Economics'!$A$7:$A$1000,$C13,'Oxford Economics'!$B$7:$B$1000,Settings!$B$18)))),""))</f>
        <v>4029</v>
      </c>
      <c r="AI13" s="38" t="n">
        <f aca="false">IF($A13="","",IFERROR(1/(1/IF($B13="Residential",SUMIFS(INDEX('Oxford Economics'!$A$7:$AZ$1000,0,IFERROR(MATCH(AI$5,'Oxford Economics'!$A$6:$AZ$6,0),MATCH(AI$5&amp;"",'Oxford Economics'!$A$6:$AZ$6,0))),'Oxford Economics'!$A$7:$A$1000,$C13,'Oxford Economics'!$B$7:$B$1000,Settings!$B$12)-SUMIFS(INDEX('Oxford Economics'!$A$7:$AZ$1000,0,IFERROR(MATCH(AI$5,'Oxford Economics'!$A$6:$AZ$6,0),MATCH(AI$5&amp;"",'Oxford Economics'!$A$6:$AZ$6,0))),'Oxford Economics'!$A$7:$A$1000,$C13,'Oxford Economics'!$B$7:$B$1000,Settings!$B$14),SUMIFS(INDEX('Oxford Economics'!$A$7:$AZ$1000,0,IFERROR(MATCH(AI$5,'Oxford Economics'!$A$6:$AZ$6,0),MATCH(AI$5&amp;"",'Oxford Economics'!$A$6:$AZ$6,0))),'Oxford Economics'!$A$7:$A$1000,$C13,'Oxford Economics'!$B$7:$B$1000,Settings!$B$14)+SUMIFS(INDEX('Oxford Economics'!$A$7:$AZ$1000,0,IFERROR(MATCH(AI$5,'Oxford Economics'!$A$6:$AZ$6,0),MATCH(AI$5&amp;"",'Oxford Economics'!$A$6:$AZ$6,0))),'Oxford Economics'!$A$7:$A$1000,$C13,'Oxford Economics'!$B$7:$B$1000,Settings!$B$16)+IF(Settings!$B$18="",0,SUMIFS(INDEX('Oxford Economics'!$A$7:$AZ$1000,0,IFERROR(MATCH(AI$5,'Oxford Economics'!$A$6:$AZ$6,0),MATCH(AI$5&amp;"",'Oxford Economics'!$A$6:$AZ$6,0))),'Oxford Economics'!$A$7:$A$1000,$C13,'Oxford Economics'!$B$7:$B$1000,Settings!$B$18)))),""))</f>
        <v>4108</v>
      </c>
      <c r="AJ13" s="38" t="n">
        <f aca="false">IF($A13="","",IFERROR(1/(1/IF($B13="Residential",SUMIFS(INDEX('Oxford Economics'!$A$7:$AZ$1000,0,IFERROR(MATCH(AJ$5,'Oxford Economics'!$A$6:$AZ$6,0),MATCH(AJ$5&amp;"",'Oxford Economics'!$A$6:$AZ$6,0))),'Oxford Economics'!$A$7:$A$1000,$C13,'Oxford Economics'!$B$7:$B$1000,Settings!$B$12)-SUMIFS(INDEX('Oxford Economics'!$A$7:$AZ$1000,0,IFERROR(MATCH(AJ$5,'Oxford Economics'!$A$6:$AZ$6,0),MATCH(AJ$5&amp;"",'Oxford Economics'!$A$6:$AZ$6,0))),'Oxford Economics'!$A$7:$A$1000,$C13,'Oxford Economics'!$B$7:$B$1000,Settings!$B$14),SUMIFS(INDEX('Oxford Economics'!$A$7:$AZ$1000,0,IFERROR(MATCH(AJ$5,'Oxford Economics'!$A$6:$AZ$6,0),MATCH(AJ$5&amp;"",'Oxford Economics'!$A$6:$AZ$6,0))),'Oxford Economics'!$A$7:$A$1000,$C13,'Oxford Economics'!$B$7:$B$1000,Settings!$B$14)+SUMIFS(INDEX('Oxford Economics'!$A$7:$AZ$1000,0,IFERROR(MATCH(AJ$5,'Oxford Economics'!$A$6:$AZ$6,0),MATCH(AJ$5&amp;"",'Oxford Economics'!$A$6:$AZ$6,0))),'Oxford Economics'!$A$7:$A$1000,$C13,'Oxford Economics'!$B$7:$B$1000,Settings!$B$16)+IF(Settings!$B$18="",0,SUMIFS(INDEX('Oxford Economics'!$A$7:$AZ$1000,0,IFERROR(MATCH(AJ$5,'Oxford Economics'!$A$6:$AZ$6,0),MATCH(AJ$5&amp;"",'Oxford Economics'!$A$6:$AZ$6,0))),'Oxford Economics'!$A$7:$A$1000,$C13,'Oxford Economics'!$B$7:$B$1000,Settings!$B$18)))),""))</f>
        <v>4153.14</v>
      </c>
      <c r="AK13" s="38" t="n">
        <f aca="false">IF($A13="","",IFERROR(1/(1/IF($B13="Residential",SUMIFS(INDEX('Oxford Economics'!$A$7:$AZ$1000,0,IFERROR(MATCH(AK$5,'Oxford Economics'!$A$6:$AZ$6,0),MATCH(AK$5&amp;"",'Oxford Economics'!$A$6:$AZ$6,0))),'Oxford Economics'!$A$7:$A$1000,$C13,'Oxford Economics'!$B$7:$B$1000,Settings!$B$12)-SUMIFS(INDEX('Oxford Economics'!$A$7:$AZ$1000,0,IFERROR(MATCH(AK$5,'Oxford Economics'!$A$6:$AZ$6,0),MATCH(AK$5&amp;"",'Oxford Economics'!$A$6:$AZ$6,0))),'Oxford Economics'!$A$7:$A$1000,$C13,'Oxford Economics'!$B$7:$B$1000,Settings!$B$14),SUMIFS(INDEX('Oxford Economics'!$A$7:$AZ$1000,0,IFERROR(MATCH(AK$5,'Oxford Economics'!$A$6:$AZ$6,0),MATCH(AK$5&amp;"",'Oxford Economics'!$A$6:$AZ$6,0))),'Oxford Economics'!$A$7:$A$1000,$C13,'Oxford Economics'!$B$7:$B$1000,Settings!$B$14)+SUMIFS(INDEX('Oxford Economics'!$A$7:$AZ$1000,0,IFERROR(MATCH(AK$5,'Oxford Economics'!$A$6:$AZ$6,0),MATCH(AK$5&amp;"",'Oxford Economics'!$A$6:$AZ$6,0))),'Oxford Economics'!$A$7:$A$1000,$C13,'Oxford Economics'!$B$7:$B$1000,Settings!$B$16)+IF(Settings!$B$18="",0,SUMIFS(INDEX('Oxford Economics'!$A$7:$AZ$1000,0,IFERROR(MATCH(AK$5,'Oxford Economics'!$A$6:$AZ$6,0),MATCH(AK$5&amp;"",'Oxford Economics'!$A$6:$AZ$6,0))),'Oxford Economics'!$A$7:$A$1000,$C13,'Oxford Economics'!$B$7:$B$1000,Settings!$B$18)))),""))</f>
        <v>4191.03</v>
      </c>
      <c r="AL13" s="38" t="n">
        <f aca="false">IF($A13="","",IFERROR(1/(1/IF($B13="Residential",SUMIFS(INDEX('Oxford Economics'!$A$7:$AZ$1000,0,IFERROR(MATCH(AL$5,'Oxford Economics'!$A$6:$AZ$6,0),MATCH(AL$5&amp;"",'Oxford Economics'!$A$6:$AZ$6,0))),'Oxford Economics'!$A$7:$A$1000,$C13,'Oxford Economics'!$B$7:$B$1000,Settings!$B$12)-SUMIFS(INDEX('Oxford Economics'!$A$7:$AZ$1000,0,IFERROR(MATCH(AL$5,'Oxford Economics'!$A$6:$AZ$6,0),MATCH(AL$5&amp;"",'Oxford Economics'!$A$6:$AZ$6,0))),'Oxford Economics'!$A$7:$A$1000,$C13,'Oxford Economics'!$B$7:$B$1000,Settings!$B$14),SUMIFS(INDEX('Oxford Economics'!$A$7:$AZ$1000,0,IFERROR(MATCH(AL$5,'Oxford Economics'!$A$6:$AZ$6,0),MATCH(AL$5&amp;"",'Oxford Economics'!$A$6:$AZ$6,0))),'Oxford Economics'!$A$7:$A$1000,$C13,'Oxford Economics'!$B$7:$B$1000,Settings!$B$14)+SUMIFS(INDEX('Oxford Economics'!$A$7:$AZ$1000,0,IFERROR(MATCH(AL$5,'Oxford Economics'!$A$6:$AZ$6,0),MATCH(AL$5&amp;"",'Oxford Economics'!$A$6:$AZ$6,0))),'Oxford Economics'!$A$7:$A$1000,$C13,'Oxford Economics'!$B$7:$B$1000,Settings!$B$16)+IF(Settings!$B$18="",0,SUMIFS(INDEX('Oxford Economics'!$A$7:$AZ$1000,0,IFERROR(MATCH(AL$5,'Oxford Economics'!$A$6:$AZ$6,0),MATCH(AL$5&amp;"",'Oxford Economics'!$A$6:$AZ$6,0))),'Oxford Economics'!$A$7:$A$1000,$C13,'Oxford Economics'!$B$7:$B$1000,Settings!$B$18)))),""))</f>
        <v>4287.23</v>
      </c>
      <c r="AM13" s="38" t="n">
        <f aca="false">IF($A13="","",IFERROR(1/(1/IF($B13="Residential",SUMIFS(INDEX('Oxford Economics'!$A$7:$AZ$1000,0,IFERROR(MATCH(AM$5,'Oxford Economics'!$A$6:$AZ$6,0),MATCH(AM$5&amp;"",'Oxford Economics'!$A$6:$AZ$6,0))),'Oxford Economics'!$A$7:$A$1000,$C13,'Oxford Economics'!$B$7:$B$1000,Settings!$B$12)-SUMIFS(INDEX('Oxford Economics'!$A$7:$AZ$1000,0,IFERROR(MATCH(AM$5,'Oxford Economics'!$A$6:$AZ$6,0),MATCH(AM$5&amp;"",'Oxford Economics'!$A$6:$AZ$6,0))),'Oxford Economics'!$A$7:$A$1000,$C13,'Oxford Economics'!$B$7:$B$1000,Settings!$B$14),SUMIFS(INDEX('Oxford Economics'!$A$7:$AZ$1000,0,IFERROR(MATCH(AM$5,'Oxford Economics'!$A$6:$AZ$6,0),MATCH(AM$5&amp;"",'Oxford Economics'!$A$6:$AZ$6,0))),'Oxford Economics'!$A$7:$A$1000,$C13,'Oxford Economics'!$B$7:$B$1000,Settings!$B$14)+SUMIFS(INDEX('Oxford Economics'!$A$7:$AZ$1000,0,IFERROR(MATCH(AM$5,'Oxford Economics'!$A$6:$AZ$6,0),MATCH(AM$5&amp;"",'Oxford Economics'!$A$6:$AZ$6,0))),'Oxford Economics'!$A$7:$A$1000,$C13,'Oxford Economics'!$B$7:$B$1000,Settings!$B$16)+IF(Settings!$B$18="",0,SUMIFS(INDEX('Oxford Economics'!$A$7:$AZ$1000,0,IFERROR(MATCH(AM$5,'Oxford Economics'!$A$6:$AZ$6,0),MATCH(AM$5&amp;"",'Oxford Economics'!$A$6:$AZ$6,0))),'Oxford Economics'!$A$7:$A$1000,$C13,'Oxford Economics'!$B$7:$B$1000,Settings!$B$18)))),""))</f>
        <v>4403.06</v>
      </c>
    </row>
    <row r="14" customFormat="false" ht="15" hidden="false" customHeight="false" outlineLevel="0" collapsed="false">
      <c r="A14" s="37" t="str">
        <f aca="false">IF('Raw data'!$A14="","",'Raw data'!$A14)</f>
        <v>Czech Republic</v>
      </c>
      <c r="B14" s="37" t="str">
        <f aca="false">IF($A14="","",'Raw data'!$C14)</f>
        <v>Residential</v>
      </c>
      <c r="C14" s="37" t="str">
        <f aca="false">IF($A14="","",IF('Raw data'!$E14="",$A14,'Raw data'!$E14))</f>
        <v>Czech Republic</v>
      </c>
      <c r="D14" s="38" t="n">
        <f aca="false">IF($A14="","",IF(AND(ISNUMBER(P14),ISNUMBER(AB14)),P14+AB14,""))</f>
        <v>6593.17</v>
      </c>
      <c r="E14" s="38" t="n">
        <f aca="false">IF($A14="","",IF(AND(ISNUMBER(Q14),ISNUMBER(AC14)),Q14+AC14,""))</f>
        <v>6639.44</v>
      </c>
      <c r="F14" s="38" t="n">
        <f aca="false">IF($A14="","",IF(AND(ISNUMBER(R14),ISNUMBER(AD14)),R14+AD14,""))</f>
        <v>6514.5</v>
      </c>
      <c r="G14" s="38" t="n">
        <f aca="false">IF($A14="","",IF(AND(ISNUMBER(S14),ISNUMBER(AE14)),S14+AE14,""))</f>
        <v>6260.49</v>
      </c>
      <c r="H14" s="38" t="n">
        <f aca="false">IF($A14="","",IF(AND(ISNUMBER(T14),ISNUMBER(AF14)),T14+AF14,""))</f>
        <v>6042.31</v>
      </c>
      <c r="I14" s="38" t="n">
        <f aca="false">IF($A14="","",IF(AND(ISNUMBER(U14),ISNUMBER(AG14)),U14+AG14,""))</f>
        <v>5836.52</v>
      </c>
      <c r="J14" s="38" t="n">
        <f aca="false">IF($A14="","",IF(AND(ISNUMBER(V14),ISNUMBER(AH14)),V14+AH14,""))</f>
        <v>5738.38</v>
      </c>
      <c r="K14" s="38" t="n">
        <f aca="false">IF($A14="","",IF(AND(ISNUMBER(W14),ISNUMBER(AI14)),W14+AI14,""))</f>
        <v>5843.95</v>
      </c>
      <c r="L14" s="38" t="n">
        <f aca="false">IF($A14="","",IF(AND(ISNUMBER(X14),ISNUMBER(AJ14)),X14+AJ14,""))</f>
        <v>5961.88</v>
      </c>
      <c r="M14" s="38" t="n">
        <f aca="false">IF($A14="","",IF(AND(ISNUMBER(Y14),ISNUMBER(AK14)),Y14+AK14,""))</f>
        <v>6059.96</v>
      </c>
      <c r="N14" s="38" t="n">
        <f aca="false">IF($A14="","",IF(AND(ISNUMBER(Z14),ISNUMBER(AL14)),Z14+AL14,""))</f>
        <v>6217.52</v>
      </c>
      <c r="O14" s="38" t="n">
        <f aca="false">IF($A14="","",IF(AND(ISNUMBER(AA14),ISNUMBER(AM14)),AA14+AM14,""))</f>
        <v>6395</v>
      </c>
      <c r="P14" s="38" t="n">
        <f aca="false">IF($A14="","",IFERROR(1/(1/IF($B14="Residential",SUMIFS(INDEX('Oxford Economics'!$A$7:$AZ$1000,0,IFERROR(MATCH(P$5,'Oxford Economics'!$A$6:$AZ$6,0),MATCH(P$5&amp;"",'Oxford Economics'!$A$6:$AZ$6,0))),'Oxford Economics'!$A$7:$A$1000,$C14,'Oxford Economics'!$B$7:$B$1000,Settings!$B$13)-SUMIFS(INDEX('Oxford Economics'!$A$7:$AZ$1000,0,IFERROR(MATCH(P$5,'Oxford Economics'!$A$6:$AZ$6,0),MATCH(P$5&amp;"",'Oxford Economics'!$A$6:$AZ$6,0))),'Oxford Economics'!$A$7:$A$1000,$C14,'Oxford Economics'!$B$7:$B$1000,Settings!$B$15),SUMIFS(INDEX('Oxford Economics'!$A$7:$AZ$1000,0,IFERROR(MATCH(P$5,'Oxford Economics'!$A$6:$AZ$6,0),MATCH(P$5&amp;"",'Oxford Economics'!$A$6:$AZ$6,0))),'Oxford Economics'!$A$7:$A$1000,$C14,'Oxford Economics'!$B$7:$B$1000,Settings!$B$15)+SUMIFS(INDEX('Oxford Economics'!$A$7:$AZ$1000,0,IFERROR(MATCH(P$5,'Oxford Economics'!$A$6:$AZ$6,0),MATCH(P$5&amp;"",'Oxford Economics'!$A$6:$AZ$6,0))),'Oxford Economics'!$A$7:$A$1000,$C14,'Oxford Economics'!$B$7:$B$1000,Settings!$B$17)+IF(Settings!$B$19="",0,SUMIFS(INDEX('Oxford Economics'!$A$7:$AZ$1000,0,IFERROR(MATCH(P$5,'Oxford Economics'!$A$6:$AZ$6,0),MATCH(P$5&amp;"",'Oxford Economics'!$A$6:$AZ$6,0))),'Oxford Economics'!$A$7:$A$1000,$C14,'Oxford Economics'!$B$7:$B$1000,Settings!$B$19)))),""))</f>
        <v>1612.86</v>
      </c>
      <c r="Q14" s="38" t="n">
        <f aca="false">IF($A14="","",IFERROR(1/(1/IF($B14="Residential",SUMIFS(INDEX('Oxford Economics'!$A$7:$AZ$1000,0,IFERROR(MATCH(Q$5,'Oxford Economics'!$A$6:$AZ$6,0),MATCH(Q$5&amp;"",'Oxford Economics'!$A$6:$AZ$6,0))),'Oxford Economics'!$A$7:$A$1000,$C14,'Oxford Economics'!$B$7:$B$1000,Settings!$B$13)-SUMIFS(INDEX('Oxford Economics'!$A$7:$AZ$1000,0,IFERROR(MATCH(Q$5,'Oxford Economics'!$A$6:$AZ$6,0),MATCH(Q$5&amp;"",'Oxford Economics'!$A$6:$AZ$6,0))),'Oxford Economics'!$A$7:$A$1000,$C14,'Oxford Economics'!$B$7:$B$1000,Settings!$B$15),SUMIFS(INDEX('Oxford Economics'!$A$7:$AZ$1000,0,IFERROR(MATCH(Q$5,'Oxford Economics'!$A$6:$AZ$6,0),MATCH(Q$5&amp;"",'Oxford Economics'!$A$6:$AZ$6,0))),'Oxford Economics'!$A$7:$A$1000,$C14,'Oxford Economics'!$B$7:$B$1000,Settings!$B$15)+SUMIFS(INDEX('Oxford Economics'!$A$7:$AZ$1000,0,IFERROR(MATCH(Q$5,'Oxford Economics'!$A$6:$AZ$6,0),MATCH(Q$5&amp;"",'Oxford Economics'!$A$6:$AZ$6,0))),'Oxford Economics'!$A$7:$A$1000,$C14,'Oxford Economics'!$B$7:$B$1000,Settings!$B$17)+IF(Settings!$B$19="",0,SUMIFS(INDEX('Oxford Economics'!$A$7:$AZ$1000,0,IFERROR(MATCH(Q$5,'Oxford Economics'!$A$6:$AZ$6,0),MATCH(Q$5&amp;"",'Oxford Economics'!$A$6:$AZ$6,0))),'Oxford Economics'!$A$7:$A$1000,$C14,'Oxford Economics'!$B$7:$B$1000,Settings!$B$19)))),""))</f>
        <v>1643.71</v>
      </c>
      <c r="R14" s="38" t="n">
        <f aca="false">IF($A14="","",IFERROR(1/(1/IF($B14="Residential",SUMIFS(INDEX('Oxford Economics'!$A$7:$AZ$1000,0,IFERROR(MATCH(R$5,'Oxford Economics'!$A$6:$AZ$6,0),MATCH(R$5&amp;"",'Oxford Economics'!$A$6:$AZ$6,0))),'Oxford Economics'!$A$7:$A$1000,$C14,'Oxford Economics'!$B$7:$B$1000,Settings!$B$13)-SUMIFS(INDEX('Oxford Economics'!$A$7:$AZ$1000,0,IFERROR(MATCH(R$5,'Oxford Economics'!$A$6:$AZ$6,0),MATCH(R$5&amp;"",'Oxford Economics'!$A$6:$AZ$6,0))),'Oxford Economics'!$A$7:$A$1000,$C14,'Oxford Economics'!$B$7:$B$1000,Settings!$B$15),SUMIFS(INDEX('Oxford Economics'!$A$7:$AZ$1000,0,IFERROR(MATCH(R$5,'Oxford Economics'!$A$6:$AZ$6,0),MATCH(R$5&amp;"",'Oxford Economics'!$A$6:$AZ$6,0))),'Oxford Economics'!$A$7:$A$1000,$C14,'Oxford Economics'!$B$7:$B$1000,Settings!$B$15)+SUMIFS(INDEX('Oxford Economics'!$A$7:$AZ$1000,0,IFERROR(MATCH(R$5,'Oxford Economics'!$A$6:$AZ$6,0),MATCH(R$5&amp;"",'Oxford Economics'!$A$6:$AZ$6,0))),'Oxford Economics'!$A$7:$A$1000,$C14,'Oxford Economics'!$B$7:$B$1000,Settings!$B$17)+IF(Settings!$B$19="",0,SUMIFS(INDEX('Oxford Economics'!$A$7:$AZ$1000,0,IFERROR(MATCH(R$5,'Oxford Economics'!$A$6:$AZ$6,0),MATCH(R$5&amp;"",'Oxford Economics'!$A$6:$AZ$6,0))),'Oxford Economics'!$A$7:$A$1000,$C14,'Oxford Economics'!$B$7:$B$1000,Settings!$B$19)))),""))</f>
        <v>1568.02</v>
      </c>
      <c r="S14" s="38" t="n">
        <f aca="false">IF($A14="","",IFERROR(1/(1/IF($B14="Residential",SUMIFS(INDEX('Oxford Economics'!$A$7:$AZ$1000,0,IFERROR(MATCH(S$5,'Oxford Economics'!$A$6:$AZ$6,0),MATCH(S$5&amp;"",'Oxford Economics'!$A$6:$AZ$6,0))),'Oxford Economics'!$A$7:$A$1000,$C14,'Oxford Economics'!$B$7:$B$1000,Settings!$B$13)-SUMIFS(INDEX('Oxford Economics'!$A$7:$AZ$1000,0,IFERROR(MATCH(S$5,'Oxford Economics'!$A$6:$AZ$6,0),MATCH(S$5&amp;"",'Oxford Economics'!$A$6:$AZ$6,0))),'Oxford Economics'!$A$7:$A$1000,$C14,'Oxford Economics'!$B$7:$B$1000,Settings!$B$15),SUMIFS(INDEX('Oxford Economics'!$A$7:$AZ$1000,0,IFERROR(MATCH(S$5,'Oxford Economics'!$A$6:$AZ$6,0),MATCH(S$5&amp;"",'Oxford Economics'!$A$6:$AZ$6,0))),'Oxford Economics'!$A$7:$A$1000,$C14,'Oxford Economics'!$B$7:$B$1000,Settings!$B$15)+SUMIFS(INDEX('Oxford Economics'!$A$7:$AZ$1000,0,IFERROR(MATCH(S$5,'Oxford Economics'!$A$6:$AZ$6,0),MATCH(S$5&amp;"",'Oxford Economics'!$A$6:$AZ$6,0))),'Oxford Economics'!$A$7:$A$1000,$C14,'Oxford Economics'!$B$7:$B$1000,Settings!$B$17)+IF(Settings!$B$19="",0,SUMIFS(INDEX('Oxford Economics'!$A$7:$AZ$1000,0,IFERROR(MATCH(S$5,'Oxford Economics'!$A$6:$AZ$6,0),MATCH(S$5&amp;"",'Oxford Economics'!$A$6:$AZ$6,0))),'Oxford Economics'!$A$7:$A$1000,$C14,'Oxford Economics'!$B$7:$B$1000,Settings!$B$19)))),""))</f>
        <v>1854.22</v>
      </c>
      <c r="T14" s="38" t="n">
        <f aca="false">IF($A14="","",IFERROR(1/(1/IF($B14="Residential",SUMIFS(INDEX('Oxford Economics'!$A$7:$AZ$1000,0,IFERROR(MATCH(T$5,'Oxford Economics'!$A$6:$AZ$6,0),MATCH(T$5&amp;"",'Oxford Economics'!$A$6:$AZ$6,0))),'Oxford Economics'!$A$7:$A$1000,$C14,'Oxford Economics'!$B$7:$B$1000,Settings!$B$13)-SUMIFS(INDEX('Oxford Economics'!$A$7:$AZ$1000,0,IFERROR(MATCH(T$5,'Oxford Economics'!$A$6:$AZ$6,0),MATCH(T$5&amp;"",'Oxford Economics'!$A$6:$AZ$6,0))),'Oxford Economics'!$A$7:$A$1000,$C14,'Oxford Economics'!$B$7:$B$1000,Settings!$B$15),SUMIFS(INDEX('Oxford Economics'!$A$7:$AZ$1000,0,IFERROR(MATCH(T$5,'Oxford Economics'!$A$6:$AZ$6,0),MATCH(T$5&amp;"",'Oxford Economics'!$A$6:$AZ$6,0))),'Oxford Economics'!$A$7:$A$1000,$C14,'Oxford Economics'!$B$7:$B$1000,Settings!$B$15)+SUMIFS(INDEX('Oxford Economics'!$A$7:$AZ$1000,0,IFERROR(MATCH(T$5,'Oxford Economics'!$A$6:$AZ$6,0),MATCH(T$5&amp;"",'Oxford Economics'!$A$6:$AZ$6,0))),'Oxford Economics'!$A$7:$A$1000,$C14,'Oxford Economics'!$B$7:$B$1000,Settings!$B$17)+IF(Settings!$B$19="",0,SUMIFS(INDEX('Oxford Economics'!$A$7:$AZ$1000,0,IFERROR(MATCH(T$5,'Oxford Economics'!$A$6:$AZ$6,0),MATCH(T$5&amp;"",'Oxford Economics'!$A$6:$AZ$6,0))),'Oxford Economics'!$A$7:$A$1000,$C14,'Oxford Economics'!$B$7:$B$1000,Settings!$B$19)))),""))</f>
        <v>2004.93</v>
      </c>
      <c r="U14" s="38" t="n">
        <f aca="false">IF($A14="","",IFERROR(1/(1/IF($B14="Residential",SUMIFS(INDEX('Oxford Economics'!$A$7:$AZ$1000,0,IFERROR(MATCH(U$5,'Oxford Economics'!$A$6:$AZ$6,0),MATCH(U$5&amp;"",'Oxford Economics'!$A$6:$AZ$6,0))),'Oxford Economics'!$A$7:$A$1000,$C14,'Oxford Economics'!$B$7:$B$1000,Settings!$B$13)-SUMIFS(INDEX('Oxford Economics'!$A$7:$AZ$1000,0,IFERROR(MATCH(U$5,'Oxford Economics'!$A$6:$AZ$6,0),MATCH(U$5&amp;"",'Oxford Economics'!$A$6:$AZ$6,0))),'Oxford Economics'!$A$7:$A$1000,$C14,'Oxford Economics'!$B$7:$B$1000,Settings!$B$15),SUMIFS(INDEX('Oxford Economics'!$A$7:$AZ$1000,0,IFERROR(MATCH(U$5,'Oxford Economics'!$A$6:$AZ$6,0),MATCH(U$5&amp;"",'Oxford Economics'!$A$6:$AZ$6,0))),'Oxford Economics'!$A$7:$A$1000,$C14,'Oxford Economics'!$B$7:$B$1000,Settings!$B$15)+SUMIFS(INDEX('Oxford Economics'!$A$7:$AZ$1000,0,IFERROR(MATCH(U$5,'Oxford Economics'!$A$6:$AZ$6,0),MATCH(U$5&amp;"",'Oxford Economics'!$A$6:$AZ$6,0))),'Oxford Economics'!$A$7:$A$1000,$C14,'Oxford Economics'!$B$7:$B$1000,Settings!$B$17)+IF(Settings!$B$19="",0,SUMIFS(INDEX('Oxford Economics'!$A$7:$AZ$1000,0,IFERROR(MATCH(U$5,'Oxford Economics'!$A$6:$AZ$6,0),MATCH(U$5&amp;"",'Oxford Economics'!$A$6:$AZ$6,0))),'Oxford Economics'!$A$7:$A$1000,$C14,'Oxford Economics'!$B$7:$B$1000,Settings!$B$19)))),""))</f>
        <v>1887.32</v>
      </c>
      <c r="V14" s="38" t="n">
        <f aca="false">IF($A14="","",IFERROR(1/(1/IF($B14="Residential",SUMIFS(INDEX('Oxford Economics'!$A$7:$AZ$1000,0,IFERROR(MATCH(V$5,'Oxford Economics'!$A$6:$AZ$6,0),MATCH(V$5&amp;"",'Oxford Economics'!$A$6:$AZ$6,0))),'Oxford Economics'!$A$7:$A$1000,$C14,'Oxford Economics'!$B$7:$B$1000,Settings!$B$13)-SUMIFS(INDEX('Oxford Economics'!$A$7:$AZ$1000,0,IFERROR(MATCH(V$5,'Oxford Economics'!$A$6:$AZ$6,0),MATCH(V$5&amp;"",'Oxford Economics'!$A$6:$AZ$6,0))),'Oxford Economics'!$A$7:$A$1000,$C14,'Oxford Economics'!$B$7:$B$1000,Settings!$B$15),SUMIFS(INDEX('Oxford Economics'!$A$7:$AZ$1000,0,IFERROR(MATCH(V$5,'Oxford Economics'!$A$6:$AZ$6,0),MATCH(V$5&amp;"",'Oxford Economics'!$A$6:$AZ$6,0))),'Oxford Economics'!$A$7:$A$1000,$C14,'Oxford Economics'!$B$7:$B$1000,Settings!$B$15)+SUMIFS(INDEX('Oxford Economics'!$A$7:$AZ$1000,0,IFERROR(MATCH(V$5,'Oxford Economics'!$A$6:$AZ$6,0),MATCH(V$5&amp;"",'Oxford Economics'!$A$6:$AZ$6,0))),'Oxford Economics'!$A$7:$A$1000,$C14,'Oxford Economics'!$B$7:$B$1000,Settings!$B$17)+IF(Settings!$B$19="",0,SUMIFS(INDEX('Oxford Economics'!$A$7:$AZ$1000,0,IFERROR(MATCH(V$5,'Oxford Economics'!$A$6:$AZ$6,0),MATCH(V$5&amp;"",'Oxford Economics'!$A$6:$AZ$6,0))),'Oxford Economics'!$A$7:$A$1000,$C14,'Oxford Economics'!$B$7:$B$1000,Settings!$B$19)))),""))</f>
        <v>1709.38</v>
      </c>
      <c r="W14" s="38" t="n">
        <f aca="false">IF($A14="","",IFERROR(1/(1/IF($B14="Residential",SUMIFS(INDEX('Oxford Economics'!$A$7:$AZ$1000,0,IFERROR(MATCH(W$5,'Oxford Economics'!$A$6:$AZ$6,0),MATCH(W$5&amp;"",'Oxford Economics'!$A$6:$AZ$6,0))),'Oxford Economics'!$A$7:$A$1000,$C14,'Oxford Economics'!$B$7:$B$1000,Settings!$B$13)-SUMIFS(INDEX('Oxford Economics'!$A$7:$AZ$1000,0,IFERROR(MATCH(W$5,'Oxford Economics'!$A$6:$AZ$6,0),MATCH(W$5&amp;"",'Oxford Economics'!$A$6:$AZ$6,0))),'Oxford Economics'!$A$7:$A$1000,$C14,'Oxford Economics'!$B$7:$B$1000,Settings!$B$15),SUMIFS(INDEX('Oxford Economics'!$A$7:$AZ$1000,0,IFERROR(MATCH(W$5,'Oxford Economics'!$A$6:$AZ$6,0),MATCH(W$5&amp;"",'Oxford Economics'!$A$6:$AZ$6,0))),'Oxford Economics'!$A$7:$A$1000,$C14,'Oxford Economics'!$B$7:$B$1000,Settings!$B$15)+SUMIFS(INDEX('Oxford Economics'!$A$7:$AZ$1000,0,IFERROR(MATCH(W$5,'Oxford Economics'!$A$6:$AZ$6,0),MATCH(W$5&amp;"",'Oxford Economics'!$A$6:$AZ$6,0))),'Oxford Economics'!$A$7:$A$1000,$C14,'Oxford Economics'!$B$7:$B$1000,Settings!$B$17)+IF(Settings!$B$19="",0,SUMIFS(INDEX('Oxford Economics'!$A$7:$AZ$1000,0,IFERROR(MATCH(W$5,'Oxford Economics'!$A$6:$AZ$6,0),MATCH(W$5&amp;"",'Oxford Economics'!$A$6:$AZ$6,0))),'Oxford Economics'!$A$7:$A$1000,$C14,'Oxford Economics'!$B$7:$B$1000,Settings!$B$19)))),""))</f>
        <v>1735.95</v>
      </c>
      <c r="X14" s="38" t="n">
        <f aca="false">IF($A14="","",IFERROR(1/(1/IF($B14="Residential",SUMIFS(INDEX('Oxford Economics'!$A$7:$AZ$1000,0,IFERROR(MATCH(X$5,'Oxford Economics'!$A$6:$AZ$6,0),MATCH(X$5&amp;"",'Oxford Economics'!$A$6:$AZ$6,0))),'Oxford Economics'!$A$7:$A$1000,$C14,'Oxford Economics'!$B$7:$B$1000,Settings!$B$13)-SUMIFS(INDEX('Oxford Economics'!$A$7:$AZ$1000,0,IFERROR(MATCH(X$5,'Oxford Economics'!$A$6:$AZ$6,0),MATCH(X$5&amp;"",'Oxford Economics'!$A$6:$AZ$6,0))),'Oxford Economics'!$A$7:$A$1000,$C14,'Oxford Economics'!$B$7:$B$1000,Settings!$B$15),SUMIFS(INDEX('Oxford Economics'!$A$7:$AZ$1000,0,IFERROR(MATCH(X$5,'Oxford Economics'!$A$6:$AZ$6,0),MATCH(X$5&amp;"",'Oxford Economics'!$A$6:$AZ$6,0))),'Oxford Economics'!$A$7:$A$1000,$C14,'Oxford Economics'!$B$7:$B$1000,Settings!$B$15)+SUMIFS(INDEX('Oxford Economics'!$A$7:$AZ$1000,0,IFERROR(MATCH(X$5,'Oxford Economics'!$A$6:$AZ$6,0),MATCH(X$5&amp;"",'Oxford Economics'!$A$6:$AZ$6,0))),'Oxford Economics'!$A$7:$A$1000,$C14,'Oxford Economics'!$B$7:$B$1000,Settings!$B$17)+IF(Settings!$B$19="",0,SUMIFS(INDEX('Oxford Economics'!$A$7:$AZ$1000,0,IFERROR(MATCH(X$5,'Oxford Economics'!$A$6:$AZ$6,0),MATCH(X$5&amp;"",'Oxford Economics'!$A$6:$AZ$6,0))),'Oxford Economics'!$A$7:$A$1000,$C14,'Oxford Economics'!$B$7:$B$1000,Settings!$B$19)))),""))</f>
        <v>1808.74</v>
      </c>
      <c r="Y14" s="38" t="n">
        <f aca="false">IF($A14="","",IFERROR(1/(1/IF($B14="Residential",SUMIFS(INDEX('Oxford Economics'!$A$7:$AZ$1000,0,IFERROR(MATCH(Y$5,'Oxford Economics'!$A$6:$AZ$6,0),MATCH(Y$5&amp;"",'Oxford Economics'!$A$6:$AZ$6,0))),'Oxford Economics'!$A$7:$A$1000,$C14,'Oxford Economics'!$B$7:$B$1000,Settings!$B$13)-SUMIFS(INDEX('Oxford Economics'!$A$7:$AZ$1000,0,IFERROR(MATCH(Y$5,'Oxford Economics'!$A$6:$AZ$6,0),MATCH(Y$5&amp;"",'Oxford Economics'!$A$6:$AZ$6,0))),'Oxford Economics'!$A$7:$A$1000,$C14,'Oxford Economics'!$B$7:$B$1000,Settings!$B$15),SUMIFS(INDEX('Oxford Economics'!$A$7:$AZ$1000,0,IFERROR(MATCH(Y$5,'Oxford Economics'!$A$6:$AZ$6,0),MATCH(Y$5&amp;"",'Oxford Economics'!$A$6:$AZ$6,0))),'Oxford Economics'!$A$7:$A$1000,$C14,'Oxford Economics'!$B$7:$B$1000,Settings!$B$15)+SUMIFS(INDEX('Oxford Economics'!$A$7:$AZ$1000,0,IFERROR(MATCH(Y$5,'Oxford Economics'!$A$6:$AZ$6,0),MATCH(Y$5&amp;"",'Oxford Economics'!$A$6:$AZ$6,0))),'Oxford Economics'!$A$7:$A$1000,$C14,'Oxford Economics'!$B$7:$B$1000,Settings!$B$17)+IF(Settings!$B$19="",0,SUMIFS(INDEX('Oxford Economics'!$A$7:$AZ$1000,0,IFERROR(MATCH(Y$5,'Oxford Economics'!$A$6:$AZ$6,0),MATCH(Y$5&amp;"",'Oxford Economics'!$A$6:$AZ$6,0))),'Oxford Economics'!$A$7:$A$1000,$C14,'Oxford Economics'!$B$7:$B$1000,Settings!$B$19)))),""))</f>
        <v>1868.93</v>
      </c>
      <c r="Z14" s="38" t="n">
        <f aca="false">IF($A14="","",IFERROR(1/(1/IF($B14="Residential",SUMIFS(INDEX('Oxford Economics'!$A$7:$AZ$1000,0,IFERROR(MATCH(Z$5,'Oxford Economics'!$A$6:$AZ$6,0),MATCH(Z$5&amp;"",'Oxford Economics'!$A$6:$AZ$6,0))),'Oxford Economics'!$A$7:$A$1000,$C14,'Oxford Economics'!$B$7:$B$1000,Settings!$B$13)-SUMIFS(INDEX('Oxford Economics'!$A$7:$AZ$1000,0,IFERROR(MATCH(Z$5,'Oxford Economics'!$A$6:$AZ$6,0),MATCH(Z$5&amp;"",'Oxford Economics'!$A$6:$AZ$6,0))),'Oxford Economics'!$A$7:$A$1000,$C14,'Oxford Economics'!$B$7:$B$1000,Settings!$B$15),SUMIFS(INDEX('Oxford Economics'!$A$7:$AZ$1000,0,IFERROR(MATCH(Z$5,'Oxford Economics'!$A$6:$AZ$6,0),MATCH(Z$5&amp;"",'Oxford Economics'!$A$6:$AZ$6,0))),'Oxford Economics'!$A$7:$A$1000,$C14,'Oxford Economics'!$B$7:$B$1000,Settings!$B$15)+SUMIFS(INDEX('Oxford Economics'!$A$7:$AZ$1000,0,IFERROR(MATCH(Z$5,'Oxford Economics'!$A$6:$AZ$6,0),MATCH(Z$5&amp;"",'Oxford Economics'!$A$6:$AZ$6,0))),'Oxford Economics'!$A$7:$A$1000,$C14,'Oxford Economics'!$B$7:$B$1000,Settings!$B$17)+IF(Settings!$B$19="",0,SUMIFS(INDEX('Oxford Economics'!$A$7:$AZ$1000,0,IFERROR(MATCH(Z$5,'Oxford Economics'!$A$6:$AZ$6,0),MATCH(Z$5&amp;"",'Oxford Economics'!$A$6:$AZ$6,0))),'Oxford Economics'!$A$7:$A$1000,$C14,'Oxford Economics'!$B$7:$B$1000,Settings!$B$19)))),""))</f>
        <v>1930.29</v>
      </c>
      <c r="AA14" s="38" t="n">
        <f aca="false">IF($A14="","",IFERROR(1/(1/IF($B14="Residential",SUMIFS(INDEX('Oxford Economics'!$A$7:$AZ$1000,0,IFERROR(MATCH(AA$5,'Oxford Economics'!$A$6:$AZ$6,0),MATCH(AA$5&amp;"",'Oxford Economics'!$A$6:$AZ$6,0))),'Oxford Economics'!$A$7:$A$1000,$C14,'Oxford Economics'!$B$7:$B$1000,Settings!$B$13)-SUMIFS(INDEX('Oxford Economics'!$A$7:$AZ$1000,0,IFERROR(MATCH(AA$5,'Oxford Economics'!$A$6:$AZ$6,0),MATCH(AA$5&amp;"",'Oxford Economics'!$A$6:$AZ$6,0))),'Oxford Economics'!$A$7:$A$1000,$C14,'Oxford Economics'!$B$7:$B$1000,Settings!$B$15),SUMIFS(INDEX('Oxford Economics'!$A$7:$AZ$1000,0,IFERROR(MATCH(AA$5,'Oxford Economics'!$A$6:$AZ$6,0),MATCH(AA$5&amp;"",'Oxford Economics'!$A$6:$AZ$6,0))),'Oxford Economics'!$A$7:$A$1000,$C14,'Oxford Economics'!$B$7:$B$1000,Settings!$B$15)+SUMIFS(INDEX('Oxford Economics'!$A$7:$AZ$1000,0,IFERROR(MATCH(AA$5,'Oxford Economics'!$A$6:$AZ$6,0),MATCH(AA$5&amp;"",'Oxford Economics'!$A$6:$AZ$6,0))),'Oxford Economics'!$A$7:$A$1000,$C14,'Oxford Economics'!$B$7:$B$1000,Settings!$B$17)+IF(Settings!$B$19="",0,SUMIFS(INDEX('Oxford Economics'!$A$7:$AZ$1000,0,IFERROR(MATCH(AA$5,'Oxford Economics'!$A$6:$AZ$6,0),MATCH(AA$5&amp;"",'Oxford Economics'!$A$6:$AZ$6,0))),'Oxford Economics'!$A$7:$A$1000,$C14,'Oxford Economics'!$B$7:$B$1000,Settings!$B$19)))),""))</f>
        <v>1991.94</v>
      </c>
      <c r="AB14" s="38" t="n">
        <f aca="false">IF($A14="","",IFERROR(1/(1/IF($B14="Residential",SUMIFS(INDEX('Oxford Economics'!$A$7:$AZ$1000,0,IFERROR(MATCH(AB$5,'Oxford Economics'!$A$6:$AZ$6,0),MATCH(AB$5&amp;"",'Oxford Economics'!$A$6:$AZ$6,0))),'Oxford Economics'!$A$7:$A$1000,$C14,'Oxford Economics'!$B$7:$B$1000,Settings!$B$12)-SUMIFS(INDEX('Oxford Economics'!$A$7:$AZ$1000,0,IFERROR(MATCH(AB$5,'Oxford Economics'!$A$6:$AZ$6,0),MATCH(AB$5&amp;"",'Oxford Economics'!$A$6:$AZ$6,0))),'Oxford Economics'!$A$7:$A$1000,$C14,'Oxford Economics'!$B$7:$B$1000,Settings!$B$14),SUMIFS(INDEX('Oxford Economics'!$A$7:$AZ$1000,0,IFERROR(MATCH(AB$5,'Oxford Economics'!$A$6:$AZ$6,0),MATCH(AB$5&amp;"",'Oxford Economics'!$A$6:$AZ$6,0))),'Oxford Economics'!$A$7:$A$1000,$C14,'Oxford Economics'!$B$7:$B$1000,Settings!$B$14)+SUMIFS(INDEX('Oxford Economics'!$A$7:$AZ$1000,0,IFERROR(MATCH(AB$5,'Oxford Economics'!$A$6:$AZ$6,0),MATCH(AB$5&amp;"",'Oxford Economics'!$A$6:$AZ$6,0))),'Oxford Economics'!$A$7:$A$1000,$C14,'Oxford Economics'!$B$7:$B$1000,Settings!$B$16)+IF(Settings!$B$18="",0,SUMIFS(INDEX('Oxford Economics'!$A$7:$AZ$1000,0,IFERROR(MATCH(AB$5,'Oxford Economics'!$A$6:$AZ$6,0),MATCH(AB$5&amp;"",'Oxford Economics'!$A$6:$AZ$6,0))),'Oxford Economics'!$A$7:$A$1000,$C14,'Oxford Economics'!$B$7:$B$1000,Settings!$B$18)))),""))</f>
        <v>4980.31</v>
      </c>
      <c r="AC14" s="38" t="n">
        <f aca="false">IF($A14="","",IFERROR(1/(1/IF($B14="Residential",SUMIFS(INDEX('Oxford Economics'!$A$7:$AZ$1000,0,IFERROR(MATCH(AC$5,'Oxford Economics'!$A$6:$AZ$6,0),MATCH(AC$5&amp;"",'Oxford Economics'!$A$6:$AZ$6,0))),'Oxford Economics'!$A$7:$A$1000,$C14,'Oxford Economics'!$B$7:$B$1000,Settings!$B$12)-SUMIFS(INDEX('Oxford Economics'!$A$7:$AZ$1000,0,IFERROR(MATCH(AC$5,'Oxford Economics'!$A$6:$AZ$6,0),MATCH(AC$5&amp;"",'Oxford Economics'!$A$6:$AZ$6,0))),'Oxford Economics'!$A$7:$A$1000,$C14,'Oxford Economics'!$B$7:$B$1000,Settings!$B$14),SUMIFS(INDEX('Oxford Economics'!$A$7:$AZ$1000,0,IFERROR(MATCH(AC$5,'Oxford Economics'!$A$6:$AZ$6,0),MATCH(AC$5&amp;"",'Oxford Economics'!$A$6:$AZ$6,0))),'Oxford Economics'!$A$7:$A$1000,$C14,'Oxford Economics'!$B$7:$B$1000,Settings!$B$14)+SUMIFS(INDEX('Oxford Economics'!$A$7:$AZ$1000,0,IFERROR(MATCH(AC$5,'Oxford Economics'!$A$6:$AZ$6,0),MATCH(AC$5&amp;"",'Oxford Economics'!$A$6:$AZ$6,0))),'Oxford Economics'!$A$7:$A$1000,$C14,'Oxford Economics'!$B$7:$B$1000,Settings!$B$16)+IF(Settings!$B$18="",0,SUMIFS(INDEX('Oxford Economics'!$A$7:$AZ$1000,0,IFERROR(MATCH(AC$5,'Oxford Economics'!$A$6:$AZ$6,0),MATCH(AC$5&amp;"",'Oxford Economics'!$A$6:$AZ$6,0))),'Oxford Economics'!$A$7:$A$1000,$C14,'Oxford Economics'!$B$7:$B$1000,Settings!$B$18)))),""))</f>
        <v>4995.73</v>
      </c>
      <c r="AD14" s="38" t="n">
        <f aca="false">IF($A14="","",IFERROR(1/(1/IF($B14="Residential",SUMIFS(INDEX('Oxford Economics'!$A$7:$AZ$1000,0,IFERROR(MATCH(AD$5,'Oxford Economics'!$A$6:$AZ$6,0),MATCH(AD$5&amp;"",'Oxford Economics'!$A$6:$AZ$6,0))),'Oxford Economics'!$A$7:$A$1000,$C14,'Oxford Economics'!$B$7:$B$1000,Settings!$B$12)-SUMIFS(INDEX('Oxford Economics'!$A$7:$AZ$1000,0,IFERROR(MATCH(AD$5,'Oxford Economics'!$A$6:$AZ$6,0),MATCH(AD$5&amp;"",'Oxford Economics'!$A$6:$AZ$6,0))),'Oxford Economics'!$A$7:$A$1000,$C14,'Oxford Economics'!$B$7:$B$1000,Settings!$B$14),SUMIFS(INDEX('Oxford Economics'!$A$7:$AZ$1000,0,IFERROR(MATCH(AD$5,'Oxford Economics'!$A$6:$AZ$6,0),MATCH(AD$5&amp;"",'Oxford Economics'!$A$6:$AZ$6,0))),'Oxford Economics'!$A$7:$A$1000,$C14,'Oxford Economics'!$B$7:$B$1000,Settings!$B$14)+SUMIFS(INDEX('Oxford Economics'!$A$7:$AZ$1000,0,IFERROR(MATCH(AD$5,'Oxford Economics'!$A$6:$AZ$6,0),MATCH(AD$5&amp;"",'Oxford Economics'!$A$6:$AZ$6,0))),'Oxford Economics'!$A$7:$A$1000,$C14,'Oxford Economics'!$B$7:$B$1000,Settings!$B$16)+IF(Settings!$B$18="",0,SUMIFS(INDEX('Oxford Economics'!$A$7:$AZ$1000,0,IFERROR(MATCH(AD$5,'Oxford Economics'!$A$6:$AZ$6,0),MATCH(AD$5&amp;"",'Oxford Economics'!$A$6:$AZ$6,0))),'Oxford Economics'!$A$7:$A$1000,$C14,'Oxford Economics'!$B$7:$B$1000,Settings!$B$18)))),""))</f>
        <v>4946.48</v>
      </c>
      <c r="AE14" s="38" t="n">
        <f aca="false">IF($A14="","",IFERROR(1/(1/IF($B14="Residential",SUMIFS(INDEX('Oxford Economics'!$A$7:$AZ$1000,0,IFERROR(MATCH(AE$5,'Oxford Economics'!$A$6:$AZ$6,0),MATCH(AE$5&amp;"",'Oxford Economics'!$A$6:$AZ$6,0))),'Oxford Economics'!$A$7:$A$1000,$C14,'Oxford Economics'!$B$7:$B$1000,Settings!$B$12)-SUMIFS(INDEX('Oxford Economics'!$A$7:$AZ$1000,0,IFERROR(MATCH(AE$5,'Oxford Economics'!$A$6:$AZ$6,0),MATCH(AE$5&amp;"",'Oxford Economics'!$A$6:$AZ$6,0))),'Oxford Economics'!$A$7:$A$1000,$C14,'Oxford Economics'!$B$7:$B$1000,Settings!$B$14),SUMIFS(INDEX('Oxford Economics'!$A$7:$AZ$1000,0,IFERROR(MATCH(AE$5,'Oxford Economics'!$A$6:$AZ$6,0),MATCH(AE$5&amp;"",'Oxford Economics'!$A$6:$AZ$6,0))),'Oxford Economics'!$A$7:$A$1000,$C14,'Oxford Economics'!$B$7:$B$1000,Settings!$B$14)+SUMIFS(INDEX('Oxford Economics'!$A$7:$AZ$1000,0,IFERROR(MATCH(AE$5,'Oxford Economics'!$A$6:$AZ$6,0),MATCH(AE$5&amp;"",'Oxford Economics'!$A$6:$AZ$6,0))),'Oxford Economics'!$A$7:$A$1000,$C14,'Oxford Economics'!$B$7:$B$1000,Settings!$B$16)+IF(Settings!$B$18="",0,SUMIFS(INDEX('Oxford Economics'!$A$7:$AZ$1000,0,IFERROR(MATCH(AE$5,'Oxford Economics'!$A$6:$AZ$6,0),MATCH(AE$5&amp;"",'Oxford Economics'!$A$6:$AZ$6,0))),'Oxford Economics'!$A$7:$A$1000,$C14,'Oxford Economics'!$B$7:$B$1000,Settings!$B$18)))),""))</f>
        <v>4406.27</v>
      </c>
      <c r="AF14" s="38" t="n">
        <f aca="false">IF($A14="","",IFERROR(1/(1/IF($B14="Residential",SUMIFS(INDEX('Oxford Economics'!$A$7:$AZ$1000,0,IFERROR(MATCH(AF$5,'Oxford Economics'!$A$6:$AZ$6,0),MATCH(AF$5&amp;"",'Oxford Economics'!$A$6:$AZ$6,0))),'Oxford Economics'!$A$7:$A$1000,$C14,'Oxford Economics'!$B$7:$B$1000,Settings!$B$12)-SUMIFS(INDEX('Oxford Economics'!$A$7:$AZ$1000,0,IFERROR(MATCH(AF$5,'Oxford Economics'!$A$6:$AZ$6,0),MATCH(AF$5&amp;"",'Oxford Economics'!$A$6:$AZ$6,0))),'Oxford Economics'!$A$7:$A$1000,$C14,'Oxford Economics'!$B$7:$B$1000,Settings!$B$14),SUMIFS(INDEX('Oxford Economics'!$A$7:$AZ$1000,0,IFERROR(MATCH(AF$5,'Oxford Economics'!$A$6:$AZ$6,0),MATCH(AF$5&amp;"",'Oxford Economics'!$A$6:$AZ$6,0))),'Oxford Economics'!$A$7:$A$1000,$C14,'Oxford Economics'!$B$7:$B$1000,Settings!$B$14)+SUMIFS(INDEX('Oxford Economics'!$A$7:$AZ$1000,0,IFERROR(MATCH(AF$5,'Oxford Economics'!$A$6:$AZ$6,0),MATCH(AF$5&amp;"",'Oxford Economics'!$A$6:$AZ$6,0))),'Oxford Economics'!$A$7:$A$1000,$C14,'Oxford Economics'!$B$7:$B$1000,Settings!$B$16)+IF(Settings!$B$18="",0,SUMIFS(INDEX('Oxford Economics'!$A$7:$AZ$1000,0,IFERROR(MATCH(AF$5,'Oxford Economics'!$A$6:$AZ$6,0),MATCH(AF$5&amp;"",'Oxford Economics'!$A$6:$AZ$6,0))),'Oxford Economics'!$A$7:$A$1000,$C14,'Oxford Economics'!$B$7:$B$1000,Settings!$B$18)))),""))</f>
        <v>4037.38</v>
      </c>
      <c r="AG14" s="38" t="n">
        <f aca="false">IF($A14="","",IFERROR(1/(1/IF($B14="Residential",SUMIFS(INDEX('Oxford Economics'!$A$7:$AZ$1000,0,IFERROR(MATCH(AG$5,'Oxford Economics'!$A$6:$AZ$6,0),MATCH(AG$5&amp;"",'Oxford Economics'!$A$6:$AZ$6,0))),'Oxford Economics'!$A$7:$A$1000,$C14,'Oxford Economics'!$B$7:$B$1000,Settings!$B$12)-SUMIFS(INDEX('Oxford Economics'!$A$7:$AZ$1000,0,IFERROR(MATCH(AG$5,'Oxford Economics'!$A$6:$AZ$6,0),MATCH(AG$5&amp;"",'Oxford Economics'!$A$6:$AZ$6,0))),'Oxford Economics'!$A$7:$A$1000,$C14,'Oxford Economics'!$B$7:$B$1000,Settings!$B$14),SUMIFS(INDEX('Oxford Economics'!$A$7:$AZ$1000,0,IFERROR(MATCH(AG$5,'Oxford Economics'!$A$6:$AZ$6,0),MATCH(AG$5&amp;"",'Oxford Economics'!$A$6:$AZ$6,0))),'Oxford Economics'!$A$7:$A$1000,$C14,'Oxford Economics'!$B$7:$B$1000,Settings!$B$14)+SUMIFS(INDEX('Oxford Economics'!$A$7:$AZ$1000,0,IFERROR(MATCH(AG$5,'Oxford Economics'!$A$6:$AZ$6,0),MATCH(AG$5&amp;"",'Oxford Economics'!$A$6:$AZ$6,0))),'Oxford Economics'!$A$7:$A$1000,$C14,'Oxford Economics'!$B$7:$B$1000,Settings!$B$16)+IF(Settings!$B$18="",0,SUMIFS(INDEX('Oxford Economics'!$A$7:$AZ$1000,0,IFERROR(MATCH(AG$5,'Oxford Economics'!$A$6:$AZ$6,0),MATCH(AG$5&amp;"",'Oxford Economics'!$A$6:$AZ$6,0))),'Oxford Economics'!$A$7:$A$1000,$C14,'Oxford Economics'!$B$7:$B$1000,Settings!$B$18)))),""))</f>
        <v>3949.2</v>
      </c>
      <c r="AH14" s="38" t="n">
        <f aca="false">IF($A14="","",IFERROR(1/(1/IF($B14="Residential",SUMIFS(INDEX('Oxford Economics'!$A$7:$AZ$1000,0,IFERROR(MATCH(AH$5,'Oxford Economics'!$A$6:$AZ$6,0),MATCH(AH$5&amp;"",'Oxford Economics'!$A$6:$AZ$6,0))),'Oxford Economics'!$A$7:$A$1000,$C14,'Oxford Economics'!$B$7:$B$1000,Settings!$B$12)-SUMIFS(INDEX('Oxford Economics'!$A$7:$AZ$1000,0,IFERROR(MATCH(AH$5,'Oxford Economics'!$A$6:$AZ$6,0),MATCH(AH$5&amp;"",'Oxford Economics'!$A$6:$AZ$6,0))),'Oxford Economics'!$A$7:$A$1000,$C14,'Oxford Economics'!$B$7:$B$1000,Settings!$B$14),SUMIFS(INDEX('Oxford Economics'!$A$7:$AZ$1000,0,IFERROR(MATCH(AH$5,'Oxford Economics'!$A$6:$AZ$6,0),MATCH(AH$5&amp;"",'Oxford Economics'!$A$6:$AZ$6,0))),'Oxford Economics'!$A$7:$A$1000,$C14,'Oxford Economics'!$B$7:$B$1000,Settings!$B$14)+SUMIFS(INDEX('Oxford Economics'!$A$7:$AZ$1000,0,IFERROR(MATCH(AH$5,'Oxford Economics'!$A$6:$AZ$6,0),MATCH(AH$5&amp;"",'Oxford Economics'!$A$6:$AZ$6,0))),'Oxford Economics'!$A$7:$A$1000,$C14,'Oxford Economics'!$B$7:$B$1000,Settings!$B$16)+IF(Settings!$B$18="",0,SUMIFS(INDEX('Oxford Economics'!$A$7:$AZ$1000,0,IFERROR(MATCH(AH$5,'Oxford Economics'!$A$6:$AZ$6,0),MATCH(AH$5&amp;"",'Oxford Economics'!$A$6:$AZ$6,0))),'Oxford Economics'!$A$7:$A$1000,$C14,'Oxford Economics'!$B$7:$B$1000,Settings!$B$18)))),""))</f>
        <v>4029</v>
      </c>
      <c r="AI14" s="38" t="n">
        <f aca="false">IF($A14="","",IFERROR(1/(1/IF($B14="Residential",SUMIFS(INDEX('Oxford Economics'!$A$7:$AZ$1000,0,IFERROR(MATCH(AI$5,'Oxford Economics'!$A$6:$AZ$6,0),MATCH(AI$5&amp;"",'Oxford Economics'!$A$6:$AZ$6,0))),'Oxford Economics'!$A$7:$A$1000,$C14,'Oxford Economics'!$B$7:$B$1000,Settings!$B$12)-SUMIFS(INDEX('Oxford Economics'!$A$7:$AZ$1000,0,IFERROR(MATCH(AI$5,'Oxford Economics'!$A$6:$AZ$6,0),MATCH(AI$5&amp;"",'Oxford Economics'!$A$6:$AZ$6,0))),'Oxford Economics'!$A$7:$A$1000,$C14,'Oxford Economics'!$B$7:$B$1000,Settings!$B$14),SUMIFS(INDEX('Oxford Economics'!$A$7:$AZ$1000,0,IFERROR(MATCH(AI$5,'Oxford Economics'!$A$6:$AZ$6,0),MATCH(AI$5&amp;"",'Oxford Economics'!$A$6:$AZ$6,0))),'Oxford Economics'!$A$7:$A$1000,$C14,'Oxford Economics'!$B$7:$B$1000,Settings!$B$14)+SUMIFS(INDEX('Oxford Economics'!$A$7:$AZ$1000,0,IFERROR(MATCH(AI$5,'Oxford Economics'!$A$6:$AZ$6,0),MATCH(AI$5&amp;"",'Oxford Economics'!$A$6:$AZ$6,0))),'Oxford Economics'!$A$7:$A$1000,$C14,'Oxford Economics'!$B$7:$B$1000,Settings!$B$16)+IF(Settings!$B$18="",0,SUMIFS(INDEX('Oxford Economics'!$A$7:$AZ$1000,0,IFERROR(MATCH(AI$5,'Oxford Economics'!$A$6:$AZ$6,0),MATCH(AI$5&amp;"",'Oxford Economics'!$A$6:$AZ$6,0))),'Oxford Economics'!$A$7:$A$1000,$C14,'Oxford Economics'!$B$7:$B$1000,Settings!$B$18)))),""))</f>
        <v>4108</v>
      </c>
      <c r="AJ14" s="38" t="n">
        <f aca="false">IF($A14="","",IFERROR(1/(1/IF($B14="Residential",SUMIFS(INDEX('Oxford Economics'!$A$7:$AZ$1000,0,IFERROR(MATCH(AJ$5,'Oxford Economics'!$A$6:$AZ$6,0),MATCH(AJ$5&amp;"",'Oxford Economics'!$A$6:$AZ$6,0))),'Oxford Economics'!$A$7:$A$1000,$C14,'Oxford Economics'!$B$7:$B$1000,Settings!$B$12)-SUMIFS(INDEX('Oxford Economics'!$A$7:$AZ$1000,0,IFERROR(MATCH(AJ$5,'Oxford Economics'!$A$6:$AZ$6,0),MATCH(AJ$5&amp;"",'Oxford Economics'!$A$6:$AZ$6,0))),'Oxford Economics'!$A$7:$A$1000,$C14,'Oxford Economics'!$B$7:$B$1000,Settings!$B$14),SUMIFS(INDEX('Oxford Economics'!$A$7:$AZ$1000,0,IFERROR(MATCH(AJ$5,'Oxford Economics'!$A$6:$AZ$6,0),MATCH(AJ$5&amp;"",'Oxford Economics'!$A$6:$AZ$6,0))),'Oxford Economics'!$A$7:$A$1000,$C14,'Oxford Economics'!$B$7:$B$1000,Settings!$B$14)+SUMIFS(INDEX('Oxford Economics'!$A$7:$AZ$1000,0,IFERROR(MATCH(AJ$5,'Oxford Economics'!$A$6:$AZ$6,0),MATCH(AJ$5&amp;"",'Oxford Economics'!$A$6:$AZ$6,0))),'Oxford Economics'!$A$7:$A$1000,$C14,'Oxford Economics'!$B$7:$B$1000,Settings!$B$16)+IF(Settings!$B$18="",0,SUMIFS(INDEX('Oxford Economics'!$A$7:$AZ$1000,0,IFERROR(MATCH(AJ$5,'Oxford Economics'!$A$6:$AZ$6,0),MATCH(AJ$5&amp;"",'Oxford Economics'!$A$6:$AZ$6,0))),'Oxford Economics'!$A$7:$A$1000,$C14,'Oxford Economics'!$B$7:$B$1000,Settings!$B$18)))),""))</f>
        <v>4153.14</v>
      </c>
      <c r="AK14" s="38" t="n">
        <f aca="false">IF($A14="","",IFERROR(1/(1/IF($B14="Residential",SUMIFS(INDEX('Oxford Economics'!$A$7:$AZ$1000,0,IFERROR(MATCH(AK$5,'Oxford Economics'!$A$6:$AZ$6,0),MATCH(AK$5&amp;"",'Oxford Economics'!$A$6:$AZ$6,0))),'Oxford Economics'!$A$7:$A$1000,$C14,'Oxford Economics'!$B$7:$B$1000,Settings!$B$12)-SUMIFS(INDEX('Oxford Economics'!$A$7:$AZ$1000,0,IFERROR(MATCH(AK$5,'Oxford Economics'!$A$6:$AZ$6,0),MATCH(AK$5&amp;"",'Oxford Economics'!$A$6:$AZ$6,0))),'Oxford Economics'!$A$7:$A$1000,$C14,'Oxford Economics'!$B$7:$B$1000,Settings!$B$14),SUMIFS(INDEX('Oxford Economics'!$A$7:$AZ$1000,0,IFERROR(MATCH(AK$5,'Oxford Economics'!$A$6:$AZ$6,0),MATCH(AK$5&amp;"",'Oxford Economics'!$A$6:$AZ$6,0))),'Oxford Economics'!$A$7:$A$1000,$C14,'Oxford Economics'!$B$7:$B$1000,Settings!$B$14)+SUMIFS(INDEX('Oxford Economics'!$A$7:$AZ$1000,0,IFERROR(MATCH(AK$5,'Oxford Economics'!$A$6:$AZ$6,0),MATCH(AK$5&amp;"",'Oxford Economics'!$A$6:$AZ$6,0))),'Oxford Economics'!$A$7:$A$1000,$C14,'Oxford Economics'!$B$7:$B$1000,Settings!$B$16)+IF(Settings!$B$18="",0,SUMIFS(INDEX('Oxford Economics'!$A$7:$AZ$1000,0,IFERROR(MATCH(AK$5,'Oxford Economics'!$A$6:$AZ$6,0),MATCH(AK$5&amp;"",'Oxford Economics'!$A$6:$AZ$6,0))),'Oxford Economics'!$A$7:$A$1000,$C14,'Oxford Economics'!$B$7:$B$1000,Settings!$B$18)))),""))</f>
        <v>4191.03</v>
      </c>
      <c r="AL14" s="38" t="n">
        <f aca="false">IF($A14="","",IFERROR(1/(1/IF($B14="Residential",SUMIFS(INDEX('Oxford Economics'!$A$7:$AZ$1000,0,IFERROR(MATCH(AL$5,'Oxford Economics'!$A$6:$AZ$6,0),MATCH(AL$5&amp;"",'Oxford Economics'!$A$6:$AZ$6,0))),'Oxford Economics'!$A$7:$A$1000,$C14,'Oxford Economics'!$B$7:$B$1000,Settings!$B$12)-SUMIFS(INDEX('Oxford Economics'!$A$7:$AZ$1000,0,IFERROR(MATCH(AL$5,'Oxford Economics'!$A$6:$AZ$6,0),MATCH(AL$5&amp;"",'Oxford Economics'!$A$6:$AZ$6,0))),'Oxford Economics'!$A$7:$A$1000,$C14,'Oxford Economics'!$B$7:$B$1000,Settings!$B$14),SUMIFS(INDEX('Oxford Economics'!$A$7:$AZ$1000,0,IFERROR(MATCH(AL$5,'Oxford Economics'!$A$6:$AZ$6,0),MATCH(AL$5&amp;"",'Oxford Economics'!$A$6:$AZ$6,0))),'Oxford Economics'!$A$7:$A$1000,$C14,'Oxford Economics'!$B$7:$B$1000,Settings!$B$14)+SUMIFS(INDEX('Oxford Economics'!$A$7:$AZ$1000,0,IFERROR(MATCH(AL$5,'Oxford Economics'!$A$6:$AZ$6,0),MATCH(AL$5&amp;"",'Oxford Economics'!$A$6:$AZ$6,0))),'Oxford Economics'!$A$7:$A$1000,$C14,'Oxford Economics'!$B$7:$B$1000,Settings!$B$16)+IF(Settings!$B$18="",0,SUMIFS(INDEX('Oxford Economics'!$A$7:$AZ$1000,0,IFERROR(MATCH(AL$5,'Oxford Economics'!$A$6:$AZ$6,0),MATCH(AL$5&amp;"",'Oxford Economics'!$A$6:$AZ$6,0))),'Oxford Economics'!$A$7:$A$1000,$C14,'Oxford Economics'!$B$7:$B$1000,Settings!$B$18)))),""))</f>
        <v>4287.23</v>
      </c>
      <c r="AM14" s="38" t="n">
        <f aca="false">IF($A14="","",IFERROR(1/(1/IF($B14="Residential",SUMIFS(INDEX('Oxford Economics'!$A$7:$AZ$1000,0,IFERROR(MATCH(AM$5,'Oxford Economics'!$A$6:$AZ$6,0),MATCH(AM$5&amp;"",'Oxford Economics'!$A$6:$AZ$6,0))),'Oxford Economics'!$A$7:$A$1000,$C14,'Oxford Economics'!$B$7:$B$1000,Settings!$B$12)-SUMIFS(INDEX('Oxford Economics'!$A$7:$AZ$1000,0,IFERROR(MATCH(AM$5,'Oxford Economics'!$A$6:$AZ$6,0),MATCH(AM$5&amp;"",'Oxford Economics'!$A$6:$AZ$6,0))),'Oxford Economics'!$A$7:$A$1000,$C14,'Oxford Economics'!$B$7:$B$1000,Settings!$B$14),SUMIFS(INDEX('Oxford Economics'!$A$7:$AZ$1000,0,IFERROR(MATCH(AM$5,'Oxford Economics'!$A$6:$AZ$6,0),MATCH(AM$5&amp;"",'Oxford Economics'!$A$6:$AZ$6,0))),'Oxford Economics'!$A$7:$A$1000,$C14,'Oxford Economics'!$B$7:$B$1000,Settings!$B$14)+SUMIFS(INDEX('Oxford Economics'!$A$7:$AZ$1000,0,IFERROR(MATCH(AM$5,'Oxford Economics'!$A$6:$AZ$6,0),MATCH(AM$5&amp;"",'Oxford Economics'!$A$6:$AZ$6,0))),'Oxford Economics'!$A$7:$A$1000,$C14,'Oxford Economics'!$B$7:$B$1000,Settings!$B$16)+IF(Settings!$B$18="",0,SUMIFS(INDEX('Oxford Economics'!$A$7:$AZ$1000,0,IFERROR(MATCH(AM$5,'Oxford Economics'!$A$6:$AZ$6,0),MATCH(AM$5&amp;"",'Oxford Economics'!$A$6:$AZ$6,0))),'Oxford Economics'!$A$7:$A$1000,$C14,'Oxford Economics'!$B$7:$B$1000,Settings!$B$18)))),""))</f>
        <v>4403.06</v>
      </c>
    </row>
    <row r="15" customFormat="false" ht="15" hidden="false" customHeight="false" outlineLevel="0" collapsed="false">
      <c r="A15" s="37" t="str">
        <f aca="false">IF('Raw data'!$A15="","",'Raw data'!$A15)</f>
        <v>Czech Republic</v>
      </c>
      <c r="B15" s="37" t="str">
        <f aca="false">IF($A15="","",'Raw data'!$C15)</f>
        <v>Commercial</v>
      </c>
      <c r="C15" s="37" t="str">
        <f aca="false">IF($A15="","",IF('Raw data'!$E15="",$A15,'Raw data'!$E15))</f>
        <v>Czech Republic</v>
      </c>
      <c r="D15" s="38" t="n">
        <f aca="false">IF($A15="","",IF(AND(ISNUMBER(P15),ISNUMBER(AB15)),P15+AB15,""))</f>
        <v>7896.16</v>
      </c>
      <c r="E15" s="38" t="n">
        <f aca="false">IF($A15="","",IF(AND(ISNUMBER(Q15),ISNUMBER(AC15)),Q15+AC15,""))</f>
        <v>7964.26</v>
      </c>
      <c r="F15" s="38" t="n">
        <f aca="false">IF($A15="","",IF(AND(ISNUMBER(R15),ISNUMBER(AD15)),R15+AD15,""))</f>
        <v>7825.68</v>
      </c>
      <c r="G15" s="38" t="n">
        <f aca="false">IF($A15="","",IF(AND(ISNUMBER(S15),ISNUMBER(AE15)),S15+AE15,""))</f>
        <v>7566.64</v>
      </c>
      <c r="H15" s="38" t="n">
        <f aca="false">IF($A15="","",IF(AND(ISNUMBER(T15),ISNUMBER(AF15)),T15+AF15,""))</f>
        <v>7611.46</v>
      </c>
      <c r="I15" s="38" t="n">
        <f aca="false">IF($A15="","",IF(AND(ISNUMBER(U15),ISNUMBER(AG15)),U15+AG15,""))</f>
        <v>7763.99</v>
      </c>
      <c r="J15" s="38" t="n">
        <f aca="false">IF($A15="","",IF(AND(ISNUMBER(V15),ISNUMBER(AH15)),V15+AH15,""))</f>
        <v>8161.12</v>
      </c>
      <c r="K15" s="38" t="n">
        <f aca="false">IF($A15="","",IF(AND(ISNUMBER(W15),ISNUMBER(AI15)),W15+AI15,""))</f>
        <v>8583.41</v>
      </c>
      <c r="L15" s="38" t="n">
        <f aca="false">IF($A15="","",IF(AND(ISNUMBER(X15),ISNUMBER(AJ15)),X15+AJ15,""))</f>
        <v>8955.14</v>
      </c>
      <c r="M15" s="38" t="n">
        <f aca="false">IF($A15="","",IF(AND(ISNUMBER(Y15),ISNUMBER(AK15)),Y15+AK15,""))</f>
        <v>9395.31</v>
      </c>
      <c r="N15" s="38" t="n">
        <f aca="false">IF($A15="","",IF(AND(ISNUMBER(Z15),ISNUMBER(AL15)),Z15+AL15,""))</f>
        <v>9729.59</v>
      </c>
      <c r="O15" s="38" t="n">
        <f aca="false">IF($A15="","",IF(AND(ISNUMBER(AA15),ISNUMBER(AM15)),AA15+AM15,""))</f>
        <v>9929.42</v>
      </c>
      <c r="P15" s="38" t="n">
        <f aca="false">IF($A15="","",IFERROR(1/(1/IF($B15="Residential",SUMIFS(INDEX('Oxford Economics'!$A$7:$AZ$1000,0,IFERROR(MATCH(P$5,'Oxford Economics'!$A$6:$AZ$6,0),MATCH(P$5&amp;"",'Oxford Economics'!$A$6:$AZ$6,0))),'Oxford Economics'!$A$7:$A$1000,$C15,'Oxford Economics'!$B$7:$B$1000,Settings!$B$13)-SUMIFS(INDEX('Oxford Economics'!$A$7:$AZ$1000,0,IFERROR(MATCH(P$5,'Oxford Economics'!$A$6:$AZ$6,0),MATCH(P$5&amp;"",'Oxford Economics'!$A$6:$AZ$6,0))),'Oxford Economics'!$A$7:$A$1000,$C15,'Oxford Economics'!$B$7:$B$1000,Settings!$B$15),SUMIFS(INDEX('Oxford Economics'!$A$7:$AZ$1000,0,IFERROR(MATCH(P$5,'Oxford Economics'!$A$6:$AZ$6,0),MATCH(P$5&amp;"",'Oxford Economics'!$A$6:$AZ$6,0))),'Oxford Economics'!$A$7:$A$1000,$C15,'Oxford Economics'!$B$7:$B$1000,Settings!$B$15)+SUMIFS(INDEX('Oxford Economics'!$A$7:$AZ$1000,0,IFERROR(MATCH(P$5,'Oxford Economics'!$A$6:$AZ$6,0),MATCH(P$5&amp;"",'Oxford Economics'!$A$6:$AZ$6,0))),'Oxford Economics'!$A$7:$A$1000,$C15,'Oxford Economics'!$B$7:$B$1000,Settings!$B$17)+IF(Settings!$B$19="",0,SUMIFS(INDEX('Oxford Economics'!$A$7:$AZ$1000,0,IFERROR(MATCH(P$5,'Oxford Economics'!$A$6:$AZ$6,0),MATCH(P$5&amp;"",'Oxford Economics'!$A$6:$AZ$6,0))),'Oxford Economics'!$A$7:$A$1000,$C15,'Oxford Economics'!$B$7:$B$1000,Settings!$B$19)))),""))</f>
        <v>2472.3</v>
      </c>
      <c r="Q15" s="38" t="n">
        <f aca="false">IF($A15="","",IFERROR(1/(1/IF($B15="Residential",SUMIFS(INDEX('Oxford Economics'!$A$7:$AZ$1000,0,IFERROR(MATCH(Q$5,'Oxford Economics'!$A$6:$AZ$6,0),MATCH(Q$5&amp;"",'Oxford Economics'!$A$6:$AZ$6,0))),'Oxford Economics'!$A$7:$A$1000,$C15,'Oxford Economics'!$B$7:$B$1000,Settings!$B$13)-SUMIFS(INDEX('Oxford Economics'!$A$7:$AZ$1000,0,IFERROR(MATCH(Q$5,'Oxford Economics'!$A$6:$AZ$6,0),MATCH(Q$5&amp;"",'Oxford Economics'!$A$6:$AZ$6,0))),'Oxford Economics'!$A$7:$A$1000,$C15,'Oxford Economics'!$B$7:$B$1000,Settings!$B$15),SUMIFS(INDEX('Oxford Economics'!$A$7:$AZ$1000,0,IFERROR(MATCH(Q$5,'Oxford Economics'!$A$6:$AZ$6,0),MATCH(Q$5&amp;"",'Oxford Economics'!$A$6:$AZ$6,0))),'Oxford Economics'!$A$7:$A$1000,$C15,'Oxford Economics'!$B$7:$B$1000,Settings!$B$15)+SUMIFS(INDEX('Oxford Economics'!$A$7:$AZ$1000,0,IFERROR(MATCH(Q$5,'Oxford Economics'!$A$6:$AZ$6,0),MATCH(Q$5&amp;"",'Oxford Economics'!$A$6:$AZ$6,0))),'Oxford Economics'!$A$7:$A$1000,$C15,'Oxford Economics'!$B$7:$B$1000,Settings!$B$17)+IF(Settings!$B$19="",0,SUMIFS(INDEX('Oxford Economics'!$A$7:$AZ$1000,0,IFERROR(MATCH(Q$5,'Oxford Economics'!$A$6:$AZ$6,0),MATCH(Q$5&amp;"",'Oxford Economics'!$A$6:$AZ$6,0))),'Oxford Economics'!$A$7:$A$1000,$C15,'Oxford Economics'!$B$7:$B$1000,Settings!$B$19)))),""))</f>
        <v>2635.6</v>
      </c>
      <c r="R15" s="38" t="n">
        <f aca="false">IF($A15="","",IFERROR(1/(1/IF($B15="Residential",SUMIFS(INDEX('Oxford Economics'!$A$7:$AZ$1000,0,IFERROR(MATCH(R$5,'Oxford Economics'!$A$6:$AZ$6,0),MATCH(R$5&amp;"",'Oxford Economics'!$A$6:$AZ$6,0))),'Oxford Economics'!$A$7:$A$1000,$C15,'Oxford Economics'!$B$7:$B$1000,Settings!$B$13)-SUMIFS(INDEX('Oxford Economics'!$A$7:$AZ$1000,0,IFERROR(MATCH(R$5,'Oxford Economics'!$A$6:$AZ$6,0),MATCH(R$5&amp;"",'Oxford Economics'!$A$6:$AZ$6,0))),'Oxford Economics'!$A$7:$A$1000,$C15,'Oxford Economics'!$B$7:$B$1000,Settings!$B$15),SUMIFS(INDEX('Oxford Economics'!$A$7:$AZ$1000,0,IFERROR(MATCH(R$5,'Oxford Economics'!$A$6:$AZ$6,0),MATCH(R$5&amp;"",'Oxford Economics'!$A$6:$AZ$6,0))),'Oxford Economics'!$A$7:$A$1000,$C15,'Oxford Economics'!$B$7:$B$1000,Settings!$B$15)+SUMIFS(INDEX('Oxford Economics'!$A$7:$AZ$1000,0,IFERROR(MATCH(R$5,'Oxford Economics'!$A$6:$AZ$6,0),MATCH(R$5&amp;"",'Oxford Economics'!$A$6:$AZ$6,0))),'Oxford Economics'!$A$7:$A$1000,$C15,'Oxford Economics'!$B$7:$B$1000,Settings!$B$17)+IF(Settings!$B$19="",0,SUMIFS(INDEX('Oxford Economics'!$A$7:$AZ$1000,0,IFERROR(MATCH(R$5,'Oxford Economics'!$A$6:$AZ$6,0),MATCH(R$5&amp;"",'Oxford Economics'!$A$6:$AZ$6,0))),'Oxford Economics'!$A$7:$A$1000,$C15,'Oxford Economics'!$B$7:$B$1000,Settings!$B$19)))),""))</f>
        <v>2339.06</v>
      </c>
      <c r="S15" s="38" t="n">
        <f aca="false">IF($A15="","",IFERROR(1/(1/IF($B15="Residential",SUMIFS(INDEX('Oxford Economics'!$A$7:$AZ$1000,0,IFERROR(MATCH(S$5,'Oxford Economics'!$A$6:$AZ$6,0),MATCH(S$5&amp;"",'Oxford Economics'!$A$6:$AZ$6,0))),'Oxford Economics'!$A$7:$A$1000,$C15,'Oxford Economics'!$B$7:$B$1000,Settings!$B$13)-SUMIFS(INDEX('Oxford Economics'!$A$7:$AZ$1000,0,IFERROR(MATCH(S$5,'Oxford Economics'!$A$6:$AZ$6,0),MATCH(S$5&amp;"",'Oxford Economics'!$A$6:$AZ$6,0))),'Oxford Economics'!$A$7:$A$1000,$C15,'Oxford Economics'!$B$7:$B$1000,Settings!$B$15),SUMIFS(INDEX('Oxford Economics'!$A$7:$AZ$1000,0,IFERROR(MATCH(S$5,'Oxford Economics'!$A$6:$AZ$6,0),MATCH(S$5&amp;"",'Oxford Economics'!$A$6:$AZ$6,0))),'Oxford Economics'!$A$7:$A$1000,$C15,'Oxford Economics'!$B$7:$B$1000,Settings!$B$15)+SUMIFS(INDEX('Oxford Economics'!$A$7:$AZ$1000,0,IFERROR(MATCH(S$5,'Oxford Economics'!$A$6:$AZ$6,0),MATCH(S$5&amp;"",'Oxford Economics'!$A$6:$AZ$6,0))),'Oxford Economics'!$A$7:$A$1000,$C15,'Oxford Economics'!$B$7:$B$1000,Settings!$B$17)+IF(Settings!$B$19="",0,SUMIFS(INDEX('Oxford Economics'!$A$7:$AZ$1000,0,IFERROR(MATCH(S$5,'Oxford Economics'!$A$6:$AZ$6,0),MATCH(S$5&amp;"",'Oxford Economics'!$A$6:$AZ$6,0))),'Oxford Economics'!$A$7:$A$1000,$C15,'Oxford Economics'!$B$7:$B$1000,Settings!$B$19)))),""))</f>
        <v>2438.97</v>
      </c>
      <c r="T15" s="38" t="n">
        <f aca="false">IF($A15="","",IFERROR(1/(1/IF($B15="Residential",SUMIFS(INDEX('Oxford Economics'!$A$7:$AZ$1000,0,IFERROR(MATCH(T$5,'Oxford Economics'!$A$6:$AZ$6,0),MATCH(T$5&amp;"",'Oxford Economics'!$A$6:$AZ$6,0))),'Oxford Economics'!$A$7:$A$1000,$C15,'Oxford Economics'!$B$7:$B$1000,Settings!$B$13)-SUMIFS(INDEX('Oxford Economics'!$A$7:$AZ$1000,0,IFERROR(MATCH(T$5,'Oxford Economics'!$A$6:$AZ$6,0),MATCH(T$5&amp;"",'Oxford Economics'!$A$6:$AZ$6,0))),'Oxford Economics'!$A$7:$A$1000,$C15,'Oxford Economics'!$B$7:$B$1000,Settings!$B$15),SUMIFS(INDEX('Oxford Economics'!$A$7:$AZ$1000,0,IFERROR(MATCH(T$5,'Oxford Economics'!$A$6:$AZ$6,0),MATCH(T$5&amp;"",'Oxford Economics'!$A$6:$AZ$6,0))),'Oxford Economics'!$A$7:$A$1000,$C15,'Oxford Economics'!$B$7:$B$1000,Settings!$B$15)+SUMIFS(INDEX('Oxford Economics'!$A$7:$AZ$1000,0,IFERROR(MATCH(T$5,'Oxford Economics'!$A$6:$AZ$6,0),MATCH(T$5&amp;"",'Oxford Economics'!$A$6:$AZ$6,0))),'Oxford Economics'!$A$7:$A$1000,$C15,'Oxford Economics'!$B$7:$B$1000,Settings!$B$17)+IF(Settings!$B$19="",0,SUMIFS(INDEX('Oxford Economics'!$A$7:$AZ$1000,0,IFERROR(MATCH(T$5,'Oxford Economics'!$A$6:$AZ$6,0),MATCH(T$5&amp;"",'Oxford Economics'!$A$6:$AZ$6,0))),'Oxford Economics'!$A$7:$A$1000,$C15,'Oxford Economics'!$B$7:$B$1000,Settings!$B$19)))),""))</f>
        <v>2433.11</v>
      </c>
      <c r="U15" s="38" t="n">
        <f aca="false">IF($A15="","",IFERROR(1/(1/IF($B15="Residential",SUMIFS(INDEX('Oxford Economics'!$A$7:$AZ$1000,0,IFERROR(MATCH(U$5,'Oxford Economics'!$A$6:$AZ$6,0),MATCH(U$5&amp;"",'Oxford Economics'!$A$6:$AZ$6,0))),'Oxford Economics'!$A$7:$A$1000,$C15,'Oxford Economics'!$B$7:$B$1000,Settings!$B$13)-SUMIFS(INDEX('Oxford Economics'!$A$7:$AZ$1000,0,IFERROR(MATCH(U$5,'Oxford Economics'!$A$6:$AZ$6,0),MATCH(U$5&amp;"",'Oxford Economics'!$A$6:$AZ$6,0))),'Oxford Economics'!$A$7:$A$1000,$C15,'Oxford Economics'!$B$7:$B$1000,Settings!$B$15),SUMIFS(INDEX('Oxford Economics'!$A$7:$AZ$1000,0,IFERROR(MATCH(U$5,'Oxford Economics'!$A$6:$AZ$6,0),MATCH(U$5&amp;"",'Oxford Economics'!$A$6:$AZ$6,0))),'Oxford Economics'!$A$7:$A$1000,$C15,'Oxford Economics'!$B$7:$B$1000,Settings!$B$15)+SUMIFS(INDEX('Oxford Economics'!$A$7:$AZ$1000,0,IFERROR(MATCH(U$5,'Oxford Economics'!$A$6:$AZ$6,0),MATCH(U$5&amp;"",'Oxford Economics'!$A$6:$AZ$6,0))),'Oxford Economics'!$A$7:$A$1000,$C15,'Oxford Economics'!$B$7:$B$1000,Settings!$B$17)+IF(Settings!$B$19="",0,SUMIFS(INDEX('Oxford Economics'!$A$7:$AZ$1000,0,IFERROR(MATCH(U$5,'Oxford Economics'!$A$6:$AZ$6,0),MATCH(U$5&amp;"",'Oxford Economics'!$A$6:$AZ$6,0))),'Oxford Economics'!$A$7:$A$1000,$C15,'Oxford Economics'!$B$7:$B$1000,Settings!$B$19)))),""))</f>
        <v>2470.17</v>
      </c>
      <c r="V15" s="38" t="n">
        <f aca="false">IF($A15="","",IFERROR(1/(1/IF($B15="Residential",SUMIFS(INDEX('Oxford Economics'!$A$7:$AZ$1000,0,IFERROR(MATCH(V$5,'Oxford Economics'!$A$6:$AZ$6,0),MATCH(V$5&amp;"",'Oxford Economics'!$A$6:$AZ$6,0))),'Oxford Economics'!$A$7:$A$1000,$C15,'Oxford Economics'!$B$7:$B$1000,Settings!$B$13)-SUMIFS(INDEX('Oxford Economics'!$A$7:$AZ$1000,0,IFERROR(MATCH(V$5,'Oxford Economics'!$A$6:$AZ$6,0),MATCH(V$5&amp;"",'Oxford Economics'!$A$6:$AZ$6,0))),'Oxford Economics'!$A$7:$A$1000,$C15,'Oxford Economics'!$B$7:$B$1000,Settings!$B$15),SUMIFS(INDEX('Oxford Economics'!$A$7:$AZ$1000,0,IFERROR(MATCH(V$5,'Oxford Economics'!$A$6:$AZ$6,0),MATCH(V$5&amp;"",'Oxford Economics'!$A$6:$AZ$6,0))),'Oxford Economics'!$A$7:$A$1000,$C15,'Oxford Economics'!$B$7:$B$1000,Settings!$B$15)+SUMIFS(INDEX('Oxford Economics'!$A$7:$AZ$1000,0,IFERROR(MATCH(V$5,'Oxford Economics'!$A$6:$AZ$6,0),MATCH(V$5&amp;"",'Oxford Economics'!$A$6:$AZ$6,0))),'Oxford Economics'!$A$7:$A$1000,$C15,'Oxford Economics'!$B$7:$B$1000,Settings!$B$17)+IF(Settings!$B$19="",0,SUMIFS(INDEX('Oxford Economics'!$A$7:$AZ$1000,0,IFERROR(MATCH(V$5,'Oxford Economics'!$A$6:$AZ$6,0),MATCH(V$5&amp;"",'Oxford Economics'!$A$6:$AZ$6,0))),'Oxford Economics'!$A$7:$A$1000,$C15,'Oxford Economics'!$B$7:$B$1000,Settings!$B$19)))),""))</f>
        <v>2558.37</v>
      </c>
      <c r="W15" s="38" t="n">
        <f aca="false">IF($A15="","",IFERROR(1/(1/IF($B15="Residential",SUMIFS(INDEX('Oxford Economics'!$A$7:$AZ$1000,0,IFERROR(MATCH(W$5,'Oxford Economics'!$A$6:$AZ$6,0),MATCH(W$5&amp;"",'Oxford Economics'!$A$6:$AZ$6,0))),'Oxford Economics'!$A$7:$A$1000,$C15,'Oxford Economics'!$B$7:$B$1000,Settings!$B$13)-SUMIFS(INDEX('Oxford Economics'!$A$7:$AZ$1000,0,IFERROR(MATCH(W$5,'Oxford Economics'!$A$6:$AZ$6,0),MATCH(W$5&amp;"",'Oxford Economics'!$A$6:$AZ$6,0))),'Oxford Economics'!$A$7:$A$1000,$C15,'Oxford Economics'!$B$7:$B$1000,Settings!$B$15),SUMIFS(INDEX('Oxford Economics'!$A$7:$AZ$1000,0,IFERROR(MATCH(W$5,'Oxford Economics'!$A$6:$AZ$6,0),MATCH(W$5&amp;"",'Oxford Economics'!$A$6:$AZ$6,0))),'Oxford Economics'!$A$7:$A$1000,$C15,'Oxford Economics'!$B$7:$B$1000,Settings!$B$15)+SUMIFS(INDEX('Oxford Economics'!$A$7:$AZ$1000,0,IFERROR(MATCH(W$5,'Oxford Economics'!$A$6:$AZ$6,0),MATCH(W$5&amp;"",'Oxford Economics'!$A$6:$AZ$6,0))),'Oxford Economics'!$A$7:$A$1000,$C15,'Oxford Economics'!$B$7:$B$1000,Settings!$B$17)+IF(Settings!$B$19="",0,SUMIFS(INDEX('Oxford Economics'!$A$7:$AZ$1000,0,IFERROR(MATCH(W$5,'Oxford Economics'!$A$6:$AZ$6,0),MATCH(W$5&amp;"",'Oxford Economics'!$A$6:$AZ$6,0))),'Oxford Economics'!$A$7:$A$1000,$C15,'Oxford Economics'!$B$7:$B$1000,Settings!$B$19)))),""))</f>
        <v>2698.04</v>
      </c>
      <c r="X15" s="38" t="n">
        <f aca="false">IF($A15="","",IFERROR(1/(1/IF($B15="Residential",SUMIFS(INDEX('Oxford Economics'!$A$7:$AZ$1000,0,IFERROR(MATCH(X$5,'Oxford Economics'!$A$6:$AZ$6,0),MATCH(X$5&amp;"",'Oxford Economics'!$A$6:$AZ$6,0))),'Oxford Economics'!$A$7:$A$1000,$C15,'Oxford Economics'!$B$7:$B$1000,Settings!$B$13)-SUMIFS(INDEX('Oxford Economics'!$A$7:$AZ$1000,0,IFERROR(MATCH(X$5,'Oxford Economics'!$A$6:$AZ$6,0),MATCH(X$5&amp;"",'Oxford Economics'!$A$6:$AZ$6,0))),'Oxford Economics'!$A$7:$A$1000,$C15,'Oxford Economics'!$B$7:$B$1000,Settings!$B$15),SUMIFS(INDEX('Oxford Economics'!$A$7:$AZ$1000,0,IFERROR(MATCH(X$5,'Oxford Economics'!$A$6:$AZ$6,0),MATCH(X$5&amp;"",'Oxford Economics'!$A$6:$AZ$6,0))),'Oxford Economics'!$A$7:$A$1000,$C15,'Oxford Economics'!$B$7:$B$1000,Settings!$B$15)+SUMIFS(INDEX('Oxford Economics'!$A$7:$AZ$1000,0,IFERROR(MATCH(X$5,'Oxford Economics'!$A$6:$AZ$6,0),MATCH(X$5&amp;"",'Oxford Economics'!$A$6:$AZ$6,0))),'Oxford Economics'!$A$7:$A$1000,$C15,'Oxford Economics'!$B$7:$B$1000,Settings!$B$17)+IF(Settings!$B$19="",0,SUMIFS(INDEX('Oxford Economics'!$A$7:$AZ$1000,0,IFERROR(MATCH(X$5,'Oxford Economics'!$A$6:$AZ$6,0),MATCH(X$5&amp;"",'Oxford Economics'!$A$6:$AZ$6,0))),'Oxford Economics'!$A$7:$A$1000,$C15,'Oxford Economics'!$B$7:$B$1000,Settings!$B$19)))),""))</f>
        <v>2894.32</v>
      </c>
      <c r="Y15" s="38" t="n">
        <f aca="false">IF($A15="","",IFERROR(1/(1/IF($B15="Residential",SUMIFS(INDEX('Oxford Economics'!$A$7:$AZ$1000,0,IFERROR(MATCH(Y$5,'Oxford Economics'!$A$6:$AZ$6,0),MATCH(Y$5&amp;"",'Oxford Economics'!$A$6:$AZ$6,0))),'Oxford Economics'!$A$7:$A$1000,$C15,'Oxford Economics'!$B$7:$B$1000,Settings!$B$13)-SUMIFS(INDEX('Oxford Economics'!$A$7:$AZ$1000,0,IFERROR(MATCH(Y$5,'Oxford Economics'!$A$6:$AZ$6,0),MATCH(Y$5&amp;"",'Oxford Economics'!$A$6:$AZ$6,0))),'Oxford Economics'!$A$7:$A$1000,$C15,'Oxford Economics'!$B$7:$B$1000,Settings!$B$15),SUMIFS(INDEX('Oxford Economics'!$A$7:$AZ$1000,0,IFERROR(MATCH(Y$5,'Oxford Economics'!$A$6:$AZ$6,0),MATCH(Y$5&amp;"",'Oxford Economics'!$A$6:$AZ$6,0))),'Oxford Economics'!$A$7:$A$1000,$C15,'Oxford Economics'!$B$7:$B$1000,Settings!$B$15)+SUMIFS(INDEX('Oxford Economics'!$A$7:$AZ$1000,0,IFERROR(MATCH(Y$5,'Oxford Economics'!$A$6:$AZ$6,0),MATCH(Y$5&amp;"",'Oxford Economics'!$A$6:$AZ$6,0))),'Oxford Economics'!$A$7:$A$1000,$C15,'Oxford Economics'!$B$7:$B$1000,Settings!$B$17)+IF(Settings!$B$19="",0,SUMIFS(INDEX('Oxford Economics'!$A$7:$AZ$1000,0,IFERROR(MATCH(Y$5,'Oxford Economics'!$A$6:$AZ$6,0),MATCH(Y$5&amp;"",'Oxford Economics'!$A$6:$AZ$6,0))),'Oxford Economics'!$A$7:$A$1000,$C15,'Oxford Economics'!$B$7:$B$1000,Settings!$B$19)))),""))</f>
        <v>3115.05</v>
      </c>
      <c r="Z15" s="38" t="n">
        <f aca="false">IF($A15="","",IFERROR(1/(1/IF($B15="Residential",SUMIFS(INDEX('Oxford Economics'!$A$7:$AZ$1000,0,IFERROR(MATCH(Z$5,'Oxford Economics'!$A$6:$AZ$6,0),MATCH(Z$5&amp;"",'Oxford Economics'!$A$6:$AZ$6,0))),'Oxford Economics'!$A$7:$A$1000,$C15,'Oxford Economics'!$B$7:$B$1000,Settings!$B$13)-SUMIFS(INDEX('Oxford Economics'!$A$7:$AZ$1000,0,IFERROR(MATCH(Z$5,'Oxford Economics'!$A$6:$AZ$6,0),MATCH(Z$5&amp;"",'Oxford Economics'!$A$6:$AZ$6,0))),'Oxford Economics'!$A$7:$A$1000,$C15,'Oxford Economics'!$B$7:$B$1000,Settings!$B$15),SUMIFS(INDEX('Oxford Economics'!$A$7:$AZ$1000,0,IFERROR(MATCH(Z$5,'Oxford Economics'!$A$6:$AZ$6,0),MATCH(Z$5&amp;"",'Oxford Economics'!$A$6:$AZ$6,0))),'Oxford Economics'!$A$7:$A$1000,$C15,'Oxford Economics'!$B$7:$B$1000,Settings!$B$15)+SUMIFS(INDEX('Oxford Economics'!$A$7:$AZ$1000,0,IFERROR(MATCH(Z$5,'Oxford Economics'!$A$6:$AZ$6,0),MATCH(Z$5&amp;"",'Oxford Economics'!$A$6:$AZ$6,0))),'Oxford Economics'!$A$7:$A$1000,$C15,'Oxford Economics'!$B$7:$B$1000,Settings!$B$17)+IF(Settings!$B$19="",0,SUMIFS(INDEX('Oxford Economics'!$A$7:$AZ$1000,0,IFERROR(MATCH(Z$5,'Oxford Economics'!$A$6:$AZ$6,0),MATCH(Z$5&amp;"",'Oxford Economics'!$A$6:$AZ$6,0))),'Oxford Economics'!$A$7:$A$1000,$C15,'Oxford Economics'!$B$7:$B$1000,Settings!$B$19)))),""))</f>
        <v>3261.16</v>
      </c>
      <c r="AA15" s="38" t="n">
        <f aca="false">IF($A15="","",IFERROR(1/(1/IF($B15="Residential",SUMIFS(INDEX('Oxford Economics'!$A$7:$AZ$1000,0,IFERROR(MATCH(AA$5,'Oxford Economics'!$A$6:$AZ$6,0),MATCH(AA$5&amp;"",'Oxford Economics'!$A$6:$AZ$6,0))),'Oxford Economics'!$A$7:$A$1000,$C15,'Oxford Economics'!$B$7:$B$1000,Settings!$B$13)-SUMIFS(INDEX('Oxford Economics'!$A$7:$AZ$1000,0,IFERROR(MATCH(AA$5,'Oxford Economics'!$A$6:$AZ$6,0),MATCH(AA$5&amp;"",'Oxford Economics'!$A$6:$AZ$6,0))),'Oxford Economics'!$A$7:$A$1000,$C15,'Oxford Economics'!$B$7:$B$1000,Settings!$B$15),SUMIFS(INDEX('Oxford Economics'!$A$7:$AZ$1000,0,IFERROR(MATCH(AA$5,'Oxford Economics'!$A$6:$AZ$6,0),MATCH(AA$5&amp;"",'Oxford Economics'!$A$6:$AZ$6,0))),'Oxford Economics'!$A$7:$A$1000,$C15,'Oxford Economics'!$B$7:$B$1000,Settings!$B$15)+SUMIFS(INDEX('Oxford Economics'!$A$7:$AZ$1000,0,IFERROR(MATCH(AA$5,'Oxford Economics'!$A$6:$AZ$6,0),MATCH(AA$5&amp;"",'Oxford Economics'!$A$6:$AZ$6,0))),'Oxford Economics'!$A$7:$A$1000,$C15,'Oxford Economics'!$B$7:$B$1000,Settings!$B$17)+IF(Settings!$B$19="",0,SUMIFS(INDEX('Oxford Economics'!$A$7:$AZ$1000,0,IFERROR(MATCH(AA$5,'Oxford Economics'!$A$6:$AZ$6,0),MATCH(AA$5&amp;"",'Oxford Economics'!$A$6:$AZ$6,0))),'Oxford Economics'!$A$7:$A$1000,$C15,'Oxford Economics'!$B$7:$B$1000,Settings!$B$19)))),""))</f>
        <v>3330.39</v>
      </c>
      <c r="AB15" s="38" t="n">
        <f aca="false">IF($A15="","",IFERROR(1/(1/IF($B15="Residential",SUMIFS(INDEX('Oxford Economics'!$A$7:$AZ$1000,0,IFERROR(MATCH(AB$5,'Oxford Economics'!$A$6:$AZ$6,0),MATCH(AB$5&amp;"",'Oxford Economics'!$A$6:$AZ$6,0))),'Oxford Economics'!$A$7:$A$1000,$C15,'Oxford Economics'!$B$7:$B$1000,Settings!$B$12)-SUMIFS(INDEX('Oxford Economics'!$A$7:$AZ$1000,0,IFERROR(MATCH(AB$5,'Oxford Economics'!$A$6:$AZ$6,0),MATCH(AB$5&amp;"",'Oxford Economics'!$A$6:$AZ$6,0))),'Oxford Economics'!$A$7:$A$1000,$C15,'Oxford Economics'!$B$7:$B$1000,Settings!$B$14),SUMIFS(INDEX('Oxford Economics'!$A$7:$AZ$1000,0,IFERROR(MATCH(AB$5,'Oxford Economics'!$A$6:$AZ$6,0),MATCH(AB$5&amp;"",'Oxford Economics'!$A$6:$AZ$6,0))),'Oxford Economics'!$A$7:$A$1000,$C15,'Oxford Economics'!$B$7:$B$1000,Settings!$B$14)+SUMIFS(INDEX('Oxford Economics'!$A$7:$AZ$1000,0,IFERROR(MATCH(AB$5,'Oxford Economics'!$A$6:$AZ$6,0),MATCH(AB$5&amp;"",'Oxford Economics'!$A$6:$AZ$6,0))),'Oxford Economics'!$A$7:$A$1000,$C15,'Oxford Economics'!$B$7:$B$1000,Settings!$B$16)+IF(Settings!$B$18="",0,SUMIFS(INDEX('Oxford Economics'!$A$7:$AZ$1000,0,IFERROR(MATCH(AB$5,'Oxford Economics'!$A$6:$AZ$6,0),MATCH(AB$5&amp;"",'Oxford Economics'!$A$6:$AZ$6,0))),'Oxford Economics'!$A$7:$A$1000,$C15,'Oxford Economics'!$B$7:$B$1000,Settings!$B$18)))),""))</f>
        <v>5423.86</v>
      </c>
      <c r="AC15" s="38" t="n">
        <f aca="false">IF($A15="","",IFERROR(1/(1/IF($B15="Residential",SUMIFS(INDEX('Oxford Economics'!$A$7:$AZ$1000,0,IFERROR(MATCH(AC$5,'Oxford Economics'!$A$6:$AZ$6,0),MATCH(AC$5&amp;"",'Oxford Economics'!$A$6:$AZ$6,0))),'Oxford Economics'!$A$7:$A$1000,$C15,'Oxford Economics'!$B$7:$B$1000,Settings!$B$12)-SUMIFS(INDEX('Oxford Economics'!$A$7:$AZ$1000,0,IFERROR(MATCH(AC$5,'Oxford Economics'!$A$6:$AZ$6,0),MATCH(AC$5&amp;"",'Oxford Economics'!$A$6:$AZ$6,0))),'Oxford Economics'!$A$7:$A$1000,$C15,'Oxford Economics'!$B$7:$B$1000,Settings!$B$14),SUMIFS(INDEX('Oxford Economics'!$A$7:$AZ$1000,0,IFERROR(MATCH(AC$5,'Oxford Economics'!$A$6:$AZ$6,0),MATCH(AC$5&amp;"",'Oxford Economics'!$A$6:$AZ$6,0))),'Oxford Economics'!$A$7:$A$1000,$C15,'Oxford Economics'!$B$7:$B$1000,Settings!$B$14)+SUMIFS(INDEX('Oxford Economics'!$A$7:$AZ$1000,0,IFERROR(MATCH(AC$5,'Oxford Economics'!$A$6:$AZ$6,0),MATCH(AC$5&amp;"",'Oxford Economics'!$A$6:$AZ$6,0))),'Oxford Economics'!$A$7:$A$1000,$C15,'Oxford Economics'!$B$7:$B$1000,Settings!$B$16)+IF(Settings!$B$18="",0,SUMIFS(INDEX('Oxford Economics'!$A$7:$AZ$1000,0,IFERROR(MATCH(AC$5,'Oxford Economics'!$A$6:$AZ$6,0),MATCH(AC$5&amp;"",'Oxford Economics'!$A$6:$AZ$6,0))),'Oxford Economics'!$A$7:$A$1000,$C15,'Oxford Economics'!$B$7:$B$1000,Settings!$B$18)))),""))</f>
        <v>5328.66</v>
      </c>
      <c r="AD15" s="38" t="n">
        <f aca="false">IF($A15="","",IFERROR(1/(1/IF($B15="Residential",SUMIFS(INDEX('Oxford Economics'!$A$7:$AZ$1000,0,IFERROR(MATCH(AD$5,'Oxford Economics'!$A$6:$AZ$6,0),MATCH(AD$5&amp;"",'Oxford Economics'!$A$6:$AZ$6,0))),'Oxford Economics'!$A$7:$A$1000,$C15,'Oxford Economics'!$B$7:$B$1000,Settings!$B$12)-SUMIFS(INDEX('Oxford Economics'!$A$7:$AZ$1000,0,IFERROR(MATCH(AD$5,'Oxford Economics'!$A$6:$AZ$6,0),MATCH(AD$5&amp;"",'Oxford Economics'!$A$6:$AZ$6,0))),'Oxford Economics'!$A$7:$A$1000,$C15,'Oxford Economics'!$B$7:$B$1000,Settings!$B$14),SUMIFS(INDEX('Oxford Economics'!$A$7:$AZ$1000,0,IFERROR(MATCH(AD$5,'Oxford Economics'!$A$6:$AZ$6,0),MATCH(AD$5&amp;"",'Oxford Economics'!$A$6:$AZ$6,0))),'Oxford Economics'!$A$7:$A$1000,$C15,'Oxford Economics'!$B$7:$B$1000,Settings!$B$14)+SUMIFS(INDEX('Oxford Economics'!$A$7:$AZ$1000,0,IFERROR(MATCH(AD$5,'Oxford Economics'!$A$6:$AZ$6,0),MATCH(AD$5&amp;"",'Oxford Economics'!$A$6:$AZ$6,0))),'Oxford Economics'!$A$7:$A$1000,$C15,'Oxford Economics'!$B$7:$B$1000,Settings!$B$16)+IF(Settings!$B$18="",0,SUMIFS(INDEX('Oxford Economics'!$A$7:$AZ$1000,0,IFERROR(MATCH(AD$5,'Oxford Economics'!$A$6:$AZ$6,0),MATCH(AD$5&amp;"",'Oxford Economics'!$A$6:$AZ$6,0))),'Oxford Economics'!$A$7:$A$1000,$C15,'Oxford Economics'!$B$7:$B$1000,Settings!$B$18)))),""))</f>
        <v>5486.62</v>
      </c>
      <c r="AE15" s="38" t="n">
        <f aca="false">IF($A15="","",IFERROR(1/(1/IF($B15="Residential",SUMIFS(INDEX('Oxford Economics'!$A$7:$AZ$1000,0,IFERROR(MATCH(AE$5,'Oxford Economics'!$A$6:$AZ$6,0),MATCH(AE$5&amp;"",'Oxford Economics'!$A$6:$AZ$6,0))),'Oxford Economics'!$A$7:$A$1000,$C15,'Oxford Economics'!$B$7:$B$1000,Settings!$B$12)-SUMIFS(INDEX('Oxford Economics'!$A$7:$AZ$1000,0,IFERROR(MATCH(AE$5,'Oxford Economics'!$A$6:$AZ$6,0),MATCH(AE$5&amp;"",'Oxford Economics'!$A$6:$AZ$6,0))),'Oxford Economics'!$A$7:$A$1000,$C15,'Oxford Economics'!$B$7:$B$1000,Settings!$B$14),SUMIFS(INDEX('Oxford Economics'!$A$7:$AZ$1000,0,IFERROR(MATCH(AE$5,'Oxford Economics'!$A$6:$AZ$6,0),MATCH(AE$5&amp;"",'Oxford Economics'!$A$6:$AZ$6,0))),'Oxford Economics'!$A$7:$A$1000,$C15,'Oxford Economics'!$B$7:$B$1000,Settings!$B$14)+SUMIFS(INDEX('Oxford Economics'!$A$7:$AZ$1000,0,IFERROR(MATCH(AE$5,'Oxford Economics'!$A$6:$AZ$6,0),MATCH(AE$5&amp;"",'Oxford Economics'!$A$6:$AZ$6,0))),'Oxford Economics'!$A$7:$A$1000,$C15,'Oxford Economics'!$B$7:$B$1000,Settings!$B$16)+IF(Settings!$B$18="",0,SUMIFS(INDEX('Oxford Economics'!$A$7:$AZ$1000,0,IFERROR(MATCH(AE$5,'Oxford Economics'!$A$6:$AZ$6,0),MATCH(AE$5&amp;"",'Oxford Economics'!$A$6:$AZ$6,0))),'Oxford Economics'!$A$7:$A$1000,$C15,'Oxford Economics'!$B$7:$B$1000,Settings!$B$18)))),""))</f>
        <v>5127.67</v>
      </c>
      <c r="AF15" s="38" t="n">
        <f aca="false">IF($A15="","",IFERROR(1/(1/IF($B15="Residential",SUMIFS(INDEX('Oxford Economics'!$A$7:$AZ$1000,0,IFERROR(MATCH(AF$5,'Oxford Economics'!$A$6:$AZ$6,0),MATCH(AF$5&amp;"",'Oxford Economics'!$A$6:$AZ$6,0))),'Oxford Economics'!$A$7:$A$1000,$C15,'Oxford Economics'!$B$7:$B$1000,Settings!$B$12)-SUMIFS(INDEX('Oxford Economics'!$A$7:$AZ$1000,0,IFERROR(MATCH(AF$5,'Oxford Economics'!$A$6:$AZ$6,0),MATCH(AF$5&amp;"",'Oxford Economics'!$A$6:$AZ$6,0))),'Oxford Economics'!$A$7:$A$1000,$C15,'Oxford Economics'!$B$7:$B$1000,Settings!$B$14),SUMIFS(INDEX('Oxford Economics'!$A$7:$AZ$1000,0,IFERROR(MATCH(AF$5,'Oxford Economics'!$A$6:$AZ$6,0),MATCH(AF$5&amp;"",'Oxford Economics'!$A$6:$AZ$6,0))),'Oxford Economics'!$A$7:$A$1000,$C15,'Oxford Economics'!$B$7:$B$1000,Settings!$B$14)+SUMIFS(INDEX('Oxford Economics'!$A$7:$AZ$1000,0,IFERROR(MATCH(AF$5,'Oxford Economics'!$A$6:$AZ$6,0),MATCH(AF$5&amp;"",'Oxford Economics'!$A$6:$AZ$6,0))),'Oxford Economics'!$A$7:$A$1000,$C15,'Oxford Economics'!$B$7:$B$1000,Settings!$B$16)+IF(Settings!$B$18="",0,SUMIFS(INDEX('Oxford Economics'!$A$7:$AZ$1000,0,IFERROR(MATCH(AF$5,'Oxford Economics'!$A$6:$AZ$6,0),MATCH(AF$5&amp;"",'Oxford Economics'!$A$6:$AZ$6,0))),'Oxford Economics'!$A$7:$A$1000,$C15,'Oxford Economics'!$B$7:$B$1000,Settings!$B$18)))),""))</f>
        <v>5178.35</v>
      </c>
      <c r="AG15" s="38" t="n">
        <f aca="false">IF($A15="","",IFERROR(1/(1/IF($B15="Residential",SUMIFS(INDEX('Oxford Economics'!$A$7:$AZ$1000,0,IFERROR(MATCH(AG$5,'Oxford Economics'!$A$6:$AZ$6,0),MATCH(AG$5&amp;"",'Oxford Economics'!$A$6:$AZ$6,0))),'Oxford Economics'!$A$7:$A$1000,$C15,'Oxford Economics'!$B$7:$B$1000,Settings!$B$12)-SUMIFS(INDEX('Oxford Economics'!$A$7:$AZ$1000,0,IFERROR(MATCH(AG$5,'Oxford Economics'!$A$6:$AZ$6,0),MATCH(AG$5&amp;"",'Oxford Economics'!$A$6:$AZ$6,0))),'Oxford Economics'!$A$7:$A$1000,$C15,'Oxford Economics'!$B$7:$B$1000,Settings!$B$14),SUMIFS(INDEX('Oxford Economics'!$A$7:$AZ$1000,0,IFERROR(MATCH(AG$5,'Oxford Economics'!$A$6:$AZ$6,0),MATCH(AG$5&amp;"",'Oxford Economics'!$A$6:$AZ$6,0))),'Oxford Economics'!$A$7:$A$1000,$C15,'Oxford Economics'!$B$7:$B$1000,Settings!$B$14)+SUMIFS(INDEX('Oxford Economics'!$A$7:$AZ$1000,0,IFERROR(MATCH(AG$5,'Oxford Economics'!$A$6:$AZ$6,0),MATCH(AG$5&amp;"",'Oxford Economics'!$A$6:$AZ$6,0))),'Oxford Economics'!$A$7:$A$1000,$C15,'Oxford Economics'!$B$7:$B$1000,Settings!$B$16)+IF(Settings!$B$18="",0,SUMIFS(INDEX('Oxford Economics'!$A$7:$AZ$1000,0,IFERROR(MATCH(AG$5,'Oxford Economics'!$A$6:$AZ$6,0),MATCH(AG$5&amp;"",'Oxford Economics'!$A$6:$AZ$6,0))),'Oxford Economics'!$A$7:$A$1000,$C15,'Oxford Economics'!$B$7:$B$1000,Settings!$B$18)))),""))</f>
        <v>5293.82</v>
      </c>
      <c r="AH15" s="38" t="n">
        <f aca="false">IF($A15="","",IFERROR(1/(1/IF($B15="Residential",SUMIFS(INDEX('Oxford Economics'!$A$7:$AZ$1000,0,IFERROR(MATCH(AH$5,'Oxford Economics'!$A$6:$AZ$6,0),MATCH(AH$5&amp;"",'Oxford Economics'!$A$6:$AZ$6,0))),'Oxford Economics'!$A$7:$A$1000,$C15,'Oxford Economics'!$B$7:$B$1000,Settings!$B$12)-SUMIFS(INDEX('Oxford Economics'!$A$7:$AZ$1000,0,IFERROR(MATCH(AH$5,'Oxford Economics'!$A$6:$AZ$6,0),MATCH(AH$5&amp;"",'Oxford Economics'!$A$6:$AZ$6,0))),'Oxford Economics'!$A$7:$A$1000,$C15,'Oxford Economics'!$B$7:$B$1000,Settings!$B$14),SUMIFS(INDEX('Oxford Economics'!$A$7:$AZ$1000,0,IFERROR(MATCH(AH$5,'Oxford Economics'!$A$6:$AZ$6,0),MATCH(AH$5&amp;"",'Oxford Economics'!$A$6:$AZ$6,0))),'Oxford Economics'!$A$7:$A$1000,$C15,'Oxford Economics'!$B$7:$B$1000,Settings!$B$14)+SUMIFS(INDEX('Oxford Economics'!$A$7:$AZ$1000,0,IFERROR(MATCH(AH$5,'Oxford Economics'!$A$6:$AZ$6,0),MATCH(AH$5&amp;"",'Oxford Economics'!$A$6:$AZ$6,0))),'Oxford Economics'!$A$7:$A$1000,$C15,'Oxford Economics'!$B$7:$B$1000,Settings!$B$16)+IF(Settings!$B$18="",0,SUMIFS(INDEX('Oxford Economics'!$A$7:$AZ$1000,0,IFERROR(MATCH(AH$5,'Oxford Economics'!$A$6:$AZ$6,0),MATCH(AH$5&amp;"",'Oxford Economics'!$A$6:$AZ$6,0))),'Oxford Economics'!$A$7:$A$1000,$C15,'Oxford Economics'!$B$7:$B$1000,Settings!$B$18)))),""))</f>
        <v>5602.75</v>
      </c>
      <c r="AI15" s="38" t="n">
        <f aca="false">IF($A15="","",IFERROR(1/(1/IF($B15="Residential",SUMIFS(INDEX('Oxford Economics'!$A$7:$AZ$1000,0,IFERROR(MATCH(AI$5,'Oxford Economics'!$A$6:$AZ$6,0),MATCH(AI$5&amp;"",'Oxford Economics'!$A$6:$AZ$6,0))),'Oxford Economics'!$A$7:$A$1000,$C15,'Oxford Economics'!$B$7:$B$1000,Settings!$B$12)-SUMIFS(INDEX('Oxford Economics'!$A$7:$AZ$1000,0,IFERROR(MATCH(AI$5,'Oxford Economics'!$A$6:$AZ$6,0),MATCH(AI$5&amp;"",'Oxford Economics'!$A$6:$AZ$6,0))),'Oxford Economics'!$A$7:$A$1000,$C15,'Oxford Economics'!$B$7:$B$1000,Settings!$B$14),SUMIFS(INDEX('Oxford Economics'!$A$7:$AZ$1000,0,IFERROR(MATCH(AI$5,'Oxford Economics'!$A$6:$AZ$6,0),MATCH(AI$5&amp;"",'Oxford Economics'!$A$6:$AZ$6,0))),'Oxford Economics'!$A$7:$A$1000,$C15,'Oxford Economics'!$B$7:$B$1000,Settings!$B$14)+SUMIFS(INDEX('Oxford Economics'!$A$7:$AZ$1000,0,IFERROR(MATCH(AI$5,'Oxford Economics'!$A$6:$AZ$6,0),MATCH(AI$5&amp;"",'Oxford Economics'!$A$6:$AZ$6,0))),'Oxford Economics'!$A$7:$A$1000,$C15,'Oxford Economics'!$B$7:$B$1000,Settings!$B$16)+IF(Settings!$B$18="",0,SUMIFS(INDEX('Oxford Economics'!$A$7:$AZ$1000,0,IFERROR(MATCH(AI$5,'Oxford Economics'!$A$6:$AZ$6,0),MATCH(AI$5&amp;"",'Oxford Economics'!$A$6:$AZ$6,0))),'Oxford Economics'!$A$7:$A$1000,$C15,'Oxford Economics'!$B$7:$B$1000,Settings!$B$18)))),""))</f>
        <v>5885.37</v>
      </c>
      <c r="AJ15" s="38" t="n">
        <f aca="false">IF($A15="","",IFERROR(1/(1/IF($B15="Residential",SUMIFS(INDEX('Oxford Economics'!$A$7:$AZ$1000,0,IFERROR(MATCH(AJ$5,'Oxford Economics'!$A$6:$AZ$6,0),MATCH(AJ$5&amp;"",'Oxford Economics'!$A$6:$AZ$6,0))),'Oxford Economics'!$A$7:$A$1000,$C15,'Oxford Economics'!$B$7:$B$1000,Settings!$B$12)-SUMIFS(INDEX('Oxford Economics'!$A$7:$AZ$1000,0,IFERROR(MATCH(AJ$5,'Oxford Economics'!$A$6:$AZ$6,0),MATCH(AJ$5&amp;"",'Oxford Economics'!$A$6:$AZ$6,0))),'Oxford Economics'!$A$7:$A$1000,$C15,'Oxford Economics'!$B$7:$B$1000,Settings!$B$14),SUMIFS(INDEX('Oxford Economics'!$A$7:$AZ$1000,0,IFERROR(MATCH(AJ$5,'Oxford Economics'!$A$6:$AZ$6,0),MATCH(AJ$5&amp;"",'Oxford Economics'!$A$6:$AZ$6,0))),'Oxford Economics'!$A$7:$A$1000,$C15,'Oxford Economics'!$B$7:$B$1000,Settings!$B$14)+SUMIFS(INDEX('Oxford Economics'!$A$7:$AZ$1000,0,IFERROR(MATCH(AJ$5,'Oxford Economics'!$A$6:$AZ$6,0),MATCH(AJ$5&amp;"",'Oxford Economics'!$A$6:$AZ$6,0))),'Oxford Economics'!$A$7:$A$1000,$C15,'Oxford Economics'!$B$7:$B$1000,Settings!$B$16)+IF(Settings!$B$18="",0,SUMIFS(INDEX('Oxford Economics'!$A$7:$AZ$1000,0,IFERROR(MATCH(AJ$5,'Oxford Economics'!$A$6:$AZ$6,0),MATCH(AJ$5&amp;"",'Oxford Economics'!$A$6:$AZ$6,0))),'Oxford Economics'!$A$7:$A$1000,$C15,'Oxford Economics'!$B$7:$B$1000,Settings!$B$18)))),""))</f>
        <v>6060.82</v>
      </c>
      <c r="AK15" s="38" t="n">
        <f aca="false">IF($A15="","",IFERROR(1/(1/IF($B15="Residential",SUMIFS(INDEX('Oxford Economics'!$A$7:$AZ$1000,0,IFERROR(MATCH(AK$5,'Oxford Economics'!$A$6:$AZ$6,0),MATCH(AK$5&amp;"",'Oxford Economics'!$A$6:$AZ$6,0))),'Oxford Economics'!$A$7:$A$1000,$C15,'Oxford Economics'!$B$7:$B$1000,Settings!$B$12)-SUMIFS(INDEX('Oxford Economics'!$A$7:$AZ$1000,0,IFERROR(MATCH(AK$5,'Oxford Economics'!$A$6:$AZ$6,0),MATCH(AK$5&amp;"",'Oxford Economics'!$A$6:$AZ$6,0))),'Oxford Economics'!$A$7:$A$1000,$C15,'Oxford Economics'!$B$7:$B$1000,Settings!$B$14),SUMIFS(INDEX('Oxford Economics'!$A$7:$AZ$1000,0,IFERROR(MATCH(AK$5,'Oxford Economics'!$A$6:$AZ$6,0),MATCH(AK$5&amp;"",'Oxford Economics'!$A$6:$AZ$6,0))),'Oxford Economics'!$A$7:$A$1000,$C15,'Oxford Economics'!$B$7:$B$1000,Settings!$B$14)+SUMIFS(INDEX('Oxford Economics'!$A$7:$AZ$1000,0,IFERROR(MATCH(AK$5,'Oxford Economics'!$A$6:$AZ$6,0),MATCH(AK$5&amp;"",'Oxford Economics'!$A$6:$AZ$6,0))),'Oxford Economics'!$A$7:$A$1000,$C15,'Oxford Economics'!$B$7:$B$1000,Settings!$B$16)+IF(Settings!$B$18="",0,SUMIFS(INDEX('Oxford Economics'!$A$7:$AZ$1000,0,IFERROR(MATCH(AK$5,'Oxford Economics'!$A$6:$AZ$6,0),MATCH(AK$5&amp;"",'Oxford Economics'!$A$6:$AZ$6,0))),'Oxford Economics'!$A$7:$A$1000,$C15,'Oxford Economics'!$B$7:$B$1000,Settings!$B$18)))),""))</f>
        <v>6280.26</v>
      </c>
      <c r="AL15" s="38" t="n">
        <f aca="false">IF($A15="","",IFERROR(1/(1/IF($B15="Residential",SUMIFS(INDEX('Oxford Economics'!$A$7:$AZ$1000,0,IFERROR(MATCH(AL$5,'Oxford Economics'!$A$6:$AZ$6,0),MATCH(AL$5&amp;"",'Oxford Economics'!$A$6:$AZ$6,0))),'Oxford Economics'!$A$7:$A$1000,$C15,'Oxford Economics'!$B$7:$B$1000,Settings!$B$12)-SUMIFS(INDEX('Oxford Economics'!$A$7:$AZ$1000,0,IFERROR(MATCH(AL$5,'Oxford Economics'!$A$6:$AZ$6,0),MATCH(AL$5&amp;"",'Oxford Economics'!$A$6:$AZ$6,0))),'Oxford Economics'!$A$7:$A$1000,$C15,'Oxford Economics'!$B$7:$B$1000,Settings!$B$14),SUMIFS(INDEX('Oxford Economics'!$A$7:$AZ$1000,0,IFERROR(MATCH(AL$5,'Oxford Economics'!$A$6:$AZ$6,0),MATCH(AL$5&amp;"",'Oxford Economics'!$A$6:$AZ$6,0))),'Oxford Economics'!$A$7:$A$1000,$C15,'Oxford Economics'!$B$7:$B$1000,Settings!$B$14)+SUMIFS(INDEX('Oxford Economics'!$A$7:$AZ$1000,0,IFERROR(MATCH(AL$5,'Oxford Economics'!$A$6:$AZ$6,0),MATCH(AL$5&amp;"",'Oxford Economics'!$A$6:$AZ$6,0))),'Oxford Economics'!$A$7:$A$1000,$C15,'Oxford Economics'!$B$7:$B$1000,Settings!$B$16)+IF(Settings!$B$18="",0,SUMIFS(INDEX('Oxford Economics'!$A$7:$AZ$1000,0,IFERROR(MATCH(AL$5,'Oxford Economics'!$A$6:$AZ$6,0),MATCH(AL$5&amp;"",'Oxford Economics'!$A$6:$AZ$6,0))),'Oxford Economics'!$A$7:$A$1000,$C15,'Oxford Economics'!$B$7:$B$1000,Settings!$B$18)))),""))</f>
        <v>6468.43</v>
      </c>
      <c r="AM15" s="38" t="n">
        <f aca="false">IF($A15="","",IFERROR(1/(1/IF($B15="Residential",SUMIFS(INDEX('Oxford Economics'!$A$7:$AZ$1000,0,IFERROR(MATCH(AM$5,'Oxford Economics'!$A$6:$AZ$6,0),MATCH(AM$5&amp;"",'Oxford Economics'!$A$6:$AZ$6,0))),'Oxford Economics'!$A$7:$A$1000,$C15,'Oxford Economics'!$B$7:$B$1000,Settings!$B$12)-SUMIFS(INDEX('Oxford Economics'!$A$7:$AZ$1000,0,IFERROR(MATCH(AM$5,'Oxford Economics'!$A$6:$AZ$6,0),MATCH(AM$5&amp;"",'Oxford Economics'!$A$6:$AZ$6,0))),'Oxford Economics'!$A$7:$A$1000,$C15,'Oxford Economics'!$B$7:$B$1000,Settings!$B$14),SUMIFS(INDEX('Oxford Economics'!$A$7:$AZ$1000,0,IFERROR(MATCH(AM$5,'Oxford Economics'!$A$6:$AZ$6,0),MATCH(AM$5&amp;"",'Oxford Economics'!$A$6:$AZ$6,0))),'Oxford Economics'!$A$7:$A$1000,$C15,'Oxford Economics'!$B$7:$B$1000,Settings!$B$14)+SUMIFS(INDEX('Oxford Economics'!$A$7:$AZ$1000,0,IFERROR(MATCH(AM$5,'Oxford Economics'!$A$6:$AZ$6,0),MATCH(AM$5&amp;"",'Oxford Economics'!$A$6:$AZ$6,0))),'Oxford Economics'!$A$7:$A$1000,$C15,'Oxford Economics'!$B$7:$B$1000,Settings!$B$16)+IF(Settings!$B$18="",0,SUMIFS(INDEX('Oxford Economics'!$A$7:$AZ$1000,0,IFERROR(MATCH(AM$5,'Oxford Economics'!$A$6:$AZ$6,0),MATCH(AM$5&amp;"",'Oxford Economics'!$A$6:$AZ$6,0))),'Oxford Economics'!$A$7:$A$1000,$C15,'Oxford Economics'!$B$7:$B$1000,Settings!$B$18)))),""))</f>
        <v>6599.03</v>
      </c>
    </row>
    <row r="16" customFormat="false" ht="15" hidden="false" customHeight="false" outlineLevel="0" collapsed="false">
      <c r="A16" s="37" t="str">
        <f aca="false">IF('Raw data'!$A16="","",'Raw data'!$A16)</f>
        <v>Czech Republic</v>
      </c>
      <c r="B16" s="37" t="str">
        <f aca="false">IF($A16="","",'Raw data'!$C16)</f>
        <v>Commercial</v>
      </c>
      <c r="C16" s="37" t="str">
        <f aca="false">IF($A16="","",IF('Raw data'!$E16="",$A16,'Raw data'!$E16))</f>
        <v>Czech Republic</v>
      </c>
      <c r="D16" s="38" t="n">
        <f aca="false">IF($A16="","",IF(AND(ISNUMBER(P16),ISNUMBER(AB16)),P16+AB16,""))</f>
        <v>7896.16</v>
      </c>
      <c r="E16" s="38" t="n">
        <f aca="false">IF($A16="","",IF(AND(ISNUMBER(Q16),ISNUMBER(AC16)),Q16+AC16,""))</f>
        <v>7964.26</v>
      </c>
      <c r="F16" s="38" t="n">
        <f aca="false">IF($A16="","",IF(AND(ISNUMBER(R16),ISNUMBER(AD16)),R16+AD16,""))</f>
        <v>7825.68</v>
      </c>
      <c r="G16" s="38" t="n">
        <f aca="false">IF($A16="","",IF(AND(ISNUMBER(S16),ISNUMBER(AE16)),S16+AE16,""))</f>
        <v>7566.64</v>
      </c>
      <c r="H16" s="38" t="n">
        <f aca="false">IF($A16="","",IF(AND(ISNUMBER(T16),ISNUMBER(AF16)),T16+AF16,""))</f>
        <v>7611.46</v>
      </c>
      <c r="I16" s="38" t="n">
        <f aca="false">IF($A16="","",IF(AND(ISNUMBER(U16),ISNUMBER(AG16)),U16+AG16,""))</f>
        <v>7763.99</v>
      </c>
      <c r="J16" s="38" t="n">
        <f aca="false">IF($A16="","",IF(AND(ISNUMBER(V16),ISNUMBER(AH16)),V16+AH16,""))</f>
        <v>8161.12</v>
      </c>
      <c r="K16" s="38" t="n">
        <f aca="false">IF($A16="","",IF(AND(ISNUMBER(W16),ISNUMBER(AI16)),W16+AI16,""))</f>
        <v>8583.41</v>
      </c>
      <c r="L16" s="38" t="n">
        <f aca="false">IF($A16="","",IF(AND(ISNUMBER(X16),ISNUMBER(AJ16)),X16+AJ16,""))</f>
        <v>8955.14</v>
      </c>
      <c r="M16" s="38" t="n">
        <f aca="false">IF($A16="","",IF(AND(ISNUMBER(Y16),ISNUMBER(AK16)),Y16+AK16,""))</f>
        <v>9395.31</v>
      </c>
      <c r="N16" s="38" t="n">
        <f aca="false">IF($A16="","",IF(AND(ISNUMBER(Z16),ISNUMBER(AL16)),Z16+AL16,""))</f>
        <v>9729.59</v>
      </c>
      <c r="O16" s="38" t="n">
        <f aca="false">IF($A16="","",IF(AND(ISNUMBER(AA16),ISNUMBER(AM16)),AA16+AM16,""))</f>
        <v>9929.42</v>
      </c>
      <c r="P16" s="38" t="n">
        <f aca="false">IF($A16="","",IFERROR(1/(1/IF($B16="Residential",SUMIFS(INDEX('Oxford Economics'!$A$7:$AZ$1000,0,IFERROR(MATCH(P$5,'Oxford Economics'!$A$6:$AZ$6,0),MATCH(P$5&amp;"",'Oxford Economics'!$A$6:$AZ$6,0))),'Oxford Economics'!$A$7:$A$1000,$C16,'Oxford Economics'!$B$7:$B$1000,Settings!$B$13)-SUMIFS(INDEX('Oxford Economics'!$A$7:$AZ$1000,0,IFERROR(MATCH(P$5,'Oxford Economics'!$A$6:$AZ$6,0),MATCH(P$5&amp;"",'Oxford Economics'!$A$6:$AZ$6,0))),'Oxford Economics'!$A$7:$A$1000,$C16,'Oxford Economics'!$B$7:$B$1000,Settings!$B$15),SUMIFS(INDEX('Oxford Economics'!$A$7:$AZ$1000,0,IFERROR(MATCH(P$5,'Oxford Economics'!$A$6:$AZ$6,0),MATCH(P$5&amp;"",'Oxford Economics'!$A$6:$AZ$6,0))),'Oxford Economics'!$A$7:$A$1000,$C16,'Oxford Economics'!$B$7:$B$1000,Settings!$B$15)+SUMIFS(INDEX('Oxford Economics'!$A$7:$AZ$1000,0,IFERROR(MATCH(P$5,'Oxford Economics'!$A$6:$AZ$6,0),MATCH(P$5&amp;"",'Oxford Economics'!$A$6:$AZ$6,0))),'Oxford Economics'!$A$7:$A$1000,$C16,'Oxford Economics'!$B$7:$B$1000,Settings!$B$17)+IF(Settings!$B$19="",0,SUMIFS(INDEX('Oxford Economics'!$A$7:$AZ$1000,0,IFERROR(MATCH(P$5,'Oxford Economics'!$A$6:$AZ$6,0),MATCH(P$5&amp;"",'Oxford Economics'!$A$6:$AZ$6,0))),'Oxford Economics'!$A$7:$A$1000,$C16,'Oxford Economics'!$B$7:$B$1000,Settings!$B$19)))),""))</f>
        <v>2472.3</v>
      </c>
      <c r="Q16" s="38" t="n">
        <f aca="false">IF($A16="","",IFERROR(1/(1/IF($B16="Residential",SUMIFS(INDEX('Oxford Economics'!$A$7:$AZ$1000,0,IFERROR(MATCH(Q$5,'Oxford Economics'!$A$6:$AZ$6,0),MATCH(Q$5&amp;"",'Oxford Economics'!$A$6:$AZ$6,0))),'Oxford Economics'!$A$7:$A$1000,$C16,'Oxford Economics'!$B$7:$B$1000,Settings!$B$13)-SUMIFS(INDEX('Oxford Economics'!$A$7:$AZ$1000,0,IFERROR(MATCH(Q$5,'Oxford Economics'!$A$6:$AZ$6,0),MATCH(Q$5&amp;"",'Oxford Economics'!$A$6:$AZ$6,0))),'Oxford Economics'!$A$7:$A$1000,$C16,'Oxford Economics'!$B$7:$B$1000,Settings!$B$15),SUMIFS(INDEX('Oxford Economics'!$A$7:$AZ$1000,0,IFERROR(MATCH(Q$5,'Oxford Economics'!$A$6:$AZ$6,0),MATCH(Q$5&amp;"",'Oxford Economics'!$A$6:$AZ$6,0))),'Oxford Economics'!$A$7:$A$1000,$C16,'Oxford Economics'!$B$7:$B$1000,Settings!$B$15)+SUMIFS(INDEX('Oxford Economics'!$A$7:$AZ$1000,0,IFERROR(MATCH(Q$5,'Oxford Economics'!$A$6:$AZ$6,0),MATCH(Q$5&amp;"",'Oxford Economics'!$A$6:$AZ$6,0))),'Oxford Economics'!$A$7:$A$1000,$C16,'Oxford Economics'!$B$7:$B$1000,Settings!$B$17)+IF(Settings!$B$19="",0,SUMIFS(INDEX('Oxford Economics'!$A$7:$AZ$1000,0,IFERROR(MATCH(Q$5,'Oxford Economics'!$A$6:$AZ$6,0),MATCH(Q$5&amp;"",'Oxford Economics'!$A$6:$AZ$6,0))),'Oxford Economics'!$A$7:$A$1000,$C16,'Oxford Economics'!$B$7:$B$1000,Settings!$B$19)))),""))</f>
        <v>2635.6</v>
      </c>
      <c r="R16" s="38" t="n">
        <f aca="false">IF($A16="","",IFERROR(1/(1/IF($B16="Residential",SUMIFS(INDEX('Oxford Economics'!$A$7:$AZ$1000,0,IFERROR(MATCH(R$5,'Oxford Economics'!$A$6:$AZ$6,0),MATCH(R$5&amp;"",'Oxford Economics'!$A$6:$AZ$6,0))),'Oxford Economics'!$A$7:$A$1000,$C16,'Oxford Economics'!$B$7:$B$1000,Settings!$B$13)-SUMIFS(INDEX('Oxford Economics'!$A$7:$AZ$1000,0,IFERROR(MATCH(R$5,'Oxford Economics'!$A$6:$AZ$6,0),MATCH(R$5&amp;"",'Oxford Economics'!$A$6:$AZ$6,0))),'Oxford Economics'!$A$7:$A$1000,$C16,'Oxford Economics'!$B$7:$B$1000,Settings!$B$15),SUMIFS(INDEX('Oxford Economics'!$A$7:$AZ$1000,0,IFERROR(MATCH(R$5,'Oxford Economics'!$A$6:$AZ$6,0),MATCH(R$5&amp;"",'Oxford Economics'!$A$6:$AZ$6,0))),'Oxford Economics'!$A$7:$A$1000,$C16,'Oxford Economics'!$B$7:$B$1000,Settings!$B$15)+SUMIFS(INDEX('Oxford Economics'!$A$7:$AZ$1000,0,IFERROR(MATCH(R$5,'Oxford Economics'!$A$6:$AZ$6,0),MATCH(R$5&amp;"",'Oxford Economics'!$A$6:$AZ$6,0))),'Oxford Economics'!$A$7:$A$1000,$C16,'Oxford Economics'!$B$7:$B$1000,Settings!$B$17)+IF(Settings!$B$19="",0,SUMIFS(INDEX('Oxford Economics'!$A$7:$AZ$1000,0,IFERROR(MATCH(R$5,'Oxford Economics'!$A$6:$AZ$6,0),MATCH(R$5&amp;"",'Oxford Economics'!$A$6:$AZ$6,0))),'Oxford Economics'!$A$7:$A$1000,$C16,'Oxford Economics'!$B$7:$B$1000,Settings!$B$19)))),""))</f>
        <v>2339.06</v>
      </c>
      <c r="S16" s="38" t="n">
        <f aca="false">IF($A16="","",IFERROR(1/(1/IF($B16="Residential",SUMIFS(INDEX('Oxford Economics'!$A$7:$AZ$1000,0,IFERROR(MATCH(S$5,'Oxford Economics'!$A$6:$AZ$6,0),MATCH(S$5&amp;"",'Oxford Economics'!$A$6:$AZ$6,0))),'Oxford Economics'!$A$7:$A$1000,$C16,'Oxford Economics'!$B$7:$B$1000,Settings!$B$13)-SUMIFS(INDEX('Oxford Economics'!$A$7:$AZ$1000,0,IFERROR(MATCH(S$5,'Oxford Economics'!$A$6:$AZ$6,0),MATCH(S$5&amp;"",'Oxford Economics'!$A$6:$AZ$6,0))),'Oxford Economics'!$A$7:$A$1000,$C16,'Oxford Economics'!$B$7:$B$1000,Settings!$B$15),SUMIFS(INDEX('Oxford Economics'!$A$7:$AZ$1000,0,IFERROR(MATCH(S$5,'Oxford Economics'!$A$6:$AZ$6,0),MATCH(S$5&amp;"",'Oxford Economics'!$A$6:$AZ$6,0))),'Oxford Economics'!$A$7:$A$1000,$C16,'Oxford Economics'!$B$7:$B$1000,Settings!$B$15)+SUMIFS(INDEX('Oxford Economics'!$A$7:$AZ$1000,0,IFERROR(MATCH(S$5,'Oxford Economics'!$A$6:$AZ$6,0),MATCH(S$5&amp;"",'Oxford Economics'!$A$6:$AZ$6,0))),'Oxford Economics'!$A$7:$A$1000,$C16,'Oxford Economics'!$B$7:$B$1000,Settings!$B$17)+IF(Settings!$B$19="",0,SUMIFS(INDEX('Oxford Economics'!$A$7:$AZ$1000,0,IFERROR(MATCH(S$5,'Oxford Economics'!$A$6:$AZ$6,0),MATCH(S$5&amp;"",'Oxford Economics'!$A$6:$AZ$6,0))),'Oxford Economics'!$A$7:$A$1000,$C16,'Oxford Economics'!$B$7:$B$1000,Settings!$B$19)))),""))</f>
        <v>2438.97</v>
      </c>
      <c r="T16" s="38" t="n">
        <f aca="false">IF($A16="","",IFERROR(1/(1/IF($B16="Residential",SUMIFS(INDEX('Oxford Economics'!$A$7:$AZ$1000,0,IFERROR(MATCH(T$5,'Oxford Economics'!$A$6:$AZ$6,0),MATCH(T$5&amp;"",'Oxford Economics'!$A$6:$AZ$6,0))),'Oxford Economics'!$A$7:$A$1000,$C16,'Oxford Economics'!$B$7:$B$1000,Settings!$B$13)-SUMIFS(INDEX('Oxford Economics'!$A$7:$AZ$1000,0,IFERROR(MATCH(T$5,'Oxford Economics'!$A$6:$AZ$6,0),MATCH(T$5&amp;"",'Oxford Economics'!$A$6:$AZ$6,0))),'Oxford Economics'!$A$7:$A$1000,$C16,'Oxford Economics'!$B$7:$B$1000,Settings!$B$15),SUMIFS(INDEX('Oxford Economics'!$A$7:$AZ$1000,0,IFERROR(MATCH(T$5,'Oxford Economics'!$A$6:$AZ$6,0),MATCH(T$5&amp;"",'Oxford Economics'!$A$6:$AZ$6,0))),'Oxford Economics'!$A$7:$A$1000,$C16,'Oxford Economics'!$B$7:$B$1000,Settings!$B$15)+SUMIFS(INDEX('Oxford Economics'!$A$7:$AZ$1000,0,IFERROR(MATCH(T$5,'Oxford Economics'!$A$6:$AZ$6,0),MATCH(T$5&amp;"",'Oxford Economics'!$A$6:$AZ$6,0))),'Oxford Economics'!$A$7:$A$1000,$C16,'Oxford Economics'!$B$7:$B$1000,Settings!$B$17)+IF(Settings!$B$19="",0,SUMIFS(INDEX('Oxford Economics'!$A$7:$AZ$1000,0,IFERROR(MATCH(T$5,'Oxford Economics'!$A$6:$AZ$6,0),MATCH(T$5&amp;"",'Oxford Economics'!$A$6:$AZ$6,0))),'Oxford Economics'!$A$7:$A$1000,$C16,'Oxford Economics'!$B$7:$B$1000,Settings!$B$19)))),""))</f>
        <v>2433.11</v>
      </c>
      <c r="U16" s="38" t="n">
        <f aca="false">IF($A16="","",IFERROR(1/(1/IF($B16="Residential",SUMIFS(INDEX('Oxford Economics'!$A$7:$AZ$1000,0,IFERROR(MATCH(U$5,'Oxford Economics'!$A$6:$AZ$6,0),MATCH(U$5&amp;"",'Oxford Economics'!$A$6:$AZ$6,0))),'Oxford Economics'!$A$7:$A$1000,$C16,'Oxford Economics'!$B$7:$B$1000,Settings!$B$13)-SUMIFS(INDEX('Oxford Economics'!$A$7:$AZ$1000,0,IFERROR(MATCH(U$5,'Oxford Economics'!$A$6:$AZ$6,0),MATCH(U$5&amp;"",'Oxford Economics'!$A$6:$AZ$6,0))),'Oxford Economics'!$A$7:$A$1000,$C16,'Oxford Economics'!$B$7:$B$1000,Settings!$B$15),SUMIFS(INDEX('Oxford Economics'!$A$7:$AZ$1000,0,IFERROR(MATCH(U$5,'Oxford Economics'!$A$6:$AZ$6,0),MATCH(U$5&amp;"",'Oxford Economics'!$A$6:$AZ$6,0))),'Oxford Economics'!$A$7:$A$1000,$C16,'Oxford Economics'!$B$7:$B$1000,Settings!$B$15)+SUMIFS(INDEX('Oxford Economics'!$A$7:$AZ$1000,0,IFERROR(MATCH(U$5,'Oxford Economics'!$A$6:$AZ$6,0),MATCH(U$5&amp;"",'Oxford Economics'!$A$6:$AZ$6,0))),'Oxford Economics'!$A$7:$A$1000,$C16,'Oxford Economics'!$B$7:$B$1000,Settings!$B$17)+IF(Settings!$B$19="",0,SUMIFS(INDEX('Oxford Economics'!$A$7:$AZ$1000,0,IFERROR(MATCH(U$5,'Oxford Economics'!$A$6:$AZ$6,0),MATCH(U$5&amp;"",'Oxford Economics'!$A$6:$AZ$6,0))),'Oxford Economics'!$A$7:$A$1000,$C16,'Oxford Economics'!$B$7:$B$1000,Settings!$B$19)))),""))</f>
        <v>2470.17</v>
      </c>
      <c r="V16" s="38" t="n">
        <f aca="false">IF($A16="","",IFERROR(1/(1/IF($B16="Residential",SUMIFS(INDEX('Oxford Economics'!$A$7:$AZ$1000,0,IFERROR(MATCH(V$5,'Oxford Economics'!$A$6:$AZ$6,0),MATCH(V$5&amp;"",'Oxford Economics'!$A$6:$AZ$6,0))),'Oxford Economics'!$A$7:$A$1000,$C16,'Oxford Economics'!$B$7:$B$1000,Settings!$B$13)-SUMIFS(INDEX('Oxford Economics'!$A$7:$AZ$1000,0,IFERROR(MATCH(V$5,'Oxford Economics'!$A$6:$AZ$6,0),MATCH(V$5&amp;"",'Oxford Economics'!$A$6:$AZ$6,0))),'Oxford Economics'!$A$7:$A$1000,$C16,'Oxford Economics'!$B$7:$B$1000,Settings!$B$15),SUMIFS(INDEX('Oxford Economics'!$A$7:$AZ$1000,0,IFERROR(MATCH(V$5,'Oxford Economics'!$A$6:$AZ$6,0),MATCH(V$5&amp;"",'Oxford Economics'!$A$6:$AZ$6,0))),'Oxford Economics'!$A$7:$A$1000,$C16,'Oxford Economics'!$B$7:$B$1000,Settings!$B$15)+SUMIFS(INDEX('Oxford Economics'!$A$7:$AZ$1000,0,IFERROR(MATCH(V$5,'Oxford Economics'!$A$6:$AZ$6,0),MATCH(V$5&amp;"",'Oxford Economics'!$A$6:$AZ$6,0))),'Oxford Economics'!$A$7:$A$1000,$C16,'Oxford Economics'!$B$7:$B$1000,Settings!$B$17)+IF(Settings!$B$19="",0,SUMIFS(INDEX('Oxford Economics'!$A$7:$AZ$1000,0,IFERROR(MATCH(V$5,'Oxford Economics'!$A$6:$AZ$6,0),MATCH(V$5&amp;"",'Oxford Economics'!$A$6:$AZ$6,0))),'Oxford Economics'!$A$7:$A$1000,$C16,'Oxford Economics'!$B$7:$B$1000,Settings!$B$19)))),""))</f>
        <v>2558.37</v>
      </c>
      <c r="W16" s="38" t="n">
        <f aca="false">IF($A16="","",IFERROR(1/(1/IF($B16="Residential",SUMIFS(INDEX('Oxford Economics'!$A$7:$AZ$1000,0,IFERROR(MATCH(W$5,'Oxford Economics'!$A$6:$AZ$6,0),MATCH(W$5&amp;"",'Oxford Economics'!$A$6:$AZ$6,0))),'Oxford Economics'!$A$7:$A$1000,$C16,'Oxford Economics'!$B$7:$B$1000,Settings!$B$13)-SUMIFS(INDEX('Oxford Economics'!$A$7:$AZ$1000,0,IFERROR(MATCH(W$5,'Oxford Economics'!$A$6:$AZ$6,0),MATCH(W$5&amp;"",'Oxford Economics'!$A$6:$AZ$6,0))),'Oxford Economics'!$A$7:$A$1000,$C16,'Oxford Economics'!$B$7:$B$1000,Settings!$B$15),SUMIFS(INDEX('Oxford Economics'!$A$7:$AZ$1000,0,IFERROR(MATCH(W$5,'Oxford Economics'!$A$6:$AZ$6,0),MATCH(W$5&amp;"",'Oxford Economics'!$A$6:$AZ$6,0))),'Oxford Economics'!$A$7:$A$1000,$C16,'Oxford Economics'!$B$7:$B$1000,Settings!$B$15)+SUMIFS(INDEX('Oxford Economics'!$A$7:$AZ$1000,0,IFERROR(MATCH(W$5,'Oxford Economics'!$A$6:$AZ$6,0),MATCH(W$5&amp;"",'Oxford Economics'!$A$6:$AZ$6,0))),'Oxford Economics'!$A$7:$A$1000,$C16,'Oxford Economics'!$B$7:$B$1000,Settings!$B$17)+IF(Settings!$B$19="",0,SUMIFS(INDEX('Oxford Economics'!$A$7:$AZ$1000,0,IFERROR(MATCH(W$5,'Oxford Economics'!$A$6:$AZ$6,0),MATCH(W$5&amp;"",'Oxford Economics'!$A$6:$AZ$6,0))),'Oxford Economics'!$A$7:$A$1000,$C16,'Oxford Economics'!$B$7:$B$1000,Settings!$B$19)))),""))</f>
        <v>2698.04</v>
      </c>
      <c r="X16" s="38" t="n">
        <f aca="false">IF($A16="","",IFERROR(1/(1/IF($B16="Residential",SUMIFS(INDEX('Oxford Economics'!$A$7:$AZ$1000,0,IFERROR(MATCH(X$5,'Oxford Economics'!$A$6:$AZ$6,0),MATCH(X$5&amp;"",'Oxford Economics'!$A$6:$AZ$6,0))),'Oxford Economics'!$A$7:$A$1000,$C16,'Oxford Economics'!$B$7:$B$1000,Settings!$B$13)-SUMIFS(INDEX('Oxford Economics'!$A$7:$AZ$1000,0,IFERROR(MATCH(X$5,'Oxford Economics'!$A$6:$AZ$6,0),MATCH(X$5&amp;"",'Oxford Economics'!$A$6:$AZ$6,0))),'Oxford Economics'!$A$7:$A$1000,$C16,'Oxford Economics'!$B$7:$B$1000,Settings!$B$15),SUMIFS(INDEX('Oxford Economics'!$A$7:$AZ$1000,0,IFERROR(MATCH(X$5,'Oxford Economics'!$A$6:$AZ$6,0),MATCH(X$5&amp;"",'Oxford Economics'!$A$6:$AZ$6,0))),'Oxford Economics'!$A$7:$A$1000,$C16,'Oxford Economics'!$B$7:$B$1000,Settings!$B$15)+SUMIFS(INDEX('Oxford Economics'!$A$7:$AZ$1000,0,IFERROR(MATCH(X$5,'Oxford Economics'!$A$6:$AZ$6,0),MATCH(X$5&amp;"",'Oxford Economics'!$A$6:$AZ$6,0))),'Oxford Economics'!$A$7:$A$1000,$C16,'Oxford Economics'!$B$7:$B$1000,Settings!$B$17)+IF(Settings!$B$19="",0,SUMIFS(INDEX('Oxford Economics'!$A$7:$AZ$1000,0,IFERROR(MATCH(X$5,'Oxford Economics'!$A$6:$AZ$6,0),MATCH(X$5&amp;"",'Oxford Economics'!$A$6:$AZ$6,0))),'Oxford Economics'!$A$7:$A$1000,$C16,'Oxford Economics'!$B$7:$B$1000,Settings!$B$19)))),""))</f>
        <v>2894.32</v>
      </c>
      <c r="Y16" s="38" t="n">
        <f aca="false">IF($A16="","",IFERROR(1/(1/IF($B16="Residential",SUMIFS(INDEX('Oxford Economics'!$A$7:$AZ$1000,0,IFERROR(MATCH(Y$5,'Oxford Economics'!$A$6:$AZ$6,0),MATCH(Y$5&amp;"",'Oxford Economics'!$A$6:$AZ$6,0))),'Oxford Economics'!$A$7:$A$1000,$C16,'Oxford Economics'!$B$7:$B$1000,Settings!$B$13)-SUMIFS(INDEX('Oxford Economics'!$A$7:$AZ$1000,0,IFERROR(MATCH(Y$5,'Oxford Economics'!$A$6:$AZ$6,0),MATCH(Y$5&amp;"",'Oxford Economics'!$A$6:$AZ$6,0))),'Oxford Economics'!$A$7:$A$1000,$C16,'Oxford Economics'!$B$7:$B$1000,Settings!$B$15),SUMIFS(INDEX('Oxford Economics'!$A$7:$AZ$1000,0,IFERROR(MATCH(Y$5,'Oxford Economics'!$A$6:$AZ$6,0),MATCH(Y$5&amp;"",'Oxford Economics'!$A$6:$AZ$6,0))),'Oxford Economics'!$A$7:$A$1000,$C16,'Oxford Economics'!$B$7:$B$1000,Settings!$B$15)+SUMIFS(INDEX('Oxford Economics'!$A$7:$AZ$1000,0,IFERROR(MATCH(Y$5,'Oxford Economics'!$A$6:$AZ$6,0),MATCH(Y$5&amp;"",'Oxford Economics'!$A$6:$AZ$6,0))),'Oxford Economics'!$A$7:$A$1000,$C16,'Oxford Economics'!$B$7:$B$1000,Settings!$B$17)+IF(Settings!$B$19="",0,SUMIFS(INDEX('Oxford Economics'!$A$7:$AZ$1000,0,IFERROR(MATCH(Y$5,'Oxford Economics'!$A$6:$AZ$6,0),MATCH(Y$5&amp;"",'Oxford Economics'!$A$6:$AZ$6,0))),'Oxford Economics'!$A$7:$A$1000,$C16,'Oxford Economics'!$B$7:$B$1000,Settings!$B$19)))),""))</f>
        <v>3115.05</v>
      </c>
      <c r="Z16" s="38" t="n">
        <f aca="false">IF($A16="","",IFERROR(1/(1/IF($B16="Residential",SUMIFS(INDEX('Oxford Economics'!$A$7:$AZ$1000,0,IFERROR(MATCH(Z$5,'Oxford Economics'!$A$6:$AZ$6,0),MATCH(Z$5&amp;"",'Oxford Economics'!$A$6:$AZ$6,0))),'Oxford Economics'!$A$7:$A$1000,$C16,'Oxford Economics'!$B$7:$B$1000,Settings!$B$13)-SUMIFS(INDEX('Oxford Economics'!$A$7:$AZ$1000,0,IFERROR(MATCH(Z$5,'Oxford Economics'!$A$6:$AZ$6,0),MATCH(Z$5&amp;"",'Oxford Economics'!$A$6:$AZ$6,0))),'Oxford Economics'!$A$7:$A$1000,$C16,'Oxford Economics'!$B$7:$B$1000,Settings!$B$15),SUMIFS(INDEX('Oxford Economics'!$A$7:$AZ$1000,0,IFERROR(MATCH(Z$5,'Oxford Economics'!$A$6:$AZ$6,0),MATCH(Z$5&amp;"",'Oxford Economics'!$A$6:$AZ$6,0))),'Oxford Economics'!$A$7:$A$1000,$C16,'Oxford Economics'!$B$7:$B$1000,Settings!$B$15)+SUMIFS(INDEX('Oxford Economics'!$A$7:$AZ$1000,0,IFERROR(MATCH(Z$5,'Oxford Economics'!$A$6:$AZ$6,0),MATCH(Z$5&amp;"",'Oxford Economics'!$A$6:$AZ$6,0))),'Oxford Economics'!$A$7:$A$1000,$C16,'Oxford Economics'!$B$7:$B$1000,Settings!$B$17)+IF(Settings!$B$19="",0,SUMIFS(INDEX('Oxford Economics'!$A$7:$AZ$1000,0,IFERROR(MATCH(Z$5,'Oxford Economics'!$A$6:$AZ$6,0),MATCH(Z$5&amp;"",'Oxford Economics'!$A$6:$AZ$6,0))),'Oxford Economics'!$A$7:$A$1000,$C16,'Oxford Economics'!$B$7:$B$1000,Settings!$B$19)))),""))</f>
        <v>3261.16</v>
      </c>
      <c r="AA16" s="38" t="n">
        <f aca="false">IF($A16="","",IFERROR(1/(1/IF($B16="Residential",SUMIFS(INDEX('Oxford Economics'!$A$7:$AZ$1000,0,IFERROR(MATCH(AA$5,'Oxford Economics'!$A$6:$AZ$6,0),MATCH(AA$5&amp;"",'Oxford Economics'!$A$6:$AZ$6,0))),'Oxford Economics'!$A$7:$A$1000,$C16,'Oxford Economics'!$B$7:$B$1000,Settings!$B$13)-SUMIFS(INDEX('Oxford Economics'!$A$7:$AZ$1000,0,IFERROR(MATCH(AA$5,'Oxford Economics'!$A$6:$AZ$6,0),MATCH(AA$5&amp;"",'Oxford Economics'!$A$6:$AZ$6,0))),'Oxford Economics'!$A$7:$A$1000,$C16,'Oxford Economics'!$B$7:$B$1000,Settings!$B$15),SUMIFS(INDEX('Oxford Economics'!$A$7:$AZ$1000,0,IFERROR(MATCH(AA$5,'Oxford Economics'!$A$6:$AZ$6,0),MATCH(AA$5&amp;"",'Oxford Economics'!$A$6:$AZ$6,0))),'Oxford Economics'!$A$7:$A$1000,$C16,'Oxford Economics'!$B$7:$B$1000,Settings!$B$15)+SUMIFS(INDEX('Oxford Economics'!$A$7:$AZ$1000,0,IFERROR(MATCH(AA$5,'Oxford Economics'!$A$6:$AZ$6,0),MATCH(AA$5&amp;"",'Oxford Economics'!$A$6:$AZ$6,0))),'Oxford Economics'!$A$7:$A$1000,$C16,'Oxford Economics'!$B$7:$B$1000,Settings!$B$17)+IF(Settings!$B$19="",0,SUMIFS(INDEX('Oxford Economics'!$A$7:$AZ$1000,0,IFERROR(MATCH(AA$5,'Oxford Economics'!$A$6:$AZ$6,0),MATCH(AA$5&amp;"",'Oxford Economics'!$A$6:$AZ$6,0))),'Oxford Economics'!$A$7:$A$1000,$C16,'Oxford Economics'!$B$7:$B$1000,Settings!$B$19)))),""))</f>
        <v>3330.39</v>
      </c>
      <c r="AB16" s="38" t="n">
        <f aca="false">IF($A16="","",IFERROR(1/(1/IF($B16="Residential",SUMIFS(INDEX('Oxford Economics'!$A$7:$AZ$1000,0,IFERROR(MATCH(AB$5,'Oxford Economics'!$A$6:$AZ$6,0),MATCH(AB$5&amp;"",'Oxford Economics'!$A$6:$AZ$6,0))),'Oxford Economics'!$A$7:$A$1000,$C16,'Oxford Economics'!$B$7:$B$1000,Settings!$B$12)-SUMIFS(INDEX('Oxford Economics'!$A$7:$AZ$1000,0,IFERROR(MATCH(AB$5,'Oxford Economics'!$A$6:$AZ$6,0),MATCH(AB$5&amp;"",'Oxford Economics'!$A$6:$AZ$6,0))),'Oxford Economics'!$A$7:$A$1000,$C16,'Oxford Economics'!$B$7:$B$1000,Settings!$B$14),SUMIFS(INDEX('Oxford Economics'!$A$7:$AZ$1000,0,IFERROR(MATCH(AB$5,'Oxford Economics'!$A$6:$AZ$6,0),MATCH(AB$5&amp;"",'Oxford Economics'!$A$6:$AZ$6,0))),'Oxford Economics'!$A$7:$A$1000,$C16,'Oxford Economics'!$B$7:$B$1000,Settings!$B$14)+SUMIFS(INDEX('Oxford Economics'!$A$7:$AZ$1000,0,IFERROR(MATCH(AB$5,'Oxford Economics'!$A$6:$AZ$6,0),MATCH(AB$5&amp;"",'Oxford Economics'!$A$6:$AZ$6,0))),'Oxford Economics'!$A$7:$A$1000,$C16,'Oxford Economics'!$B$7:$B$1000,Settings!$B$16)+IF(Settings!$B$18="",0,SUMIFS(INDEX('Oxford Economics'!$A$7:$AZ$1000,0,IFERROR(MATCH(AB$5,'Oxford Economics'!$A$6:$AZ$6,0),MATCH(AB$5&amp;"",'Oxford Economics'!$A$6:$AZ$6,0))),'Oxford Economics'!$A$7:$A$1000,$C16,'Oxford Economics'!$B$7:$B$1000,Settings!$B$18)))),""))</f>
        <v>5423.86</v>
      </c>
      <c r="AC16" s="38" t="n">
        <f aca="false">IF($A16="","",IFERROR(1/(1/IF($B16="Residential",SUMIFS(INDEX('Oxford Economics'!$A$7:$AZ$1000,0,IFERROR(MATCH(AC$5,'Oxford Economics'!$A$6:$AZ$6,0),MATCH(AC$5&amp;"",'Oxford Economics'!$A$6:$AZ$6,0))),'Oxford Economics'!$A$7:$A$1000,$C16,'Oxford Economics'!$B$7:$B$1000,Settings!$B$12)-SUMIFS(INDEX('Oxford Economics'!$A$7:$AZ$1000,0,IFERROR(MATCH(AC$5,'Oxford Economics'!$A$6:$AZ$6,0),MATCH(AC$5&amp;"",'Oxford Economics'!$A$6:$AZ$6,0))),'Oxford Economics'!$A$7:$A$1000,$C16,'Oxford Economics'!$B$7:$B$1000,Settings!$B$14),SUMIFS(INDEX('Oxford Economics'!$A$7:$AZ$1000,0,IFERROR(MATCH(AC$5,'Oxford Economics'!$A$6:$AZ$6,0),MATCH(AC$5&amp;"",'Oxford Economics'!$A$6:$AZ$6,0))),'Oxford Economics'!$A$7:$A$1000,$C16,'Oxford Economics'!$B$7:$B$1000,Settings!$B$14)+SUMIFS(INDEX('Oxford Economics'!$A$7:$AZ$1000,0,IFERROR(MATCH(AC$5,'Oxford Economics'!$A$6:$AZ$6,0),MATCH(AC$5&amp;"",'Oxford Economics'!$A$6:$AZ$6,0))),'Oxford Economics'!$A$7:$A$1000,$C16,'Oxford Economics'!$B$7:$B$1000,Settings!$B$16)+IF(Settings!$B$18="",0,SUMIFS(INDEX('Oxford Economics'!$A$7:$AZ$1000,0,IFERROR(MATCH(AC$5,'Oxford Economics'!$A$6:$AZ$6,0),MATCH(AC$5&amp;"",'Oxford Economics'!$A$6:$AZ$6,0))),'Oxford Economics'!$A$7:$A$1000,$C16,'Oxford Economics'!$B$7:$B$1000,Settings!$B$18)))),""))</f>
        <v>5328.66</v>
      </c>
      <c r="AD16" s="38" t="n">
        <f aca="false">IF($A16="","",IFERROR(1/(1/IF($B16="Residential",SUMIFS(INDEX('Oxford Economics'!$A$7:$AZ$1000,0,IFERROR(MATCH(AD$5,'Oxford Economics'!$A$6:$AZ$6,0),MATCH(AD$5&amp;"",'Oxford Economics'!$A$6:$AZ$6,0))),'Oxford Economics'!$A$7:$A$1000,$C16,'Oxford Economics'!$B$7:$B$1000,Settings!$B$12)-SUMIFS(INDEX('Oxford Economics'!$A$7:$AZ$1000,0,IFERROR(MATCH(AD$5,'Oxford Economics'!$A$6:$AZ$6,0),MATCH(AD$5&amp;"",'Oxford Economics'!$A$6:$AZ$6,0))),'Oxford Economics'!$A$7:$A$1000,$C16,'Oxford Economics'!$B$7:$B$1000,Settings!$B$14),SUMIFS(INDEX('Oxford Economics'!$A$7:$AZ$1000,0,IFERROR(MATCH(AD$5,'Oxford Economics'!$A$6:$AZ$6,0),MATCH(AD$5&amp;"",'Oxford Economics'!$A$6:$AZ$6,0))),'Oxford Economics'!$A$7:$A$1000,$C16,'Oxford Economics'!$B$7:$B$1000,Settings!$B$14)+SUMIFS(INDEX('Oxford Economics'!$A$7:$AZ$1000,0,IFERROR(MATCH(AD$5,'Oxford Economics'!$A$6:$AZ$6,0),MATCH(AD$5&amp;"",'Oxford Economics'!$A$6:$AZ$6,0))),'Oxford Economics'!$A$7:$A$1000,$C16,'Oxford Economics'!$B$7:$B$1000,Settings!$B$16)+IF(Settings!$B$18="",0,SUMIFS(INDEX('Oxford Economics'!$A$7:$AZ$1000,0,IFERROR(MATCH(AD$5,'Oxford Economics'!$A$6:$AZ$6,0),MATCH(AD$5&amp;"",'Oxford Economics'!$A$6:$AZ$6,0))),'Oxford Economics'!$A$7:$A$1000,$C16,'Oxford Economics'!$B$7:$B$1000,Settings!$B$18)))),""))</f>
        <v>5486.62</v>
      </c>
      <c r="AE16" s="38" t="n">
        <f aca="false">IF($A16="","",IFERROR(1/(1/IF($B16="Residential",SUMIFS(INDEX('Oxford Economics'!$A$7:$AZ$1000,0,IFERROR(MATCH(AE$5,'Oxford Economics'!$A$6:$AZ$6,0),MATCH(AE$5&amp;"",'Oxford Economics'!$A$6:$AZ$6,0))),'Oxford Economics'!$A$7:$A$1000,$C16,'Oxford Economics'!$B$7:$B$1000,Settings!$B$12)-SUMIFS(INDEX('Oxford Economics'!$A$7:$AZ$1000,0,IFERROR(MATCH(AE$5,'Oxford Economics'!$A$6:$AZ$6,0),MATCH(AE$5&amp;"",'Oxford Economics'!$A$6:$AZ$6,0))),'Oxford Economics'!$A$7:$A$1000,$C16,'Oxford Economics'!$B$7:$B$1000,Settings!$B$14),SUMIFS(INDEX('Oxford Economics'!$A$7:$AZ$1000,0,IFERROR(MATCH(AE$5,'Oxford Economics'!$A$6:$AZ$6,0),MATCH(AE$5&amp;"",'Oxford Economics'!$A$6:$AZ$6,0))),'Oxford Economics'!$A$7:$A$1000,$C16,'Oxford Economics'!$B$7:$B$1000,Settings!$B$14)+SUMIFS(INDEX('Oxford Economics'!$A$7:$AZ$1000,0,IFERROR(MATCH(AE$5,'Oxford Economics'!$A$6:$AZ$6,0),MATCH(AE$5&amp;"",'Oxford Economics'!$A$6:$AZ$6,0))),'Oxford Economics'!$A$7:$A$1000,$C16,'Oxford Economics'!$B$7:$B$1000,Settings!$B$16)+IF(Settings!$B$18="",0,SUMIFS(INDEX('Oxford Economics'!$A$7:$AZ$1000,0,IFERROR(MATCH(AE$5,'Oxford Economics'!$A$6:$AZ$6,0),MATCH(AE$5&amp;"",'Oxford Economics'!$A$6:$AZ$6,0))),'Oxford Economics'!$A$7:$A$1000,$C16,'Oxford Economics'!$B$7:$B$1000,Settings!$B$18)))),""))</f>
        <v>5127.67</v>
      </c>
      <c r="AF16" s="38" t="n">
        <f aca="false">IF($A16="","",IFERROR(1/(1/IF($B16="Residential",SUMIFS(INDEX('Oxford Economics'!$A$7:$AZ$1000,0,IFERROR(MATCH(AF$5,'Oxford Economics'!$A$6:$AZ$6,0),MATCH(AF$5&amp;"",'Oxford Economics'!$A$6:$AZ$6,0))),'Oxford Economics'!$A$7:$A$1000,$C16,'Oxford Economics'!$B$7:$B$1000,Settings!$B$12)-SUMIFS(INDEX('Oxford Economics'!$A$7:$AZ$1000,0,IFERROR(MATCH(AF$5,'Oxford Economics'!$A$6:$AZ$6,0),MATCH(AF$5&amp;"",'Oxford Economics'!$A$6:$AZ$6,0))),'Oxford Economics'!$A$7:$A$1000,$C16,'Oxford Economics'!$B$7:$B$1000,Settings!$B$14),SUMIFS(INDEX('Oxford Economics'!$A$7:$AZ$1000,0,IFERROR(MATCH(AF$5,'Oxford Economics'!$A$6:$AZ$6,0),MATCH(AF$5&amp;"",'Oxford Economics'!$A$6:$AZ$6,0))),'Oxford Economics'!$A$7:$A$1000,$C16,'Oxford Economics'!$B$7:$B$1000,Settings!$B$14)+SUMIFS(INDEX('Oxford Economics'!$A$7:$AZ$1000,0,IFERROR(MATCH(AF$5,'Oxford Economics'!$A$6:$AZ$6,0),MATCH(AF$5&amp;"",'Oxford Economics'!$A$6:$AZ$6,0))),'Oxford Economics'!$A$7:$A$1000,$C16,'Oxford Economics'!$B$7:$B$1000,Settings!$B$16)+IF(Settings!$B$18="",0,SUMIFS(INDEX('Oxford Economics'!$A$7:$AZ$1000,0,IFERROR(MATCH(AF$5,'Oxford Economics'!$A$6:$AZ$6,0),MATCH(AF$5&amp;"",'Oxford Economics'!$A$6:$AZ$6,0))),'Oxford Economics'!$A$7:$A$1000,$C16,'Oxford Economics'!$B$7:$B$1000,Settings!$B$18)))),""))</f>
        <v>5178.35</v>
      </c>
      <c r="AG16" s="38" t="n">
        <f aca="false">IF($A16="","",IFERROR(1/(1/IF($B16="Residential",SUMIFS(INDEX('Oxford Economics'!$A$7:$AZ$1000,0,IFERROR(MATCH(AG$5,'Oxford Economics'!$A$6:$AZ$6,0),MATCH(AG$5&amp;"",'Oxford Economics'!$A$6:$AZ$6,0))),'Oxford Economics'!$A$7:$A$1000,$C16,'Oxford Economics'!$B$7:$B$1000,Settings!$B$12)-SUMIFS(INDEX('Oxford Economics'!$A$7:$AZ$1000,0,IFERROR(MATCH(AG$5,'Oxford Economics'!$A$6:$AZ$6,0),MATCH(AG$5&amp;"",'Oxford Economics'!$A$6:$AZ$6,0))),'Oxford Economics'!$A$7:$A$1000,$C16,'Oxford Economics'!$B$7:$B$1000,Settings!$B$14),SUMIFS(INDEX('Oxford Economics'!$A$7:$AZ$1000,0,IFERROR(MATCH(AG$5,'Oxford Economics'!$A$6:$AZ$6,0),MATCH(AG$5&amp;"",'Oxford Economics'!$A$6:$AZ$6,0))),'Oxford Economics'!$A$7:$A$1000,$C16,'Oxford Economics'!$B$7:$B$1000,Settings!$B$14)+SUMIFS(INDEX('Oxford Economics'!$A$7:$AZ$1000,0,IFERROR(MATCH(AG$5,'Oxford Economics'!$A$6:$AZ$6,0),MATCH(AG$5&amp;"",'Oxford Economics'!$A$6:$AZ$6,0))),'Oxford Economics'!$A$7:$A$1000,$C16,'Oxford Economics'!$B$7:$B$1000,Settings!$B$16)+IF(Settings!$B$18="",0,SUMIFS(INDEX('Oxford Economics'!$A$7:$AZ$1000,0,IFERROR(MATCH(AG$5,'Oxford Economics'!$A$6:$AZ$6,0),MATCH(AG$5&amp;"",'Oxford Economics'!$A$6:$AZ$6,0))),'Oxford Economics'!$A$7:$A$1000,$C16,'Oxford Economics'!$B$7:$B$1000,Settings!$B$18)))),""))</f>
        <v>5293.82</v>
      </c>
      <c r="AH16" s="38" t="n">
        <f aca="false">IF($A16="","",IFERROR(1/(1/IF($B16="Residential",SUMIFS(INDEX('Oxford Economics'!$A$7:$AZ$1000,0,IFERROR(MATCH(AH$5,'Oxford Economics'!$A$6:$AZ$6,0),MATCH(AH$5&amp;"",'Oxford Economics'!$A$6:$AZ$6,0))),'Oxford Economics'!$A$7:$A$1000,$C16,'Oxford Economics'!$B$7:$B$1000,Settings!$B$12)-SUMIFS(INDEX('Oxford Economics'!$A$7:$AZ$1000,0,IFERROR(MATCH(AH$5,'Oxford Economics'!$A$6:$AZ$6,0),MATCH(AH$5&amp;"",'Oxford Economics'!$A$6:$AZ$6,0))),'Oxford Economics'!$A$7:$A$1000,$C16,'Oxford Economics'!$B$7:$B$1000,Settings!$B$14),SUMIFS(INDEX('Oxford Economics'!$A$7:$AZ$1000,0,IFERROR(MATCH(AH$5,'Oxford Economics'!$A$6:$AZ$6,0),MATCH(AH$5&amp;"",'Oxford Economics'!$A$6:$AZ$6,0))),'Oxford Economics'!$A$7:$A$1000,$C16,'Oxford Economics'!$B$7:$B$1000,Settings!$B$14)+SUMIFS(INDEX('Oxford Economics'!$A$7:$AZ$1000,0,IFERROR(MATCH(AH$5,'Oxford Economics'!$A$6:$AZ$6,0),MATCH(AH$5&amp;"",'Oxford Economics'!$A$6:$AZ$6,0))),'Oxford Economics'!$A$7:$A$1000,$C16,'Oxford Economics'!$B$7:$B$1000,Settings!$B$16)+IF(Settings!$B$18="",0,SUMIFS(INDEX('Oxford Economics'!$A$7:$AZ$1000,0,IFERROR(MATCH(AH$5,'Oxford Economics'!$A$6:$AZ$6,0),MATCH(AH$5&amp;"",'Oxford Economics'!$A$6:$AZ$6,0))),'Oxford Economics'!$A$7:$A$1000,$C16,'Oxford Economics'!$B$7:$B$1000,Settings!$B$18)))),""))</f>
        <v>5602.75</v>
      </c>
      <c r="AI16" s="38" t="n">
        <f aca="false">IF($A16="","",IFERROR(1/(1/IF($B16="Residential",SUMIFS(INDEX('Oxford Economics'!$A$7:$AZ$1000,0,IFERROR(MATCH(AI$5,'Oxford Economics'!$A$6:$AZ$6,0),MATCH(AI$5&amp;"",'Oxford Economics'!$A$6:$AZ$6,0))),'Oxford Economics'!$A$7:$A$1000,$C16,'Oxford Economics'!$B$7:$B$1000,Settings!$B$12)-SUMIFS(INDEX('Oxford Economics'!$A$7:$AZ$1000,0,IFERROR(MATCH(AI$5,'Oxford Economics'!$A$6:$AZ$6,0),MATCH(AI$5&amp;"",'Oxford Economics'!$A$6:$AZ$6,0))),'Oxford Economics'!$A$7:$A$1000,$C16,'Oxford Economics'!$B$7:$B$1000,Settings!$B$14),SUMIFS(INDEX('Oxford Economics'!$A$7:$AZ$1000,0,IFERROR(MATCH(AI$5,'Oxford Economics'!$A$6:$AZ$6,0),MATCH(AI$5&amp;"",'Oxford Economics'!$A$6:$AZ$6,0))),'Oxford Economics'!$A$7:$A$1000,$C16,'Oxford Economics'!$B$7:$B$1000,Settings!$B$14)+SUMIFS(INDEX('Oxford Economics'!$A$7:$AZ$1000,0,IFERROR(MATCH(AI$5,'Oxford Economics'!$A$6:$AZ$6,0),MATCH(AI$5&amp;"",'Oxford Economics'!$A$6:$AZ$6,0))),'Oxford Economics'!$A$7:$A$1000,$C16,'Oxford Economics'!$B$7:$B$1000,Settings!$B$16)+IF(Settings!$B$18="",0,SUMIFS(INDEX('Oxford Economics'!$A$7:$AZ$1000,0,IFERROR(MATCH(AI$5,'Oxford Economics'!$A$6:$AZ$6,0),MATCH(AI$5&amp;"",'Oxford Economics'!$A$6:$AZ$6,0))),'Oxford Economics'!$A$7:$A$1000,$C16,'Oxford Economics'!$B$7:$B$1000,Settings!$B$18)))),""))</f>
        <v>5885.37</v>
      </c>
      <c r="AJ16" s="38" t="n">
        <f aca="false">IF($A16="","",IFERROR(1/(1/IF($B16="Residential",SUMIFS(INDEX('Oxford Economics'!$A$7:$AZ$1000,0,IFERROR(MATCH(AJ$5,'Oxford Economics'!$A$6:$AZ$6,0),MATCH(AJ$5&amp;"",'Oxford Economics'!$A$6:$AZ$6,0))),'Oxford Economics'!$A$7:$A$1000,$C16,'Oxford Economics'!$B$7:$B$1000,Settings!$B$12)-SUMIFS(INDEX('Oxford Economics'!$A$7:$AZ$1000,0,IFERROR(MATCH(AJ$5,'Oxford Economics'!$A$6:$AZ$6,0),MATCH(AJ$5&amp;"",'Oxford Economics'!$A$6:$AZ$6,0))),'Oxford Economics'!$A$7:$A$1000,$C16,'Oxford Economics'!$B$7:$B$1000,Settings!$B$14),SUMIFS(INDEX('Oxford Economics'!$A$7:$AZ$1000,0,IFERROR(MATCH(AJ$5,'Oxford Economics'!$A$6:$AZ$6,0),MATCH(AJ$5&amp;"",'Oxford Economics'!$A$6:$AZ$6,0))),'Oxford Economics'!$A$7:$A$1000,$C16,'Oxford Economics'!$B$7:$B$1000,Settings!$B$14)+SUMIFS(INDEX('Oxford Economics'!$A$7:$AZ$1000,0,IFERROR(MATCH(AJ$5,'Oxford Economics'!$A$6:$AZ$6,0),MATCH(AJ$5&amp;"",'Oxford Economics'!$A$6:$AZ$6,0))),'Oxford Economics'!$A$7:$A$1000,$C16,'Oxford Economics'!$B$7:$B$1000,Settings!$B$16)+IF(Settings!$B$18="",0,SUMIFS(INDEX('Oxford Economics'!$A$7:$AZ$1000,0,IFERROR(MATCH(AJ$5,'Oxford Economics'!$A$6:$AZ$6,0),MATCH(AJ$5&amp;"",'Oxford Economics'!$A$6:$AZ$6,0))),'Oxford Economics'!$A$7:$A$1000,$C16,'Oxford Economics'!$B$7:$B$1000,Settings!$B$18)))),""))</f>
        <v>6060.82</v>
      </c>
      <c r="AK16" s="38" t="n">
        <f aca="false">IF($A16="","",IFERROR(1/(1/IF($B16="Residential",SUMIFS(INDEX('Oxford Economics'!$A$7:$AZ$1000,0,IFERROR(MATCH(AK$5,'Oxford Economics'!$A$6:$AZ$6,0),MATCH(AK$5&amp;"",'Oxford Economics'!$A$6:$AZ$6,0))),'Oxford Economics'!$A$7:$A$1000,$C16,'Oxford Economics'!$B$7:$B$1000,Settings!$B$12)-SUMIFS(INDEX('Oxford Economics'!$A$7:$AZ$1000,0,IFERROR(MATCH(AK$5,'Oxford Economics'!$A$6:$AZ$6,0),MATCH(AK$5&amp;"",'Oxford Economics'!$A$6:$AZ$6,0))),'Oxford Economics'!$A$7:$A$1000,$C16,'Oxford Economics'!$B$7:$B$1000,Settings!$B$14),SUMIFS(INDEX('Oxford Economics'!$A$7:$AZ$1000,0,IFERROR(MATCH(AK$5,'Oxford Economics'!$A$6:$AZ$6,0),MATCH(AK$5&amp;"",'Oxford Economics'!$A$6:$AZ$6,0))),'Oxford Economics'!$A$7:$A$1000,$C16,'Oxford Economics'!$B$7:$B$1000,Settings!$B$14)+SUMIFS(INDEX('Oxford Economics'!$A$7:$AZ$1000,0,IFERROR(MATCH(AK$5,'Oxford Economics'!$A$6:$AZ$6,0),MATCH(AK$5&amp;"",'Oxford Economics'!$A$6:$AZ$6,0))),'Oxford Economics'!$A$7:$A$1000,$C16,'Oxford Economics'!$B$7:$B$1000,Settings!$B$16)+IF(Settings!$B$18="",0,SUMIFS(INDEX('Oxford Economics'!$A$7:$AZ$1000,0,IFERROR(MATCH(AK$5,'Oxford Economics'!$A$6:$AZ$6,0),MATCH(AK$5&amp;"",'Oxford Economics'!$A$6:$AZ$6,0))),'Oxford Economics'!$A$7:$A$1000,$C16,'Oxford Economics'!$B$7:$B$1000,Settings!$B$18)))),""))</f>
        <v>6280.26</v>
      </c>
      <c r="AL16" s="38" t="n">
        <f aca="false">IF($A16="","",IFERROR(1/(1/IF($B16="Residential",SUMIFS(INDEX('Oxford Economics'!$A$7:$AZ$1000,0,IFERROR(MATCH(AL$5,'Oxford Economics'!$A$6:$AZ$6,0),MATCH(AL$5&amp;"",'Oxford Economics'!$A$6:$AZ$6,0))),'Oxford Economics'!$A$7:$A$1000,$C16,'Oxford Economics'!$B$7:$B$1000,Settings!$B$12)-SUMIFS(INDEX('Oxford Economics'!$A$7:$AZ$1000,0,IFERROR(MATCH(AL$5,'Oxford Economics'!$A$6:$AZ$6,0),MATCH(AL$5&amp;"",'Oxford Economics'!$A$6:$AZ$6,0))),'Oxford Economics'!$A$7:$A$1000,$C16,'Oxford Economics'!$B$7:$B$1000,Settings!$B$14),SUMIFS(INDEX('Oxford Economics'!$A$7:$AZ$1000,0,IFERROR(MATCH(AL$5,'Oxford Economics'!$A$6:$AZ$6,0),MATCH(AL$5&amp;"",'Oxford Economics'!$A$6:$AZ$6,0))),'Oxford Economics'!$A$7:$A$1000,$C16,'Oxford Economics'!$B$7:$B$1000,Settings!$B$14)+SUMIFS(INDEX('Oxford Economics'!$A$7:$AZ$1000,0,IFERROR(MATCH(AL$5,'Oxford Economics'!$A$6:$AZ$6,0),MATCH(AL$5&amp;"",'Oxford Economics'!$A$6:$AZ$6,0))),'Oxford Economics'!$A$7:$A$1000,$C16,'Oxford Economics'!$B$7:$B$1000,Settings!$B$16)+IF(Settings!$B$18="",0,SUMIFS(INDEX('Oxford Economics'!$A$7:$AZ$1000,0,IFERROR(MATCH(AL$5,'Oxford Economics'!$A$6:$AZ$6,0),MATCH(AL$5&amp;"",'Oxford Economics'!$A$6:$AZ$6,0))),'Oxford Economics'!$A$7:$A$1000,$C16,'Oxford Economics'!$B$7:$B$1000,Settings!$B$18)))),""))</f>
        <v>6468.43</v>
      </c>
      <c r="AM16" s="38" t="n">
        <f aca="false">IF($A16="","",IFERROR(1/(1/IF($B16="Residential",SUMIFS(INDEX('Oxford Economics'!$A$7:$AZ$1000,0,IFERROR(MATCH(AM$5,'Oxford Economics'!$A$6:$AZ$6,0),MATCH(AM$5&amp;"",'Oxford Economics'!$A$6:$AZ$6,0))),'Oxford Economics'!$A$7:$A$1000,$C16,'Oxford Economics'!$B$7:$B$1000,Settings!$B$12)-SUMIFS(INDEX('Oxford Economics'!$A$7:$AZ$1000,0,IFERROR(MATCH(AM$5,'Oxford Economics'!$A$6:$AZ$6,0),MATCH(AM$5&amp;"",'Oxford Economics'!$A$6:$AZ$6,0))),'Oxford Economics'!$A$7:$A$1000,$C16,'Oxford Economics'!$B$7:$B$1000,Settings!$B$14),SUMIFS(INDEX('Oxford Economics'!$A$7:$AZ$1000,0,IFERROR(MATCH(AM$5,'Oxford Economics'!$A$6:$AZ$6,0),MATCH(AM$5&amp;"",'Oxford Economics'!$A$6:$AZ$6,0))),'Oxford Economics'!$A$7:$A$1000,$C16,'Oxford Economics'!$B$7:$B$1000,Settings!$B$14)+SUMIFS(INDEX('Oxford Economics'!$A$7:$AZ$1000,0,IFERROR(MATCH(AM$5,'Oxford Economics'!$A$6:$AZ$6,0),MATCH(AM$5&amp;"",'Oxford Economics'!$A$6:$AZ$6,0))),'Oxford Economics'!$A$7:$A$1000,$C16,'Oxford Economics'!$B$7:$B$1000,Settings!$B$16)+IF(Settings!$B$18="",0,SUMIFS(INDEX('Oxford Economics'!$A$7:$AZ$1000,0,IFERROR(MATCH(AM$5,'Oxford Economics'!$A$6:$AZ$6,0),MATCH(AM$5&amp;"",'Oxford Economics'!$A$6:$AZ$6,0))),'Oxford Economics'!$A$7:$A$1000,$C16,'Oxford Economics'!$B$7:$B$1000,Settings!$B$18)))),""))</f>
        <v>6599.03</v>
      </c>
    </row>
    <row r="17" customFormat="false" ht="15" hidden="false" customHeight="false" outlineLevel="0" collapsed="false">
      <c r="A17" s="37" t="str">
        <f aca="false">IF('Raw data'!$A17="","",'Raw data'!$A17)</f>
        <v>Czech Republic</v>
      </c>
      <c r="B17" s="37" t="str">
        <f aca="false">IF($A17="","",'Raw data'!$C17)</f>
        <v>Commercial</v>
      </c>
      <c r="C17" s="37" t="str">
        <f aca="false">IF($A17="","",IF('Raw data'!$E17="",$A17,'Raw data'!$E17))</f>
        <v>Czech Republic</v>
      </c>
      <c r="D17" s="38" t="n">
        <f aca="false">IF($A17="","",IF(AND(ISNUMBER(P17),ISNUMBER(AB17)),P17+AB17,""))</f>
        <v>7896.16</v>
      </c>
      <c r="E17" s="38" t="n">
        <f aca="false">IF($A17="","",IF(AND(ISNUMBER(Q17),ISNUMBER(AC17)),Q17+AC17,""))</f>
        <v>7964.26</v>
      </c>
      <c r="F17" s="38" t="n">
        <f aca="false">IF($A17="","",IF(AND(ISNUMBER(R17),ISNUMBER(AD17)),R17+AD17,""))</f>
        <v>7825.68</v>
      </c>
      <c r="G17" s="38" t="n">
        <f aca="false">IF($A17="","",IF(AND(ISNUMBER(S17),ISNUMBER(AE17)),S17+AE17,""))</f>
        <v>7566.64</v>
      </c>
      <c r="H17" s="38" t="n">
        <f aca="false">IF($A17="","",IF(AND(ISNUMBER(T17),ISNUMBER(AF17)),T17+AF17,""))</f>
        <v>7611.46</v>
      </c>
      <c r="I17" s="38" t="n">
        <f aca="false">IF($A17="","",IF(AND(ISNUMBER(U17),ISNUMBER(AG17)),U17+AG17,""))</f>
        <v>7763.99</v>
      </c>
      <c r="J17" s="38" t="n">
        <f aca="false">IF($A17="","",IF(AND(ISNUMBER(V17),ISNUMBER(AH17)),V17+AH17,""))</f>
        <v>8161.12</v>
      </c>
      <c r="K17" s="38" t="n">
        <f aca="false">IF($A17="","",IF(AND(ISNUMBER(W17),ISNUMBER(AI17)),W17+AI17,""))</f>
        <v>8583.41</v>
      </c>
      <c r="L17" s="38" t="n">
        <f aca="false">IF($A17="","",IF(AND(ISNUMBER(X17),ISNUMBER(AJ17)),X17+AJ17,""))</f>
        <v>8955.14</v>
      </c>
      <c r="M17" s="38" t="n">
        <f aca="false">IF($A17="","",IF(AND(ISNUMBER(Y17),ISNUMBER(AK17)),Y17+AK17,""))</f>
        <v>9395.31</v>
      </c>
      <c r="N17" s="38" t="n">
        <f aca="false">IF($A17="","",IF(AND(ISNUMBER(Z17),ISNUMBER(AL17)),Z17+AL17,""))</f>
        <v>9729.59</v>
      </c>
      <c r="O17" s="38" t="n">
        <f aca="false">IF($A17="","",IF(AND(ISNUMBER(AA17),ISNUMBER(AM17)),AA17+AM17,""))</f>
        <v>9929.42</v>
      </c>
      <c r="P17" s="38" t="n">
        <f aca="false">IF($A17="","",IFERROR(1/(1/IF($B17="Residential",SUMIFS(INDEX('Oxford Economics'!$A$7:$AZ$1000,0,IFERROR(MATCH(P$5,'Oxford Economics'!$A$6:$AZ$6,0),MATCH(P$5&amp;"",'Oxford Economics'!$A$6:$AZ$6,0))),'Oxford Economics'!$A$7:$A$1000,$C17,'Oxford Economics'!$B$7:$B$1000,Settings!$B$13)-SUMIFS(INDEX('Oxford Economics'!$A$7:$AZ$1000,0,IFERROR(MATCH(P$5,'Oxford Economics'!$A$6:$AZ$6,0),MATCH(P$5&amp;"",'Oxford Economics'!$A$6:$AZ$6,0))),'Oxford Economics'!$A$7:$A$1000,$C17,'Oxford Economics'!$B$7:$B$1000,Settings!$B$15),SUMIFS(INDEX('Oxford Economics'!$A$7:$AZ$1000,0,IFERROR(MATCH(P$5,'Oxford Economics'!$A$6:$AZ$6,0),MATCH(P$5&amp;"",'Oxford Economics'!$A$6:$AZ$6,0))),'Oxford Economics'!$A$7:$A$1000,$C17,'Oxford Economics'!$B$7:$B$1000,Settings!$B$15)+SUMIFS(INDEX('Oxford Economics'!$A$7:$AZ$1000,0,IFERROR(MATCH(P$5,'Oxford Economics'!$A$6:$AZ$6,0),MATCH(P$5&amp;"",'Oxford Economics'!$A$6:$AZ$6,0))),'Oxford Economics'!$A$7:$A$1000,$C17,'Oxford Economics'!$B$7:$B$1000,Settings!$B$17)+IF(Settings!$B$19="",0,SUMIFS(INDEX('Oxford Economics'!$A$7:$AZ$1000,0,IFERROR(MATCH(P$5,'Oxford Economics'!$A$6:$AZ$6,0),MATCH(P$5&amp;"",'Oxford Economics'!$A$6:$AZ$6,0))),'Oxford Economics'!$A$7:$A$1000,$C17,'Oxford Economics'!$B$7:$B$1000,Settings!$B$19)))),""))</f>
        <v>2472.3</v>
      </c>
      <c r="Q17" s="38" t="n">
        <f aca="false">IF($A17="","",IFERROR(1/(1/IF($B17="Residential",SUMIFS(INDEX('Oxford Economics'!$A$7:$AZ$1000,0,IFERROR(MATCH(Q$5,'Oxford Economics'!$A$6:$AZ$6,0),MATCH(Q$5&amp;"",'Oxford Economics'!$A$6:$AZ$6,0))),'Oxford Economics'!$A$7:$A$1000,$C17,'Oxford Economics'!$B$7:$B$1000,Settings!$B$13)-SUMIFS(INDEX('Oxford Economics'!$A$7:$AZ$1000,0,IFERROR(MATCH(Q$5,'Oxford Economics'!$A$6:$AZ$6,0),MATCH(Q$5&amp;"",'Oxford Economics'!$A$6:$AZ$6,0))),'Oxford Economics'!$A$7:$A$1000,$C17,'Oxford Economics'!$B$7:$B$1000,Settings!$B$15),SUMIFS(INDEX('Oxford Economics'!$A$7:$AZ$1000,0,IFERROR(MATCH(Q$5,'Oxford Economics'!$A$6:$AZ$6,0),MATCH(Q$5&amp;"",'Oxford Economics'!$A$6:$AZ$6,0))),'Oxford Economics'!$A$7:$A$1000,$C17,'Oxford Economics'!$B$7:$B$1000,Settings!$B$15)+SUMIFS(INDEX('Oxford Economics'!$A$7:$AZ$1000,0,IFERROR(MATCH(Q$5,'Oxford Economics'!$A$6:$AZ$6,0),MATCH(Q$5&amp;"",'Oxford Economics'!$A$6:$AZ$6,0))),'Oxford Economics'!$A$7:$A$1000,$C17,'Oxford Economics'!$B$7:$B$1000,Settings!$B$17)+IF(Settings!$B$19="",0,SUMIFS(INDEX('Oxford Economics'!$A$7:$AZ$1000,0,IFERROR(MATCH(Q$5,'Oxford Economics'!$A$6:$AZ$6,0),MATCH(Q$5&amp;"",'Oxford Economics'!$A$6:$AZ$6,0))),'Oxford Economics'!$A$7:$A$1000,$C17,'Oxford Economics'!$B$7:$B$1000,Settings!$B$19)))),""))</f>
        <v>2635.6</v>
      </c>
      <c r="R17" s="38" t="n">
        <f aca="false">IF($A17="","",IFERROR(1/(1/IF($B17="Residential",SUMIFS(INDEX('Oxford Economics'!$A$7:$AZ$1000,0,IFERROR(MATCH(R$5,'Oxford Economics'!$A$6:$AZ$6,0),MATCH(R$5&amp;"",'Oxford Economics'!$A$6:$AZ$6,0))),'Oxford Economics'!$A$7:$A$1000,$C17,'Oxford Economics'!$B$7:$B$1000,Settings!$B$13)-SUMIFS(INDEX('Oxford Economics'!$A$7:$AZ$1000,0,IFERROR(MATCH(R$5,'Oxford Economics'!$A$6:$AZ$6,0),MATCH(R$5&amp;"",'Oxford Economics'!$A$6:$AZ$6,0))),'Oxford Economics'!$A$7:$A$1000,$C17,'Oxford Economics'!$B$7:$B$1000,Settings!$B$15),SUMIFS(INDEX('Oxford Economics'!$A$7:$AZ$1000,0,IFERROR(MATCH(R$5,'Oxford Economics'!$A$6:$AZ$6,0),MATCH(R$5&amp;"",'Oxford Economics'!$A$6:$AZ$6,0))),'Oxford Economics'!$A$7:$A$1000,$C17,'Oxford Economics'!$B$7:$B$1000,Settings!$B$15)+SUMIFS(INDEX('Oxford Economics'!$A$7:$AZ$1000,0,IFERROR(MATCH(R$5,'Oxford Economics'!$A$6:$AZ$6,0),MATCH(R$5&amp;"",'Oxford Economics'!$A$6:$AZ$6,0))),'Oxford Economics'!$A$7:$A$1000,$C17,'Oxford Economics'!$B$7:$B$1000,Settings!$B$17)+IF(Settings!$B$19="",0,SUMIFS(INDEX('Oxford Economics'!$A$7:$AZ$1000,0,IFERROR(MATCH(R$5,'Oxford Economics'!$A$6:$AZ$6,0),MATCH(R$5&amp;"",'Oxford Economics'!$A$6:$AZ$6,0))),'Oxford Economics'!$A$7:$A$1000,$C17,'Oxford Economics'!$B$7:$B$1000,Settings!$B$19)))),""))</f>
        <v>2339.06</v>
      </c>
      <c r="S17" s="38" t="n">
        <f aca="false">IF($A17="","",IFERROR(1/(1/IF($B17="Residential",SUMIFS(INDEX('Oxford Economics'!$A$7:$AZ$1000,0,IFERROR(MATCH(S$5,'Oxford Economics'!$A$6:$AZ$6,0),MATCH(S$5&amp;"",'Oxford Economics'!$A$6:$AZ$6,0))),'Oxford Economics'!$A$7:$A$1000,$C17,'Oxford Economics'!$B$7:$B$1000,Settings!$B$13)-SUMIFS(INDEX('Oxford Economics'!$A$7:$AZ$1000,0,IFERROR(MATCH(S$5,'Oxford Economics'!$A$6:$AZ$6,0),MATCH(S$5&amp;"",'Oxford Economics'!$A$6:$AZ$6,0))),'Oxford Economics'!$A$7:$A$1000,$C17,'Oxford Economics'!$B$7:$B$1000,Settings!$B$15),SUMIFS(INDEX('Oxford Economics'!$A$7:$AZ$1000,0,IFERROR(MATCH(S$5,'Oxford Economics'!$A$6:$AZ$6,0),MATCH(S$5&amp;"",'Oxford Economics'!$A$6:$AZ$6,0))),'Oxford Economics'!$A$7:$A$1000,$C17,'Oxford Economics'!$B$7:$B$1000,Settings!$B$15)+SUMIFS(INDEX('Oxford Economics'!$A$7:$AZ$1000,0,IFERROR(MATCH(S$5,'Oxford Economics'!$A$6:$AZ$6,0),MATCH(S$5&amp;"",'Oxford Economics'!$A$6:$AZ$6,0))),'Oxford Economics'!$A$7:$A$1000,$C17,'Oxford Economics'!$B$7:$B$1000,Settings!$B$17)+IF(Settings!$B$19="",0,SUMIFS(INDEX('Oxford Economics'!$A$7:$AZ$1000,0,IFERROR(MATCH(S$5,'Oxford Economics'!$A$6:$AZ$6,0),MATCH(S$5&amp;"",'Oxford Economics'!$A$6:$AZ$6,0))),'Oxford Economics'!$A$7:$A$1000,$C17,'Oxford Economics'!$B$7:$B$1000,Settings!$B$19)))),""))</f>
        <v>2438.97</v>
      </c>
      <c r="T17" s="38" t="n">
        <f aca="false">IF($A17="","",IFERROR(1/(1/IF($B17="Residential",SUMIFS(INDEX('Oxford Economics'!$A$7:$AZ$1000,0,IFERROR(MATCH(T$5,'Oxford Economics'!$A$6:$AZ$6,0),MATCH(T$5&amp;"",'Oxford Economics'!$A$6:$AZ$6,0))),'Oxford Economics'!$A$7:$A$1000,$C17,'Oxford Economics'!$B$7:$B$1000,Settings!$B$13)-SUMIFS(INDEX('Oxford Economics'!$A$7:$AZ$1000,0,IFERROR(MATCH(T$5,'Oxford Economics'!$A$6:$AZ$6,0),MATCH(T$5&amp;"",'Oxford Economics'!$A$6:$AZ$6,0))),'Oxford Economics'!$A$7:$A$1000,$C17,'Oxford Economics'!$B$7:$B$1000,Settings!$B$15),SUMIFS(INDEX('Oxford Economics'!$A$7:$AZ$1000,0,IFERROR(MATCH(T$5,'Oxford Economics'!$A$6:$AZ$6,0),MATCH(T$5&amp;"",'Oxford Economics'!$A$6:$AZ$6,0))),'Oxford Economics'!$A$7:$A$1000,$C17,'Oxford Economics'!$B$7:$B$1000,Settings!$B$15)+SUMIFS(INDEX('Oxford Economics'!$A$7:$AZ$1000,0,IFERROR(MATCH(T$5,'Oxford Economics'!$A$6:$AZ$6,0),MATCH(T$5&amp;"",'Oxford Economics'!$A$6:$AZ$6,0))),'Oxford Economics'!$A$7:$A$1000,$C17,'Oxford Economics'!$B$7:$B$1000,Settings!$B$17)+IF(Settings!$B$19="",0,SUMIFS(INDEX('Oxford Economics'!$A$7:$AZ$1000,0,IFERROR(MATCH(T$5,'Oxford Economics'!$A$6:$AZ$6,0),MATCH(T$5&amp;"",'Oxford Economics'!$A$6:$AZ$6,0))),'Oxford Economics'!$A$7:$A$1000,$C17,'Oxford Economics'!$B$7:$B$1000,Settings!$B$19)))),""))</f>
        <v>2433.11</v>
      </c>
      <c r="U17" s="38" t="n">
        <f aca="false">IF($A17="","",IFERROR(1/(1/IF($B17="Residential",SUMIFS(INDEX('Oxford Economics'!$A$7:$AZ$1000,0,IFERROR(MATCH(U$5,'Oxford Economics'!$A$6:$AZ$6,0),MATCH(U$5&amp;"",'Oxford Economics'!$A$6:$AZ$6,0))),'Oxford Economics'!$A$7:$A$1000,$C17,'Oxford Economics'!$B$7:$B$1000,Settings!$B$13)-SUMIFS(INDEX('Oxford Economics'!$A$7:$AZ$1000,0,IFERROR(MATCH(U$5,'Oxford Economics'!$A$6:$AZ$6,0),MATCH(U$5&amp;"",'Oxford Economics'!$A$6:$AZ$6,0))),'Oxford Economics'!$A$7:$A$1000,$C17,'Oxford Economics'!$B$7:$B$1000,Settings!$B$15),SUMIFS(INDEX('Oxford Economics'!$A$7:$AZ$1000,0,IFERROR(MATCH(U$5,'Oxford Economics'!$A$6:$AZ$6,0),MATCH(U$5&amp;"",'Oxford Economics'!$A$6:$AZ$6,0))),'Oxford Economics'!$A$7:$A$1000,$C17,'Oxford Economics'!$B$7:$B$1000,Settings!$B$15)+SUMIFS(INDEX('Oxford Economics'!$A$7:$AZ$1000,0,IFERROR(MATCH(U$5,'Oxford Economics'!$A$6:$AZ$6,0),MATCH(U$5&amp;"",'Oxford Economics'!$A$6:$AZ$6,0))),'Oxford Economics'!$A$7:$A$1000,$C17,'Oxford Economics'!$B$7:$B$1000,Settings!$B$17)+IF(Settings!$B$19="",0,SUMIFS(INDEX('Oxford Economics'!$A$7:$AZ$1000,0,IFERROR(MATCH(U$5,'Oxford Economics'!$A$6:$AZ$6,0),MATCH(U$5&amp;"",'Oxford Economics'!$A$6:$AZ$6,0))),'Oxford Economics'!$A$7:$A$1000,$C17,'Oxford Economics'!$B$7:$B$1000,Settings!$B$19)))),""))</f>
        <v>2470.17</v>
      </c>
      <c r="V17" s="38" t="n">
        <f aca="false">IF($A17="","",IFERROR(1/(1/IF($B17="Residential",SUMIFS(INDEX('Oxford Economics'!$A$7:$AZ$1000,0,IFERROR(MATCH(V$5,'Oxford Economics'!$A$6:$AZ$6,0),MATCH(V$5&amp;"",'Oxford Economics'!$A$6:$AZ$6,0))),'Oxford Economics'!$A$7:$A$1000,$C17,'Oxford Economics'!$B$7:$B$1000,Settings!$B$13)-SUMIFS(INDEX('Oxford Economics'!$A$7:$AZ$1000,0,IFERROR(MATCH(V$5,'Oxford Economics'!$A$6:$AZ$6,0),MATCH(V$5&amp;"",'Oxford Economics'!$A$6:$AZ$6,0))),'Oxford Economics'!$A$7:$A$1000,$C17,'Oxford Economics'!$B$7:$B$1000,Settings!$B$15),SUMIFS(INDEX('Oxford Economics'!$A$7:$AZ$1000,0,IFERROR(MATCH(V$5,'Oxford Economics'!$A$6:$AZ$6,0),MATCH(V$5&amp;"",'Oxford Economics'!$A$6:$AZ$6,0))),'Oxford Economics'!$A$7:$A$1000,$C17,'Oxford Economics'!$B$7:$B$1000,Settings!$B$15)+SUMIFS(INDEX('Oxford Economics'!$A$7:$AZ$1000,0,IFERROR(MATCH(V$5,'Oxford Economics'!$A$6:$AZ$6,0),MATCH(V$5&amp;"",'Oxford Economics'!$A$6:$AZ$6,0))),'Oxford Economics'!$A$7:$A$1000,$C17,'Oxford Economics'!$B$7:$B$1000,Settings!$B$17)+IF(Settings!$B$19="",0,SUMIFS(INDEX('Oxford Economics'!$A$7:$AZ$1000,0,IFERROR(MATCH(V$5,'Oxford Economics'!$A$6:$AZ$6,0),MATCH(V$5&amp;"",'Oxford Economics'!$A$6:$AZ$6,0))),'Oxford Economics'!$A$7:$A$1000,$C17,'Oxford Economics'!$B$7:$B$1000,Settings!$B$19)))),""))</f>
        <v>2558.37</v>
      </c>
      <c r="W17" s="38" t="n">
        <f aca="false">IF($A17="","",IFERROR(1/(1/IF($B17="Residential",SUMIFS(INDEX('Oxford Economics'!$A$7:$AZ$1000,0,IFERROR(MATCH(W$5,'Oxford Economics'!$A$6:$AZ$6,0),MATCH(W$5&amp;"",'Oxford Economics'!$A$6:$AZ$6,0))),'Oxford Economics'!$A$7:$A$1000,$C17,'Oxford Economics'!$B$7:$B$1000,Settings!$B$13)-SUMIFS(INDEX('Oxford Economics'!$A$7:$AZ$1000,0,IFERROR(MATCH(W$5,'Oxford Economics'!$A$6:$AZ$6,0),MATCH(W$5&amp;"",'Oxford Economics'!$A$6:$AZ$6,0))),'Oxford Economics'!$A$7:$A$1000,$C17,'Oxford Economics'!$B$7:$B$1000,Settings!$B$15),SUMIFS(INDEX('Oxford Economics'!$A$7:$AZ$1000,0,IFERROR(MATCH(W$5,'Oxford Economics'!$A$6:$AZ$6,0),MATCH(W$5&amp;"",'Oxford Economics'!$A$6:$AZ$6,0))),'Oxford Economics'!$A$7:$A$1000,$C17,'Oxford Economics'!$B$7:$B$1000,Settings!$B$15)+SUMIFS(INDEX('Oxford Economics'!$A$7:$AZ$1000,0,IFERROR(MATCH(W$5,'Oxford Economics'!$A$6:$AZ$6,0),MATCH(W$5&amp;"",'Oxford Economics'!$A$6:$AZ$6,0))),'Oxford Economics'!$A$7:$A$1000,$C17,'Oxford Economics'!$B$7:$B$1000,Settings!$B$17)+IF(Settings!$B$19="",0,SUMIFS(INDEX('Oxford Economics'!$A$7:$AZ$1000,0,IFERROR(MATCH(W$5,'Oxford Economics'!$A$6:$AZ$6,0),MATCH(W$5&amp;"",'Oxford Economics'!$A$6:$AZ$6,0))),'Oxford Economics'!$A$7:$A$1000,$C17,'Oxford Economics'!$B$7:$B$1000,Settings!$B$19)))),""))</f>
        <v>2698.04</v>
      </c>
      <c r="X17" s="38" t="n">
        <f aca="false">IF($A17="","",IFERROR(1/(1/IF($B17="Residential",SUMIFS(INDEX('Oxford Economics'!$A$7:$AZ$1000,0,IFERROR(MATCH(X$5,'Oxford Economics'!$A$6:$AZ$6,0),MATCH(X$5&amp;"",'Oxford Economics'!$A$6:$AZ$6,0))),'Oxford Economics'!$A$7:$A$1000,$C17,'Oxford Economics'!$B$7:$B$1000,Settings!$B$13)-SUMIFS(INDEX('Oxford Economics'!$A$7:$AZ$1000,0,IFERROR(MATCH(X$5,'Oxford Economics'!$A$6:$AZ$6,0),MATCH(X$5&amp;"",'Oxford Economics'!$A$6:$AZ$6,0))),'Oxford Economics'!$A$7:$A$1000,$C17,'Oxford Economics'!$B$7:$B$1000,Settings!$B$15),SUMIFS(INDEX('Oxford Economics'!$A$7:$AZ$1000,0,IFERROR(MATCH(X$5,'Oxford Economics'!$A$6:$AZ$6,0),MATCH(X$5&amp;"",'Oxford Economics'!$A$6:$AZ$6,0))),'Oxford Economics'!$A$7:$A$1000,$C17,'Oxford Economics'!$B$7:$B$1000,Settings!$B$15)+SUMIFS(INDEX('Oxford Economics'!$A$7:$AZ$1000,0,IFERROR(MATCH(X$5,'Oxford Economics'!$A$6:$AZ$6,0),MATCH(X$5&amp;"",'Oxford Economics'!$A$6:$AZ$6,0))),'Oxford Economics'!$A$7:$A$1000,$C17,'Oxford Economics'!$B$7:$B$1000,Settings!$B$17)+IF(Settings!$B$19="",0,SUMIFS(INDEX('Oxford Economics'!$A$7:$AZ$1000,0,IFERROR(MATCH(X$5,'Oxford Economics'!$A$6:$AZ$6,0),MATCH(X$5&amp;"",'Oxford Economics'!$A$6:$AZ$6,0))),'Oxford Economics'!$A$7:$A$1000,$C17,'Oxford Economics'!$B$7:$B$1000,Settings!$B$19)))),""))</f>
        <v>2894.32</v>
      </c>
      <c r="Y17" s="38" t="n">
        <f aca="false">IF($A17="","",IFERROR(1/(1/IF($B17="Residential",SUMIFS(INDEX('Oxford Economics'!$A$7:$AZ$1000,0,IFERROR(MATCH(Y$5,'Oxford Economics'!$A$6:$AZ$6,0),MATCH(Y$5&amp;"",'Oxford Economics'!$A$6:$AZ$6,0))),'Oxford Economics'!$A$7:$A$1000,$C17,'Oxford Economics'!$B$7:$B$1000,Settings!$B$13)-SUMIFS(INDEX('Oxford Economics'!$A$7:$AZ$1000,0,IFERROR(MATCH(Y$5,'Oxford Economics'!$A$6:$AZ$6,0),MATCH(Y$5&amp;"",'Oxford Economics'!$A$6:$AZ$6,0))),'Oxford Economics'!$A$7:$A$1000,$C17,'Oxford Economics'!$B$7:$B$1000,Settings!$B$15),SUMIFS(INDEX('Oxford Economics'!$A$7:$AZ$1000,0,IFERROR(MATCH(Y$5,'Oxford Economics'!$A$6:$AZ$6,0),MATCH(Y$5&amp;"",'Oxford Economics'!$A$6:$AZ$6,0))),'Oxford Economics'!$A$7:$A$1000,$C17,'Oxford Economics'!$B$7:$B$1000,Settings!$B$15)+SUMIFS(INDEX('Oxford Economics'!$A$7:$AZ$1000,0,IFERROR(MATCH(Y$5,'Oxford Economics'!$A$6:$AZ$6,0),MATCH(Y$5&amp;"",'Oxford Economics'!$A$6:$AZ$6,0))),'Oxford Economics'!$A$7:$A$1000,$C17,'Oxford Economics'!$B$7:$B$1000,Settings!$B$17)+IF(Settings!$B$19="",0,SUMIFS(INDEX('Oxford Economics'!$A$7:$AZ$1000,0,IFERROR(MATCH(Y$5,'Oxford Economics'!$A$6:$AZ$6,0),MATCH(Y$5&amp;"",'Oxford Economics'!$A$6:$AZ$6,0))),'Oxford Economics'!$A$7:$A$1000,$C17,'Oxford Economics'!$B$7:$B$1000,Settings!$B$19)))),""))</f>
        <v>3115.05</v>
      </c>
      <c r="Z17" s="38" t="n">
        <f aca="false">IF($A17="","",IFERROR(1/(1/IF($B17="Residential",SUMIFS(INDEX('Oxford Economics'!$A$7:$AZ$1000,0,IFERROR(MATCH(Z$5,'Oxford Economics'!$A$6:$AZ$6,0),MATCH(Z$5&amp;"",'Oxford Economics'!$A$6:$AZ$6,0))),'Oxford Economics'!$A$7:$A$1000,$C17,'Oxford Economics'!$B$7:$B$1000,Settings!$B$13)-SUMIFS(INDEX('Oxford Economics'!$A$7:$AZ$1000,0,IFERROR(MATCH(Z$5,'Oxford Economics'!$A$6:$AZ$6,0),MATCH(Z$5&amp;"",'Oxford Economics'!$A$6:$AZ$6,0))),'Oxford Economics'!$A$7:$A$1000,$C17,'Oxford Economics'!$B$7:$B$1000,Settings!$B$15),SUMIFS(INDEX('Oxford Economics'!$A$7:$AZ$1000,0,IFERROR(MATCH(Z$5,'Oxford Economics'!$A$6:$AZ$6,0),MATCH(Z$5&amp;"",'Oxford Economics'!$A$6:$AZ$6,0))),'Oxford Economics'!$A$7:$A$1000,$C17,'Oxford Economics'!$B$7:$B$1000,Settings!$B$15)+SUMIFS(INDEX('Oxford Economics'!$A$7:$AZ$1000,0,IFERROR(MATCH(Z$5,'Oxford Economics'!$A$6:$AZ$6,0),MATCH(Z$5&amp;"",'Oxford Economics'!$A$6:$AZ$6,0))),'Oxford Economics'!$A$7:$A$1000,$C17,'Oxford Economics'!$B$7:$B$1000,Settings!$B$17)+IF(Settings!$B$19="",0,SUMIFS(INDEX('Oxford Economics'!$A$7:$AZ$1000,0,IFERROR(MATCH(Z$5,'Oxford Economics'!$A$6:$AZ$6,0),MATCH(Z$5&amp;"",'Oxford Economics'!$A$6:$AZ$6,0))),'Oxford Economics'!$A$7:$A$1000,$C17,'Oxford Economics'!$B$7:$B$1000,Settings!$B$19)))),""))</f>
        <v>3261.16</v>
      </c>
      <c r="AA17" s="38" t="n">
        <f aca="false">IF($A17="","",IFERROR(1/(1/IF($B17="Residential",SUMIFS(INDEX('Oxford Economics'!$A$7:$AZ$1000,0,IFERROR(MATCH(AA$5,'Oxford Economics'!$A$6:$AZ$6,0),MATCH(AA$5&amp;"",'Oxford Economics'!$A$6:$AZ$6,0))),'Oxford Economics'!$A$7:$A$1000,$C17,'Oxford Economics'!$B$7:$B$1000,Settings!$B$13)-SUMIFS(INDEX('Oxford Economics'!$A$7:$AZ$1000,0,IFERROR(MATCH(AA$5,'Oxford Economics'!$A$6:$AZ$6,0),MATCH(AA$5&amp;"",'Oxford Economics'!$A$6:$AZ$6,0))),'Oxford Economics'!$A$7:$A$1000,$C17,'Oxford Economics'!$B$7:$B$1000,Settings!$B$15),SUMIFS(INDEX('Oxford Economics'!$A$7:$AZ$1000,0,IFERROR(MATCH(AA$5,'Oxford Economics'!$A$6:$AZ$6,0),MATCH(AA$5&amp;"",'Oxford Economics'!$A$6:$AZ$6,0))),'Oxford Economics'!$A$7:$A$1000,$C17,'Oxford Economics'!$B$7:$B$1000,Settings!$B$15)+SUMIFS(INDEX('Oxford Economics'!$A$7:$AZ$1000,0,IFERROR(MATCH(AA$5,'Oxford Economics'!$A$6:$AZ$6,0),MATCH(AA$5&amp;"",'Oxford Economics'!$A$6:$AZ$6,0))),'Oxford Economics'!$A$7:$A$1000,$C17,'Oxford Economics'!$B$7:$B$1000,Settings!$B$17)+IF(Settings!$B$19="",0,SUMIFS(INDEX('Oxford Economics'!$A$7:$AZ$1000,0,IFERROR(MATCH(AA$5,'Oxford Economics'!$A$6:$AZ$6,0),MATCH(AA$5&amp;"",'Oxford Economics'!$A$6:$AZ$6,0))),'Oxford Economics'!$A$7:$A$1000,$C17,'Oxford Economics'!$B$7:$B$1000,Settings!$B$19)))),""))</f>
        <v>3330.39</v>
      </c>
      <c r="AB17" s="38" t="n">
        <f aca="false">IF($A17="","",IFERROR(1/(1/IF($B17="Residential",SUMIFS(INDEX('Oxford Economics'!$A$7:$AZ$1000,0,IFERROR(MATCH(AB$5,'Oxford Economics'!$A$6:$AZ$6,0),MATCH(AB$5&amp;"",'Oxford Economics'!$A$6:$AZ$6,0))),'Oxford Economics'!$A$7:$A$1000,$C17,'Oxford Economics'!$B$7:$B$1000,Settings!$B$12)-SUMIFS(INDEX('Oxford Economics'!$A$7:$AZ$1000,0,IFERROR(MATCH(AB$5,'Oxford Economics'!$A$6:$AZ$6,0),MATCH(AB$5&amp;"",'Oxford Economics'!$A$6:$AZ$6,0))),'Oxford Economics'!$A$7:$A$1000,$C17,'Oxford Economics'!$B$7:$B$1000,Settings!$B$14),SUMIFS(INDEX('Oxford Economics'!$A$7:$AZ$1000,0,IFERROR(MATCH(AB$5,'Oxford Economics'!$A$6:$AZ$6,0),MATCH(AB$5&amp;"",'Oxford Economics'!$A$6:$AZ$6,0))),'Oxford Economics'!$A$7:$A$1000,$C17,'Oxford Economics'!$B$7:$B$1000,Settings!$B$14)+SUMIFS(INDEX('Oxford Economics'!$A$7:$AZ$1000,0,IFERROR(MATCH(AB$5,'Oxford Economics'!$A$6:$AZ$6,0),MATCH(AB$5&amp;"",'Oxford Economics'!$A$6:$AZ$6,0))),'Oxford Economics'!$A$7:$A$1000,$C17,'Oxford Economics'!$B$7:$B$1000,Settings!$B$16)+IF(Settings!$B$18="",0,SUMIFS(INDEX('Oxford Economics'!$A$7:$AZ$1000,0,IFERROR(MATCH(AB$5,'Oxford Economics'!$A$6:$AZ$6,0),MATCH(AB$5&amp;"",'Oxford Economics'!$A$6:$AZ$6,0))),'Oxford Economics'!$A$7:$A$1000,$C17,'Oxford Economics'!$B$7:$B$1000,Settings!$B$18)))),""))</f>
        <v>5423.86</v>
      </c>
      <c r="AC17" s="38" t="n">
        <f aca="false">IF($A17="","",IFERROR(1/(1/IF($B17="Residential",SUMIFS(INDEX('Oxford Economics'!$A$7:$AZ$1000,0,IFERROR(MATCH(AC$5,'Oxford Economics'!$A$6:$AZ$6,0),MATCH(AC$5&amp;"",'Oxford Economics'!$A$6:$AZ$6,0))),'Oxford Economics'!$A$7:$A$1000,$C17,'Oxford Economics'!$B$7:$B$1000,Settings!$B$12)-SUMIFS(INDEX('Oxford Economics'!$A$7:$AZ$1000,0,IFERROR(MATCH(AC$5,'Oxford Economics'!$A$6:$AZ$6,0),MATCH(AC$5&amp;"",'Oxford Economics'!$A$6:$AZ$6,0))),'Oxford Economics'!$A$7:$A$1000,$C17,'Oxford Economics'!$B$7:$B$1000,Settings!$B$14),SUMIFS(INDEX('Oxford Economics'!$A$7:$AZ$1000,0,IFERROR(MATCH(AC$5,'Oxford Economics'!$A$6:$AZ$6,0),MATCH(AC$5&amp;"",'Oxford Economics'!$A$6:$AZ$6,0))),'Oxford Economics'!$A$7:$A$1000,$C17,'Oxford Economics'!$B$7:$B$1000,Settings!$B$14)+SUMIFS(INDEX('Oxford Economics'!$A$7:$AZ$1000,0,IFERROR(MATCH(AC$5,'Oxford Economics'!$A$6:$AZ$6,0),MATCH(AC$5&amp;"",'Oxford Economics'!$A$6:$AZ$6,0))),'Oxford Economics'!$A$7:$A$1000,$C17,'Oxford Economics'!$B$7:$B$1000,Settings!$B$16)+IF(Settings!$B$18="",0,SUMIFS(INDEX('Oxford Economics'!$A$7:$AZ$1000,0,IFERROR(MATCH(AC$5,'Oxford Economics'!$A$6:$AZ$6,0),MATCH(AC$5&amp;"",'Oxford Economics'!$A$6:$AZ$6,0))),'Oxford Economics'!$A$7:$A$1000,$C17,'Oxford Economics'!$B$7:$B$1000,Settings!$B$18)))),""))</f>
        <v>5328.66</v>
      </c>
      <c r="AD17" s="38" t="n">
        <f aca="false">IF($A17="","",IFERROR(1/(1/IF($B17="Residential",SUMIFS(INDEX('Oxford Economics'!$A$7:$AZ$1000,0,IFERROR(MATCH(AD$5,'Oxford Economics'!$A$6:$AZ$6,0),MATCH(AD$5&amp;"",'Oxford Economics'!$A$6:$AZ$6,0))),'Oxford Economics'!$A$7:$A$1000,$C17,'Oxford Economics'!$B$7:$B$1000,Settings!$B$12)-SUMIFS(INDEX('Oxford Economics'!$A$7:$AZ$1000,0,IFERROR(MATCH(AD$5,'Oxford Economics'!$A$6:$AZ$6,0),MATCH(AD$5&amp;"",'Oxford Economics'!$A$6:$AZ$6,0))),'Oxford Economics'!$A$7:$A$1000,$C17,'Oxford Economics'!$B$7:$B$1000,Settings!$B$14),SUMIFS(INDEX('Oxford Economics'!$A$7:$AZ$1000,0,IFERROR(MATCH(AD$5,'Oxford Economics'!$A$6:$AZ$6,0),MATCH(AD$5&amp;"",'Oxford Economics'!$A$6:$AZ$6,0))),'Oxford Economics'!$A$7:$A$1000,$C17,'Oxford Economics'!$B$7:$B$1000,Settings!$B$14)+SUMIFS(INDEX('Oxford Economics'!$A$7:$AZ$1000,0,IFERROR(MATCH(AD$5,'Oxford Economics'!$A$6:$AZ$6,0),MATCH(AD$5&amp;"",'Oxford Economics'!$A$6:$AZ$6,0))),'Oxford Economics'!$A$7:$A$1000,$C17,'Oxford Economics'!$B$7:$B$1000,Settings!$B$16)+IF(Settings!$B$18="",0,SUMIFS(INDEX('Oxford Economics'!$A$7:$AZ$1000,0,IFERROR(MATCH(AD$5,'Oxford Economics'!$A$6:$AZ$6,0),MATCH(AD$5&amp;"",'Oxford Economics'!$A$6:$AZ$6,0))),'Oxford Economics'!$A$7:$A$1000,$C17,'Oxford Economics'!$B$7:$B$1000,Settings!$B$18)))),""))</f>
        <v>5486.62</v>
      </c>
      <c r="AE17" s="38" t="n">
        <f aca="false">IF($A17="","",IFERROR(1/(1/IF($B17="Residential",SUMIFS(INDEX('Oxford Economics'!$A$7:$AZ$1000,0,IFERROR(MATCH(AE$5,'Oxford Economics'!$A$6:$AZ$6,0),MATCH(AE$5&amp;"",'Oxford Economics'!$A$6:$AZ$6,0))),'Oxford Economics'!$A$7:$A$1000,$C17,'Oxford Economics'!$B$7:$B$1000,Settings!$B$12)-SUMIFS(INDEX('Oxford Economics'!$A$7:$AZ$1000,0,IFERROR(MATCH(AE$5,'Oxford Economics'!$A$6:$AZ$6,0),MATCH(AE$5&amp;"",'Oxford Economics'!$A$6:$AZ$6,0))),'Oxford Economics'!$A$7:$A$1000,$C17,'Oxford Economics'!$B$7:$B$1000,Settings!$B$14),SUMIFS(INDEX('Oxford Economics'!$A$7:$AZ$1000,0,IFERROR(MATCH(AE$5,'Oxford Economics'!$A$6:$AZ$6,0),MATCH(AE$5&amp;"",'Oxford Economics'!$A$6:$AZ$6,0))),'Oxford Economics'!$A$7:$A$1000,$C17,'Oxford Economics'!$B$7:$B$1000,Settings!$B$14)+SUMIFS(INDEX('Oxford Economics'!$A$7:$AZ$1000,0,IFERROR(MATCH(AE$5,'Oxford Economics'!$A$6:$AZ$6,0),MATCH(AE$5&amp;"",'Oxford Economics'!$A$6:$AZ$6,0))),'Oxford Economics'!$A$7:$A$1000,$C17,'Oxford Economics'!$B$7:$B$1000,Settings!$B$16)+IF(Settings!$B$18="",0,SUMIFS(INDEX('Oxford Economics'!$A$7:$AZ$1000,0,IFERROR(MATCH(AE$5,'Oxford Economics'!$A$6:$AZ$6,0),MATCH(AE$5&amp;"",'Oxford Economics'!$A$6:$AZ$6,0))),'Oxford Economics'!$A$7:$A$1000,$C17,'Oxford Economics'!$B$7:$B$1000,Settings!$B$18)))),""))</f>
        <v>5127.67</v>
      </c>
      <c r="AF17" s="38" t="n">
        <f aca="false">IF($A17="","",IFERROR(1/(1/IF($B17="Residential",SUMIFS(INDEX('Oxford Economics'!$A$7:$AZ$1000,0,IFERROR(MATCH(AF$5,'Oxford Economics'!$A$6:$AZ$6,0),MATCH(AF$5&amp;"",'Oxford Economics'!$A$6:$AZ$6,0))),'Oxford Economics'!$A$7:$A$1000,$C17,'Oxford Economics'!$B$7:$B$1000,Settings!$B$12)-SUMIFS(INDEX('Oxford Economics'!$A$7:$AZ$1000,0,IFERROR(MATCH(AF$5,'Oxford Economics'!$A$6:$AZ$6,0),MATCH(AF$5&amp;"",'Oxford Economics'!$A$6:$AZ$6,0))),'Oxford Economics'!$A$7:$A$1000,$C17,'Oxford Economics'!$B$7:$B$1000,Settings!$B$14),SUMIFS(INDEX('Oxford Economics'!$A$7:$AZ$1000,0,IFERROR(MATCH(AF$5,'Oxford Economics'!$A$6:$AZ$6,0),MATCH(AF$5&amp;"",'Oxford Economics'!$A$6:$AZ$6,0))),'Oxford Economics'!$A$7:$A$1000,$C17,'Oxford Economics'!$B$7:$B$1000,Settings!$B$14)+SUMIFS(INDEX('Oxford Economics'!$A$7:$AZ$1000,0,IFERROR(MATCH(AF$5,'Oxford Economics'!$A$6:$AZ$6,0),MATCH(AF$5&amp;"",'Oxford Economics'!$A$6:$AZ$6,0))),'Oxford Economics'!$A$7:$A$1000,$C17,'Oxford Economics'!$B$7:$B$1000,Settings!$B$16)+IF(Settings!$B$18="",0,SUMIFS(INDEX('Oxford Economics'!$A$7:$AZ$1000,0,IFERROR(MATCH(AF$5,'Oxford Economics'!$A$6:$AZ$6,0),MATCH(AF$5&amp;"",'Oxford Economics'!$A$6:$AZ$6,0))),'Oxford Economics'!$A$7:$A$1000,$C17,'Oxford Economics'!$B$7:$B$1000,Settings!$B$18)))),""))</f>
        <v>5178.35</v>
      </c>
      <c r="AG17" s="38" t="n">
        <f aca="false">IF($A17="","",IFERROR(1/(1/IF($B17="Residential",SUMIFS(INDEX('Oxford Economics'!$A$7:$AZ$1000,0,IFERROR(MATCH(AG$5,'Oxford Economics'!$A$6:$AZ$6,0),MATCH(AG$5&amp;"",'Oxford Economics'!$A$6:$AZ$6,0))),'Oxford Economics'!$A$7:$A$1000,$C17,'Oxford Economics'!$B$7:$B$1000,Settings!$B$12)-SUMIFS(INDEX('Oxford Economics'!$A$7:$AZ$1000,0,IFERROR(MATCH(AG$5,'Oxford Economics'!$A$6:$AZ$6,0),MATCH(AG$5&amp;"",'Oxford Economics'!$A$6:$AZ$6,0))),'Oxford Economics'!$A$7:$A$1000,$C17,'Oxford Economics'!$B$7:$B$1000,Settings!$B$14),SUMIFS(INDEX('Oxford Economics'!$A$7:$AZ$1000,0,IFERROR(MATCH(AG$5,'Oxford Economics'!$A$6:$AZ$6,0),MATCH(AG$5&amp;"",'Oxford Economics'!$A$6:$AZ$6,0))),'Oxford Economics'!$A$7:$A$1000,$C17,'Oxford Economics'!$B$7:$B$1000,Settings!$B$14)+SUMIFS(INDEX('Oxford Economics'!$A$7:$AZ$1000,0,IFERROR(MATCH(AG$5,'Oxford Economics'!$A$6:$AZ$6,0),MATCH(AG$5&amp;"",'Oxford Economics'!$A$6:$AZ$6,0))),'Oxford Economics'!$A$7:$A$1000,$C17,'Oxford Economics'!$B$7:$B$1000,Settings!$B$16)+IF(Settings!$B$18="",0,SUMIFS(INDEX('Oxford Economics'!$A$7:$AZ$1000,0,IFERROR(MATCH(AG$5,'Oxford Economics'!$A$6:$AZ$6,0),MATCH(AG$5&amp;"",'Oxford Economics'!$A$6:$AZ$6,0))),'Oxford Economics'!$A$7:$A$1000,$C17,'Oxford Economics'!$B$7:$B$1000,Settings!$B$18)))),""))</f>
        <v>5293.82</v>
      </c>
      <c r="AH17" s="38" t="n">
        <f aca="false">IF($A17="","",IFERROR(1/(1/IF($B17="Residential",SUMIFS(INDEX('Oxford Economics'!$A$7:$AZ$1000,0,IFERROR(MATCH(AH$5,'Oxford Economics'!$A$6:$AZ$6,0),MATCH(AH$5&amp;"",'Oxford Economics'!$A$6:$AZ$6,0))),'Oxford Economics'!$A$7:$A$1000,$C17,'Oxford Economics'!$B$7:$B$1000,Settings!$B$12)-SUMIFS(INDEX('Oxford Economics'!$A$7:$AZ$1000,0,IFERROR(MATCH(AH$5,'Oxford Economics'!$A$6:$AZ$6,0),MATCH(AH$5&amp;"",'Oxford Economics'!$A$6:$AZ$6,0))),'Oxford Economics'!$A$7:$A$1000,$C17,'Oxford Economics'!$B$7:$B$1000,Settings!$B$14),SUMIFS(INDEX('Oxford Economics'!$A$7:$AZ$1000,0,IFERROR(MATCH(AH$5,'Oxford Economics'!$A$6:$AZ$6,0),MATCH(AH$5&amp;"",'Oxford Economics'!$A$6:$AZ$6,0))),'Oxford Economics'!$A$7:$A$1000,$C17,'Oxford Economics'!$B$7:$B$1000,Settings!$B$14)+SUMIFS(INDEX('Oxford Economics'!$A$7:$AZ$1000,0,IFERROR(MATCH(AH$5,'Oxford Economics'!$A$6:$AZ$6,0),MATCH(AH$5&amp;"",'Oxford Economics'!$A$6:$AZ$6,0))),'Oxford Economics'!$A$7:$A$1000,$C17,'Oxford Economics'!$B$7:$B$1000,Settings!$B$16)+IF(Settings!$B$18="",0,SUMIFS(INDEX('Oxford Economics'!$A$7:$AZ$1000,0,IFERROR(MATCH(AH$5,'Oxford Economics'!$A$6:$AZ$6,0),MATCH(AH$5&amp;"",'Oxford Economics'!$A$6:$AZ$6,0))),'Oxford Economics'!$A$7:$A$1000,$C17,'Oxford Economics'!$B$7:$B$1000,Settings!$B$18)))),""))</f>
        <v>5602.75</v>
      </c>
      <c r="AI17" s="38" t="n">
        <f aca="false">IF($A17="","",IFERROR(1/(1/IF($B17="Residential",SUMIFS(INDEX('Oxford Economics'!$A$7:$AZ$1000,0,IFERROR(MATCH(AI$5,'Oxford Economics'!$A$6:$AZ$6,0),MATCH(AI$5&amp;"",'Oxford Economics'!$A$6:$AZ$6,0))),'Oxford Economics'!$A$7:$A$1000,$C17,'Oxford Economics'!$B$7:$B$1000,Settings!$B$12)-SUMIFS(INDEX('Oxford Economics'!$A$7:$AZ$1000,0,IFERROR(MATCH(AI$5,'Oxford Economics'!$A$6:$AZ$6,0),MATCH(AI$5&amp;"",'Oxford Economics'!$A$6:$AZ$6,0))),'Oxford Economics'!$A$7:$A$1000,$C17,'Oxford Economics'!$B$7:$B$1000,Settings!$B$14),SUMIFS(INDEX('Oxford Economics'!$A$7:$AZ$1000,0,IFERROR(MATCH(AI$5,'Oxford Economics'!$A$6:$AZ$6,0),MATCH(AI$5&amp;"",'Oxford Economics'!$A$6:$AZ$6,0))),'Oxford Economics'!$A$7:$A$1000,$C17,'Oxford Economics'!$B$7:$B$1000,Settings!$B$14)+SUMIFS(INDEX('Oxford Economics'!$A$7:$AZ$1000,0,IFERROR(MATCH(AI$5,'Oxford Economics'!$A$6:$AZ$6,0),MATCH(AI$5&amp;"",'Oxford Economics'!$A$6:$AZ$6,0))),'Oxford Economics'!$A$7:$A$1000,$C17,'Oxford Economics'!$B$7:$B$1000,Settings!$B$16)+IF(Settings!$B$18="",0,SUMIFS(INDEX('Oxford Economics'!$A$7:$AZ$1000,0,IFERROR(MATCH(AI$5,'Oxford Economics'!$A$6:$AZ$6,0),MATCH(AI$5&amp;"",'Oxford Economics'!$A$6:$AZ$6,0))),'Oxford Economics'!$A$7:$A$1000,$C17,'Oxford Economics'!$B$7:$B$1000,Settings!$B$18)))),""))</f>
        <v>5885.37</v>
      </c>
      <c r="AJ17" s="38" t="n">
        <f aca="false">IF($A17="","",IFERROR(1/(1/IF($B17="Residential",SUMIFS(INDEX('Oxford Economics'!$A$7:$AZ$1000,0,IFERROR(MATCH(AJ$5,'Oxford Economics'!$A$6:$AZ$6,0),MATCH(AJ$5&amp;"",'Oxford Economics'!$A$6:$AZ$6,0))),'Oxford Economics'!$A$7:$A$1000,$C17,'Oxford Economics'!$B$7:$B$1000,Settings!$B$12)-SUMIFS(INDEX('Oxford Economics'!$A$7:$AZ$1000,0,IFERROR(MATCH(AJ$5,'Oxford Economics'!$A$6:$AZ$6,0),MATCH(AJ$5&amp;"",'Oxford Economics'!$A$6:$AZ$6,0))),'Oxford Economics'!$A$7:$A$1000,$C17,'Oxford Economics'!$B$7:$B$1000,Settings!$B$14),SUMIFS(INDEX('Oxford Economics'!$A$7:$AZ$1000,0,IFERROR(MATCH(AJ$5,'Oxford Economics'!$A$6:$AZ$6,0),MATCH(AJ$5&amp;"",'Oxford Economics'!$A$6:$AZ$6,0))),'Oxford Economics'!$A$7:$A$1000,$C17,'Oxford Economics'!$B$7:$B$1000,Settings!$B$14)+SUMIFS(INDEX('Oxford Economics'!$A$7:$AZ$1000,0,IFERROR(MATCH(AJ$5,'Oxford Economics'!$A$6:$AZ$6,0),MATCH(AJ$5&amp;"",'Oxford Economics'!$A$6:$AZ$6,0))),'Oxford Economics'!$A$7:$A$1000,$C17,'Oxford Economics'!$B$7:$B$1000,Settings!$B$16)+IF(Settings!$B$18="",0,SUMIFS(INDEX('Oxford Economics'!$A$7:$AZ$1000,0,IFERROR(MATCH(AJ$5,'Oxford Economics'!$A$6:$AZ$6,0),MATCH(AJ$5&amp;"",'Oxford Economics'!$A$6:$AZ$6,0))),'Oxford Economics'!$A$7:$A$1000,$C17,'Oxford Economics'!$B$7:$B$1000,Settings!$B$18)))),""))</f>
        <v>6060.82</v>
      </c>
      <c r="AK17" s="38" t="n">
        <f aca="false">IF($A17="","",IFERROR(1/(1/IF($B17="Residential",SUMIFS(INDEX('Oxford Economics'!$A$7:$AZ$1000,0,IFERROR(MATCH(AK$5,'Oxford Economics'!$A$6:$AZ$6,0),MATCH(AK$5&amp;"",'Oxford Economics'!$A$6:$AZ$6,0))),'Oxford Economics'!$A$7:$A$1000,$C17,'Oxford Economics'!$B$7:$B$1000,Settings!$B$12)-SUMIFS(INDEX('Oxford Economics'!$A$7:$AZ$1000,0,IFERROR(MATCH(AK$5,'Oxford Economics'!$A$6:$AZ$6,0),MATCH(AK$5&amp;"",'Oxford Economics'!$A$6:$AZ$6,0))),'Oxford Economics'!$A$7:$A$1000,$C17,'Oxford Economics'!$B$7:$B$1000,Settings!$B$14),SUMIFS(INDEX('Oxford Economics'!$A$7:$AZ$1000,0,IFERROR(MATCH(AK$5,'Oxford Economics'!$A$6:$AZ$6,0),MATCH(AK$5&amp;"",'Oxford Economics'!$A$6:$AZ$6,0))),'Oxford Economics'!$A$7:$A$1000,$C17,'Oxford Economics'!$B$7:$B$1000,Settings!$B$14)+SUMIFS(INDEX('Oxford Economics'!$A$7:$AZ$1000,0,IFERROR(MATCH(AK$5,'Oxford Economics'!$A$6:$AZ$6,0),MATCH(AK$5&amp;"",'Oxford Economics'!$A$6:$AZ$6,0))),'Oxford Economics'!$A$7:$A$1000,$C17,'Oxford Economics'!$B$7:$B$1000,Settings!$B$16)+IF(Settings!$B$18="",0,SUMIFS(INDEX('Oxford Economics'!$A$7:$AZ$1000,0,IFERROR(MATCH(AK$5,'Oxford Economics'!$A$6:$AZ$6,0),MATCH(AK$5&amp;"",'Oxford Economics'!$A$6:$AZ$6,0))),'Oxford Economics'!$A$7:$A$1000,$C17,'Oxford Economics'!$B$7:$B$1000,Settings!$B$18)))),""))</f>
        <v>6280.26</v>
      </c>
      <c r="AL17" s="38" t="n">
        <f aca="false">IF($A17="","",IFERROR(1/(1/IF($B17="Residential",SUMIFS(INDEX('Oxford Economics'!$A$7:$AZ$1000,0,IFERROR(MATCH(AL$5,'Oxford Economics'!$A$6:$AZ$6,0),MATCH(AL$5&amp;"",'Oxford Economics'!$A$6:$AZ$6,0))),'Oxford Economics'!$A$7:$A$1000,$C17,'Oxford Economics'!$B$7:$B$1000,Settings!$B$12)-SUMIFS(INDEX('Oxford Economics'!$A$7:$AZ$1000,0,IFERROR(MATCH(AL$5,'Oxford Economics'!$A$6:$AZ$6,0),MATCH(AL$5&amp;"",'Oxford Economics'!$A$6:$AZ$6,0))),'Oxford Economics'!$A$7:$A$1000,$C17,'Oxford Economics'!$B$7:$B$1000,Settings!$B$14),SUMIFS(INDEX('Oxford Economics'!$A$7:$AZ$1000,0,IFERROR(MATCH(AL$5,'Oxford Economics'!$A$6:$AZ$6,0),MATCH(AL$5&amp;"",'Oxford Economics'!$A$6:$AZ$6,0))),'Oxford Economics'!$A$7:$A$1000,$C17,'Oxford Economics'!$B$7:$B$1000,Settings!$B$14)+SUMIFS(INDEX('Oxford Economics'!$A$7:$AZ$1000,0,IFERROR(MATCH(AL$5,'Oxford Economics'!$A$6:$AZ$6,0),MATCH(AL$5&amp;"",'Oxford Economics'!$A$6:$AZ$6,0))),'Oxford Economics'!$A$7:$A$1000,$C17,'Oxford Economics'!$B$7:$B$1000,Settings!$B$16)+IF(Settings!$B$18="",0,SUMIFS(INDEX('Oxford Economics'!$A$7:$AZ$1000,0,IFERROR(MATCH(AL$5,'Oxford Economics'!$A$6:$AZ$6,0),MATCH(AL$5&amp;"",'Oxford Economics'!$A$6:$AZ$6,0))),'Oxford Economics'!$A$7:$A$1000,$C17,'Oxford Economics'!$B$7:$B$1000,Settings!$B$18)))),""))</f>
        <v>6468.43</v>
      </c>
      <c r="AM17" s="38" t="n">
        <f aca="false">IF($A17="","",IFERROR(1/(1/IF($B17="Residential",SUMIFS(INDEX('Oxford Economics'!$A$7:$AZ$1000,0,IFERROR(MATCH(AM$5,'Oxford Economics'!$A$6:$AZ$6,0),MATCH(AM$5&amp;"",'Oxford Economics'!$A$6:$AZ$6,0))),'Oxford Economics'!$A$7:$A$1000,$C17,'Oxford Economics'!$B$7:$B$1000,Settings!$B$12)-SUMIFS(INDEX('Oxford Economics'!$A$7:$AZ$1000,0,IFERROR(MATCH(AM$5,'Oxford Economics'!$A$6:$AZ$6,0),MATCH(AM$5&amp;"",'Oxford Economics'!$A$6:$AZ$6,0))),'Oxford Economics'!$A$7:$A$1000,$C17,'Oxford Economics'!$B$7:$B$1000,Settings!$B$14),SUMIFS(INDEX('Oxford Economics'!$A$7:$AZ$1000,0,IFERROR(MATCH(AM$5,'Oxford Economics'!$A$6:$AZ$6,0),MATCH(AM$5&amp;"",'Oxford Economics'!$A$6:$AZ$6,0))),'Oxford Economics'!$A$7:$A$1000,$C17,'Oxford Economics'!$B$7:$B$1000,Settings!$B$14)+SUMIFS(INDEX('Oxford Economics'!$A$7:$AZ$1000,0,IFERROR(MATCH(AM$5,'Oxford Economics'!$A$6:$AZ$6,0),MATCH(AM$5&amp;"",'Oxford Economics'!$A$6:$AZ$6,0))),'Oxford Economics'!$A$7:$A$1000,$C17,'Oxford Economics'!$B$7:$B$1000,Settings!$B$16)+IF(Settings!$B$18="",0,SUMIFS(INDEX('Oxford Economics'!$A$7:$AZ$1000,0,IFERROR(MATCH(AM$5,'Oxford Economics'!$A$6:$AZ$6,0),MATCH(AM$5&amp;"",'Oxford Economics'!$A$6:$AZ$6,0))),'Oxford Economics'!$A$7:$A$1000,$C17,'Oxford Economics'!$B$7:$B$1000,Settings!$B$18)))),""))</f>
        <v>6599.03</v>
      </c>
    </row>
    <row r="18" customFormat="false" ht="15" hidden="false" customHeight="false" outlineLevel="0" collapsed="false">
      <c r="A18" s="37" t="str">
        <f aca="false">IF('Raw data'!$A18="","",'Raw data'!$A18)</f>
        <v>Hungary</v>
      </c>
      <c r="B18" s="37" t="str">
        <f aca="false">IF($A18="","",'Raw data'!$C18)</f>
        <v>Residential</v>
      </c>
      <c r="C18" s="37" t="str">
        <f aca="false">IF($A18="","",IF('Raw data'!$E18="",$A18,'Raw data'!$E18))</f>
        <v>Hungary</v>
      </c>
      <c r="D18" s="38" t="n">
        <f aca="false">IF($A18="","",IF(AND(ISNUMBER(P18),ISNUMBER(AB18)),P18+AB18,""))</f>
        <v>1997.46</v>
      </c>
      <c r="E18" s="38" t="n">
        <f aca="false">IF($A18="","",IF(AND(ISNUMBER(Q18),ISNUMBER(AC18)),Q18+AC18,""))</f>
        <v>2261.92</v>
      </c>
      <c r="F18" s="38" t="n">
        <f aca="false">IF($A18="","",IF(AND(ISNUMBER(R18),ISNUMBER(AD18)),R18+AD18,""))</f>
        <v>2372.65</v>
      </c>
      <c r="G18" s="38" t="n">
        <f aca="false">IF($A18="","",IF(AND(ISNUMBER(S18),ISNUMBER(AE18)),S18+AE18,""))</f>
        <v>2092.71</v>
      </c>
      <c r="H18" s="38" t="n">
        <f aca="false">IF($A18="","",IF(AND(ISNUMBER(T18),ISNUMBER(AF18)),T18+AF18,""))</f>
        <v>2073.06</v>
      </c>
      <c r="I18" s="38" t="n">
        <f aca="false">IF($A18="","",IF(AND(ISNUMBER(U18),ISNUMBER(AG18)),U18+AG18,""))</f>
        <v>1964.39</v>
      </c>
      <c r="J18" s="38" t="n">
        <f aca="false">IF($A18="","",IF(AND(ISNUMBER(V18),ISNUMBER(AH18)),V18+AH18,""))</f>
        <v>2135.13</v>
      </c>
      <c r="K18" s="38" t="n">
        <f aca="false">IF($A18="","",IF(AND(ISNUMBER(W18),ISNUMBER(AI18)),W18+AI18,""))</f>
        <v>2022.63</v>
      </c>
      <c r="L18" s="38" t="n">
        <f aca="false">IF($A18="","",IF(AND(ISNUMBER(X18),ISNUMBER(AJ18)),X18+AJ18,""))</f>
        <v>2083.98</v>
      </c>
      <c r="M18" s="38" t="n">
        <f aca="false">IF($A18="","",IF(AND(ISNUMBER(Y18),ISNUMBER(AK18)),Y18+AK18,""))</f>
        <v>2133.79</v>
      </c>
      <c r="N18" s="38" t="n">
        <f aca="false">IF($A18="","",IF(AND(ISNUMBER(Z18),ISNUMBER(AL18)),Z18+AL18,""))</f>
        <v>2176.44</v>
      </c>
      <c r="O18" s="38" t="n">
        <f aca="false">IF($A18="","",IF(AND(ISNUMBER(AA18),ISNUMBER(AM18)),AA18+AM18,""))</f>
        <v>2205.03</v>
      </c>
      <c r="P18" s="38" t="n">
        <f aca="false">IF($A18="","",IFERROR(1/(1/IF($B18="Residential",SUMIFS(INDEX('Oxford Economics'!$A$7:$AZ$1000,0,IFERROR(MATCH(P$5,'Oxford Economics'!$A$6:$AZ$6,0),MATCH(P$5&amp;"",'Oxford Economics'!$A$6:$AZ$6,0))),'Oxford Economics'!$A$7:$A$1000,$C18,'Oxford Economics'!$B$7:$B$1000,Settings!$B$13)-SUMIFS(INDEX('Oxford Economics'!$A$7:$AZ$1000,0,IFERROR(MATCH(P$5,'Oxford Economics'!$A$6:$AZ$6,0),MATCH(P$5&amp;"",'Oxford Economics'!$A$6:$AZ$6,0))),'Oxford Economics'!$A$7:$A$1000,$C18,'Oxford Economics'!$B$7:$B$1000,Settings!$B$15),SUMIFS(INDEX('Oxford Economics'!$A$7:$AZ$1000,0,IFERROR(MATCH(P$5,'Oxford Economics'!$A$6:$AZ$6,0),MATCH(P$5&amp;"",'Oxford Economics'!$A$6:$AZ$6,0))),'Oxford Economics'!$A$7:$A$1000,$C18,'Oxford Economics'!$B$7:$B$1000,Settings!$B$15)+SUMIFS(INDEX('Oxford Economics'!$A$7:$AZ$1000,0,IFERROR(MATCH(P$5,'Oxford Economics'!$A$6:$AZ$6,0),MATCH(P$5&amp;"",'Oxford Economics'!$A$6:$AZ$6,0))),'Oxford Economics'!$A$7:$A$1000,$C18,'Oxford Economics'!$B$7:$B$1000,Settings!$B$17)+IF(Settings!$B$19="",0,SUMIFS(INDEX('Oxford Economics'!$A$7:$AZ$1000,0,IFERROR(MATCH(P$5,'Oxford Economics'!$A$6:$AZ$6,0),MATCH(P$5&amp;"",'Oxford Economics'!$A$6:$AZ$6,0))),'Oxford Economics'!$A$7:$A$1000,$C18,'Oxford Economics'!$B$7:$B$1000,Settings!$B$19)))),""))</f>
        <v>914.35</v>
      </c>
      <c r="Q18" s="38" t="n">
        <f aca="false">IF($A18="","",IFERROR(1/(1/IF($B18="Residential",SUMIFS(INDEX('Oxford Economics'!$A$7:$AZ$1000,0,IFERROR(MATCH(Q$5,'Oxford Economics'!$A$6:$AZ$6,0),MATCH(Q$5&amp;"",'Oxford Economics'!$A$6:$AZ$6,0))),'Oxford Economics'!$A$7:$A$1000,$C18,'Oxford Economics'!$B$7:$B$1000,Settings!$B$13)-SUMIFS(INDEX('Oxford Economics'!$A$7:$AZ$1000,0,IFERROR(MATCH(Q$5,'Oxford Economics'!$A$6:$AZ$6,0),MATCH(Q$5&amp;"",'Oxford Economics'!$A$6:$AZ$6,0))),'Oxford Economics'!$A$7:$A$1000,$C18,'Oxford Economics'!$B$7:$B$1000,Settings!$B$15),SUMIFS(INDEX('Oxford Economics'!$A$7:$AZ$1000,0,IFERROR(MATCH(Q$5,'Oxford Economics'!$A$6:$AZ$6,0),MATCH(Q$5&amp;"",'Oxford Economics'!$A$6:$AZ$6,0))),'Oxford Economics'!$A$7:$A$1000,$C18,'Oxford Economics'!$B$7:$B$1000,Settings!$B$15)+SUMIFS(INDEX('Oxford Economics'!$A$7:$AZ$1000,0,IFERROR(MATCH(Q$5,'Oxford Economics'!$A$6:$AZ$6,0),MATCH(Q$5&amp;"",'Oxford Economics'!$A$6:$AZ$6,0))),'Oxford Economics'!$A$7:$A$1000,$C18,'Oxford Economics'!$B$7:$B$1000,Settings!$B$17)+IF(Settings!$B$19="",0,SUMIFS(INDEX('Oxford Economics'!$A$7:$AZ$1000,0,IFERROR(MATCH(Q$5,'Oxford Economics'!$A$6:$AZ$6,0),MATCH(Q$5&amp;"",'Oxford Economics'!$A$6:$AZ$6,0))),'Oxford Economics'!$A$7:$A$1000,$C18,'Oxford Economics'!$B$7:$B$1000,Settings!$B$19)))),""))</f>
        <v>1031.21</v>
      </c>
      <c r="R18" s="38" t="n">
        <f aca="false">IF($A18="","",IFERROR(1/(1/IF($B18="Residential",SUMIFS(INDEX('Oxford Economics'!$A$7:$AZ$1000,0,IFERROR(MATCH(R$5,'Oxford Economics'!$A$6:$AZ$6,0),MATCH(R$5&amp;"",'Oxford Economics'!$A$6:$AZ$6,0))),'Oxford Economics'!$A$7:$A$1000,$C18,'Oxford Economics'!$B$7:$B$1000,Settings!$B$13)-SUMIFS(INDEX('Oxford Economics'!$A$7:$AZ$1000,0,IFERROR(MATCH(R$5,'Oxford Economics'!$A$6:$AZ$6,0),MATCH(R$5&amp;"",'Oxford Economics'!$A$6:$AZ$6,0))),'Oxford Economics'!$A$7:$A$1000,$C18,'Oxford Economics'!$B$7:$B$1000,Settings!$B$15),SUMIFS(INDEX('Oxford Economics'!$A$7:$AZ$1000,0,IFERROR(MATCH(R$5,'Oxford Economics'!$A$6:$AZ$6,0),MATCH(R$5&amp;"",'Oxford Economics'!$A$6:$AZ$6,0))),'Oxford Economics'!$A$7:$A$1000,$C18,'Oxford Economics'!$B$7:$B$1000,Settings!$B$15)+SUMIFS(INDEX('Oxford Economics'!$A$7:$AZ$1000,0,IFERROR(MATCH(R$5,'Oxford Economics'!$A$6:$AZ$6,0),MATCH(R$5&amp;"",'Oxford Economics'!$A$6:$AZ$6,0))),'Oxford Economics'!$A$7:$A$1000,$C18,'Oxford Economics'!$B$7:$B$1000,Settings!$B$17)+IF(Settings!$B$19="",0,SUMIFS(INDEX('Oxford Economics'!$A$7:$AZ$1000,0,IFERROR(MATCH(R$5,'Oxford Economics'!$A$6:$AZ$6,0),MATCH(R$5&amp;"",'Oxford Economics'!$A$6:$AZ$6,0))),'Oxford Economics'!$A$7:$A$1000,$C18,'Oxford Economics'!$B$7:$B$1000,Settings!$B$19)))),""))</f>
        <v>1192.78</v>
      </c>
      <c r="S18" s="38" t="n">
        <f aca="false">IF($A18="","",IFERROR(1/(1/IF($B18="Residential",SUMIFS(INDEX('Oxford Economics'!$A$7:$AZ$1000,0,IFERROR(MATCH(S$5,'Oxford Economics'!$A$6:$AZ$6,0),MATCH(S$5&amp;"",'Oxford Economics'!$A$6:$AZ$6,0))),'Oxford Economics'!$A$7:$A$1000,$C18,'Oxford Economics'!$B$7:$B$1000,Settings!$B$13)-SUMIFS(INDEX('Oxford Economics'!$A$7:$AZ$1000,0,IFERROR(MATCH(S$5,'Oxford Economics'!$A$6:$AZ$6,0),MATCH(S$5&amp;"",'Oxford Economics'!$A$6:$AZ$6,0))),'Oxford Economics'!$A$7:$A$1000,$C18,'Oxford Economics'!$B$7:$B$1000,Settings!$B$15),SUMIFS(INDEX('Oxford Economics'!$A$7:$AZ$1000,0,IFERROR(MATCH(S$5,'Oxford Economics'!$A$6:$AZ$6,0),MATCH(S$5&amp;"",'Oxford Economics'!$A$6:$AZ$6,0))),'Oxford Economics'!$A$7:$A$1000,$C18,'Oxford Economics'!$B$7:$B$1000,Settings!$B$15)+SUMIFS(INDEX('Oxford Economics'!$A$7:$AZ$1000,0,IFERROR(MATCH(S$5,'Oxford Economics'!$A$6:$AZ$6,0),MATCH(S$5&amp;"",'Oxford Economics'!$A$6:$AZ$6,0))),'Oxford Economics'!$A$7:$A$1000,$C18,'Oxford Economics'!$B$7:$B$1000,Settings!$B$17)+IF(Settings!$B$19="",0,SUMIFS(INDEX('Oxford Economics'!$A$7:$AZ$1000,0,IFERROR(MATCH(S$5,'Oxford Economics'!$A$6:$AZ$6,0),MATCH(S$5&amp;"",'Oxford Economics'!$A$6:$AZ$6,0))),'Oxford Economics'!$A$7:$A$1000,$C18,'Oxford Economics'!$B$7:$B$1000,Settings!$B$19)))),""))</f>
        <v>1165</v>
      </c>
      <c r="T18" s="38" t="n">
        <f aca="false">IF($A18="","",IFERROR(1/(1/IF($B18="Residential",SUMIFS(INDEX('Oxford Economics'!$A$7:$AZ$1000,0,IFERROR(MATCH(T$5,'Oxford Economics'!$A$6:$AZ$6,0),MATCH(T$5&amp;"",'Oxford Economics'!$A$6:$AZ$6,0))),'Oxford Economics'!$A$7:$A$1000,$C18,'Oxford Economics'!$B$7:$B$1000,Settings!$B$13)-SUMIFS(INDEX('Oxford Economics'!$A$7:$AZ$1000,0,IFERROR(MATCH(T$5,'Oxford Economics'!$A$6:$AZ$6,0),MATCH(T$5&amp;"",'Oxford Economics'!$A$6:$AZ$6,0))),'Oxford Economics'!$A$7:$A$1000,$C18,'Oxford Economics'!$B$7:$B$1000,Settings!$B$15),SUMIFS(INDEX('Oxford Economics'!$A$7:$AZ$1000,0,IFERROR(MATCH(T$5,'Oxford Economics'!$A$6:$AZ$6,0),MATCH(T$5&amp;"",'Oxford Economics'!$A$6:$AZ$6,0))),'Oxford Economics'!$A$7:$A$1000,$C18,'Oxford Economics'!$B$7:$B$1000,Settings!$B$15)+SUMIFS(INDEX('Oxford Economics'!$A$7:$AZ$1000,0,IFERROR(MATCH(T$5,'Oxford Economics'!$A$6:$AZ$6,0),MATCH(T$5&amp;"",'Oxford Economics'!$A$6:$AZ$6,0))),'Oxford Economics'!$A$7:$A$1000,$C18,'Oxford Economics'!$B$7:$B$1000,Settings!$B$17)+IF(Settings!$B$19="",0,SUMIFS(INDEX('Oxford Economics'!$A$7:$AZ$1000,0,IFERROR(MATCH(T$5,'Oxford Economics'!$A$6:$AZ$6,0),MATCH(T$5&amp;"",'Oxford Economics'!$A$6:$AZ$6,0))),'Oxford Economics'!$A$7:$A$1000,$C18,'Oxford Economics'!$B$7:$B$1000,Settings!$B$19)))),""))</f>
        <v>1182.09</v>
      </c>
      <c r="U18" s="38" t="n">
        <f aca="false">IF($A18="","",IFERROR(1/(1/IF($B18="Residential",SUMIFS(INDEX('Oxford Economics'!$A$7:$AZ$1000,0,IFERROR(MATCH(U$5,'Oxford Economics'!$A$6:$AZ$6,0),MATCH(U$5&amp;"",'Oxford Economics'!$A$6:$AZ$6,0))),'Oxford Economics'!$A$7:$A$1000,$C18,'Oxford Economics'!$B$7:$B$1000,Settings!$B$13)-SUMIFS(INDEX('Oxford Economics'!$A$7:$AZ$1000,0,IFERROR(MATCH(U$5,'Oxford Economics'!$A$6:$AZ$6,0),MATCH(U$5&amp;"",'Oxford Economics'!$A$6:$AZ$6,0))),'Oxford Economics'!$A$7:$A$1000,$C18,'Oxford Economics'!$B$7:$B$1000,Settings!$B$15),SUMIFS(INDEX('Oxford Economics'!$A$7:$AZ$1000,0,IFERROR(MATCH(U$5,'Oxford Economics'!$A$6:$AZ$6,0),MATCH(U$5&amp;"",'Oxford Economics'!$A$6:$AZ$6,0))),'Oxford Economics'!$A$7:$A$1000,$C18,'Oxford Economics'!$B$7:$B$1000,Settings!$B$15)+SUMIFS(INDEX('Oxford Economics'!$A$7:$AZ$1000,0,IFERROR(MATCH(U$5,'Oxford Economics'!$A$6:$AZ$6,0),MATCH(U$5&amp;"",'Oxford Economics'!$A$6:$AZ$6,0))),'Oxford Economics'!$A$7:$A$1000,$C18,'Oxford Economics'!$B$7:$B$1000,Settings!$B$17)+IF(Settings!$B$19="",0,SUMIFS(INDEX('Oxford Economics'!$A$7:$AZ$1000,0,IFERROR(MATCH(U$5,'Oxford Economics'!$A$6:$AZ$6,0),MATCH(U$5&amp;"",'Oxford Economics'!$A$6:$AZ$6,0))),'Oxford Economics'!$A$7:$A$1000,$C18,'Oxford Economics'!$B$7:$B$1000,Settings!$B$19)))),""))</f>
        <v>1041.44</v>
      </c>
      <c r="V18" s="38" t="n">
        <f aca="false">IF($A18="","",IFERROR(1/(1/IF($B18="Residential",SUMIFS(INDEX('Oxford Economics'!$A$7:$AZ$1000,0,IFERROR(MATCH(V$5,'Oxford Economics'!$A$6:$AZ$6,0),MATCH(V$5&amp;"",'Oxford Economics'!$A$6:$AZ$6,0))),'Oxford Economics'!$A$7:$A$1000,$C18,'Oxford Economics'!$B$7:$B$1000,Settings!$B$13)-SUMIFS(INDEX('Oxford Economics'!$A$7:$AZ$1000,0,IFERROR(MATCH(V$5,'Oxford Economics'!$A$6:$AZ$6,0),MATCH(V$5&amp;"",'Oxford Economics'!$A$6:$AZ$6,0))),'Oxford Economics'!$A$7:$A$1000,$C18,'Oxford Economics'!$B$7:$B$1000,Settings!$B$15),SUMIFS(INDEX('Oxford Economics'!$A$7:$AZ$1000,0,IFERROR(MATCH(V$5,'Oxford Economics'!$A$6:$AZ$6,0),MATCH(V$5&amp;"",'Oxford Economics'!$A$6:$AZ$6,0))),'Oxford Economics'!$A$7:$A$1000,$C18,'Oxford Economics'!$B$7:$B$1000,Settings!$B$15)+SUMIFS(INDEX('Oxford Economics'!$A$7:$AZ$1000,0,IFERROR(MATCH(V$5,'Oxford Economics'!$A$6:$AZ$6,0),MATCH(V$5&amp;"",'Oxford Economics'!$A$6:$AZ$6,0))),'Oxford Economics'!$A$7:$A$1000,$C18,'Oxford Economics'!$B$7:$B$1000,Settings!$B$17)+IF(Settings!$B$19="",0,SUMIFS(INDEX('Oxford Economics'!$A$7:$AZ$1000,0,IFERROR(MATCH(V$5,'Oxford Economics'!$A$6:$AZ$6,0),MATCH(V$5&amp;"",'Oxford Economics'!$A$6:$AZ$6,0))),'Oxford Economics'!$A$7:$A$1000,$C18,'Oxford Economics'!$B$7:$B$1000,Settings!$B$19)))),""))</f>
        <v>1023.82</v>
      </c>
      <c r="W18" s="38" t="n">
        <f aca="false">IF($A18="","",IFERROR(1/(1/IF($B18="Residential",SUMIFS(INDEX('Oxford Economics'!$A$7:$AZ$1000,0,IFERROR(MATCH(W$5,'Oxford Economics'!$A$6:$AZ$6,0),MATCH(W$5&amp;"",'Oxford Economics'!$A$6:$AZ$6,0))),'Oxford Economics'!$A$7:$A$1000,$C18,'Oxford Economics'!$B$7:$B$1000,Settings!$B$13)-SUMIFS(INDEX('Oxford Economics'!$A$7:$AZ$1000,0,IFERROR(MATCH(W$5,'Oxford Economics'!$A$6:$AZ$6,0),MATCH(W$5&amp;"",'Oxford Economics'!$A$6:$AZ$6,0))),'Oxford Economics'!$A$7:$A$1000,$C18,'Oxford Economics'!$B$7:$B$1000,Settings!$B$15),SUMIFS(INDEX('Oxford Economics'!$A$7:$AZ$1000,0,IFERROR(MATCH(W$5,'Oxford Economics'!$A$6:$AZ$6,0),MATCH(W$5&amp;"",'Oxford Economics'!$A$6:$AZ$6,0))),'Oxford Economics'!$A$7:$A$1000,$C18,'Oxford Economics'!$B$7:$B$1000,Settings!$B$15)+SUMIFS(INDEX('Oxford Economics'!$A$7:$AZ$1000,0,IFERROR(MATCH(W$5,'Oxford Economics'!$A$6:$AZ$6,0),MATCH(W$5&amp;"",'Oxford Economics'!$A$6:$AZ$6,0))),'Oxford Economics'!$A$7:$A$1000,$C18,'Oxford Economics'!$B$7:$B$1000,Settings!$B$17)+IF(Settings!$B$19="",0,SUMIFS(INDEX('Oxford Economics'!$A$7:$AZ$1000,0,IFERROR(MATCH(W$5,'Oxford Economics'!$A$6:$AZ$6,0),MATCH(W$5&amp;"",'Oxford Economics'!$A$6:$AZ$6,0))),'Oxford Economics'!$A$7:$A$1000,$C18,'Oxford Economics'!$B$7:$B$1000,Settings!$B$19)))),""))</f>
        <v>1071.96</v>
      </c>
      <c r="X18" s="38" t="n">
        <f aca="false">IF($A18="","",IFERROR(1/(1/IF($B18="Residential",SUMIFS(INDEX('Oxford Economics'!$A$7:$AZ$1000,0,IFERROR(MATCH(X$5,'Oxford Economics'!$A$6:$AZ$6,0),MATCH(X$5&amp;"",'Oxford Economics'!$A$6:$AZ$6,0))),'Oxford Economics'!$A$7:$A$1000,$C18,'Oxford Economics'!$B$7:$B$1000,Settings!$B$13)-SUMIFS(INDEX('Oxford Economics'!$A$7:$AZ$1000,0,IFERROR(MATCH(X$5,'Oxford Economics'!$A$6:$AZ$6,0),MATCH(X$5&amp;"",'Oxford Economics'!$A$6:$AZ$6,0))),'Oxford Economics'!$A$7:$A$1000,$C18,'Oxford Economics'!$B$7:$B$1000,Settings!$B$15),SUMIFS(INDEX('Oxford Economics'!$A$7:$AZ$1000,0,IFERROR(MATCH(X$5,'Oxford Economics'!$A$6:$AZ$6,0),MATCH(X$5&amp;"",'Oxford Economics'!$A$6:$AZ$6,0))),'Oxford Economics'!$A$7:$A$1000,$C18,'Oxford Economics'!$B$7:$B$1000,Settings!$B$15)+SUMIFS(INDEX('Oxford Economics'!$A$7:$AZ$1000,0,IFERROR(MATCH(X$5,'Oxford Economics'!$A$6:$AZ$6,0),MATCH(X$5&amp;"",'Oxford Economics'!$A$6:$AZ$6,0))),'Oxford Economics'!$A$7:$A$1000,$C18,'Oxford Economics'!$B$7:$B$1000,Settings!$B$17)+IF(Settings!$B$19="",0,SUMIFS(INDEX('Oxford Economics'!$A$7:$AZ$1000,0,IFERROR(MATCH(X$5,'Oxford Economics'!$A$6:$AZ$6,0),MATCH(X$5&amp;"",'Oxford Economics'!$A$6:$AZ$6,0))),'Oxford Economics'!$A$7:$A$1000,$C18,'Oxford Economics'!$B$7:$B$1000,Settings!$B$19)))),""))</f>
        <v>1140.65</v>
      </c>
      <c r="Y18" s="38" t="n">
        <f aca="false">IF($A18="","",IFERROR(1/(1/IF($B18="Residential",SUMIFS(INDEX('Oxford Economics'!$A$7:$AZ$1000,0,IFERROR(MATCH(Y$5,'Oxford Economics'!$A$6:$AZ$6,0),MATCH(Y$5&amp;"",'Oxford Economics'!$A$6:$AZ$6,0))),'Oxford Economics'!$A$7:$A$1000,$C18,'Oxford Economics'!$B$7:$B$1000,Settings!$B$13)-SUMIFS(INDEX('Oxford Economics'!$A$7:$AZ$1000,0,IFERROR(MATCH(Y$5,'Oxford Economics'!$A$6:$AZ$6,0),MATCH(Y$5&amp;"",'Oxford Economics'!$A$6:$AZ$6,0))),'Oxford Economics'!$A$7:$A$1000,$C18,'Oxford Economics'!$B$7:$B$1000,Settings!$B$15),SUMIFS(INDEX('Oxford Economics'!$A$7:$AZ$1000,0,IFERROR(MATCH(Y$5,'Oxford Economics'!$A$6:$AZ$6,0),MATCH(Y$5&amp;"",'Oxford Economics'!$A$6:$AZ$6,0))),'Oxford Economics'!$A$7:$A$1000,$C18,'Oxford Economics'!$B$7:$B$1000,Settings!$B$15)+SUMIFS(INDEX('Oxford Economics'!$A$7:$AZ$1000,0,IFERROR(MATCH(Y$5,'Oxford Economics'!$A$6:$AZ$6,0),MATCH(Y$5&amp;"",'Oxford Economics'!$A$6:$AZ$6,0))),'Oxford Economics'!$A$7:$A$1000,$C18,'Oxford Economics'!$B$7:$B$1000,Settings!$B$17)+IF(Settings!$B$19="",0,SUMIFS(INDEX('Oxford Economics'!$A$7:$AZ$1000,0,IFERROR(MATCH(Y$5,'Oxford Economics'!$A$6:$AZ$6,0),MATCH(Y$5&amp;"",'Oxford Economics'!$A$6:$AZ$6,0))),'Oxford Economics'!$A$7:$A$1000,$C18,'Oxford Economics'!$B$7:$B$1000,Settings!$B$19)))),""))</f>
        <v>1203.68</v>
      </c>
      <c r="Z18" s="38" t="n">
        <f aca="false">IF($A18="","",IFERROR(1/(1/IF($B18="Residential",SUMIFS(INDEX('Oxford Economics'!$A$7:$AZ$1000,0,IFERROR(MATCH(Z$5,'Oxford Economics'!$A$6:$AZ$6,0),MATCH(Z$5&amp;"",'Oxford Economics'!$A$6:$AZ$6,0))),'Oxford Economics'!$A$7:$A$1000,$C18,'Oxford Economics'!$B$7:$B$1000,Settings!$B$13)-SUMIFS(INDEX('Oxford Economics'!$A$7:$AZ$1000,0,IFERROR(MATCH(Z$5,'Oxford Economics'!$A$6:$AZ$6,0),MATCH(Z$5&amp;"",'Oxford Economics'!$A$6:$AZ$6,0))),'Oxford Economics'!$A$7:$A$1000,$C18,'Oxford Economics'!$B$7:$B$1000,Settings!$B$15),SUMIFS(INDEX('Oxford Economics'!$A$7:$AZ$1000,0,IFERROR(MATCH(Z$5,'Oxford Economics'!$A$6:$AZ$6,0),MATCH(Z$5&amp;"",'Oxford Economics'!$A$6:$AZ$6,0))),'Oxford Economics'!$A$7:$A$1000,$C18,'Oxford Economics'!$B$7:$B$1000,Settings!$B$15)+SUMIFS(INDEX('Oxford Economics'!$A$7:$AZ$1000,0,IFERROR(MATCH(Z$5,'Oxford Economics'!$A$6:$AZ$6,0),MATCH(Z$5&amp;"",'Oxford Economics'!$A$6:$AZ$6,0))),'Oxford Economics'!$A$7:$A$1000,$C18,'Oxford Economics'!$B$7:$B$1000,Settings!$B$17)+IF(Settings!$B$19="",0,SUMIFS(INDEX('Oxford Economics'!$A$7:$AZ$1000,0,IFERROR(MATCH(Z$5,'Oxford Economics'!$A$6:$AZ$6,0),MATCH(Z$5&amp;"",'Oxford Economics'!$A$6:$AZ$6,0))),'Oxford Economics'!$A$7:$A$1000,$C18,'Oxford Economics'!$B$7:$B$1000,Settings!$B$19)))),""))</f>
        <v>1266.11</v>
      </c>
      <c r="AA18" s="38" t="n">
        <f aca="false">IF($A18="","",IFERROR(1/(1/IF($B18="Residential",SUMIFS(INDEX('Oxford Economics'!$A$7:$AZ$1000,0,IFERROR(MATCH(AA$5,'Oxford Economics'!$A$6:$AZ$6,0),MATCH(AA$5&amp;"",'Oxford Economics'!$A$6:$AZ$6,0))),'Oxford Economics'!$A$7:$A$1000,$C18,'Oxford Economics'!$B$7:$B$1000,Settings!$B$13)-SUMIFS(INDEX('Oxford Economics'!$A$7:$AZ$1000,0,IFERROR(MATCH(AA$5,'Oxford Economics'!$A$6:$AZ$6,0),MATCH(AA$5&amp;"",'Oxford Economics'!$A$6:$AZ$6,0))),'Oxford Economics'!$A$7:$A$1000,$C18,'Oxford Economics'!$B$7:$B$1000,Settings!$B$15),SUMIFS(INDEX('Oxford Economics'!$A$7:$AZ$1000,0,IFERROR(MATCH(AA$5,'Oxford Economics'!$A$6:$AZ$6,0),MATCH(AA$5&amp;"",'Oxford Economics'!$A$6:$AZ$6,0))),'Oxford Economics'!$A$7:$A$1000,$C18,'Oxford Economics'!$B$7:$B$1000,Settings!$B$15)+SUMIFS(INDEX('Oxford Economics'!$A$7:$AZ$1000,0,IFERROR(MATCH(AA$5,'Oxford Economics'!$A$6:$AZ$6,0),MATCH(AA$5&amp;"",'Oxford Economics'!$A$6:$AZ$6,0))),'Oxford Economics'!$A$7:$A$1000,$C18,'Oxford Economics'!$B$7:$B$1000,Settings!$B$17)+IF(Settings!$B$19="",0,SUMIFS(INDEX('Oxford Economics'!$A$7:$AZ$1000,0,IFERROR(MATCH(AA$5,'Oxford Economics'!$A$6:$AZ$6,0),MATCH(AA$5&amp;"",'Oxford Economics'!$A$6:$AZ$6,0))),'Oxford Economics'!$A$7:$A$1000,$C18,'Oxford Economics'!$B$7:$B$1000,Settings!$B$19)))),""))</f>
        <v>1324.35</v>
      </c>
      <c r="AB18" s="38" t="n">
        <f aca="false">IF($A18="","",IFERROR(1/(1/IF($B18="Residential",SUMIFS(INDEX('Oxford Economics'!$A$7:$AZ$1000,0,IFERROR(MATCH(AB$5,'Oxford Economics'!$A$6:$AZ$6,0),MATCH(AB$5&amp;"",'Oxford Economics'!$A$6:$AZ$6,0))),'Oxford Economics'!$A$7:$A$1000,$C18,'Oxford Economics'!$B$7:$B$1000,Settings!$B$12)-SUMIFS(INDEX('Oxford Economics'!$A$7:$AZ$1000,0,IFERROR(MATCH(AB$5,'Oxford Economics'!$A$6:$AZ$6,0),MATCH(AB$5&amp;"",'Oxford Economics'!$A$6:$AZ$6,0))),'Oxford Economics'!$A$7:$A$1000,$C18,'Oxford Economics'!$B$7:$B$1000,Settings!$B$14),SUMIFS(INDEX('Oxford Economics'!$A$7:$AZ$1000,0,IFERROR(MATCH(AB$5,'Oxford Economics'!$A$6:$AZ$6,0),MATCH(AB$5&amp;"",'Oxford Economics'!$A$6:$AZ$6,0))),'Oxford Economics'!$A$7:$A$1000,$C18,'Oxford Economics'!$B$7:$B$1000,Settings!$B$14)+SUMIFS(INDEX('Oxford Economics'!$A$7:$AZ$1000,0,IFERROR(MATCH(AB$5,'Oxford Economics'!$A$6:$AZ$6,0),MATCH(AB$5&amp;"",'Oxford Economics'!$A$6:$AZ$6,0))),'Oxford Economics'!$A$7:$A$1000,$C18,'Oxford Economics'!$B$7:$B$1000,Settings!$B$16)+IF(Settings!$B$18="",0,SUMIFS(INDEX('Oxford Economics'!$A$7:$AZ$1000,0,IFERROR(MATCH(AB$5,'Oxford Economics'!$A$6:$AZ$6,0),MATCH(AB$5&amp;"",'Oxford Economics'!$A$6:$AZ$6,0))),'Oxford Economics'!$A$7:$A$1000,$C18,'Oxford Economics'!$B$7:$B$1000,Settings!$B$18)))),""))</f>
        <v>1083.11</v>
      </c>
      <c r="AC18" s="38" t="n">
        <f aca="false">IF($A18="","",IFERROR(1/(1/IF($B18="Residential",SUMIFS(INDEX('Oxford Economics'!$A$7:$AZ$1000,0,IFERROR(MATCH(AC$5,'Oxford Economics'!$A$6:$AZ$6,0),MATCH(AC$5&amp;"",'Oxford Economics'!$A$6:$AZ$6,0))),'Oxford Economics'!$A$7:$A$1000,$C18,'Oxford Economics'!$B$7:$B$1000,Settings!$B$12)-SUMIFS(INDEX('Oxford Economics'!$A$7:$AZ$1000,0,IFERROR(MATCH(AC$5,'Oxford Economics'!$A$6:$AZ$6,0),MATCH(AC$5&amp;"",'Oxford Economics'!$A$6:$AZ$6,0))),'Oxford Economics'!$A$7:$A$1000,$C18,'Oxford Economics'!$B$7:$B$1000,Settings!$B$14),SUMIFS(INDEX('Oxford Economics'!$A$7:$AZ$1000,0,IFERROR(MATCH(AC$5,'Oxford Economics'!$A$6:$AZ$6,0),MATCH(AC$5&amp;"",'Oxford Economics'!$A$6:$AZ$6,0))),'Oxford Economics'!$A$7:$A$1000,$C18,'Oxford Economics'!$B$7:$B$1000,Settings!$B$14)+SUMIFS(INDEX('Oxford Economics'!$A$7:$AZ$1000,0,IFERROR(MATCH(AC$5,'Oxford Economics'!$A$6:$AZ$6,0),MATCH(AC$5&amp;"",'Oxford Economics'!$A$6:$AZ$6,0))),'Oxford Economics'!$A$7:$A$1000,$C18,'Oxford Economics'!$B$7:$B$1000,Settings!$B$16)+IF(Settings!$B$18="",0,SUMIFS(INDEX('Oxford Economics'!$A$7:$AZ$1000,0,IFERROR(MATCH(AC$5,'Oxford Economics'!$A$6:$AZ$6,0),MATCH(AC$5&amp;"",'Oxford Economics'!$A$6:$AZ$6,0))),'Oxford Economics'!$A$7:$A$1000,$C18,'Oxford Economics'!$B$7:$B$1000,Settings!$B$18)))),""))</f>
        <v>1230.71</v>
      </c>
      <c r="AD18" s="38" t="n">
        <f aca="false">IF($A18="","",IFERROR(1/(1/IF($B18="Residential",SUMIFS(INDEX('Oxford Economics'!$A$7:$AZ$1000,0,IFERROR(MATCH(AD$5,'Oxford Economics'!$A$6:$AZ$6,0),MATCH(AD$5&amp;"",'Oxford Economics'!$A$6:$AZ$6,0))),'Oxford Economics'!$A$7:$A$1000,$C18,'Oxford Economics'!$B$7:$B$1000,Settings!$B$12)-SUMIFS(INDEX('Oxford Economics'!$A$7:$AZ$1000,0,IFERROR(MATCH(AD$5,'Oxford Economics'!$A$6:$AZ$6,0),MATCH(AD$5&amp;"",'Oxford Economics'!$A$6:$AZ$6,0))),'Oxford Economics'!$A$7:$A$1000,$C18,'Oxford Economics'!$B$7:$B$1000,Settings!$B$14),SUMIFS(INDEX('Oxford Economics'!$A$7:$AZ$1000,0,IFERROR(MATCH(AD$5,'Oxford Economics'!$A$6:$AZ$6,0),MATCH(AD$5&amp;"",'Oxford Economics'!$A$6:$AZ$6,0))),'Oxford Economics'!$A$7:$A$1000,$C18,'Oxford Economics'!$B$7:$B$1000,Settings!$B$14)+SUMIFS(INDEX('Oxford Economics'!$A$7:$AZ$1000,0,IFERROR(MATCH(AD$5,'Oxford Economics'!$A$6:$AZ$6,0),MATCH(AD$5&amp;"",'Oxford Economics'!$A$6:$AZ$6,0))),'Oxford Economics'!$A$7:$A$1000,$C18,'Oxford Economics'!$B$7:$B$1000,Settings!$B$16)+IF(Settings!$B$18="",0,SUMIFS(INDEX('Oxford Economics'!$A$7:$AZ$1000,0,IFERROR(MATCH(AD$5,'Oxford Economics'!$A$6:$AZ$6,0),MATCH(AD$5&amp;"",'Oxford Economics'!$A$6:$AZ$6,0))),'Oxford Economics'!$A$7:$A$1000,$C18,'Oxford Economics'!$B$7:$B$1000,Settings!$B$18)))),""))</f>
        <v>1179.87</v>
      </c>
      <c r="AE18" s="38" t="n">
        <f aca="false">IF($A18="","",IFERROR(1/(1/IF($B18="Residential",SUMIFS(INDEX('Oxford Economics'!$A$7:$AZ$1000,0,IFERROR(MATCH(AE$5,'Oxford Economics'!$A$6:$AZ$6,0),MATCH(AE$5&amp;"",'Oxford Economics'!$A$6:$AZ$6,0))),'Oxford Economics'!$A$7:$A$1000,$C18,'Oxford Economics'!$B$7:$B$1000,Settings!$B$12)-SUMIFS(INDEX('Oxford Economics'!$A$7:$AZ$1000,0,IFERROR(MATCH(AE$5,'Oxford Economics'!$A$6:$AZ$6,0),MATCH(AE$5&amp;"",'Oxford Economics'!$A$6:$AZ$6,0))),'Oxford Economics'!$A$7:$A$1000,$C18,'Oxford Economics'!$B$7:$B$1000,Settings!$B$14),SUMIFS(INDEX('Oxford Economics'!$A$7:$AZ$1000,0,IFERROR(MATCH(AE$5,'Oxford Economics'!$A$6:$AZ$6,0),MATCH(AE$5&amp;"",'Oxford Economics'!$A$6:$AZ$6,0))),'Oxford Economics'!$A$7:$A$1000,$C18,'Oxford Economics'!$B$7:$B$1000,Settings!$B$14)+SUMIFS(INDEX('Oxford Economics'!$A$7:$AZ$1000,0,IFERROR(MATCH(AE$5,'Oxford Economics'!$A$6:$AZ$6,0),MATCH(AE$5&amp;"",'Oxford Economics'!$A$6:$AZ$6,0))),'Oxford Economics'!$A$7:$A$1000,$C18,'Oxford Economics'!$B$7:$B$1000,Settings!$B$16)+IF(Settings!$B$18="",0,SUMIFS(INDEX('Oxford Economics'!$A$7:$AZ$1000,0,IFERROR(MATCH(AE$5,'Oxford Economics'!$A$6:$AZ$6,0),MATCH(AE$5&amp;"",'Oxford Economics'!$A$6:$AZ$6,0))),'Oxford Economics'!$A$7:$A$1000,$C18,'Oxford Economics'!$B$7:$B$1000,Settings!$B$18)))),""))</f>
        <v>927.71</v>
      </c>
      <c r="AF18" s="38" t="n">
        <f aca="false">IF($A18="","",IFERROR(1/(1/IF($B18="Residential",SUMIFS(INDEX('Oxford Economics'!$A$7:$AZ$1000,0,IFERROR(MATCH(AF$5,'Oxford Economics'!$A$6:$AZ$6,0),MATCH(AF$5&amp;"",'Oxford Economics'!$A$6:$AZ$6,0))),'Oxford Economics'!$A$7:$A$1000,$C18,'Oxford Economics'!$B$7:$B$1000,Settings!$B$12)-SUMIFS(INDEX('Oxford Economics'!$A$7:$AZ$1000,0,IFERROR(MATCH(AF$5,'Oxford Economics'!$A$6:$AZ$6,0),MATCH(AF$5&amp;"",'Oxford Economics'!$A$6:$AZ$6,0))),'Oxford Economics'!$A$7:$A$1000,$C18,'Oxford Economics'!$B$7:$B$1000,Settings!$B$14),SUMIFS(INDEX('Oxford Economics'!$A$7:$AZ$1000,0,IFERROR(MATCH(AF$5,'Oxford Economics'!$A$6:$AZ$6,0),MATCH(AF$5&amp;"",'Oxford Economics'!$A$6:$AZ$6,0))),'Oxford Economics'!$A$7:$A$1000,$C18,'Oxford Economics'!$B$7:$B$1000,Settings!$B$14)+SUMIFS(INDEX('Oxford Economics'!$A$7:$AZ$1000,0,IFERROR(MATCH(AF$5,'Oxford Economics'!$A$6:$AZ$6,0),MATCH(AF$5&amp;"",'Oxford Economics'!$A$6:$AZ$6,0))),'Oxford Economics'!$A$7:$A$1000,$C18,'Oxford Economics'!$B$7:$B$1000,Settings!$B$16)+IF(Settings!$B$18="",0,SUMIFS(INDEX('Oxford Economics'!$A$7:$AZ$1000,0,IFERROR(MATCH(AF$5,'Oxford Economics'!$A$6:$AZ$6,0),MATCH(AF$5&amp;"",'Oxford Economics'!$A$6:$AZ$6,0))),'Oxford Economics'!$A$7:$A$1000,$C18,'Oxford Economics'!$B$7:$B$1000,Settings!$B$18)))),""))</f>
        <v>890.97</v>
      </c>
      <c r="AG18" s="38" t="n">
        <f aca="false">IF($A18="","",IFERROR(1/(1/IF($B18="Residential",SUMIFS(INDEX('Oxford Economics'!$A$7:$AZ$1000,0,IFERROR(MATCH(AG$5,'Oxford Economics'!$A$6:$AZ$6,0),MATCH(AG$5&amp;"",'Oxford Economics'!$A$6:$AZ$6,0))),'Oxford Economics'!$A$7:$A$1000,$C18,'Oxford Economics'!$B$7:$B$1000,Settings!$B$12)-SUMIFS(INDEX('Oxford Economics'!$A$7:$AZ$1000,0,IFERROR(MATCH(AG$5,'Oxford Economics'!$A$6:$AZ$6,0),MATCH(AG$5&amp;"",'Oxford Economics'!$A$6:$AZ$6,0))),'Oxford Economics'!$A$7:$A$1000,$C18,'Oxford Economics'!$B$7:$B$1000,Settings!$B$14),SUMIFS(INDEX('Oxford Economics'!$A$7:$AZ$1000,0,IFERROR(MATCH(AG$5,'Oxford Economics'!$A$6:$AZ$6,0),MATCH(AG$5&amp;"",'Oxford Economics'!$A$6:$AZ$6,0))),'Oxford Economics'!$A$7:$A$1000,$C18,'Oxford Economics'!$B$7:$B$1000,Settings!$B$14)+SUMIFS(INDEX('Oxford Economics'!$A$7:$AZ$1000,0,IFERROR(MATCH(AG$5,'Oxford Economics'!$A$6:$AZ$6,0),MATCH(AG$5&amp;"",'Oxford Economics'!$A$6:$AZ$6,0))),'Oxford Economics'!$A$7:$A$1000,$C18,'Oxford Economics'!$B$7:$B$1000,Settings!$B$16)+IF(Settings!$B$18="",0,SUMIFS(INDEX('Oxford Economics'!$A$7:$AZ$1000,0,IFERROR(MATCH(AG$5,'Oxford Economics'!$A$6:$AZ$6,0),MATCH(AG$5&amp;"",'Oxford Economics'!$A$6:$AZ$6,0))),'Oxford Economics'!$A$7:$A$1000,$C18,'Oxford Economics'!$B$7:$B$1000,Settings!$B$18)))),""))</f>
        <v>922.95</v>
      </c>
      <c r="AH18" s="38" t="n">
        <f aca="false">IF($A18="","",IFERROR(1/(1/IF($B18="Residential",SUMIFS(INDEX('Oxford Economics'!$A$7:$AZ$1000,0,IFERROR(MATCH(AH$5,'Oxford Economics'!$A$6:$AZ$6,0),MATCH(AH$5&amp;"",'Oxford Economics'!$A$6:$AZ$6,0))),'Oxford Economics'!$A$7:$A$1000,$C18,'Oxford Economics'!$B$7:$B$1000,Settings!$B$12)-SUMIFS(INDEX('Oxford Economics'!$A$7:$AZ$1000,0,IFERROR(MATCH(AH$5,'Oxford Economics'!$A$6:$AZ$6,0),MATCH(AH$5&amp;"",'Oxford Economics'!$A$6:$AZ$6,0))),'Oxford Economics'!$A$7:$A$1000,$C18,'Oxford Economics'!$B$7:$B$1000,Settings!$B$14),SUMIFS(INDEX('Oxford Economics'!$A$7:$AZ$1000,0,IFERROR(MATCH(AH$5,'Oxford Economics'!$A$6:$AZ$6,0),MATCH(AH$5&amp;"",'Oxford Economics'!$A$6:$AZ$6,0))),'Oxford Economics'!$A$7:$A$1000,$C18,'Oxford Economics'!$B$7:$B$1000,Settings!$B$14)+SUMIFS(INDEX('Oxford Economics'!$A$7:$AZ$1000,0,IFERROR(MATCH(AH$5,'Oxford Economics'!$A$6:$AZ$6,0),MATCH(AH$5&amp;"",'Oxford Economics'!$A$6:$AZ$6,0))),'Oxford Economics'!$A$7:$A$1000,$C18,'Oxford Economics'!$B$7:$B$1000,Settings!$B$16)+IF(Settings!$B$18="",0,SUMIFS(INDEX('Oxford Economics'!$A$7:$AZ$1000,0,IFERROR(MATCH(AH$5,'Oxford Economics'!$A$6:$AZ$6,0),MATCH(AH$5&amp;"",'Oxford Economics'!$A$6:$AZ$6,0))),'Oxford Economics'!$A$7:$A$1000,$C18,'Oxford Economics'!$B$7:$B$1000,Settings!$B$18)))),""))</f>
        <v>1111.31</v>
      </c>
      <c r="AI18" s="38" t="n">
        <f aca="false">IF($A18="","",IFERROR(1/(1/IF($B18="Residential",SUMIFS(INDEX('Oxford Economics'!$A$7:$AZ$1000,0,IFERROR(MATCH(AI$5,'Oxford Economics'!$A$6:$AZ$6,0),MATCH(AI$5&amp;"",'Oxford Economics'!$A$6:$AZ$6,0))),'Oxford Economics'!$A$7:$A$1000,$C18,'Oxford Economics'!$B$7:$B$1000,Settings!$B$12)-SUMIFS(INDEX('Oxford Economics'!$A$7:$AZ$1000,0,IFERROR(MATCH(AI$5,'Oxford Economics'!$A$6:$AZ$6,0),MATCH(AI$5&amp;"",'Oxford Economics'!$A$6:$AZ$6,0))),'Oxford Economics'!$A$7:$A$1000,$C18,'Oxford Economics'!$B$7:$B$1000,Settings!$B$14),SUMIFS(INDEX('Oxford Economics'!$A$7:$AZ$1000,0,IFERROR(MATCH(AI$5,'Oxford Economics'!$A$6:$AZ$6,0),MATCH(AI$5&amp;"",'Oxford Economics'!$A$6:$AZ$6,0))),'Oxford Economics'!$A$7:$A$1000,$C18,'Oxford Economics'!$B$7:$B$1000,Settings!$B$14)+SUMIFS(INDEX('Oxford Economics'!$A$7:$AZ$1000,0,IFERROR(MATCH(AI$5,'Oxford Economics'!$A$6:$AZ$6,0),MATCH(AI$5&amp;"",'Oxford Economics'!$A$6:$AZ$6,0))),'Oxford Economics'!$A$7:$A$1000,$C18,'Oxford Economics'!$B$7:$B$1000,Settings!$B$16)+IF(Settings!$B$18="",0,SUMIFS(INDEX('Oxford Economics'!$A$7:$AZ$1000,0,IFERROR(MATCH(AI$5,'Oxford Economics'!$A$6:$AZ$6,0),MATCH(AI$5&amp;"",'Oxford Economics'!$A$6:$AZ$6,0))),'Oxford Economics'!$A$7:$A$1000,$C18,'Oxford Economics'!$B$7:$B$1000,Settings!$B$18)))),""))</f>
        <v>950.67</v>
      </c>
      <c r="AJ18" s="38" t="n">
        <f aca="false">IF($A18="","",IFERROR(1/(1/IF($B18="Residential",SUMIFS(INDEX('Oxford Economics'!$A$7:$AZ$1000,0,IFERROR(MATCH(AJ$5,'Oxford Economics'!$A$6:$AZ$6,0),MATCH(AJ$5&amp;"",'Oxford Economics'!$A$6:$AZ$6,0))),'Oxford Economics'!$A$7:$A$1000,$C18,'Oxford Economics'!$B$7:$B$1000,Settings!$B$12)-SUMIFS(INDEX('Oxford Economics'!$A$7:$AZ$1000,0,IFERROR(MATCH(AJ$5,'Oxford Economics'!$A$6:$AZ$6,0),MATCH(AJ$5&amp;"",'Oxford Economics'!$A$6:$AZ$6,0))),'Oxford Economics'!$A$7:$A$1000,$C18,'Oxford Economics'!$B$7:$B$1000,Settings!$B$14),SUMIFS(INDEX('Oxford Economics'!$A$7:$AZ$1000,0,IFERROR(MATCH(AJ$5,'Oxford Economics'!$A$6:$AZ$6,0),MATCH(AJ$5&amp;"",'Oxford Economics'!$A$6:$AZ$6,0))),'Oxford Economics'!$A$7:$A$1000,$C18,'Oxford Economics'!$B$7:$B$1000,Settings!$B$14)+SUMIFS(INDEX('Oxford Economics'!$A$7:$AZ$1000,0,IFERROR(MATCH(AJ$5,'Oxford Economics'!$A$6:$AZ$6,0),MATCH(AJ$5&amp;"",'Oxford Economics'!$A$6:$AZ$6,0))),'Oxford Economics'!$A$7:$A$1000,$C18,'Oxford Economics'!$B$7:$B$1000,Settings!$B$16)+IF(Settings!$B$18="",0,SUMIFS(INDEX('Oxford Economics'!$A$7:$AZ$1000,0,IFERROR(MATCH(AJ$5,'Oxford Economics'!$A$6:$AZ$6,0),MATCH(AJ$5&amp;"",'Oxford Economics'!$A$6:$AZ$6,0))),'Oxford Economics'!$A$7:$A$1000,$C18,'Oxford Economics'!$B$7:$B$1000,Settings!$B$18)))),""))</f>
        <v>943.33</v>
      </c>
      <c r="AK18" s="38" t="n">
        <f aca="false">IF($A18="","",IFERROR(1/(1/IF($B18="Residential",SUMIFS(INDEX('Oxford Economics'!$A$7:$AZ$1000,0,IFERROR(MATCH(AK$5,'Oxford Economics'!$A$6:$AZ$6,0),MATCH(AK$5&amp;"",'Oxford Economics'!$A$6:$AZ$6,0))),'Oxford Economics'!$A$7:$A$1000,$C18,'Oxford Economics'!$B$7:$B$1000,Settings!$B$12)-SUMIFS(INDEX('Oxford Economics'!$A$7:$AZ$1000,0,IFERROR(MATCH(AK$5,'Oxford Economics'!$A$6:$AZ$6,0),MATCH(AK$5&amp;"",'Oxford Economics'!$A$6:$AZ$6,0))),'Oxford Economics'!$A$7:$A$1000,$C18,'Oxford Economics'!$B$7:$B$1000,Settings!$B$14),SUMIFS(INDEX('Oxford Economics'!$A$7:$AZ$1000,0,IFERROR(MATCH(AK$5,'Oxford Economics'!$A$6:$AZ$6,0),MATCH(AK$5&amp;"",'Oxford Economics'!$A$6:$AZ$6,0))),'Oxford Economics'!$A$7:$A$1000,$C18,'Oxford Economics'!$B$7:$B$1000,Settings!$B$14)+SUMIFS(INDEX('Oxford Economics'!$A$7:$AZ$1000,0,IFERROR(MATCH(AK$5,'Oxford Economics'!$A$6:$AZ$6,0),MATCH(AK$5&amp;"",'Oxford Economics'!$A$6:$AZ$6,0))),'Oxford Economics'!$A$7:$A$1000,$C18,'Oxford Economics'!$B$7:$B$1000,Settings!$B$16)+IF(Settings!$B$18="",0,SUMIFS(INDEX('Oxford Economics'!$A$7:$AZ$1000,0,IFERROR(MATCH(AK$5,'Oxford Economics'!$A$6:$AZ$6,0),MATCH(AK$5&amp;"",'Oxford Economics'!$A$6:$AZ$6,0))),'Oxford Economics'!$A$7:$A$1000,$C18,'Oxford Economics'!$B$7:$B$1000,Settings!$B$18)))),""))</f>
        <v>930.11</v>
      </c>
      <c r="AL18" s="38" t="n">
        <f aca="false">IF($A18="","",IFERROR(1/(1/IF($B18="Residential",SUMIFS(INDEX('Oxford Economics'!$A$7:$AZ$1000,0,IFERROR(MATCH(AL$5,'Oxford Economics'!$A$6:$AZ$6,0),MATCH(AL$5&amp;"",'Oxford Economics'!$A$6:$AZ$6,0))),'Oxford Economics'!$A$7:$A$1000,$C18,'Oxford Economics'!$B$7:$B$1000,Settings!$B$12)-SUMIFS(INDEX('Oxford Economics'!$A$7:$AZ$1000,0,IFERROR(MATCH(AL$5,'Oxford Economics'!$A$6:$AZ$6,0),MATCH(AL$5&amp;"",'Oxford Economics'!$A$6:$AZ$6,0))),'Oxford Economics'!$A$7:$A$1000,$C18,'Oxford Economics'!$B$7:$B$1000,Settings!$B$14),SUMIFS(INDEX('Oxford Economics'!$A$7:$AZ$1000,0,IFERROR(MATCH(AL$5,'Oxford Economics'!$A$6:$AZ$6,0),MATCH(AL$5&amp;"",'Oxford Economics'!$A$6:$AZ$6,0))),'Oxford Economics'!$A$7:$A$1000,$C18,'Oxford Economics'!$B$7:$B$1000,Settings!$B$14)+SUMIFS(INDEX('Oxford Economics'!$A$7:$AZ$1000,0,IFERROR(MATCH(AL$5,'Oxford Economics'!$A$6:$AZ$6,0),MATCH(AL$5&amp;"",'Oxford Economics'!$A$6:$AZ$6,0))),'Oxford Economics'!$A$7:$A$1000,$C18,'Oxford Economics'!$B$7:$B$1000,Settings!$B$16)+IF(Settings!$B$18="",0,SUMIFS(INDEX('Oxford Economics'!$A$7:$AZ$1000,0,IFERROR(MATCH(AL$5,'Oxford Economics'!$A$6:$AZ$6,0),MATCH(AL$5&amp;"",'Oxford Economics'!$A$6:$AZ$6,0))),'Oxford Economics'!$A$7:$A$1000,$C18,'Oxford Economics'!$B$7:$B$1000,Settings!$B$18)))),""))</f>
        <v>910.33</v>
      </c>
      <c r="AM18" s="38" t="n">
        <f aca="false">IF($A18="","",IFERROR(1/(1/IF($B18="Residential",SUMIFS(INDEX('Oxford Economics'!$A$7:$AZ$1000,0,IFERROR(MATCH(AM$5,'Oxford Economics'!$A$6:$AZ$6,0),MATCH(AM$5&amp;"",'Oxford Economics'!$A$6:$AZ$6,0))),'Oxford Economics'!$A$7:$A$1000,$C18,'Oxford Economics'!$B$7:$B$1000,Settings!$B$12)-SUMIFS(INDEX('Oxford Economics'!$A$7:$AZ$1000,0,IFERROR(MATCH(AM$5,'Oxford Economics'!$A$6:$AZ$6,0),MATCH(AM$5&amp;"",'Oxford Economics'!$A$6:$AZ$6,0))),'Oxford Economics'!$A$7:$A$1000,$C18,'Oxford Economics'!$B$7:$B$1000,Settings!$B$14),SUMIFS(INDEX('Oxford Economics'!$A$7:$AZ$1000,0,IFERROR(MATCH(AM$5,'Oxford Economics'!$A$6:$AZ$6,0),MATCH(AM$5&amp;"",'Oxford Economics'!$A$6:$AZ$6,0))),'Oxford Economics'!$A$7:$A$1000,$C18,'Oxford Economics'!$B$7:$B$1000,Settings!$B$14)+SUMIFS(INDEX('Oxford Economics'!$A$7:$AZ$1000,0,IFERROR(MATCH(AM$5,'Oxford Economics'!$A$6:$AZ$6,0),MATCH(AM$5&amp;"",'Oxford Economics'!$A$6:$AZ$6,0))),'Oxford Economics'!$A$7:$A$1000,$C18,'Oxford Economics'!$B$7:$B$1000,Settings!$B$16)+IF(Settings!$B$18="",0,SUMIFS(INDEX('Oxford Economics'!$A$7:$AZ$1000,0,IFERROR(MATCH(AM$5,'Oxford Economics'!$A$6:$AZ$6,0),MATCH(AM$5&amp;"",'Oxford Economics'!$A$6:$AZ$6,0))),'Oxford Economics'!$A$7:$A$1000,$C18,'Oxford Economics'!$B$7:$B$1000,Settings!$B$18)))),""))</f>
        <v>880.68</v>
      </c>
    </row>
    <row r="19" customFormat="false" ht="15" hidden="false" customHeight="false" outlineLevel="0" collapsed="false">
      <c r="A19" s="37" t="str">
        <f aca="false">IF('Raw data'!$A19="","",'Raw data'!$A19)</f>
        <v>Hungary</v>
      </c>
      <c r="B19" s="37" t="str">
        <f aca="false">IF($A19="","",'Raw data'!$C19)</f>
        <v>Residential</v>
      </c>
      <c r="C19" s="37" t="str">
        <f aca="false">IF($A19="","",IF('Raw data'!$E19="",$A19,'Raw data'!$E19))</f>
        <v>Hungary</v>
      </c>
      <c r="D19" s="38" t="n">
        <f aca="false">IF($A19="","",IF(AND(ISNUMBER(P19),ISNUMBER(AB19)),P19+AB19,""))</f>
        <v>1997.46</v>
      </c>
      <c r="E19" s="38" t="n">
        <f aca="false">IF($A19="","",IF(AND(ISNUMBER(Q19),ISNUMBER(AC19)),Q19+AC19,""))</f>
        <v>2261.92</v>
      </c>
      <c r="F19" s="38" t="n">
        <f aca="false">IF($A19="","",IF(AND(ISNUMBER(R19),ISNUMBER(AD19)),R19+AD19,""))</f>
        <v>2372.65</v>
      </c>
      <c r="G19" s="38" t="n">
        <f aca="false">IF($A19="","",IF(AND(ISNUMBER(S19),ISNUMBER(AE19)),S19+AE19,""))</f>
        <v>2092.71</v>
      </c>
      <c r="H19" s="38" t="n">
        <f aca="false">IF($A19="","",IF(AND(ISNUMBER(T19),ISNUMBER(AF19)),T19+AF19,""))</f>
        <v>2073.06</v>
      </c>
      <c r="I19" s="38" t="n">
        <f aca="false">IF($A19="","",IF(AND(ISNUMBER(U19),ISNUMBER(AG19)),U19+AG19,""))</f>
        <v>1964.39</v>
      </c>
      <c r="J19" s="38" t="n">
        <f aca="false">IF($A19="","",IF(AND(ISNUMBER(V19),ISNUMBER(AH19)),V19+AH19,""))</f>
        <v>2135.13</v>
      </c>
      <c r="K19" s="38" t="n">
        <f aca="false">IF($A19="","",IF(AND(ISNUMBER(W19),ISNUMBER(AI19)),W19+AI19,""))</f>
        <v>2022.63</v>
      </c>
      <c r="L19" s="38" t="n">
        <f aca="false">IF($A19="","",IF(AND(ISNUMBER(X19),ISNUMBER(AJ19)),X19+AJ19,""))</f>
        <v>2083.98</v>
      </c>
      <c r="M19" s="38" t="n">
        <f aca="false">IF($A19="","",IF(AND(ISNUMBER(Y19),ISNUMBER(AK19)),Y19+AK19,""))</f>
        <v>2133.79</v>
      </c>
      <c r="N19" s="38" t="n">
        <f aca="false">IF($A19="","",IF(AND(ISNUMBER(Z19),ISNUMBER(AL19)),Z19+AL19,""))</f>
        <v>2176.44</v>
      </c>
      <c r="O19" s="38" t="n">
        <f aca="false">IF($A19="","",IF(AND(ISNUMBER(AA19),ISNUMBER(AM19)),AA19+AM19,""))</f>
        <v>2205.03</v>
      </c>
      <c r="P19" s="38" t="n">
        <f aca="false">IF($A19="","",IFERROR(1/(1/IF($B19="Residential",SUMIFS(INDEX('Oxford Economics'!$A$7:$AZ$1000,0,IFERROR(MATCH(P$5,'Oxford Economics'!$A$6:$AZ$6,0),MATCH(P$5&amp;"",'Oxford Economics'!$A$6:$AZ$6,0))),'Oxford Economics'!$A$7:$A$1000,$C19,'Oxford Economics'!$B$7:$B$1000,Settings!$B$13)-SUMIFS(INDEX('Oxford Economics'!$A$7:$AZ$1000,0,IFERROR(MATCH(P$5,'Oxford Economics'!$A$6:$AZ$6,0),MATCH(P$5&amp;"",'Oxford Economics'!$A$6:$AZ$6,0))),'Oxford Economics'!$A$7:$A$1000,$C19,'Oxford Economics'!$B$7:$B$1000,Settings!$B$15),SUMIFS(INDEX('Oxford Economics'!$A$7:$AZ$1000,0,IFERROR(MATCH(P$5,'Oxford Economics'!$A$6:$AZ$6,0),MATCH(P$5&amp;"",'Oxford Economics'!$A$6:$AZ$6,0))),'Oxford Economics'!$A$7:$A$1000,$C19,'Oxford Economics'!$B$7:$B$1000,Settings!$B$15)+SUMIFS(INDEX('Oxford Economics'!$A$7:$AZ$1000,0,IFERROR(MATCH(P$5,'Oxford Economics'!$A$6:$AZ$6,0),MATCH(P$5&amp;"",'Oxford Economics'!$A$6:$AZ$6,0))),'Oxford Economics'!$A$7:$A$1000,$C19,'Oxford Economics'!$B$7:$B$1000,Settings!$B$17)+IF(Settings!$B$19="",0,SUMIFS(INDEX('Oxford Economics'!$A$7:$AZ$1000,0,IFERROR(MATCH(P$5,'Oxford Economics'!$A$6:$AZ$6,0),MATCH(P$5&amp;"",'Oxford Economics'!$A$6:$AZ$6,0))),'Oxford Economics'!$A$7:$A$1000,$C19,'Oxford Economics'!$B$7:$B$1000,Settings!$B$19)))),""))</f>
        <v>914.35</v>
      </c>
      <c r="Q19" s="38" t="n">
        <f aca="false">IF($A19="","",IFERROR(1/(1/IF($B19="Residential",SUMIFS(INDEX('Oxford Economics'!$A$7:$AZ$1000,0,IFERROR(MATCH(Q$5,'Oxford Economics'!$A$6:$AZ$6,0),MATCH(Q$5&amp;"",'Oxford Economics'!$A$6:$AZ$6,0))),'Oxford Economics'!$A$7:$A$1000,$C19,'Oxford Economics'!$B$7:$B$1000,Settings!$B$13)-SUMIFS(INDEX('Oxford Economics'!$A$7:$AZ$1000,0,IFERROR(MATCH(Q$5,'Oxford Economics'!$A$6:$AZ$6,0),MATCH(Q$5&amp;"",'Oxford Economics'!$A$6:$AZ$6,0))),'Oxford Economics'!$A$7:$A$1000,$C19,'Oxford Economics'!$B$7:$B$1000,Settings!$B$15),SUMIFS(INDEX('Oxford Economics'!$A$7:$AZ$1000,0,IFERROR(MATCH(Q$5,'Oxford Economics'!$A$6:$AZ$6,0),MATCH(Q$5&amp;"",'Oxford Economics'!$A$6:$AZ$6,0))),'Oxford Economics'!$A$7:$A$1000,$C19,'Oxford Economics'!$B$7:$B$1000,Settings!$B$15)+SUMIFS(INDEX('Oxford Economics'!$A$7:$AZ$1000,0,IFERROR(MATCH(Q$5,'Oxford Economics'!$A$6:$AZ$6,0),MATCH(Q$5&amp;"",'Oxford Economics'!$A$6:$AZ$6,0))),'Oxford Economics'!$A$7:$A$1000,$C19,'Oxford Economics'!$B$7:$B$1000,Settings!$B$17)+IF(Settings!$B$19="",0,SUMIFS(INDEX('Oxford Economics'!$A$7:$AZ$1000,0,IFERROR(MATCH(Q$5,'Oxford Economics'!$A$6:$AZ$6,0),MATCH(Q$5&amp;"",'Oxford Economics'!$A$6:$AZ$6,0))),'Oxford Economics'!$A$7:$A$1000,$C19,'Oxford Economics'!$B$7:$B$1000,Settings!$B$19)))),""))</f>
        <v>1031.21</v>
      </c>
      <c r="R19" s="38" t="n">
        <f aca="false">IF($A19="","",IFERROR(1/(1/IF($B19="Residential",SUMIFS(INDEX('Oxford Economics'!$A$7:$AZ$1000,0,IFERROR(MATCH(R$5,'Oxford Economics'!$A$6:$AZ$6,0),MATCH(R$5&amp;"",'Oxford Economics'!$A$6:$AZ$6,0))),'Oxford Economics'!$A$7:$A$1000,$C19,'Oxford Economics'!$B$7:$B$1000,Settings!$B$13)-SUMIFS(INDEX('Oxford Economics'!$A$7:$AZ$1000,0,IFERROR(MATCH(R$5,'Oxford Economics'!$A$6:$AZ$6,0),MATCH(R$5&amp;"",'Oxford Economics'!$A$6:$AZ$6,0))),'Oxford Economics'!$A$7:$A$1000,$C19,'Oxford Economics'!$B$7:$B$1000,Settings!$B$15),SUMIFS(INDEX('Oxford Economics'!$A$7:$AZ$1000,0,IFERROR(MATCH(R$5,'Oxford Economics'!$A$6:$AZ$6,0),MATCH(R$5&amp;"",'Oxford Economics'!$A$6:$AZ$6,0))),'Oxford Economics'!$A$7:$A$1000,$C19,'Oxford Economics'!$B$7:$B$1000,Settings!$B$15)+SUMIFS(INDEX('Oxford Economics'!$A$7:$AZ$1000,0,IFERROR(MATCH(R$5,'Oxford Economics'!$A$6:$AZ$6,0),MATCH(R$5&amp;"",'Oxford Economics'!$A$6:$AZ$6,0))),'Oxford Economics'!$A$7:$A$1000,$C19,'Oxford Economics'!$B$7:$B$1000,Settings!$B$17)+IF(Settings!$B$19="",0,SUMIFS(INDEX('Oxford Economics'!$A$7:$AZ$1000,0,IFERROR(MATCH(R$5,'Oxford Economics'!$A$6:$AZ$6,0),MATCH(R$5&amp;"",'Oxford Economics'!$A$6:$AZ$6,0))),'Oxford Economics'!$A$7:$A$1000,$C19,'Oxford Economics'!$B$7:$B$1000,Settings!$B$19)))),""))</f>
        <v>1192.78</v>
      </c>
      <c r="S19" s="38" t="n">
        <f aca="false">IF($A19="","",IFERROR(1/(1/IF($B19="Residential",SUMIFS(INDEX('Oxford Economics'!$A$7:$AZ$1000,0,IFERROR(MATCH(S$5,'Oxford Economics'!$A$6:$AZ$6,0),MATCH(S$5&amp;"",'Oxford Economics'!$A$6:$AZ$6,0))),'Oxford Economics'!$A$7:$A$1000,$C19,'Oxford Economics'!$B$7:$B$1000,Settings!$B$13)-SUMIFS(INDEX('Oxford Economics'!$A$7:$AZ$1000,0,IFERROR(MATCH(S$5,'Oxford Economics'!$A$6:$AZ$6,0),MATCH(S$5&amp;"",'Oxford Economics'!$A$6:$AZ$6,0))),'Oxford Economics'!$A$7:$A$1000,$C19,'Oxford Economics'!$B$7:$B$1000,Settings!$B$15),SUMIFS(INDEX('Oxford Economics'!$A$7:$AZ$1000,0,IFERROR(MATCH(S$5,'Oxford Economics'!$A$6:$AZ$6,0),MATCH(S$5&amp;"",'Oxford Economics'!$A$6:$AZ$6,0))),'Oxford Economics'!$A$7:$A$1000,$C19,'Oxford Economics'!$B$7:$B$1000,Settings!$B$15)+SUMIFS(INDEX('Oxford Economics'!$A$7:$AZ$1000,0,IFERROR(MATCH(S$5,'Oxford Economics'!$A$6:$AZ$6,0),MATCH(S$5&amp;"",'Oxford Economics'!$A$6:$AZ$6,0))),'Oxford Economics'!$A$7:$A$1000,$C19,'Oxford Economics'!$B$7:$B$1000,Settings!$B$17)+IF(Settings!$B$19="",0,SUMIFS(INDEX('Oxford Economics'!$A$7:$AZ$1000,0,IFERROR(MATCH(S$5,'Oxford Economics'!$A$6:$AZ$6,0),MATCH(S$5&amp;"",'Oxford Economics'!$A$6:$AZ$6,0))),'Oxford Economics'!$A$7:$A$1000,$C19,'Oxford Economics'!$B$7:$B$1000,Settings!$B$19)))),""))</f>
        <v>1165</v>
      </c>
      <c r="T19" s="38" t="n">
        <f aca="false">IF($A19="","",IFERROR(1/(1/IF($B19="Residential",SUMIFS(INDEX('Oxford Economics'!$A$7:$AZ$1000,0,IFERROR(MATCH(T$5,'Oxford Economics'!$A$6:$AZ$6,0),MATCH(T$5&amp;"",'Oxford Economics'!$A$6:$AZ$6,0))),'Oxford Economics'!$A$7:$A$1000,$C19,'Oxford Economics'!$B$7:$B$1000,Settings!$B$13)-SUMIFS(INDEX('Oxford Economics'!$A$7:$AZ$1000,0,IFERROR(MATCH(T$5,'Oxford Economics'!$A$6:$AZ$6,0),MATCH(T$5&amp;"",'Oxford Economics'!$A$6:$AZ$6,0))),'Oxford Economics'!$A$7:$A$1000,$C19,'Oxford Economics'!$B$7:$B$1000,Settings!$B$15),SUMIFS(INDEX('Oxford Economics'!$A$7:$AZ$1000,0,IFERROR(MATCH(T$5,'Oxford Economics'!$A$6:$AZ$6,0),MATCH(T$5&amp;"",'Oxford Economics'!$A$6:$AZ$6,0))),'Oxford Economics'!$A$7:$A$1000,$C19,'Oxford Economics'!$B$7:$B$1000,Settings!$B$15)+SUMIFS(INDEX('Oxford Economics'!$A$7:$AZ$1000,0,IFERROR(MATCH(T$5,'Oxford Economics'!$A$6:$AZ$6,0),MATCH(T$5&amp;"",'Oxford Economics'!$A$6:$AZ$6,0))),'Oxford Economics'!$A$7:$A$1000,$C19,'Oxford Economics'!$B$7:$B$1000,Settings!$B$17)+IF(Settings!$B$19="",0,SUMIFS(INDEX('Oxford Economics'!$A$7:$AZ$1000,0,IFERROR(MATCH(T$5,'Oxford Economics'!$A$6:$AZ$6,0),MATCH(T$5&amp;"",'Oxford Economics'!$A$6:$AZ$6,0))),'Oxford Economics'!$A$7:$A$1000,$C19,'Oxford Economics'!$B$7:$B$1000,Settings!$B$19)))),""))</f>
        <v>1182.09</v>
      </c>
      <c r="U19" s="38" t="n">
        <f aca="false">IF($A19="","",IFERROR(1/(1/IF($B19="Residential",SUMIFS(INDEX('Oxford Economics'!$A$7:$AZ$1000,0,IFERROR(MATCH(U$5,'Oxford Economics'!$A$6:$AZ$6,0),MATCH(U$5&amp;"",'Oxford Economics'!$A$6:$AZ$6,0))),'Oxford Economics'!$A$7:$A$1000,$C19,'Oxford Economics'!$B$7:$B$1000,Settings!$B$13)-SUMIFS(INDEX('Oxford Economics'!$A$7:$AZ$1000,0,IFERROR(MATCH(U$5,'Oxford Economics'!$A$6:$AZ$6,0),MATCH(U$5&amp;"",'Oxford Economics'!$A$6:$AZ$6,0))),'Oxford Economics'!$A$7:$A$1000,$C19,'Oxford Economics'!$B$7:$B$1000,Settings!$B$15),SUMIFS(INDEX('Oxford Economics'!$A$7:$AZ$1000,0,IFERROR(MATCH(U$5,'Oxford Economics'!$A$6:$AZ$6,0),MATCH(U$5&amp;"",'Oxford Economics'!$A$6:$AZ$6,0))),'Oxford Economics'!$A$7:$A$1000,$C19,'Oxford Economics'!$B$7:$B$1000,Settings!$B$15)+SUMIFS(INDEX('Oxford Economics'!$A$7:$AZ$1000,0,IFERROR(MATCH(U$5,'Oxford Economics'!$A$6:$AZ$6,0),MATCH(U$5&amp;"",'Oxford Economics'!$A$6:$AZ$6,0))),'Oxford Economics'!$A$7:$A$1000,$C19,'Oxford Economics'!$B$7:$B$1000,Settings!$B$17)+IF(Settings!$B$19="",0,SUMIFS(INDEX('Oxford Economics'!$A$7:$AZ$1000,0,IFERROR(MATCH(U$5,'Oxford Economics'!$A$6:$AZ$6,0),MATCH(U$5&amp;"",'Oxford Economics'!$A$6:$AZ$6,0))),'Oxford Economics'!$A$7:$A$1000,$C19,'Oxford Economics'!$B$7:$B$1000,Settings!$B$19)))),""))</f>
        <v>1041.44</v>
      </c>
      <c r="V19" s="38" t="n">
        <f aca="false">IF($A19="","",IFERROR(1/(1/IF($B19="Residential",SUMIFS(INDEX('Oxford Economics'!$A$7:$AZ$1000,0,IFERROR(MATCH(V$5,'Oxford Economics'!$A$6:$AZ$6,0),MATCH(V$5&amp;"",'Oxford Economics'!$A$6:$AZ$6,0))),'Oxford Economics'!$A$7:$A$1000,$C19,'Oxford Economics'!$B$7:$B$1000,Settings!$B$13)-SUMIFS(INDEX('Oxford Economics'!$A$7:$AZ$1000,0,IFERROR(MATCH(V$5,'Oxford Economics'!$A$6:$AZ$6,0),MATCH(V$5&amp;"",'Oxford Economics'!$A$6:$AZ$6,0))),'Oxford Economics'!$A$7:$A$1000,$C19,'Oxford Economics'!$B$7:$B$1000,Settings!$B$15),SUMIFS(INDEX('Oxford Economics'!$A$7:$AZ$1000,0,IFERROR(MATCH(V$5,'Oxford Economics'!$A$6:$AZ$6,0),MATCH(V$5&amp;"",'Oxford Economics'!$A$6:$AZ$6,0))),'Oxford Economics'!$A$7:$A$1000,$C19,'Oxford Economics'!$B$7:$B$1000,Settings!$B$15)+SUMIFS(INDEX('Oxford Economics'!$A$7:$AZ$1000,0,IFERROR(MATCH(V$5,'Oxford Economics'!$A$6:$AZ$6,0),MATCH(V$5&amp;"",'Oxford Economics'!$A$6:$AZ$6,0))),'Oxford Economics'!$A$7:$A$1000,$C19,'Oxford Economics'!$B$7:$B$1000,Settings!$B$17)+IF(Settings!$B$19="",0,SUMIFS(INDEX('Oxford Economics'!$A$7:$AZ$1000,0,IFERROR(MATCH(V$5,'Oxford Economics'!$A$6:$AZ$6,0),MATCH(V$5&amp;"",'Oxford Economics'!$A$6:$AZ$6,0))),'Oxford Economics'!$A$7:$A$1000,$C19,'Oxford Economics'!$B$7:$B$1000,Settings!$B$19)))),""))</f>
        <v>1023.82</v>
      </c>
      <c r="W19" s="38" t="n">
        <f aca="false">IF($A19="","",IFERROR(1/(1/IF($B19="Residential",SUMIFS(INDEX('Oxford Economics'!$A$7:$AZ$1000,0,IFERROR(MATCH(W$5,'Oxford Economics'!$A$6:$AZ$6,0),MATCH(W$5&amp;"",'Oxford Economics'!$A$6:$AZ$6,0))),'Oxford Economics'!$A$7:$A$1000,$C19,'Oxford Economics'!$B$7:$B$1000,Settings!$B$13)-SUMIFS(INDEX('Oxford Economics'!$A$7:$AZ$1000,0,IFERROR(MATCH(W$5,'Oxford Economics'!$A$6:$AZ$6,0),MATCH(W$5&amp;"",'Oxford Economics'!$A$6:$AZ$6,0))),'Oxford Economics'!$A$7:$A$1000,$C19,'Oxford Economics'!$B$7:$B$1000,Settings!$B$15),SUMIFS(INDEX('Oxford Economics'!$A$7:$AZ$1000,0,IFERROR(MATCH(W$5,'Oxford Economics'!$A$6:$AZ$6,0),MATCH(W$5&amp;"",'Oxford Economics'!$A$6:$AZ$6,0))),'Oxford Economics'!$A$7:$A$1000,$C19,'Oxford Economics'!$B$7:$B$1000,Settings!$B$15)+SUMIFS(INDEX('Oxford Economics'!$A$7:$AZ$1000,0,IFERROR(MATCH(W$5,'Oxford Economics'!$A$6:$AZ$6,0),MATCH(W$5&amp;"",'Oxford Economics'!$A$6:$AZ$6,0))),'Oxford Economics'!$A$7:$A$1000,$C19,'Oxford Economics'!$B$7:$B$1000,Settings!$B$17)+IF(Settings!$B$19="",0,SUMIFS(INDEX('Oxford Economics'!$A$7:$AZ$1000,0,IFERROR(MATCH(W$5,'Oxford Economics'!$A$6:$AZ$6,0),MATCH(W$5&amp;"",'Oxford Economics'!$A$6:$AZ$6,0))),'Oxford Economics'!$A$7:$A$1000,$C19,'Oxford Economics'!$B$7:$B$1000,Settings!$B$19)))),""))</f>
        <v>1071.96</v>
      </c>
      <c r="X19" s="38" t="n">
        <f aca="false">IF($A19="","",IFERROR(1/(1/IF($B19="Residential",SUMIFS(INDEX('Oxford Economics'!$A$7:$AZ$1000,0,IFERROR(MATCH(X$5,'Oxford Economics'!$A$6:$AZ$6,0),MATCH(X$5&amp;"",'Oxford Economics'!$A$6:$AZ$6,0))),'Oxford Economics'!$A$7:$A$1000,$C19,'Oxford Economics'!$B$7:$B$1000,Settings!$B$13)-SUMIFS(INDEX('Oxford Economics'!$A$7:$AZ$1000,0,IFERROR(MATCH(X$5,'Oxford Economics'!$A$6:$AZ$6,0),MATCH(X$5&amp;"",'Oxford Economics'!$A$6:$AZ$6,0))),'Oxford Economics'!$A$7:$A$1000,$C19,'Oxford Economics'!$B$7:$B$1000,Settings!$B$15),SUMIFS(INDEX('Oxford Economics'!$A$7:$AZ$1000,0,IFERROR(MATCH(X$5,'Oxford Economics'!$A$6:$AZ$6,0),MATCH(X$5&amp;"",'Oxford Economics'!$A$6:$AZ$6,0))),'Oxford Economics'!$A$7:$A$1000,$C19,'Oxford Economics'!$B$7:$B$1000,Settings!$B$15)+SUMIFS(INDEX('Oxford Economics'!$A$7:$AZ$1000,0,IFERROR(MATCH(X$5,'Oxford Economics'!$A$6:$AZ$6,0),MATCH(X$5&amp;"",'Oxford Economics'!$A$6:$AZ$6,0))),'Oxford Economics'!$A$7:$A$1000,$C19,'Oxford Economics'!$B$7:$B$1000,Settings!$B$17)+IF(Settings!$B$19="",0,SUMIFS(INDEX('Oxford Economics'!$A$7:$AZ$1000,0,IFERROR(MATCH(X$5,'Oxford Economics'!$A$6:$AZ$6,0),MATCH(X$5&amp;"",'Oxford Economics'!$A$6:$AZ$6,0))),'Oxford Economics'!$A$7:$A$1000,$C19,'Oxford Economics'!$B$7:$B$1000,Settings!$B$19)))),""))</f>
        <v>1140.65</v>
      </c>
      <c r="Y19" s="38" t="n">
        <f aca="false">IF($A19="","",IFERROR(1/(1/IF($B19="Residential",SUMIFS(INDEX('Oxford Economics'!$A$7:$AZ$1000,0,IFERROR(MATCH(Y$5,'Oxford Economics'!$A$6:$AZ$6,0),MATCH(Y$5&amp;"",'Oxford Economics'!$A$6:$AZ$6,0))),'Oxford Economics'!$A$7:$A$1000,$C19,'Oxford Economics'!$B$7:$B$1000,Settings!$B$13)-SUMIFS(INDEX('Oxford Economics'!$A$7:$AZ$1000,0,IFERROR(MATCH(Y$5,'Oxford Economics'!$A$6:$AZ$6,0),MATCH(Y$5&amp;"",'Oxford Economics'!$A$6:$AZ$6,0))),'Oxford Economics'!$A$7:$A$1000,$C19,'Oxford Economics'!$B$7:$B$1000,Settings!$B$15),SUMIFS(INDEX('Oxford Economics'!$A$7:$AZ$1000,0,IFERROR(MATCH(Y$5,'Oxford Economics'!$A$6:$AZ$6,0),MATCH(Y$5&amp;"",'Oxford Economics'!$A$6:$AZ$6,0))),'Oxford Economics'!$A$7:$A$1000,$C19,'Oxford Economics'!$B$7:$B$1000,Settings!$B$15)+SUMIFS(INDEX('Oxford Economics'!$A$7:$AZ$1000,0,IFERROR(MATCH(Y$5,'Oxford Economics'!$A$6:$AZ$6,0),MATCH(Y$5&amp;"",'Oxford Economics'!$A$6:$AZ$6,0))),'Oxford Economics'!$A$7:$A$1000,$C19,'Oxford Economics'!$B$7:$B$1000,Settings!$B$17)+IF(Settings!$B$19="",0,SUMIFS(INDEX('Oxford Economics'!$A$7:$AZ$1000,0,IFERROR(MATCH(Y$5,'Oxford Economics'!$A$6:$AZ$6,0),MATCH(Y$5&amp;"",'Oxford Economics'!$A$6:$AZ$6,0))),'Oxford Economics'!$A$7:$A$1000,$C19,'Oxford Economics'!$B$7:$B$1000,Settings!$B$19)))),""))</f>
        <v>1203.68</v>
      </c>
      <c r="Z19" s="38" t="n">
        <f aca="false">IF($A19="","",IFERROR(1/(1/IF($B19="Residential",SUMIFS(INDEX('Oxford Economics'!$A$7:$AZ$1000,0,IFERROR(MATCH(Z$5,'Oxford Economics'!$A$6:$AZ$6,0),MATCH(Z$5&amp;"",'Oxford Economics'!$A$6:$AZ$6,0))),'Oxford Economics'!$A$7:$A$1000,$C19,'Oxford Economics'!$B$7:$B$1000,Settings!$B$13)-SUMIFS(INDEX('Oxford Economics'!$A$7:$AZ$1000,0,IFERROR(MATCH(Z$5,'Oxford Economics'!$A$6:$AZ$6,0),MATCH(Z$5&amp;"",'Oxford Economics'!$A$6:$AZ$6,0))),'Oxford Economics'!$A$7:$A$1000,$C19,'Oxford Economics'!$B$7:$B$1000,Settings!$B$15),SUMIFS(INDEX('Oxford Economics'!$A$7:$AZ$1000,0,IFERROR(MATCH(Z$5,'Oxford Economics'!$A$6:$AZ$6,0),MATCH(Z$5&amp;"",'Oxford Economics'!$A$6:$AZ$6,0))),'Oxford Economics'!$A$7:$A$1000,$C19,'Oxford Economics'!$B$7:$B$1000,Settings!$B$15)+SUMIFS(INDEX('Oxford Economics'!$A$7:$AZ$1000,0,IFERROR(MATCH(Z$5,'Oxford Economics'!$A$6:$AZ$6,0),MATCH(Z$5&amp;"",'Oxford Economics'!$A$6:$AZ$6,0))),'Oxford Economics'!$A$7:$A$1000,$C19,'Oxford Economics'!$B$7:$B$1000,Settings!$B$17)+IF(Settings!$B$19="",0,SUMIFS(INDEX('Oxford Economics'!$A$7:$AZ$1000,0,IFERROR(MATCH(Z$5,'Oxford Economics'!$A$6:$AZ$6,0),MATCH(Z$5&amp;"",'Oxford Economics'!$A$6:$AZ$6,0))),'Oxford Economics'!$A$7:$A$1000,$C19,'Oxford Economics'!$B$7:$B$1000,Settings!$B$19)))),""))</f>
        <v>1266.11</v>
      </c>
      <c r="AA19" s="38" t="n">
        <f aca="false">IF($A19="","",IFERROR(1/(1/IF($B19="Residential",SUMIFS(INDEX('Oxford Economics'!$A$7:$AZ$1000,0,IFERROR(MATCH(AA$5,'Oxford Economics'!$A$6:$AZ$6,0),MATCH(AA$5&amp;"",'Oxford Economics'!$A$6:$AZ$6,0))),'Oxford Economics'!$A$7:$A$1000,$C19,'Oxford Economics'!$B$7:$B$1000,Settings!$B$13)-SUMIFS(INDEX('Oxford Economics'!$A$7:$AZ$1000,0,IFERROR(MATCH(AA$5,'Oxford Economics'!$A$6:$AZ$6,0),MATCH(AA$5&amp;"",'Oxford Economics'!$A$6:$AZ$6,0))),'Oxford Economics'!$A$7:$A$1000,$C19,'Oxford Economics'!$B$7:$B$1000,Settings!$B$15),SUMIFS(INDEX('Oxford Economics'!$A$7:$AZ$1000,0,IFERROR(MATCH(AA$5,'Oxford Economics'!$A$6:$AZ$6,0),MATCH(AA$5&amp;"",'Oxford Economics'!$A$6:$AZ$6,0))),'Oxford Economics'!$A$7:$A$1000,$C19,'Oxford Economics'!$B$7:$B$1000,Settings!$B$15)+SUMIFS(INDEX('Oxford Economics'!$A$7:$AZ$1000,0,IFERROR(MATCH(AA$5,'Oxford Economics'!$A$6:$AZ$6,0),MATCH(AA$5&amp;"",'Oxford Economics'!$A$6:$AZ$6,0))),'Oxford Economics'!$A$7:$A$1000,$C19,'Oxford Economics'!$B$7:$B$1000,Settings!$B$17)+IF(Settings!$B$19="",0,SUMIFS(INDEX('Oxford Economics'!$A$7:$AZ$1000,0,IFERROR(MATCH(AA$5,'Oxford Economics'!$A$6:$AZ$6,0),MATCH(AA$5&amp;"",'Oxford Economics'!$A$6:$AZ$6,0))),'Oxford Economics'!$A$7:$A$1000,$C19,'Oxford Economics'!$B$7:$B$1000,Settings!$B$19)))),""))</f>
        <v>1324.35</v>
      </c>
      <c r="AB19" s="38" t="n">
        <f aca="false">IF($A19="","",IFERROR(1/(1/IF($B19="Residential",SUMIFS(INDEX('Oxford Economics'!$A$7:$AZ$1000,0,IFERROR(MATCH(AB$5,'Oxford Economics'!$A$6:$AZ$6,0),MATCH(AB$5&amp;"",'Oxford Economics'!$A$6:$AZ$6,0))),'Oxford Economics'!$A$7:$A$1000,$C19,'Oxford Economics'!$B$7:$B$1000,Settings!$B$12)-SUMIFS(INDEX('Oxford Economics'!$A$7:$AZ$1000,0,IFERROR(MATCH(AB$5,'Oxford Economics'!$A$6:$AZ$6,0),MATCH(AB$5&amp;"",'Oxford Economics'!$A$6:$AZ$6,0))),'Oxford Economics'!$A$7:$A$1000,$C19,'Oxford Economics'!$B$7:$B$1000,Settings!$B$14),SUMIFS(INDEX('Oxford Economics'!$A$7:$AZ$1000,0,IFERROR(MATCH(AB$5,'Oxford Economics'!$A$6:$AZ$6,0),MATCH(AB$5&amp;"",'Oxford Economics'!$A$6:$AZ$6,0))),'Oxford Economics'!$A$7:$A$1000,$C19,'Oxford Economics'!$B$7:$B$1000,Settings!$B$14)+SUMIFS(INDEX('Oxford Economics'!$A$7:$AZ$1000,0,IFERROR(MATCH(AB$5,'Oxford Economics'!$A$6:$AZ$6,0),MATCH(AB$5&amp;"",'Oxford Economics'!$A$6:$AZ$6,0))),'Oxford Economics'!$A$7:$A$1000,$C19,'Oxford Economics'!$B$7:$B$1000,Settings!$B$16)+IF(Settings!$B$18="",0,SUMIFS(INDEX('Oxford Economics'!$A$7:$AZ$1000,0,IFERROR(MATCH(AB$5,'Oxford Economics'!$A$6:$AZ$6,0),MATCH(AB$5&amp;"",'Oxford Economics'!$A$6:$AZ$6,0))),'Oxford Economics'!$A$7:$A$1000,$C19,'Oxford Economics'!$B$7:$B$1000,Settings!$B$18)))),""))</f>
        <v>1083.11</v>
      </c>
      <c r="AC19" s="38" t="n">
        <f aca="false">IF($A19="","",IFERROR(1/(1/IF($B19="Residential",SUMIFS(INDEX('Oxford Economics'!$A$7:$AZ$1000,0,IFERROR(MATCH(AC$5,'Oxford Economics'!$A$6:$AZ$6,0),MATCH(AC$5&amp;"",'Oxford Economics'!$A$6:$AZ$6,0))),'Oxford Economics'!$A$7:$A$1000,$C19,'Oxford Economics'!$B$7:$B$1000,Settings!$B$12)-SUMIFS(INDEX('Oxford Economics'!$A$7:$AZ$1000,0,IFERROR(MATCH(AC$5,'Oxford Economics'!$A$6:$AZ$6,0),MATCH(AC$5&amp;"",'Oxford Economics'!$A$6:$AZ$6,0))),'Oxford Economics'!$A$7:$A$1000,$C19,'Oxford Economics'!$B$7:$B$1000,Settings!$B$14),SUMIFS(INDEX('Oxford Economics'!$A$7:$AZ$1000,0,IFERROR(MATCH(AC$5,'Oxford Economics'!$A$6:$AZ$6,0),MATCH(AC$5&amp;"",'Oxford Economics'!$A$6:$AZ$6,0))),'Oxford Economics'!$A$7:$A$1000,$C19,'Oxford Economics'!$B$7:$B$1000,Settings!$B$14)+SUMIFS(INDEX('Oxford Economics'!$A$7:$AZ$1000,0,IFERROR(MATCH(AC$5,'Oxford Economics'!$A$6:$AZ$6,0),MATCH(AC$5&amp;"",'Oxford Economics'!$A$6:$AZ$6,0))),'Oxford Economics'!$A$7:$A$1000,$C19,'Oxford Economics'!$B$7:$B$1000,Settings!$B$16)+IF(Settings!$B$18="",0,SUMIFS(INDEX('Oxford Economics'!$A$7:$AZ$1000,0,IFERROR(MATCH(AC$5,'Oxford Economics'!$A$6:$AZ$6,0),MATCH(AC$5&amp;"",'Oxford Economics'!$A$6:$AZ$6,0))),'Oxford Economics'!$A$7:$A$1000,$C19,'Oxford Economics'!$B$7:$B$1000,Settings!$B$18)))),""))</f>
        <v>1230.71</v>
      </c>
      <c r="AD19" s="38" t="n">
        <f aca="false">IF($A19="","",IFERROR(1/(1/IF($B19="Residential",SUMIFS(INDEX('Oxford Economics'!$A$7:$AZ$1000,0,IFERROR(MATCH(AD$5,'Oxford Economics'!$A$6:$AZ$6,0),MATCH(AD$5&amp;"",'Oxford Economics'!$A$6:$AZ$6,0))),'Oxford Economics'!$A$7:$A$1000,$C19,'Oxford Economics'!$B$7:$B$1000,Settings!$B$12)-SUMIFS(INDEX('Oxford Economics'!$A$7:$AZ$1000,0,IFERROR(MATCH(AD$5,'Oxford Economics'!$A$6:$AZ$6,0),MATCH(AD$5&amp;"",'Oxford Economics'!$A$6:$AZ$6,0))),'Oxford Economics'!$A$7:$A$1000,$C19,'Oxford Economics'!$B$7:$B$1000,Settings!$B$14),SUMIFS(INDEX('Oxford Economics'!$A$7:$AZ$1000,0,IFERROR(MATCH(AD$5,'Oxford Economics'!$A$6:$AZ$6,0),MATCH(AD$5&amp;"",'Oxford Economics'!$A$6:$AZ$6,0))),'Oxford Economics'!$A$7:$A$1000,$C19,'Oxford Economics'!$B$7:$B$1000,Settings!$B$14)+SUMIFS(INDEX('Oxford Economics'!$A$7:$AZ$1000,0,IFERROR(MATCH(AD$5,'Oxford Economics'!$A$6:$AZ$6,0),MATCH(AD$5&amp;"",'Oxford Economics'!$A$6:$AZ$6,0))),'Oxford Economics'!$A$7:$A$1000,$C19,'Oxford Economics'!$B$7:$B$1000,Settings!$B$16)+IF(Settings!$B$18="",0,SUMIFS(INDEX('Oxford Economics'!$A$7:$AZ$1000,0,IFERROR(MATCH(AD$5,'Oxford Economics'!$A$6:$AZ$6,0),MATCH(AD$5&amp;"",'Oxford Economics'!$A$6:$AZ$6,0))),'Oxford Economics'!$A$7:$A$1000,$C19,'Oxford Economics'!$B$7:$B$1000,Settings!$B$18)))),""))</f>
        <v>1179.87</v>
      </c>
      <c r="AE19" s="38" t="n">
        <f aca="false">IF($A19="","",IFERROR(1/(1/IF($B19="Residential",SUMIFS(INDEX('Oxford Economics'!$A$7:$AZ$1000,0,IFERROR(MATCH(AE$5,'Oxford Economics'!$A$6:$AZ$6,0),MATCH(AE$5&amp;"",'Oxford Economics'!$A$6:$AZ$6,0))),'Oxford Economics'!$A$7:$A$1000,$C19,'Oxford Economics'!$B$7:$B$1000,Settings!$B$12)-SUMIFS(INDEX('Oxford Economics'!$A$7:$AZ$1000,0,IFERROR(MATCH(AE$5,'Oxford Economics'!$A$6:$AZ$6,0),MATCH(AE$5&amp;"",'Oxford Economics'!$A$6:$AZ$6,0))),'Oxford Economics'!$A$7:$A$1000,$C19,'Oxford Economics'!$B$7:$B$1000,Settings!$B$14),SUMIFS(INDEX('Oxford Economics'!$A$7:$AZ$1000,0,IFERROR(MATCH(AE$5,'Oxford Economics'!$A$6:$AZ$6,0),MATCH(AE$5&amp;"",'Oxford Economics'!$A$6:$AZ$6,0))),'Oxford Economics'!$A$7:$A$1000,$C19,'Oxford Economics'!$B$7:$B$1000,Settings!$B$14)+SUMIFS(INDEX('Oxford Economics'!$A$7:$AZ$1000,0,IFERROR(MATCH(AE$5,'Oxford Economics'!$A$6:$AZ$6,0),MATCH(AE$5&amp;"",'Oxford Economics'!$A$6:$AZ$6,0))),'Oxford Economics'!$A$7:$A$1000,$C19,'Oxford Economics'!$B$7:$B$1000,Settings!$B$16)+IF(Settings!$B$18="",0,SUMIFS(INDEX('Oxford Economics'!$A$7:$AZ$1000,0,IFERROR(MATCH(AE$5,'Oxford Economics'!$A$6:$AZ$6,0),MATCH(AE$5&amp;"",'Oxford Economics'!$A$6:$AZ$6,0))),'Oxford Economics'!$A$7:$A$1000,$C19,'Oxford Economics'!$B$7:$B$1000,Settings!$B$18)))),""))</f>
        <v>927.71</v>
      </c>
      <c r="AF19" s="38" t="n">
        <f aca="false">IF($A19="","",IFERROR(1/(1/IF($B19="Residential",SUMIFS(INDEX('Oxford Economics'!$A$7:$AZ$1000,0,IFERROR(MATCH(AF$5,'Oxford Economics'!$A$6:$AZ$6,0),MATCH(AF$5&amp;"",'Oxford Economics'!$A$6:$AZ$6,0))),'Oxford Economics'!$A$7:$A$1000,$C19,'Oxford Economics'!$B$7:$B$1000,Settings!$B$12)-SUMIFS(INDEX('Oxford Economics'!$A$7:$AZ$1000,0,IFERROR(MATCH(AF$5,'Oxford Economics'!$A$6:$AZ$6,0),MATCH(AF$5&amp;"",'Oxford Economics'!$A$6:$AZ$6,0))),'Oxford Economics'!$A$7:$A$1000,$C19,'Oxford Economics'!$B$7:$B$1000,Settings!$B$14),SUMIFS(INDEX('Oxford Economics'!$A$7:$AZ$1000,0,IFERROR(MATCH(AF$5,'Oxford Economics'!$A$6:$AZ$6,0),MATCH(AF$5&amp;"",'Oxford Economics'!$A$6:$AZ$6,0))),'Oxford Economics'!$A$7:$A$1000,$C19,'Oxford Economics'!$B$7:$B$1000,Settings!$B$14)+SUMIFS(INDEX('Oxford Economics'!$A$7:$AZ$1000,0,IFERROR(MATCH(AF$5,'Oxford Economics'!$A$6:$AZ$6,0),MATCH(AF$5&amp;"",'Oxford Economics'!$A$6:$AZ$6,0))),'Oxford Economics'!$A$7:$A$1000,$C19,'Oxford Economics'!$B$7:$B$1000,Settings!$B$16)+IF(Settings!$B$18="",0,SUMIFS(INDEX('Oxford Economics'!$A$7:$AZ$1000,0,IFERROR(MATCH(AF$5,'Oxford Economics'!$A$6:$AZ$6,0),MATCH(AF$5&amp;"",'Oxford Economics'!$A$6:$AZ$6,0))),'Oxford Economics'!$A$7:$A$1000,$C19,'Oxford Economics'!$B$7:$B$1000,Settings!$B$18)))),""))</f>
        <v>890.97</v>
      </c>
      <c r="AG19" s="38" t="n">
        <f aca="false">IF($A19="","",IFERROR(1/(1/IF($B19="Residential",SUMIFS(INDEX('Oxford Economics'!$A$7:$AZ$1000,0,IFERROR(MATCH(AG$5,'Oxford Economics'!$A$6:$AZ$6,0),MATCH(AG$5&amp;"",'Oxford Economics'!$A$6:$AZ$6,0))),'Oxford Economics'!$A$7:$A$1000,$C19,'Oxford Economics'!$B$7:$B$1000,Settings!$B$12)-SUMIFS(INDEX('Oxford Economics'!$A$7:$AZ$1000,0,IFERROR(MATCH(AG$5,'Oxford Economics'!$A$6:$AZ$6,0),MATCH(AG$5&amp;"",'Oxford Economics'!$A$6:$AZ$6,0))),'Oxford Economics'!$A$7:$A$1000,$C19,'Oxford Economics'!$B$7:$B$1000,Settings!$B$14),SUMIFS(INDEX('Oxford Economics'!$A$7:$AZ$1000,0,IFERROR(MATCH(AG$5,'Oxford Economics'!$A$6:$AZ$6,0),MATCH(AG$5&amp;"",'Oxford Economics'!$A$6:$AZ$6,0))),'Oxford Economics'!$A$7:$A$1000,$C19,'Oxford Economics'!$B$7:$B$1000,Settings!$B$14)+SUMIFS(INDEX('Oxford Economics'!$A$7:$AZ$1000,0,IFERROR(MATCH(AG$5,'Oxford Economics'!$A$6:$AZ$6,0),MATCH(AG$5&amp;"",'Oxford Economics'!$A$6:$AZ$6,0))),'Oxford Economics'!$A$7:$A$1000,$C19,'Oxford Economics'!$B$7:$B$1000,Settings!$B$16)+IF(Settings!$B$18="",0,SUMIFS(INDEX('Oxford Economics'!$A$7:$AZ$1000,0,IFERROR(MATCH(AG$5,'Oxford Economics'!$A$6:$AZ$6,0),MATCH(AG$5&amp;"",'Oxford Economics'!$A$6:$AZ$6,0))),'Oxford Economics'!$A$7:$A$1000,$C19,'Oxford Economics'!$B$7:$B$1000,Settings!$B$18)))),""))</f>
        <v>922.95</v>
      </c>
      <c r="AH19" s="38" t="n">
        <f aca="false">IF($A19="","",IFERROR(1/(1/IF($B19="Residential",SUMIFS(INDEX('Oxford Economics'!$A$7:$AZ$1000,0,IFERROR(MATCH(AH$5,'Oxford Economics'!$A$6:$AZ$6,0),MATCH(AH$5&amp;"",'Oxford Economics'!$A$6:$AZ$6,0))),'Oxford Economics'!$A$7:$A$1000,$C19,'Oxford Economics'!$B$7:$B$1000,Settings!$B$12)-SUMIFS(INDEX('Oxford Economics'!$A$7:$AZ$1000,0,IFERROR(MATCH(AH$5,'Oxford Economics'!$A$6:$AZ$6,0),MATCH(AH$5&amp;"",'Oxford Economics'!$A$6:$AZ$6,0))),'Oxford Economics'!$A$7:$A$1000,$C19,'Oxford Economics'!$B$7:$B$1000,Settings!$B$14),SUMIFS(INDEX('Oxford Economics'!$A$7:$AZ$1000,0,IFERROR(MATCH(AH$5,'Oxford Economics'!$A$6:$AZ$6,0),MATCH(AH$5&amp;"",'Oxford Economics'!$A$6:$AZ$6,0))),'Oxford Economics'!$A$7:$A$1000,$C19,'Oxford Economics'!$B$7:$B$1000,Settings!$B$14)+SUMIFS(INDEX('Oxford Economics'!$A$7:$AZ$1000,0,IFERROR(MATCH(AH$5,'Oxford Economics'!$A$6:$AZ$6,0),MATCH(AH$5&amp;"",'Oxford Economics'!$A$6:$AZ$6,0))),'Oxford Economics'!$A$7:$A$1000,$C19,'Oxford Economics'!$B$7:$B$1000,Settings!$B$16)+IF(Settings!$B$18="",0,SUMIFS(INDEX('Oxford Economics'!$A$7:$AZ$1000,0,IFERROR(MATCH(AH$5,'Oxford Economics'!$A$6:$AZ$6,0),MATCH(AH$5&amp;"",'Oxford Economics'!$A$6:$AZ$6,0))),'Oxford Economics'!$A$7:$A$1000,$C19,'Oxford Economics'!$B$7:$B$1000,Settings!$B$18)))),""))</f>
        <v>1111.31</v>
      </c>
      <c r="AI19" s="38" t="n">
        <f aca="false">IF($A19="","",IFERROR(1/(1/IF($B19="Residential",SUMIFS(INDEX('Oxford Economics'!$A$7:$AZ$1000,0,IFERROR(MATCH(AI$5,'Oxford Economics'!$A$6:$AZ$6,0),MATCH(AI$5&amp;"",'Oxford Economics'!$A$6:$AZ$6,0))),'Oxford Economics'!$A$7:$A$1000,$C19,'Oxford Economics'!$B$7:$B$1000,Settings!$B$12)-SUMIFS(INDEX('Oxford Economics'!$A$7:$AZ$1000,0,IFERROR(MATCH(AI$5,'Oxford Economics'!$A$6:$AZ$6,0),MATCH(AI$5&amp;"",'Oxford Economics'!$A$6:$AZ$6,0))),'Oxford Economics'!$A$7:$A$1000,$C19,'Oxford Economics'!$B$7:$B$1000,Settings!$B$14),SUMIFS(INDEX('Oxford Economics'!$A$7:$AZ$1000,0,IFERROR(MATCH(AI$5,'Oxford Economics'!$A$6:$AZ$6,0),MATCH(AI$5&amp;"",'Oxford Economics'!$A$6:$AZ$6,0))),'Oxford Economics'!$A$7:$A$1000,$C19,'Oxford Economics'!$B$7:$B$1000,Settings!$B$14)+SUMIFS(INDEX('Oxford Economics'!$A$7:$AZ$1000,0,IFERROR(MATCH(AI$5,'Oxford Economics'!$A$6:$AZ$6,0),MATCH(AI$5&amp;"",'Oxford Economics'!$A$6:$AZ$6,0))),'Oxford Economics'!$A$7:$A$1000,$C19,'Oxford Economics'!$B$7:$B$1000,Settings!$B$16)+IF(Settings!$B$18="",0,SUMIFS(INDEX('Oxford Economics'!$A$7:$AZ$1000,0,IFERROR(MATCH(AI$5,'Oxford Economics'!$A$6:$AZ$6,0),MATCH(AI$5&amp;"",'Oxford Economics'!$A$6:$AZ$6,0))),'Oxford Economics'!$A$7:$A$1000,$C19,'Oxford Economics'!$B$7:$B$1000,Settings!$B$18)))),""))</f>
        <v>950.67</v>
      </c>
      <c r="AJ19" s="38" t="n">
        <f aca="false">IF($A19="","",IFERROR(1/(1/IF($B19="Residential",SUMIFS(INDEX('Oxford Economics'!$A$7:$AZ$1000,0,IFERROR(MATCH(AJ$5,'Oxford Economics'!$A$6:$AZ$6,0),MATCH(AJ$5&amp;"",'Oxford Economics'!$A$6:$AZ$6,0))),'Oxford Economics'!$A$7:$A$1000,$C19,'Oxford Economics'!$B$7:$B$1000,Settings!$B$12)-SUMIFS(INDEX('Oxford Economics'!$A$7:$AZ$1000,0,IFERROR(MATCH(AJ$5,'Oxford Economics'!$A$6:$AZ$6,0),MATCH(AJ$5&amp;"",'Oxford Economics'!$A$6:$AZ$6,0))),'Oxford Economics'!$A$7:$A$1000,$C19,'Oxford Economics'!$B$7:$B$1000,Settings!$B$14),SUMIFS(INDEX('Oxford Economics'!$A$7:$AZ$1000,0,IFERROR(MATCH(AJ$5,'Oxford Economics'!$A$6:$AZ$6,0),MATCH(AJ$5&amp;"",'Oxford Economics'!$A$6:$AZ$6,0))),'Oxford Economics'!$A$7:$A$1000,$C19,'Oxford Economics'!$B$7:$B$1000,Settings!$B$14)+SUMIFS(INDEX('Oxford Economics'!$A$7:$AZ$1000,0,IFERROR(MATCH(AJ$5,'Oxford Economics'!$A$6:$AZ$6,0),MATCH(AJ$5&amp;"",'Oxford Economics'!$A$6:$AZ$6,0))),'Oxford Economics'!$A$7:$A$1000,$C19,'Oxford Economics'!$B$7:$B$1000,Settings!$B$16)+IF(Settings!$B$18="",0,SUMIFS(INDEX('Oxford Economics'!$A$7:$AZ$1000,0,IFERROR(MATCH(AJ$5,'Oxford Economics'!$A$6:$AZ$6,0),MATCH(AJ$5&amp;"",'Oxford Economics'!$A$6:$AZ$6,0))),'Oxford Economics'!$A$7:$A$1000,$C19,'Oxford Economics'!$B$7:$B$1000,Settings!$B$18)))),""))</f>
        <v>943.33</v>
      </c>
      <c r="AK19" s="38" t="n">
        <f aca="false">IF($A19="","",IFERROR(1/(1/IF($B19="Residential",SUMIFS(INDEX('Oxford Economics'!$A$7:$AZ$1000,0,IFERROR(MATCH(AK$5,'Oxford Economics'!$A$6:$AZ$6,0),MATCH(AK$5&amp;"",'Oxford Economics'!$A$6:$AZ$6,0))),'Oxford Economics'!$A$7:$A$1000,$C19,'Oxford Economics'!$B$7:$B$1000,Settings!$B$12)-SUMIFS(INDEX('Oxford Economics'!$A$7:$AZ$1000,0,IFERROR(MATCH(AK$5,'Oxford Economics'!$A$6:$AZ$6,0),MATCH(AK$5&amp;"",'Oxford Economics'!$A$6:$AZ$6,0))),'Oxford Economics'!$A$7:$A$1000,$C19,'Oxford Economics'!$B$7:$B$1000,Settings!$B$14),SUMIFS(INDEX('Oxford Economics'!$A$7:$AZ$1000,0,IFERROR(MATCH(AK$5,'Oxford Economics'!$A$6:$AZ$6,0),MATCH(AK$5&amp;"",'Oxford Economics'!$A$6:$AZ$6,0))),'Oxford Economics'!$A$7:$A$1000,$C19,'Oxford Economics'!$B$7:$B$1000,Settings!$B$14)+SUMIFS(INDEX('Oxford Economics'!$A$7:$AZ$1000,0,IFERROR(MATCH(AK$5,'Oxford Economics'!$A$6:$AZ$6,0),MATCH(AK$5&amp;"",'Oxford Economics'!$A$6:$AZ$6,0))),'Oxford Economics'!$A$7:$A$1000,$C19,'Oxford Economics'!$B$7:$B$1000,Settings!$B$16)+IF(Settings!$B$18="",0,SUMIFS(INDEX('Oxford Economics'!$A$7:$AZ$1000,0,IFERROR(MATCH(AK$5,'Oxford Economics'!$A$6:$AZ$6,0),MATCH(AK$5&amp;"",'Oxford Economics'!$A$6:$AZ$6,0))),'Oxford Economics'!$A$7:$A$1000,$C19,'Oxford Economics'!$B$7:$B$1000,Settings!$B$18)))),""))</f>
        <v>930.11</v>
      </c>
      <c r="AL19" s="38" t="n">
        <f aca="false">IF($A19="","",IFERROR(1/(1/IF($B19="Residential",SUMIFS(INDEX('Oxford Economics'!$A$7:$AZ$1000,0,IFERROR(MATCH(AL$5,'Oxford Economics'!$A$6:$AZ$6,0),MATCH(AL$5&amp;"",'Oxford Economics'!$A$6:$AZ$6,0))),'Oxford Economics'!$A$7:$A$1000,$C19,'Oxford Economics'!$B$7:$B$1000,Settings!$B$12)-SUMIFS(INDEX('Oxford Economics'!$A$7:$AZ$1000,0,IFERROR(MATCH(AL$5,'Oxford Economics'!$A$6:$AZ$6,0),MATCH(AL$5&amp;"",'Oxford Economics'!$A$6:$AZ$6,0))),'Oxford Economics'!$A$7:$A$1000,$C19,'Oxford Economics'!$B$7:$B$1000,Settings!$B$14),SUMIFS(INDEX('Oxford Economics'!$A$7:$AZ$1000,0,IFERROR(MATCH(AL$5,'Oxford Economics'!$A$6:$AZ$6,0),MATCH(AL$5&amp;"",'Oxford Economics'!$A$6:$AZ$6,0))),'Oxford Economics'!$A$7:$A$1000,$C19,'Oxford Economics'!$B$7:$B$1000,Settings!$B$14)+SUMIFS(INDEX('Oxford Economics'!$A$7:$AZ$1000,0,IFERROR(MATCH(AL$5,'Oxford Economics'!$A$6:$AZ$6,0),MATCH(AL$5&amp;"",'Oxford Economics'!$A$6:$AZ$6,0))),'Oxford Economics'!$A$7:$A$1000,$C19,'Oxford Economics'!$B$7:$B$1000,Settings!$B$16)+IF(Settings!$B$18="",0,SUMIFS(INDEX('Oxford Economics'!$A$7:$AZ$1000,0,IFERROR(MATCH(AL$5,'Oxford Economics'!$A$6:$AZ$6,0),MATCH(AL$5&amp;"",'Oxford Economics'!$A$6:$AZ$6,0))),'Oxford Economics'!$A$7:$A$1000,$C19,'Oxford Economics'!$B$7:$B$1000,Settings!$B$18)))),""))</f>
        <v>910.33</v>
      </c>
      <c r="AM19" s="38" t="n">
        <f aca="false">IF($A19="","",IFERROR(1/(1/IF($B19="Residential",SUMIFS(INDEX('Oxford Economics'!$A$7:$AZ$1000,0,IFERROR(MATCH(AM$5,'Oxford Economics'!$A$6:$AZ$6,0),MATCH(AM$5&amp;"",'Oxford Economics'!$A$6:$AZ$6,0))),'Oxford Economics'!$A$7:$A$1000,$C19,'Oxford Economics'!$B$7:$B$1000,Settings!$B$12)-SUMIFS(INDEX('Oxford Economics'!$A$7:$AZ$1000,0,IFERROR(MATCH(AM$5,'Oxford Economics'!$A$6:$AZ$6,0),MATCH(AM$5&amp;"",'Oxford Economics'!$A$6:$AZ$6,0))),'Oxford Economics'!$A$7:$A$1000,$C19,'Oxford Economics'!$B$7:$B$1000,Settings!$B$14),SUMIFS(INDEX('Oxford Economics'!$A$7:$AZ$1000,0,IFERROR(MATCH(AM$5,'Oxford Economics'!$A$6:$AZ$6,0),MATCH(AM$5&amp;"",'Oxford Economics'!$A$6:$AZ$6,0))),'Oxford Economics'!$A$7:$A$1000,$C19,'Oxford Economics'!$B$7:$B$1000,Settings!$B$14)+SUMIFS(INDEX('Oxford Economics'!$A$7:$AZ$1000,0,IFERROR(MATCH(AM$5,'Oxford Economics'!$A$6:$AZ$6,0),MATCH(AM$5&amp;"",'Oxford Economics'!$A$6:$AZ$6,0))),'Oxford Economics'!$A$7:$A$1000,$C19,'Oxford Economics'!$B$7:$B$1000,Settings!$B$16)+IF(Settings!$B$18="",0,SUMIFS(INDEX('Oxford Economics'!$A$7:$AZ$1000,0,IFERROR(MATCH(AM$5,'Oxford Economics'!$A$6:$AZ$6,0),MATCH(AM$5&amp;"",'Oxford Economics'!$A$6:$AZ$6,0))),'Oxford Economics'!$A$7:$A$1000,$C19,'Oxford Economics'!$B$7:$B$1000,Settings!$B$18)))),""))</f>
        <v>880.68</v>
      </c>
    </row>
    <row r="20" customFormat="false" ht="15" hidden="false" customHeight="false" outlineLevel="0" collapsed="false">
      <c r="A20" s="37" t="str">
        <f aca="false">IF('Raw data'!$A20="","",'Raw data'!$A20)</f>
        <v>Hungary</v>
      </c>
      <c r="B20" s="37" t="str">
        <f aca="false">IF($A20="","",'Raw data'!$C20)</f>
        <v>Residential</v>
      </c>
      <c r="C20" s="37" t="str">
        <f aca="false">IF($A20="","",IF('Raw data'!$E20="",$A20,'Raw data'!$E20))</f>
        <v>Hungary</v>
      </c>
      <c r="D20" s="38" t="n">
        <f aca="false">IF($A20="","",IF(AND(ISNUMBER(P20),ISNUMBER(AB20)),P20+AB20,""))</f>
        <v>1997.46</v>
      </c>
      <c r="E20" s="38" t="n">
        <f aca="false">IF($A20="","",IF(AND(ISNUMBER(Q20),ISNUMBER(AC20)),Q20+AC20,""))</f>
        <v>2261.92</v>
      </c>
      <c r="F20" s="38" t="n">
        <f aca="false">IF($A20="","",IF(AND(ISNUMBER(R20),ISNUMBER(AD20)),R20+AD20,""))</f>
        <v>2372.65</v>
      </c>
      <c r="G20" s="38" t="n">
        <f aca="false">IF($A20="","",IF(AND(ISNUMBER(S20),ISNUMBER(AE20)),S20+AE20,""))</f>
        <v>2092.71</v>
      </c>
      <c r="H20" s="38" t="n">
        <f aca="false">IF($A20="","",IF(AND(ISNUMBER(T20),ISNUMBER(AF20)),T20+AF20,""))</f>
        <v>2073.06</v>
      </c>
      <c r="I20" s="38" t="n">
        <f aca="false">IF($A20="","",IF(AND(ISNUMBER(U20),ISNUMBER(AG20)),U20+AG20,""))</f>
        <v>1964.39</v>
      </c>
      <c r="J20" s="38" t="n">
        <f aca="false">IF($A20="","",IF(AND(ISNUMBER(V20),ISNUMBER(AH20)),V20+AH20,""))</f>
        <v>2135.13</v>
      </c>
      <c r="K20" s="38" t="n">
        <f aca="false">IF($A20="","",IF(AND(ISNUMBER(W20),ISNUMBER(AI20)),W20+AI20,""))</f>
        <v>2022.63</v>
      </c>
      <c r="L20" s="38" t="n">
        <f aca="false">IF($A20="","",IF(AND(ISNUMBER(X20),ISNUMBER(AJ20)),X20+AJ20,""))</f>
        <v>2083.98</v>
      </c>
      <c r="M20" s="38" t="n">
        <f aca="false">IF($A20="","",IF(AND(ISNUMBER(Y20),ISNUMBER(AK20)),Y20+AK20,""))</f>
        <v>2133.79</v>
      </c>
      <c r="N20" s="38" t="n">
        <f aca="false">IF($A20="","",IF(AND(ISNUMBER(Z20),ISNUMBER(AL20)),Z20+AL20,""))</f>
        <v>2176.44</v>
      </c>
      <c r="O20" s="38" t="n">
        <f aca="false">IF($A20="","",IF(AND(ISNUMBER(AA20),ISNUMBER(AM20)),AA20+AM20,""))</f>
        <v>2205.03</v>
      </c>
      <c r="P20" s="38" t="n">
        <f aca="false">IF($A20="","",IFERROR(1/(1/IF($B20="Residential",SUMIFS(INDEX('Oxford Economics'!$A$7:$AZ$1000,0,IFERROR(MATCH(P$5,'Oxford Economics'!$A$6:$AZ$6,0),MATCH(P$5&amp;"",'Oxford Economics'!$A$6:$AZ$6,0))),'Oxford Economics'!$A$7:$A$1000,$C20,'Oxford Economics'!$B$7:$B$1000,Settings!$B$13)-SUMIFS(INDEX('Oxford Economics'!$A$7:$AZ$1000,0,IFERROR(MATCH(P$5,'Oxford Economics'!$A$6:$AZ$6,0),MATCH(P$5&amp;"",'Oxford Economics'!$A$6:$AZ$6,0))),'Oxford Economics'!$A$7:$A$1000,$C20,'Oxford Economics'!$B$7:$B$1000,Settings!$B$15),SUMIFS(INDEX('Oxford Economics'!$A$7:$AZ$1000,0,IFERROR(MATCH(P$5,'Oxford Economics'!$A$6:$AZ$6,0),MATCH(P$5&amp;"",'Oxford Economics'!$A$6:$AZ$6,0))),'Oxford Economics'!$A$7:$A$1000,$C20,'Oxford Economics'!$B$7:$B$1000,Settings!$B$15)+SUMIFS(INDEX('Oxford Economics'!$A$7:$AZ$1000,0,IFERROR(MATCH(P$5,'Oxford Economics'!$A$6:$AZ$6,0),MATCH(P$5&amp;"",'Oxford Economics'!$A$6:$AZ$6,0))),'Oxford Economics'!$A$7:$A$1000,$C20,'Oxford Economics'!$B$7:$B$1000,Settings!$B$17)+IF(Settings!$B$19="",0,SUMIFS(INDEX('Oxford Economics'!$A$7:$AZ$1000,0,IFERROR(MATCH(P$5,'Oxford Economics'!$A$6:$AZ$6,0),MATCH(P$5&amp;"",'Oxford Economics'!$A$6:$AZ$6,0))),'Oxford Economics'!$A$7:$A$1000,$C20,'Oxford Economics'!$B$7:$B$1000,Settings!$B$19)))),""))</f>
        <v>914.35</v>
      </c>
      <c r="Q20" s="38" t="n">
        <f aca="false">IF($A20="","",IFERROR(1/(1/IF($B20="Residential",SUMIFS(INDEX('Oxford Economics'!$A$7:$AZ$1000,0,IFERROR(MATCH(Q$5,'Oxford Economics'!$A$6:$AZ$6,0),MATCH(Q$5&amp;"",'Oxford Economics'!$A$6:$AZ$6,0))),'Oxford Economics'!$A$7:$A$1000,$C20,'Oxford Economics'!$B$7:$B$1000,Settings!$B$13)-SUMIFS(INDEX('Oxford Economics'!$A$7:$AZ$1000,0,IFERROR(MATCH(Q$5,'Oxford Economics'!$A$6:$AZ$6,0),MATCH(Q$5&amp;"",'Oxford Economics'!$A$6:$AZ$6,0))),'Oxford Economics'!$A$7:$A$1000,$C20,'Oxford Economics'!$B$7:$B$1000,Settings!$B$15),SUMIFS(INDEX('Oxford Economics'!$A$7:$AZ$1000,0,IFERROR(MATCH(Q$5,'Oxford Economics'!$A$6:$AZ$6,0),MATCH(Q$5&amp;"",'Oxford Economics'!$A$6:$AZ$6,0))),'Oxford Economics'!$A$7:$A$1000,$C20,'Oxford Economics'!$B$7:$B$1000,Settings!$B$15)+SUMIFS(INDEX('Oxford Economics'!$A$7:$AZ$1000,0,IFERROR(MATCH(Q$5,'Oxford Economics'!$A$6:$AZ$6,0),MATCH(Q$5&amp;"",'Oxford Economics'!$A$6:$AZ$6,0))),'Oxford Economics'!$A$7:$A$1000,$C20,'Oxford Economics'!$B$7:$B$1000,Settings!$B$17)+IF(Settings!$B$19="",0,SUMIFS(INDEX('Oxford Economics'!$A$7:$AZ$1000,0,IFERROR(MATCH(Q$5,'Oxford Economics'!$A$6:$AZ$6,0),MATCH(Q$5&amp;"",'Oxford Economics'!$A$6:$AZ$6,0))),'Oxford Economics'!$A$7:$A$1000,$C20,'Oxford Economics'!$B$7:$B$1000,Settings!$B$19)))),""))</f>
        <v>1031.21</v>
      </c>
      <c r="R20" s="38" t="n">
        <f aca="false">IF($A20="","",IFERROR(1/(1/IF($B20="Residential",SUMIFS(INDEX('Oxford Economics'!$A$7:$AZ$1000,0,IFERROR(MATCH(R$5,'Oxford Economics'!$A$6:$AZ$6,0),MATCH(R$5&amp;"",'Oxford Economics'!$A$6:$AZ$6,0))),'Oxford Economics'!$A$7:$A$1000,$C20,'Oxford Economics'!$B$7:$B$1000,Settings!$B$13)-SUMIFS(INDEX('Oxford Economics'!$A$7:$AZ$1000,0,IFERROR(MATCH(R$5,'Oxford Economics'!$A$6:$AZ$6,0),MATCH(R$5&amp;"",'Oxford Economics'!$A$6:$AZ$6,0))),'Oxford Economics'!$A$7:$A$1000,$C20,'Oxford Economics'!$B$7:$B$1000,Settings!$B$15),SUMIFS(INDEX('Oxford Economics'!$A$7:$AZ$1000,0,IFERROR(MATCH(R$5,'Oxford Economics'!$A$6:$AZ$6,0),MATCH(R$5&amp;"",'Oxford Economics'!$A$6:$AZ$6,0))),'Oxford Economics'!$A$7:$A$1000,$C20,'Oxford Economics'!$B$7:$B$1000,Settings!$B$15)+SUMIFS(INDEX('Oxford Economics'!$A$7:$AZ$1000,0,IFERROR(MATCH(R$5,'Oxford Economics'!$A$6:$AZ$6,0),MATCH(R$5&amp;"",'Oxford Economics'!$A$6:$AZ$6,0))),'Oxford Economics'!$A$7:$A$1000,$C20,'Oxford Economics'!$B$7:$B$1000,Settings!$B$17)+IF(Settings!$B$19="",0,SUMIFS(INDEX('Oxford Economics'!$A$7:$AZ$1000,0,IFERROR(MATCH(R$5,'Oxford Economics'!$A$6:$AZ$6,0),MATCH(R$5&amp;"",'Oxford Economics'!$A$6:$AZ$6,0))),'Oxford Economics'!$A$7:$A$1000,$C20,'Oxford Economics'!$B$7:$B$1000,Settings!$B$19)))),""))</f>
        <v>1192.78</v>
      </c>
      <c r="S20" s="38" t="n">
        <f aca="false">IF($A20="","",IFERROR(1/(1/IF($B20="Residential",SUMIFS(INDEX('Oxford Economics'!$A$7:$AZ$1000,0,IFERROR(MATCH(S$5,'Oxford Economics'!$A$6:$AZ$6,0),MATCH(S$5&amp;"",'Oxford Economics'!$A$6:$AZ$6,0))),'Oxford Economics'!$A$7:$A$1000,$C20,'Oxford Economics'!$B$7:$B$1000,Settings!$B$13)-SUMIFS(INDEX('Oxford Economics'!$A$7:$AZ$1000,0,IFERROR(MATCH(S$5,'Oxford Economics'!$A$6:$AZ$6,0),MATCH(S$5&amp;"",'Oxford Economics'!$A$6:$AZ$6,0))),'Oxford Economics'!$A$7:$A$1000,$C20,'Oxford Economics'!$B$7:$B$1000,Settings!$B$15),SUMIFS(INDEX('Oxford Economics'!$A$7:$AZ$1000,0,IFERROR(MATCH(S$5,'Oxford Economics'!$A$6:$AZ$6,0),MATCH(S$5&amp;"",'Oxford Economics'!$A$6:$AZ$6,0))),'Oxford Economics'!$A$7:$A$1000,$C20,'Oxford Economics'!$B$7:$B$1000,Settings!$B$15)+SUMIFS(INDEX('Oxford Economics'!$A$7:$AZ$1000,0,IFERROR(MATCH(S$5,'Oxford Economics'!$A$6:$AZ$6,0),MATCH(S$5&amp;"",'Oxford Economics'!$A$6:$AZ$6,0))),'Oxford Economics'!$A$7:$A$1000,$C20,'Oxford Economics'!$B$7:$B$1000,Settings!$B$17)+IF(Settings!$B$19="",0,SUMIFS(INDEX('Oxford Economics'!$A$7:$AZ$1000,0,IFERROR(MATCH(S$5,'Oxford Economics'!$A$6:$AZ$6,0),MATCH(S$5&amp;"",'Oxford Economics'!$A$6:$AZ$6,0))),'Oxford Economics'!$A$7:$A$1000,$C20,'Oxford Economics'!$B$7:$B$1000,Settings!$B$19)))),""))</f>
        <v>1165</v>
      </c>
      <c r="T20" s="38" t="n">
        <f aca="false">IF($A20="","",IFERROR(1/(1/IF($B20="Residential",SUMIFS(INDEX('Oxford Economics'!$A$7:$AZ$1000,0,IFERROR(MATCH(T$5,'Oxford Economics'!$A$6:$AZ$6,0),MATCH(T$5&amp;"",'Oxford Economics'!$A$6:$AZ$6,0))),'Oxford Economics'!$A$7:$A$1000,$C20,'Oxford Economics'!$B$7:$B$1000,Settings!$B$13)-SUMIFS(INDEX('Oxford Economics'!$A$7:$AZ$1000,0,IFERROR(MATCH(T$5,'Oxford Economics'!$A$6:$AZ$6,0),MATCH(T$5&amp;"",'Oxford Economics'!$A$6:$AZ$6,0))),'Oxford Economics'!$A$7:$A$1000,$C20,'Oxford Economics'!$B$7:$B$1000,Settings!$B$15),SUMIFS(INDEX('Oxford Economics'!$A$7:$AZ$1000,0,IFERROR(MATCH(T$5,'Oxford Economics'!$A$6:$AZ$6,0),MATCH(T$5&amp;"",'Oxford Economics'!$A$6:$AZ$6,0))),'Oxford Economics'!$A$7:$A$1000,$C20,'Oxford Economics'!$B$7:$B$1000,Settings!$B$15)+SUMIFS(INDEX('Oxford Economics'!$A$7:$AZ$1000,0,IFERROR(MATCH(T$5,'Oxford Economics'!$A$6:$AZ$6,0),MATCH(T$5&amp;"",'Oxford Economics'!$A$6:$AZ$6,0))),'Oxford Economics'!$A$7:$A$1000,$C20,'Oxford Economics'!$B$7:$B$1000,Settings!$B$17)+IF(Settings!$B$19="",0,SUMIFS(INDEX('Oxford Economics'!$A$7:$AZ$1000,0,IFERROR(MATCH(T$5,'Oxford Economics'!$A$6:$AZ$6,0),MATCH(T$5&amp;"",'Oxford Economics'!$A$6:$AZ$6,0))),'Oxford Economics'!$A$7:$A$1000,$C20,'Oxford Economics'!$B$7:$B$1000,Settings!$B$19)))),""))</f>
        <v>1182.09</v>
      </c>
      <c r="U20" s="38" t="n">
        <f aca="false">IF($A20="","",IFERROR(1/(1/IF($B20="Residential",SUMIFS(INDEX('Oxford Economics'!$A$7:$AZ$1000,0,IFERROR(MATCH(U$5,'Oxford Economics'!$A$6:$AZ$6,0),MATCH(U$5&amp;"",'Oxford Economics'!$A$6:$AZ$6,0))),'Oxford Economics'!$A$7:$A$1000,$C20,'Oxford Economics'!$B$7:$B$1000,Settings!$B$13)-SUMIFS(INDEX('Oxford Economics'!$A$7:$AZ$1000,0,IFERROR(MATCH(U$5,'Oxford Economics'!$A$6:$AZ$6,0),MATCH(U$5&amp;"",'Oxford Economics'!$A$6:$AZ$6,0))),'Oxford Economics'!$A$7:$A$1000,$C20,'Oxford Economics'!$B$7:$B$1000,Settings!$B$15),SUMIFS(INDEX('Oxford Economics'!$A$7:$AZ$1000,0,IFERROR(MATCH(U$5,'Oxford Economics'!$A$6:$AZ$6,0),MATCH(U$5&amp;"",'Oxford Economics'!$A$6:$AZ$6,0))),'Oxford Economics'!$A$7:$A$1000,$C20,'Oxford Economics'!$B$7:$B$1000,Settings!$B$15)+SUMIFS(INDEX('Oxford Economics'!$A$7:$AZ$1000,0,IFERROR(MATCH(U$5,'Oxford Economics'!$A$6:$AZ$6,0),MATCH(U$5&amp;"",'Oxford Economics'!$A$6:$AZ$6,0))),'Oxford Economics'!$A$7:$A$1000,$C20,'Oxford Economics'!$B$7:$B$1000,Settings!$B$17)+IF(Settings!$B$19="",0,SUMIFS(INDEX('Oxford Economics'!$A$7:$AZ$1000,0,IFERROR(MATCH(U$5,'Oxford Economics'!$A$6:$AZ$6,0),MATCH(U$5&amp;"",'Oxford Economics'!$A$6:$AZ$6,0))),'Oxford Economics'!$A$7:$A$1000,$C20,'Oxford Economics'!$B$7:$B$1000,Settings!$B$19)))),""))</f>
        <v>1041.44</v>
      </c>
      <c r="V20" s="38" t="n">
        <f aca="false">IF($A20="","",IFERROR(1/(1/IF($B20="Residential",SUMIFS(INDEX('Oxford Economics'!$A$7:$AZ$1000,0,IFERROR(MATCH(V$5,'Oxford Economics'!$A$6:$AZ$6,0),MATCH(V$5&amp;"",'Oxford Economics'!$A$6:$AZ$6,0))),'Oxford Economics'!$A$7:$A$1000,$C20,'Oxford Economics'!$B$7:$B$1000,Settings!$B$13)-SUMIFS(INDEX('Oxford Economics'!$A$7:$AZ$1000,0,IFERROR(MATCH(V$5,'Oxford Economics'!$A$6:$AZ$6,0),MATCH(V$5&amp;"",'Oxford Economics'!$A$6:$AZ$6,0))),'Oxford Economics'!$A$7:$A$1000,$C20,'Oxford Economics'!$B$7:$B$1000,Settings!$B$15),SUMIFS(INDEX('Oxford Economics'!$A$7:$AZ$1000,0,IFERROR(MATCH(V$5,'Oxford Economics'!$A$6:$AZ$6,0),MATCH(V$5&amp;"",'Oxford Economics'!$A$6:$AZ$6,0))),'Oxford Economics'!$A$7:$A$1000,$C20,'Oxford Economics'!$B$7:$B$1000,Settings!$B$15)+SUMIFS(INDEX('Oxford Economics'!$A$7:$AZ$1000,0,IFERROR(MATCH(V$5,'Oxford Economics'!$A$6:$AZ$6,0),MATCH(V$5&amp;"",'Oxford Economics'!$A$6:$AZ$6,0))),'Oxford Economics'!$A$7:$A$1000,$C20,'Oxford Economics'!$B$7:$B$1000,Settings!$B$17)+IF(Settings!$B$19="",0,SUMIFS(INDEX('Oxford Economics'!$A$7:$AZ$1000,0,IFERROR(MATCH(V$5,'Oxford Economics'!$A$6:$AZ$6,0),MATCH(V$5&amp;"",'Oxford Economics'!$A$6:$AZ$6,0))),'Oxford Economics'!$A$7:$A$1000,$C20,'Oxford Economics'!$B$7:$B$1000,Settings!$B$19)))),""))</f>
        <v>1023.82</v>
      </c>
      <c r="W20" s="38" t="n">
        <f aca="false">IF($A20="","",IFERROR(1/(1/IF($B20="Residential",SUMIFS(INDEX('Oxford Economics'!$A$7:$AZ$1000,0,IFERROR(MATCH(W$5,'Oxford Economics'!$A$6:$AZ$6,0),MATCH(W$5&amp;"",'Oxford Economics'!$A$6:$AZ$6,0))),'Oxford Economics'!$A$7:$A$1000,$C20,'Oxford Economics'!$B$7:$B$1000,Settings!$B$13)-SUMIFS(INDEX('Oxford Economics'!$A$7:$AZ$1000,0,IFERROR(MATCH(W$5,'Oxford Economics'!$A$6:$AZ$6,0),MATCH(W$5&amp;"",'Oxford Economics'!$A$6:$AZ$6,0))),'Oxford Economics'!$A$7:$A$1000,$C20,'Oxford Economics'!$B$7:$B$1000,Settings!$B$15),SUMIFS(INDEX('Oxford Economics'!$A$7:$AZ$1000,0,IFERROR(MATCH(W$5,'Oxford Economics'!$A$6:$AZ$6,0),MATCH(W$5&amp;"",'Oxford Economics'!$A$6:$AZ$6,0))),'Oxford Economics'!$A$7:$A$1000,$C20,'Oxford Economics'!$B$7:$B$1000,Settings!$B$15)+SUMIFS(INDEX('Oxford Economics'!$A$7:$AZ$1000,0,IFERROR(MATCH(W$5,'Oxford Economics'!$A$6:$AZ$6,0),MATCH(W$5&amp;"",'Oxford Economics'!$A$6:$AZ$6,0))),'Oxford Economics'!$A$7:$A$1000,$C20,'Oxford Economics'!$B$7:$B$1000,Settings!$B$17)+IF(Settings!$B$19="",0,SUMIFS(INDEX('Oxford Economics'!$A$7:$AZ$1000,0,IFERROR(MATCH(W$5,'Oxford Economics'!$A$6:$AZ$6,0),MATCH(W$5&amp;"",'Oxford Economics'!$A$6:$AZ$6,0))),'Oxford Economics'!$A$7:$A$1000,$C20,'Oxford Economics'!$B$7:$B$1000,Settings!$B$19)))),""))</f>
        <v>1071.96</v>
      </c>
      <c r="X20" s="38" t="n">
        <f aca="false">IF($A20="","",IFERROR(1/(1/IF($B20="Residential",SUMIFS(INDEX('Oxford Economics'!$A$7:$AZ$1000,0,IFERROR(MATCH(X$5,'Oxford Economics'!$A$6:$AZ$6,0),MATCH(X$5&amp;"",'Oxford Economics'!$A$6:$AZ$6,0))),'Oxford Economics'!$A$7:$A$1000,$C20,'Oxford Economics'!$B$7:$B$1000,Settings!$B$13)-SUMIFS(INDEX('Oxford Economics'!$A$7:$AZ$1000,0,IFERROR(MATCH(X$5,'Oxford Economics'!$A$6:$AZ$6,0),MATCH(X$5&amp;"",'Oxford Economics'!$A$6:$AZ$6,0))),'Oxford Economics'!$A$7:$A$1000,$C20,'Oxford Economics'!$B$7:$B$1000,Settings!$B$15),SUMIFS(INDEX('Oxford Economics'!$A$7:$AZ$1000,0,IFERROR(MATCH(X$5,'Oxford Economics'!$A$6:$AZ$6,0),MATCH(X$5&amp;"",'Oxford Economics'!$A$6:$AZ$6,0))),'Oxford Economics'!$A$7:$A$1000,$C20,'Oxford Economics'!$B$7:$B$1000,Settings!$B$15)+SUMIFS(INDEX('Oxford Economics'!$A$7:$AZ$1000,0,IFERROR(MATCH(X$5,'Oxford Economics'!$A$6:$AZ$6,0),MATCH(X$5&amp;"",'Oxford Economics'!$A$6:$AZ$6,0))),'Oxford Economics'!$A$7:$A$1000,$C20,'Oxford Economics'!$B$7:$B$1000,Settings!$B$17)+IF(Settings!$B$19="",0,SUMIFS(INDEX('Oxford Economics'!$A$7:$AZ$1000,0,IFERROR(MATCH(X$5,'Oxford Economics'!$A$6:$AZ$6,0),MATCH(X$5&amp;"",'Oxford Economics'!$A$6:$AZ$6,0))),'Oxford Economics'!$A$7:$A$1000,$C20,'Oxford Economics'!$B$7:$B$1000,Settings!$B$19)))),""))</f>
        <v>1140.65</v>
      </c>
      <c r="Y20" s="38" t="n">
        <f aca="false">IF($A20="","",IFERROR(1/(1/IF($B20="Residential",SUMIFS(INDEX('Oxford Economics'!$A$7:$AZ$1000,0,IFERROR(MATCH(Y$5,'Oxford Economics'!$A$6:$AZ$6,0),MATCH(Y$5&amp;"",'Oxford Economics'!$A$6:$AZ$6,0))),'Oxford Economics'!$A$7:$A$1000,$C20,'Oxford Economics'!$B$7:$B$1000,Settings!$B$13)-SUMIFS(INDEX('Oxford Economics'!$A$7:$AZ$1000,0,IFERROR(MATCH(Y$5,'Oxford Economics'!$A$6:$AZ$6,0),MATCH(Y$5&amp;"",'Oxford Economics'!$A$6:$AZ$6,0))),'Oxford Economics'!$A$7:$A$1000,$C20,'Oxford Economics'!$B$7:$B$1000,Settings!$B$15),SUMIFS(INDEX('Oxford Economics'!$A$7:$AZ$1000,0,IFERROR(MATCH(Y$5,'Oxford Economics'!$A$6:$AZ$6,0),MATCH(Y$5&amp;"",'Oxford Economics'!$A$6:$AZ$6,0))),'Oxford Economics'!$A$7:$A$1000,$C20,'Oxford Economics'!$B$7:$B$1000,Settings!$B$15)+SUMIFS(INDEX('Oxford Economics'!$A$7:$AZ$1000,0,IFERROR(MATCH(Y$5,'Oxford Economics'!$A$6:$AZ$6,0),MATCH(Y$5&amp;"",'Oxford Economics'!$A$6:$AZ$6,0))),'Oxford Economics'!$A$7:$A$1000,$C20,'Oxford Economics'!$B$7:$B$1000,Settings!$B$17)+IF(Settings!$B$19="",0,SUMIFS(INDEX('Oxford Economics'!$A$7:$AZ$1000,0,IFERROR(MATCH(Y$5,'Oxford Economics'!$A$6:$AZ$6,0),MATCH(Y$5&amp;"",'Oxford Economics'!$A$6:$AZ$6,0))),'Oxford Economics'!$A$7:$A$1000,$C20,'Oxford Economics'!$B$7:$B$1000,Settings!$B$19)))),""))</f>
        <v>1203.68</v>
      </c>
      <c r="Z20" s="38" t="n">
        <f aca="false">IF($A20="","",IFERROR(1/(1/IF($B20="Residential",SUMIFS(INDEX('Oxford Economics'!$A$7:$AZ$1000,0,IFERROR(MATCH(Z$5,'Oxford Economics'!$A$6:$AZ$6,0),MATCH(Z$5&amp;"",'Oxford Economics'!$A$6:$AZ$6,0))),'Oxford Economics'!$A$7:$A$1000,$C20,'Oxford Economics'!$B$7:$B$1000,Settings!$B$13)-SUMIFS(INDEX('Oxford Economics'!$A$7:$AZ$1000,0,IFERROR(MATCH(Z$5,'Oxford Economics'!$A$6:$AZ$6,0),MATCH(Z$5&amp;"",'Oxford Economics'!$A$6:$AZ$6,0))),'Oxford Economics'!$A$7:$A$1000,$C20,'Oxford Economics'!$B$7:$B$1000,Settings!$B$15),SUMIFS(INDEX('Oxford Economics'!$A$7:$AZ$1000,0,IFERROR(MATCH(Z$5,'Oxford Economics'!$A$6:$AZ$6,0),MATCH(Z$5&amp;"",'Oxford Economics'!$A$6:$AZ$6,0))),'Oxford Economics'!$A$7:$A$1000,$C20,'Oxford Economics'!$B$7:$B$1000,Settings!$B$15)+SUMIFS(INDEX('Oxford Economics'!$A$7:$AZ$1000,0,IFERROR(MATCH(Z$5,'Oxford Economics'!$A$6:$AZ$6,0),MATCH(Z$5&amp;"",'Oxford Economics'!$A$6:$AZ$6,0))),'Oxford Economics'!$A$7:$A$1000,$C20,'Oxford Economics'!$B$7:$B$1000,Settings!$B$17)+IF(Settings!$B$19="",0,SUMIFS(INDEX('Oxford Economics'!$A$7:$AZ$1000,0,IFERROR(MATCH(Z$5,'Oxford Economics'!$A$6:$AZ$6,0),MATCH(Z$5&amp;"",'Oxford Economics'!$A$6:$AZ$6,0))),'Oxford Economics'!$A$7:$A$1000,$C20,'Oxford Economics'!$B$7:$B$1000,Settings!$B$19)))),""))</f>
        <v>1266.11</v>
      </c>
      <c r="AA20" s="38" t="n">
        <f aca="false">IF($A20="","",IFERROR(1/(1/IF($B20="Residential",SUMIFS(INDEX('Oxford Economics'!$A$7:$AZ$1000,0,IFERROR(MATCH(AA$5,'Oxford Economics'!$A$6:$AZ$6,0),MATCH(AA$5&amp;"",'Oxford Economics'!$A$6:$AZ$6,0))),'Oxford Economics'!$A$7:$A$1000,$C20,'Oxford Economics'!$B$7:$B$1000,Settings!$B$13)-SUMIFS(INDEX('Oxford Economics'!$A$7:$AZ$1000,0,IFERROR(MATCH(AA$5,'Oxford Economics'!$A$6:$AZ$6,0),MATCH(AA$5&amp;"",'Oxford Economics'!$A$6:$AZ$6,0))),'Oxford Economics'!$A$7:$A$1000,$C20,'Oxford Economics'!$B$7:$B$1000,Settings!$B$15),SUMIFS(INDEX('Oxford Economics'!$A$7:$AZ$1000,0,IFERROR(MATCH(AA$5,'Oxford Economics'!$A$6:$AZ$6,0),MATCH(AA$5&amp;"",'Oxford Economics'!$A$6:$AZ$6,0))),'Oxford Economics'!$A$7:$A$1000,$C20,'Oxford Economics'!$B$7:$B$1000,Settings!$B$15)+SUMIFS(INDEX('Oxford Economics'!$A$7:$AZ$1000,0,IFERROR(MATCH(AA$5,'Oxford Economics'!$A$6:$AZ$6,0),MATCH(AA$5&amp;"",'Oxford Economics'!$A$6:$AZ$6,0))),'Oxford Economics'!$A$7:$A$1000,$C20,'Oxford Economics'!$B$7:$B$1000,Settings!$B$17)+IF(Settings!$B$19="",0,SUMIFS(INDEX('Oxford Economics'!$A$7:$AZ$1000,0,IFERROR(MATCH(AA$5,'Oxford Economics'!$A$6:$AZ$6,0),MATCH(AA$5&amp;"",'Oxford Economics'!$A$6:$AZ$6,0))),'Oxford Economics'!$A$7:$A$1000,$C20,'Oxford Economics'!$B$7:$B$1000,Settings!$B$19)))),""))</f>
        <v>1324.35</v>
      </c>
      <c r="AB20" s="38" t="n">
        <f aca="false">IF($A20="","",IFERROR(1/(1/IF($B20="Residential",SUMIFS(INDEX('Oxford Economics'!$A$7:$AZ$1000,0,IFERROR(MATCH(AB$5,'Oxford Economics'!$A$6:$AZ$6,0),MATCH(AB$5&amp;"",'Oxford Economics'!$A$6:$AZ$6,0))),'Oxford Economics'!$A$7:$A$1000,$C20,'Oxford Economics'!$B$7:$B$1000,Settings!$B$12)-SUMIFS(INDEX('Oxford Economics'!$A$7:$AZ$1000,0,IFERROR(MATCH(AB$5,'Oxford Economics'!$A$6:$AZ$6,0),MATCH(AB$5&amp;"",'Oxford Economics'!$A$6:$AZ$6,0))),'Oxford Economics'!$A$7:$A$1000,$C20,'Oxford Economics'!$B$7:$B$1000,Settings!$B$14),SUMIFS(INDEX('Oxford Economics'!$A$7:$AZ$1000,0,IFERROR(MATCH(AB$5,'Oxford Economics'!$A$6:$AZ$6,0),MATCH(AB$5&amp;"",'Oxford Economics'!$A$6:$AZ$6,0))),'Oxford Economics'!$A$7:$A$1000,$C20,'Oxford Economics'!$B$7:$B$1000,Settings!$B$14)+SUMIFS(INDEX('Oxford Economics'!$A$7:$AZ$1000,0,IFERROR(MATCH(AB$5,'Oxford Economics'!$A$6:$AZ$6,0),MATCH(AB$5&amp;"",'Oxford Economics'!$A$6:$AZ$6,0))),'Oxford Economics'!$A$7:$A$1000,$C20,'Oxford Economics'!$B$7:$B$1000,Settings!$B$16)+IF(Settings!$B$18="",0,SUMIFS(INDEX('Oxford Economics'!$A$7:$AZ$1000,0,IFERROR(MATCH(AB$5,'Oxford Economics'!$A$6:$AZ$6,0),MATCH(AB$5&amp;"",'Oxford Economics'!$A$6:$AZ$6,0))),'Oxford Economics'!$A$7:$A$1000,$C20,'Oxford Economics'!$B$7:$B$1000,Settings!$B$18)))),""))</f>
        <v>1083.11</v>
      </c>
      <c r="AC20" s="38" t="n">
        <f aca="false">IF($A20="","",IFERROR(1/(1/IF($B20="Residential",SUMIFS(INDEX('Oxford Economics'!$A$7:$AZ$1000,0,IFERROR(MATCH(AC$5,'Oxford Economics'!$A$6:$AZ$6,0),MATCH(AC$5&amp;"",'Oxford Economics'!$A$6:$AZ$6,0))),'Oxford Economics'!$A$7:$A$1000,$C20,'Oxford Economics'!$B$7:$B$1000,Settings!$B$12)-SUMIFS(INDEX('Oxford Economics'!$A$7:$AZ$1000,0,IFERROR(MATCH(AC$5,'Oxford Economics'!$A$6:$AZ$6,0),MATCH(AC$5&amp;"",'Oxford Economics'!$A$6:$AZ$6,0))),'Oxford Economics'!$A$7:$A$1000,$C20,'Oxford Economics'!$B$7:$B$1000,Settings!$B$14),SUMIFS(INDEX('Oxford Economics'!$A$7:$AZ$1000,0,IFERROR(MATCH(AC$5,'Oxford Economics'!$A$6:$AZ$6,0),MATCH(AC$5&amp;"",'Oxford Economics'!$A$6:$AZ$6,0))),'Oxford Economics'!$A$7:$A$1000,$C20,'Oxford Economics'!$B$7:$B$1000,Settings!$B$14)+SUMIFS(INDEX('Oxford Economics'!$A$7:$AZ$1000,0,IFERROR(MATCH(AC$5,'Oxford Economics'!$A$6:$AZ$6,0),MATCH(AC$5&amp;"",'Oxford Economics'!$A$6:$AZ$6,0))),'Oxford Economics'!$A$7:$A$1000,$C20,'Oxford Economics'!$B$7:$B$1000,Settings!$B$16)+IF(Settings!$B$18="",0,SUMIFS(INDEX('Oxford Economics'!$A$7:$AZ$1000,0,IFERROR(MATCH(AC$5,'Oxford Economics'!$A$6:$AZ$6,0),MATCH(AC$5&amp;"",'Oxford Economics'!$A$6:$AZ$6,0))),'Oxford Economics'!$A$7:$A$1000,$C20,'Oxford Economics'!$B$7:$B$1000,Settings!$B$18)))),""))</f>
        <v>1230.71</v>
      </c>
      <c r="AD20" s="38" t="n">
        <f aca="false">IF($A20="","",IFERROR(1/(1/IF($B20="Residential",SUMIFS(INDEX('Oxford Economics'!$A$7:$AZ$1000,0,IFERROR(MATCH(AD$5,'Oxford Economics'!$A$6:$AZ$6,0),MATCH(AD$5&amp;"",'Oxford Economics'!$A$6:$AZ$6,0))),'Oxford Economics'!$A$7:$A$1000,$C20,'Oxford Economics'!$B$7:$B$1000,Settings!$B$12)-SUMIFS(INDEX('Oxford Economics'!$A$7:$AZ$1000,0,IFERROR(MATCH(AD$5,'Oxford Economics'!$A$6:$AZ$6,0),MATCH(AD$5&amp;"",'Oxford Economics'!$A$6:$AZ$6,0))),'Oxford Economics'!$A$7:$A$1000,$C20,'Oxford Economics'!$B$7:$B$1000,Settings!$B$14),SUMIFS(INDEX('Oxford Economics'!$A$7:$AZ$1000,0,IFERROR(MATCH(AD$5,'Oxford Economics'!$A$6:$AZ$6,0),MATCH(AD$5&amp;"",'Oxford Economics'!$A$6:$AZ$6,0))),'Oxford Economics'!$A$7:$A$1000,$C20,'Oxford Economics'!$B$7:$B$1000,Settings!$B$14)+SUMIFS(INDEX('Oxford Economics'!$A$7:$AZ$1000,0,IFERROR(MATCH(AD$5,'Oxford Economics'!$A$6:$AZ$6,0),MATCH(AD$5&amp;"",'Oxford Economics'!$A$6:$AZ$6,0))),'Oxford Economics'!$A$7:$A$1000,$C20,'Oxford Economics'!$B$7:$B$1000,Settings!$B$16)+IF(Settings!$B$18="",0,SUMIFS(INDEX('Oxford Economics'!$A$7:$AZ$1000,0,IFERROR(MATCH(AD$5,'Oxford Economics'!$A$6:$AZ$6,0),MATCH(AD$5&amp;"",'Oxford Economics'!$A$6:$AZ$6,0))),'Oxford Economics'!$A$7:$A$1000,$C20,'Oxford Economics'!$B$7:$B$1000,Settings!$B$18)))),""))</f>
        <v>1179.87</v>
      </c>
      <c r="AE20" s="38" t="n">
        <f aca="false">IF($A20="","",IFERROR(1/(1/IF($B20="Residential",SUMIFS(INDEX('Oxford Economics'!$A$7:$AZ$1000,0,IFERROR(MATCH(AE$5,'Oxford Economics'!$A$6:$AZ$6,0),MATCH(AE$5&amp;"",'Oxford Economics'!$A$6:$AZ$6,0))),'Oxford Economics'!$A$7:$A$1000,$C20,'Oxford Economics'!$B$7:$B$1000,Settings!$B$12)-SUMIFS(INDEX('Oxford Economics'!$A$7:$AZ$1000,0,IFERROR(MATCH(AE$5,'Oxford Economics'!$A$6:$AZ$6,0),MATCH(AE$5&amp;"",'Oxford Economics'!$A$6:$AZ$6,0))),'Oxford Economics'!$A$7:$A$1000,$C20,'Oxford Economics'!$B$7:$B$1000,Settings!$B$14),SUMIFS(INDEX('Oxford Economics'!$A$7:$AZ$1000,0,IFERROR(MATCH(AE$5,'Oxford Economics'!$A$6:$AZ$6,0),MATCH(AE$5&amp;"",'Oxford Economics'!$A$6:$AZ$6,0))),'Oxford Economics'!$A$7:$A$1000,$C20,'Oxford Economics'!$B$7:$B$1000,Settings!$B$14)+SUMIFS(INDEX('Oxford Economics'!$A$7:$AZ$1000,0,IFERROR(MATCH(AE$5,'Oxford Economics'!$A$6:$AZ$6,0),MATCH(AE$5&amp;"",'Oxford Economics'!$A$6:$AZ$6,0))),'Oxford Economics'!$A$7:$A$1000,$C20,'Oxford Economics'!$B$7:$B$1000,Settings!$B$16)+IF(Settings!$B$18="",0,SUMIFS(INDEX('Oxford Economics'!$A$7:$AZ$1000,0,IFERROR(MATCH(AE$5,'Oxford Economics'!$A$6:$AZ$6,0),MATCH(AE$5&amp;"",'Oxford Economics'!$A$6:$AZ$6,0))),'Oxford Economics'!$A$7:$A$1000,$C20,'Oxford Economics'!$B$7:$B$1000,Settings!$B$18)))),""))</f>
        <v>927.71</v>
      </c>
      <c r="AF20" s="38" t="n">
        <f aca="false">IF($A20="","",IFERROR(1/(1/IF($B20="Residential",SUMIFS(INDEX('Oxford Economics'!$A$7:$AZ$1000,0,IFERROR(MATCH(AF$5,'Oxford Economics'!$A$6:$AZ$6,0),MATCH(AF$5&amp;"",'Oxford Economics'!$A$6:$AZ$6,0))),'Oxford Economics'!$A$7:$A$1000,$C20,'Oxford Economics'!$B$7:$B$1000,Settings!$B$12)-SUMIFS(INDEX('Oxford Economics'!$A$7:$AZ$1000,0,IFERROR(MATCH(AF$5,'Oxford Economics'!$A$6:$AZ$6,0),MATCH(AF$5&amp;"",'Oxford Economics'!$A$6:$AZ$6,0))),'Oxford Economics'!$A$7:$A$1000,$C20,'Oxford Economics'!$B$7:$B$1000,Settings!$B$14),SUMIFS(INDEX('Oxford Economics'!$A$7:$AZ$1000,0,IFERROR(MATCH(AF$5,'Oxford Economics'!$A$6:$AZ$6,0),MATCH(AF$5&amp;"",'Oxford Economics'!$A$6:$AZ$6,0))),'Oxford Economics'!$A$7:$A$1000,$C20,'Oxford Economics'!$B$7:$B$1000,Settings!$B$14)+SUMIFS(INDEX('Oxford Economics'!$A$7:$AZ$1000,0,IFERROR(MATCH(AF$5,'Oxford Economics'!$A$6:$AZ$6,0),MATCH(AF$5&amp;"",'Oxford Economics'!$A$6:$AZ$6,0))),'Oxford Economics'!$A$7:$A$1000,$C20,'Oxford Economics'!$B$7:$B$1000,Settings!$B$16)+IF(Settings!$B$18="",0,SUMIFS(INDEX('Oxford Economics'!$A$7:$AZ$1000,0,IFERROR(MATCH(AF$5,'Oxford Economics'!$A$6:$AZ$6,0),MATCH(AF$5&amp;"",'Oxford Economics'!$A$6:$AZ$6,0))),'Oxford Economics'!$A$7:$A$1000,$C20,'Oxford Economics'!$B$7:$B$1000,Settings!$B$18)))),""))</f>
        <v>890.97</v>
      </c>
      <c r="AG20" s="38" t="n">
        <f aca="false">IF($A20="","",IFERROR(1/(1/IF($B20="Residential",SUMIFS(INDEX('Oxford Economics'!$A$7:$AZ$1000,0,IFERROR(MATCH(AG$5,'Oxford Economics'!$A$6:$AZ$6,0),MATCH(AG$5&amp;"",'Oxford Economics'!$A$6:$AZ$6,0))),'Oxford Economics'!$A$7:$A$1000,$C20,'Oxford Economics'!$B$7:$B$1000,Settings!$B$12)-SUMIFS(INDEX('Oxford Economics'!$A$7:$AZ$1000,0,IFERROR(MATCH(AG$5,'Oxford Economics'!$A$6:$AZ$6,0),MATCH(AG$5&amp;"",'Oxford Economics'!$A$6:$AZ$6,0))),'Oxford Economics'!$A$7:$A$1000,$C20,'Oxford Economics'!$B$7:$B$1000,Settings!$B$14),SUMIFS(INDEX('Oxford Economics'!$A$7:$AZ$1000,0,IFERROR(MATCH(AG$5,'Oxford Economics'!$A$6:$AZ$6,0),MATCH(AG$5&amp;"",'Oxford Economics'!$A$6:$AZ$6,0))),'Oxford Economics'!$A$7:$A$1000,$C20,'Oxford Economics'!$B$7:$B$1000,Settings!$B$14)+SUMIFS(INDEX('Oxford Economics'!$A$7:$AZ$1000,0,IFERROR(MATCH(AG$5,'Oxford Economics'!$A$6:$AZ$6,0),MATCH(AG$5&amp;"",'Oxford Economics'!$A$6:$AZ$6,0))),'Oxford Economics'!$A$7:$A$1000,$C20,'Oxford Economics'!$B$7:$B$1000,Settings!$B$16)+IF(Settings!$B$18="",0,SUMIFS(INDEX('Oxford Economics'!$A$7:$AZ$1000,0,IFERROR(MATCH(AG$5,'Oxford Economics'!$A$6:$AZ$6,0),MATCH(AG$5&amp;"",'Oxford Economics'!$A$6:$AZ$6,0))),'Oxford Economics'!$A$7:$A$1000,$C20,'Oxford Economics'!$B$7:$B$1000,Settings!$B$18)))),""))</f>
        <v>922.95</v>
      </c>
      <c r="AH20" s="38" t="n">
        <f aca="false">IF($A20="","",IFERROR(1/(1/IF($B20="Residential",SUMIFS(INDEX('Oxford Economics'!$A$7:$AZ$1000,0,IFERROR(MATCH(AH$5,'Oxford Economics'!$A$6:$AZ$6,0),MATCH(AH$5&amp;"",'Oxford Economics'!$A$6:$AZ$6,0))),'Oxford Economics'!$A$7:$A$1000,$C20,'Oxford Economics'!$B$7:$B$1000,Settings!$B$12)-SUMIFS(INDEX('Oxford Economics'!$A$7:$AZ$1000,0,IFERROR(MATCH(AH$5,'Oxford Economics'!$A$6:$AZ$6,0),MATCH(AH$5&amp;"",'Oxford Economics'!$A$6:$AZ$6,0))),'Oxford Economics'!$A$7:$A$1000,$C20,'Oxford Economics'!$B$7:$B$1000,Settings!$B$14),SUMIFS(INDEX('Oxford Economics'!$A$7:$AZ$1000,0,IFERROR(MATCH(AH$5,'Oxford Economics'!$A$6:$AZ$6,0),MATCH(AH$5&amp;"",'Oxford Economics'!$A$6:$AZ$6,0))),'Oxford Economics'!$A$7:$A$1000,$C20,'Oxford Economics'!$B$7:$B$1000,Settings!$B$14)+SUMIFS(INDEX('Oxford Economics'!$A$7:$AZ$1000,0,IFERROR(MATCH(AH$5,'Oxford Economics'!$A$6:$AZ$6,0),MATCH(AH$5&amp;"",'Oxford Economics'!$A$6:$AZ$6,0))),'Oxford Economics'!$A$7:$A$1000,$C20,'Oxford Economics'!$B$7:$B$1000,Settings!$B$16)+IF(Settings!$B$18="",0,SUMIFS(INDEX('Oxford Economics'!$A$7:$AZ$1000,0,IFERROR(MATCH(AH$5,'Oxford Economics'!$A$6:$AZ$6,0),MATCH(AH$5&amp;"",'Oxford Economics'!$A$6:$AZ$6,0))),'Oxford Economics'!$A$7:$A$1000,$C20,'Oxford Economics'!$B$7:$B$1000,Settings!$B$18)))),""))</f>
        <v>1111.31</v>
      </c>
      <c r="AI20" s="38" t="n">
        <f aca="false">IF($A20="","",IFERROR(1/(1/IF($B20="Residential",SUMIFS(INDEX('Oxford Economics'!$A$7:$AZ$1000,0,IFERROR(MATCH(AI$5,'Oxford Economics'!$A$6:$AZ$6,0),MATCH(AI$5&amp;"",'Oxford Economics'!$A$6:$AZ$6,0))),'Oxford Economics'!$A$7:$A$1000,$C20,'Oxford Economics'!$B$7:$B$1000,Settings!$B$12)-SUMIFS(INDEX('Oxford Economics'!$A$7:$AZ$1000,0,IFERROR(MATCH(AI$5,'Oxford Economics'!$A$6:$AZ$6,0),MATCH(AI$5&amp;"",'Oxford Economics'!$A$6:$AZ$6,0))),'Oxford Economics'!$A$7:$A$1000,$C20,'Oxford Economics'!$B$7:$B$1000,Settings!$B$14),SUMIFS(INDEX('Oxford Economics'!$A$7:$AZ$1000,0,IFERROR(MATCH(AI$5,'Oxford Economics'!$A$6:$AZ$6,0),MATCH(AI$5&amp;"",'Oxford Economics'!$A$6:$AZ$6,0))),'Oxford Economics'!$A$7:$A$1000,$C20,'Oxford Economics'!$B$7:$B$1000,Settings!$B$14)+SUMIFS(INDEX('Oxford Economics'!$A$7:$AZ$1000,0,IFERROR(MATCH(AI$5,'Oxford Economics'!$A$6:$AZ$6,0),MATCH(AI$5&amp;"",'Oxford Economics'!$A$6:$AZ$6,0))),'Oxford Economics'!$A$7:$A$1000,$C20,'Oxford Economics'!$B$7:$B$1000,Settings!$B$16)+IF(Settings!$B$18="",0,SUMIFS(INDEX('Oxford Economics'!$A$7:$AZ$1000,0,IFERROR(MATCH(AI$5,'Oxford Economics'!$A$6:$AZ$6,0),MATCH(AI$5&amp;"",'Oxford Economics'!$A$6:$AZ$6,0))),'Oxford Economics'!$A$7:$A$1000,$C20,'Oxford Economics'!$B$7:$B$1000,Settings!$B$18)))),""))</f>
        <v>950.67</v>
      </c>
      <c r="AJ20" s="38" t="n">
        <f aca="false">IF($A20="","",IFERROR(1/(1/IF($B20="Residential",SUMIFS(INDEX('Oxford Economics'!$A$7:$AZ$1000,0,IFERROR(MATCH(AJ$5,'Oxford Economics'!$A$6:$AZ$6,0),MATCH(AJ$5&amp;"",'Oxford Economics'!$A$6:$AZ$6,0))),'Oxford Economics'!$A$7:$A$1000,$C20,'Oxford Economics'!$B$7:$B$1000,Settings!$B$12)-SUMIFS(INDEX('Oxford Economics'!$A$7:$AZ$1000,0,IFERROR(MATCH(AJ$5,'Oxford Economics'!$A$6:$AZ$6,0),MATCH(AJ$5&amp;"",'Oxford Economics'!$A$6:$AZ$6,0))),'Oxford Economics'!$A$7:$A$1000,$C20,'Oxford Economics'!$B$7:$B$1000,Settings!$B$14),SUMIFS(INDEX('Oxford Economics'!$A$7:$AZ$1000,0,IFERROR(MATCH(AJ$5,'Oxford Economics'!$A$6:$AZ$6,0),MATCH(AJ$5&amp;"",'Oxford Economics'!$A$6:$AZ$6,0))),'Oxford Economics'!$A$7:$A$1000,$C20,'Oxford Economics'!$B$7:$B$1000,Settings!$B$14)+SUMIFS(INDEX('Oxford Economics'!$A$7:$AZ$1000,0,IFERROR(MATCH(AJ$5,'Oxford Economics'!$A$6:$AZ$6,0),MATCH(AJ$5&amp;"",'Oxford Economics'!$A$6:$AZ$6,0))),'Oxford Economics'!$A$7:$A$1000,$C20,'Oxford Economics'!$B$7:$B$1000,Settings!$B$16)+IF(Settings!$B$18="",0,SUMIFS(INDEX('Oxford Economics'!$A$7:$AZ$1000,0,IFERROR(MATCH(AJ$5,'Oxford Economics'!$A$6:$AZ$6,0),MATCH(AJ$5&amp;"",'Oxford Economics'!$A$6:$AZ$6,0))),'Oxford Economics'!$A$7:$A$1000,$C20,'Oxford Economics'!$B$7:$B$1000,Settings!$B$18)))),""))</f>
        <v>943.33</v>
      </c>
      <c r="AK20" s="38" t="n">
        <f aca="false">IF($A20="","",IFERROR(1/(1/IF($B20="Residential",SUMIFS(INDEX('Oxford Economics'!$A$7:$AZ$1000,0,IFERROR(MATCH(AK$5,'Oxford Economics'!$A$6:$AZ$6,0),MATCH(AK$5&amp;"",'Oxford Economics'!$A$6:$AZ$6,0))),'Oxford Economics'!$A$7:$A$1000,$C20,'Oxford Economics'!$B$7:$B$1000,Settings!$B$12)-SUMIFS(INDEX('Oxford Economics'!$A$7:$AZ$1000,0,IFERROR(MATCH(AK$5,'Oxford Economics'!$A$6:$AZ$6,0),MATCH(AK$5&amp;"",'Oxford Economics'!$A$6:$AZ$6,0))),'Oxford Economics'!$A$7:$A$1000,$C20,'Oxford Economics'!$B$7:$B$1000,Settings!$B$14),SUMIFS(INDEX('Oxford Economics'!$A$7:$AZ$1000,0,IFERROR(MATCH(AK$5,'Oxford Economics'!$A$6:$AZ$6,0),MATCH(AK$5&amp;"",'Oxford Economics'!$A$6:$AZ$6,0))),'Oxford Economics'!$A$7:$A$1000,$C20,'Oxford Economics'!$B$7:$B$1000,Settings!$B$14)+SUMIFS(INDEX('Oxford Economics'!$A$7:$AZ$1000,0,IFERROR(MATCH(AK$5,'Oxford Economics'!$A$6:$AZ$6,0),MATCH(AK$5&amp;"",'Oxford Economics'!$A$6:$AZ$6,0))),'Oxford Economics'!$A$7:$A$1000,$C20,'Oxford Economics'!$B$7:$B$1000,Settings!$B$16)+IF(Settings!$B$18="",0,SUMIFS(INDEX('Oxford Economics'!$A$7:$AZ$1000,0,IFERROR(MATCH(AK$5,'Oxford Economics'!$A$6:$AZ$6,0),MATCH(AK$5&amp;"",'Oxford Economics'!$A$6:$AZ$6,0))),'Oxford Economics'!$A$7:$A$1000,$C20,'Oxford Economics'!$B$7:$B$1000,Settings!$B$18)))),""))</f>
        <v>930.11</v>
      </c>
      <c r="AL20" s="38" t="n">
        <f aca="false">IF($A20="","",IFERROR(1/(1/IF($B20="Residential",SUMIFS(INDEX('Oxford Economics'!$A$7:$AZ$1000,0,IFERROR(MATCH(AL$5,'Oxford Economics'!$A$6:$AZ$6,0),MATCH(AL$5&amp;"",'Oxford Economics'!$A$6:$AZ$6,0))),'Oxford Economics'!$A$7:$A$1000,$C20,'Oxford Economics'!$B$7:$B$1000,Settings!$B$12)-SUMIFS(INDEX('Oxford Economics'!$A$7:$AZ$1000,0,IFERROR(MATCH(AL$5,'Oxford Economics'!$A$6:$AZ$6,0),MATCH(AL$5&amp;"",'Oxford Economics'!$A$6:$AZ$6,0))),'Oxford Economics'!$A$7:$A$1000,$C20,'Oxford Economics'!$B$7:$B$1000,Settings!$B$14),SUMIFS(INDEX('Oxford Economics'!$A$7:$AZ$1000,0,IFERROR(MATCH(AL$5,'Oxford Economics'!$A$6:$AZ$6,0),MATCH(AL$5&amp;"",'Oxford Economics'!$A$6:$AZ$6,0))),'Oxford Economics'!$A$7:$A$1000,$C20,'Oxford Economics'!$B$7:$B$1000,Settings!$B$14)+SUMIFS(INDEX('Oxford Economics'!$A$7:$AZ$1000,0,IFERROR(MATCH(AL$5,'Oxford Economics'!$A$6:$AZ$6,0),MATCH(AL$5&amp;"",'Oxford Economics'!$A$6:$AZ$6,0))),'Oxford Economics'!$A$7:$A$1000,$C20,'Oxford Economics'!$B$7:$B$1000,Settings!$B$16)+IF(Settings!$B$18="",0,SUMIFS(INDEX('Oxford Economics'!$A$7:$AZ$1000,0,IFERROR(MATCH(AL$5,'Oxford Economics'!$A$6:$AZ$6,0),MATCH(AL$5&amp;"",'Oxford Economics'!$A$6:$AZ$6,0))),'Oxford Economics'!$A$7:$A$1000,$C20,'Oxford Economics'!$B$7:$B$1000,Settings!$B$18)))),""))</f>
        <v>910.33</v>
      </c>
      <c r="AM20" s="38" t="n">
        <f aca="false">IF($A20="","",IFERROR(1/(1/IF($B20="Residential",SUMIFS(INDEX('Oxford Economics'!$A$7:$AZ$1000,0,IFERROR(MATCH(AM$5,'Oxford Economics'!$A$6:$AZ$6,0),MATCH(AM$5&amp;"",'Oxford Economics'!$A$6:$AZ$6,0))),'Oxford Economics'!$A$7:$A$1000,$C20,'Oxford Economics'!$B$7:$B$1000,Settings!$B$12)-SUMIFS(INDEX('Oxford Economics'!$A$7:$AZ$1000,0,IFERROR(MATCH(AM$5,'Oxford Economics'!$A$6:$AZ$6,0),MATCH(AM$5&amp;"",'Oxford Economics'!$A$6:$AZ$6,0))),'Oxford Economics'!$A$7:$A$1000,$C20,'Oxford Economics'!$B$7:$B$1000,Settings!$B$14),SUMIFS(INDEX('Oxford Economics'!$A$7:$AZ$1000,0,IFERROR(MATCH(AM$5,'Oxford Economics'!$A$6:$AZ$6,0),MATCH(AM$5&amp;"",'Oxford Economics'!$A$6:$AZ$6,0))),'Oxford Economics'!$A$7:$A$1000,$C20,'Oxford Economics'!$B$7:$B$1000,Settings!$B$14)+SUMIFS(INDEX('Oxford Economics'!$A$7:$AZ$1000,0,IFERROR(MATCH(AM$5,'Oxford Economics'!$A$6:$AZ$6,0),MATCH(AM$5&amp;"",'Oxford Economics'!$A$6:$AZ$6,0))),'Oxford Economics'!$A$7:$A$1000,$C20,'Oxford Economics'!$B$7:$B$1000,Settings!$B$16)+IF(Settings!$B$18="",0,SUMIFS(INDEX('Oxford Economics'!$A$7:$AZ$1000,0,IFERROR(MATCH(AM$5,'Oxford Economics'!$A$6:$AZ$6,0),MATCH(AM$5&amp;"",'Oxford Economics'!$A$6:$AZ$6,0))),'Oxford Economics'!$A$7:$A$1000,$C20,'Oxford Economics'!$B$7:$B$1000,Settings!$B$18)))),""))</f>
        <v>880.68</v>
      </c>
    </row>
    <row r="21" customFormat="false" ht="15" hidden="false" customHeight="false" outlineLevel="0" collapsed="false">
      <c r="A21" s="37" t="str">
        <f aca="false">IF('Raw data'!$A21="","",'Raw data'!$A21)</f>
        <v>Hungary</v>
      </c>
      <c r="B21" s="37" t="str">
        <f aca="false">IF($A21="","",'Raw data'!$C21)</f>
        <v>Commercial</v>
      </c>
      <c r="C21" s="37" t="str">
        <f aca="false">IF($A21="","",IF('Raw data'!$E21="",$A21,'Raw data'!$E21))</f>
        <v>Hungary</v>
      </c>
      <c r="D21" s="38" t="n">
        <f aca="false">IF($A21="","",IF(AND(ISNUMBER(P21),ISNUMBER(AB21)),P21+AB21,""))</f>
        <v>3684.96</v>
      </c>
      <c r="E21" s="38" t="n">
        <f aca="false">IF($A21="","",IF(AND(ISNUMBER(Q21),ISNUMBER(AC21)),Q21+AC21,""))</f>
        <v>3981.61</v>
      </c>
      <c r="F21" s="38" t="n">
        <f aca="false">IF($A21="","",IF(AND(ISNUMBER(R21),ISNUMBER(AD21)),R21+AD21,""))</f>
        <v>4264.05</v>
      </c>
      <c r="G21" s="38" t="n">
        <f aca="false">IF($A21="","",IF(AND(ISNUMBER(S21),ISNUMBER(AE21)),S21+AE21,""))</f>
        <v>3929.81</v>
      </c>
      <c r="H21" s="38" t="n">
        <f aca="false">IF($A21="","",IF(AND(ISNUMBER(T21),ISNUMBER(AF21)),T21+AF21,""))</f>
        <v>3964.86</v>
      </c>
      <c r="I21" s="38" t="n">
        <f aca="false">IF($A21="","",IF(AND(ISNUMBER(U21),ISNUMBER(AG21)),U21+AG21,""))</f>
        <v>3843.27</v>
      </c>
      <c r="J21" s="38" t="n">
        <f aca="false">IF($A21="","",IF(AND(ISNUMBER(V21),ISNUMBER(AH21)),V21+AH21,""))</f>
        <v>4291.72</v>
      </c>
      <c r="K21" s="38" t="n">
        <f aca="false">IF($A21="","",IF(AND(ISNUMBER(W21),ISNUMBER(AI21)),W21+AI21,""))</f>
        <v>4359.72</v>
      </c>
      <c r="L21" s="38" t="n">
        <f aca="false">IF($A21="","",IF(AND(ISNUMBER(X21),ISNUMBER(AJ21)),X21+AJ21,""))</f>
        <v>4583.3</v>
      </c>
      <c r="M21" s="38" t="n">
        <f aca="false">IF($A21="","",IF(AND(ISNUMBER(Y21),ISNUMBER(AK21)),Y21+AK21,""))</f>
        <v>4759.58</v>
      </c>
      <c r="N21" s="38" t="n">
        <f aca="false">IF($A21="","",IF(AND(ISNUMBER(Z21),ISNUMBER(AL21)),Z21+AL21,""))</f>
        <v>4858.97</v>
      </c>
      <c r="O21" s="38" t="n">
        <f aca="false">IF($A21="","",IF(AND(ISNUMBER(AA21),ISNUMBER(AM21)),AA21+AM21,""))</f>
        <v>4900.29</v>
      </c>
      <c r="P21" s="38" t="n">
        <f aca="false">IF($A21="","",IFERROR(1/(1/IF($B21="Residential",SUMIFS(INDEX('Oxford Economics'!$A$7:$AZ$1000,0,IFERROR(MATCH(P$5,'Oxford Economics'!$A$6:$AZ$6,0),MATCH(P$5&amp;"",'Oxford Economics'!$A$6:$AZ$6,0))),'Oxford Economics'!$A$7:$A$1000,$C21,'Oxford Economics'!$B$7:$B$1000,Settings!$B$13)-SUMIFS(INDEX('Oxford Economics'!$A$7:$AZ$1000,0,IFERROR(MATCH(P$5,'Oxford Economics'!$A$6:$AZ$6,0),MATCH(P$5&amp;"",'Oxford Economics'!$A$6:$AZ$6,0))),'Oxford Economics'!$A$7:$A$1000,$C21,'Oxford Economics'!$B$7:$B$1000,Settings!$B$15),SUMIFS(INDEX('Oxford Economics'!$A$7:$AZ$1000,0,IFERROR(MATCH(P$5,'Oxford Economics'!$A$6:$AZ$6,0),MATCH(P$5&amp;"",'Oxford Economics'!$A$6:$AZ$6,0))),'Oxford Economics'!$A$7:$A$1000,$C21,'Oxford Economics'!$B$7:$B$1000,Settings!$B$15)+SUMIFS(INDEX('Oxford Economics'!$A$7:$AZ$1000,0,IFERROR(MATCH(P$5,'Oxford Economics'!$A$6:$AZ$6,0),MATCH(P$5&amp;"",'Oxford Economics'!$A$6:$AZ$6,0))),'Oxford Economics'!$A$7:$A$1000,$C21,'Oxford Economics'!$B$7:$B$1000,Settings!$B$17)+IF(Settings!$B$19="",0,SUMIFS(INDEX('Oxford Economics'!$A$7:$AZ$1000,0,IFERROR(MATCH(P$5,'Oxford Economics'!$A$6:$AZ$6,0),MATCH(P$5&amp;"",'Oxford Economics'!$A$6:$AZ$6,0))),'Oxford Economics'!$A$7:$A$1000,$C21,'Oxford Economics'!$B$7:$B$1000,Settings!$B$19)))),""))</f>
        <v>1541.2</v>
      </c>
      <c r="Q21" s="38" t="n">
        <f aca="false">IF($A21="","",IFERROR(1/(1/IF($B21="Residential",SUMIFS(INDEX('Oxford Economics'!$A$7:$AZ$1000,0,IFERROR(MATCH(Q$5,'Oxford Economics'!$A$6:$AZ$6,0),MATCH(Q$5&amp;"",'Oxford Economics'!$A$6:$AZ$6,0))),'Oxford Economics'!$A$7:$A$1000,$C21,'Oxford Economics'!$B$7:$B$1000,Settings!$B$13)-SUMIFS(INDEX('Oxford Economics'!$A$7:$AZ$1000,0,IFERROR(MATCH(Q$5,'Oxford Economics'!$A$6:$AZ$6,0),MATCH(Q$5&amp;"",'Oxford Economics'!$A$6:$AZ$6,0))),'Oxford Economics'!$A$7:$A$1000,$C21,'Oxford Economics'!$B$7:$B$1000,Settings!$B$15),SUMIFS(INDEX('Oxford Economics'!$A$7:$AZ$1000,0,IFERROR(MATCH(Q$5,'Oxford Economics'!$A$6:$AZ$6,0),MATCH(Q$5&amp;"",'Oxford Economics'!$A$6:$AZ$6,0))),'Oxford Economics'!$A$7:$A$1000,$C21,'Oxford Economics'!$B$7:$B$1000,Settings!$B$15)+SUMIFS(INDEX('Oxford Economics'!$A$7:$AZ$1000,0,IFERROR(MATCH(Q$5,'Oxford Economics'!$A$6:$AZ$6,0),MATCH(Q$5&amp;"",'Oxford Economics'!$A$6:$AZ$6,0))),'Oxford Economics'!$A$7:$A$1000,$C21,'Oxford Economics'!$B$7:$B$1000,Settings!$B$17)+IF(Settings!$B$19="",0,SUMIFS(INDEX('Oxford Economics'!$A$7:$AZ$1000,0,IFERROR(MATCH(Q$5,'Oxford Economics'!$A$6:$AZ$6,0),MATCH(Q$5&amp;"",'Oxford Economics'!$A$6:$AZ$6,0))),'Oxford Economics'!$A$7:$A$1000,$C21,'Oxford Economics'!$B$7:$B$1000,Settings!$B$19)))),""))</f>
        <v>1977.78</v>
      </c>
      <c r="R21" s="38" t="n">
        <f aca="false">IF($A21="","",IFERROR(1/(1/IF($B21="Residential",SUMIFS(INDEX('Oxford Economics'!$A$7:$AZ$1000,0,IFERROR(MATCH(R$5,'Oxford Economics'!$A$6:$AZ$6,0),MATCH(R$5&amp;"",'Oxford Economics'!$A$6:$AZ$6,0))),'Oxford Economics'!$A$7:$A$1000,$C21,'Oxford Economics'!$B$7:$B$1000,Settings!$B$13)-SUMIFS(INDEX('Oxford Economics'!$A$7:$AZ$1000,0,IFERROR(MATCH(R$5,'Oxford Economics'!$A$6:$AZ$6,0),MATCH(R$5&amp;"",'Oxford Economics'!$A$6:$AZ$6,0))),'Oxford Economics'!$A$7:$A$1000,$C21,'Oxford Economics'!$B$7:$B$1000,Settings!$B$15),SUMIFS(INDEX('Oxford Economics'!$A$7:$AZ$1000,0,IFERROR(MATCH(R$5,'Oxford Economics'!$A$6:$AZ$6,0),MATCH(R$5&amp;"",'Oxford Economics'!$A$6:$AZ$6,0))),'Oxford Economics'!$A$7:$A$1000,$C21,'Oxford Economics'!$B$7:$B$1000,Settings!$B$15)+SUMIFS(INDEX('Oxford Economics'!$A$7:$AZ$1000,0,IFERROR(MATCH(R$5,'Oxford Economics'!$A$6:$AZ$6,0),MATCH(R$5&amp;"",'Oxford Economics'!$A$6:$AZ$6,0))),'Oxford Economics'!$A$7:$A$1000,$C21,'Oxford Economics'!$B$7:$B$1000,Settings!$B$17)+IF(Settings!$B$19="",0,SUMIFS(INDEX('Oxford Economics'!$A$7:$AZ$1000,0,IFERROR(MATCH(R$5,'Oxford Economics'!$A$6:$AZ$6,0),MATCH(R$5&amp;"",'Oxford Economics'!$A$6:$AZ$6,0))),'Oxford Economics'!$A$7:$A$1000,$C21,'Oxford Economics'!$B$7:$B$1000,Settings!$B$19)))),""))</f>
        <v>2161.55</v>
      </c>
      <c r="S21" s="38" t="n">
        <f aca="false">IF($A21="","",IFERROR(1/(1/IF($B21="Residential",SUMIFS(INDEX('Oxford Economics'!$A$7:$AZ$1000,0,IFERROR(MATCH(S$5,'Oxford Economics'!$A$6:$AZ$6,0),MATCH(S$5&amp;"",'Oxford Economics'!$A$6:$AZ$6,0))),'Oxford Economics'!$A$7:$A$1000,$C21,'Oxford Economics'!$B$7:$B$1000,Settings!$B$13)-SUMIFS(INDEX('Oxford Economics'!$A$7:$AZ$1000,0,IFERROR(MATCH(S$5,'Oxford Economics'!$A$6:$AZ$6,0),MATCH(S$5&amp;"",'Oxford Economics'!$A$6:$AZ$6,0))),'Oxford Economics'!$A$7:$A$1000,$C21,'Oxford Economics'!$B$7:$B$1000,Settings!$B$15),SUMIFS(INDEX('Oxford Economics'!$A$7:$AZ$1000,0,IFERROR(MATCH(S$5,'Oxford Economics'!$A$6:$AZ$6,0),MATCH(S$5&amp;"",'Oxford Economics'!$A$6:$AZ$6,0))),'Oxford Economics'!$A$7:$A$1000,$C21,'Oxford Economics'!$B$7:$B$1000,Settings!$B$15)+SUMIFS(INDEX('Oxford Economics'!$A$7:$AZ$1000,0,IFERROR(MATCH(S$5,'Oxford Economics'!$A$6:$AZ$6,0),MATCH(S$5&amp;"",'Oxford Economics'!$A$6:$AZ$6,0))),'Oxford Economics'!$A$7:$A$1000,$C21,'Oxford Economics'!$B$7:$B$1000,Settings!$B$17)+IF(Settings!$B$19="",0,SUMIFS(INDEX('Oxford Economics'!$A$7:$AZ$1000,0,IFERROR(MATCH(S$5,'Oxford Economics'!$A$6:$AZ$6,0),MATCH(S$5&amp;"",'Oxford Economics'!$A$6:$AZ$6,0))),'Oxford Economics'!$A$7:$A$1000,$C21,'Oxford Economics'!$B$7:$B$1000,Settings!$B$19)))),""))</f>
        <v>1828.76</v>
      </c>
      <c r="T21" s="38" t="n">
        <f aca="false">IF($A21="","",IFERROR(1/(1/IF($B21="Residential",SUMIFS(INDEX('Oxford Economics'!$A$7:$AZ$1000,0,IFERROR(MATCH(T$5,'Oxford Economics'!$A$6:$AZ$6,0),MATCH(T$5&amp;"",'Oxford Economics'!$A$6:$AZ$6,0))),'Oxford Economics'!$A$7:$A$1000,$C21,'Oxford Economics'!$B$7:$B$1000,Settings!$B$13)-SUMIFS(INDEX('Oxford Economics'!$A$7:$AZ$1000,0,IFERROR(MATCH(T$5,'Oxford Economics'!$A$6:$AZ$6,0),MATCH(T$5&amp;"",'Oxford Economics'!$A$6:$AZ$6,0))),'Oxford Economics'!$A$7:$A$1000,$C21,'Oxford Economics'!$B$7:$B$1000,Settings!$B$15),SUMIFS(INDEX('Oxford Economics'!$A$7:$AZ$1000,0,IFERROR(MATCH(T$5,'Oxford Economics'!$A$6:$AZ$6,0),MATCH(T$5&amp;"",'Oxford Economics'!$A$6:$AZ$6,0))),'Oxford Economics'!$A$7:$A$1000,$C21,'Oxford Economics'!$B$7:$B$1000,Settings!$B$15)+SUMIFS(INDEX('Oxford Economics'!$A$7:$AZ$1000,0,IFERROR(MATCH(T$5,'Oxford Economics'!$A$6:$AZ$6,0),MATCH(T$5&amp;"",'Oxford Economics'!$A$6:$AZ$6,0))),'Oxford Economics'!$A$7:$A$1000,$C21,'Oxford Economics'!$B$7:$B$1000,Settings!$B$17)+IF(Settings!$B$19="",0,SUMIFS(INDEX('Oxford Economics'!$A$7:$AZ$1000,0,IFERROR(MATCH(T$5,'Oxford Economics'!$A$6:$AZ$6,0),MATCH(T$5&amp;"",'Oxford Economics'!$A$6:$AZ$6,0))),'Oxford Economics'!$A$7:$A$1000,$C21,'Oxford Economics'!$B$7:$B$1000,Settings!$B$19)))),""))</f>
        <v>1910.76</v>
      </c>
      <c r="U21" s="38" t="n">
        <f aca="false">IF($A21="","",IFERROR(1/(1/IF($B21="Residential",SUMIFS(INDEX('Oxford Economics'!$A$7:$AZ$1000,0,IFERROR(MATCH(U$5,'Oxford Economics'!$A$6:$AZ$6,0),MATCH(U$5&amp;"",'Oxford Economics'!$A$6:$AZ$6,0))),'Oxford Economics'!$A$7:$A$1000,$C21,'Oxford Economics'!$B$7:$B$1000,Settings!$B$13)-SUMIFS(INDEX('Oxford Economics'!$A$7:$AZ$1000,0,IFERROR(MATCH(U$5,'Oxford Economics'!$A$6:$AZ$6,0),MATCH(U$5&amp;"",'Oxford Economics'!$A$6:$AZ$6,0))),'Oxford Economics'!$A$7:$A$1000,$C21,'Oxford Economics'!$B$7:$B$1000,Settings!$B$15),SUMIFS(INDEX('Oxford Economics'!$A$7:$AZ$1000,0,IFERROR(MATCH(U$5,'Oxford Economics'!$A$6:$AZ$6,0),MATCH(U$5&amp;"",'Oxford Economics'!$A$6:$AZ$6,0))),'Oxford Economics'!$A$7:$A$1000,$C21,'Oxford Economics'!$B$7:$B$1000,Settings!$B$15)+SUMIFS(INDEX('Oxford Economics'!$A$7:$AZ$1000,0,IFERROR(MATCH(U$5,'Oxford Economics'!$A$6:$AZ$6,0),MATCH(U$5&amp;"",'Oxford Economics'!$A$6:$AZ$6,0))),'Oxford Economics'!$A$7:$A$1000,$C21,'Oxford Economics'!$B$7:$B$1000,Settings!$B$17)+IF(Settings!$B$19="",0,SUMIFS(INDEX('Oxford Economics'!$A$7:$AZ$1000,0,IFERROR(MATCH(U$5,'Oxford Economics'!$A$6:$AZ$6,0),MATCH(U$5&amp;"",'Oxford Economics'!$A$6:$AZ$6,0))),'Oxford Economics'!$A$7:$A$1000,$C21,'Oxford Economics'!$B$7:$B$1000,Settings!$B$19)))),""))</f>
        <v>1903.28</v>
      </c>
      <c r="V21" s="38" t="n">
        <f aca="false">IF($A21="","",IFERROR(1/(1/IF($B21="Residential",SUMIFS(INDEX('Oxford Economics'!$A$7:$AZ$1000,0,IFERROR(MATCH(V$5,'Oxford Economics'!$A$6:$AZ$6,0),MATCH(V$5&amp;"",'Oxford Economics'!$A$6:$AZ$6,0))),'Oxford Economics'!$A$7:$A$1000,$C21,'Oxford Economics'!$B$7:$B$1000,Settings!$B$13)-SUMIFS(INDEX('Oxford Economics'!$A$7:$AZ$1000,0,IFERROR(MATCH(V$5,'Oxford Economics'!$A$6:$AZ$6,0),MATCH(V$5&amp;"",'Oxford Economics'!$A$6:$AZ$6,0))),'Oxford Economics'!$A$7:$A$1000,$C21,'Oxford Economics'!$B$7:$B$1000,Settings!$B$15),SUMIFS(INDEX('Oxford Economics'!$A$7:$AZ$1000,0,IFERROR(MATCH(V$5,'Oxford Economics'!$A$6:$AZ$6,0),MATCH(V$5&amp;"",'Oxford Economics'!$A$6:$AZ$6,0))),'Oxford Economics'!$A$7:$A$1000,$C21,'Oxford Economics'!$B$7:$B$1000,Settings!$B$15)+SUMIFS(INDEX('Oxford Economics'!$A$7:$AZ$1000,0,IFERROR(MATCH(V$5,'Oxford Economics'!$A$6:$AZ$6,0),MATCH(V$5&amp;"",'Oxford Economics'!$A$6:$AZ$6,0))),'Oxford Economics'!$A$7:$A$1000,$C21,'Oxford Economics'!$B$7:$B$1000,Settings!$B$17)+IF(Settings!$B$19="",0,SUMIFS(INDEX('Oxford Economics'!$A$7:$AZ$1000,0,IFERROR(MATCH(V$5,'Oxford Economics'!$A$6:$AZ$6,0),MATCH(V$5&amp;"",'Oxford Economics'!$A$6:$AZ$6,0))),'Oxford Economics'!$A$7:$A$1000,$C21,'Oxford Economics'!$B$7:$B$1000,Settings!$B$19)))),""))</f>
        <v>2164.6</v>
      </c>
      <c r="W21" s="38" t="n">
        <f aca="false">IF($A21="","",IFERROR(1/(1/IF($B21="Residential",SUMIFS(INDEX('Oxford Economics'!$A$7:$AZ$1000,0,IFERROR(MATCH(W$5,'Oxford Economics'!$A$6:$AZ$6,0),MATCH(W$5&amp;"",'Oxford Economics'!$A$6:$AZ$6,0))),'Oxford Economics'!$A$7:$A$1000,$C21,'Oxford Economics'!$B$7:$B$1000,Settings!$B$13)-SUMIFS(INDEX('Oxford Economics'!$A$7:$AZ$1000,0,IFERROR(MATCH(W$5,'Oxford Economics'!$A$6:$AZ$6,0),MATCH(W$5&amp;"",'Oxford Economics'!$A$6:$AZ$6,0))),'Oxford Economics'!$A$7:$A$1000,$C21,'Oxford Economics'!$B$7:$B$1000,Settings!$B$15),SUMIFS(INDEX('Oxford Economics'!$A$7:$AZ$1000,0,IFERROR(MATCH(W$5,'Oxford Economics'!$A$6:$AZ$6,0),MATCH(W$5&amp;"",'Oxford Economics'!$A$6:$AZ$6,0))),'Oxford Economics'!$A$7:$A$1000,$C21,'Oxford Economics'!$B$7:$B$1000,Settings!$B$15)+SUMIFS(INDEX('Oxford Economics'!$A$7:$AZ$1000,0,IFERROR(MATCH(W$5,'Oxford Economics'!$A$6:$AZ$6,0),MATCH(W$5&amp;"",'Oxford Economics'!$A$6:$AZ$6,0))),'Oxford Economics'!$A$7:$A$1000,$C21,'Oxford Economics'!$B$7:$B$1000,Settings!$B$17)+IF(Settings!$B$19="",0,SUMIFS(INDEX('Oxford Economics'!$A$7:$AZ$1000,0,IFERROR(MATCH(W$5,'Oxford Economics'!$A$6:$AZ$6,0),MATCH(W$5&amp;"",'Oxford Economics'!$A$6:$AZ$6,0))),'Oxford Economics'!$A$7:$A$1000,$C21,'Oxford Economics'!$B$7:$B$1000,Settings!$B$19)))),""))</f>
        <v>1990.31</v>
      </c>
      <c r="X21" s="38" t="n">
        <f aca="false">IF($A21="","",IFERROR(1/(1/IF($B21="Residential",SUMIFS(INDEX('Oxford Economics'!$A$7:$AZ$1000,0,IFERROR(MATCH(X$5,'Oxford Economics'!$A$6:$AZ$6,0),MATCH(X$5&amp;"",'Oxford Economics'!$A$6:$AZ$6,0))),'Oxford Economics'!$A$7:$A$1000,$C21,'Oxford Economics'!$B$7:$B$1000,Settings!$B$13)-SUMIFS(INDEX('Oxford Economics'!$A$7:$AZ$1000,0,IFERROR(MATCH(X$5,'Oxford Economics'!$A$6:$AZ$6,0),MATCH(X$5&amp;"",'Oxford Economics'!$A$6:$AZ$6,0))),'Oxford Economics'!$A$7:$A$1000,$C21,'Oxford Economics'!$B$7:$B$1000,Settings!$B$15),SUMIFS(INDEX('Oxford Economics'!$A$7:$AZ$1000,0,IFERROR(MATCH(X$5,'Oxford Economics'!$A$6:$AZ$6,0),MATCH(X$5&amp;"",'Oxford Economics'!$A$6:$AZ$6,0))),'Oxford Economics'!$A$7:$A$1000,$C21,'Oxford Economics'!$B$7:$B$1000,Settings!$B$15)+SUMIFS(INDEX('Oxford Economics'!$A$7:$AZ$1000,0,IFERROR(MATCH(X$5,'Oxford Economics'!$A$6:$AZ$6,0),MATCH(X$5&amp;"",'Oxford Economics'!$A$6:$AZ$6,0))),'Oxford Economics'!$A$7:$A$1000,$C21,'Oxford Economics'!$B$7:$B$1000,Settings!$B$17)+IF(Settings!$B$19="",0,SUMIFS(INDEX('Oxford Economics'!$A$7:$AZ$1000,0,IFERROR(MATCH(X$5,'Oxford Economics'!$A$6:$AZ$6,0),MATCH(X$5&amp;"",'Oxford Economics'!$A$6:$AZ$6,0))),'Oxford Economics'!$A$7:$A$1000,$C21,'Oxford Economics'!$B$7:$B$1000,Settings!$B$19)))),""))</f>
        <v>2090.18</v>
      </c>
      <c r="Y21" s="38" t="n">
        <f aca="false">IF($A21="","",IFERROR(1/(1/IF($B21="Residential",SUMIFS(INDEX('Oxford Economics'!$A$7:$AZ$1000,0,IFERROR(MATCH(Y$5,'Oxford Economics'!$A$6:$AZ$6,0),MATCH(Y$5&amp;"",'Oxford Economics'!$A$6:$AZ$6,0))),'Oxford Economics'!$A$7:$A$1000,$C21,'Oxford Economics'!$B$7:$B$1000,Settings!$B$13)-SUMIFS(INDEX('Oxford Economics'!$A$7:$AZ$1000,0,IFERROR(MATCH(Y$5,'Oxford Economics'!$A$6:$AZ$6,0),MATCH(Y$5&amp;"",'Oxford Economics'!$A$6:$AZ$6,0))),'Oxford Economics'!$A$7:$A$1000,$C21,'Oxford Economics'!$B$7:$B$1000,Settings!$B$15),SUMIFS(INDEX('Oxford Economics'!$A$7:$AZ$1000,0,IFERROR(MATCH(Y$5,'Oxford Economics'!$A$6:$AZ$6,0),MATCH(Y$5&amp;"",'Oxford Economics'!$A$6:$AZ$6,0))),'Oxford Economics'!$A$7:$A$1000,$C21,'Oxford Economics'!$B$7:$B$1000,Settings!$B$15)+SUMIFS(INDEX('Oxford Economics'!$A$7:$AZ$1000,0,IFERROR(MATCH(Y$5,'Oxford Economics'!$A$6:$AZ$6,0),MATCH(Y$5&amp;"",'Oxford Economics'!$A$6:$AZ$6,0))),'Oxford Economics'!$A$7:$A$1000,$C21,'Oxford Economics'!$B$7:$B$1000,Settings!$B$17)+IF(Settings!$B$19="",0,SUMIFS(INDEX('Oxford Economics'!$A$7:$AZ$1000,0,IFERROR(MATCH(Y$5,'Oxford Economics'!$A$6:$AZ$6,0),MATCH(Y$5&amp;"",'Oxford Economics'!$A$6:$AZ$6,0))),'Oxford Economics'!$A$7:$A$1000,$C21,'Oxford Economics'!$B$7:$B$1000,Settings!$B$19)))),""))</f>
        <v>2169.05</v>
      </c>
      <c r="Z21" s="38" t="n">
        <f aca="false">IF($A21="","",IFERROR(1/(1/IF($B21="Residential",SUMIFS(INDEX('Oxford Economics'!$A$7:$AZ$1000,0,IFERROR(MATCH(Z$5,'Oxford Economics'!$A$6:$AZ$6,0),MATCH(Z$5&amp;"",'Oxford Economics'!$A$6:$AZ$6,0))),'Oxford Economics'!$A$7:$A$1000,$C21,'Oxford Economics'!$B$7:$B$1000,Settings!$B$13)-SUMIFS(INDEX('Oxford Economics'!$A$7:$AZ$1000,0,IFERROR(MATCH(Z$5,'Oxford Economics'!$A$6:$AZ$6,0),MATCH(Z$5&amp;"",'Oxford Economics'!$A$6:$AZ$6,0))),'Oxford Economics'!$A$7:$A$1000,$C21,'Oxford Economics'!$B$7:$B$1000,Settings!$B$15),SUMIFS(INDEX('Oxford Economics'!$A$7:$AZ$1000,0,IFERROR(MATCH(Z$5,'Oxford Economics'!$A$6:$AZ$6,0),MATCH(Z$5&amp;"",'Oxford Economics'!$A$6:$AZ$6,0))),'Oxford Economics'!$A$7:$A$1000,$C21,'Oxford Economics'!$B$7:$B$1000,Settings!$B$15)+SUMIFS(INDEX('Oxford Economics'!$A$7:$AZ$1000,0,IFERROR(MATCH(Z$5,'Oxford Economics'!$A$6:$AZ$6,0),MATCH(Z$5&amp;"",'Oxford Economics'!$A$6:$AZ$6,0))),'Oxford Economics'!$A$7:$A$1000,$C21,'Oxford Economics'!$B$7:$B$1000,Settings!$B$17)+IF(Settings!$B$19="",0,SUMIFS(INDEX('Oxford Economics'!$A$7:$AZ$1000,0,IFERROR(MATCH(Z$5,'Oxford Economics'!$A$6:$AZ$6,0),MATCH(Z$5&amp;"",'Oxford Economics'!$A$6:$AZ$6,0))),'Oxford Economics'!$A$7:$A$1000,$C21,'Oxford Economics'!$B$7:$B$1000,Settings!$B$19)))),""))</f>
        <v>2222.92</v>
      </c>
      <c r="AA21" s="38" t="n">
        <f aca="false">IF($A21="","",IFERROR(1/(1/IF($B21="Residential",SUMIFS(INDEX('Oxford Economics'!$A$7:$AZ$1000,0,IFERROR(MATCH(AA$5,'Oxford Economics'!$A$6:$AZ$6,0),MATCH(AA$5&amp;"",'Oxford Economics'!$A$6:$AZ$6,0))),'Oxford Economics'!$A$7:$A$1000,$C21,'Oxford Economics'!$B$7:$B$1000,Settings!$B$13)-SUMIFS(INDEX('Oxford Economics'!$A$7:$AZ$1000,0,IFERROR(MATCH(AA$5,'Oxford Economics'!$A$6:$AZ$6,0),MATCH(AA$5&amp;"",'Oxford Economics'!$A$6:$AZ$6,0))),'Oxford Economics'!$A$7:$A$1000,$C21,'Oxford Economics'!$B$7:$B$1000,Settings!$B$15),SUMIFS(INDEX('Oxford Economics'!$A$7:$AZ$1000,0,IFERROR(MATCH(AA$5,'Oxford Economics'!$A$6:$AZ$6,0),MATCH(AA$5&amp;"",'Oxford Economics'!$A$6:$AZ$6,0))),'Oxford Economics'!$A$7:$A$1000,$C21,'Oxford Economics'!$B$7:$B$1000,Settings!$B$15)+SUMIFS(INDEX('Oxford Economics'!$A$7:$AZ$1000,0,IFERROR(MATCH(AA$5,'Oxford Economics'!$A$6:$AZ$6,0),MATCH(AA$5&amp;"",'Oxford Economics'!$A$6:$AZ$6,0))),'Oxford Economics'!$A$7:$A$1000,$C21,'Oxford Economics'!$B$7:$B$1000,Settings!$B$17)+IF(Settings!$B$19="",0,SUMIFS(INDEX('Oxford Economics'!$A$7:$AZ$1000,0,IFERROR(MATCH(AA$5,'Oxford Economics'!$A$6:$AZ$6,0),MATCH(AA$5&amp;"",'Oxford Economics'!$A$6:$AZ$6,0))),'Oxford Economics'!$A$7:$A$1000,$C21,'Oxford Economics'!$B$7:$B$1000,Settings!$B$19)))),""))</f>
        <v>2246.97</v>
      </c>
      <c r="AB21" s="38" t="n">
        <f aca="false">IF($A21="","",IFERROR(1/(1/IF($B21="Residential",SUMIFS(INDEX('Oxford Economics'!$A$7:$AZ$1000,0,IFERROR(MATCH(AB$5,'Oxford Economics'!$A$6:$AZ$6,0),MATCH(AB$5&amp;"",'Oxford Economics'!$A$6:$AZ$6,0))),'Oxford Economics'!$A$7:$A$1000,$C21,'Oxford Economics'!$B$7:$B$1000,Settings!$B$12)-SUMIFS(INDEX('Oxford Economics'!$A$7:$AZ$1000,0,IFERROR(MATCH(AB$5,'Oxford Economics'!$A$6:$AZ$6,0),MATCH(AB$5&amp;"",'Oxford Economics'!$A$6:$AZ$6,0))),'Oxford Economics'!$A$7:$A$1000,$C21,'Oxford Economics'!$B$7:$B$1000,Settings!$B$14),SUMIFS(INDEX('Oxford Economics'!$A$7:$AZ$1000,0,IFERROR(MATCH(AB$5,'Oxford Economics'!$A$6:$AZ$6,0),MATCH(AB$5&amp;"",'Oxford Economics'!$A$6:$AZ$6,0))),'Oxford Economics'!$A$7:$A$1000,$C21,'Oxford Economics'!$B$7:$B$1000,Settings!$B$14)+SUMIFS(INDEX('Oxford Economics'!$A$7:$AZ$1000,0,IFERROR(MATCH(AB$5,'Oxford Economics'!$A$6:$AZ$6,0),MATCH(AB$5&amp;"",'Oxford Economics'!$A$6:$AZ$6,0))),'Oxford Economics'!$A$7:$A$1000,$C21,'Oxford Economics'!$B$7:$B$1000,Settings!$B$16)+IF(Settings!$B$18="",0,SUMIFS(INDEX('Oxford Economics'!$A$7:$AZ$1000,0,IFERROR(MATCH(AB$5,'Oxford Economics'!$A$6:$AZ$6,0),MATCH(AB$5&amp;"",'Oxford Economics'!$A$6:$AZ$6,0))),'Oxford Economics'!$A$7:$A$1000,$C21,'Oxford Economics'!$B$7:$B$1000,Settings!$B$18)))),""))</f>
        <v>2143.76</v>
      </c>
      <c r="AC21" s="38" t="n">
        <f aca="false">IF($A21="","",IFERROR(1/(1/IF($B21="Residential",SUMIFS(INDEX('Oxford Economics'!$A$7:$AZ$1000,0,IFERROR(MATCH(AC$5,'Oxford Economics'!$A$6:$AZ$6,0),MATCH(AC$5&amp;"",'Oxford Economics'!$A$6:$AZ$6,0))),'Oxford Economics'!$A$7:$A$1000,$C21,'Oxford Economics'!$B$7:$B$1000,Settings!$B$12)-SUMIFS(INDEX('Oxford Economics'!$A$7:$AZ$1000,0,IFERROR(MATCH(AC$5,'Oxford Economics'!$A$6:$AZ$6,0),MATCH(AC$5&amp;"",'Oxford Economics'!$A$6:$AZ$6,0))),'Oxford Economics'!$A$7:$A$1000,$C21,'Oxford Economics'!$B$7:$B$1000,Settings!$B$14),SUMIFS(INDEX('Oxford Economics'!$A$7:$AZ$1000,0,IFERROR(MATCH(AC$5,'Oxford Economics'!$A$6:$AZ$6,0),MATCH(AC$5&amp;"",'Oxford Economics'!$A$6:$AZ$6,0))),'Oxford Economics'!$A$7:$A$1000,$C21,'Oxford Economics'!$B$7:$B$1000,Settings!$B$14)+SUMIFS(INDEX('Oxford Economics'!$A$7:$AZ$1000,0,IFERROR(MATCH(AC$5,'Oxford Economics'!$A$6:$AZ$6,0),MATCH(AC$5&amp;"",'Oxford Economics'!$A$6:$AZ$6,0))),'Oxford Economics'!$A$7:$A$1000,$C21,'Oxford Economics'!$B$7:$B$1000,Settings!$B$16)+IF(Settings!$B$18="",0,SUMIFS(INDEX('Oxford Economics'!$A$7:$AZ$1000,0,IFERROR(MATCH(AC$5,'Oxford Economics'!$A$6:$AZ$6,0),MATCH(AC$5&amp;"",'Oxford Economics'!$A$6:$AZ$6,0))),'Oxford Economics'!$A$7:$A$1000,$C21,'Oxford Economics'!$B$7:$B$1000,Settings!$B$18)))),""))</f>
        <v>2003.83</v>
      </c>
      <c r="AD21" s="38" t="n">
        <f aca="false">IF($A21="","",IFERROR(1/(1/IF($B21="Residential",SUMIFS(INDEX('Oxford Economics'!$A$7:$AZ$1000,0,IFERROR(MATCH(AD$5,'Oxford Economics'!$A$6:$AZ$6,0),MATCH(AD$5&amp;"",'Oxford Economics'!$A$6:$AZ$6,0))),'Oxford Economics'!$A$7:$A$1000,$C21,'Oxford Economics'!$B$7:$B$1000,Settings!$B$12)-SUMIFS(INDEX('Oxford Economics'!$A$7:$AZ$1000,0,IFERROR(MATCH(AD$5,'Oxford Economics'!$A$6:$AZ$6,0),MATCH(AD$5&amp;"",'Oxford Economics'!$A$6:$AZ$6,0))),'Oxford Economics'!$A$7:$A$1000,$C21,'Oxford Economics'!$B$7:$B$1000,Settings!$B$14),SUMIFS(INDEX('Oxford Economics'!$A$7:$AZ$1000,0,IFERROR(MATCH(AD$5,'Oxford Economics'!$A$6:$AZ$6,0),MATCH(AD$5&amp;"",'Oxford Economics'!$A$6:$AZ$6,0))),'Oxford Economics'!$A$7:$A$1000,$C21,'Oxford Economics'!$B$7:$B$1000,Settings!$B$14)+SUMIFS(INDEX('Oxford Economics'!$A$7:$AZ$1000,0,IFERROR(MATCH(AD$5,'Oxford Economics'!$A$6:$AZ$6,0),MATCH(AD$5&amp;"",'Oxford Economics'!$A$6:$AZ$6,0))),'Oxford Economics'!$A$7:$A$1000,$C21,'Oxford Economics'!$B$7:$B$1000,Settings!$B$16)+IF(Settings!$B$18="",0,SUMIFS(INDEX('Oxford Economics'!$A$7:$AZ$1000,0,IFERROR(MATCH(AD$5,'Oxford Economics'!$A$6:$AZ$6,0),MATCH(AD$5&amp;"",'Oxford Economics'!$A$6:$AZ$6,0))),'Oxford Economics'!$A$7:$A$1000,$C21,'Oxford Economics'!$B$7:$B$1000,Settings!$B$18)))),""))</f>
        <v>2102.5</v>
      </c>
      <c r="AE21" s="38" t="n">
        <f aca="false">IF($A21="","",IFERROR(1/(1/IF($B21="Residential",SUMIFS(INDEX('Oxford Economics'!$A$7:$AZ$1000,0,IFERROR(MATCH(AE$5,'Oxford Economics'!$A$6:$AZ$6,0),MATCH(AE$5&amp;"",'Oxford Economics'!$A$6:$AZ$6,0))),'Oxford Economics'!$A$7:$A$1000,$C21,'Oxford Economics'!$B$7:$B$1000,Settings!$B$12)-SUMIFS(INDEX('Oxford Economics'!$A$7:$AZ$1000,0,IFERROR(MATCH(AE$5,'Oxford Economics'!$A$6:$AZ$6,0),MATCH(AE$5&amp;"",'Oxford Economics'!$A$6:$AZ$6,0))),'Oxford Economics'!$A$7:$A$1000,$C21,'Oxford Economics'!$B$7:$B$1000,Settings!$B$14),SUMIFS(INDEX('Oxford Economics'!$A$7:$AZ$1000,0,IFERROR(MATCH(AE$5,'Oxford Economics'!$A$6:$AZ$6,0),MATCH(AE$5&amp;"",'Oxford Economics'!$A$6:$AZ$6,0))),'Oxford Economics'!$A$7:$A$1000,$C21,'Oxford Economics'!$B$7:$B$1000,Settings!$B$14)+SUMIFS(INDEX('Oxford Economics'!$A$7:$AZ$1000,0,IFERROR(MATCH(AE$5,'Oxford Economics'!$A$6:$AZ$6,0),MATCH(AE$5&amp;"",'Oxford Economics'!$A$6:$AZ$6,0))),'Oxford Economics'!$A$7:$A$1000,$C21,'Oxford Economics'!$B$7:$B$1000,Settings!$B$16)+IF(Settings!$B$18="",0,SUMIFS(INDEX('Oxford Economics'!$A$7:$AZ$1000,0,IFERROR(MATCH(AE$5,'Oxford Economics'!$A$6:$AZ$6,0),MATCH(AE$5&amp;"",'Oxford Economics'!$A$6:$AZ$6,0))),'Oxford Economics'!$A$7:$A$1000,$C21,'Oxford Economics'!$B$7:$B$1000,Settings!$B$18)))),""))</f>
        <v>2101.05</v>
      </c>
      <c r="AF21" s="38" t="n">
        <f aca="false">IF($A21="","",IFERROR(1/(1/IF($B21="Residential",SUMIFS(INDEX('Oxford Economics'!$A$7:$AZ$1000,0,IFERROR(MATCH(AF$5,'Oxford Economics'!$A$6:$AZ$6,0),MATCH(AF$5&amp;"",'Oxford Economics'!$A$6:$AZ$6,0))),'Oxford Economics'!$A$7:$A$1000,$C21,'Oxford Economics'!$B$7:$B$1000,Settings!$B$12)-SUMIFS(INDEX('Oxford Economics'!$A$7:$AZ$1000,0,IFERROR(MATCH(AF$5,'Oxford Economics'!$A$6:$AZ$6,0),MATCH(AF$5&amp;"",'Oxford Economics'!$A$6:$AZ$6,0))),'Oxford Economics'!$A$7:$A$1000,$C21,'Oxford Economics'!$B$7:$B$1000,Settings!$B$14),SUMIFS(INDEX('Oxford Economics'!$A$7:$AZ$1000,0,IFERROR(MATCH(AF$5,'Oxford Economics'!$A$6:$AZ$6,0),MATCH(AF$5&amp;"",'Oxford Economics'!$A$6:$AZ$6,0))),'Oxford Economics'!$A$7:$A$1000,$C21,'Oxford Economics'!$B$7:$B$1000,Settings!$B$14)+SUMIFS(INDEX('Oxford Economics'!$A$7:$AZ$1000,0,IFERROR(MATCH(AF$5,'Oxford Economics'!$A$6:$AZ$6,0),MATCH(AF$5&amp;"",'Oxford Economics'!$A$6:$AZ$6,0))),'Oxford Economics'!$A$7:$A$1000,$C21,'Oxford Economics'!$B$7:$B$1000,Settings!$B$16)+IF(Settings!$B$18="",0,SUMIFS(INDEX('Oxford Economics'!$A$7:$AZ$1000,0,IFERROR(MATCH(AF$5,'Oxford Economics'!$A$6:$AZ$6,0),MATCH(AF$5&amp;"",'Oxford Economics'!$A$6:$AZ$6,0))),'Oxford Economics'!$A$7:$A$1000,$C21,'Oxford Economics'!$B$7:$B$1000,Settings!$B$18)))),""))</f>
        <v>2054.1</v>
      </c>
      <c r="AG21" s="38" t="n">
        <f aca="false">IF($A21="","",IFERROR(1/(1/IF($B21="Residential",SUMIFS(INDEX('Oxford Economics'!$A$7:$AZ$1000,0,IFERROR(MATCH(AG$5,'Oxford Economics'!$A$6:$AZ$6,0),MATCH(AG$5&amp;"",'Oxford Economics'!$A$6:$AZ$6,0))),'Oxford Economics'!$A$7:$A$1000,$C21,'Oxford Economics'!$B$7:$B$1000,Settings!$B$12)-SUMIFS(INDEX('Oxford Economics'!$A$7:$AZ$1000,0,IFERROR(MATCH(AG$5,'Oxford Economics'!$A$6:$AZ$6,0),MATCH(AG$5&amp;"",'Oxford Economics'!$A$6:$AZ$6,0))),'Oxford Economics'!$A$7:$A$1000,$C21,'Oxford Economics'!$B$7:$B$1000,Settings!$B$14),SUMIFS(INDEX('Oxford Economics'!$A$7:$AZ$1000,0,IFERROR(MATCH(AG$5,'Oxford Economics'!$A$6:$AZ$6,0),MATCH(AG$5&amp;"",'Oxford Economics'!$A$6:$AZ$6,0))),'Oxford Economics'!$A$7:$A$1000,$C21,'Oxford Economics'!$B$7:$B$1000,Settings!$B$14)+SUMIFS(INDEX('Oxford Economics'!$A$7:$AZ$1000,0,IFERROR(MATCH(AG$5,'Oxford Economics'!$A$6:$AZ$6,0),MATCH(AG$5&amp;"",'Oxford Economics'!$A$6:$AZ$6,0))),'Oxford Economics'!$A$7:$A$1000,$C21,'Oxford Economics'!$B$7:$B$1000,Settings!$B$16)+IF(Settings!$B$18="",0,SUMIFS(INDEX('Oxford Economics'!$A$7:$AZ$1000,0,IFERROR(MATCH(AG$5,'Oxford Economics'!$A$6:$AZ$6,0),MATCH(AG$5&amp;"",'Oxford Economics'!$A$6:$AZ$6,0))),'Oxford Economics'!$A$7:$A$1000,$C21,'Oxford Economics'!$B$7:$B$1000,Settings!$B$18)))),""))</f>
        <v>1939.99</v>
      </c>
      <c r="AH21" s="38" t="n">
        <f aca="false">IF($A21="","",IFERROR(1/(1/IF($B21="Residential",SUMIFS(INDEX('Oxford Economics'!$A$7:$AZ$1000,0,IFERROR(MATCH(AH$5,'Oxford Economics'!$A$6:$AZ$6,0),MATCH(AH$5&amp;"",'Oxford Economics'!$A$6:$AZ$6,0))),'Oxford Economics'!$A$7:$A$1000,$C21,'Oxford Economics'!$B$7:$B$1000,Settings!$B$12)-SUMIFS(INDEX('Oxford Economics'!$A$7:$AZ$1000,0,IFERROR(MATCH(AH$5,'Oxford Economics'!$A$6:$AZ$6,0),MATCH(AH$5&amp;"",'Oxford Economics'!$A$6:$AZ$6,0))),'Oxford Economics'!$A$7:$A$1000,$C21,'Oxford Economics'!$B$7:$B$1000,Settings!$B$14),SUMIFS(INDEX('Oxford Economics'!$A$7:$AZ$1000,0,IFERROR(MATCH(AH$5,'Oxford Economics'!$A$6:$AZ$6,0),MATCH(AH$5&amp;"",'Oxford Economics'!$A$6:$AZ$6,0))),'Oxford Economics'!$A$7:$A$1000,$C21,'Oxford Economics'!$B$7:$B$1000,Settings!$B$14)+SUMIFS(INDEX('Oxford Economics'!$A$7:$AZ$1000,0,IFERROR(MATCH(AH$5,'Oxford Economics'!$A$6:$AZ$6,0),MATCH(AH$5&amp;"",'Oxford Economics'!$A$6:$AZ$6,0))),'Oxford Economics'!$A$7:$A$1000,$C21,'Oxford Economics'!$B$7:$B$1000,Settings!$B$16)+IF(Settings!$B$18="",0,SUMIFS(INDEX('Oxford Economics'!$A$7:$AZ$1000,0,IFERROR(MATCH(AH$5,'Oxford Economics'!$A$6:$AZ$6,0),MATCH(AH$5&amp;"",'Oxford Economics'!$A$6:$AZ$6,0))),'Oxford Economics'!$A$7:$A$1000,$C21,'Oxford Economics'!$B$7:$B$1000,Settings!$B$18)))),""))</f>
        <v>2127.12</v>
      </c>
      <c r="AI21" s="38" t="n">
        <f aca="false">IF($A21="","",IFERROR(1/(1/IF($B21="Residential",SUMIFS(INDEX('Oxford Economics'!$A$7:$AZ$1000,0,IFERROR(MATCH(AI$5,'Oxford Economics'!$A$6:$AZ$6,0),MATCH(AI$5&amp;"",'Oxford Economics'!$A$6:$AZ$6,0))),'Oxford Economics'!$A$7:$A$1000,$C21,'Oxford Economics'!$B$7:$B$1000,Settings!$B$12)-SUMIFS(INDEX('Oxford Economics'!$A$7:$AZ$1000,0,IFERROR(MATCH(AI$5,'Oxford Economics'!$A$6:$AZ$6,0),MATCH(AI$5&amp;"",'Oxford Economics'!$A$6:$AZ$6,0))),'Oxford Economics'!$A$7:$A$1000,$C21,'Oxford Economics'!$B$7:$B$1000,Settings!$B$14),SUMIFS(INDEX('Oxford Economics'!$A$7:$AZ$1000,0,IFERROR(MATCH(AI$5,'Oxford Economics'!$A$6:$AZ$6,0),MATCH(AI$5&amp;"",'Oxford Economics'!$A$6:$AZ$6,0))),'Oxford Economics'!$A$7:$A$1000,$C21,'Oxford Economics'!$B$7:$B$1000,Settings!$B$14)+SUMIFS(INDEX('Oxford Economics'!$A$7:$AZ$1000,0,IFERROR(MATCH(AI$5,'Oxford Economics'!$A$6:$AZ$6,0),MATCH(AI$5&amp;"",'Oxford Economics'!$A$6:$AZ$6,0))),'Oxford Economics'!$A$7:$A$1000,$C21,'Oxford Economics'!$B$7:$B$1000,Settings!$B$16)+IF(Settings!$B$18="",0,SUMIFS(INDEX('Oxford Economics'!$A$7:$AZ$1000,0,IFERROR(MATCH(AI$5,'Oxford Economics'!$A$6:$AZ$6,0),MATCH(AI$5&amp;"",'Oxford Economics'!$A$6:$AZ$6,0))),'Oxford Economics'!$A$7:$A$1000,$C21,'Oxford Economics'!$B$7:$B$1000,Settings!$B$18)))),""))</f>
        <v>2369.41</v>
      </c>
      <c r="AJ21" s="38" t="n">
        <f aca="false">IF($A21="","",IFERROR(1/(1/IF($B21="Residential",SUMIFS(INDEX('Oxford Economics'!$A$7:$AZ$1000,0,IFERROR(MATCH(AJ$5,'Oxford Economics'!$A$6:$AZ$6,0),MATCH(AJ$5&amp;"",'Oxford Economics'!$A$6:$AZ$6,0))),'Oxford Economics'!$A$7:$A$1000,$C21,'Oxford Economics'!$B$7:$B$1000,Settings!$B$12)-SUMIFS(INDEX('Oxford Economics'!$A$7:$AZ$1000,0,IFERROR(MATCH(AJ$5,'Oxford Economics'!$A$6:$AZ$6,0),MATCH(AJ$5&amp;"",'Oxford Economics'!$A$6:$AZ$6,0))),'Oxford Economics'!$A$7:$A$1000,$C21,'Oxford Economics'!$B$7:$B$1000,Settings!$B$14),SUMIFS(INDEX('Oxford Economics'!$A$7:$AZ$1000,0,IFERROR(MATCH(AJ$5,'Oxford Economics'!$A$6:$AZ$6,0),MATCH(AJ$5&amp;"",'Oxford Economics'!$A$6:$AZ$6,0))),'Oxford Economics'!$A$7:$A$1000,$C21,'Oxford Economics'!$B$7:$B$1000,Settings!$B$14)+SUMIFS(INDEX('Oxford Economics'!$A$7:$AZ$1000,0,IFERROR(MATCH(AJ$5,'Oxford Economics'!$A$6:$AZ$6,0),MATCH(AJ$5&amp;"",'Oxford Economics'!$A$6:$AZ$6,0))),'Oxford Economics'!$A$7:$A$1000,$C21,'Oxford Economics'!$B$7:$B$1000,Settings!$B$16)+IF(Settings!$B$18="",0,SUMIFS(INDEX('Oxford Economics'!$A$7:$AZ$1000,0,IFERROR(MATCH(AJ$5,'Oxford Economics'!$A$6:$AZ$6,0),MATCH(AJ$5&amp;"",'Oxford Economics'!$A$6:$AZ$6,0))),'Oxford Economics'!$A$7:$A$1000,$C21,'Oxford Economics'!$B$7:$B$1000,Settings!$B$18)))),""))</f>
        <v>2493.12</v>
      </c>
      <c r="AK21" s="38" t="n">
        <f aca="false">IF($A21="","",IFERROR(1/(1/IF($B21="Residential",SUMIFS(INDEX('Oxford Economics'!$A$7:$AZ$1000,0,IFERROR(MATCH(AK$5,'Oxford Economics'!$A$6:$AZ$6,0),MATCH(AK$5&amp;"",'Oxford Economics'!$A$6:$AZ$6,0))),'Oxford Economics'!$A$7:$A$1000,$C21,'Oxford Economics'!$B$7:$B$1000,Settings!$B$12)-SUMIFS(INDEX('Oxford Economics'!$A$7:$AZ$1000,0,IFERROR(MATCH(AK$5,'Oxford Economics'!$A$6:$AZ$6,0),MATCH(AK$5&amp;"",'Oxford Economics'!$A$6:$AZ$6,0))),'Oxford Economics'!$A$7:$A$1000,$C21,'Oxford Economics'!$B$7:$B$1000,Settings!$B$14),SUMIFS(INDEX('Oxford Economics'!$A$7:$AZ$1000,0,IFERROR(MATCH(AK$5,'Oxford Economics'!$A$6:$AZ$6,0),MATCH(AK$5&amp;"",'Oxford Economics'!$A$6:$AZ$6,0))),'Oxford Economics'!$A$7:$A$1000,$C21,'Oxford Economics'!$B$7:$B$1000,Settings!$B$14)+SUMIFS(INDEX('Oxford Economics'!$A$7:$AZ$1000,0,IFERROR(MATCH(AK$5,'Oxford Economics'!$A$6:$AZ$6,0),MATCH(AK$5&amp;"",'Oxford Economics'!$A$6:$AZ$6,0))),'Oxford Economics'!$A$7:$A$1000,$C21,'Oxford Economics'!$B$7:$B$1000,Settings!$B$16)+IF(Settings!$B$18="",0,SUMIFS(INDEX('Oxford Economics'!$A$7:$AZ$1000,0,IFERROR(MATCH(AK$5,'Oxford Economics'!$A$6:$AZ$6,0),MATCH(AK$5&amp;"",'Oxford Economics'!$A$6:$AZ$6,0))),'Oxford Economics'!$A$7:$A$1000,$C21,'Oxford Economics'!$B$7:$B$1000,Settings!$B$18)))),""))</f>
        <v>2590.53</v>
      </c>
      <c r="AL21" s="38" t="n">
        <f aca="false">IF($A21="","",IFERROR(1/(1/IF($B21="Residential",SUMIFS(INDEX('Oxford Economics'!$A$7:$AZ$1000,0,IFERROR(MATCH(AL$5,'Oxford Economics'!$A$6:$AZ$6,0),MATCH(AL$5&amp;"",'Oxford Economics'!$A$6:$AZ$6,0))),'Oxford Economics'!$A$7:$A$1000,$C21,'Oxford Economics'!$B$7:$B$1000,Settings!$B$12)-SUMIFS(INDEX('Oxford Economics'!$A$7:$AZ$1000,0,IFERROR(MATCH(AL$5,'Oxford Economics'!$A$6:$AZ$6,0),MATCH(AL$5&amp;"",'Oxford Economics'!$A$6:$AZ$6,0))),'Oxford Economics'!$A$7:$A$1000,$C21,'Oxford Economics'!$B$7:$B$1000,Settings!$B$14),SUMIFS(INDEX('Oxford Economics'!$A$7:$AZ$1000,0,IFERROR(MATCH(AL$5,'Oxford Economics'!$A$6:$AZ$6,0),MATCH(AL$5&amp;"",'Oxford Economics'!$A$6:$AZ$6,0))),'Oxford Economics'!$A$7:$A$1000,$C21,'Oxford Economics'!$B$7:$B$1000,Settings!$B$14)+SUMIFS(INDEX('Oxford Economics'!$A$7:$AZ$1000,0,IFERROR(MATCH(AL$5,'Oxford Economics'!$A$6:$AZ$6,0),MATCH(AL$5&amp;"",'Oxford Economics'!$A$6:$AZ$6,0))),'Oxford Economics'!$A$7:$A$1000,$C21,'Oxford Economics'!$B$7:$B$1000,Settings!$B$16)+IF(Settings!$B$18="",0,SUMIFS(INDEX('Oxford Economics'!$A$7:$AZ$1000,0,IFERROR(MATCH(AL$5,'Oxford Economics'!$A$6:$AZ$6,0),MATCH(AL$5&amp;"",'Oxford Economics'!$A$6:$AZ$6,0))),'Oxford Economics'!$A$7:$A$1000,$C21,'Oxford Economics'!$B$7:$B$1000,Settings!$B$18)))),""))</f>
        <v>2636.05</v>
      </c>
      <c r="AM21" s="38" t="n">
        <f aca="false">IF($A21="","",IFERROR(1/(1/IF($B21="Residential",SUMIFS(INDEX('Oxford Economics'!$A$7:$AZ$1000,0,IFERROR(MATCH(AM$5,'Oxford Economics'!$A$6:$AZ$6,0),MATCH(AM$5&amp;"",'Oxford Economics'!$A$6:$AZ$6,0))),'Oxford Economics'!$A$7:$A$1000,$C21,'Oxford Economics'!$B$7:$B$1000,Settings!$B$12)-SUMIFS(INDEX('Oxford Economics'!$A$7:$AZ$1000,0,IFERROR(MATCH(AM$5,'Oxford Economics'!$A$6:$AZ$6,0),MATCH(AM$5&amp;"",'Oxford Economics'!$A$6:$AZ$6,0))),'Oxford Economics'!$A$7:$A$1000,$C21,'Oxford Economics'!$B$7:$B$1000,Settings!$B$14),SUMIFS(INDEX('Oxford Economics'!$A$7:$AZ$1000,0,IFERROR(MATCH(AM$5,'Oxford Economics'!$A$6:$AZ$6,0),MATCH(AM$5&amp;"",'Oxford Economics'!$A$6:$AZ$6,0))),'Oxford Economics'!$A$7:$A$1000,$C21,'Oxford Economics'!$B$7:$B$1000,Settings!$B$14)+SUMIFS(INDEX('Oxford Economics'!$A$7:$AZ$1000,0,IFERROR(MATCH(AM$5,'Oxford Economics'!$A$6:$AZ$6,0),MATCH(AM$5&amp;"",'Oxford Economics'!$A$6:$AZ$6,0))),'Oxford Economics'!$A$7:$A$1000,$C21,'Oxford Economics'!$B$7:$B$1000,Settings!$B$16)+IF(Settings!$B$18="",0,SUMIFS(INDEX('Oxford Economics'!$A$7:$AZ$1000,0,IFERROR(MATCH(AM$5,'Oxford Economics'!$A$6:$AZ$6,0),MATCH(AM$5&amp;"",'Oxford Economics'!$A$6:$AZ$6,0))),'Oxford Economics'!$A$7:$A$1000,$C21,'Oxford Economics'!$B$7:$B$1000,Settings!$B$18)))),""))</f>
        <v>2653.32</v>
      </c>
    </row>
    <row r="22" customFormat="false" ht="15" hidden="false" customHeight="false" outlineLevel="0" collapsed="false">
      <c r="A22" s="37" t="str">
        <f aca="false">IF('Raw data'!$A22="","",'Raw data'!$A22)</f>
        <v>Hungary</v>
      </c>
      <c r="B22" s="37" t="str">
        <f aca="false">IF($A22="","",'Raw data'!$C22)</f>
        <v>Commercial</v>
      </c>
      <c r="C22" s="37" t="str">
        <f aca="false">IF($A22="","",IF('Raw data'!$E22="",$A22,'Raw data'!$E22))</f>
        <v>Hungary</v>
      </c>
      <c r="D22" s="38" t="n">
        <f aca="false">IF($A22="","",IF(AND(ISNUMBER(P22),ISNUMBER(AB22)),P22+AB22,""))</f>
        <v>3684.96</v>
      </c>
      <c r="E22" s="38" t="n">
        <f aca="false">IF($A22="","",IF(AND(ISNUMBER(Q22),ISNUMBER(AC22)),Q22+AC22,""))</f>
        <v>3981.61</v>
      </c>
      <c r="F22" s="38" t="n">
        <f aca="false">IF($A22="","",IF(AND(ISNUMBER(R22),ISNUMBER(AD22)),R22+AD22,""))</f>
        <v>4264.05</v>
      </c>
      <c r="G22" s="38" t="n">
        <f aca="false">IF($A22="","",IF(AND(ISNUMBER(S22),ISNUMBER(AE22)),S22+AE22,""))</f>
        <v>3929.81</v>
      </c>
      <c r="H22" s="38" t="n">
        <f aca="false">IF($A22="","",IF(AND(ISNUMBER(T22),ISNUMBER(AF22)),T22+AF22,""))</f>
        <v>3964.86</v>
      </c>
      <c r="I22" s="38" t="n">
        <f aca="false">IF($A22="","",IF(AND(ISNUMBER(U22),ISNUMBER(AG22)),U22+AG22,""))</f>
        <v>3843.27</v>
      </c>
      <c r="J22" s="38" t="n">
        <f aca="false">IF($A22="","",IF(AND(ISNUMBER(V22),ISNUMBER(AH22)),V22+AH22,""))</f>
        <v>4291.72</v>
      </c>
      <c r="K22" s="38" t="n">
        <f aca="false">IF($A22="","",IF(AND(ISNUMBER(W22),ISNUMBER(AI22)),W22+AI22,""))</f>
        <v>4359.72</v>
      </c>
      <c r="L22" s="38" t="n">
        <f aca="false">IF($A22="","",IF(AND(ISNUMBER(X22),ISNUMBER(AJ22)),X22+AJ22,""))</f>
        <v>4583.3</v>
      </c>
      <c r="M22" s="38" t="n">
        <f aca="false">IF($A22="","",IF(AND(ISNUMBER(Y22),ISNUMBER(AK22)),Y22+AK22,""))</f>
        <v>4759.58</v>
      </c>
      <c r="N22" s="38" t="n">
        <f aca="false">IF($A22="","",IF(AND(ISNUMBER(Z22),ISNUMBER(AL22)),Z22+AL22,""))</f>
        <v>4858.97</v>
      </c>
      <c r="O22" s="38" t="n">
        <f aca="false">IF($A22="","",IF(AND(ISNUMBER(AA22),ISNUMBER(AM22)),AA22+AM22,""))</f>
        <v>4900.29</v>
      </c>
      <c r="P22" s="38" t="n">
        <f aca="false">IF($A22="","",IFERROR(1/(1/IF($B22="Residential",SUMIFS(INDEX('Oxford Economics'!$A$7:$AZ$1000,0,IFERROR(MATCH(P$5,'Oxford Economics'!$A$6:$AZ$6,0),MATCH(P$5&amp;"",'Oxford Economics'!$A$6:$AZ$6,0))),'Oxford Economics'!$A$7:$A$1000,$C22,'Oxford Economics'!$B$7:$B$1000,Settings!$B$13)-SUMIFS(INDEX('Oxford Economics'!$A$7:$AZ$1000,0,IFERROR(MATCH(P$5,'Oxford Economics'!$A$6:$AZ$6,0),MATCH(P$5&amp;"",'Oxford Economics'!$A$6:$AZ$6,0))),'Oxford Economics'!$A$7:$A$1000,$C22,'Oxford Economics'!$B$7:$B$1000,Settings!$B$15),SUMIFS(INDEX('Oxford Economics'!$A$7:$AZ$1000,0,IFERROR(MATCH(P$5,'Oxford Economics'!$A$6:$AZ$6,0),MATCH(P$5&amp;"",'Oxford Economics'!$A$6:$AZ$6,0))),'Oxford Economics'!$A$7:$A$1000,$C22,'Oxford Economics'!$B$7:$B$1000,Settings!$B$15)+SUMIFS(INDEX('Oxford Economics'!$A$7:$AZ$1000,0,IFERROR(MATCH(P$5,'Oxford Economics'!$A$6:$AZ$6,0),MATCH(P$5&amp;"",'Oxford Economics'!$A$6:$AZ$6,0))),'Oxford Economics'!$A$7:$A$1000,$C22,'Oxford Economics'!$B$7:$B$1000,Settings!$B$17)+IF(Settings!$B$19="",0,SUMIFS(INDEX('Oxford Economics'!$A$7:$AZ$1000,0,IFERROR(MATCH(P$5,'Oxford Economics'!$A$6:$AZ$6,0),MATCH(P$5&amp;"",'Oxford Economics'!$A$6:$AZ$6,0))),'Oxford Economics'!$A$7:$A$1000,$C22,'Oxford Economics'!$B$7:$B$1000,Settings!$B$19)))),""))</f>
        <v>1541.2</v>
      </c>
      <c r="Q22" s="38" t="n">
        <f aca="false">IF($A22="","",IFERROR(1/(1/IF($B22="Residential",SUMIFS(INDEX('Oxford Economics'!$A$7:$AZ$1000,0,IFERROR(MATCH(Q$5,'Oxford Economics'!$A$6:$AZ$6,0),MATCH(Q$5&amp;"",'Oxford Economics'!$A$6:$AZ$6,0))),'Oxford Economics'!$A$7:$A$1000,$C22,'Oxford Economics'!$B$7:$B$1000,Settings!$B$13)-SUMIFS(INDEX('Oxford Economics'!$A$7:$AZ$1000,0,IFERROR(MATCH(Q$5,'Oxford Economics'!$A$6:$AZ$6,0),MATCH(Q$5&amp;"",'Oxford Economics'!$A$6:$AZ$6,0))),'Oxford Economics'!$A$7:$A$1000,$C22,'Oxford Economics'!$B$7:$B$1000,Settings!$B$15),SUMIFS(INDEX('Oxford Economics'!$A$7:$AZ$1000,0,IFERROR(MATCH(Q$5,'Oxford Economics'!$A$6:$AZ$6,0),MATCH(Q$5&amp;"",'Oxford Economics'!$A$6:$AZ$6,0))),'Oxford Economics'!$A$7:$A$1000,$C22,'Oxford Economics'!$B$7:$B$1000,Settings!$B$15)+SUMIFS(INDEX('Oxford Economics'!$A$7:$AZ$1000,0,IFERROR(MATCH(Q$5,'Oxford Economics'!$A$6:$AZ$6,0),MATCH(Q$5&amp;"",'Oxford Economics'!$A$6:$AZ$6,0))),'Oxford Economics'!$A$7:$A$1000,$C22,'Oxford Economics'!$B$7:$B$1000,Settings!$B$17)+IF(Settings!$B$19="",0,SUMIFS(INDEX('Oxford Economics'!$A$7:$AZ$1000,0,IFERROR(MATCH(Q$5,'Oxford Economics'!$A$6:$AZ$6,0),MATCH(Q$5&amp;"",'Oxford Economics'!$A$6:$AZ$6,0))),'Oxford Economics'!$A$7:$A$1000,$C22,'Oxford Economics'!$B$7:$B$1000,Settings!$B$19)))),""))</f>
        <v>1977.78</v>
      </c>
      <c r="R22" s="38" t="n">
        <f aca="false">IF($A22="","",IFERROR(1/(1/IF($B22="Residential",SUMIFS(INDEX('Oxford Economics'!$A$7:$AZ$1000,0,IFERROR(MATCH(R$5,'Oxford Economics'!$A$6:$AZ$6,0),MATCH(R$5&amp;"",'Oxford Economics'!$A$6:$AZ$6,0))),'Oxford Economics'!$A$7:$A$1000,$C22,'Oxford Economics'!$B$7:$B$1000,Settings!$B$13)-SUMIFS(INDEX('Oxford Economics'!$A$7:$AZ$1000,0,IFERROR(MATCH(R$5,'Oxford Economics'!$A$6:$AZ$6,0),MATCH(R$5&amp;"",'Oxford Economics'!$A$6:$AZ$6,0))),'Oxford Economics'!$A$7:$A$1000,$C22,'Oxford Economics'!$B$7:$B$1000,Settings!$B$15),SUMIFS(INDEX('Oxford Economics'!$A$7:$AZ$1000,0,IFERROR(MATCH(R$5,'Oxford Economics'!$A$6:$AZ$6,0),MATCH(R$5&amp;"",'Oxford Economics'!$A$6:$AZ$6,0))),'Oxford Economics'!$A$7:$A$1000,$C22,'Oxford Economics'!$B$7:$B$1000,Settings!$B$15)+SUMIFS(INDEX('Oxford Economics'!$A$7:$AZ$1000,0,IFERROR(MATCH(R$5,'Oxford Economics'!$A$6:$AZ$6,0),MATCH(R$5&amp;"",'Oxford Economics'!$A$6:$AZ$6,0))),'Oxford Economics'!$A$7:$A$1000,$C22,'Oxford Economics'!$B$7:$B$1000,Settings!$B$17)+IF(Settings!$B$19="",0,SUMIFS(INDEX('Oxford Economics'!$A$7:$AZ$1000,0,IFERROR(MATCH(R$5,'Oxford Economics'!$A$6:$AZ$6,0),MATCH(R$5&amp;"",'Oxford Economics'!$A$6:$AZ$6,0))),'Oxford Economics'!$A$7:$A$1000,$C22,'Oxford Economics'!$B$7:$B$1000,Settings!$B$19)))),""))</f>
        <v>2161.55</v>
      </c>
      <c r="S22" s="38" t="n">
        <f aca="false">IF($A22="","",IFERROR(1/(1/IF($B22="Residential",SUMIFS(INDEX('Oxford Economics'!$A$7:$AZ$1000,0,IFERROR(MATCH(S$5,'Oxford Economics'!$A$6:$AZ$6,0),MATCH(S$5&amp;"",'Oxford Economics'!$A$6:$AZ$6,0))),'Oxford Economics'!$A$7:$A$1000,$C22,'Oxford Economics'!$B$7:$B$1000,Settings!$B$13)-SUMIFS(INDEX('Oxford Economics'!$A$7:$AZ$1000,0,IFERROR(MATCH(S$5,'Oxford Economics'!$A$6:$AZ$6,0),MATCH(S$5&amp;"",'Oxford Economics'!$A$6:$AZ$6,0))),'Oxford Economics'!$A$7:$A$1000,$C22,'Oxford Economics'!$B$7:$B$1000,Settings!$B$15),SUMIFS(INDEX('Oxford Economics'!$A$7:$AZ$1000,0,IFERROR(MATCH(S$5,'Oxford Economics'!$A$6:$AZ$6,0),MATCH(S$5&amp;"",'Oxford Economics'!$A$6:$AZ$6,0))),'Oxford Economics'!$A$7:$A$1000,$C22,'Oxford Economics'!$B$7:$B$1000,Settings!$B$15)+SUMIFS(INDEX('Oxford Economics'!$A$7:$AZ$1000,0,IFERROR(MATCH(S$5,'Oxford Economics'!$A$6:$AZ$6,0),MATCH(S$5&amp;"",'Oxford Economics'!$A$6:$AZ$6,0))),'Oxford Economics'!$A$7:$A$1000,$C22,'Oxford Economics'!$B$7:$B$1000,Settings!$B$17)+IF(Settings!$B$19="",0,SUMIFS(INDEX('Oxford Economics'!$A$7:$AZ$1000,0,IFERROR(MATCH(S$5,'Oxford Economics'!$A$6:$AZ$6,0),MATCH(S$5&amp;"",'Oxford Economics'!$A$6:$AZ$6,0))),'Oxford Economics'!$A$7:$A$1000,$C22,'Oxford Economics'!$B$7:$B$1000,Settings!$B$19)))),""))</f>
        <v>1828.76</v>
      </c>
      <c r="T22" s="38" t="n">
        <f aca="false">IF($A22="","",IFERROR(1/(1/IF($B22="Residential",SUMIFS(INDEX('Oxford Economics'!$A$7:$AZ$1000,0,IFERROR(MATCH(T$5,'Oxford Economics'!$A$6:$AZ$6,0),MATCH(T$5&amp;"",'Oxford Economics'!$A$6:$AZ$6,0))),'Oxford Economics'!$A$7:$A$1000,$C22,'Oxford Economics'!$B$7:$B$1000,Settings!$B$13)-SUMIFS(INDEX('Oxford Economics'!$A$7:$AZ$1000,0,IFERROR(MATCH(T$5,'Oxford Economics'!$A$6:$AZ$6,0),MATCH(T$5&amp;"",'Oxford Economics'!$A$6:$AZ$6,0))),'Oxford Economics'!$A$7:$A$1000,$C22,'Oxford Economics'!$B$7:$B$1000,Settings!$B$15),SUMIFS(INDEX('Oxford Economics'!$A$7:$AZ$1000,0,IFERROR(MATCH(T$5,'Oxford Economics'!$A$6:$AZ$6,0),MATCH(T$5&amp;"",'Oxford Economics'!$A$6:$AZ$6,0))),'Oxford Economics'!$A$7:$A$1000,$C22,'Oxford Economics'!$B$7:$B$1000,Settings!$B$15)+SUMIFS(INDEX('Oxford Economics'!$A$7:$AZ$1000,0,IFERROR(MATCH(T$5,'Oxford Economics'!$A$6:$AZ$6,0),MATCH(T$5&amp;"",'Oxford Economics'!$A$6:$AZ$6,0))),'Oxford Economics'!$A$7:$A$1000,$C22,'Oxford Economics'!$B$7:$B$1000,Settings!$B$17)+IF(Settings!$B$19="",0,SUMIFS(INDEX('Oxford Economics'!$A$7:$AZ$1000,0,IFERROR(MATCH(T$5,'Oxford Economics'!$A$6:$AZ$6,0),MATCH(T$5&amp;"",'Oxford Economics'!$A$6:$AZ$6,0))),'Oxford Economics'!$A$7:$A$1000,$C22,'Oxford Economics'!$B$7:$B$1000,Settings!$B$19)))),""))</f>
        <v>1910.76</v>
      </c>
      <c r="U22" s="38" t="n">
        <f aca="false">IF($A22="","",IFERROR(1/(1/IF($B22="Residential",SUMIFS(INDEX('Oxford Economics'!$A$7:$AZ$1000,0,IFERROR(MATCH(U$5,'Oxford Economics'!$A$6:$AZ$6,0),MATCH(U$5&amp;"",'Oxford Economics'!$A$6:$AZ$6,0))),'Oxford Economics'!$A$7:$A$1000,$C22,'Oxford Economics'!$B$7:$B$1000,Settings!$B$13)-SUMIFS(INDEX('Oxford Economics'!$A$7:$AZ$1000,0,IFERROR(MATCH(U$5,'Oxford Economics'!$A$6:$AZ$6,0),MATCH(U$5&amp;"",'Oxford Economics'!$A$6:$AZ$6,0))),'Oxford Economics'!$A$7:$A$1000,$C22,'Oxford Economics'!$B$7:$B$1000,Settings!$B$15),SUMIFS(INDEX('Oxford Economics'!$A$7:$AZ$1000,0,IFERROR(MATCH(U$5,'Oxford Economics'!$A$6:$AZ$6,0),MATCH(U$5&amp;"",'Oxford Economics'!$A$6:$AZ$6,0))),'Oxford Economics'!$A$7:$A$1000,$C22,'Oxford Economics'!$B$7:$B$1000,Settings!$B$15)+SUMIFS(INDEX('Oxford Economics'!$A$7:$AZ$1000,0,IFERROR(MATCH(U$5,'Oxford Economics'!$A$6:$AZ$6,0),MATCH(U$5&amp;"",'Oxford Economics'!$A$6:$AZ$6,0))),'Oxford Economics'!$A$7:$A$1000,$C22,'Oxford Economics'!$B$7:$B$1000,Settings!$B$17)+IF(Settings!$B$19="",0,SUMIFS(INDEX('Oxford Economics'!$A$7:$AZ$1000,0,IFERROR(MATCH(U$5,'Oxford Economics'!$A$6:$AZ$6,0),MATCH(U$5&amp;"",'Oxford Economics'!$A$6:$AZ$6,0))),'Oxford Economics'!$A$7:$A$1000,$C22,'Oxford Economics'!$B$7:$B$1000,Settings!$B$19)))),""))</f>
        <v>1903.28</v>
      </c>
      <c r="V22" s="38" t="n">
        <f aca="false">IF($A22="","",IFERROR(1/(1/IF($B22="Residential",SUMIFS(INDEX('Oxford Economics'!$A$7:$AZ$1000,0,IFERROR(MATCH(V$5,'Oxford Economics'!$A$6:$AZ$6,0),MATCH(V$5&amp;"",'Oxford Economics'!$A$6:$AZ$6,0))),'Oxford Economics'!$A$7:$A$1000,$C22,'Oxford Economics'!$B$7:$B$1000,Settings!$B$13)-SUMIFS(INDEX('Oxford Economics'!$A$7:$AZ$1000,0,IFERROR(MATCH(V$5,'Oxford Economics'!$A$6:$AZ$6,0),MATCH(V$5&amp;"",'Oxford Economics'!$A$6:$AZ$6,0))),'Oxford Economics'!$A$7:$A$1000,$C22,'Oxford Economics'!$B$7:$B$1000,Settings!$B$15),SUMIFS(INDEX('Oxford Economics'!$A$7:$AZ$1000,0,IFERROR(MATCH(V$5,'Oxford Economics'!$A$6:$AZ$6,0),MATCH(V$5&amp;"",'Oxford Economics'!$A$6:$AZ$6,0))),'Oxford Economics'!$A$7:$A$1000,$C22,'Oxford Economics'!$B$7:$B$1000,Settings!$B$15)+SUMIFS(INDEX('Oxford Economics'!$A$7:$AZ$1000,0,IFERROR(MATCH(V$5,'Oxford Economics'!$A$6:$AZ$6,0),MATCH(V$5&amp;"",'Oxford Economics'!$A$6:$AZ$6,0))),'Oxford Economics'!$A$7:$A$1000,$C22,'Oxford Economics'!$B$7:$B$1000,Settings!$B$17)+IF(Settings!$B$19="",0,SUMIFS(INDEX('Oxford Economics'!$A$7:$AZ$1000,0,IFERROR(MATCH(V$5,'Oxford Economics'!$A$6:$AZ$6,0),MATCH(V$5&amp;"",'Oxford Economics'!$A$6:$AZ$6,0))),'Oxford Economics'!$A$7:$A$1000,$C22,'Oxford Economics'!$B$7:$B$1000,Settings!$B$19)))),""))</f>
        <v>2164.6</v>
      </c>
      <c r="W22" s="38" t="n">
        <f aca="false">IF($A22="","",IFERROR(1/(1/IF($B22="Residential",SUMIFS(INDEX('Oxford Economics'!$A$7:$AZ$1000,0,IFERROR(MATCH(W$5,'Oxford Economics'!$A$6:$AZ$6,0),MATCH(W$5&amp;"",'Oxford Economics'!$A$6:$AZ$6,0))),'Oxford Economics'!$A$7:$A$1000,$C22,'Oxford Economics'!$B$7:$B$1000,Settings!$B$13)-SUMIFS(INDEX('Oxford Economics'!$A$7:$AZ$1000,0,IFERROR(MATCH(W$5,'Oxford Economics'!$A$6:$AZ$6,0),MATCH(W$5&amp;"",'Oxford Economics'!$A$6:$AZ$6,0))),'Oxford Economics'!$A$7:$A$1000,$C22,'Oxford Economics'!$B$7:$B$1000,Settings!$B$15),SUMIFS(INDEX('Oxford Economics'!$A$7:$AZ$1000,0,IFERROR(MATCH(W$5,'Oxford Economics'!$A$6:$AZ$6,0),MATCH(W$5&amp;"",'Oxford Economics'!$A$6:$AZ$6,0))),'Oxford Economics'!$A$7:$A$1000,$C22,'Oxford Economics'!$B$7:$B$1000,Settings!$B$15)+SUMIFS(INDEX('Oxford Economics'!$A$7:$AZ$1000,0,IFERROR(MATCH(W$5,'Oxford Economics'!$A$6:$AZ$6,0),MATCH(W$5&amp;"",'Oxford Economics'!$A$6:$AZ$6,0))),'Oxford Economics'!$A$7:$A$1000,$C22,'Oxford Economics'!$B$7:$B$1000,Settings!$B$17)+IF(Settings!$B$19="",0,SUMIFS(INDEX('Oxford Economics'!$A$7:$AZ$1000,0,IFERROR(MATCH(W$5,'Oxford Economics'!$A$6:$AZ$6,0),MATCH(W$5&amp;"",'Oxford Economics'!$A$6:$AZ$6,0))),'Oxford Economics'!$A$7:$A$1000,$C22,'Oxford Economics'!$B$7:$B$1000,Settings!$B$19)))),""))</f>
        <v>1990.31</v>
      </c>
      <c r="X22" s="38" t="n">
        <f aca="false">IF($A22="","",IFERROR(1/(1/IF($B22="Residential",SUMIFS(INDEX('Oxford Economics'!$A$7:$AZ$1000,0,IFERROR(MATCH(X$5,'Oxford Economics'!$A$6:$AZ$6,0),MATCH(X$5&amp;"",'Oxford Economics'!$A$6:$AZ$6,0))),'Oxford Economics'!$A$7:$A$1000,$C22,'Oxford Economics'!$B$7:$B$1000,Settings!$B$13)-SUMIFS(INDEX('Oxford Economics'!$A$7:$AZ$1000,0,IFERROR(MATCH(X$5,'Oxford Economics'!$A$6:$AZ$6,0),MATCH(X$5&amp;"",'Oxford Economics'!$A$6:$AZ$6,0))),'Oxford Economics'!$A$7:$A$1000,$C22,'Oxford Economics'!$B$7:$B$1000,Settings!$B$15),SUMIFS(INDEX('Oxford Economics'!$A$7:$AZ$1000,0,IFERROR(MATCH(X$5,'Oxford Economics'!$A$6:$AZ$6,0),MATCH(X$5&amp;"",'Oxford Economics'!$A$6:$AZ$6,0))),'Oxford Economics'!$A$7:$A$1000,$C22,'Oxford Economics'!$B$7:$B$1000,Settings!$B$15)+SUMIFS(INDEX('Oxford Economics'!$A$7:$AZ$1000,0,IFERROR(MATCH(X$5,'Oxford Economics'!$A$6:$AZ$6,0),MATCH(X$5&amp;"",'Oxford Economics'!$A$6:$AZ$6,0))),'Oxford Economics'!$A$7:$A$1000,$C22,'Oxford Economics'!$B$7:$B$1000,Settings!$B$17)+IF(Settings!$B$19="",0,SUMIFS(INDEX('Oxford Economics'!$A$7:$AZ$1000,0,IFERROR(MATCH(X$5,'Oxford Economics'!$A$6:$AZ$6,0),MATCH(X$5&amp;"",'Oxford Economics'!$A$6:$AZ$6,0))),'Oxford Economics'!$A$7:$A$1000,$C22,'Oxford Economics'!$B$7:$B$1000,Settings!$B$19)))),""))</f>
        <v>2090.18</v>
      </c>
      <c r="Y22" s="38" t="n">
        <f aca="false">IF($A22="","",IFERROR(1/(1/IF($B22="Residential",SUMIFS(INDEX('Oxford Economics'!$A$7:$AZ$1000,0,IFERROR(MATCH(Y$5,'Oxford Economics'!$A$6:$AZ$6,0),MATCH(Y$5&amp;"",'Oxford Economics'!$A$6:$AZ$6,0))),'Oxford Economics'!$A$7:$A$1000,$C22,'Oxford Economics'!$B$7:$B$1000,Settings!$B$13)-SUMIFS(INDEX('Oxford Economics'!$A$7:$AZ$1000,0,IFERROR(MATCH(Y$5,'Oxford Economics'!$A$6:$AZ$6,0),MATCH(Y$5&amp;"",'Oxford Economics'!$A$6:$AZ$6,0))),'Oxford Economics'!$A$7:$A$1000,$C22,'Oxford Economics'!$B$7:$B$1000,Settings!$B$15),SUMIFS(INDEX('Oxford Economics'!$A$7:$AZ$1000,0,IFERROR(MATCH(Y$5,'Oxford Economics'!$A$6:$AZ$6,0),MATCH(Y$5&amp;"",'Oxford Economics'!$A$6:$AZ$6,0))),'Oxford Economics'!$A$7:$A$1000,$C22,'Oxford Economics'!$B$7:$B$1000,Settings!$B$15)+SUMIFS(INDEX('Oxford Economics'!$A$7:$AZ$1000,0,IFERROR(MATCH(Y$5,'Oxford Economics'!$A$6:$AZ$6,0),MATCH(Y$5&amp;"",'Oxford Economics'!$A$6:$AZ$6,0))),'Oxford Economics'!$A$7:$A$1000,$C22,'Oxford Economics'!$B$7:$B$1000,Settings!$B$17)+IF(Settings!$B$19="",0,SUMIFS(INDEX('Oxford Economics'!$A$7:$AZ$1000,0,IFERROR(MATCH(Y$5,'Oxford Economics'!$A$6:$AZ$6,0),MATCH(Y$5&amp;"",'Oxford Economics'!$A$6:$AZ$6,0))),'Oxford Economics'!$A$7:$A$1000,$C22,'Oxford Economics'!$B$7:$B$1000,Settings!$B$19)))),""))</f>
        <v>2169.05</v>
      </c>
      <c r="Z22" s="38" t="n">
        <f aca="false">IF($A22="","",IFERROR(1/(1/IF($B22="Residential",SUMIFS(INDEX('Oxford Economics'!$A$7:$AZ$1000,0,IFERROR(MATCH(Z$5,'Oxford Economics'!$A$6:$AZ$6,0),MATCH(Z$5&amp;"",'Oxford Economics'!$A$6:$AZ$6,0))),'Oxford Economics'!$A$7:$A$1000,$C22,'Oxford Economics'!$B$7:$B$1000,Settings!$B$13)-SUMIFS(INDEX('Oxford Economics'!$A$7:$AZ$1000,0,IFERROR(MATCH(Z$5,'Oxford Economics'!$A$6:$AZ$6,0),MATCH(Z$5&amp;"",'Oxford Economics'!$A$6:$AZ$6,0))),'Oxford Economics'!$A$7:$A$1000,$C22,'Oxford Economics'!$B$7:$B$1000,Settings!$B$15),SUMIFS(INDEX('Oxford Economics'!$A$7:$AZ$1000,0,IFERROR(MATCH(Z$5,'Oxford Economics'!$A$6:$AZ$6,0),MATCH(Z$5&amp;"",'Oxford Economics'!$A$6:$AZ$6,0))),'Oxford Economics'!$A$7:$A$1000,$C22,'Oxford Economics'!$B$7:$B$1000,Settings!$B$15)+SUMIFS(INDEX('Oxford Economics'!$A$7:$AZ$1000,0,IFERROR(MATCH(Z$5,'Oxford Economics'!$A$6:$AZ$6,0),MATCH(Z$5&amp;"",'Oxford Economics'!$A$6:$AZ$6,0))),'Oxford Economics'!$A$7:$A$1000,$C22,'Oxford Economics'!$B$7:$B$1000,Settings!$B$17)+IF(Settings!$B$19="",0,SUMIFS(INDEX('Oxford Economics'!$A$7:$AZ$1000,0,IFERROR(MATCH(Z$5,'Oxford Economics'!$A$6:$AZ$6,0),MATCH(Z$5&amp;"",'Oxford Economics'!$A$6:$AZ$6,0))),'Oxford Economics'!$A$7:$A$1000,$C22,'Oxford Economics'!$B$7:$B$1000,Settings!$B$19)))),""))</f>
        <v>2222.92</v>
      </c>
      <c r="AA22" s="38" t="n">
        <f aca="false">IF($A22="","",IFERROR(1/(1/IF($B22="Residential",SUMIFS(INDEX('Oxford Economics'!$A$7:$AZ$1000,0,IFERROR(MATCH(AA$5,'Oxford Economics'!$A$6:$AZ$6,0),MATCH(AA$5&amp;"",'Oxford Economics'!$A$6:$AZ$6,0))),'Oxford Economics'!$A$7:$A$1000,$C22,'Oxford Economics'!$B$7:$B$1000,Settings!$B$13)-SUMIFS(INDEX('Oxford Economics'!$A$7:$AZ$1000,0,IFERROR(MATCH(AA$5,'Oxford Economics'!$A$6:$AZ$6,0),MATCH(AA$5&amp;"",'Oxford Economics'!$A$6:$AZ$6,0))),'Oxford Economics'!$A$7:$A$1000,$C22,'Oxford Economics'!$B$7:$B$1000,Settings!$B$15),SUMIFS(INDEX('Oxford Economics'!$A$7:$AZ$1000,0,IFERROR(MATCH(AA$5,'Oxford Economics'!$A$6:$AZ$6,0),MATCH(AA$5&amp;"",'Oxford Economics'!$A$6:$AZ$6,0))),'Oxford Economics'!$A$7:$A$1000,$C22,'Oxford Economics'!$B$7:$B$1000,Settings!$B$15)+SUMIFS(INDEX('Oxford Economics'!$A$7:$AZ$1000,0,IFERROR(MATCH(AA$5,'Oxford Economics'!$A$6:$AZ$6,0),MATCH(AA$5&amp;"",'Oxford Economics'!$A$6:$AZ$6,0))),'Oxford Economics'!$A$7:$A$1000,$C22,'Oxford Economics'!$B$7:$B$1000,Settings!$B$17)+IF(Settings!$B$19="",0,SUMIFS(INDEX('Oxford Economics'!$A$7:$AZ$1000,0,IFERROR(MATCH(AA$5,'Oxford Economics'!$A$6:$AZ$6,0),MATCH(AA$5&amp;"",'Oxford Economics'!$A$6:$AZ$6,0))),'Oxford Economics'!$A$7:$A$1000,$C22,'Oxford Economics'!$B$7:$B$1000,Settings!$B$19)))),""))</f>
        <v>2246.97</v>
      </c>
      <c r="AB22" s="38" t="n">
        <f aca="false">IF($A22="","",IFERROR(1/(1/IF($B22="Residential",SUMIFS(INDEX('Oxford Economics'!$A$7:$AZ$1000,0,IFERROR(MATCH(AB$5,'Oxford Economics'!$A$6:$AZ$6,0),MATCH(AB$5&amp;"",'Oxford Economics'!$A$6:$AZ$6,0))),'Oxford Economics'!$A$7:$A$1000,$C22,'Oxford Economics'!$B$7:$B$1000,Settings!$B$12)-SUMIFS(INDEX('Oxford Economics'!$A$7:$AZ$1000,0,IFERROR(MATCH(AB$5,'Oxford Economics'!$A$6:$AZ$6,0),MATCH(AB$5&amp;"",'Oxford Economics'!$A$6:$AZ$6,0))),'Oxford Economics'!$A$7:$A$1000,$C22,'Oxford Economics'!$B$7:$B$1000,Settings!$B$14),SUMIFS(INDEX('Oxford Economics'!$A$7:$AZ$1000,0,IFERROR(MATCH(AB$5,'Oxford Economics'!$A$6:$AZ$6,0),MATCH(AB$5&amp;"",'Oxford Economics'!$A$6:$AZ$6,0))),'Oxford Economics'!$A$7:$A$1000,$C22,'Oxford Economics'!$B$7:$B$1000,Settings!$B$14)+SUMIFS(INDEX('Oxford Economics'!$A$7:$AZ$1000,0,IFERROR(MATCH(AB$5,'Oxford Economics'!$A$6:$AZ$6,0),MATCH(AB$5&amp;"",'Oxford Economics'!$A$6:$AZ$6,0))),'Oxford Economics'!$A$7:$A$1000,$C22,'Oxford Economics'!$B$7:$B$1000,Settings!$B$16)+IF(Settings!$B$18="",0,SUMIFS(INDEX('Oxford Economics'!$A$7:$AZ$1000,0,IFERROR(MATCH(AB$5,'Oxford Economics'!$A$6:$AZ$6,0),MATCH(AB$5&amp;"",'Oxford Economics'!$A$6:$AZ$6,0))),'Oxford Economics'!$A$7:$A$1000,$C22,'Oxford Economics'!$B$7:$B$1000,Settings!$B$18)))),""))</f>
        <v>2143.76</v>
      </c>
      <c r="AC22" s="38" t="n">
        <f aca="false">IF($A22="","",IFERROR(1/(1/IF($B22="Residential",SUMIFS(INDEX('Oxford Economics'!$A$7:$AZ$1000,0,IFERROR(MATCH(AC$5,'Oxford Economics'!$A$6:$AZ$6,0),MATCH(AC$5&amp;"",'Oxford Economics'!$A$6:$AZ$6,0))),'Oxford Economics'!$A$7:$A$1000,$C22,'Oxford Economics'!$B$7:$B$1000,Settings!$B$12)-SUMIFS(INDEX('Oxford Economics'!$A$7:$AZ$1000,0,IFERROR(MATCH(AC$5,'Oxford Economics'!$A$6:$AZ$6,0),MATCH(AC$5&amp;"",'Oxford Economics'!$A$6:$AZ$6,0))),'Oxford Economics'!$A$7:$A$1000,$C22,'Oxford Economics'!$B$7:$B$1000,Settings!$B$14),SUMIFS(INDEX('Oxford Economics'!$A$7:$AZ$1000,0,IFERROR(MATCH(AC$5,'Oxford Economics'!$A$6:$AZ$6,0),MATCH(AC$5&amp;"",'Oxford Economics'!$A$6:$AZ$6,0))),'Oxford Economics'!$A$7:$A$1000,$C22,'Oxford Economics'!$B$7:$B$1000,Settings!$B$14)+SUMIFS(INDEX('Oxford Economics'!$A$7:$AZ$1000,0,IFERROR(MATCH(AC$5,'Oxford Economics'!$A$6:$AZ$6,0),MATCH(AC$5&amp;"",'Oxford Economics'!$A$6:$AZ$6,0))),'Oxford Economics'!$A$7:$A$1000,$C22,'Oxford Economics'!$B$7:$B$1000,Settings!$B$16)+IF(Settings!$B$18="",0,SUMIFS(INDEX('Oxford Economics'!$A$7:$AZ$1000,0,IFERROR(MATCH(AC$5,'Oxford Economics'!$A$6:$AZ$6,0),MATCH(AC$5&amp;"",'Oxford Economics'!$A$6:$AZ$6,0))),'Oxford Economics'!$A$7:$A$1000,$C22,'Oxford Economics'!$B$7:$B$1000,Settings!$B$18)))),""))</f>
        <v>2003.83</v>
      </c>
      <c r="AD22" s="38" t="n">
        <f aca="false">IF($A22="","",IFERROR(1/(1/IF($B22="Residential",SUMIFS(INDEX('Oxford Economics'!$A$7:$AZ$1000,0,IFERROR(MATCH(AD$5,'Oxford Economics'!$A$6:$AZ$6,0),MATCH(AD$5&amp;"",'Oxford Economics'!$A$6:$AZ$6,0))),'Oxford Economics'!$A$7:$A$1000,$C22,'Oxford Economics'!$B$7:$B$1000,Settings!$B$12)-SUMIFS(INDEX('Oxford Economics'!$A$7:$AZ$1000,0,IFERROR(MATCH(AD$5,'Oxford Economics'!$A$6:$AZ$6,0),MATCH(AD$5&amp;"",'Oxford Economics'!$A$6:$AZ$6,0))),'Oxford Economics'!$A$7:$A$1000,$C22,'Oxford Economics'!$B$7:$B$1000,Settings!$B$14),SUMIFS(INDEX('Oxford Economics'!$A$7:$AZ$1000,0,IFERROR(MATCH(AD$5,'Oxford Economics'!$A$6:$AZ$6,0),MATCH(AD$5&amp;"",'Oxford Economics'!$A$6:$AZ$6,0))),'Oxford Economics'!$A$7:$A$1000,$C22,'Oxford Economics'!$B$7:$B$1000,Settings!$B$14)+SUMIFS(INDEX('Oxford Economics'!$A$7:$AZ$1000,0,IFERROR(MATCH(AD$5,'Oxford Economics'!$A$6:$AZ$6,0),MATCH(AD$5&amp;"",'Oxford Economics'!$A$6:$AZ$6,0))),'Oxford Economics'!$A$7:$A$1000,$C22,'Oxford Economics'!$B$7:$B$1000,Settings!$B$16)+IF(Settings!$B$18="",0,SUMIFS(INDEX('Oxford Economics'!$A$7:$AZ$1000,0,IFERROR(MATCH(AD$5,'Oxford Economics'!$A$6:$AZ$6,0),MATCH(AD$5&amp;"",'Oxford Economics'!$A$6:$AZ$6,0))),'Oxford Economics'!$A$7:$A$1000,$C22,'Oxford Economics'!$B$7:$B$1000,Settings!$B$18)))),""))</f>
        <v>2102.5</v>
      </c>
      <c r="AE22" s="38" t="n">
        <f aca="false">IF($A22="","",IFERROR(1/(1/IF($B22="Residential",SUMIFS(INDEX('Oxford Economics'!$A$7:$AZ$1000,0,IFERROR(MATCH(AE$5,'Oxford Economics'!$A$6:$AZ$6,0),MATCH(AE$5&amp;"",'Oxford Economics'!$A$6:$AZ$6,0))),'Oxford Economics'!$A$7:$A$1000,$C22,'Oxford Economics'!$B$7:$B$1000,Settings!$B$12)-SUMIFS(INDEX('Oxford Economics'!$A$7:$AZ$1000,0,IFERROR(MATCH(AE$5,'Oxford Economics'!$A$6:$AZ$6,0),MATCH(AE$5&amp;"",'Oxford Economics'!$A$6:$AZ$6,0))),'Oxford Economics'!$A$7:$A$1000,$C22,'Oxford Economics'!$B$7:$B$1000,Settings!$B$14),SUMIFS(INDEX('Oxford Economics'!$A$7:$AZ$1000,0,IFERROR(MATCH(AE$5,'Oxford Economics'!$A$6:$AZ$6,0),MATCH(AE$5&amp;"",'Oxford Economics'!$A$6:$AZ$6,0))),'Oxford Economics'!$A$7:$A$1000,$C22,'Oxford Economics'!$B$7:$B$1000,Settings!$B$14)+SUMIFS(INDEX('Oxford Economics'!$A$7:$AZ$1000,0,IFERROR(MATCH(AE$5,'Oxford Economics'!$A$6:$AZ$6,0),MATCH(AE$5&amp;"",'Oxford Economics'!$A$6:$AZ$6,0))),'Oxford Economics'!$A$7:$A$1000,$C22,'Oxford Economics'!$B$7:$B$1000,Settings!$B$16)+IF(Settings!$B$18="",0,SUMIFS(INDEX('Oxford Economics'!$A$7:$AZ$1000,0,IFERROR(MATCH(AE$5,'Oxford Economics'!$A$6:$AZ$6,0),MATCH(AE$5&amp;"",'Oxford Economics'!$A$6:$AZ$6,0))),'Oxford Economics'!$A$7:$A$1000,$C22,'Oxford Economics'!$B$7:$B$1000,Settings!$B$18)))),""))</f>
        <v>2101.05</v>
      </c>
      <c r="AF22" s="38" t="n">
        <f aca="false">IF($A22="","",IFERROR(1/(1/IF($B22="Residential",SUMIFS(INDEX('Oxford Economics'!$A$7:$AZ$1000,0,IFERROR(MATCH(AF$5,'Oxford Economics'!$A$6:$AZ$6,0),MATCH(AF$5&amp;"",'Oxford Economics'!$A$6:$AZ$6,0))),'Oxford Economics'!$A$7:$A$1000,$C22,'Oxford Economics'!$B$7:$B$1000,Settings!$B$12)-SUMIFS(INDEX('Oxford Economics'!$A$7:$AZ$1000,0,IFERROR(MATCH(AF$5,'Oxford Economics'!$A$6:$AZ$6,0),MATCH(AF$5&amp;"",'Oxford Economics'!$A$6:$AZ$6,0))),'Oxford Economics'!$A$7:$A$1000,$C22,'Oxford Economics'!$B$7:$B$1000,Settings!$B$14),SUMIFS(INDEX('Oxford Economics'!$A$7:$AZ$1000,0,IFERROR(MATCH(AF$5,'Oxford Economics'!$A$6:$AZ$6,0),MATCH(AF$5&amp;"",'Oxford Economics'!$A$6:$AZ$6,0))),'Oxford Economics'!$A$7:$A$1000,$C22,'Oxford Economics'!$B$7:$B$1000,Settings!$B$14)+SUMIFS(INDEX('Oxford Economics'!$A$7:$AZ$1000,0,IFERROR(MATCH(AF$5,'Oxford Economics'!$A$6:$AZ$6,0),MATCH(AF$5&amp;"",'Oxford Economics'!$A$6:$AZ$6,0))),'Oxford Economics'!$A$7:$A$1000,$C22,'Oxford Economics'!$B$7:$B$1000,Settings!$B$16)+IF(Settings!$B$18="",0,SUMIFS(INDEX('Oxford Economics'!$A$7:$AZ$1000,0,IFERROR(MATCH(AF$5,'Oxford Economics'!$A$6:$AZ$6,0),MATCH(AF$5&amp;"",'Oxford Economics'!$A$6:$AZ$6,0))),'Oxford Economics'!$A$7:$A$1000,$C22,'Oxford Economics'!$B$7:$B$1000,Settings!$B$18)))),""))</f>
        <v>2054.1</v>
      </c>
      <c r="AG22" s="38" t="n">
        <f aca="false">IF($A22="","",IFERROR(1/(1/IF($B22="Residential",SUMIFS(INDEX('Oxford Economics'!$A$7:$AZ$1000,0,IFERROR(MATCH(AG$5,'Oxford Economics'!$A$6:$AZ$6,0),MATCH(AG$5&amp;"",'Oxford Economics'!$A$6:$AZ$6,0))),'Oxford Economics'!$A$7:$A$1000,$C22,'Oxford Economics'!$B$7:$B$1000,Settings!$B$12)-SUMIFS(INDEX('Oxford Economics'!$A$7:$AZ$1000,0,IFERROR(MATCH(AG$5,'Oxford Economics'!$A$6:$AZ$6,0),MATCH(AG$5&amp;"",'Oxford Economics'!$A$6:$AZ$6,0))),'Oxford Economics'!$A$7:$A$1000,$C22,'Oxford Economics'!$B$7:$B$1000,Settings!$B$14),SUMIFS(INDEX('Oxford Economics'!$A$7:$AZ$1000,0,IFERROR(MATCH(AG$5,'Oxford Economics'!$A$6:$AZ$6,0),MATCH(AG$5&amp;"",'Oxford Economics'!$A$6:$AZ$6,0))),'Oxford Economics'!$A$7:$A$1000,$C22,'Oxford Economics'!$B$7:$B$1000,Settings!$B$14)+SUMIFS(INDEX('Oxford Economics'!$A$7:$AZ$1000,0,IFERROR(MATCH(AG$5,'Oxford Economics'!$A$6:$AZ$6,0),MATCH(AG$5&amp;"",'Oxford Economics'!$A$6:$AZ$6,0))),'Oxford Economics'!$A$7:$A$1000,$C22,'Oxford Economics'!$B$7:$B$1000,Settings!$B$16)+IF(Settings!$B$18="",0,SUMIFS(INDEX('Oxford Economics'!$A$7:$AZ$1000,0,IFERROR(MATCH(AG$5,'Oxford Economics'!$A$6:$AZ$6,0),MATCH(AG$5&amp;"",'Oxford Economics'!$A$6:$AZ$6,0))),'Oxford Economics'!$A$7:$A$1000,$C22,'Oxford Economics'!$B$7:$B$1000,Settings!$B$18)))),""))</f>
        <v>1939.99</v>
      </c>
      <c r="AH22" s="38" t="n">
        <f aca="false">IF($A22="","",IFERROR(1/(1/IF($B22="Residential",SUMIFS(INDEX('Oxford Economics'!$A$7:$AZ$1000,0,IFERROR(MATCH(AH$5,'Oxford Economics'!$A$6:$AZ$6,0),MATCH(AH$5&amp;"",'Oxford Economics'!$A$6:$AZ$6,0))),'Oxford Economics'!$A$7:$A$1000,$C22,'Oxford Economics'!$B$7:$B$1000,Settings!$B$12)-SUMIFS(INDEX('Oxford Economics'!$A$7:$AZ$1000,0,IFERROR(MATCH(AH$5,'Oxford Economics'!$A$6:$AZ$6,0),MATCH(AH$5&amp;"",'Oxford Economics'!$A$6:$AZ$6,0))),'Oxford Economics'!$A$7:$A$1000,$C22,'Oxford Economics'!$B$7:$B$1000,Settings!$B$14),SUMIFS(INDEX('Oxford Economics'!$A$7:$AZ$1000,0,IFERROR(MATCH(AH$5,'Oxford Economics'!$A$6:$AZ$6,0),MATCH(AH$5&amp;"",'Oxford Economics'!$A$6:$AZ$6,0))),'Oxford Economics'!$A$7:$A$1000,$C22,'Oxford Economics'!$B$7:$B$1000,Settings!$B$14)+SUMIFS(INDEX('Oxford Economics'!$A$7:$AZ$1000,0,IFERROR(MATCH(AH$5,'Oxford Economics'!$A$6:$AZ$6,0),MATCH(AH$5&amp;"",'Oxford Economics'!$A$6:$AZ$6,0))),'Oxford Economics'!$A$7:$A$1000,$C22,'Oxford Economics'!$B$7:$B$1000,Settings!$B$16)+IF(Settings!$B$18="",0,SUMIFS(INDEX('Oxford Economics'!$A$7:$AZ$1000,0,IFERROR(MATCH(AH$5,'Oxford Economics'!$A$6:$AZ$6,0),MATCH(AH$5&amp;"",'Oxford Economics'!$A$6:$AZ$6,0))),'Oxford Economics'!$A$7:$A$1000,$C22,'Oxford Economics'!$B$7:$B$1000,Settings!$B$18)))),""))</f>
        <v>2127.12</v>
      </c>
      <c r="AI22" s="38" t="n">
        <f aca="false">IF($A22="","",IFERROR(1/(1/IF($B22="Residential",SUMIFS(INDEX('Oxford Economics'!$A$7:$AZ$1000,0,IFERROR(MATCH(AI$5,'Oxford Economics'!$A$6:$AZ$6,0),MATCH(AI$5&amp;"",'Oxford Economics'!$A$6:$AZ$6,0))),'Oxford Economics'!$A$7:$A$1000,$C22,'Oxford Economics'!$B$7:$B$1000,Settings!$B$12)-SUMIFS(INDEX('Oxford Economics'!$A$7:$AZ$1000,0,IFERROR(MATCH(AI$5,'Oxford Economics'!$A$6:$AZ$6,0),MATCH(AI$5&amp;"",'Oxford Economics'!$A$6:$AZ$6,0))),'Oxford Economics'!$A$7:$A$1000,$C22,'Oxford Economics'!$B$7:$B$1000,Settings!$B$14),SUMIFS(INDEX('Oxford Economics'!$A$7:$AZ$1000,0,IFERROR(MATCH(AI$5,'Oxford Economics'!$A$6:$AZ$6,0),MATCH(AI$5&amp;"",'Oxford Economics'!$A$6:$AZ$6,0))),'Oxford Economics'!$A$7:$A$1000,$C22,'Oxford Economics'!$B$7:$B$1000,Settings!$B$14)+SUMIFS(INDEX('Oxford Economics'!$A$7:$AZ$1000,0,IFERROR(MATCH(AI$5,'Oxford Economics'!$A$6:$AZ$6,0),MATCH(AI$5&amp;"",'Oxford Economics'!$A$6:$AZ$6,0))),'Oxford Economics'!$A$7:$A$1000,$C22,'Oxford Economics'!$B$7:$B$1000,Settings!$B$16)+IF(Settings!$B$18="",0,SUMIFS(INDEX('Oxford Economics'!$A$7:$AZ$1000,0,IFERROR(MATCH(AI$5,'Oxford Economics'!$A$6:$AZ$6,0),MATCH(AI$5&amp;"",'Oxford Economics'!$A$6:$AZ$6,0))),'Oxford Economics'!$A$7:$A$1000,$C22,'Oxford Economics'!$B$7:$B$1000,Settings!$B$18)))),""))</f>
        <v>2369.41</v>
      </c>
      <c r="AJ22" s="38" t="n">
        <f aca="false">IF($A22="","",IFERROR(1/(1/IF($B22="Residential",SUMIFS(INDEX('Oxford Economics'!$A$7:$AZ$1000,0,IFERROR(MATCH(AJ$5,'Oxford Economics'!$A$6:$AZ$6,0),MATCH(AJ$5&amp;"",'Oxford Economics'!$A$6:$AZ$6,0))),'Oxford Economics'!$A$7:$A$1000,$C22,'Oxford Economics'!$B$7:$B$1000,Settings!$B$12)-SUMIFS(INDEX('Oxford Economics'!$A$7:$AZ$1000,0,IFERROR(MATCH(AJ$5,'Oxford Economics'!$A$6:$AZ$6,0),MATCH(AJ$5&amp;"",'Oxford Economics'!$A$6:$AZ$6,0))),'Oxford Economics'!$A$7:$A$1000,$C22,'Oxford Economics'!$B$7:$B$1000,Settings!$B$14),SUMIFS(INDEX('Oxford Economics'!$A$7:$AZ$1000,0,IFERROR(MATCH(AJ$5,'Oxford Economics'!$A$6:$AZ$6,0),MATCH(AJ$5&amp;"",'Oxford Economics'!$A$6:$AZ$6,0))),'Oxford Economics'!$A$7:$A$1000,$C22,'Oxford Economics'!$B$7:$B$1000,Settings!$B$14)+SUMIFS(INDEX('Oxford Economics'!$A$7:$AZ$1000,0,IFERROR(MATCH(AJ$5,'Oxford Economics'!$A$6:$AZ$6,0),MATCH(AJ$5&amp;"",'Oxford Economics'!$A$6:$AZ$6,0))),'Oxford Economics'!$A$7:$A$1000,$C22,'Oxford Economics'!$B$7:$B$1000,Settings!$B$16)+IF(Settings!$B$18="",0,SUMIFS(INDEX('Oxford Economics'!$A$7:$AZ$1000,0,IFERROR(MATCH(AJ$5,'Oxford Economics'!$A$6:$AZ$6,0),MATCH(AJ$5&amp;"",'Oxford Economics'!$A$6:$AZ$6,0))),'Oxford Economics'!$A$7:$A$1000,$C22,'Oxford Economics'!$B$7:$B$1000,Settings!$B$18)))),""))</f>
        <v>2493.12</v>
      </c>
      <c r="AK22" s="38" t="n">
        <f aca="false">IF($A22="","",IFERROR(1/(1/IF($B22="Residential",SUMIFS(INDEX('Oxford Economics'!$A$7:$AZ$1000,0,IFERROR(MATCH(AK$5,'Oxford Economics'!$A$6:$AZ$6,0),MATCH(AK$5&amp;"",'Oxford Economics'!$A$6:$AZ$6,0))),'Oxford Economics'!$A$7:$A$1000,$C22,'Oxford Economics'!$B$7:$B$1000,Settings!$B$12)-SUMIFS(INDEX('Oxford Economics'!$A$7:$AZ$1000,0,IFERROR(MATCH(AK$5,'Oxford Economics'!$A$6:$AZ$6,0),MATCH(AK$5&amp;"",'Oxford Economics'!$A$6:$AZ$6,0))),'Oxford Economics'!$A$7:$A$1000,$C22,'Oxford Economics'!$B$7:$B$1000,Settings!$B$14),SUMIFS(INDEX('Oxford Economics'!$A$7:$AZ$1000,0,IFERROR(MATCH(AK$5,'Oxford Economics'!$A$6:$AZ$6,0),MATCH(AK$5&amp;"",'Oxford Economics'!$A$6:$AZ$6,0))),'Oxford Economics'!$A$7:$A$1000,$C22,'Oxford Economics'!$B$7:$B$1000,Settings!$B$14)+SUMIFS(INDEX('Oxford Economics'!$A$7:$AZ$1000,0,IFERROR(MATCH(AK$5,'Oxford Economics'!$A$6:$AZ$6,0),MATCH(AK$5&amp;"",'Oxford Economics'!$A$6:$AZ$6,0))),'Oxford Economics'!$A$7:$A$1000,$C22,'Oxford Economics'!$B$7:$B$1000,Settings!$B$16)+IF(Settings!$B$18="",0,SUMIFS(INDEX('Oxford Economics'!$A$7:$AZ$1000,0,IFERROR(MATCH(AK$5,'Oxford Economics'!$A$6:$AZ$6,0),MATCH(AK$5&amp;"",'Oxford Economics'!$A$6:$AZ$6,0))),'Oxford Economics'!$A$7:$A$1000,$C22,'Oxford Economics'!$B$7:$B$1000,Settings!$B$18)))),""))</f>
        <v>2590.53</v>
      </c>
      <c r="AL22" s="38" t="n">
        <f aca="false">IF($A22="","",IFERROR(1/(1/IF($B22="Residential",SUMIFS(INDEX('Oxford Economics'!$A$7:$AZ$1000,0,IFERROR(MATCH(AL$5,'Oxford Economics'!$A$6:$AZ$6,0),MATCH(AL$5&amp;"",'Oxford Economics'!$A$6:$AZ$6,0))),'Oxford Economics'!$A$7:$A$1000,$C22,'Oxford Economics'!$B$7:$B$1000,Settings!$B$12)-SUMIFS(INDEX('Oxford Economics'!$A$7:$AZ$1000,0,IFERROR(MATCH(AL$5,'Oxford Economics'!$A$6:$AZ$6,0),MATCH(AL$5&amp;"",'Oxford Economics'!$A$6:$AZ$6,0))),'Oxford Economics'!$A$7:$A$1000,$C22,'Oxford Economics'!$B$7:$B$1000,Settings!$B$14),SUMIFS(INDEX('Oxford Economics'!$A$7:$AZ$1000,0,IFERROR(MATCH(AL$5,'Oxford Economics'!$A$6:$AZ$6,0),MATCH(AL$5&amp;"",'Oxford Economics'!$A$6:$AZ$6,0))),'Oxford Economics'!$A$7:$A$1000,$C22,'Oxford Economics'!$B$7:$B$1000,Settings!$B$14)+SUMIFS(INDEX('Oxford Economics'!$A$7:$AZ$1000,0,IFERROR(MATCH(AL$5,'Oxford Economics'!$A$6:$AZ$6,0),MATCH(AL$5&amp;"",'Oxford Economics'!$A$6:$AZ$6,0))),'Oxford Economics'!$A$7:$A$1000,$C22,'Oxford Economics'!$B$7:$B$1000,Settings!$B$16)+IF(Settings!$B$18="",0,SUMIFS(INDEX('Oxford Economics'!$A$7:$AZ$1000,0,IFERROR(MATCH(AL$5,'Oxford Economics'!$A$6:$AZ$6,0),MATCH(AL$5&amp;"",'Oxford Economics'!$A$6:$AZ$6,0))),'Oxford Economics'!$A$7:$A$1000,$C22,'Oxford Economics'!$B$7:$B$1000,Settings!$B$18)))),""))</f>
        <v>2636.05</v>
      </c>
      <c r="AM22" s="38" t="n">
        <f aca="false">IF($A22="","",IFERROR(1/(1/IF($B22="Residential",SUMIFS(INDEX('Oxford Economics'!$A$7:$AZ$1000,0,IFERROR(MATCH(AM$5,'Oxford Economics'!$A$6:$AZ$6,0),MATCH(AM$5&amp;"",'Oxford Economics'!$A$6:$AZ$6,0))),'Oxford Economics'!$A$7:$A$1000,$C22,'Oxford Economics'!$B$7:$B$1000,Settings!$B$12)-SUMIFS(INDEX('Oxford Economics'!$A$7:$AZ$1000,0,IFERROR(MATCH(AM$5,'Oxford Economics'!$A$6:$AZ$6,0),MATCH(AM$5&amp;"",'Oxford Economics'!$A$6:$AZ$6,0))),'Oxford Economics'!$A$7:$A$1000,$C22,'Oxford Economics'!$B$7:$B$1000,Settings!$B$14),SUMIFS(INDEX('Oxford Economics'!$A$7:$AZ$1000,0,IFERROR(MATCH(AM$5,'Oxford Economics'!$A$6:$AZ$6,0),MATCH(AM$5&amp;"",'Oxford Economics'!$A$6:$AZ$6,0))),'Oxford Economics'!$A$7:$A$1000,$C22,'Oxford Economics'!$B$7:$B$1000,Settings!$B$14)+SUMIFS(INDEX('Oxford Economics'!$A$7:$AZ$1000,0,IFERROR(MATCH(AM$5,'Oxford Economics'!$A$6:$AZ$6,0),MATCH(AM$5&amp;"",'Oxford Economics'!$A$6:$AZ$6,0))),'Oxford Economics'!$A$7:$A$1000,$C22,'Oxford Economics'!$B$7:$B$1000,Settings!$B$16)+IF(Settings!$B$18="",0,SUMIFS(INDEX('Oxford Economics'!$A$7:$AZ$1000,0,IFERROR(MATCH(AM$5,'Oxford Economics'!$A$6:$AZ$6,0),MATCH(AM$5&amp;"",'Oxford Economics'!$A$6:$AZ$6,0))),'Oxford Economics'!$A$7:$A$1000,$C22,'Oxford Economics'!$B$7:$B$1000,Settings!$B$18)))),""))</f>
        <v>2653.32</v>
      </c>
    </row>
    <row r="23" customFormat="false" ht="15" hidden="false" customHeight="false" outlineLevel="0" collapsed="false">
      <c r="A23" s="37" t="str">
        <f aca="false">IF('Raw data'!$A23="","",'Raw data'!$A23)</f>
        <v>Hungary</v>
      </c>
      <c r="B23" s="37" t="str">
        <f aca="false">IF($A23="","",'Raw data'!$C23)</f>
        <v>Commercial</v>
      </c>
      <c r="C23" s="37" t="str">
        <f aca="false">IF($A23="","",IF('Raw data'!$E23="",$A23,'Raw data'!$E23))</f>
        <v>Hungary</v>
      </c>
      <c r="D23" s="38" t="n">
        <f aca="false">IF($A23="","",IF(AND(ISNUMBER(P23),ISNUMBER(AB23)),P23+AB23,""))</f>
        <v>3684.96</v>
      </c>
      <c r="E23" s="38" t="n">
        <f aca="false">IF($A23="","",IF(AND(ISNUMBER(Q23),ISNUMBER(AC23)),Q23+AC23,""))</f>
        <v>3981.61</v>
      </c>
      <c r="F23" s="38" t="n">
        <f aca="false">IF($A23="","",IF(AND(ISNUMBER(R23),ISNUMBER(AD23)),R23+AD23,""))</f>
        <v>4264.05</v>
      </c>
      <c r="G23" s="38" t="n">
        <f aca="false">IF($A23="","",IF(AND(ISNUMBER(S23),ISNUMBER(AE23)),S23+AE23,""))</f>
        <v>3929.81</v>
      </c>
      <c r="H23" s="38" t="n">
        <f aca="false">IF($A23="","",IF(AND(ISNUMBER(T23),ISNUMBER(AF23)),T23+AF23,""))</f>
        <v>3964.86</v>
      </c>
      <c r="I23" s="38" t="n">
        <f aca="false">IF($A23="","",IF(AND(ISNUMBER(U23),ISNUMBER(AG23)),U23+AG23,""))</f>
        <v>3843.27</v>
      </c>
      <c r="J23" s="38" t="n">
        <f aca="false">IF($A23="","",IF(AND(ISNUMBER(V23),ISNUMBER(AH23)),V23+AH23,""))</f>
        <v>4291.72</v>
      </c>
      <c r="K23" s="38" t="n">
        <f aca="false">IF($A23="","",IF(AND(ISNUMBER(W23),ISNUMBER(AI23)),W23+AI23,""))</f>
        <v>4359.72</v>
      </c>
      <c r="L23" s="38" t="n">
        <f aca="false">IF($A23="","",IF(AND(ISNUMBER(X23),ISNUMBER(AJ23)),X23+AJ23,""))</f>
        <v>4583.3</v>
      </c>
      <c r="M23" s="38" t="n">
        <f aca="false">IF($A23="","",IF(AND(ISNUMBER(Y23),ISNUMBER(AK23)),Y23+AK23,""))</f>
        <v>4759.58</v>
      </c>
      <c r="N23" s="38" t="n">
        <f aca="false">IF($A23="","",IF(AND(ISNUMBER(Z23),ISNUMBER(AL23)),Z23+AL23,""))</f>
        <v>4858.97</v>
      </c>
      <c r="O23" s="38" t="n">
        <f aca="false">IF($A23="","",IF(AND(ISNUMBER(AA23),ISNUMBER(AM23)),AA23+AM23,""))</f>
        <v>4900.29</v>
      </c>
      <c r="P23" s="38" t="n">
        <f aca="false">IF($A23="","",IFERROR(1/(1/IF($B23="Residential",SUMIFS(INDEX('Oxford Economics'!$A$7:$AZ$1000,0,IFERROR(MATCH(P$5,'Oxford Economics'!$A$6:$AZ$6,0),MATCH(P$5&amp;"",'Oxford Economics'!$A$6:$AZ$6,0))),'Oxford Economics'!$A$7:$A$1000,$C23,'Oxford Economics'!$B$7:$B$1000,Settings!$B$13)-SUMIFS(INDEX('Oxford Economics'!$A$7:$AZ$1000,0,IFERROR(MATCH(P$5,'Oxford Economics'!$A$6:$AZ$6,0),MATCH(P$5&amp;"",'Oxford Economics'!$A$6:$AZ$6,0))),'Oxford Economics'!$A$7:$A$1000,$C23,'Oxford Economics'!$B$7:$B$1000,Settings!$B$15),SUMIFS(INDEX('Oxford Economics'!$A$7:$AZ$1000,0,IFERROR(MATCH(P$5,'Oxford Economics'!$A$6:$AZ$6,0),MATCH(P$5&amp;"",'Oxford Economics'!$A$6:$AZ$6,0))),'Oxford Economics'!$A$7:$A$1000,$C23,'Oxford Economics'!$B$7:$B$1000,Settings!$B$15)+SUMIFS(INDEX('Oxford Economics'!$A$7:$AZ$1000,0,IFERROR(MATCH(P$5,'Oxford Economics'!$A$6:$AZ$6,0),MATCH(P$5&amp;"",'Oxford Economics'!$A$6:$AZ$6,0))),'Oxford Economics'!$A$7:$A$1000,$C23,'Oxford Economics'!$B$7:$B$1000,Settings!$B$17)+IF(Settings!$B$19="",0,SUMIFS(INDEX('Oxford Economics'!$A$7:$AZ$1000,0,IFERROR(MATCH(P$5,'Oxford Economics'!$A$6:$AZ$6,0),MATCH(P$5&amp;"",'Oxford Economics'!$A$6:$AZ$6,0))),'Oxford Economics'!$A$7:$A$1000,$C23,'Oxford Economics'!$B$7:$B$1000,Settings!$B$19)))),""))</f>
        <v>1541.2</v>
      </c>
      <c r="Q23" s="38" t="n">
        <f aca="false">IF($A23="","",IFERROR(1/(1/IF($B23="Residential",SUMIFS(INDEX('Oxford Economics'!$A$7:$AZ$1000,0,IFERROR(MATCH(Q$5,'Oxford Economics'!$A$6:$AZ$6,0),MATCH(Q$5&amp;"",'Oxford Economics'!$A$6:$AZ$6,0))),'Oxford Economics'!$A$7:$A$1000,$C23,'Oxford Economics'!$B$7:$B$1000,Settings!$B$13)-SUMIFS(INDEX('Oxford Economics'!$A$7:$AZ$1000,0,IFERROR(MATCH(Q$5,'Oxford Economics'!$A$6:$AZ$6,0),MATCH(Q$5&amp;"",'Oxford Economics'!$A$6:$AZ$6,0))),'Oxford Economics'!$A$7:$A$1000,$C23,'Oxford Economics'!$B$7:$B$1000,Settings!$B$15),SUMIFS(INDEX('Oxford Economics'!$A$7:$AZ$1000,0,IFERROR(MATCH(Q$5,'Oxford Economics'!$A$6:$AZ$6,0),MATCH(Q$5&amp;"",'Oxford Economics'!$A$6:$AZ$6,0))),'Oxford Economics'!$A$7:$A$1000,$C23,'Oxford Economics'!$B$7:$B$1000,Settings!$B$15)+SUMIFS(INDEX('Oxford Economics'!$A$7:$AZ$1000,0,IFERROR(MATCH(Q$5,'Oxford Economics'!$A$6:$AZ$6,0),MATCH(Q$5&amp;"",'Oxford Economics'!$A$6:$AZ$6,0))),'Oxford Economics'!$A$7:$A$1000,$C23,'Oxford Economics'!$B$7:$B$1000,Settings!$B$17)+IF(Settings!$B$19="",0,SUMIFS(INDEX('Oxford Economics'!$A$7:$AZ$1000,0,IFERROR(MATCH(Q$5,'Oxford Economics'!$A$6:$AZ$6,0),MATCH(Q$5&amp;"",'Oxford Economics'!$A$6:$AZ$6,0))),'Oxford Economics'!$A$7:$A$1000,$C23,'Oxford Economics'!$B$7:$B$1000,Settings!$B$19)))),""))</f>
        <v>1977.78</v>
      </c>
      <c r="R23" s="38" t="n">
        <f aca="false">IF($A23="","",IFERROR(1/(1/IF($B23="Residential",SUMIFS(INDEX('Oxford Economics'!$A$7:$AZ$1000,0,IFERROR(MATCH(R$5,'Oxford Economics'!$A$6:$AZ$6,0),MATCH(R$5&amp;"",'Oxford Economics'!$A$6:$AZ$6,0))),'Oxford Economics'!$A$7:$A$1000,$C23,'Oxford Economics'!$B$7:$B$1000,Settings!$B$13)-SUMIFS(INDEX('Oxford Economics'!$A$7:$AZ$1000,0,IFERROR(MATCH(R$5,'Oxford Economics'!$A$6:$AZ$6,0),MATCH(R$5&amp;"",'Oxford Economics'!$A$6:$AZ$6,0))),'Oxford Economics'!$A$7:$A$1000,$C23,'Oxford Economics'!$B$7:$B$1000,Settings!$B$15),SUMIFS(INDEX('Oxford Economics'!$A$7:$AZ$1000,0,IFERROR(MATCH(R$5,'Oxford Economics'!$A$6:$AZ$6,0),MATCH(R$5&amp;"",'Oxford Economics'!$A$6:$AZ$6,0))),'Oxford Economics'!$A$7:$A$1000,$C23,'Oxford Economics'!$B$7:$B$1000,Settings!$B$15)+SUMIFS(INDEX('Oxford Economics'!$A$7:$AZ$1000,0,IFERROR(MATCH(R$5,'Oxford Economics'!$A$6:$AZ$6,0),MATCH(R$5&amp;"",'Oxford Economics'!$A$6:$AZ$6,0))),'Oxford Economics'!$A$7:$A$1000,$C23,'Oxford Economics'!$B$7:$B$1000,Settings!$B$17)+IF(Settings!$B$19="",0,SUMIFS(INDEX('Oxford Economics'!$A$7:$AZ$1000,0,IFERROR(MATCH(R$5,'Oxford Economics'!$A$6:$AZ$6,0),MATCH(R$5&amp;"",'Oxford Economics'!$A$6:$AZ$6,0))),'Oxford Economics'!$A$7:$A$1000,$C23,'Oxford Economics'!$B$7:$B$1000,Settings!$B$19)))),""))</f>
        <v>2161.55</v>
      </c>
      <c r="S23" s="38" t="n">
        <f aca="false">IF($A23="","",IFERROR(1/(1/IF($B23="Residential",SUMIFS(INDEX('Oxford Economics'!$A$7:$AZ$1000,0,IFERROR(MATCH(S$5,'Oxford Economics'!$A$6:$AZ$6,0),MATCH(S$5&amp;"",'Oxford Economics'!$A$6:$AZ$6,0))),'Oxford Economics'!$A$7:$A$1000,$C23,'Oxford Economics'!$B$7:$B$1000,Settings!$B$13)-SUMIFS(INDEX('Oxford Economics'!$A$7:$AZ$1000,0,IFERROR(MATCH(S$5,'Oxford Economics'!$A$6:$AZ$6,0),MATCH(S$5&amp;"",'Oxford Economics'!$A$6:$AZ$6,0))),'Oxford Economics'!$A$7:$A$1000,$C23,'Oxford Economics'!$B$7:$B$1000,Settings!$B$15),SUMIFS(INDEX('Oxford Economics'!$A$7:$AZ$1000,0,IFERROR(MATCH(S$5,'Oxford Economics'!$A$6:$AZ$6,0),MATCH(S$5&amp;"",'Oxford Economics'!$A$6:$AZ$6,0))),'Oxford Economics'!$A$7:$A$1000,$C23,'Oxford Economics'!$B$7:$B$1000,Settings!$B$15)+SUMIFS(INDEX('Oxford Economics'!$A$7:$AZ$1000,0,IFERROR(MATCH(S$5,'Oxford Economics'!$A$6:$AZ$6,0),MATCH(S$5&amp;"",'Oxford Economics'!$A$6:$AZ$6,0))),'Oxford Economics'!$A$7:$A$1000,$C23,'Oxford Economics'!$B$7:$B$1000,Settings!$B$17)+IF(Settings!$B$19="",0,SUMIFS(INDEX('Oxford Economics'!$A$7:$AZ$1000,0,IFERROR(MATCH(S$5,'Oxford Economics'!$A$6:$AZ$6,0),MATCH(S$5&amp;"",'Oxford Economics'!$A$6:$AZ$6,0))),'Oxford Economics'!$A$7:$A$1000,$C23,'Oxford Economics'!$B$7:$B$1000,Settings!$B$19)))),""))</f>
        <v>1828.76</v>
      </c>
      <c r="T23" s="38" t="n">
        <f aca="false">IF($A23="","",IFERROR(1/(1/IF($B23="Residential",SUMIFS(INDEX('Oxford Economics'!$A$7:$AZ$1000,0,IFERROR(MATCH(T$5,'Oxford Economics'!$A$6:$AZ$6,0),MATCH(T$5&amp;"",'Oxford Economics'!$A$6:$AZ$6,0))),'Oxford Economics'!$A$7:$A$1000,$C23,'Oxford Economics'!$B$7:$B$1000,Settings!$B$13)-SUMIFS(INDEX('Oxford Economics'!$A$7:$AZ$1000,0,IFERROR(MATCH(T$5,'Oxford Economics'!$A$6:$AZ$6,0),MATCH(T$5&amp;"",'Oxford Economics'!$A$6:$AZ$6,0))),'Oxford Economics'!$A$7:$A$1000,$C23,'Oxford Economics'!$B$7:$B$1000,Settings!$B$15),SUMIFS(INDEX('Oxford Economics'!$A$7:$AZ$1000,0,IFERROR(MATCH(T$5,'Oxford Economics'!$A$6:$AZ$6,0),MATCH(T$5&amp;"",'Oxford Economics'!$A$6:$AZ$6,0))),'Oxford Economics'!$A$7:$A$1000,$C23,'Oxford Economics'!$B$7:$B$1000,Settings!$B$15)+SUMIFS(INDEX('Oxford Economics'!$A$7:$AZ$1000,0,IFERROR(MATCH(T$5,'Oxford Economics'!$A$6:$AZ$6,0),MATCH(T$5&amp;"",'Oxford Economics'!$A$6:$AZ$6,0))),'Oxford Economics'!$A$7:$A$1000,$C23,'Oxford Economics'!$B$7:$B$1000,Settings!$B$17)+IF(Settings!$B$19="",0,SUMIFS(INDEX('Oxford Economics'!$A$7:$AZ$1000,0,IFERROR(MATCH(T$5,'Oxford Economics'!$A$6:$AZ$6,0),MATCH(T$5&amp;"",'Oxford Economics'!$A$6:$AZ$6,0))),'Oxford Economics'!$A$7:$A$1000,$C23,'Oxford Economics'!$B$7:$B$1000,Settings!$B$19)))),""))</f>
        <v>1910.76</v>
      </c>
      <c r="U23" s="38" t="n">
        <f aca="false">IF($A23="","",IFERROR(1/(1/IF($B23="Residential",SUMIFS(INDEX('Oxford Economics'!$A$7:$AZ$1000,0,IFERROR(MATCH(U$5,'Oxford Economics'!$A$6:$AZ$6,0),MATCH(U$5&amp;"",'Oxford Economics'!$A$6:$AZ$6,0))),'Oxford Economics'!$A$7:$A$1000,$C23,'Oxford Economics'!$B$7:$B$1000,Settings!$B$13)-SUMIFS(INDEX('Oxford Economics'!$A$7:$AZ$1000,0,IFERROR(MATCH(U$5,'Oxford Economics'!$A$6:$AZ$6,0),MATCH(U$5&amp;"",'Oxford Economics'!$A$6:$AZ$6,0))),'Oxford Economics'!$A$7:$A$1000,$C23,'Oxford Economics'!$B$7:$B$1000,Settings!$B$15),SUMIFS(INDEX('Oxford Economics'!$A$7:$AZ$1000,0,IFERROR(MATCH(U$5,'Oxford Economics'!$A$6:$AZ$6,0),MATCH(U$5&amp;"",'Oxford Economics'!$A$6:$AZ$6,0))),'Oxford Economics'!$A$7:$A$1000,$C23,'Oxford Economics'!$B$7:$B$1000,Settings!$B$15)+SUMIFS(INDEX('Oxford Economics'!$A$7:$AZ$1000,0,IFERROR(MATCH(U$5,'Oxford Economics'!$A$6:$AZ$6,0),MATCH(U$5&amp;"",'Oxford Economics'!$A$6:$AZ$6,0))),'Oxford Economics'!$A$7:$A$1000,$C23,'Oxford Economics'!$B$7:$B$1000,Settings!$B$17)+IF(Settings!$B$19="",0,SUMIFS(INDEX('Oxford Economics'!$A$7:$AZ$1000,0,IFERROR(MATCH(U$5,'Oxford Economics'!$A$6:$AZ$6,0),MATCH(U$5&amp;"",'Oxford Economics'!$A$6:$AZ$6,0))),'Oxford Economics'!$A$7:$A$1000,$C23,'Oxford Economics'!$B$7:$B$1000,Settings!$B$19)))),""))</f>
        <v>1903.28</v>
      </c>
      <c r="V23" s="38" t="n">
        <f aca="false">IF($A23="","",IFERROR(1/(1/IF($B23="Residential",SUMIFS(INDEX('Oxford Economics'!$A$7:$AZ$1000,0,IFERROR(MATCH(V$5,'Oxford Economics'!$A$6:$AZ$6,0),MATCH(V$5&amp;"",'Oxford Economics'!$A$6:$AZ$6,0))),'Oxford Economics'!$A$7:$A$1000,$C23,'Oxford Economics'!$B$7:$B$1000,Settings!$B$13)-SUMIFS(INDEX('Oxford Economics'!$A$7:$AZ$1000,0,IFERROR(MATCH(V$5,'Oxford Economics'!$A$6:$AZ$6,0),MATCH(V$5&amp;"",'Oxford Economics'!$A$6:$AZ$6,0))),'Oxford Economics'!$A$7:$A$1000,$C23,'Oxford Economics'!$B$7:$B$1000,Settings!$B$15),SUMIFS(INDEX('Oxford Economics'!$A$7:$AZ$1000,0,IFERROR(MATCH(V$5,'Oxford Economics'!$A$6:$AZ$6,0),MATCH(V$5&amp;"",'Oxford Economics'!$A$6:$AZ$6,0))),'Oxford Economics'!$A$7:$A$1000,$C23,'Oxford Economics'!$B$7:$B$1000,Settings!$B$15)+SUMIFS(INDEX('Oxford Economics'!$A$7:$AZ$1000,0,IFERROR(MATCH(V$5,'Oxford Economics'!$A$6:$AZ$6,0),MATCH(V$5&amp;"",'Oxford Economics'!$A$6:$AZ$6,0))),'Oxford Economics'!$A$7:$A$1000,$C23,'Oxford Economics'!$B$7:$B$1000,Settings!$B$17)+IF(Settings!$B$19="",0,SUMIFS(INDEX('Oxford Economics'!$A$7:$AZ$1000,0,IFERROR(MATCH(V$5,'Oxford Economics'!$A$6:$AZ$6,0),MATCH(V$5&amp;"",'Oxford Economics'!$A$6:$AZ$6,0))),'Oxford Economics'!$A$7:$A$1000,$C23,'Oxford Economics'!$B$7:$B$1000,Settings!$B$19)))),""))</f>
        <v>2164.6</v>
      </c>
      <c r="W23" s="38" t="n">
        <f aca="false">IF($A23="","",IFERROR(1/(1/IF($B23="Residential",SUMIFS(INDEX('Oxford Economics'!$A$7:$AZ$1000,0,IFERROR(MATCH(W$5,'Oxford Economics'!$A$6:$AZ$6,0),MATCH(W$5&amp;"",'Oxford Economics'!$A$6:$AZ$6,0))),'Oxford Economics'!$A$7:$A$1000,$C23,'Oxford Economics'!$B$7:$B$1000,Settings!$B$13)-SUMIFS(INDEX('Oxford Economics'!$A$7:$AZ$1000,0,IFERROR(MATCH(W$5,'Oxford Economics'!$A$6:$AZ$6,0),MATCH(W$5&amp;"",'Oxford Economics'!$A$6:$AZ$6,0))),'Oxford Economics'!$A$7:$A$1000,$C23,'Oxford Economics'!$B$7:$B$1000,Settings!$B$15),SUMIFS(INDEX('Oxford Economics'!$A$7:$AZ$1000,0,IFERROR(MATCH(W$5,'Oxford Economics'!$A$6:$AZ$6,0),MATCH(W$5&amp;"",'Oxford Economics'!$A$6:$AZ$6,0))),'Oxford Economics'!$A$7:$A$1000,$C23,'Oxford Economics'!$B$7:$B$1000,Settings!$B$15)+SUMIFS(INDEX('Oxford Economics'!$A$7:$AZ$1000,0,IFERROR(MATCH(W$5,'Oxford Economics'!$A$6:$AZ$6,0),MATCH(W$5&amp;"",'Oxford Economics'!$A$6:$AZ$6,0))),'Oxford Economics'!$A$7:$A$1000,$C23,'Oxford Economics'!$B$7:$B$1000,Settings!$B$17)+IF(Settings!$B$19="",0,SUMIFS(INDEX('Oxford Economics'!$A$7:$AZ$1000,0,IFERROR(MATCH(W$5,'Oxford Economics'!$A$6:$AZ$6,0),MATCH(W$5&amp;"",'Oxford Economics'!$A$6:$AZ$6,0))),'Oxford Economics'!$A$7:$A$1000,$C23,'Oxford Economics'!$B$7:$B$1000,Settings!$B$19)))),""))</f>
        <v>1990.31</v>
      </c>
      <c r="X23" s="38" t="n">
        <f aca="false">IF($A23="","",IFERROR(1/(1/IF($B23="Residential",SUMIFS(INDEX('Oxford Economics'!$A$7:$AZ$1000,0,IFERROR(MATCH(X$5,'Oxford Economics'!$A$6:$AZ$6,0),MATCH(X$5&amp;"",'Oxford Economics'!$A$6:$AZ$6,0))),'Oxford Economics'!$A$7:$A$1000,$C23,'Oxford Economics'!$B$7:$B$1000,Settings!$B$13)-SUMIFS(INDEX('Oxford Economics'!$A$7:$AZ$1000,0,IFERROR(MATCH(X$5,'Oxford Economics'!$A$6:$AZ$6,0),MATCH(X$5&amp;"",'Oxford Economics'!$A$6:$AZ$6,0))),'Oxford Economics'!$A$7:$A$1000,$C23,'Oxford Economics'!$B$7:$B$1000,Settings!$B$15),SUMIFS(INDEX('Oxford Economics'!$A$7:$AZ$1000,0,IFERROR(MATCH(X$5,'Oxford Economics'!$A$6:$AZ$6,0),MATCH(X$5&amp;"",'Oxford Economics'!$A$6:$AZ$6,0))),'Oxford Economics'!$A$7:$A$1000,$C23,'Oxford Economics'!$B$7:$B$1000,Settings!$B$15)+SUMIFS(INDEX('Oxford Economics'!$A$7:$AZ$1000,0,IFERROR(MATCH(X$5,'Oxford Economics'!$A$6:$AZ$6,0),MATCH(X$5&amp;"",'Oxford Economics'!$A$6:$AZ$6,0))),'Oxford Economics'!$A$7:$A$1000,$C23,'Oxford Economics'!$B$7:$B$1000,Settings!$B$17)+IF(Settings!$B$19="",0,SUMIFS(INDEX('Oxford Economics'!$A$7:$AZ$1000,0,IFERROR(MATCH(X$5,'Oxford Economics'!$A$6:$AZ$6,0),MATCH(X$5&amp;"",'Oxford Economics'!$A$6:$AZ$6,0))),'Oxford Economics'!$A$7:$A$1000,$C23,'Oxford Economics'!$B$7:$B$1000,Settings!$B$19)))),""))</f>
        <v>2090.18</v>
      </c>
      <c r="Y23" s="38" t="n">
        <f aca="false">IF($A23="","",IFERROR(1/(1/IF($B23="Residential",SUMIFS(INDEX('Oxford Economics'!$A$7:$AZ$1000,0,IFERROR(MATCH(Y$5,'Oxford Economics'!$A$6:$AZ$6,0),MATCH(Y$5&amp;"",'Oxford Economics'!$A$6:$AZ$6,0))),'Oxford Economics'!$A$7:$A$1000,$C23,'Oxford Economics'!$B$7:$B$1000,Settings!$B$13)-SUMIFS(INDEX('Oxford Economics'!$A$7:$AZ$1000,0,IFERROR(MATCH(Y$5,'Oxford Economics'!$A$6:$AZ$6,0),MATCH(Y$5&amp;"",'Oxford Economics'!$A$6:$AZ$6,0))),'Oxford Economics'!$A$7:$A$1000,$C23,'Oxford Economics'!$B$7:$B$1000,Settings!$B$15),SUMIFS(INDEX('Oxford Economics'!$A$7:$AZ$1000,0,IFERROR(MATCH(Y$5,'Oxford Economics'!$A$6:$AZ$6,0),MATCH(Y$5&amp;"",'Oxford Economics'!$A$6:$AZ$6,0))),'Oxford Economics'!$A$7:$A$1000,$C23,'Oxford Economics'!$B$7:$B$1000,Settings!$B$15)+SUMIFS(INDEX('Oxford Economics'!$A$7:$AZ$1000,0,IFERROR(MATCH(Y$5,'Oxford Economics'!$A$6:$AZ$6,0),MATCH(Y$5&amp;"",'Oxford Economics'!$A$6:$AZ$6,0))),'Oxford Economics'!$A$7:$A$1000,$C23,'Oxford Economics'!$B$7:$B$1000,Settings!$B$17)+IF(Settings!$B$19="",0,SUMIFS(INDEX('Oxford Economics'!$A$7:$AZ$1000,0,IFERROR(MATCH(Y$5,'Oxford Economics'!$A$6:$AZ$6,0),MATCH(Y$5&amp;"",'Oxford Economics'!$A$6:$AZ$6,0))),'Oxford Economics'!$A$7:$A$1000,$C23,'Oxford Economics'!$B$7:$B$1000,Settings!$B$19)))),""))</f>
        <v>2169.05</v>
      </c>
      <c r="Z23" s="38" t="n">
        <f aca="false">IF($A23="","",IFERROR(1/(1/IF($B23="Residential",SUMIFS(INDEX('Oxford Economics'!$A$7:$AZ$1000,0,IFERROR(MATCH(Z$5,'Oxford Economics'!$A$6:$AZ$6,0),MATCH(Z$5&amp;"",'Oxford Economics'!$A$6:$AZ$6,0))),'Oxford Economics'!$A$7:$A$1000,$C23,'Oxford Economics'!$B$7:$B$1000,Settings!$B$13)-SUMIFS(INDEX('Oxford Economics'!$A$7:$AZ$1000,0,IFERROR(MATCH(Z$5,'Oxford Economics'!$A$6:$AZ$6,0),MATCH(Z$5&amp;"",'Oxford Economics'!$A$6:$AZ$6,0))),'Oxford Economics'!$A$7:$A$1000,$C23,'Oxford Economics'!$B$7:$B$1000,Settings!$B$15),SUMIFS(INDEX('Oxford Economics'!$A$7:$AZ$1000,0,IFERROR(MATCH(Z$5,'Oxford Economics'!$A$6:$AZ$6,0),MATCH(Z$5&amp;"",'Oxford Economics'!$A$6:$AZ$6,0))),'Oxford Economics'!$A$7:$A$1000,$C23,'Oxford Economics'!$B$7:$B$1000,Settings!$B$15)+SUMIFS(INDEX('Oxford Economics'!$A$7:$AZ$1000,0,IFERROR(MATCH(Z$5,'Oxford Economics'!$A$6:$AZ$6,0),MATCH(Z$5&amp;"",'Oxford Economics'!$A$6:$AZ$6,0))),'Oxford Economics'!$A$7:$A$1000,$C23,'Oxford Economics'!$B$7:$B$1000,Settings!$B$17)+IF(Settings!$B$19="",0,SUMIFS(INDEX('Oxford Economics'!$A$7:$AZ$1000,0,IFERROR(MATCH(Z$5,'Oxford Economics'!$A$6:$AZ$6,0),MATCH(Z$5&amp;"",'Oxford Economics'!$A$6:$AZ$6,0))),'Oxford Economics'!$A$7:$A$1000,$C23,'Oxford Economics'!$B$7:$B$1000,Settings!$B$19)))),""))</f>
        <v>2222.92</v>
      </c>
      <c r="AA23" s="38" t="n">
        <f aca="false">IF($A23="","",IFERROR(1/(1/IF($B23="Residential",SUMIFS(INDEX('Oxford Economics'!$A$7:$AZ$1000,0,IFERROR(MATCH(AA$5,'Oxford Economics'!$A$6:$AZ$6,0),MATCH(AA$5&amp;"",'Oxford Economics'!$A$6:$AZ$6,0))),'Oxford Economics'!$A$7:$A$1000,$C23,'Oxford Economics'!$B$7:$B$1000,Settings!$B$13)-SUMIFS(INDEX('Oxford Economics'!$A$7:$AZ$1000,0,IFERROR(MATCH(AA$5,'Oxford Economics'!$A$6:$AZ$6,0),MATCH(AA$5&amp;"",'Oxford Economics'!$A$6:$AZ$6,0))),'Oxford Economics'!$A$7:$A$1000,$C23,'Oxford Economics'!$B$7:$B$1000,Settings!$B$15),SUMIFS(INDEX('Oxford Economics'!$A$7:$AZ$1000,0,IFERROR(MATCH(AA$5,'Oxford Economics'!$A$6:$AZ$6,0),MATCH(AA$5&amp;"",'Oxford Economics'!$A$6:$AZ$6,0))),'Oxford Economics'!$A$7:$A$1000,$C23,'Oxford Economics'!$B$7:$B$1000,Settings!$B$15)+SUMIFS(INDEX('Oxford Economics'!$A$7:$AZ$1000,0,IFERROR(MATCH(AA$5,'Oxford Economics'!$A$6:$AZ$6,0),MATCH(AA$5&amp;"",'Oxford Economics'!$A$6:$AZ$6,0))),'Oxford Economics'!$A$7:$A$1000,$C23,'Oxford Economics'!$B$7:$B$1000,Settings!$B$17)+IF(Settings!$B$19="",0,SUMIFS(INDEX('Oxford Economics'!$A$7:$AZ$1000,0,IFERROR(MATCH(AA$5,'Oxford Economics'!$A$6:$AZ$6,0),MATCH(AA$5&amp;"",'Oxford Economics'!$A$6:$AZ$6,0))),'Oxford Economics'!$A$7:$A$1000,$C23,'Oxford Economics'!$B$7:$B$1000,Settings!$B$19)))),""))</f>
        <v>2246.97</v>
      </c>
      <c r="AB23" s="38" t="n">
        <f aca="false">IF($A23="","",IFERROR(1/(1/IF($B23="Residential",SUMIFS(INDEX('Oxford Economics'!$A$7:$AZ$1000,0,IFERROR(MATCH(AB$5,'Oxford Economics'!$A$6:$AZ$6,0),MATCH(AB$5&amp;"",'Oxford Economics'!$A$6:$AZ$6,0))),'Oxford Economics'!$A$7:$A$1000,$C23,'Oxford Economics'!$B$7:$B$1000,Settings!$B$12)-SUMIFS(INDEX('Oxford Economics'!$A$7:$AZ$1000,0,IFERROR(MATCH(AB$5,'Oxford Economics'!$A$6:$AZ$6,0),MATCH(AB$5&amp;"",'Oxford Economics'!$A$6:$AZ$6,0))),'Oxford Economics'!$A$7:$A$1000,$C23,'Oxford Economics'!$B$7:$B$1000,Settings!$B$14),SUMIFS(INDEX('Oxford Economics'!$A$7:$AZ$1000,0,IFERROR(MATCH(AB$5,'Oxford Economics'!$A$6:$AZ$6,0),MATCH(AB$5&amp;"",'Oxford Economics'!$A$6:$AZ$6,0))),'Oxford Economics'!$A$7:$A$1000,$C23,'Oxford Economics'!$B$7:$B$1000,Settings!$B$14)+SUMIFS(INDEX('Oxford Economics'!$A$7:$AZ$1000,0,IFERROR(MATCH(AB$5,'Oxford Economics'!$A$6:$AZ$6,0),MATCH(AB$5&amp;"",'Oxford Economics'!$A$6:$AZ$6,0))),'Oxford Economics'!$A$7:$A$1000,$C23,'Oxford Economics'!$B$7:$B$1000,Settings!$B$16)+IF(Settings!$B$18="",0,SUMIFS(INDEX('Oxford Economics'!$A$7:$AZ$1000,0,IFERROR(MATCH(AB$5,'Oxford Economics'!$A$6:$AZ$6,0),MATCH(AB$5&amp;"",'Oxford Economics'!$A$6:$AZ$6,0))),'Oxford Economics'!$A$7:$A$1000,$C23,'Oxford Economics'!$B$7:$B$1000,Settings!$B$18)))),""))</f>
        <v>2143.76</v>
      </c>
      <c r="AC23" s="38" t="n">
        <f aca="false">IF($A23="","",IFERROR(1/(1/IF($B23="Residential",SUMIFS(INDEX('Oxford Economics'!$A$7:$AZ$1000,0,IFERROR(MATCH(AC$5,'Oxford Economics'!$A$6:$AZ$6,0),MATCH(AC$5&amp;"",'Oxford Economics'!$A$6:$AZ$6,0))),'Oxford Economics'!$A$7:$A$1000,$C23,'Oxford Economics'!$B$7:$B$1000,Settings!$B$12)-SUMIFS(INDEX('Oxford Economics'!$A$7:$AZ$1000,0,IFERROR(MATCH(AC$5,'Oxford Economics'!$A$6:$AZ$6,0),MATCH(AC$5&amp;"",'Oxford Economics'!$A$6:$AZ$6,0))),'Oxford Economics'!$A$7:$A$1000,$C23,'Oxford Economics'!$B$7:$B$1000,Settings!$B$14),SUMIFS(INDEX('Oxford Economics'!$A$7:$AZ$1000,0,IFERROR(MATCH(AC$5,'Oxford Economics'!$A$6:$AZ$6,0),MATCH(AC$5&amp;"",'Oxford Economics'!$A$6:$AZ$6,0))),'Oxford Economics'!$A$7:$A$1000,$C23,'Oxford Economics'!$B$7:$B$1000,Settings!$B$14)+SUMIFS(INDEX('Oxford Economics'!$A$7:$AZ$1000,0,IFERROR(MATCH(AC$5,'Oxford Economics'!$A$6:$AZ$6,0),MATCH(AC$5&amp;"",'Oxford Economics'!$A$6:$AZ$6,0))),'Oxford Economics'!$A$7:$A$1000,$C23,'Oxford Economics'!$B$7:$B$1000,Settings!$B$16)+IF(Settings!$B$18="",0,SUMIFS(INDEX('Oxford Economics'!$A$7:$AZ$1000,0,IFERROR(MATCH(AC$5,'Oxford Economics'!$A$6:$AZ$6,0),MATCH(AC$5&amp;"",'Oxford Economics'!$A$6:$AZ$6,0))),'Oxford Economics'!$A$7:$A$1000,$C23,'Oxford Economics'!$B$7:$B$1000,Settings!$B$18)))),""))</f>
        <v>2003.83</v>
      </c>
      <c r="AD23" s="38" t="n">
        <f aca="false">IF($A23="","",IFERROR(1/(1/IF($B23="Residential",SUMIFS(INDEX('Oxford Economics'!$A$7:$AZ$1000,0,IFERROR(MATCH(AD$5,'Oxford Economics'!$A$6:$AZ$6,0),MATCH(AD$5&amp;"",'Oxford Economics'!$A$6:$AZ$6,0))),'Oxford Economics'!$A$7:$A$1000,$C23,'Oxford Economics'!$B$7:$B$1000,Settings!$B$12)-SUMIFS(INDEX('Oxford Economics'!$A$7:$AZ$1000,0,IFERROR(MATCH(AD$5,'Oxford Economics'!$A$6:$AZ$6,0),MATCH(AD$5&amp;"",'Oxford Economics'!$A$6:$AZ$6,0))),'Oxford Economics'!$A$7:$A$1000,$C23,'Oxford Economics'!$B$7:$B$1000,Settings!$B$14),SUMIFS(INDEX('Oxford Economics'!$A$7:$AZ$1000,0,IFERROR(MATCH(AD$5,'Oxford Economics'!$A$6:$AZ$6,0),MATCH(AD$5&amp;"",'Oxford Economics'!$A$6:$AZ$6,0))),'Oxford Economics'!$A$7:$A$1000,$C23,'Oxford Economics'!$B$7:$B$1000,Settings!$B$14)+SUMIFS(INDEX('Oxford Economics'!$A$7:$AZ$1000,0,IFERROR(MATCH(AD$5,'Oxford Economics'!$A$6:$AZ$6,0),MATCH(AD$5&amp;"",'Oxford Economics'!$A$6:$AZ$6,0))),'Oxford Economics'!$A$7:$A$1000,$C23,'Oxford Economics'!$B$7:$B$1000,Settings!$B$16)+IF(Settings!$B$18="",0,SUMIFS(INDEX('Oxford Economics'!$A$7:$AZ$1000,0,IFERROR(MATCH(AD$5,'Oxford Economics'!$A$6:$AZ$6,0),MATCH(AD$5&amp;"",'Oxford Economics'!$A$6:$AZ$6,0))),'Oxford Economics'!$A$7:$A$1000,$C23,'Oxford Economics'!$B$7:$B$1000,Settings!$B$18)))),""))</f>
        <v>2102.5</v>
      </c>
      <c r="AE23" s="38" t="n">
        <f aca="false">IF($A23="","",IFERROR(1/(1/IF($B23="Residential",SUMIFS(INDEX('Oxford Economics'!$A$7:$AZ$1000,0,IFERROR(MATCH(AE$5,'Oxford Economics'!$A$6:$AZ$6,0),MATCH(AE$5&amp;"",'Oxford Economics'!$A$6:$AZ$6,0))),'Oxford Economics'!$A$7:$A$1000,$C23,'Oxford Economics'!$B$7:$B$1000,Settings!$B$12)-SUMIFS(INDEX('Oxford Economics'!$A$7:$AZ$1000,0,IFERROR(MATCH(AE$5,'Oxford Economics'!$A$6:$AZ$6,0),MATCH(AE$5&amp;"",'Oxford Economics'!$A$6:$AZ$6,0))),'Oxford Economics'!$A$7:$A$1000,$C23,'Oxford Economics'!$B$7:$B$1000,Settings!$B$14),SUMIFS(INDEX('Oxford Economics'!$A$7:$AZ$1000,0,IFERROR(MATCH(AE$5,'Oxford Economics'!$A$6:$AZ$6,0),MATCH(AE$5&amp;"",'Oxford Economics'!$A$6:$AZ$6,0))),'Oxford Economics'!$A$7:$A$1000,$C23,'Oxford Economics'!$B$7:$B$1000,Settings!$B$14)+SUMIFS(INDEX('Oxford Economics'!$A$7:$AZ$1000,0,IFERROR(MATCH(AE$5,'Oxford Economics'!$A$6:$AZ$6,0),MATCH(AE$5&amp;"",'Oxford Economics'!$A$6:$AZ$6,0))),'Oxford Economics'!$A$7:$A$1000,$C23,'Oxford Economics'!$B$7:$B$1000,Settings!$B$16)+IF(Settings!$B$18="",0,SUMIFS(INDEX('Oxford Economics'!$A$7:$AZ$1000,0,IFERROR(MATCH(AE$5,'Oxford Economics'!$A$6:$AZ$6,0),MATCH(AE$5&amp;"",'Oxford Economics'!$A$6:$AZ$6,0))),'Oxford Economics'!$A$7:$A$1000,$C23,'Oxford Economics'!$B$7:$B$1000,Settings!$B$18)))),""))</f>
        <v>2101.05</v>
      </c>
      <c r="AF23" s="38" t="n">
        <f aca="false">IF($A23="","",IFERROR(1/(1/IF($B23="Residential",SUMIFS(INDEX('Oxford Economics'!$A$7:$AZ$1000,0,IFERROR(MATCH(AF$5,'Oxford Economics'!$A$6:$AZ$6,0),MATCH(AF$5&amp;"",'Oxford Economics'!$A$6:$AZ$6,0))),'Oxford Economics'!$A$7:$A$1000,$C23,'Oxford Economics'!$B$7:$B$1000,Settings!$B$12)-SUMIFS(INDEX('Oxford Economics'!$A$7:$AZ$1000,0,IFERROR(MATCH(AF$5,'Oxford Economics'!$A$6:$AZ$6,0),MATCH(AF$5&amp;"",'Oxford Economics'!$A$6:$AZ$6,0))),'Oxford Economics'!$A$7:$A$1000,$C23,'Oxford Economics'!$B$7:$B$1000,Settings!$B$14),SUMIFS(INDEX('Oxford Economics'!$A$7:$AZ$1000,0,IFERROR(MATCH(AF$5,'Oxford Economics'!$A$6:$AZ$6,0),MATCH(AF$5&amp;"",'Oxford Economics'!$A$6:$AZ$6,0))),'Oxford Economics'!$A$7:$A$1000,$C23,'Oxford Economics'!$B$7:$B$1000,Settings!$B$14)+SUMIFS(INDEX('Oxford Economics'!$A$7:$AZ$1000,0,IFERROR(MATCH(AF$5,'Oxford Economics'!$A$6:$AZ$6,0),MATCH(AF$5&amp;"",'Oxford Economics'!$A$6:$AZ$6,0))),'Oxford Economics'!$A$7:$A$1000,$C23,'Oxford Economics'!$B$7:$B$1000,Settings!$B$16)+IF(Settings!$B$18="",0,SUMIFS(INDEX('Oxford Economics'!$A$7:$AZ$1000,0,IFERROR(MATCH(AF$5,'Oxford Economics'!$A$6:$AZ$6,0),MATCH(AF$5&amp;"",'Oxford Economics'!$A$6:$AZ$6,0))),'Oxford Economics'!$A$7:$A$1000,$C23,'Oxford Economics'!$B$7:$B$1000,Settings!$B$18)))),""))</f>
        <v>2054.1</v>
      </c>
      <c r="AG23" s="38" t="n">
        <f aca="false">IF($A23="","",IFERROR(1/(1/IF($B23="Residential",SUMIFS(INDEX('Oxford Economics'!$A$7:$AZ$1000,0,IFERROR(MATCH(AG$5,'Oxford Economics'!$A$6:$AZ$6,0),MATCH(AG$5&amp;"",'Oxford Economics'!$A$6:$AZ$6,0))),'Oxford Economics'!$A$7:$A$1000,$C23,'Oxford Economics'!$B$7:$B$1000,Settings!$B$12)-SUMIFS(INDEX('Oxford Economics'!$A$7:$AZ$1000,0,IFERROR(MATCH(AG$5,'Oxford Economics'!$A$6:$AZ$6,0),MATCH(AG$5&amp;"",'Oxford Economics'!$A$6:$AZ$6,0))),'Oxford Economics'!$A$7:$A$1000,$C23,'Oxford Economics'!$B$7:$B$1000,Settings!$B$14),SUMIFS(INDEX('Oxford Economics'!$A$7:$AZ$1000,0,IFERROR(MATCH(AG$5,'Oxford Economics'!$A$6:$AZ$6,0),MATCH(AG$5&amp;"",'Oxford Economics'!$A$6:$AZ$6,0))),'Oxford Economics'!$A$7:$A$1000,$C23,'Oxford Economics'!$B$7:$B$1000,Settings!$B$14)+SUMIFS(INDEX('Oxford Economics'!$A$7:$AZ$1000,0,IFERROR(MATCH(AG$5,'Oxford Economics'!$A$6:$AZ$6,0),MATCH(AG$5&amp;"",'Oxford Economics'!$A$6:$AZ$6,0))),'Oxford Economics'!$A$7:$A$1000,$C23,'Oxford Economics'!$B$7:$B$1000,Settings!$B$16)+IF(Settings!$B$18="",0,SUMIFS(INDEX('Oxford Economics'!$A$7:$AZ$1000,0,IFERROR(MATCH(AG$5,'Oxford Economics'!$A$6:$AZ$6,0),MATCH(AG$5&amp;"",'Oxford Economics'!$A$6:$AZ$6,0))),'Oxford Economics'!$A$7:$A$1000,$C23,'Oxford Economics'!$B$7:$B$1000,Settings!$B$18)))),""))</f>
        <v>1939.99</v>
      </c>
      <c r="AH23" s="38" t="n">
        <f aca="false">IF($A23="","",IFERROR(1/(1/IF($B23="Residential",SUMIFS(INDEX('Oxford Economics'!$A$7:$AZ$1000,0,IFERROR(MATCH(AH$5,'Oxford Economics'!$A$6:$AZ$6,0),MATCH(AH$5&amp;"",'Oxford Economics'!$A$6:$AZ$6,0))),'Oxford Economics'!$A$7:$A$1000,$C23,'Oxford Economics'!$B$7:$B$1000,Settings!$B$12)-SUMIFS(INDEX('Oxford Economics'!$A$7:$AZ$1000,0,IFERROR(MATCH(AH$5,'Oxford Economics'!$A$6:$AZ$6,0),MATCH(AH$5&amp;"",'Oxford Economics'!$A$6:$AZ$6,0))),'Oxford Economics'!$A$7:$A$1000,$C23,'Oxford Economics'!$B$7:$B$1000,Settings!$B$14),SUMIFS(INDEX('Oxford Economics'!$A$7:$AZ$1000,0,IFERROR(MATCH(AH$5,'Oxford Economics'!$A$6:$AZ$6,0),MATCH(AH$5&amp;"",'Oxford Economics'!$A$6:$AZ$6,0))),'Oxford Economics'!$A$7:$A$1000,$C23,'Oxford Economics'!$B$7:$B$1000,Settings!$B$14)+SUMIFS(INDEX('Oxford Economics'!$A$7:$AZ$1000,0,IFERROR(MATCH(AH$5,'Oxford Economics'!$A$6:$AZ$6,0),MATCH(AH$5&amp;"",'Oxford Economics'!$A$6:$AZ$6,0))),'Oxford Economics'!$A$7:$A$1000,$C23,'Oxford Economics'!$B$7:$B$1000,Settings!$B$16)+IF(Settings!$B$18="",0,SUMIFS(INDEX('Oxford Economics'!$A$7:$AZ$1000,0,IFERROR(MATCH(AH$5,'Oxford Economics'!$A$6:$AZ$6,0),MATCH(AH$5&amp;"",'Oxford Economics'!$A$6:$AZ$6,0))),'Oxford Economics'!$A$7:$A$1000,$C23,'Oxford Economics'!$B$7:$B$1000,Settings!$B$18)))),""))</f>
        <v>2127.12</v>
      </c>
      <c r="AI23" s="38" t="n">
        <f aca="false">IF($A23="","",IFERROR(1/(1/IF($B23="Residential",SUMIFS(INDEX('Oxford Economics'!$A$7:$AZ$1000,0,IFERROR(MATCH(AI$5,'Oxford Economics'!$A$6:$AZ$6,0),MATCH(AI$5&amp;"",'Oxford Economics'!$A$6:$AZ$6,0))),'Oxford Economics'!$A$7:$A$1000,$C23,'Oxford Economics'!$B$7:$B$1000,Settings!$B$12)-SUMIFS(INDEX('Oxford Economics'!$A$7:$AZ$1000,0,IFERROR(MATCH(AI$5,'Oxford Economics'!$A$6:$AZ$6,0),MATCH(AI$5&amp;"",'Oxford Economics'!$A$6:$AZ$6,0))),'Oxford Economics'!$A$7:$A$1000,$C23,'Oxford Economics'!$B$7:$B$1000,Settings!$B$14),SUMIFS(INDEX('Oxford Economics'!$A$7:$AZ$1000,0,IFERROR(MATCH(AI$5,'Oxford Economics'!$A$6:$AZ$6,0),MATCH(AI$5&amp;"",'Oxford Economics'!$A$6:$AZ$6,0))),'Oxford Economics'!$A$7:$A$1000,$C23,'Oxford Economics'!$B$7:$B$1000,Settings!$B$14)+SUMIFS(INDEX('Oxford Economics'!$A$7:$AZ$1000,0,IFERROR(MATCH(AI$5,'Oxford Economics'!$A$6:$AZ$6,0),MATCH(AI$5&amp;"",'Oxford Economics'!$A$6:$AZ$6,0))),'Oxford Economics'!$A$7:$A$1000,$C23,'Oxford Economics'!$B$7:$B$1000,Settings!$B$16)+IF(Settings!$B$18="",0,SUMIFS(INDEX('Oxford Economics'!$A$7:$AZ$1000,0,IFERROR(MATCH(AI$5,'Oxford Economics'!$A$6:$AZ$6,0),MATCH(AI$5&amp;"",'Oxford Economics'!$A$6:$AZ$6,0))),'Oxford Economics'!$A$7:$A$1000,$C23,'Oxford Economics'!$B$7:$B$1000,Settings!$B$18)))),""))</f>
        <v>2369.41</v>
      </c>
      <c r="AJ23" s="38" t="n">
        <f aca="false">IF($A23="","",IFERROR(1/(1/IF($B23="Residential",SUMIFS(INDEX('Oxford Economics'!$A$7:$AZ$1000,0,IFERROR(MATCH(AJ$5,'Oxford Economics'!$A$6:$AZ$6,0),MATCH(AJ$5&amp;"",'Oxford Economics'!$A$6:$AZ$6,0))),'Oxford Economics'!$A$7:$A$1000,$C23,'Oxford Economics'!$B$7:$B$1000,Settings!$B$12)-SUMIFS(INDEX('Oxford Economics'!$A$7:$AZ$1000,0,IFERROR(MATCH(AJ$5,'Oxford Economics'!$A$6:$AZ$6,0),MATCH(AJ$5&amp;"",'Oxford Economics'!$A$6:$AZ$6,0))),'Oxford Economics'!$A$7:$A$1000,$C23,'Oxford Economics'!$B$7:$B$1000,Settings!$B$14),SUMIFS(INDEX('Oxford Economics'!$A$7:$AZ$1000,0,IFERROR(MATCH(AJ$5,'Oxford Economics'!$A$6:$AZ$6,0),MATCH(AJ$5&amp;"",'Oxford Economics'!$A$6:$AZ$6,0))),'Oxford Economics'!$A$7:$A$1000,$C23,'Oxford Economics'!$B$7:$B$1000,Settings!$B$14)+SUMIFS(INDEX('Oxford Economics'!$A$7:$AZ$1000,0,IFERROR(MATCH(AJ$5,'Oxford Economics'!$A$6:$AZ$6,0),MATCH(AJ$5&amp;"",'Oxford Economics'!$A$6:$AZ$6,0))),'Oxford Economics'!$A$7:$A$1000,$C23,'Oxford Economics'!$B$7:$B$1000,Settings!$B$16)+IF(Settings!$B$18="",0,SUMIFS(INDEX('Oxford Economics'!$A$7:$AZ$1000,0,IFERROR(MATCH(AJ$5,'Oxford Economics'!$A$6:$AZ$6,0),MATCH(AJ$5&amp;"",'Oxford Economics'!$A$6:$AZ$6,0))),'Oxford Economics'!$A$7:$A$1000,$C23,'Oxford Economics'!$B$7:$B$1000,Settings!$B$18)))),""))</f>
        <v>2493.12</v>
      </c>
      <c r="AK23" s="38" t="n">
        <f aca="false">IF($A23="","",IFERROR(1/(1/IF($B23="Residential",SUMIFS(INDEX('Oxford Economics'!$A$7:$AZ$1000,0,IFERROR(MATCH(AK$5,'Oxford Economics'!$A$6:$AZ$6,0),MATCH(AK$5&amp;"",'Oxford Economics'!$A$6:$AZ$6,0))),'Oxford Economics'!$A$7:$A$1000,$C23,'Oxford Economics'!$B$7:$B$1000,Settings!$B$12)-SUMIFS(INDEX('Oxford Economics'!$A$7:$AZ$1000,0,IFERROR(MATCH(AK$5,'Oxford Economics'!$A$6:$AZ$6,0),MATCH(AK$5&amp;"",'Oxford Economics'!$A$6:$AZ$6,0))),'Oxford Economics'!$A$7:$A$1000,$C23,'Oxford Economics'!$B$7:$B$1000,Settings!$B$14),SUMIFS(INDEX('Oxford Economics'!$A$7:$AZ$1000,0,IFERROR(MATCH(AK$5,'Oxford Economics'!$A$6:$AZ$6,0),MATCH(AK$5&amp;"",'Oxford Economics'!$A$6:$AZ$6,0))),'Oxford Economics'!$A$7:$A$1000,$C23,'Oxford Economics'!$B$7:$B$1000,Settings!$B$14)+SUMIFS(INDEX('Oxford Economics'!$A$7:$AZ$1000,0,IFERROR(MATCH(AK$5,'Oxford Economics'!$A$6:$AZ$6,0),MATCH(AK$5&amp;"",'Oxford Economics'!$A$6:$AZ$6,0))),'Oxford Economics'!$A$7:$A$1000,$C23,'Oxford Economics'!$B$7:$B$1000,Settings!$B$16)+IF(Settings!$B$18="",0,SUMIFS(INDEX('Oxford Economics'!$A$7:$AZ$1000,0,IFERROR(MATCH(AK$5,'Oxford Economics'!$A$6:$AZ$6,0),MATCH(AK$5&amp;"",'Oxford Economics'!$A$6:$AZ$6,0))),'Oxford Economics'!$A$7:$A$1000,$C23,'Oxford Economics'!$B$7:$B$1000,Settings!$B$18)))),""))</f>
        <v>2590.53</v>
      </c>
      <c r="AL23" s="38" t="n">
        <f aca="false">IF($A23="","",IFERROR(1/(1/IF($B23="Residential",SUMIFS(INDEX('Oxford Economics'!$A$7:$AZ$1000,0,IFERROR(MATCH(AL$5,'Oxford Economics'!$A$6:$AZ$6,0),MATCH(AL$5&amp;"",'Oxford Economics'!$A$6:$AZ$6,0))),'Oxford Economics'!$A$7:$A$1000,$C23,'Oxford Economics'!$B$7:$B$1000,Settings!$B$12)-SUMIFS(INDEX('Oxford Economics'!$A$7:$AZ$1000,0,IFERROR(MATCH(AL$5,'Oxford Economics'!$A$6:$AZ$6,0),MATCH(AL$5&amp;"",'Oxford Economics'!$A$6:$AZ$6,0))),'Oxford Economics'!$A$7:$A$1000,$C23,'Oxford Economics'!$B$7:$B$1000,Settings!$B$14),SUMIFS(INDEX('Oxford Economics'!$A$7:$AZ$1000,0,IFERROR(MATCH(AL$5,'Oxford Economics'!$A$6:$AZ$6,0),MATCH(AL$5&amp;"",'Oxford Economics'!$A$6:$AZ$6,0))),'Oxford Economics'!$A$7:$A$1000,$C23,'Oxford Economics'!$B$7:$B$1000,Settings!$B$14)+SUMIFS(INDEX('Oxford Economics'!$A$7:$AZ$1000,0,IFERROR(MATCH(AL$5,'Oxford Economics'!$A$6:$AZ$6,0),MATCH(AL$5&amp;"",'Oxford Economics'!$A$6:$AZ$6,0))),'Oxford Economics'!$A$7:$A$1000,$C23,'Oxford Economics'!$B$7:$B$1000,Settings!$B$16)+IF(Settings!$B$18="",0,SUMIFS(INDEX('Oxford Economics'!$A$7:$AZ$1000,0,IFERROR(MATCH(AL$5,'Oxford Economics'!$A$6:$AZ$6,0),MATCH(AL$5&amp;"",'Oxford Economics'!$A$6:$AZ$6,0))),'Oxford Economics'!$A$7:$A$1000,$C23,'Oxford Economics'!$B$7:$B$1000,Settings!$B$18)))),""))</f>
        <v>2636.05</v>
      </c>
      <c r="AM23" s="38" t="n">
        <f aca="false">IF($A23="","",IFERROR(1/(1/IF($B23="Residential",SUMIFS(INDEX('Oxford Economics'!$A$7:$AZ$1000,0,IFERROR(MATCH(AM$5,'Oxford Economics'!$A$6:$AZ$6,0),MATCH(AM$5&amp;"",'Oxford Economics'!$A$6:$AZ$6,0))),'Oxford Economics'!$A$7:$A$1000,$C23,'Oxford Economics'!$B$7:$B$1000,Settings!$B$12)-SUMIFS(INDEX('Oxford Economics'!$A$7:$AZ$1000,0,IFERROR(MATCH(AM$5,'Oxford Economics'!$A$6:$AZ$6,0),MATCH(AM$5&amp;"",'Oxford Economics'!$A$6:$AZ$6,0))),'Oxford Economics'!$A$7:$A$1000,$C23,'Oxford Economics'!$B$7:$B$1000,Settings!$B$14),SUMIFS(INDEX('Oxford Economics'!$A$7:$AZ$1000,0,IFERROR(MATCH(AM$5,'Oxford Economics'!$A$6:$AZ$6,0),MATCH(AM$5&amp;"",'Oxford Economics'!$A$6:$AZ$6,0))),'Oxford Economics'!$A$7:$A$1000,$C23,'Oxford Economics'!$B$7:$B$1000,Settings!$B$14)+SUMIFS(INDEX('Oxford Economics'!$A$7:$AZ$1000,0,IFERROR(MATCH(AM$5,'Oxford Economics'!$A$6:$AZ$6,0),MATCH(AM$5&amp;"",'Oxford Economics'!$A$6:$AZ$6,0))),'Oxford Economics'!$A$7:$A$1000,$C23,'Oxford Economics'!$B$7:$B$1000,Settings!$B$16)+IF(Settings!$B$18="",0,SUMIFS(INDEX('Oxford Economics'!$A$7:$AZ$1000,0,IFERROR(MATCH(AM$5,'Oxford Economics'!$A$6:$AZ$6,0),MATCH(AM$5&amp;"",'Oxford Economics'!$A$6:$AZ$6,0))),'Oxford Economics'!$A$7:$A$1000,$C23,'Oxford Economics'!$B$7:$B$1000,Settings!$B$18)))),""))</f>
        <v>2653.32</v>
      </c>
    </row>
    <row r="24" customFormat="false" ht="15" hidden="false" customHeight="false" outlineLevel="0" collapsed="false">
      <c r="A24" s="37" t="str">
        <f aca="false">IF('Raw data'!$A24="","",'Raw data'!$A24)</f>
        <v>Netherlands</v>
      </c>
      <c r="B24" s="37" t="str">
        <f aca="false">IF($A24="","",'Raw data'!$C24)</f>
        <v>Residential</v>
      </c>
      <c r="C24" s="37" t="str">
        <f aca="false">IF($A24="","",IF('Raw data'!$E24="",$A24,'Raw data'!$E24))</f>
        <v>Netherlands</v>
      </c>
      <c r="D24" s="38" t="n">
        <f aca="false">IF($A24="","",IF(AND(ISNUMBER(P24),ISNUMBER(AB24)),P24+AB24,""))</f>
        <v>26861</v>
      </c>
      <c r="E24" s="38" t="n">
        <f aca="false">IF($A24="","",IF(AND(ISNUMBER(Q24),ISNUMBER(AC24)),Q24+AC24,""))</f>
        <v>28102.09</v>
      </c>
      <c r="F24" s="38" t="n">
        <f aca="false">IF($A24="","",IF(AND(ISNUMBER(R24),ISNUMBER(AD24)),R24+AD24,""))</f>
        <v>28941.14</v>
      </c>
      <c r="G24" s="38" t="n">
        <f aca="false">IF($A24="","",IF(AND(ISNUMBER(S24),ISNUMBER(AE24)),S24+AE24,""))</f>
        <v>29344.02</v>
      </c>
      <c r="H24" s="38" t="n">
        <f aca="false">IF($A24="","",IF(AND(ISNUMBER(T24),ISNUMBER(AF24)),T24+AF24,""))</f>
        <v>28998.05</v>
      </c>
      <c r="I24" s="38" t="n">
        <f aca="false">IF($A24="","",IF(AND(ISNUMBER(U24),ISNUMBER(AG24)),U24+AG24,""))</f>
        <v>29129.26</v>
      </c>
      <c r="J24" s="38" t="n">
        <f aca="false">IF($A24="","",IF(AND(ISNUMBER(V24),ISNUMBER(AH24)),V24+AH24,""))</f>
        <v>29512.41</v>
      </c>
      <c r="K24" s="38" t="n">
        <f aca="false">IF($A24="","",IF(AND(ISNUMBER(W24),ISNUMBER(AI24)),W24+AI24,""))</f>
        <v>29901.43</v>
      </c>
      <c r="L24" s="38" t="n">
        <f aca="false">IF($A24="","",IF(AND(ISNUMBER(X24),ISNUMBER(AJ24)),X24+AJ24,""))</f>
        <v>31213.02</v>
      </c>
      <c r="M24" s="38" t="n">
        <f aca="false">IF($A24="","",IF(AND(ISNUMBER(Y24),ISNUMBER(AK24)),Y24+AK24,""))</f>
        <v>32376.78</v>
      </c>
      <c r="N24" s="38" t="n">
        <f aca="false">IF($A24="","",IF(AND(ISNUMBER(Z24),ISNUMBER(AL24)),Z24+AL24,""))</f>
        <v>33392.61</v>
      </c>
      <c r="O24" s="38" t="n">
        <f aca="false">IF($A24="","",IF(AND(ISNUMBER(AA24),ISNUMBER(AM24)),AA24+AM24,""))</f>
        <v>34045.05</v>
      </c>
      <c r="P24" s="38" t="n">
        <f aca="false">IF($A24="","",IFERROR(1/(1/IF($B24="Residential",SUMIFS(INDEX('Oxford Economics'!$A$7:$AZ$1000,0,IFERROR(MATCH(P$5,'Oxford Economics'!$A$6:$AZ$6,0),MATCH(P$5&amp;"",'Oxford Economics'!$A$6:$AZ$6,0))),'Oxford Economics'!$A$7:$A$1000,$C24,'Oxford Economics'!$B$7:$B$1000,Settings!$B$13)-SUMIFS(INDEX('Oxford Economics'!$A$7:$AZ$1000,0,IFERROR(MATCH(P$5,'Oxford Economics'!$A$6:$AZ$6,0),MATCH(P$5&amp;"",'Oxford Economics'!$A$6:$AZ$6,0))),'Oxford Economics'!$A$7:$A$1000,$C24,'Oxford Economics'!$B$7:$B$1000,Settings!$B$15),SUMIFS(INDEX('Oxford Economics'!$A$7:$AZ$1000,0,IFERROR(MATCH(P$5,'Oxford Economics'!$A$6:$AZ$6,0),MATCH(P$5&amp;"",'Oxford Economics'!$A$6:$AZ$6,0))),'Oxford Economics'!$A$7:$A$1000,$C24,'Oxford Economics'!$B$7:$B$1000,Settings!$B$15)+SUMIFS(INDEX('Oxford Economics'!$A$7:$AZ$1000,0,IFERROR(MATCH(P$5,'Oxford Economics'!$A$6:$AZ$6,0),MATCH(P$5&amp;"",'Oxford Economics'!$A$6:$AZ$6,0))),'Oxford Economics'!$A$7:$A$1000,$C24,'Oxford Economics'!$B$7:$B$1000,Settings!$B$17)+IF(Settings!$B$19="",0,SUMIFS(INDEX('Oxford Economics'!$A$7:$AZ$1000,0,IFERROR(MATCH(P$5,'Oxford Economics'!$A$6:$AZ$6,0),MATCH(P$5&amp;"",'Oxford Economics'!$A$6:$AZ$6,0))),'Oxford Economics'!$A$7:$A$1000,$C24,'Oxford Economics'!$B$7:$B$1000,Settings!$B$19)))),""))</f>
        <v>14772.74</v>
      </c>
      <c r="Q24" s="38" t="n">
        <f aca="false">IF($A24="","",IFERROR(1/(1/IF($B24="Residential",SUMIFS(INDEX('Oxford Economics'!$A$7:$AZ$1000,0,IFERROR(MATCH(Q$5,'Oxford Economics'!$A$6:$AZ$6,0),MATCH(Q$5&amp;"",'Oxford Economics'!$A$6:$AZ$6,0))),'Oxford Economics'!$A$7:$A$1000,$C24,'Oxford Economics'!$B$7:$B$1000,Settings!$B$13)-SUMIFS(INDEX('Oxford Economics'!$A$7:$AZ$1000,0,IFERROR(MATCH(Q$5,'Oxford Economics'!$A$6:$AZ$6,0),MATCH(Q$5&amp;"",'Oxford Economics'!$A$6:$AZ$6,0))),'Oxford Economics'!$A$7:$A$1000,$C24,'Oxford Economics'!$B$7:$B$1000,Settings!$B$15),SUMIFS(INDEX('Oxford Economics'!$A$7:$AZ$1000,0,IFERROR(MATCH(Q$5,'Oxford Economics'!$A$6:$AZ$6,0),MATCH(Q$5&amp;"",'Oxford Economics'!$A$6:$AZ$6,0))),'Oxford Economics'!$A$7:$A$1000,$C24,'Oxford Economics'!$B$7:$B$1000,Settings!$B$15)+SUMIFS(INDEX('Oxford Economics'!$A$7:$AZ$1000,0,IFERROR(MATCH(Q$5,'Oxford Economics'!$A$6:$AZ$6,0),MATCH(Q$5&amp;"",'Oxford Economics'!$A$6:$AZ$6,0))),'Oxford Economics'!$A$7:$A$1000,$C24,'Oxford Economics'!$B$7:$B$1000,Settings!$B$17)+IF(Settings!$B$19="",0,SUMIFS(INDEX('Oxford Economics'!$A$7:$AZ$1000,0,IFERROR(MATCH(Q$5,'Oxford Economics'!$A$6:$AZ$6,0),MATCH(Q$5&amp;"",'Oxford Economics'!$A$6:$AZ$6,0))),'Oxford Economics'!$A$7:$A$1000,$C24,'Oxford Economics'!$B$7:$B$1000,Settings!$B$19)))),""))</f>
        <v>15083.03</v>
      </c>
      <c r="R24" s="38" t="n">
        <f aca="false">IF($A24="","",IFERROR(1/(1/IF($B24="Residential",SUMIFS(INDEX('Oxford Economics'!$A$7:$AZ$1000,0,IFERROR(MATCH(R$5,'Oxford Economics'!$A$6:$AZ$6,0),MATCH(R$5&amp;"",'Oxford Economics'!$A$6:$AZ$6,0))),'Oxford Economics'!$A$7:$A$1000,$C24,'Oxford Economics'!$B$7:$B$1000,Settings!$B$13)-SUMIFS(INDEX('Oxford Economics'!$A$7:$AZ$1000,0,IFERROR(MATCH(R$5,'Oxford Economics'!$A$6:$AZ$6,0),MATCH(R$5&amp;"",'Oxford Economics'!$A$6:$AZ$6,0))),'Oxford Economics'!$A$7:$A$1000,$C24,'Oxford Economics'!$B$7:$B$1000,Settings!$B$15),SUMIFS(INDEX('Oxford Economics'!$A$7:$AZ$1000,0,IFERROR(MATCH(R$5,'Oxford Economics'!$A$6:$AZ$6,0),MATCH(R$5&amp;"",'Oxford Economics'!$A$6:$AZ$6,0))),'Oxford Economics'!$A$7:$A$1000,$C24,'Oxford Economics'!$B$7:$B$1000,Settings!$B$15)+SUMIFS(INDEX('Oxford Economics'!$A$7:$AZ$1000,0,IFERROR(MATCH(R$5,'Oxford Economics'!$A$6:$AZ$6,0),MATCH(R$5&amp;"",'Oxford Economics'!$A$6:$AZ$6,0))),'Oxford Economics'!$A$7:$A$1000,$C24,'Oxford Economics'!$B$7:$B$1000,Settings!$B$17)+IF(Settings!$B$19="",0,SUMIFS(INDEX('Oxford Economics'!$A$7:$AZ$1000,0,IFERROR(MATCH(R$5,'Oxford Economics'!$A$6:$AZ$6,0),MATCH(R$5&amp;"",'Oxford Economics'!$A$6:$AZ$6,0))),'Oxford Economics'!$A$7:$A$1000,$C24,'Oxford Economics'!$B$7:$B$1000,Settings!$B$19)))),""))</f>
        <v>16433.79</v>
      </c>
      <c r="S24" s="38" t="n">
        <f aca="false">IF($A24="","",IFERROR(1/(1/IF($B24="Residential",SUMIFS(INDEX('Oxford Economics'!$A$7:$AZ$1000,0,IFERROR(MATCH(S$5,'Oxford Economics'!$A$6:$AZ$6,0),MATCH(S$5&amp;"",'Oxford Economics'!$A$6:$AZ$6,0))),'Oxford Economics'!$A$7:$A$1000,$C24,'Oxford Economics'!$B$7:$B$1000,Settings!$B$13)-SUMIFS(INDEX('Oxford Economics'!$A$7:$AZ$1000,0,IFERROR(MATCH(S$5,'Oxford Economics'!$A$6:$AZ$6,0),MATCH(S$5&amp;"",'Oxford Economics'!$A$6:$AZ$6,0))),'Oxford Economics'!$A$7:$A$1000,$C24,'Oxford Economics'!$B$7:$B$1000,Settings!$B$15),SUMIFS(INDEX('Oxford Economics'!$A$7:$AZ$1000,0,IFERROR(MATCH(S$5,'Oxford Economics'!$A$6:$AZ$6,0),MATCH(S$5&amp;"",'Oxford Economics'!$A$6:$AZ$6,0))),'Oxford Economics'!$A$7:$A$1000,$C24,'Oxford Economics'!$B$7:$B$1000,Settings!$B$15)+SUMIFS(INDEX('Oxford Economics'!$A$7:$AZ$1000,0,IFERROR(MATCH(S$5,'Oxford Economics'!$A$6:$AZ$6,0),MATCH(S$5&amp;"",'Oxford Economics'!$A$6:$AZ$6,0))),'Oxford Economics'!$A$7:$A$1000,$C24,'Oxford Economics'!$B$7:$B$1000,Settings!$B$17)+IF(Settings!$B$19="",0,SUMIFS(INDEX('Oxford Economics'!$A$7:$AZ$1000,0,IFERROR(MATCH(S$5,'Oxford Economics'!$A$6:$AZ$6,0),MATCH(S$5&amp;"",'Oxford Economics'!$A$6:$AZ$6,0))),'Oxford Economics'!$A$7:$A$1000,$C24,'Oxford Economics'!$B$7:$B$1000,Settings!$B$19)))),""))</f>
        <v>18174.75</v>
      </c>
      <c r="T24" s="38" t="n">
        <f aca="false">IF($A24="","",IFERROR(1/(1/IF($B24="Residential",SUMIFS(INDEX('Oxford Economics'!$A$7:$AZ$1000,0,IFERROR(MATCH(T$5,'Oxford Economics'!$A$6:$AZ$6,0),MATCH(T$5&amp;"",'Oxford Economics'!$A$6:$AZ$6,0))),'Oxford Economics'!$A$7:$A$1000,$C24,'Oxford Economics'!$B$7:$B$1000,Settings!$B$13)-SUMIFS(INDEX('Oxford Economics'!$A$7:$AZ$1000,0,IFERROR(MATCH(T$5,'Oxford Economics'!$A$6:$AZ$6,0),MATCH(T$5&amp;"",'Oxford Economics'!$A$6:$AZ$6,0))),'Oxford Economics'!$A$7:$A$1000,$C24,'Oxford Economics'!$B$7:$B$1000,Settings!$B$15),SUMIFS(INDEX('Oxford Economics'!$A$7:$AZ$1000,0,IFERROR(MATCH(T$5,'Oxford Economics'!$A$6:$AZ$6,0),MATCH(T$5&amp;"",'Oxford Economics'!$A$6:$AZ$6,0))),'Oxford Economics'!$A$7:$A$1000,$C24,'Oxford Economics'!$B$7:$B$1000,Settings!$B$15)+SUMIFS(INDEX('Oxford Economics'!$A$7:$AZ$1000,0,IFERROR(MATCH(T$5,'Oxford Economics'!$A$6:$AZ$6,0),MATCH(T$5&amp;"",'Oxford Economics'!$A$6:$AZ$6,0))),'Oxford Economics'!$A$7:$A$1000,$C24,'Oxford Economics'!$B$7:$B$1000,Settings!$B$17)+IF(Settings!$B$19="",0,SUMIFS(INDEX('Oxford Economics'!$A$7:$AZ$1000,0,IFERROR(MATCH(T$5,'Oxford Economics'!$A$6:$AZ$6,0),MATCH(T$5&amp;"",'Oxford Economics'!$A$6:$AZ$6,0))),'Oxford Economics'!$A$7:$A$1000,$C24,'Oxford Economics'!$B$7:$B$1000,Settings!$B$19)))),""))</f>
        <v>17943.36</v>
      </c>
      <c r="U24" s="38" t="n">
        <f aca="false">IF($A24="","",IFERROR(1/(1/IF($B24="Residential",SUMIFS(INDEX('Oxford Economics'!$A$7:$AZ$1000,0,IFERROR(MATCH(U$5,'Oxford Economics'!$A$6:$AZ$6,0),MATCH(U$5&amp;"",'Oxford Economics'!$A$6:$AZ$6,0))),'Oxford Economics'!$A$7:$A$1000,$C24,'Oxford Economics'!$B$7:$B$1000,Settings!$B$13)-SUMIFS(INDEX('Oxford Economics'!$A$7:$AZ$1000,0,IFERROR(MATCH(U$5,'Oxford Economics'!$A$6:$AZ$6,0),MATCH(U$5&amp;"",'Oxford Economics'!$A$6:$AZ$6,0))),'Oxford Economics'!$A$7:$A$1000,$C24,'Oxford Economics'!$B$7:$B$1000,Settings!$B$15),SUMIFS(INDEX('Oxford Economics'!$A$7:$AZ$1000,0,IFERROR(MATCH(U$5,'Oxford Economics'!$A$6:$AZ$6,0),MATCH(U$5&amp;"",'Oxford Economics'!$A$6:$AZ$6,0))),'Oxford Economics'!$A$7:$A$1000,$C24,'Oxford Economics'!$B$7:$B$1000,Settings!$B$15)+SUMIFS(INDEX('Oxford Economics'!$A$7:$AZ$1000,0,IFERROR(MATCH(U$5,'Oxford Economics'!$A$6:$AZ$6,0),MATCH(U$5&amp;"",'Oxford Economics'!$A$6:$AZ$6,0))),'Oxford Economics'!$A$7:$A$1000,$C24,'Oxford Economics'!$B$7:$B$1000,Settings!$B$17)+IF(Settings!$B$19="",0,SUMIFS(INDEX('Oxford Economics'!$A$7:$AZ$1000,0,IFERROR(MATCH(U$5,'Oxford Economics'!$A$6:$AZ$6,0),MATCH(U$5&amp;"",'Oxford Economics'!$A$6:$AZ$6,0))),'Oxford Economics'!$A$7:$A$1000,$C24,'Oxford Economics'!$B$7:$B$1000,Settings!$B$19)))),""))</f>
        <v>17866.87</v>
      </c>
      <c r="V24" s="38" t="n">
        <f aca="false">IF($A24="","",IFERROR(1/(1/IF($B24="Residential",SUMIFS(INDEX('Oxford Economics'!$A$7:$AZ$1000,0,IFERROR(MATCH(V$5,'Oxford Economics'!$A$6:$AZ$6,0),MATCH(V$5&amp;"",'Oxford Economics'!$A$6:$AZ$6,0))),'Oxford Economics'!$A$7:$A$1000,$C24,'Oxford Economics'!$B$7:$B$1000,Settings!$B$13)-SUMIFS(INDEX('Oxford Economics'!$A$7:$AZ$1000,0,IFERROR(MATCH(V$5,'Oxford Economics'!$A$6:$AZ$6,0),MATCH(V$5&amp;"",'Oxford Economics'!$A$6:$AZ$6,0))),'Oxford Economics'!$A$7:$A$1000,$C24,'Oxford Economics'!$B$7:$B$1000,Settings!$B$15),SUMIFS(INDEX('Oxford Economics'!$A$7:$AZ$1000,0,IFERROR(MATCH(V$5,'Oxford Economics'!$A$6:$AZ$6,0),MATCH(V$5&amp;"",'Oxford Economics'!$A$6:$AZ$6,0))),'Oxford Economics'!$A$7:$A$1000,$C24,'Oxford Economics'!$B$7:$B$1000,Settings!$B$15)+SUMIFS(INDEX('Oxford Economics'!$A$7:$AZ$1000,0,IFERROR(MATCH(V$5,'Oxford Economics'!$A$6:$AZ$6,0),MATCH(V$5&amp;"",'Oxford Economics'!$A$6:$AZ$6,0))),'Oxford Economics'!$A$7:$A$1000,$C24,'Oxford Economics'!$B$7:$B$1000,Settings!$B$17)+IF(Settings!$B$19="",0,SUMIFS(INDEX('Oxford Economics'!$A$7:$AZ$1000,0,IFERROR(MATCH(V$5,'Oxford Economics'!$A$6:$AZ$6,0),MATCH(V$5&amp;"",'Oxford Economics'!$A$6:$AZ$6,0))),'Oxford Economics'!$A$7:$A$1000,$C24,'Oxford Economics'!$B$7:$B$1000,Settings!$B$19)))),""))</f>
        <v>17927.47</v>
      </c>
      <c r="W24" s="38" t="n">
        <f aca="false">IF($A24="","",IFERROR(1/(1/IF($B24="Residential",SUMIFS(INDEX('Oxford Economics'!$A$7:$AZ$1000,0,IFERROR(MATCH(W$5,'Oxford Economics'!$A$6:$AZ$6,0),MATCH(W$5&amp;"",'Oxford Economics'!$A$6:$AZ$6,0))),'Oxford Economics'!$A$7:$A$1000,$C24,'Oxford Economics'!$B$7:$B$1000,Settings!$B$13)-SUMIFS(INDEX('Oxford Economics'!$A$7:$AZ$1000,0,IFERROR(MATCH(W$5,'Oxford Economics'!$A$6:$AZ$6,0),MATCH(W$5&amp;"",'Oxford Economics'!$A$6:$AZ$6,0))),'Oxford Economics'!$A$7:$A$1000,$C24,'Oxford Economics'!$B$7:$B$1000,Settings!$B$15),SUMIFS(INDEX('Oxford Economics'!$A$7:$AZ$1000,0,IFERROR(MATCH(W$5,'Oxford Economics'!$A$6:$AZ$6,0),MATCH(W$5&amp;"",'Oxford Economics'!$A$6:$AZ$6,0))),'Oxford Economics'!$A$7:$A$1000,$C24,'Oxford Economics'!$B$7:$B$1000,Settings!$B$15)+SUMIFS(INDEX('Oxford Economics'!$A$7:$AZ$1000,0,IFERROR(MATCH(W$5,'Oxford Economics'!$A$6:$AZ$6,0),MATCH(W$5&amp;"",'Oxford Economics'!$A$6:$AZ$6,0))),'Oxford Economics'!$A$7:$A$1000,$C24,'Oxford Economics'!$B$7:$B$1000,Settings!$B$17)+IF(Settings!$B$19="",0,SUMIFS(INDEX('Oxford Economics'!$A$7:$AZ$1000,0,IFERROR(MATCH(W$5,'Oxford Economics'!$A$6:$AZ$6,0),MATCH(W$5&amp;"",'Oxford Economics'!$A$6:$AZ$6,0))),'Oxford Economics'!$A$7:$A$1000,$C24,'Oxford Economics'!$B$7:$B$1000,Settings!$B$19)))),""))</f>
        <v>18347.45</v>
      </c>
      <c r="X24" s="38" t="n">
        <f aca="false">IF($A24="","",IFERROR(1/(1/IF($B24="Residential",SUMIFS(INDEX('Oxford Economics'!$A$7:$AZ$1000,0,IFERROR(MATCH(X$5,'Oxford Economics'!$A$6:$AZ$6,0),MATCH(X$5&amp;"",'Oxford Economics'!$A$6:$AZ$6,0))),'Oxford Economics'!$A$7:$A$1000,$C24,'Oxford Economics'!$B$7:$B$1000,Settings!$B$13)-SUMIFS(INDEX('Oxford Economics'!$A$7:$AZ$1000,0,IFERROR(MATCH(X$5,'Oxford Economics'!$A$6:$AZ$6,0),MATCH(X$5&amp;"",'Oxford Economics'!$A$6:$AZ$6,0))),'Oxford Economics'!$A$7:$A$1000,$C24,'Oxford Economics'!$B$7:$B$1000,Settings!$B$15),SUMIFS(INDEX('Oxford Economics'!$A$7:$AZ$1000,0,IFERROR(MATCH(X$5,'Oxford Economics'!$A$6:$AZ$6,0),MATCH(X$5&amp;"",'Oxford Economics'!$A$6:$AZ$6,0))),'Oxford Economics'!$A$7:$A$1000,$C24,'Oxford Economics'!$B$7:$B$1000,Settings!$B$15)+SUMIFS(INDEX('Oxford Economics'!$A$7:$AZ$1000,0,IFERROR(MATCH(X$5,'Oxford Economics'!$A$6:$AZ$6,0),MATCH(X$5&amp;"",'Oxford Economics'!$A$6:$AZ$6,0))),'Oxford Economics'!$A$7:$A$1000,$C24,'Oxford Economics'!$B$7:$B$1000,Settings!$B$17)+IF(Settings!$B$19="",0,SUMIFS(INDEX('Oxford Economics'!$A$7:$AZ$1000,0,IFERROR(MATCH(X$5,'Oxford Economics'!$A$6:$AZ$6,0),MATCH(X$5&amp;"",'Oxford Economics'!$A$6:$AZ$6,0))),'Oxford Economics'!$A$7:$A$1000,$C24,'Oxford Economics'!$B$7:$B$1000,Settings!$B$19)))),""))</f>
        <v>19388.46</v>
      </c>
      <c r="Y24" s="38" t="n">
        <f aca="false">IF($A24="","",IFERROR(1/(1/IF($B24="Residential",SUMIFS(INDEX('Oxford Economics'!$A$7:$AZ$1000,0,IFERROR(MATCH(Y$5,'Oxford Economics'!$A$6:$AZ$6,0),MATCH(Y$5&amp;"",'Oxford Economics'!$A$6:$AZ$6,0))),'Oxford Economics'!$A$7:$A$1000,$C24,'Oxford Economics'!$B$7:$B$1000,Settings!$B$13)-SUMIFS(INDEX('Oxford Economics'!$A$7:$AZ$1000,0,IFERROR(MATCH(Y$5,'Oxford Economics'!$A$6:$AZ$6,0),MATCH(Y$5&amp;"",'Oxford Economics'!$A$6:$AZ$6,0))),'Oxford Economics'!$A$7:$A$1000,$C24,'Oxford Economics'!$B$7:$B$1000,Settings!$B$15),SUMIFS(INDEX('Oxford Economics'!$A$7:$AZ$1000,0,IFERROR(MATCH(Y$5,'Oxford Economics'!$A$6:$AZ$6,0),MATCH(Y$5&amp;"",'Oxford Economics'!$A$6:$AZ$6,0))),'Oxford Economics'!$A$7:$A$1000,$C24,'Oxford Economics'!$B$7:$B$1000,Settings!$B$15)+SUMIFS(INDEX('Oxford Economics'!$A$7:$AZ$1000,0,IFERROR(MATCH(Y$5,'Oxford Economics'!$A$6:$AZ$6,0),MATCH(Y$5&amp;"",'Oxford Economics'!$A$6:$AZ$6,0))),'Oxford Economics'!$A$7:$A$1000,$C24,'Oxford Economics'!$B$7:$B$1000,Settings!$B$17)+IF(Settings!$B$19="",0,SUMIFS(INDEX('Oxford Economics'!$A$7:$AZ$1000,0,IFERROR(MATCH(Y$5,'Oxford Economics'!$A$6:$AZ$6,0),MATCH(Y$5&amp;"",'Oxford Economics'!$A$6:$AZ$6,0))),'Oxford Economics'!$A$7:$A$1000,$C24,'Oxford Economics'!$B$7:$B$1000,Settings!$B$19)))),""))</f>
        <v>20223.85</v>
      </c>
      <c r="Z24" s="38" t="n">
        <f aca="false">IF($A24="","",IFERROR(1/(1/IF($B24="Residential",SUMIFS(INDEX('Oxford Economics'!$A$7:$AZ$1000,0,IFERROR(MATCH(Z$5,'Oxford Economics'!$A$6:$AZ$6,0),MATCH(Z$5&amp;"",'Oxford Economics'!$A$6:$AZ$6,0))),'Oxford Economics'!$A$7:$A$1000,$C24,'Oxford Economics'!$B$7:$B$1000,Settings!$B$13)-SUMIFS(INDEX('Oxford Economics'!$A$7:$AZ$1000,0,IFERROR(MATCH(Z$5,'Oxford Economics'!$A$6:$AZ$6,0),MATCH(Z$5&amp;"",'Oxford Economics'!$A$6:$AZ$6,0))),'Oxford Economics'!$A$7:$A$1000,$C24,'Oxford Economics'!$B$7:$B$1000,Settings!$B$15),SUMIFS(INDEX('Oxford Economics'!$A$7:$AZ$1000,0,IFERROR(MATCH(Z$5,'Oxford Economics'!$A$6:$AZ$6,0),MATCH(Z$5&amp;"",'Oxford Economics'!$A$6:$AZ$6,0))),'Oxford Economics'!$A$7:$A$1000,$C24,'Oxford Economics'!$B$7:$B$1000,Settings!$B$15)+SUMIFS(INDEX('Oxford Economics'!$A$7:$AZ$1000,0,IFERROR(MATCH(Z$5,'Oxford Economics'!$A$6:$AZ$6,0),MATCH(Z$5&amp;"",'Oxford Economics'!$A$6:$AZ$6,0))),'Oxford Economics'!$A$7:$A$1000,$C24,'Oxford Economics'!$B$7:$B$1000,Settings!$B$17)+IF(Settings!$B$19="",0,SUMIFS(INDEX('Oxford Economics'!$A$7:$AZ$1000,0,IFERROR(MATCH(Z$5,'Oxford Economics'!$A$6:$AZ$6,0),MATCH(Z$5&amp;"",'Oxford Economics'!$A$6:$AZ$6,0))),'Oxford Economics'!$A$7:$A$1000,$C24,'Oxford Economics'!$B$7:$B$1000,Settings!$B$19)))),""))</f>
        <v>20916.88</v>
      </c>
      <c r="AA24" s="38" t="n">
        <f aca="false">IF($A24="","",IFERROR(1/(1/IF($B24="Residential",SUMIFS(INDEX('Oxford Economics'!$A$7:$AZ$1000,0,IFERROR(MATCH(AA$5,'Oxford Economics'!$A$6:$AZ$6,0),MATCH(AA$5&amp;"",'Oxford Economics'!$A$6:$AZ$6,0))),'Oxford Economics'!$A$7:$A$1000,$C24,'Oxford Economics'!$B$7:$B$1000,Settings!$B$13)-SUMIFS(INDEX('Oxford Economics'!$A$7:$AZ$1000,0,IFERROR(MATCH(AA$5,'Oxford Economics'!$A$6:$AZ$6,0),MATCH(AA$5&amp;"",'Oxford Economics'!$A$6:$AZ$6,0))),'Oxford Economics'!$A$7:$A$1000,$C24,'Oxford Economics'!$B$7:$B$1000,Settings!$B$15),SUMIFS(INDEX('Oxford Economics'!$A$7:$AZ$1000,0,IFERROR(MATCH(AA$5,'Oxford Economics'!$A$6:$AZ$6,0),MATCH(AA$5&amp;"",'Oxford Economics'!$A$6:$AZ$6,0))),'Oxford Economics'!$A$7:$A$1000,$C24,'Oxford Economics'!$B$7:$B$1000,Settings!$B$15)+SUMIFS(INDEX('Oxford Economics'!$A$7:$AZ$1000,0,IFERROR(MATCH(AA$5,'Oxford Economics'!$A$6:$AZ$6,0),MATCH(AA$5&amp;"",'Oxford Economics'!$A$6:$AZ$6,0))),'Oxford Economics'!$A$7:$A$1000,$C24,'Oxford Economics'!$B$7:$B$1000,Settings!$B$17)+IF(Settings!$B$19="",0,SUMIFS(INDEX('Oxford Economics'!$A$7:$AZ$1000,0,IFERROR(MATCH(AA$5,'Oxford Economics'!$A$6:$AZ$6,0),MATCH(AA$5&amp;"",'Oxford Economics'!$A$6:$AZ$6,0))),'Oxford Economics'!$A$7:$A$1000,$C24,'Oxford Economics'!$B$7:$B$1000,Settings!$B$19)))),""))</f>
        <v>21288.65</v>
      </c>
      <c r="AB24" s="38" t="n">
        <f aca="false">IF($A24="","",IFERROR(1/(1/IF($B24="Residential",SUMIFS(INDEX('Oxford Economics'!$A$7:$AZ$1000,0,IFERROR(MATCH(AB$5,'Oxford Economics'!$A$6:$AZ$6,0),MATCH(AB$5&amp;"",'Oxford Economics'!$A$6:$AZ$6,0))),'Oxford Economics'!$A$7:$A$1000,$C24,'Oxford Economics'!$B$7:$B$1000,Settings!$B$12)-SUMIFS(INDEX('Oxford Economics'!$A$7:$AZ$1000,0,IFERROR(MATCH(AB$5,'Oxford Economics'!$A$6:$AZ$6,0),MATCH(AB$5&amp;"",'Oxford Economics'!$A$6:$AZ$6,0))),'Oxford Economics'!$A$7:$A$1000,$C24,'Oxford Economics'!$B$7:$B$1000,Settings!$B$14),SUMIFS(INDEX('Oxford Economics'!$A$7:$AZ$1000,0,IFERROR(MATCH(AB$5,'Oxford Economics'!$A$6:$AZ$6,0),MATCH(AB$5&amp;"",'Oxford Economics'!$A$6:$AZ$6,0))),'Oxford Economics'!$A$7:$A$1000,$C24,'Oxford Economics'!$B$7:$B$1000,Settings!$B$14)+SUMIFS(INDEX('Oxford Economics'!$A$7:$AZ$1000,0,IFERROR(MATCH(AB$5,'Oxford Economics'!$A$6:$AZ$6,0),MATCH(AB$5&amp;"",'Oxford Economics'!$A$6:$AZ$6,0))),'Oxford Economics'!$A$7:$A$1000,$C24,'Oxford Economics'!$B$7:$B$1000,Settings!$B$16)+IF(Settings!$B$18="",0,SUMIFS(INDEX('Oxford Economics'!$A$7:$AZ$1000,0,IFERROR(MATCH(AB$5,'Oxford Economics'!$A$6:$AZ$6,0),MATCH(AB$5&amp;"",'Oxford Economics'!$A$6:$AZ$6,0))),'Oxford Economics'!$A$7:$A$1000,$C24,'Oxford Economics'!$B$7:$B$1000,Settings!$B$18)))),""))</f>
        <v>12088.26</v>
      </c>
      <c r="AC24" s="38" t="n">
        <f aca="false">IF($A24="","",IFERROR(1/(1/IF($B24="Residential",SUMIFS(INDEX('Oxford Economics'!$A$7:$AZ$1000,0,IFERROR(MATCH(AC$5,'Oxford Economics'!$A$6:$AZ$6,0),MATCH(AC$5&amp;"",'Oxford Economics'!$A$6:$AZ$6,0))),'Oxford Economics'!$A$7:$A$1000,$C24,'Oxford Economics'!$B$7:$B$1000,Settings!$B$12)-SUMIFS(INDEX('Oxford Economics'!$A$7:$AZ$1000,0,IFERROR(MATCH(AC$5,'Oxford Economics'!$A$6:$AZ$6,0),MATCH(AC$5&amp;"",'Oxford Economics'!$A$6:$AZ$6,0))),'Oxford Economics'!$A$7:$A$1000,$C24,'Oxford Economics'!$B$7:$B$1000,Settings!$B$14),SUMIFS(INDEX('Oxford Economics'!$A$7:$AZ$1000,0,IFERROR(MATCH(AC$5,'Oxford Economics'!$A$6:$AZ$6,0),MATCH(AC$5&amp;"",'Oxford Economics'!$A$6:$AZ$6,0))),'Oxford Economics'!$A$7:$A$1000,$C24,'Oxford Economics'!$B$7:$B$1000,Settings!$B$14)+SUMIFS(INDEX('Oxford Economics'!$A$7:$AZ$1000,0,IFERROR(MATCH(AC$5,'Oxford Economics'!$A$6:$AZ$6,0),MATCH(AC$5&amp;"",'Oxford Economics'!$A$6:$AZ$6,0))),'Oxford Economics'!$A$7:$A$1000,$C24,'Oxford Economics'!$B$7:$B$1000,Settings!$B$16)+IF(Settings!$B$18="",0,SUMIFS(INDEX('Oxford Economics'!$A$7:$AZ$1000,0,IFERROR(MATCH(AC$5,'Oxford Economics'!$A$6:$AZ$6,0),MATCH(AC$5&amp;"",'Oxford Economics'!$A$6:$AZ$6,0))),'Oxford Economics'!$A$7:$A$1000,$C24,'Oxford Economics'!$B$7:$B$1000,Settings!$B$18)))),""))</f>
        <v>13019.06</v>
      </c>
      <c r="AD24" s="38" t="n">
        <f aca="false">IF($A24="","",IFERROR(1/(1/IF($B24="Residential",SUMIFS(INDEX('Oxford Economics'!$A$7:$AZ$1000,0,IFERROR(MATCH(AD$5,'Oxford Economics'!$A$6:$AZ$6,0),MATCH(AD$5&amp;"",'Oxford Economics'!$A$6:$AZ$6,0))),'Oxford Economics'!$A$7:$A$1000,$C24,'Oxford Economics'!$B$7:$B$1000,Settings!$B$12)-SUMIFS(INDEX('Oxford Economics'!$A$7:$AZ$1000,0,IFERROR(MATCH(AD$5,'Oxford Economics'!$A$6:$AZ$6,0),MATCH(AD$5&amp;"",'Oxford Economics'!$A$6:$AZ$6,0))),'Oxford Economics'!$A$7:$A$1000,$C24,'Oxford Economics'!$B$7:$B$1000,Settings!$B$14),SUMIFS(INDEX('Oxford Economics'!$A$7:$AZ$1000,0,IFERROR(MATCH(AD$5,'Oxford Economics'!$A$6:$AZ$6,0),MATCH(AD$5&amp;"",'Oxford Economics'!$A$6:$AZ$6,0))),'Oxford Economics'!$A$7:$A$1000,$C24,'Oxford Economics'!$B$7:$B$1000,Settings!$B$14)+SUMIFS(INDEX('Oxford Economics'!$A$7:$AZ$1000,0,IFERROR(MATCH(AD$5,'Oxford Economics'!$A$6:$AZ$6,0),MATCH(AD$5&amp;"",'Oxford Economics'!$A$6:$AZ$6,0))),'Oxford Economics'!$A$7:$A$1000,$C24,'Oxford Economics'!$B$7:$B$1000,Settings!$B$16)+IF(Settings!$B$18="",0,SUMIFS(INDEX('Oxford Economics'!$A$7:$AZ$1000,0,IFERROR(MATCH(AD$5,'Oxford Economics'!$A$6:$AZ$6,0),MATCH(AD$5&amp;"",'Oxford Economics'!$A$6:$AZ$6,0))),'Oxford Economics'!$A$7:$A$1000,$C24,'Oxford Economics'!$B$7:$B$1000,Settings!$B$18)))),""))</f>
        <v>12507.35</v>
      </c>
      <c r="AE24" s="38" t="n">
        <f aca="false">IF($A24="","",IFERROR(1/(1/IF($B24="Residential",SUMIFS(INDEX('Oxford Economics'!$A$7:$AZ$1000,0,IFERROR(MATCH(AE$5,'Oxford Economics'!$A$6:$AZ$6,0),MATCH(AE$5&amp;"",'Oxford Economics'!$A$6:$AZ$6,0))),'Oxford Economics'!$A$7:$A$1000,$C24,'Oxford Economics'!$B$7:$B$1000,Settings!$B$12)-SUMIFS(INDEX('Oxford Economics'!$A$7:$AZ$1000,0,IFERROR(MATCH(AE$5,'Oxford Economics'!$A$6:$AZ$6,0),MATCH(AE$5&amp;"",'Oxford Economics'!$A$6:$AZ$6,0))),'Oxford Economics'!$A$7:$A$1000,$C24,'Oxford Economics'!$B$7:$B$1000,Settings!$B$14),SUMIFS(INDEX('Oxford Economics'!$A$7:$AZ$1000,0,IFERROR(MATCH(AE$5,'Oxford Economics'!$A$6:$AZ$6,0),MATCH(AE$5&amp;"",'Oxford Economics'!$A$6:$AZ$6,0))),'Oxford Economics'!$A$7:$A$1000,$C24,'Oxford Economics'!$B$7:$B$1000,Settings!$B$14)+SUMIFS(INDEX('Oxford Economics'!$A$7:$AZ$1000,0,IFERROR(MATCH(AE$5,'Oxford Economics'!$A$6:$AZ$6,0),MATCH(AE$5&amp;"",'Oxford Economics'!$A$6:$AZ$6,0))),'Oxford Economics'!$A$7:$A$1000,$C24,'Oxford Economics'!$B$7:$B$1000,Settings!$B$16)+IF(Settings!$B$18="",0,SUMIFS(INDEX('Oxford Economics'!$A$7:$AZ$1000,0,IFERROR(MATCH(AE$5,'Oxford Economics'!$A$6:$AZ$6,0),MATCH(AE$5&amp;"",'Oxford Economics'!$A$6:$AZ$6,0))),'Oxford Economics'!$A$7:$A$1000,$C24,'Oxford Economics'!$B$7:$B$1000,Settings!$B$18)))),""))</f>
        <v>11169.27</v>
      </c>
      <c r="AF24" s="38" t="n">
        <f aca="false">IF($A24="","",IFERROR(1/(1/IF($B24="Residential",SUMIFS(INDEX('Oxford Economics'!$A$7:$AZ$1000,0,IFERROR(MATCH(AF$5,'Oxford Economics'!$A$6:$AZ$6,0),MATCH(AF$5&amp;"",'Oxford Economics'!$A$6:$AZ$6,0))),'Oxford Economics'!$A$7:$A$1000,$C24,'Oxford Economics'!$B$7:$B$1000,Settings!$B$12)-SUMIFS(INDEX('Oxford Economics'!$A$7:$AZ$1000,0,IFERROR(MATCH(AF$5,'Oxford Economics'!$A$6:$AZ$6,0),MATCH(AF$5&amp;"",'Oxford Economics'!$A$6:$AZ$6,0))),'Oxford Economics'!$A$7:$A$1000,$C24,'Oxford Economics'!$B$7:$B$1000,Settings!$B$14),SUMIFS(INDEX('Oxford Economics'!$A$7:$AZ$1000,0,IFERROR(MATCH(AF$5,'Oxford Economics'!$A$6:$AZ$6,0),MATCH(AF$5&amp;"",'Oxford Economics'!$A$6:$AZ$6,0))),'Oxford Economics'!$A$7:$A$1000,$C24,'Oxford Economics'!$B$7:$B$1000,Settings!$B$14)+SUMIFS(INDEX('Oxford Economics'!$A$7:$AZ$1000,0,IFERROR(MATCH(AF$5,'Oxford Economics'!$A$6:$AZ$6,0),MATCH(AF$5&amp;"",'Oxford Economics'!$A$6:$AZ$6,0))),'Oxford Economics'!$A$7:$A$1000,$C24,'Oxford Economics'!$B$7:$B$1000,Settings!$B$16)+IF(Settings!$B$18="",0,SUMIFS(INDEX('Oxford Economics'!$A$7:$AZ$1000,0,IFERROR(MATCH(AF$5,'Oxford Economics'!$A$6:$AZ$6,0),MATCH(AF$5&amp;"",'Oxford Economics'!$A$6:$AZ$6,0))),'Oxford Economics'!$A$7:$A$1000,$C24,'Oxford Economics'!$B$7:$B$1000,Settings!$B$18)))),""))</f>
        <v>11054.69</v>
      </c>
      <c r="AG24" s="38" t="n">
        <f aca="false">IF($A24="","",IFERROR(1/(1/IF($B24="Residential",SUMIFS(INDEX('Oxford Economics'!$A$7:$AZ$1000,0,IFERROR(MATCH(AG$5,'Oxford Economics'!$A$6:$AZ$6,0),MATCH(AG$5&amp;"",'Oxford Economics'!$A$6:$AZ$6,0))),'Oxford Economics'!$A$7:$A$1000,$C24,'Oxford Economics'!$B$7:$B$1000,Settings!$B$12)-SUMIFS(INDEX('Oxford Economics'!$A$7:$AZ$1000,0,IFERROR(MATCH(AG$5,'Oxford Economics'!$A$6:$AZ$6,0),MATCH(AG$5&amp;"",'Oxford Economics'!$A$6:$AZ$6,0))),'Oxford Economics'!$A$7:$A$1000,$C24,'Oxford Economics'!$B$7:$B$1000,Settings!$B$14),SUMIFS(INDEX('Oxford Economics'!$A$7:$AZ$1000,0,IFERROR(MATCH(AG$5,'Oxford Economics'!$A$6:$AZ$6,0),MATCH(AG$5&amp;"",'Oxford Economics'!$A$6:$AZ$6,0))),'Oxford Economics'!$A$7:$A$1000,$C24,'Oxford Economics'!$B$7:$B$1000,Settings!$B$14)+SUMIFS(INDEX('Oxford Economics'!$A$7:$AZ$1000,0,IFERROR(MATCH(AG$5,'Oxford Economics'!$A$6:$AZ$6,0),MATCH(AG$5&amp;"",'Oxford Economics'!$A$6:$AZ$6,0))),'Oxford Economics'!$A$7:$A$1000,$C24,'Oxford Economics'!$B$7:$B$1000,Settings!$B$16)+IF(Settings!$B$18="",0,SUMIFS(INDEX('Oxford Economics'!$A$7:$AZ$1000,0,IFERROR(MATCH(AG$5,'Oxford Economics'!$A$6:$AZ$6,0),MATCH(AG$5&amp;"",'Oxford Economics'!$A$6:$AZ$6,0))),'Oxford Economics'!$A$7:$A$1000,$C24,'Oxford Economics'!$B$7:$B$1000,Settings!$B$18)))),""))</f>
        <v>11262.39</v>
      </c>
      <c r="AH24" s="38" t="n">
        <f aca="false">IF($A24="","",IFERROR(1/(1/IF($B24="Residential",SUMIFS(INDEX('Oxford Economics'!$A$7:$AZ$1000,0,IFERROR(MATCH(AH$5,'Oxford Economics'!$A$6:$AZ$6,0),MATCH(AH$5&amp;"",'Oxford Economics'!$A$6:$AZ$6,0))),'Oxford Economics'!$A$7:$A$1000,$C24,'Oxford Economics'!$B$7:$B$1000,Settings!$B$12)-SUMIFS(INDEX('Oxford Economics'!$A$7:$AZ$1000,0,IFERROR(MATCH(AH$5,'Oxford Economics'!$A$6:$AZ$6,0),MATCH(AH$5&amp;"",'Oxford Economics'!$A$6:$AZ$6,0))),'Oxford Economics'!$A$7:$A$1000,$C24,'Oxford Economics'!$B$7:$B$1000,Settings!$B$14),SUMIFS(INDEX('Oxford Economics'!$A$7:$AZ$1000,0,IFERROR(MATCH(AH$5,'Oxford Economics'!$A$6:$AZ$6,0),MATCH(AH$5&amp;"",'Oxford Economics'!$A$6:$AZ$6,0))),'Oxford Economics'!$A$7:$A$1000,$C24,'Oxford Economics'!$B$7:$B$1000,Settings!$B$14)+SUMIFS(INDEX('Oxford Economics'!$A$7:$AZ$1000,0,IFERROR(MATCH(AH$5,'Oxford Economics'!$A$6:$AZ$6,0),MATCH(AH$5&amp;"",'Oxford Economics'!$A$6:$AZ$6,0))),'Oxford Economics'!$A$7:$A$1000,$C24,'Oxford Economics'!$B$7:$B$1000,Settings!$B$16)+IF(Settings!$B$18="",0,SUMIFS(INDEX('Oxford Economics'!$A$7:$AZ$1000,0,IFERROR(MATCH(AH$5,'Oxford Economics'!$A$6:$AZ$6,0),MATCH(AH$5&amp;"",'Oxford Economics'!$A$6:$AZ$6,0))),'Oxford Economics'!$A$7:$A$1000,$C24,'Oxford Economics'!$B$7:$B$1000,Settings!$B$18)))),""))</f>
        <v>11584.94</v>
      </c>
      <c r="AI24" s="38" t="n">
        <f aca="false">IF($A24="","",IFERROR(1/(1/IF($B24="Residential",SUMIFS(INDEX('Oxford Economics'!$A$7:$AZ$1000,0,IFERROR(MATCH(AI$5,'Oxford Economics'!$A$6:$AZ$6,0),MATCH(AI$5&amp;"",'Oxford Economics'!$A$6:$AZ$6,0))),'Oxford Economics'!$A$7:$A$1000,$C24,'Oxford Economics'!$B$7:$B$1000,Settings!$B$12)-SUMIFS(INDEX('Oxford Economics'!$A$7:$AZ$1000,0,IFERROR(MATCH(AI$5,'Oxford Economics'!$A$6:$AZ$6,0),MATCH(AI$5&amp;"",'Oxford Economics'!$A$6:$AZ$6,0))),'Oxford Economics'!$A$7:$A$1000,$C24,'Oxford Economics'!$B$7:$B$1000,Settings!$B$14),SUMIFS(INDEX('Oxford Economics'!$A$7:$AZ$1000,0,IFERROR(MATCH(AI$5,'Oxford Economics'!$A$6:$AZ$6,0),MATCH(AI$5&amp;"",'Oxford Economics'!$A$6:$AZ$6,0))),'Oxford Economics'!$A$7:$A$1000,$C24,'Oxford Economics'!$B$7:$B$1000,Settings!$B$14)+SUMIFS(INDEX('Oxford Economics'!$A$7:$AZ$1000,0,IFERROR(MATCH(AI$5,'Oxford Economics'!$A$6:$AZ$6,0),MATCH(AI$5&amp;"",'Oxford Economics'!$A$6:$AZ$6,0))),'Oxford Economics'!$A$7:$A$1000,$C24,'Oxford Economics'!$B$7:$B$1000,Settings!$B$16)+IF(Settings!$B$18="",0,SUMIFS(INDEX('Oxford Economics'!$A$7:$AZ$1000,0,IFERROR(MATCH(AI$5,'Oxford Economics'!$A$6:$AZ$6,0),MATCH(AI$5&amp;"",'Oxford Economics'!$A$6:$AZ$6,0))),'Oxford Economics'!$A$7:$A$1000,$C24,'Oxford Economics'!$B$7:$B$1000,Settings!$B$18)))),""))</f>
        <v>11553.98</v>
      </c>
      <c r="AJ24" s="38" t="n">
        <f aca="false">IF($A24="","",IFERROR(1/(1/IF($B24="Residential",SUMIFS(INDEX('Oxford Economics'!$A$7:$AZ$1000,0,IFERROR(MATCH(AJ$5,'Oxford Economics'!$A$6:$AZ$6,0),MATCH(AJ$5&amp;"",'Oxford Economics'!$A$6:$AZ$6,0))),'Oxford Economics'!$A$7:$A$1000,$C24,'Oxford Economics'!$B$7:$B$1000,Settings!$B$12)-SUMIFS(INDEX('Oxford Economics'!$A$7:$AZ$1000,0,IFERROR(MATCH(AJ$5,'Oxford Economics'!$A$6:$AZ$6,0),MATCH(AJ$5&amp;"",'Oxford Economics'!$A$6:$AZ$6,0))),'Oxford Economics'!$A$7:$A$1000,$C24,'Oxford Economics'!$B$7:$B$1000,Settings!$B$14),SUMIFS(INDEX('Oxford Economics'!$A$7:$AZ$1000,0,IFERROR(MATCH(AJ$5,'Oxford Economics'!$A$6:$AZ$6,0),MATCH(AJ$5&amp;"",'Oxford Economics'!$A$6:$AZ$6,0))),'Oxford Economics'!$A$7:$A$1000,$C24,'Oxford Economics'!$B$7:$B$1000,Settings!$B$14)+SUMIFS(INDEX('Oxford Economics'!$A$7:$AZ$1000,0,IFERROR(MATCH(AJ$5,'Oxford Economics'!$A$6:$AZ$6,0),MATCH(AJ$5&amp;"",'Oxford Economics'!$A$6:$AZ$6,0))),'Oxford Economics'!$A$7:$A$1000,$C24,'Oxford Economics'!$B$7:$B$1000,Settings!$B$16)+IF(Settings!$B$18="",0,SUMIFS(INDEX('Oxford Economics'!$A$7:$AZ$1000,0,IFERROR(MATCH(AJ$5,'Oxford Economics'!$A$6:$AZ$6,0),MATCH(AJ$5&amp;"",'Oxford Economics'!$A$6:$AZ$6,0))),'Oxford Economics'!$A$7:$A$1000,$C24,'Oxford Economics'!$B$7:$B$1000,Settings!$B$18)))),""))</f>
        <v>11824.56</v>
      </c>
      <c r="AK24" s="38" t="n">
        <f aca="false">IF($A24="","",IFERROR(1/(1/IF($B24="Residential",SUMIFS(INDEX('Oxford Economics'!$A$7:$AZ$1000,0,IFERROR(MATCH(AK$5,'Oxford Economics'!$A$6:$AZ$6,0),MATCH(AK$5&amp;"",'Oxford Economics'!$A$6:$AZ$6,0))),'Oxford Economics'!$A$7:$A$1000,$C24,'Oxford Economics'!$B$7:$B$1000,Settings!$B$12)-SUMIFS(INDEX('Oxford Economics'!$A$7:$AZ$1000,0,IFERROR(MATCH(AK$5,'Oxford Economics'!$A$6:$AZ$6,0),MATCH(AK$5&amp;"",'Oxford Economics'!$A$6:$AZ$6,0))),'Oxford Economics'!$A$7:$A$1000,$C24,'Oxford Economics'!$B$7:$B$1000,Settings!$B$14),SUMIFS(INDEX('Oxford Economics'!$A$7:$AZ$1000,0,IFERROR(MATCH(AK$5,'Oxford Economics'!$A$6:$AZ$6,0),MATCH(AK$5&amp;"",'Oxford Economics'!$A$6:$AZ$6,0))),'Oxford Economics'!$A$7:$A$1000,$C24,'Oxford Economics'!$B$7:$B$1000,Settings!$B$14)+SUMIFS(INDEX('Oxford Economics'!$A$7:$AZ$1000,0,IFERROR(MATCH(AK$5,'Oxford Economics'!$A$6:$AZ$6,0),MATCH(AK$5&amp;"",'Oxford Economics'!$A$6:$AZ$6,0))),'Oxford Economics'!$A$7:$A$1000,$C24,'Oxford Economics'!$B$7:$B$1000,Settings!$B$16)+IF(Settings!$B$18="",0,SUMIFS(INDEX('Oxford Economics'!$A$7:$AZ$1000,0,IFERROR(MATCH(AK$5,'Oxford Economics'!$A$6:$AZ$6,0),MATCH(AK$5&amp;"",'Oxford Economics'!$A$6:$AZ$6,0))),'Oxford Economics'!$A$7:$A$1000,$C24,'Oxford Economics'!$B$7:$B$1000,Settings!$B$18)))),""))</f>
        <v>12152.93</v>
      </c>
      <c r="AL24" s="38" t="n">
        <f aca="false">IF($A24="","",IFERROR(1/(1/IF($B24="Residential",SUMIFS(INDEX('Oxford Economics'!$A$7:$AZ$1000,0,IFERROR(MATCH(AL$5,'Oxford Economics'!$A$6:$AZ$6,0),MATCH(AL$5&amp;"",'Oxford Economics'!$A$6:$AZ$6,0))),'Oxford Economics'!$A$7:$A$1000,$C24,'Oxford Economics'!$B$7:$B$1000,Settings!$B$12)-SUMIFS(INDEX('Oxford Economics'!$A$7:$AZ$1000,0,IFERROR(MATCH(AL$5,'Oxford Economics'!$A$6:$AZ$6,0),MATCH(AL$5&amp;"",'Oxford Economics'!$A$6:$AZ$6,0))),'Oxford Economics'!$A$7:$A$1000,$C24,'Oxford Economics'!$B$7:$B$1000,Settings!$B$14),SUMIFS(INDEX('Oxford Economics'!$A$7:$AZ$1000,0,IFERROR(MATCH(AL$5,'Oxford Economics'!$A$6:$AZ$6,0),MATCH(AL$5&amp;"",'Oxford Economics'!$A$6:$AZ$6,0))),'Oxford Economics'!$A$7:$A$1000,$C24,'Oxford Economics'!$B$7:$B$1000,Settings!$B$14)+SUMIFS(INDEX('Oxford Economics'!$A$7:$AZ$1000,0,IFERROR(MATCH(AL$5,'Oxford Economics'!$A$6:$AZ$6,0),MATCH(AL$5&amp;"",'Oxford Economics'!$A$6:$AZ$6,0))),'Oxford Economics'!$A$7:$A$1000,$C24,'Oxford Economics'!$B$7:$B$1000,Settings!$B$16)+IF(Settings!$B$18="",0,SUMIFS(INDEX('Oxford Economics'!$A$7:$AZ$1000,0,IFERROR(MATCH(AL$5,'Oxford Economics'!$A$6:$AZ$6,0),MATCH(AL$5&amp;"",'Oxford Economics'!$A$6:$AZ$6,0))),'Oxford Economics'!$A$7:$A$1000,$C24,'Oxford Economics'!$B$7:$B$1000,Settings!$B$18)))),""))</f>
        <v>12475.73</v>
      </c>
      <c r="AM24" s="38" t="n">
        <f aca="false">IF($A24="","",IFERROR(1/(1/IF($B24="Residential",SUMIFS(INDEX('Oxford Economics'!$A$7:$AZ$1000,0,IFERROR(MATCH(AM$5,'Oxford Economics'!$A$6:$AZ$6,0),MATCH(AM$5&amp;"",'Oxford Economics'!$A$6:$AZ$6,0))),'Oxford Economics'!$A$7:$A$1000,$C24,'Oxford Economics'!$B$7:$B$1000,Settings!$B$12)-SUMIFS(INDEX('Oxford Economics'!$A$7:$AZ$1000,0,IFERROR(MATCH(AM$5,'Oxford Economics'!$A$6:$AZ$6,0),MATCH(AM$5&amp;"",'Oxford Economics'!$A$6:$AZ$6,0))),'Oxford Economics'!$A$7:$A$1000,$C24,'Oxford Economics'!$B$7:$B$1000,Settings!$B$14),SUMIFS(INDEX('Oxford Economics'!$A$7:$AZ$1000,0,IFERROR(MATCH(AM$5,'Oxford Economics'!$A$6:$AZ$6,0),MATCH(AM$5&amp;"",'Oxford Economics'!$A$6:$AZ$6,0))),'Oxford Economics'!$A$7:$A$1000,$C24,'Oxford Economics'!$B$7:$B$1000,Settings!$B$14)+SUMIFS(INDEX('Oxford Economics'!$A$7:$AZ$1000,0,IFERROR(MATCH(AM$5,'Oxford Economics'!$A$6:$AZ$6,0),MATCH(AM$5&amp;"",'Oxford Economics'!$A$6:$AZ$6,0))),'Oxford Economics'!$A$7:$A$1000,$C24,'Oxford Economics'!$B$7:$B$1000,Settings!$B$16)+IF(Settings!$B$18="",0,SUMIFS(INDEX('Oxford Economics'!$A$7:$AZ$1000,0,IFERROR(MATCH(AM$5,'Oxford Economics'!$A$6:$AZ$6,0),MATCH(AM$5&amp;"",'Oxford Economics'!$A$6:$AZ$6,0))),'Oxford Economics'!$A$7:$A$1000,$C24,'Oxford Economics'!$B$7:$B$1000,Settings!$B$18)))),""))</f>
        <v>12756.4</v>
      </c>
    </row>
    <row r="25" customFormat="false" ht="15" hidden="false" customHeight="false" outlineLevel="0" collapsed="false">
      <c r="A25" s="37" t="str">
        <f aca="false">IF('Raw data'!$A25="","",'Raw data'!$A25)</f>
        <v>Netherlands</v>
      </c>
      <c r="B25" s="37" t="str">
        <f aca="false">IF($A25="","",'Raw data'!$C25)</f>
        <v>Residential</v>
      </c>
      <c r="C25" s="37" t="str">
        <f aca="false">IF($A25="","",IF('Raw data'!$E25="",$A25,'Raw data'!$E25))</f>
        <v>Netherlands</v>
      </c>
      <c r="D25" s="38" t="n">
        <f aca="false">IF($A25="","",IF(AND(ISNUMBER(P25),ISNUMBER(AB25)),P25+AB25,""))</f>
        <v>26861</v>
      </c>
      <c r="E25" s="38" t="n">
        <f aca="false">IF($A25="","",IF(AND(ISNUMBER(Q25),ISNUMBER(AC25)),Q25+AC25,""))</f>
        <v>28102.09</v>
      </c>
      <c r="F25" s="38" t="n">
        <f aca="false">IF($A25="","",IF(AND(ISNUMBER(R25),ISNUMBER(AD25)),R25+AD25,""))</f>
        <v>28941.14</v>
      </c>
      <c r="G25" s="38" t="n">
        <f aca="false">IF($A25="","",IF(AND(ISNUMBER(S25),ISNUMBER(AE25)),S25+AE25,""))</f>
        <v>29344.02</v>
      </c>
      <c r="H25" s="38" t="n">
        <f aca="false">IF($A25="","",IF(AND(ISNUMBER(T25),ISNUMBER(AF25)),T25+AF25,""))</f>
        <v>28998.05</v>
      </c>
      <c r="I25" s="38" t="n">
        <f aca="false">IF($A25="","",IF(AND(ISNUMBER(U25),ISNUMBER(AG25)),U25+AG25,""))</f>
        <v>29129.26</v>
      </c>
      <c r="J25" s="38" t="n">
        <f aca="false">IF($A25="","",IF(AND(ISNUMBER(V25),ISNUMBER(AH25)),V25+AH25,""))</f>
        <v>29512.41</v>
      </c>
      <c r="K25" s="38" t="n">
        <f aca="false">IF($A25="","",IF(AND(ISNUMBER(W25),ISNUMBER(AI25)),W25+AI25,""))</f>
        <v>29901.43</v>
      </c>
      <c r="L25" s="38" t="n">
        <f aca="false">IF($A25="","",IF(AND(ISNUMBER(X25),ISNUMBER(AJ25)),X25+AJ25,""))</f>
        <v>31213.02</v>
      </c>
      <c r="M25" s="38" t="n">
        <f aca="false">IF($A25="","",IF(AND(ISNUMBER(Y25),ISNUMBER(AK25)),Y25+AK25,""))</f>
        <v>32376.78</v>
      </c>
      <c r="N25" s="38" t="n">
        <f aca="false">IF($A25="","",IF(AND(ISNUMBER(Z25),ISNUMBER(AL25)),Z25+AL25,""))</f>
        <v>33392.61</v>
      </c>
      <c r="O25" s="38" t="n">
        <f aca="false">IF($A25="","",IF(AND(ISNUMBER(AA25),ISNUMBER(AM25)),AA25+AM25,""))</f>
        <v>34045.05</v>
      </c>
      <c r="P25" s="38" t="n">
        <f aca="false">IF($A25="","",IFERROR(1/(1/IF($B25="Residential",SUMIFS(INDEX('Oxford Economics'!$A$7:$AZ$1000,0,IFERROR(MATCH(P$5,'Oxford Economics'!$A$6:$AZ$6,0),MATCH(P$5&amp;"",'Oxford Economics'!$A$6:$AZ$6,0))),'Oxford Economics'!$A$7:$A$1000,$C25,'Oxford Economics'!$B$7:$B$1000,Settings!$B$13)-SUMIFS(INDEX('Oxford Economics'!$A$7:$AZ$1000,0,IFERROR(MATCH(P$5,'Oxford Economics'!$A$6:$AZ$6,0),MATCH(P$5&amp;"",'Oxford Economics'!$A$6:$AZ$6,0))),'Oxford Economics'!$A$7:$A$1000,$C25,'Oxford Economics'!$B$7:$B$1000,Settings!$B$15),SUMIFS(INDEX('Oxford Economics'!$A$7:$AZ$1000,0,IFERROR(MATCH(P$5,'Oxford Economics'!$A$6:$AZ$6,0),MATCH(P$5&amp;"",'Oxford Economics'!$A$6:$AZ$6,0))),'Oxford Economics'!$A$7:$A$1000,$C25,'Oxford Economics'!$B$7:$B$1000,Settings!$B$15)+SUMIFS(INDEX('Oxford Economics'!$A$7:$AZ$1000,0,IFERROR(MATCH(P$5,'Oxford Economics'!$A$6:$AZ$6,0),MATCH(P$5&amp;"",'Oxford Economics'!$A$6:$AZ$6,0))),'Oxford Economics'!$A$7:$A$1000,$C25,'Oxford Economics'!$B$7:$B$1000,Settings!$B$17)+IF(Settings!$B$19="",0,SUMIFS(INDEX('Oxford Economics'!$A$7:$AZ$1000,0,IFERROR(MATCH(P$5,'Oxford Economics'!$A$6:$AZ$6,0),MATCH(P$5&amp;"",'Oxford Economics'!$A$6:$AZ$6,0))),'Oxford Economics'!$A$7:$A$1000,$C25,'Oxford Economics'!$B$7:$B$1000,Settings!$B$19)))),""))</f>
        <v>14772.74</v>
      </c>
      <c r="Q25" s="38" t="n">
        <f aca="false">IF($A25="","",IFERROR(1/(1/IF($B25="Residential",SUMIFS(INDEX('Oxford Economics'!$A$7:$AZ$1000,0,IFERROR(MATCH(Q$5,'Oxford Economics'!$A$6:$AZ$6,0),MATCH(Q$5&amp;"",'Oxford Economics'!$A$6:$AZ$6,0))),'Oxford Economics'!$A$7:$A$1000,$C25,'Oxford Economics'!$B$7:$B$1000,Settings!$B$13)-SUMIFS(INDEX('Oxford Economics'!$A$7:$AZ$1000,0,IFERROR(MATCH(Q$5,'Oxford Economics'!$A$6:$AZ$6,0),MATCH(Q$5&amp;"",'Oxford Economics'!$A$6:$AZ$6,0))),'Oxford Economics'!$A$7:$A$1000,$C25,'Oxford Economics'!$B$7:$B$1000,Settings!$B$15),SUMIFS(INDEX('Oxford Economics'!$A$7:$AZ$1000,0,IFERROR(MATCH(Q$5,'Oxford Economics'!$A$6:$AZ$6,0),MATCH(Q$5&amp;"",'Oxford Economics'!$A$6:$AZ$6,0))),'Oxford Economics'!$A$7:$A$1000,$C25,'Oxford Economics'!$B$7:$B$1000,Settings!$B$15)+SUMIFS(INDEX('Oxford Economics'!$A$7:$AZ$1000,0,IFERROR(MATCH(Q$5,'Oxford Economics'!$A$6:$AZ$6,0),MATCH(Q$5&amp;"",'Oxford Economics'!$A$6:$AZ$6,0))),'Oxford Economics'!$A$7:$A$1000,$C25,'Oxford Economics'!$B$7:$B$1000,Settings!$B$17)+IF(Settings!$B$19="",0,SUMIFS(INDEX('Oxford Economics'!$A$7:$AZ$1000,0,IFERROR(MATCH(Q$5,'Oxford Economics'!$A$6:$AZ$6,0),MATCH(Q$5&amp;"",'Oxford Economics'!$A$6:$AZ$6,0))),'Oxford Economics'!$A$7:$A$1000,$C25,'Oxford Economics'!$B$7:$B$1000,Settings!$B$19)))),""))</f>
        <v>15083.03</v>
      </c>
      <c r="R25" s="38" t="n">
        <f aca="false">IF($A25="","",IFERROR(1/(1/IF($B25="Residential",SUMIFS(INDEX('Oxford Economics'!$A$7:$AZ$1000,0,IFERROR(MATCH(R$5,'Oxford Economics'!$A$6:$AZ$6,0),MATCH(R$5&amp;"",'Oxford Economics'!$A$6:$AZ$6,0))),'Oxford Economics'!$A$7:$A$1000,$C25,'Oxford Economics'!$B$7:$B$1000,Settings!$B$13)-SUMIFS(INDEX('Oxford Economics'!$A$7:$AZ$1000,0,IFERROR(MATCH(R$5,'Oxford Economics'!$A$6:$AZ$6,0),MATCH(R$5&amp;"",'Oxford Economics'!$A$6:$AZ$6,0))),'Oxford Economics'!$A$7:$A$1000,$C25,'Oxford Economics'!$B$7:$B$1000,Settings!$B$15),SUMIFS(INDEX('Oxford Economics'!$A$7:$AZ$1000,0,IFERROR(MATCH(R$5,'Oxford Economics'!$A$6:$AZ$6,0),MATCH(R$5&amp;"",'Oxford Economics'!$A$6:$AZ$6,0))),'Oxford Economics'!$A$7:$A$1000,$C25,'Oxford Economics'!$B$7:$B$1000,Settings!$B$15)+SUMIFS(INDEX('Oxford Economics'!$A$7:$AZ$1000,0,IFERROR(MATCH(R$5,'Oxford Economics'!$A$6:$AZ$6,0),MATCH(R$5&amp;"",'Oxford Economics'!$A$6:$AZ$6,0))),'Oxford Economics'!$A$7:$A$1000,$C25,'Oxford Economics'!$B$7:$B$1000,Settings!$B$17)+IF(Settings!$B$19="",0,SUMIFS(INDEX('Oxford Economics'!$A$7:$AZ$1000,0,IFERROR(MATCH(R$5,'Oxford Economics'!$A$6:$AZ$6,0),MATCH(R$5&amp;"",'Oxford Economics'!$A$6:$AZ$6,0))),'Oxford Economics'!$A$7:$A$1000,$C25,'Oxford Economics'!$B$7:$B$1000,Settings!$B$19)))),""))</f>
        <v>16433.79</v>
      </c>
      <c r="S25" s="38" t="n">
        <f aca="false">IF($A25="","",IFERROR(1/(1/IF($B25="Residential",SUMIFS(INDEX('Oxford Economics'!$A$7:$AZ$1000,0,IFERROR(MATCH(S$5,'Oxford Economics'!$A$6:$AZ$6,0),MATCH(S$5&amp;"",'Oxford Economics'!$A$6:$AZ$6,0))),'Oxford Economics'!$A$7:$A$1000,$C25,'Oxford Economics'!$B$7:$B$1000,Settings!$B$13)-SUMIFS(INDEX('Oxford Economics'!$A$7:$AZ$1000,0,IFERROR(MATCH(S$5,'Oxford Economics'!$A$6:$AZ$6,0),MATCH(S$5&amp;"",'Oxford Economics'!$A$6:$AZ$6,0))),'Oxford Economics'!$A$7:$A$1000,$C25,'Oxford Economics'!$B$7:$B$1000,Settings!$B$15),SUMIFS(INDEX('Oxford Economics'!$A$7:$AZ$1000,0,IFERROR(MATCH(S$5,'Oxford Economics'!$A$6:$AZ$6,0),MATCH(S$5&amp;"",'Oxford Economics'!$A$6:$AZ$6,0))),'Oxford Economics'!$A$7:$A$1000,$C25,'Oxford Economics'!$B$7:$B$1000,Settings!$B$15)+SUMIFS(INDEX('Oxford Economics'!$A$7:$AZ$1000,0,IFERROR(MATCH(S$5,'Oxford Economics'!$A$6:$AZ$6,0),MATCH(S$5&amp;"",'Oxford Economics'!$A$6:$AZ$6,0))),'Oxford Economics'!$A$7:$A$1000,$C25,'Oxford Economics'!$B$7:$B$1000,Settings!$B$17)+IF(Settings!$B$19="",0,SUMIFS(INDEX('Oxford Economics'!$A$7:$AZ$1000,0,IFERROR(MATCH(S$5,'Oxford Economics'!$A$6:$AZ$6,0),MATCH(S$5&amp;"",'Oxford Economics'!$A$6:$AZ$6,0))),'Oxford Economics'!$A$7:$A$1000,$C25,'Oxford Economics'!$B$7:$B$1000,Settings!$B$19)))),""))</f>
        <v>18174.75</v>
      </c>
      <c r="T25" s="38" t="n">
        <f aca="false">IF($A25="","",IFERROR(1/(1/IF($B25="Residential",SUMIFS(INDEX('Oxford Economics'!$A$7:$AZ$1000,0,IFERROR(MATCH(T$5,'Oxford Economics'!$A$6:$AZ$6,0),MATCH(T$5&amp;"",'Oxford Economics'!$A$6:$AZ$6,0))),'Oxford Economics'!$A$7:$A$1000,$C25,'Oxford Economics'!$B$7:$B$1000,Settings!$B$13)-SUMIFS(INDEX('Oxford Economics'!$A$7:$AZ$1000,0,IFERROR(MATCH(T$5,'Oxford Economics'!$A$6:$AZ$6,0),MATCH(T$5&amp;"",'Oxford Economics'!$A$6:$AZ$6,0))),'Oxford Economics'!$A$7:$A$1000,$C25,'Oxford Economics'!$B$7:$B$1000,Settings!$B$15),SUMIFS(INDEX('Oxford Economics'!$A$7:$AZ$1000,0,IFERROR(MATCH(T$5,'Oxford Economics'!$A$6:$AZ$6,0),MATCH(T$5&amp;"",'Oxford Economics'!$A$6:$AZ$6,0))),'Oxford Economics'!$A$7:$A$1000,$C25,'Oxford Economics'!$B$7:$B$1000,Settings!$B$15)+SUMIFS(INDEX('Oxford Economics'!$A$7:$AZ$1000,0,IFERROR(MATCH(T$5,'Oxford Economics'!$A$6:$AZ$6,0),MATCH(T$5&amp;"",'Oxford Economics'!$A$6:$AZ$6,0))),'Oxford Economics'!$A$7:$A$1000,$C25,'Oxford Economics'!$B$7:$B$1000,Settings!$B$17)+IF(Settings!$B$19="",0,SUMIFS(INDEX('Oxford Economics'!$A$7:$AZ$1000,0,IFERROR(MATCH(T$5,'Oxford Economics'!$A$6:$AZ$6,0),MATCH(T$5&amp;"",'Oxford Economics'!$A$6:$AZ$6,0))),'Oxford Economics'!$A$7:$A$1000,$C25,'Oxford Economics'!$B$7:$B$1000,Settings!$B$19)))),""))</f>
        <v>17943.36</v>
      </c>
      <c r="U25" s="38" t="n">
        <f aca="false">IF($A25="","",IFERROR(1/(1/IF($B25="Residential",SUMIFS(INDEX('Oxford Economics'!$A$7:$AZ$1000,0,IFERROR(MATCH(U$5,'Oxford Economics'!$A$6:$AZ$6,0),MATCH(U$5&amp;"",'Oxford Economics'!$A$6:$AZ$6,0))),'Oxford Economics'!$A$7:$A$1000,$C25,'Oxford Economics'!$B$7:$B$1000,Settings!$B$13)-SUMIFS(INDEX('Oxford Economics'!$A$7:$AZ$1000,0,IFERROR(MATCH(U$5,'Oxford Economics'!$A$6:$AZ$6,0),MATCH(U$5&amp;"",'Oxford Economics'!$A$6:$AZ$6,0))),'Oxford Economics'!$A$7:$A$1000,$C25,'Oxford Economics'!$B$7:$B$1000,Settings!$B$15),SUMIFS(INDEX('Oxford Economics'!$A$7:$AZ$1000,0,IFERROR(MATCH(U$5,'Oxford Economics'!$A$6:$AZ$6,0),MATCH(U$5&amp;"",'Oxford Economics'!$A$6:$AZ$6,0))),'Oxford Economics'!$A$7:$A$1000,$C25,'Oxford Economics'!$B$7:$B$1000,Settings!$B$15)+SUMIFS(INDEX('Oxford Economics'!$A$7:$AZ$1000,0,IFERROR(MATCH(U$5,'Oxford Economics'!$A$6:$AZ$6,0),MATCH(U$5&amp;"",'Oxford Economics'!$A$6:$AZ$6,0))),'Oxford Economics'!$A$7:$A$1000,$C25,'Oxford Economics'!$B$7:$B$1000,Settings!$B$17)+IF(Settings!$B$19="",0,SUMIFS(INDEX('Oxford Economics'!$A$7:$AZ$1000,0,IFERROR(MATCH(U$5,'Oxford Economics'!$A$6:$AZ$6,0),MATCH(U$5&amp;"",'Oxford Economics'!$A$6:$AZ$6,0))),'Oxford Economics'!$A$7:$A$1000,$C25,'Oxford Economics'!$B$7:$B$1000,Settings!$B$19)))),""))</f>
        <v>17866.87</v>
      </c>
      <c r="V25" s="38" t="n">
        <f aca="false">IF($A25="","",IFERROR(1/(1/IF($B25="Residential",SUMIFS(INDEX('Oxford Economics'!$A$7:$AZ$1000,0,IFERROR(MATCH(V$5,'Oxford Economics'!$A$6:$AZ$6,0),MATCH(V$5&amp;"",'Oxford Economics'!$A$6:$AZ$6,0))),'Oxford Economics'!$A$7:$A$1000,$C25,'Oxford Economics'!$B$7:$B$1000,Settings!$B$13)-SUMIFS(INDEX('Oxford Economics'!$A$7:$AZ$1000,0,IFERROR(MATCH(V$5,'Oxford Economics'!$A$6:$AZ$6,0),MATCH(V$5&amp;"",'Oxford Economics'!$A$6:$AZ$6,0))),'Oxford Economics'!$A$7:$A$1000,$C25,'Oxford Economics'!$B$7:$B$1000,Settings!$B$15),SUMIFS(INDEX('Oxford Economics'!$A$7:$AZ$1000,0,IFERROR(MATCH(V$5,'Oxford Economics'!$A$6:$AZ$6,0),MATCH(V$5&amp;"",'Oxford Economics'!$A$6:$AZ$6,0))),'Oxford Economics'!$A$7:$A$1000,$C25,'Oxford Economics'!$B$7:$B$1000,Settings!$B$15)+SUMIFS(INDEX('Oxford Economics'!$A$7:$AZ$1000,0,IFERROR(MATCH(V$5,'Oxford Economics'!$A$6:$AZ$6,0),MATCH(V$5&amp;"",'Oxford Economics'!$A$6:$AZ$6,0))),'Oxford Economics'!$A$7:$A$1000,$C25,'Oxford Economics'!$B$7:$B$1000,Settings!$B$17)+IF(Settings!$B$19="",0,SUMIFS(INDEX('Oxford Economics'!$A$7:$AZ$1000,0,IFERROR(MATCH(V$5,'Oxford Economics'!$A$6:$AZ$6,0),MATCH(V$5&amp;"",'Oxford Economics'!$A$6:$AZ$6,0))),'Oxford Economics'!$A$7:$A$1000,$C25,'Oxford Economics'!$B$7:$B$1000,Settings!$B$19)))),""))</f>
        <v>17927.47</v>
      </c>
      <c r="W25" s="38" t="n">
        <f aca="false">IF($A25="","",IFERROR(1/(1/IF($B25="Residential",SUMIFS(INDEX('Oxford Economics'!$A$7:$AZ$1000,0,IFERROR(MATCH(W$5,'Oxford Economics'!$A$6:$AZ$6,0),MATCH(W$5&amp;"",'Oxford Economics'!$A$6:$AZ$6,0))),'Oxford Economics'!$A$7:$A$1000,$C25,'Oxford Economics'!$B$7:$B$1000,Settings!$B$13)-SUMIFS(INDEX('Oxford Economics'!$A$7:$AZ$1000,0,IFERROR(MATCH(W$5,'Oxford Economics'!$A$6:$AZ$6,0),MATCH(W$5&amp;"",'Oxford Economics'!$A$6:$AZ$6,0))),'Oxford Economics'!$A$7:$A$1000,$C25,'Oxford Economics'!$B$7:$B$1000,Settings!$B$15),SUMIFS(INDEX('Oxford Economics'!$A$7:$AZ$1000,0,IFERROR(MATCH(W$5,'Oxford Economics'!$A$6:$AZ$6,0),MATCH(W$5&amp;"",'Oxford Economics'!$A$6:$AZ$6,0))),'Oxford Economics'!$A$7:$A$1000,$C25,'Oxford Economics'!$B$7:$B$1000,Settings!$B$15)+SUMIFS(INDEX('Oxford Economics'!$A$7:$AZ$1000,0,IFERROR(MATCH(W$5,'Oxford Economics'!$A$6:$AZ$6,0),MATCH(W$5&amp;"",'Oxford Economics'!$A$6:$AZ$6,0))),'Oxford Economics'!$A$7:$A$1000,$C25,'Oxford Economics'!$B$7:$B$1000,Settings!$B$17)+IF(Settings!$B$19="",0,SUMIFS(INDEX('Oxford Economics'!$A$7:$AZ$1000,0,IFERROR(MATCH(W$5,'Oxford Economics'!$A$6:$AZ$6,0),MATCH(W$5&amp;"",'Oxford Economics'!$A$6:$AZ$6,0))),'Oxford Economics'!$A$7:$A$1000,$C25,'Oxford Economics'!$B$7:$B$1000,Settings!$B$19)))),""))</f>
        <v>18347.45</v>
      </c>
      <c r="X25" s="38" t="n">
        <f aca="false">IF($A25="","",IFERROR(1/(1/IF($B25="Residential",SUMIFS(INDEX('Oxford Economics'!$A$7:$AZ$1000,0,IFERROR(MATCH(X$5,'Oxford Economics'!$A$6:$AZ$6,0),MATCH(X$5&amp;"",'Oxford Economics'!$A$6:$AZ$6,0))),'Oxford Economics'!$A$7:$A$1000,$C25,'Oxford Economics'!$B$7:$B$1000,Settings!$B$13)-SUMIFS(INDEX('Oxford Economics'!$A$7:$AZ$1000,0,IFERROR(MATCH(X$5,'Oxford Economics'!$A$6:$AZ$6,0),MATCH(X$5&amp;"",'Oxford Economics'!$A$6:$AZ$6,0))),'Oxford Economics'!$A$7:$A$1000,$C25,'Oxford Economics'!$B$7:$B$1000,Settings!$B$15),SUMIFS(INDEX('Oxford Economics'!$A$7:$AZ$1000,0,IFERROR(MATCH(X$5,'Oxford Economics'!$A$6:$AZ$6,0),MATCH(X$5&amp;"",'Oxford Economics'!$A$6:$AZ$6,0))),'Oxford Economics'!$A$7:$A$1000,$C25,'Oxford Economics'!$B$7:$B$1000,Settings!$B$15)+SUMIFS(INDEX('Oxford Economics'!$A$7:$AZ$1000,0,IFERROR(MATCH(X$5,'Oxford Economics'!$A$6:$AZ$6,0),MATCH(X$5&amp;"",'Oxford Economics'!$A$6:$AZ$6,0))),'Oxford Economics'!$A$7:$A$1000,$C25,'Oxford Economics'!$B$7:$B$1000,Settings!$B$17)+IF(Settings!$B$19="",0,SUMIFS(INDEX('Oxford Economics'!$A$7:$AZ$1000,0,IFERROR(MATCH(X$5,'Oxford Economics'!$A$6:$AZ$6,0),MATCH(X$5&amp;"",'Oxford Economics'!$A$6:$AZ$6,0))),'Oxford Economics'!$A$7:$A$1000,$C25,'Oxford Economics'!$B$7:$B$1000,Settings!$B$19)))),""))</f>
        <v>19388.46</v>
      </c>
      <c r="Y25" s="38" t="n">
        <f aca="false">IF($A25="","",IFERROR(1/(1/IF($B25="Residential",SUMIFS(INDEX('Oxford Economics'!$A$7:$AZ$1000,0,IFERROR(MATCH(Y$5,'Oxford Economics'!$A$6:$AZ$6,0),MATCH(Y$5&amp;"",'Oxford Economics'!$A$6:$AZ$6,0))),'Oxford Economics'!$A$7:$A$1000,$C25,'Oxford Economics'!$B$7:$B$1000,Settings!$B$13)-SUMIFS(INDEX('Oxford Economics'!$A$7:$AZ$1000,0,IFERROR(MATCH(Y$5,'Oxford Economics'!$A$6:$AZ$6,0),MATCH(Y$5&amp;"",'Oxford Economics'!$A$6:$AZ$6,0))),'Oxford Economics'!$A$7:$A$1000,$C25,'Oxford Economics'!$B$7:$B$1000,Settings!$B$15),SUMIFS(INDEX('Oxford Economics'!$A$7:$AZ$1000,0,IFERROR(MATCH(Y$5,'Oxford Economics'!$A$6:$AZ$6,0),MATCH(Y$5&amp;"",'Oxford Economics'!$A$6:$AZ$6,0))),'Oxford Economics'!$A$7:$A$1000,$C25,'Oxford Economics'!$B$7:$B$1000,Settings!$B$15)+SUMIFS(INDEX('Oxford Economics'!$A$7:$AZ$1000,0,IFERROR(MATCH(Y$5,'Oxford Economics'!$A$6:$AZ$6,0),MATCH(Y$5&amp;"",'Oxford Economics'!$A$6:$AZ$6,0))),'Oxford Economics'!$A$7:$A$1000,$C25,'Oxford Economics'!$B$7:$B$1000,Settings!$B$17)+IF(Settings!$B$19="",0,SUMIFS(INDEX('Oxford Economics'!$A$7:$AZ$1000,0,IFERROR(MATCH(Y$5,'Oxford Economics'!$A$6:$AZ$6,0),MATCH(Y$5&amp;"",'Oxford Economics'!$A$6:$AZ$6,0))),'Oxford Economics'!$A$7:$A$1000,$C25,'Oxford Economics'!$B$7:$B$1000,Settings!$B$19)))),""))</f>
        <v>20223.85</v>
      </c>
      <c r="Z25" s="38" t="n">
        <f aca="false">IF($A25="","",IFERROR(1/(1/IF($B25="Residential",SUMIFS(INDEX('Oxford Economics'!$A$7:$AZ$1000,0,IFERROR(MATCH(Z$5,'Oxford Economics'!$A$6:$AZ$6,0),MATCH(Z$5&amp;"",'Oxford Economics'!$A$6:$AZ$6,0))),'Oxford Economics'!$A$7:$A$1000,$C25,'Oxford Economics'!$B$7:$B$1000,Settings!$B$13)-SUMIFS(INDEX('Oxford Economics'!$A$7:$AZ$1000,0,IFERROR(MATCH(Z$5,'Oxford Economics'!$A$6:$AZ$6,0),MATCH(Z$5&amp;"",'Oxford Economics'!$A$6:$AZ$6,0))),'Oxford Economics'!$A$7:$A$1000,$C25,'Oxford Economics'!$B$7:$B$1000,Settings!$B$15),SUMIFS(INDEX('Oxford Economics'!$A$7:$AZ$1000,0,IFERROR(MATCH(Z$5,'Oxford Economics'!$A$6:$AZ$6,0),MATCH(Z$5&amp;"",'Oxford Economics'!$A$6:$AZ$6,0))),'Oxford Economics'!$A$7:$A$1000,$C25,'Oxford Economics'!$B$7:$B$1000,Settings!$B$15)+SUMIFS(INDEX('Oxford Economics'!$A$7:$AZ$1000,0,IFERROR(MATCH(Z$5,'Oxford Economics'!$A$6:$AZ$6,0),MATCH(Z$5&amp;"",'Oxford Economics'!$A$6:$AZ$6,0))),'Oxford Economics'!$A$7:$A$1000,$C25,'Oxford Economics'!$B$7:$B$1000,Settings!$B$17)+IF(Settings!$B$19="",0,SUMIFS(INDEX('Oxford Economics'!$A$7:$AZ$1000,0,IFERROR(MATCH(Z$5,'Oxford Economics'!$A$6:$AZ$6,0),MATCH(Z$5&amp;"",'Oxford Economics'!$A$6:$AZ$6,0))),'Oxford Economics'!$A$7:$A$1000,$C25,'Oxford Economics'!$B$7:$B$1000,Settings!$B$19)))),""))</f>
        <v>20916.88</v>
      </c>
      <c r="AA25" s="38" t="n">
        <f aca="false">IF($A25="","",IFERROR(1/(1/IF($B25="Residential",SUMIFS(INDEX('Oxford Economics'!$A$7:$AZ$1000,0,IFERROR(MATCH(AA$5,'Oxford Economics'!$A$6:$AZ$6,0),MATCH(AA$5&amp;"",'Oxford Economics'!$A$6:$AZ$6,0))),'Oxford Economics'!$A$7:$A$1000,$C25,'Oxford Economics'!$B$7:$B$1000,Settings!$B$13)-SUMIFS(INDEX('Oxford Economics'!$A$7:$AZ$1000,0,IFERROR(MATCH(AA$5,'Oxford Economics'!$A$6:$AZ$6,0),MATCH(AA$5&amp;"",'Oxford Economics'!$A$6:$AZ$6,0))),'Oxford Economics'!$A$7:$A$1000,$C25,'Oxford Economics'!$B$7:$B$1000,Settings!$B$15),SUMIFS(INDEX('Oxford Economics'!$A$7:$AZ$1000,0,IFERROR(MATCH(AA$5,'Oxford Economics'!$A$6:$AZ$6,0),MATCH(AA$5&amp;"",'Oxford Economics'!$A$6:$AZ$6,0))),'Oxford Economics'!$A$7:$A$1000,$C25,'Oxford Economics'!$B$7:$B$1000,Settings!$B$15)+SUMIFS(INDEX('Oxford Economics'!$A$7:$AZ$1000,0,IFERROR(MATCH(AA$5,'Oxford Economics'!$A$6:$AZ$6,0),MATCH(AA$5&amp;"",'Oxford Economics'!$A$6:$AZ$6,0))),'Oxford Economics'!$A$7:$A$1000,$C25,'Oxford Economics'!$B$7:$B$1000,Settings!$B$17)+IF(Settings!$B$19="",0,SUMIFS(INDEX('Oxford Economics'!$A$7:$AZ$1000,0,IFERROR(MATCH(AA$5,'Oxford Economics'!$A$6:$AZ$6,0),MATCH(AA$5&amp;"",'Oxford Economics'!$A$6:$AZ$6,0))),'Oxford Economics'!$A$7:$A$1000,$C25,'Oxford Economics'!$B$7:$B$1000,Settings!$B$19)))),""))</f>
        <v>21288.65</v>
      </c>
      <c r="AB25" s="38" t="n">
        <f aca="false">IF($A25="","",IFERROR(1/(1/IF($B25="Residential",SUMIFS(INDEX('Oxford Economics'!$A$7:$AZ$1000,0,IFERROR(MATCH(AB$5,'Oxford Economics'!$A$6:$AZ$6,0),MATCH(AB$5&amp;"",'Oxford Economics'!$A$6:$AZ$6,0))),'Oxford Economics'!$A$7:$A$1000,$C25,'Oxford Economics'!$B$7:$B$1000,Settings!$B$12)-SUMIFS(INDEX('Oxford Economics'!$A$7:$AZ$1000,0,IFERROR(MATCH(AB$5,'Oxford Economics'!$A$6:$AZ$6,0),MATCH(AB$5&amp;"",'Oxford Economics'!$A$6:$AZ$6,0))),'Oxford Economics'!$A$7:$A$1000,$C25,'Oxford Economics'!$B$7:$B$1000,Settings!$B$14),SUMIFS(INDEX('Oxford Economics'!$A$7:$AZ$1000,0,IFERROR(MATCH(AB$5,'Oxford Economics'!$A$6:$AZ$6,0),MATCH(AB$5&amp;"",'Oxford Economics'!$A$6:$AZ$6,0))),'Oxford Economics'!$A$7:$A$1000,$C25,'Oxford Economics'!$B$7:$B$1000,Settings!$B$14)+SUMIFS(INDEX('Oxford Economics'!$A$7:$AZ$1000,0,IFERROR(MATCH(AB$5,'Oxford Economics'!$A$6:$AZ$6,0),MATCH(AB$5&amp;"",'Oxford Economics'!$A$6:$AZ$6,0))),'Oxford Economics'!$A$7:$A$1000,$C25,'Oxford Economics'!$B$7:$B$1000,Settings!$B$16)+IF(Settings!$B$18="",0,SUMIFS(INDEX('Oxford Economics'!$A$7:$AZ$1000,0,IFERROR(MATCH(AB$5,'Oxford Economics'!$A$6:$AZ$6,0),MATCH(AB$5&amp;"",'Oxford Economics'!$A$6:$AZ$6,0))),'Oxford Economics'!$A$7:$A$1000,$C25,'Oxford Economics'!$B$7:$B$1000,Settings!$B$18)))),""))</f>
        <v>12088.26</v>
      </c>
      <c r="AC25" s="38" t="n">
        <f aca="false">IF($A25="","",IFERROR(1/(1/IF($B25="Residential",SUMIFS(INDEX('Oxford Economics'!$A$7:$AZ$1000,0,IFERROR(MATCH(AC$5,'Oxford Economics'!$A$6:$AZ$6,0),MATCH(AC$5&amp;"",'Oxford Economics'!$A$6:$AZ$6,0))),'Oxford Economics'!$A$7:$A$1000,$C25,'Oxford Economics'!$B$7:$B$1000,Settings!$B$12)-SUMIFS(INDEX('Oxford Economics'!$A$7:$AZ$1000,0,IFERROR(MATCH(AC$5,'Oxford Economics'!$A$6:$AZ$6,0),MATCH(AC$5&amp;"",'Oxford Economics'!$A$6:$AZ$6,0))),'Oxford Economics'!$A$7:$A$1000,$C25,'Oxford Economics'!$B$7:$B$1000,Settings!$B$14),SUMIFS(INDEX('Oxford Economics'!$A$7:$AZ$1000,0,IFERROR(MATCH(AC$5,'Oxford Economics'!$A$6:$AZ$6,0),MATCH(AC$5&amp;"",'Oxford Economics'!$A$6:$AZ$6,0))),'Oxford Economics'!$A$7:$A$1000,$C25,'Oxford Economics'!$B$7:$B$1000,Settings!$B$14)+SUMIFS(INDEX('Oxford Economics'!$A$7:$AZ$1000,0,IFERROR(MATCH(AC$5,'Oxford Economics'!$A$6:$AZ$6,0),MATCH(AC$5&amp;"",'Oxford Economics'!$A$6:$AZ$6,0))),'Oxford Economics'!$A$7:$A$1000,$C25,'Oxford Economics'!$B$7:$B$1000,Settings!$B$16)+IF(Settings!$B$18="",0,SUMIFS(INDEX('Oxford Economics'!$A$7:$AZ$1000,0,IFERROR(MATCH(AC$5,'Oxford Economics'!$A$6:$AZ$6,0),MATCH(AC$5&amp;"",'Oxford Economics'!$A$6:$AZ$6,0))),'Oxford Economics'!$A$7:$A$1000,$C25,'Oxford Economics'!$B$7:$B$1000,Settings!$B$18)))),""))</f>
        <v>13019.06</v>
      </c>
      <c r="AD25" s="38" t="n">
        <f aca="false">IF($A25="","",IFERROR(1/(1/IF($B25="Residential",SUMIFS(INDEX('Oxford Economics'!$A$7:$AZ$1000,0,IFERROR(MATCH(AD$5,'Oxford Economics'!$A$6:$AZ$6,0),MATCH(AD$5&amp;"",'Oxford Economics'!$A$6:$AZ$6,0))),'Oxford Economics'!$A$7:$A$1000,$C25,'Oxford Economics'!$B$7:$B$1000,Settings!$B$12)-SUMIFS(INDEX('Oxford Economics'!$A$7:$AZ$1000,0,IFERROR(MATCH(AD$5,'Oxford Economics'!$A$6:$AZ$6,0),MATCH(AD$5&amp;"",'Oxford Economics'!$A$6:$AZ$6,0))),'Oxford Economics'!$A$7:$A$1000,$C25,'Oxford Economics'!$B$7:$B$1000,Settings!$B$14),SUMIFS(INDEX('Oxford Economics'!$A$7:$AZ$1000,0,IFERROR(MATCH(AD$5,'Oxford Economics'!$A$6:$AZ$6,0),MATCH(AD$5&amp;"",'Oxford Economics'!$A$6:$AZ$6,0))),'Oxford Economics'!$A$7:$A$1000,$C25,'Oxford Economics'!$B$7:$B$1000,Settings!$B$14)+SUMIFS(INDEX('Oxford Economics'!$A$7:$AZ$1000,0,IFERROR(MATCH(AD$5,'Oxford Economics'!$A$6:$AZ$6,0),MATCH(AD$5&amp;"",'Oxford Economics'!$A$6:$AZ$6,0))),'Oxford Economics'!$A$7:$A$1000,$C25,'Oxford Economics'!$B$7:$B$1000,Settings!$B$16)+IF(Settings!$B$18="",0,SUMIFS(INDEX('Oxford Economics'!$A$7:$AZ$1000,0,IFERROR(MATCH(AD$5,'Oxford Economics'!$A$6:$AZ$6,0),MATCH(AD$5&amp;"",'Oxford Economics'!$A$6:$AZ$6,0))),'Oxford Economics'!$A$7:$A$1000,$C25,'Oxford Economics'!$B$7:$B$1000,Settings!$B$18)))),""))</f>
        <v>12507.35</v>
      </c>
      <c r="AE25" s="38" t="n">
        <f aca="false">IF($A25="","",IFERROR(1/(1/IF($B25="Residential",SUMIFS(INDEX('Oxford Economics'!$A$7:$AZ$1000,0,IFERROR(MATCH(AE$5,'Oxford Economics'!$A$6:$AZ$6,0),MATCH(AE$5&amp;"",'Oxford Economics'!$A$6:$AZ$6,0))),'Oxford Economics'!$A$7:$A$1000,$C25,'Oxford Economics'!$B$7:$B$1000,Settings!$B$12)-SUMIFS(INDEX('Oxford Economics'!$A$7:$AZ$1000,0,IFERROR(MATCH(AE$5,'Oxford Economics'!$A$6:$AZ$6,0),MATCH(AE$5&amp;"",'Oxford Economics'!$A$6:$AZ$6,0))),'Oxford Economics'!$A$7:$A$1000,$C25,'Oxford Economics'!$B$7:$B$1000,Settings!$B$14),SUMIFS(INDEX('Oxford Economics'!$A$7:$AZ$1000,0,IFERROR(MATCH(AE$5,'Oxford Economics'!$A$6:$AZ$6,0),MATCH(AE$5&amp;"",'Oxford Economics'!$A$6:$AZ$6,0))),'Oxford Economics'!$A$7:$A$1000,$C25,'Oxford Economics'!$B$7:$B$1000,Settings!$B$14)+SUMIFS(INDEX('Oxford Economics'!$A$7:$AZ$1000,0,IFERROR(MATCH(AE$5,'Oxford Economics'!$A$6:$AZ$6,0),MATCH(AE$5&amp;"",'Oxford Economics'!$A$6:$AZ$6,0))),'Oxford Economics'!$A$7:$A$1000,$C25,'Oxford Economics'!$B$7:$B$1000,Settings!$B$16)+IF(Settings!$B$18="",0,SUMIFS(INDEX('Oxford Economics'!$A$7:$AZ$1000,0,IFERROR(MATCH(AE$5,'Oxford Economics'!$A$6:$AZ$6,0),MATCH(AE$5&amp;"",'Oxford Economics'!$A$6:$AZ$6,0))),'Oxford Economics'!$A$7:$A$1000,$C25,'Oxford Economics'!$B$7:$B$1000,Settings!$B$18)))),""))</f>
        <v>11169.27</v>
      </c>
      <c r="AF25" s="38" t="n">
        <f aca="false">IF($A25="","",IFERROR(1/(1/IF($B25="Residential",SUMIFS(INDEX('Oxford Economics'!$A$7:$AZ$1000,0,IFERROR(MATCH(AF$5,'Oxford Economics'!$A$6:$AZ$6,0),MATCH(AF$5&amp;"",'Oxford Economics'!$A$6:$AZ$6,0))),'Oxford Economics'!$A$7:$A$1000,$C25,'Oxford Economics'!$B$7:$B$1000,Settings!$B$12)-SUMIFS(INDEX('Oxford Economics'!$A$7:$AZ$1000,0,IFERROR(MATCH(AF$5,'Oxford Economics'!$A$6:$AZ$6,0),MATCH(AF$5&amp;"",'Oxford Economics'!$A$6:$AZ$6,0))),'Oxford Economics'!$A$7:$A$1000,$C25,'Oxford Economics'!$B$7:$B$1000,Settings!$B$14),SUMIFS(INDEX('Oxford Economics'!$A$7:$AZ$1000,0,IFERROR(MATCH(AF$5,'Oxford Economics'!$A$6:$AZ$6,0),MATCH(AF$5&amp;"",'Oxford Economics'!$A$6:$AZ$6,0))),'Oxford Economics'!$A$7:$A$1000,$C25,'Oxford Economics'!$B$7:$B$1000,Settings!$B$14)+SUMIFS(INDEX('Oxford Economics'!$A$7:$AZ$1000,0,IFERROR(MATCH(AF$5,'Oxford Economics'!$A$6:$AZ$6,0),MATCH(AF$5&amp;"",'Oxford Economics'!$A$6:$AZ$6,0))),'Oxford Economics'!$A$7:$A$1000,$C25,'Oxford Economics'!$B$7:$B$1000,Settings!$B$16)+IF(Settings!$B$18="",0,SUMIFS(INDEX('Oxford Economics'!$A$7:$AZ$1000,0,IFERROR(MATCH(AF$5,'Oxford Economics'!$A$6:$AZ$6,0),MATCH(AF$5&amp;"",'Oxford Economics'!$A$6:$AZ$6,0))),'Oxford Economics'!$A$7:$A$1000,$C25,'Oxford Economics'!$B$7:$B$1000,Settings!$B$18)))),""))</f>
        <v>11054.69</v>
      </c>
      <c r="AG25" s="38" t="n">
        <f aca="false">IF($A25="","",IFERROR(1/(1/IF($B25="Residential",SUMIFS(INDEX('Oxford Economics'!$A$7:$AZ$1000,0,IFERROR(MATCH(AG$5,'Oxford Economics'!$A$6:$AZ$6,0),MATCH(AG$5&amp;"",'Oxford Economics'!$A$6:$AZ$6,0))),'Oxford Economics'!$A$7:$A$1000,$C25,'Oxford Economics'!$B$7:$B$1000,Settings!$B$12)-SUMIFS(INDEX('Oxford Economics'!$A$7:$AZ$1000,0,IFERROR(MATCH(AG$5,'Oxford Economics'!$A$6:$AZ$6,0),MATCH(AG$5&amp;"",'Oxford Economics'!$A$6:$AZ$6,0))),'Oxford Economics'!$A$7:$A$1000,$C25,'Oxford Economics'!$B$7:$B$1000,Settings!$B$14),SUMIFS(INDEX('Oxford Economics'!$A$7:$AZ$1000,0,IFERROR(MATCH(AG$5,'Oxford Economics'!$A$6:$AZ$6,0),MATCH(AG$5&amp;"",'Oxford Economics'!$A$6:$AZ$6,0))),'Oxford Economics'!$A$7:$A$1000,$C25,'Oxford Economics'!$B$7:$B$1000,Settings!$B$14)+SUMIFS(INDEX('Oxford Economics'!$A$7:$AZ$1000,0,IFERROR(MATCH(AG$5,'Oxford Economics'!$A$6:$AZ$6,0),MATCH(AG$5&amp;"",'Oxford Economics'!$A$6:$AZ$6,0))),'Oxford Economics'!$A$7:$A$1000,$C25,'Oxford Economics'!$B$7:$B$1000,Settings!$B$16)+IF(Settings!$B$18="",0,SUMIFS(INDEX('Oxford Economics'!$A$7:$AZ$1000,0,IFERROR(MATCH(AG$5,'Oxford Economics'!$A$6:$AZ$6,0),MATCH(AG$5&amp;"",'Oxford Economics'!$A$6:$AZ$6,0))),'Oxford Economics'!$A$7:$A$1000,$C25,'Oxford Economics'!$B$7:$B$1000,Settings!$B$18)))),""))</f>
        <v>11262.39</v>
      </c>
      <c r="AH25" s="38" t="n">
        <f aca="false">IF($A25="","",IFERROR(1/(1/IF($B25="Residential",SUMIFS(INDEX('Oxford Economics'!$A$7:$AZ$1000,0,IFERROR(MATCH(AH$5,'Oxford Economics'!$A$6:$AZ$6,0),MATCH(AH$5&amp;"",'Oxford Economics'!$A$6:$AZ$6,0))),'Oxford Economics'!$A$7:$A$1000,$C25,'Oxford Economics'!$B$7:$B$1000,Settings!$B$12)-SUMIFS(INDEX('Oxford Economics'!$A$7:$AZ$1000,0,IFERROR(MATCH(AH$5,'Oxford Economics'!$A$6:$AZ$6,0),MATCH(AH$5&amp;"",'Oxford Economics'!$A$6:$AZ$6,0))),'Oxford Economics'!$A$7:$A$1000,$C25,'Oxford Economics'!$B$7:$B$1000,Settings!$B$14),SUMIFS(INDEX('Oxford Economics'!$A$7:$AZ$1000,0,IFERROR(MATCH(AH$5,'Oxford Economics'!$A$6:$AZ$6,0),MATCH(AH$5&amp;"",'Oxford Economics'!$A$6:$AZ$6,0))),'Oxford Economics'!$A$7:$A$1000,$C25,'Oxford Economics'!$B$7:$B$1000,Settings!$B$14)+SUMIFS(INDEX('Oxford Economics'!$A$7:$AZ$1000,0,IFERROR(MATCH(AH$5,'Oxford Economics'!$A$6:$AZ$6,0),MATCH(AH$5&amp;"",'Oxford Economics'!$A$6:$AZ$6,0))),'Oxford Economics'!$A$7:$A$1000,$C25,'Oxford Economics'!$B$7:$B$1000,Settings!$B$16)+IF(Settings!$B$18="",0,SUMIFS(INDEX('Oxford Economics'!$A$7:$AZ$1000,0,IFERROR(MATCH(AH$5,'Oxford Economics'!$A$6:$AZ$6,0),MATCH(AH$5&amp;"",'Oxford Economics'!$A$6:$AZ$6,0))),'Oxford Economics'!$A$7:$A$1000,$C25,'Oxford Economics'!$B$7:$B$1000,Settings!$B$18)))),""))</f>
        <v>11584.94</v>
      </c>
      <c r="AI25" s="38" t="n">
        <f aca="false">IF($A25="","",IFERROR(1/(1/IF($B25="Residential",SUMIFS(INDEX('Oxford Economics'!$A$7:$AZ$1000,0,IFERROR(MATCH(AI$5,'Oxford Economics'!$A$6:$AZ$6,0),MATCH(AI$5&amp;"",'Oxford Economics'!$A$6:$AZ$6,0))),'Oxford Economics'!$A$7:$A$1000,$C25,'Oxford Economics'!$B$7:$B$1000,Settings!$B$12)-SUMIFS(INDEX('Oxford Economics'!$A$7:$AZ$1000,0,IFERROR(MATCH(AI$5,'Oxford Economics'!$A$6:$AZ$6,0),MATCH(AI$5&amp;"",'Oxford Economics'!$A$6:$AZ$6,0))),'Oxford Economics'!$A$7:$A$1000,$C25,'Oxford Economics'!$B$7:$B$1000,Settings!$B$14),SUMIFS(INDEX('Oxford Economics'!$A$7:$AZ$1000,0,IFERROR(MATCH(AI$5,'Oxford Economics'!$A$6:$AZ$6,0),MATCH(AI$5&amp;"",'Oxford Economics'!$A$6:$AZ$6,0))),'Oxford Economics'!$A$7:$A$1000,$C25,'Oxford Economics'!$B$7:$B$1000,Settings!$B$14)+SUMIFS(INDEX('Oxford Economics'!$A$7:$AZ$1000,0,IFERROR(MATCH(AI$5,'Oxford Economics'!$A$6:$AZ$6,0),MATCH(AI$5&amp;"",'Oxford Economics'!$A$6:$AZ$6,0))),'Oxford Economics'!$A$7:$A$1000,$C25,'Oxford Economics'!$B$7:$B$1000,Settings!$B$16)+IF(Settings!$B$18="",0,SUMIFS(INDEX('Oxford Economics'!$A$7:$AZ$1000,0,IFERROR(MATCH(AI$5,'Oxford Economics'!$A$6:$AZ$6,0),MATCH(AI$5&amp;"",'Oxford Economics'!$A$6:$AZ$6,0))),'Oxford Economics'!$A$7:$A$1000,$C25,'Oxford Economics'!$B$7:$B$1000,Settings!$B$18)))),""))</f>
        <v>11553.98</v>
      </c>
      <c r="AJ25" s="38" t="n">
        <f aca="false">IF($A25="","",IFERROR(1/(1/IF($B25="Residential",SUMIFS(INDEX('Oxford Economics'!$A$7:$AZ$1000,0,IFERROR(MATCH(AJ$5,'Oxford Economics'!$A$6:$AZ$6,0),MATCH(AJ$5&amp;"",'Oxford Economics'!$A$6:$AZ$6,0))),'Oxford Economics'!$A$7:$A$1000,$C25,'Oxford Economics'!$B$7:$B$1000,Settings!$B$12)-SUMIFS(INDEX('Oxford Economics'!$A$7:$AZ$1000,0,IFERROR(MATCH(AJ$5,'Oxford Economics'!$A$6:$AZ$6,0),MATCH(AJ$5&amp;"",'Oxford Economics'!$A$6:$AZ$6,0))),'Oxford Economics'!$A$7:$A$1000,$C25,'Oxford Economics'!$B$7:$B$1000,Settings!$B$14),SUMIFS(INDEX('Oxford Economics'!$A$7:$AZ$1000,0,IFERROR(MATCH(AJ$5,'Oxford Economics'!$A$6:$AZ$6,0),MATCH(AJ$5&amp;"",'Oxford Economics'!$A$6:$AZ$6,0))),'Oxford Economics'!$A$7:$A$1000,$C25,'Oxford Economics'!$B$7:$B$1000,Settings!$B$14)+SUMIFS(INDEX('Oxford Economics'!$A$7:$AZ$1000,0,IFERROR(MATCH(AJ$5,'Oxford Economics'!$A$6:$AZ$6,0),MATCH(AJ$5&amp;"",'Oxford Economics'!$A$6:$AZ$6,0))),'Oxford Economics'!$A$7:$A$1000,$C25,'Oxford Economics'!$B$7:$B$1000,Settings!$B$16)+IF(Settings!$B$18="",0,SUMIFS(INDEX('Oxford Economics'!$A$7:$AZ$1000,0,IFERROR(MATCH(AJ$5,'Oxford Economics'!$A$6:$AZ$6,0),MATCH(AJ$5&amp;"",'Oxford Economics'!$A$6:$AZ$6,0))),'Oxford Economics'!$A$7:$A$1000,$C25,'Oxford Economics'!$B$7:$B$1000,Settings!$B$18)))),""))</f>
        <v>11824.56</v>
      </c>
      <c r="AK25" s="38" t="n">
        <f aca="false">IF($A25="","",IFERROR(1/(1/IF($B25="Residential",SUMIFS(INDEX('Oxford Economics'!$A$7:$AZ$1000,0,IFERROR(MATCH(AK$5,'Oxford Economics'!$A$6:$AZ$6,0),MATCH(AK$5&amp;"",'Oxford Economics'!$A$6:$AZ$6,0))),'Oxford Economics'!$A$7:$A$1000,$C25,'Oxford Economics'!$B$7:$B$1000,Settings!$B$12)-SUMIFS(INDEX('Oxford Economics'!$A$7:$AZ$1000,0,IFERROR(MATCH(AK$5,'Oxford Economics'!$A$6:$AZ$6,0),MATCH(AK$5&amp;"",'Oxford Economics'!$A$6:$AZ$6,0))),'Oxford Economics'!$A$7:$A$1000,$C25,'Oxford Economics'!$B$7:$B$1000,Settings!$B$14),SUMIFS(INDEX('Oxford Economics'!$A$7:$AZ$1000,0,IFERROR(MATCH(AK$5,'Oxford Economics'!$A$6:$AZ$6,0),MATCH(AK$5&amp;"",'Oxford Economics'!$A$6:$AZ$6,0))),'Oxford Economics'!$A$7:$A$1000,$C25,'Oxford Economics'!$B$7:$B$1000,Settings!$B$14)+SUMIFS(INDEX('Oxford Economics'!$A$7:$AZ$1000,0,IFERROR(MATCH(AK$5,'Oxford Economics'!$A$6:$AZ$6,0),MATCH(AK$5&amp;"",'Oxford Economics'!$A$6:$AZ$6,0))),'Oxford Economics'!$A$7:$A$1000,$C25,'Oxford Economics'!$B$7:$B$1000,Settings!$B$16)+IF(Settings!$B$18="",0,SUMIFS(INDEX('Oxford Economics'!$A$7:$AZ$1000,0,IFERROR(MATCH(AK$5,'Oxford Economics'!$A$6:$AZ$6,0),MATCH(AK$5&amp;"",'Oxford Economics'!$A$6:$AZ$6,0))),'Oxford Economics'!$A$7:$A$1000,$C25,'Oxford Economics'!$B$7:$B$1000,Settings!$B$18)))),""))</f>
        <v>12152.93</v>
      </c>
      <c r="AL25" s="38" t="n">
        <f aca="false">IF($A25="","",IFERROR(1/(1/IF($B25="Residential",SUMIFS(INDEX('Oxford Economics'!$A$7:$AZ$1000,0,IFERROR(MATCH(AL$5,'Oxford Economics'!$A$6:$AZ$6,0),MATCH(AL$5&amp;"",'Oxford Economics'!$A$6:$AZ$6,0))),'Oxford Economics'!$A$7:$A$1000,$C25,'Oxford Economics'!$B$7:$B$1000,Settings!$B$12)-SUMIFS(INDEX('Oxford Economics'!$A$7:$AZ$1000,0,IFERROR(MATCH(AL$5,'Oxford Economics'!$A$6:$AZ$6,0),MATCH(AL$5&amp;"",'Oxford Economics'!$A$6:$AZ$6,0))),'Oxford Economics'!$A$7:$A$1000,$C25,'Oxford Economics'!$B$7:$B$1000,Settings!$B$14),SUMIFS(INDEX('Oxford Economics'!$A$7:$AZ$1000,0,IFERROR(MATCH(AL$5,'Oxford Economics'!$A$6:$AZ$6,0),MATCH(AL$5&amp;"",'Oxford Economics'!$A$6:$AZ$6,0))),'Oxford Economics'!$A$7:$A$1000,$C25,'Oxford Economics'!$B$7:$B$1000,Settings!$B$14)+SUMIFS(INDEX('Oxford Economics'!$A$7:$AZ$1000,0,IFERROR(MATCH(AL$5,'Oxford Economics'!$A$6:$AZ$6,0),MATCH(AL$5&amp;"",'Oxford Economics'!$A$6:$AZ$6,0))),'Oxford Economics'!$A$7:$A$1000,$C25,'Oxford Economics'!$B$7:$B$1000,Settings!$B$16)+IF(Settings!$B$18="",0,SUMIFS(INDEX('Oxford Economics'!$A$7:$AZ$1000,0,IFERROR(MATCH(AL$5,'Oxford Economics'!$A$6:$AZ$6,0),MATCH(AL$5&amp;"",'Oxford Economics'!$A$6:$AZ$6,0))),'Oxford Economics'!$A$7:$A$1000,$C25,'Oxford Economics'!$B$7:$B$1000,Settings!$B$18)))),""))</f>
        <v>12475.73</v>
      </c>
      <c r="AM25" s="38" t="n">
        <f aca="false">IF($A25="","",IFERROR(1/(1/IF($B25="Residential",SUMIFS(INDEX('Oxford Economics'!$A$7:$AZ$1000,0,IFERROR(MATCH(AM$5,'Oxford Economics'!$A$6:$AZ$6,0),MATCH(AM$5&amp;"",'Oxford Economics'!$A$6:$AZ$6,0))),'Oxford Economics'!$A$7:$A$1000,$C25,'Oxford Economics'!$B$7:$B$1000,Settings!$B$12)-SUMIFS(INDEX('Oxford Economics'!$A$7:$AZ$1000,0,IFERROR(MATCH(AM$5,'Oxford Economics'!$A$6:$AZ$6,0),MATCH(AM$5&amp;"",'Oxford Economics'!$A$6:$AZ$6,0))),'Oxford Economics'!$A$7:$A$1000,$C25,'Oxford Economics'!$B$7:$B$1000,Settings!$B$14),SUMIFS(INDEX('Oxford Economics'!$A$7:$AZ$1000,0,IFERROR(MATCH(AM$5,'Oxford Economics'!$A$6:$AZ$6,0),MATCH(AM$5&amp;"",'Oxford Economics'!$A$6:$AZ$6,0))),'Oxford Economics'!$A$7:$A$1000,$C25,'Oxford Economics'!$B$7:$B$1000,Settings!$B$14)+SUMIFS(INDEX('Oxford Economics'!$A$7:$AZ$1000,0,IFERROR(MATCH(AM$5,'Oxford Economics'!$A$6:$AZ$6,0),MATCH(AM$5&amp;"",'Oxford Economics'!$A$6:$AZ$6,0))),'Oxford Economics'!$A$7:$A$1000,$C25,'Oxford Economics'!$B$7:$B$1000,Settings!$B$16)+IF(Settings!$B$18="",0,SUMIFS(INDEX('Oxford Economics'!$A$7:$AZ$1000,0,IFERROR(MATCH(AM$5,'Oxford Economics'!$A$6:$AZ$6,0),MATCH(AM$5&amp;"",'Oxford Economics'!$A$6:$AZ$6,0))),'Oxford Economics'!$A$7:$A$1000,$C25,'Oxford Economics'!$B$7:$B$1000,Settings!$B$18)))),""))</f>
        <v>12756.4</v>
      </c>
    </row>
    <row r="26" customFormat="false" ht="15" hidden="false" customHeight="false" outlineLevel="0" collapsed="false">
      <c r="A26" s="37" t="str">
        <f aca="false">IF('Raw data'!$A26="","",'Raw data'!$A26)</f>
        <v>Netherlands</v>
      </c>
      <c r="B26" s="37" t="str">
        <f aca="false">IF($A26="","",'Raw data'!$C26)</f>
        <v>Residential</v>
      </c>
      <c r="C26" s="37" t="str">
        <f aca="false">IF($A26="","",IF('Raw data'!$E26="",$A26,'Raw data'!$E26))</f>
        <v>Netherlands</v>
      </c>
      <c r="D26" s="38" t="n">
        <f aca="false">IF($A26="","",IF(AND(ISNUMBER(P26),ISNUMBER(AB26)),P26+AB26,""))</f>
        <v>26861</v>
      </c>
      <c r="E26" s="38" t="n">
        <f aca="false">IF($A26="","",IF(AND(ISNUMBER(Q26),ISNUMBER(AC26)),Q26+AC26,""))</f>
        <v>28102.09</v>
      </c>
      <c r="F26" s="38" t="n">
        <f aca="false">IF($A26="","",IF(AND(ISNUMBER(R26),ISNUMBER(AD26)),R26+AD26,""))</f>
        <v>28941.14</v>
      </c>
      <c r="G26" s="38" t="n">
        <f aca="false">IF($A26="","",IF(AND(ISNUMBER(S26),ISNUMBER(AE26)),S26+AE26,""))</f>
        <v>29344.02</v>
      </c>
      <c r="H26" s="38" t="n">
        <f aca="false">IF($A26="","",IF(AND(ISNUMBER(T26),ISNUMBER(AF26)),T26+AF26,""))</f>
        <v>28998.05</v>
      </c>
      <c r="I26" s="38" t="n">
        <f aca="false">IF($A26="","",IF(AND(ISNUMBER(U26),ISNUMBER(AG26)),U26+AG26,""))</f>
        <v>29129.26</v>
      </c>
      <c r="J26" s="38" t="n">
        <f aca="false">IF($A26="","",IF(AND(ISNUMBER(V26),ISNUMBER(AH26)),V26+AH26,""))</f>
        <v>29512.41</v>
      </c>
      <c r="K26" s="38" t="n">
        <f aca="false">IF($A26="","",IF(AND(ISNUMBER(W26),ISNUMBER(AI26)),W26+AI26,""))</f>
        <v>29901.43</v>
      </c>
      <c r="L26" s="38" t="n">
        <f aca="false">IF($A26="","",IF(AND(ISNUMBER(X26),ISNUMBER(AJ26)),X26+AJ26,""))</f>
        <v>31213.02</v>
      </c>
      <c r="M26" s="38" t="n">
        <f aca="false">IF($A26="","",IF(AND(ISNUMBER(Y26),ISNUMBER(AK26)),Y26+AK26,""))</f>
        <v>32376.78</v>
      </c>
      <c r="N26" s="38" t="n">
        <f aca="false">IF($A26="","",IF(AND(ISNUMBER(Z26),ISNUMBER(AL26)),Z26+AL26,""))</f>
        <v>33392.61</v>
      </c>
      <c r="O26" s="38" t="n">
        <f aca="false">IF($A26="","",IF(AND(ISNUMBER(AA26),ISNUMBER(AM26)),AA26+AM26,""))</f>
        <v>34045.05</v>
      </c>
      <c r="P26" s="38" t="n">
        <f aca="false">IF($A26="","",IFERROR(1/(1/IF($B26="Residential",SUMIFS(INDEX('Oxford Economics'!$A$7:$AZ$1000,0,IFERROR(MATCH(P$5,'Oxford Economics'!$A$6:$AZ$6,0),MATCH(P$5&amp;"",'Oxford Economics'!$A$6:$AZ$6,0))),'Oxford Economics'!$A$7:$A$1000,$C26,'Oxford Economics'!$B$7:$B$1000,Settings!$B$13)-SUMIFS(INDEX('Oxford Economics'!$A$7:$AZ$1000,0,IFERROR(MATCH(P$5,'Oxford Economics'!$A$6:$AZ$6,0),MATCH(P$5&amp;"",'Oxford Economics'!$A$6:$AZ$6,0))),'Oxford Economics'!$A$7:$A$1000,$C26,'Oxford Economics'!$B$7:$B$1000,Settings!$B$15),SUMIFS(INDEX('Oxford Economics'!$A$7:$AZ$1000,0,IFERROR(MATCH(P$5,'Oxford Economics'!$A$6:$AZ$6,0),MATCH(P$5&amp;"",'Oxford Economics'!$A$6:$AZ$6,0))),'Oxford Economics'!$A$7:$A$1000,$C26,'Oxford Economics'!$B$7:$B$1000,Settings!$B$15)+SUMIFS(INDEX('Oxford Economics'!$A$7:$AZ$1000,0,IFERROR(MATCH(P$5,'Oxford Economics'!$A$6:$AZ$6,0),MATCH(P$5&amp;"",'Oxford Economics'!$A$6:$AZ$6,0))),'Oxford Economics'!$A$7:$A$1000,$C26,'Oxford Economics'!$B$7:$B$1000,Settings!$B$17)+IF(Settings!$B$19="",0,SUMIFS(INDEX('Oxford Economics'!$A$7:$AZ$1000,0,IFERROR(MATCH(P$5,'Oxford Economics'!$A$6:$AZ$6,0),MATCH(P$5&amp;"",'Oxford Economics'!$A$6:$AZ$6,0))),'Oxford Economics'!$A$7:$A$1000,$C26,'Oxford Economics'!$B$7:$B$1000,Settings!$B$19)))),""))</f>
        <v>14772.74</v>
      </c>
      <c r="Q26" s="38" t="n">
        <f aca="false">IF($A26="","",IFERROR(1/(1/IF($B26="Residential",SUMIFS(INDEX('Oxford Economics'!$A$7:$AZ$1000,0,IFERROR(MATCH(Q$5,'Oxford Economics'!$A$6:$AZ$6,0),MATCH(Q$5&amp;"",'Oxford Economics'!$A$6:$AZ$6,0))),'Oxford Economics'!$A$7:$A$1000,$C26,'Oxford Economics'!$B$7:$B$1000,Settings!$B$13)-SUMIFS(INDEX('Oxford Economics'!$A$7:$AZ$1000,0,IFERROR(MATCH(Q$5,'Oxford Economics'!$A$6:$AZ$6,0),MATCH(Q$5&amp;"",'Oxford Economics'!$A$6:$AZ$6,0))),'Oxford Economics'!$A$7:$A$1000,$C26,'Oxford Economics'!$B$7:$B$1000,Settings!$B$15),SUMIFS(INDEX('Oxford Economics'!$A$7:$AZ$1000,0,IFERROR(MATCH(Q$5,'Oxford Economics'!$A$6:$AZ$6,0),MATCH(Q$5&amp;"",'Oxford Economics'!$A$6:$AZ$6,0))),'Oxford Economics'!$A$7:$A$1000,$C26,'Oxford Economics'!$B$7:$B$1000,Settings!$B$15)+SUMIFS(INDEX('Oxford Economics'!$A$7:$AZ$1000,0,IFERROR(MATCH(Q$5,'Oxford Economics'!$A$6:$AZ$6,0),MATCH(Q$5&amp;"",'Oxford Economics'!$A$6:$AZ$6,0))),'Oxford Economics'!$A$7:$A$1000,$C26,'Oxford Economics'!$B$7:$B$1000,Settings!$B$17)+IF(Settings!$B$19="",0,SUMIFS(INDEX('Oxford Economics'!$A$7:$AZ$1000,0,IFERROR(MATCH(Q$5,'Oxford Economics'!$A$6:$AZ$6,0),MATCH(Q$5&amp;"",'Oxford Economics'!$A$6:$AZ$6,0))),'Oxford Economics'!$A$7:$A$1000,$C26,'Oxford Economics'!$B$7:$B$1000,Settings!$B$19)))),""))</f>
        <v>15083.03</v>
      </c>
      <c r="R26" s="38" t="n">
        <f aca="false">IF($A26="","",IFERROR(1/(1/IF($B26="Residential",SUMIFS(INDEX('Oxford Economics'!$A$7:$AZ$1000,0,IFERROR(MATCH(R$5,'Oxford Economics'!$A$6:$AZ$6,0),MATCH(R$5&amp;"",'Oxford Economics'!$A$6:$AZ$6,0))),'Oxford Economics'!$A$7:$A$1000,$C26,'Oxford Economics'!$B$7:$B$1000,Settings!$B$13)-SUMIFS(INDEX('Oxford Economics'!$A$7:$AZ$1000,0,IFERROR(MATCH(R$5,'Oxford Economics'!$A$6:$AZ$6,0),MATCH(R$5&amp;"",'Oxford Economics'!$A$6:$AZ$6,0))),'Oxford Economics'!$A$7:$A$1000,$C26,'Oxford Economics'!$B$7:$B$1000,Settings!$B$15),SUMIFS(INDEX('Oxford Economics'!$A$7:$AZ$1000,0,IFERROR(MATCH(R$5,'Oxford Economics'!$A$6:$AZ$6,0),MATCH(R$5&amp;"",'Oxford Economics'!$A$6:$AZ$6,0))),'Oxford Economics'!$A$7:$A$1000,$C26,'Oxford Economics'!$B$7:$B$1000,Settings!$B$15)+SUMIFS(INDEX('Oxford Economics'!$A$7:$AZ$1000,0,IFERROR(MATCH(R$5,'Oxford Economics'!$A$6:$AZ$6,0),MATCH(R$5&amp;"",'Oxford Economics'!$A$6:$AZ$6,0))),'Oxford Economics'!$A$7:$A$1000,$C26,'Oxford Economics'!$B$7:$B$1000,Settings!$B$17)+IF(Settings!$B$19="",0,SUMIFS(INDEX('Oxford Economics'!$A$7:$AZ$1000,0,IFERROR(MATCH(R$5,'Oxford Economics'!$A$6:$AZ$6,0),MATCH(R$5&amp;"",'Oxford Economics'!$A$6:$AZ$6,0))),'Oxford Economics'!$A$7:$A$1000,$C26,'Oxford Economics'!$B$7:$B$1000,Settings!$B$19)))),""))</f>
        <v>16433.79</v>
      </c>
      <c r="S26" s="38" t="n">
        <f aca="false">IF($A26="","",IFERROR(1/(1/IF($B26="Residential",SUMIFS(INDEX('Oxford Economics'!$A$7:$AZ$1000,0,IFERROR(MATCH(S$5,'Oxford Economics'!$A$6:$AZ$6,0),MATCH(S$5&amp;"",'Oxford Economics'!$A$6:$AZ$6,0))),'Oxford Economics'!$A$7:$A$1000,$C26,'Oxford Economics'!$B$7:$B$1000,Settings!$B$13)-SUMIFS(INDEX('Oxford Economics'!$A$7:$AZ$1000,0,IFERROR(MATCH(S$5,'Oxford Economics'!$A$6:$AZ$6,0),MATCH(S$5&amp;"",'Oxford Economics'!$A$6:$AZ$6,0))),'Oxford Economics'!$A$7:$A$1000,$C26,'Oxford Economics'!$B$7:$B$1000,Settings!$B$15),SUMIFS(INDEX('Oxford Economics'!$A$7:$AZ$1000,0,IFERROR(MATCH(S$5,'Oxford Economics'!$A$6:$AZ$6,0),MATCH(S$5&amp;"",'Oxford Economics'!$A$6:$AZ$6,0))),'Oxford Economics'!$A$7:$A$1000,$C26,'Oxford Economics'!$B$7:$B$1000,Settings!$B$15)+SUMIFS(INDEX('Oxford Economics'!$A$7:$AZ$1000,0,IFERROR(MATCH(S$5,'Oxford Economics'!$A$6:$AZ$6,0),MATCH(S$5&amp;"",'Oxford Economics'!$A$6:$AZ$6,0))),'Oxford Economics'!$A$7:$A$1000,$C26,'Oxford Economics'!$B$7:$B$1000,Settings!$B$17)+IF(Settings!$B$19="",0,SUMIFS(INDEX('Oxford Economics'!$A$7:$AZ$1000,0,IFERROR(MATCH(S$5,'Oxford Economics'!$A$6:$AZ$6,0),MATCH(S$5&amp;"",'Oxford Economics'!$A$6:$AZ$6,0))),'Oxford Economics'!$A$7:$A$1000,$C26,'Oxford Economics'!$B$7:$B$1000,Settings!$B$19)))),""))</f>
        <v>18174.75</v>
      </c>
      <c r="T26" s="38" t="n">
        <f aca="false">IF($A26="","",IFERROR(1/(1/IF($B26="Residential",SUMIFS(INDEX('Oxford Economics'!$A$7:$AZ$1000,0,IFERROR(MATCH(T$5,'Oxford Economics'!$A$6:$AZ$6,0),MATCH(T$5&amp;"",'Oxford Economics'!$A$6:$AZ$6,0))),'Oxford Economics'!$A$7:$A$1000,$C26,'Oxford Economics'!$B$7:$B$1000,Settings!$B$13)-SUMIFS(INDEX('Oxford Economics'!$A$7:$AZ$1000,0,IFERROR(MATCH(T$5,'Oxford Economics'!$A$6:$AZ$6,0),MATCH(T$5&amp;"",'Oxford Economics'!$A$6:$AZ$6,0))),'Oxford Economics'!$A$7:$A$1000,$C26,'Oxford Economics'!$B$7:$B$1000,Settings!$B$15),SUMIFS(INDEX('Oxford Economics'!$A$7:$AZ$1000,0,IFERROR(MATCH(T$5,'Oxford Economics'!$A$6:$AZ$6,0),MATCH(T$5&amp;"",'Oxford Economics'!$A$6:$AZ$6,0))),'Oxford Economics'!$A$7:$A$1000,$C26,'Oxford Economics'!$B$7:$B$1000,Settings!$B$15)+SUMIFS(INDEX('Oxford Economics'!$A$7:$AZ$1000,0,IFERROR(MATCH(T$5,'Oxford Economics'!$A$6:$AZ$6,0),MATCH(T$5&amp;"",'Oxford Economics'!$A$6:$AZ$6,0))),'Oxford Economics'!$A$7:$A$1000,$C26,'Oxford Economics'!$B$7:$B$1000,Settings!$B$17)+IF(Settings!$B$19="",0,SUMIFS(INDEX('Oxford Economics'!$A$7:$AZ$1000,0,IFERROR(MATCH(T$5,'Oxford Economics'!$A$6:$AZ$6,0),MATCH(T$5&amp;"",'Oxford Economics'!$A$6:$AZ$6,0))),'Oxford Economics'!$A$7:$A$1000,$C26,'Oxford Economics'!$B$7:$B$1000,Settings!$B$19)))),""))</f>
        <v>17943.36</v>
      </c>
      <c r="U26" s="38" t="n">
        <f aca="false">IF($A26="","",IFERROR(1/(1/IF($B26="Residential",SUMIFS(INDEX('Oxford Economics'!$A$7:$AZ$1000,0,IFERROR(MATCH(U$5,'Oxford Economics'!$A$6:$AZ$6,0),MATCH(U$5&amp;"",'Oxford Economics'!$A$6:$AZ$6,0))),'Oxford Economics'!$A$7:$A$1000,$C26,'Oxford Economics'!$B$7:$B$1000,Settings!$B$13)-SUMIFS(INDEX('Oxford Economics'!$A$7:$AZ$1000,0,IFERROR(MATCH(U$5,'Oxford Economics'!$A$6:$AZ$6,0),MATCH(U$5&amp;"",'Oxford Economics'!$A$6:$AZ$6,0))),'Oxford Economics'!$A$7:$A$1000,$C26,'Oxford Economics'!$B$7:$B$1000,Settings!$B$15),SUMIFS(INDEX('Oxford Economics'!$A$7:$AZ$1000,0,IFERROR(MATCH(U$5,'Oxford Economics'!$A$6:$AZ$6,0),MATCH(U$5&amp;"",'Oxford Economics'!$A$6:$AZ$6,0))),'Oxford Economics'!$A$7:$A$1000,$C26,'Oxford Economics'!$B$7:$B$1000,Settings!$B$15)+SUMIFS(INDEX('Oxford Economics'!$A$7:$AZ$1000,0,IFERROR(MATCH(U$5,'Oxford Economics'!$A$6:$AZ$6,0),MATCH(U$5&amp;"",'Oxford Economics'!$A$6:$AZ$6,0))),'Oxford Economics'!$A$7:$A$1000,$C26,'Oxford Economics'!$B$7:$B$1000,Settings!$B$17)+IF(Settings!$B$19="",0,SUMIFS(INDEX('Oxford Economics'!$A$7:$AZ$1000,0,IFERROR(MATCH(U$5,'Oxford Economics'!$A$6:$AZ$6,0),MATCH(U$5&amp;"",'Oxford Economics'!$A$6:$AZ$6,0))),'Oxford Economics'!$A$7:$A$1000,$C26,'Oxford Economics'!$B$7:$B$1000,Settings!$B$19)))),""))</f>
        <v>17866.87</v>
      </c>
      <c r="V26" s="38" t="n">
        <f aca="false">IF($A26="","",IFERROR(1/(1/IF($B26="Residential",SUMIFS(INDEX('Oxford Economics'!$A$7:$AZ$1000,0,IFERROR(MATCH(V$5,'Oxford Economics'!$A$6:$AZ$6,0),MATCH(V$5&amp;"",'Oxford Economics'!$A$6:$AZ$6,0))),'Oxford Economics'!$A$7:$A$1000,$C26,'Oxford Economics'!$B$7:$B$1000,Settings!$B$13)-SUMIFS(INDEX('Oxford Economics'!$A$7:$AZ$1000,0,IFERROR(MATCH(V$5,'Oxford Economics'!$A$6:$AZ$6,0),MATCH(V$5&amp;"",'Oxford Economics'!$A$6:$AZ$6,0))),'Oxford Economics'!$A$7:$A$1000,$C26,'Oxford Economics'!$B$7:$B$1000,Settings!$B$15),SUMIFS(INDEX('Oxford Economics'!$A$7:$AZ$1000,0,IFERROR(MATCH(V$5,'Oxford Economics'!$A$6:$AZ$6,0),MATCH(V$5&amp;"",'Oxford Economics'!$A$6:$AZ$6,0))),'Oxford Economics'!$A$7:$A$1000,$C26,'Oxford Economics'!$B$7:$B$1000,Settings!$B$15)+SUMIFS(INDEX('Oxford Economics'!$A$7:$AZ$1000,0,IFERROR(MATCH(V$5,'Oxford Economics'!$A$6:$AZ$6,0),MATCH(V$5&amp;"",'Oxford Economics'!$A$6:$AZ$6,0))),'Oxford Economics'!$A$7:$A$1000,$C26,'Oxford Economics'!$B$7:$B$1000,Settings!$B$17)+IF(Settings!$B$19="",0,SUMIFS(INDEX('Oxford Economics'!$A$7:$AZ$1000,0,IFERROR(MATCH(V$5,'Oxford Economics'!$A$6:$AZ$6,0),MATCH(V$5&amp;"",'Oxford Economics'!$A$6:$AZ$6,0))),'Oxford Economics'!$A$7:$A$1000,$C26,'Oxford Economics'!$B$7:$B$1000,Settings!$B$19)))),""))</f>
        <v>17927.47</v>
      </c>
      <c r="W26" s="38" t="n">
        <f aca="false">IF($A26="","",IFERROR(1/(1/IF($B26="Residential",SUMIFS(INDEX('Oxford Economics'!$A$7:$AZ$1000,0,IFERROR(MATCH(W$5,'Oxford Economics'!$A$6:$AZ$6,0),MATCH(W$5&amp;"",'Oxford Economics'!$A$6:$AZ$6,0))),'Oxford Economics'!$A$7:$A$1000,$C26,'Oxford Economics'!$B$7:$B$1000,Settings!$B$13)-SUMIFS(INDEX('Oxford Economics'!$A$7:$AZ$1000,0,IFERROR(MATCH(W$5,'Oxford Economics'!$A$6:$AZ$6,0),MATCH(W$5&amp;"",'Oxford Economics'!$A$6:$AZ$6,0))),'Oxford Economics'!$A$7:$A$1000,$C26,'Oxford Economics'!$B$7:$B$1000,Settings!$B$15),SUMIFS(INDEX('Oxford Economics'!$A$7:$AZ$1000,0,IFERROR(MATCH(W$5,'Oxford Economics'!$A$6:$AZ$6,0),MATCH(W$5&amp;"",'Oxford Economics'!$A$6:$AZ$6,0))),'Oxford Economics'!$A$7:$A$1000,$C26,'Oxford Economics'!$B$7:$B$1000,Settings!$B$15)+SUMIFS(INDEX('Oxford Economics'!$A$7:$AZ$1000,0,IFERROR(MATCH(W$5,'Oxford Economics'!$A$6:$AZ$6,0),MATCH(W$5&amp;"",'Oxford Economics'!$A$6:$AZ$6,0))),'Oxford Economics'!$A$7:$A$1000,$C26,'Oxford Economics'!$B$7:$B$1000,Settings!$B$17)+IF(Settings!$B$19="",0,SUMIFS(INDEX('Oxford Economics'!$A$7:$AZ$1000,0,IFERROR(MATCH(W$5,'Oxford Economics'!$A$6:$AZ$6,0),MATCH(W$5&amp;"",'Oxford Economics'!$A$6:$AZ$6,0))),'Oxford Economics'!$A$7:$A$1000,$C26,'Oxford Economics'!$B$7:$B$1000,Settings!$B$19)))),""))</f>
        <v>18347.45</v>
      </c>
      <c r="X26" s="38" t="n">
        <f aca="false">IF($A26="","",IFERROR(1/(1/IF($B26="Residential",SUMIFS(INDEX('Oxford Economics'!$A$7:$AZ$1000,0,IFERROR(MATCH(X$5,'Oxford Economics'!$A$6:$AZ$6,0),MATCH(X$5&amp;"",'Oxford Economics'!$A$6:$AZ$6,0))),'Oxford Economics'!$A$7:$A$1000,$C26,'Oxford Economics'!$B$7:$B$1000,Settings!$B$13)-SUMIFS(INDEX('Oxford Economics'!$A$7:$AZ$1000,0,IFERROR(MATCH(X$5,'Oxford Economics'!$A$6:$AZ$6,0),MATCH(X$5&amp;"",'Oxford Economics'!$A$6:$AZ$6,0))),'Oxford Economics'!$A$7:$A$1000,$C26,'Oxford Economics'!$B$7:$B$1000,Settings!$B$15),SUMIFS(INDEX('Oxford Economics'!$A$7:$AZ$1000,0,IFERROR(MATCH(X$5,'Oxford Economics'!$A$6:$AZ$6,0),MATCH(X$5&amp;"",'Oxford Economics'!$A$6:$AZ$6,0))),'Oxford Economics'!$A$7:$A$1000,$C26,'Oxford Economics'!$B$7:$B$1000,Settings!$B$15)+SUMIFS(INDEX('Oxford Economics'!$A$7:$AZ$1000,0,IFERROR(MATCH(X$5,'Oxford Economics'!$A$6:$AZ$6,0),MATCH(X$5&amp;"",'Oxford Economics'!$A$6:$AZ$6,0))),'Oxford Economics'!$A$7:$A$1000,$C26,'Oxford Economics'!$B$7:$B$1000,Settings!$B$17)+IF(Settings!$B$19="",0,SUMIFS(INDEX('Oxford Economics'!$A$7:$AZ$1000,0,IFERROR(MATCH(X$5,'Oxford Economics'!$A$6:$AZ$6,0),MATCH(X$5&amp;"",'Oxford Economics'!$A$6:$AZ$6,0))),'Oxford Economics'!$A$7:$A$1000,$C26,'Oxford Economics'!$B$7:$B$1000,Settings!$B$19)))),""))</f>
        <v>19388.46</v>
      </c>
      <c r="Y26" s="38" t="n">
        <f aca="false">IF($A26="","",IFERROR(1/(1/IF($B26="Residential",SUMIFS(INDEX('Oxford Economics'!$A$7:$AZ$1000,0,IFERROR(MATCH(Y$5,'Oxford Economics'!$A$6:$AZ$6,0),MATCH(Y$5&amp;"",'Oxford Economics'!$A$6:$AZ$6,0))),'Oxford Economics'!$A$7:$A$1000,$C26,'Oxford Economics'!$B$7:$B$1000,Settings!$B$13)-SUMIFS(INDEX('Oxford Economics'!$A$7:$AZ$1000,0,IFERROR(MATCH(Y$5,'Oxford Economics'!$A$6:$AZ$6,0),MATCH(Y$5&amp;"",'Oxford Economics'!$A$6:$AZ$6,0))),'Oxford Economics'!$A$7:$A$1000,$C26,'Oxford Economics'!$B$7:$B$1000,Settings!$B$15),SUMIFS(INDEX('Oxford Economics'!$A$7:$AZ$1000,0,IFERROR(MATCH(Y$5,'Oxford Economics'!$A$6:$AZ$6,0),MATCH(Y$5&amp;"",'Oxford Economics'!$A$6:$AZ$6,0))),'Oxford Economics'!$A$7:$A$1000,$C26,'Oxford Economics'!$B$7:$B$1000,Settings!$B$15)+SUMIFS(INDEX('Oxford Economics'!$A$7:$AZ$1000,0,IFERROR(MATCH(Y$5,'Oxford Economics'!$A$6:$AZ$6,0),MATCH(Y$5&amp;"",'Oxford Economics'!$A$6:$AZ$6,0))),'Oxford Economics'!$A$7:$A$1000,$C26,'Oxford Economics'!$B$7:$B$1000,Settings!$B$17)+IF(Settings!$B$19="",0,SUMIFS(INDEX('Oxford Economics'!$A$7:$AZ$1000,0,IFERROR(MATCH(Y$5,'Oxford Economics'!$A$6:$AZ$6,0),MATCH(Y$5&amp;"",'Oxford Economics'!$A$6:$AZ$6,0))),'Oxford Economics'!$A$7:$A$1000,$C26,'Oxford Economics'!$B$7:$B$1000,Settings!$B$19)))),""))</f>
        <v>20223.85</v>
      </c>
      <c r="Z26" s="38" t="n">
        <f aca="false">IF($A26="","",IFERROR(1/(1/IF($B26="Residential",SUMIFS(INDEX('Oxford Economics'!$A$7:$AZ$1000,0,IFERROR(MATCH(Z$5,'Oxford Economics'!$A$6:$AZ$6,0),MATCH(Z$5&amp;"",'Oxford Economics'!$A$6:$AZ$6,0))),'Oxford Economics'!$A$7:$A$1000,$C26,'Oxford Economics'!$B$7:$B$1000,Settings!$B$13)-SUMIFS(INDEX('Oxford Economics'!$A$7:$AZ$1000,0,IFERROR(MATCH(Z$5,'Oxford Economics'!$A$6:$AZ$6,0),MATCH(Z$5&amp;"",'Oxford Economics'!$A$6:$AZ$6,0))),'Oxford Economics'!$A$7:$A$1000,$C26,'Oxford Economics'!$B$7:$B$1000,Settings!$B$15),SUMIFS(INDEX('Oxford Economics'!$A$7:$AZ$1000,0,IFERROR(MATCH(Z$5,'Oxford Economics'!$A$6:$AZ$6,0),MATCH(Z$5&amp;"",'Oxford Economics'!$A$6:$AZ$6,0))),'Oxford Economics'!$A$7:$A$1000,$C26,'Oxford Economics'!$B$7:$B$1000,Settings!$B$15)+SUMIFS(INDEX('Oxford Economics'!$A$7:$AZ$1000,0,IFERROR(MATCH(Z$5,'Oxford Economics'!$A$6:$AZ$6,0),MATCH(Z$5&amp;"",'Oxford Economics'!$A$6:$AZ$6,0))),'Oxford Economics'!$A$7:$A$1000,$C26,'Oxford Economics'!$B$7:$B$1000,Settings!$B$17)+IF(Settings!$B$19="",0,SUMIFS(INDEX('Oxford Economics'!$A$7:$AZ$1000,0,IFERROR(MATCH(Z$5,'Oxford Economics'!$A$6:$AZ$6,0),MATCH(Z$5&amp;"",'Oxford Economics'!$A$6:$AZ$6,0))),'Oxford Economics'!$A$7:$A$1000,$C26,'Oxford Economics'!$B$7:$B$1000,Settings!$B$19)))),""))</f>
        <v>20916.88</v>
      </c>
      <c r="AA26" s="38" t="n">
        <f aca="false">IF($A26="","",IFERROR(1/(1/IF($B26="Residential",SUMIFS(INDEX('Oxford Economics'!$A$7:$AZ$1000,0,IFERROR(MATCH(AA$5,'Oxford Economics'!$A$6:$AZ$6,0),MATCH(AA$5&amp;"",'Oxford Economics'!$A$6:$AZ$6,0))),'Oxford Economics'!$A$7:$A$1000,$C26,'Oxford Economics'!$B$7:$B$1000,Settings!$B$13)-SUMIFS(INDEX('Oxford Economics'!$A$7:$AZ$1000,0,IFERROR(MATCH(AA$5,'Oxford Economics'!$A$6:$AZ$6,0),MATCH(AA$5&amp;"",'Oxford Economics'!$A$6:$AZ$6,0))),'Oxford Economics'!$A$7:$A$1000,$C26,'Oxford Economics'!$B$7:$B$1000,Settings!$B$15),SUMIFS(INDEX('Oxford Economics'!$A$7:$AZ$1000,0,IFERROR(MATCH(AA$5,'Oxford Economics'!$A$6:$AZ$6,0),MATCH(AA$5&amp;"",'Oxford Economics'!$A$6:$AZ$6,0))),'Oxford Economics'!$A$7:$A$1000,$C26,'Oxford Economics'!$B$7:$B$1000,Settings!$B$15)+SUMIFS(INDEX('Oxford Economics'!$A$7:$AZ$1000,0,IFERROR(MATCH(AA$5,'Oxford Economics'!$A$6:$AZ$6,0),MATCH(AA$5&amp;"",'Oxford Economics'!$A$6:$AZ$6,0))),'Oxford Economics'!$A$7:$A$1000,$C26,'Oxford Economics'!$B$7:$B$1000,Settings!$B$17)+IF(Settings!$B$19="",0,SUMIFS(INDEX('Oxford Economics'!$A$7:$AZ$1000,0,IFERROR(MATCH(AA$5,'Oxford Economics'!$A$6:$AZ$6,0),MATCH(AA$5&amp;"",'Oxford Economics'!$A$6:$AZ$6,0))),'Oxford Economics'!$A$7:$A$1000,$C26,'Oxford Economics'!$B$7:$B$1000,Settings!$B$19)))),""))</f>
        <v>21288.65</v>
      </c>
      <c r="AB26" s="38" t="n">
        <f aca="false">IF($A26="","",IFERROR(1/(1/IF($B26="Residential",SUMIFS(INDEX('Oxford Economics'!$A$7:$AZ$1000,0,IFERROR(MATCH(AB$5,'Oxford Economics'!$A$6:$AZ$6,0),MATCH(AB$5&amp;"",'Oxford Economics'!$A$6:$AZ$6,0))),'Oxford Economics'!$A$7:$A$1000,$C26,'Oxford Economics'!$B$7:$B$1000,Settings!$B$12)-SUMIFS(INDEX('Oxford Economics'!$A$7:$AZ$1000,0,IFERROR(MATCH(AB$5,'Oxford Economics'!$A$6:$AZ$6,0),MATCH(AB$5&amp;"",'Oxford Economics'!$A$6:$AZ$6,0))),'Oxford Economics'!$A$7:$A$1000,$C26,'Oxford Economics'!$B$7:$B$1000,Settings!$B$14),SUMIFS(INDEX('Oxford Economics'!$A$7:$AZ$1000,0,IFERROR(MATCH(AB$5,'Oxford Economics'!$A$6:$AZ$6,0),MATCH(AB$5&amp;"",'Oxford Economics'!$A$6:$AZ$6,0))),'Oxford Economics'!$A$7:$A$1000,$C26,'Oxford Economics'!$B$7:$B$1000,Settings!$B$14)+SUMIFS(INDEX('Oxford Economics'!$A$7:$AZ$1000,0,IFERROR(MATCH(AB$5,'Oxford Economics'!$A$6:$AZ$6,0),MATCH(AB$5&amp;"",'Oxford Economics'!$A$6:$AZ$6,0))),'Oxford Economics'!$A$7:$A$1000,$C26,'Oxford Economics'!$B$7:$B$1000,Settings!$B$16)+IF(Settings!$B$18="",0,SUMIFS(INDEX('Oxford Economics'!$A$7:$AZ$1000,0,IFERROR(MATCH(AB$5,'Oxford Economics'!$A$6:$AZ$6,0),MATCH(AB$5&amp;"",'Oxford Economics'!$A$6:$AZ$6,0))),'Oxford Economics'!$A$7:$A$1000,$C26,'Oxford Economics'!$B$7:$B$1000,Settings!$B$18)))),""))</f>
        <v>12088.26</v>
      </c>
      <c r="AC26" s="38" t="n">
        <f aca="false">IF($A26="","",IFERROR(1/(1/IF($B26="Residential",SUMIFS(INDEX('Oxford Economics'!$A$7:$AZ$1000,0,IFERROR(MATCH(AC$5,'Oxford Economics'!$A$6:$AZ$6,0),MATCH(AC$5&amp;"",'Oxford Economics'!$A$6:$AZ$6,0))),'Oxford Economics'!$A$7:$A$1000,$C26,'Oxford Economics'!$B$7:$B$1000,Settings!$B$12)-SUMIFS(INDEX('Oxford Economics'!$A$7:$AZ$1000,0,IFERROR(MATCH(AC$5,'Oxford Economics'!$A$6:$AZ$6,0),MATCH(AC$5&amp;"",'Oxford Economics'!$A$6:$AZ$6,0))),'Oxford Economics'!$A$7:$A$1000,$C26,'Oxford Economics'!$B$7:$B$1000,Settings!$B$14),SUMIFS(INDEX('Oxford Economics'!$A$7:$AZ$1000,0,IFERROR(MATCH(AC$5,'Oxford Economics'!$A$6:$AZ$6,0),MATCH(AC$5&amp;"",'Oxford Economics'!$A$6:$AZ$6,0))),'Oxford Economics'!$A$7:$A$1000,$C26,'Oxford Economics'!$B$7:$B$1000,Settings!$B$14)+SUMIFS(INDEX('Oxford Economics'!$A$7:$AZ$1000,0,IFERROR(MATCH(AC$5,'Oxford Economics'!$A$6:$AZ$6,0),MATCH(AC$5&amp;"",'Oxford Economics'!$A$6:$AZ$6,0))),'Oxford Economics'!$A$7:$A$1000,$C26,'Oxford Economics'!$B$7:$B$1000,Settings!$B$16)+IF(Settings!$B$18="",0,SUMIFS(INDEX('Oxford Economics'!$A$7:$AZ$1000,0,IFERROR(MATCH(AC$5,'Oxford Economics'!$A$6:$AZ$6,0),MATCH(AC$5&amp;"",'Oxford Economics'!$A$6:$AZ$6,0))),'Oxford Economics'!$A$7:$A$1000,$C26,'Oxford Economics'!$B$7:$B$1000,Settings!$B$18)))),""))</f>
        <v>13019.06</v>
      </c>
      <c r="AD26" s="38" t="n">
        <f aca="false">IF($A26="","",IFERROR(1/(1/IF($B26="Residential",SUMIFS(INDEX('Oxford Economics'!$A$7:$AZ$1000,0,IFERROR(MATCH(AD$5,'Oxford Economics'!$A$6:$AZ$6,0),MATCH(AD$5&amp;"",'Oxford Economics'!$A$6:$AZ$6,0))),'Oxford Economics'!$A$7:$A$1000,$C26,'Oxford Economics'!$B$7:$B$1000,Settings!$B$12)-SUMIFS(INDEX('Oxford Economics'!$A$7:$AZ$1000,0,IFERROR(MATCH(AD$5,'Oxford Economics'!$A$6:$AZ$6,0),MATCH(AD$5&amp;"",'Oxford Economics'!$A$6:$AZ$6,0))),'Oxford Economics'!$A$7:$A$1000,$C26,'Oxford Economics'!$B$7:$B$1000,Settings!$B$14),SUMIFS(INDEX('Oxford Economics'!$A$7:$AZ$1000,0,IFERROR(MATCH(AD$5,'Oxford Economics'!$A$6:$AZ$6,0),MATCH(AD$5&amp;"",'Oxford Economics'!$A$6:$AZ$6,0))),'Oxford Economics'!$A$7:$A$1000,$C26,'Oxford Economics'!$B$7:$B$1000,Settings!$B$14)+SUMIFS(INDEX('Oxford Economics'!$A$7:$AZ$1000,0,IFERROR(MATCH(AD$5,'Oxford Economics'!$A$6:$AZ$6,0),MATCH(AD$5&amp;"",'Oxford Economics'!$A$6:$AZ$6,0))),'Oxford Economics'!$A$7:$A$1000,$C26,'Oxford Economics'!$B$7:$B$1000,Settings!$B$16)+IF(Settings!$B$18="",0,SUMIFS(INDEX('Oxford Economics'!$A$7:$AZ$1000,0,IFERROR(MATCH(AD$5,'Oxford Economics'!$A$6:$AZ$6,0),MATCH(AD$5&amp;"",'Oxford Economics'!$A$6:$AZ$6,0))),'Oxford Economics'!$A$7:$A$1000,$C26,'Oxford Economics'!$B$7:$B$1000,Settings!$B$18)))),""))</f>
        <v>12507.35</v>
      </c>
      <c r="AE26" s="38" t="n">
        <f aca="false">IF($A26="","",IFERROR(1/(1/IF($B26="Residential",SUMIFS(INDEX('Oxford Economics'!$A$7:$AZ$1000,0,IFERROR(MATCH(AE$5,'Oxford Economics'!$A$6:$AZ$6,0),MATCH(AE$5&amp;"",'Oxford Economics'!$A$6:$AZ$6,0))),'Oxford Economics'!$A$7:$A$1000,$C26,'Oxford Economics'!$B$7:$B$1000,Settings!$B$12)-SUMIFS(INDEX('Oxford Economics'!$A$7:$AZ$1000,0,IFERROR(MATCH(AE$5,'Oxford Economics'!$A$6:$AZ$6,0),MATCH(AE$5&amp;"",'Oxford Economics'!$A$6:$AZ$6,0))),'Oxford Economics'!$A$7:$A$1000,$C26,'Oxford Economics'!$B$7:$B$1000,Settings!$B$14),SUMIFS(INDEX('Oxford Economics'!$A$7:$AZ$1000,0,IFERROR(MATCH(AE$5,'Oxford Economics'!$A$6:$AZ$6,0),MATCH(AE$5&amp;"",'Oxford Economics'!$A$6:$AZ$6,0))),'Oxford Economics'!$A$7:$A$1000,$C26,'Oxford Economics'!$B$7:$B$1000,Settings!$B$14)+SUMIFS(INDEX('Oxford Economics'!$A$7:$AZ$1000,0,IFERROR(MATCH(AE$5,'Oxford Economics'!$A$6:$AZ$6,0),MATCH(AE$5&amp;"",'Oxford Economics'!$A$6:$AZ$6,0))),'Oxford Economics'!$A$7:$A$1000,$C26,'Oxford Economics'!$B$7:$B$1000,Settings!$B$16)+IF(Settings!$B$18="",0,SUMIFS(INDEX('Oxford Economics'!$A$7:$AZ$1000,0,IFERROR(MATCH(AE$5,'Oxford Economics'!$A$6:$AZ$6,0),MATCH(AE$5&amp;"",'Oxford Economics'!$A$6:$AZ$6,0))),'Oxford Economics'!$A$7:$A$1000,$C26,'Oxford Economics'!$B$7:$B$1000,Settings!$B$18)))),""))</f>
        <v>11169.27</v>
      </c>
      <c r="AF26" s="38" t="n">
        <f aca="false">IF($A26="","",IFERROR(1/(1/IF($B26="Residential",SUMIFS(INDEX('Oxford Economics'!$A$7:$AZ$1000,0,IFERROR(MATCH(AF$5,'Oxford Economics'!$A$6:$AZ$6,0),MATCH(AF$5&amp;"",'Oxford Economics'!$A$6:$AZ$6,0))),'Oxford Economics'!$A$7:$A$1000,$C26,'Oxford Economics'!$B$7:$B$1000,Settings!$B$12)-SUMIFS(INDEX('Oxford Economics'!$A$7:$AZ$1000,0,IFERROR(MATCH(AF$5,'Oxford Economics'!$A$6:$AZ$6,0),MATCH(AF$5&amp;"",'Oxford Economics'!$A$6:$AZ$6,0))),'Oxford Economics'!$A$7:$A$1000,$C26,'Oxford Economics'!$B$7:$B$1000,Settings!$B$14),SUMIFS(INDEX('Oxford Economics'!$A$7:$AZ$1000,0,IFERROR(MATCH(AF$5,'Oxford Economics'!$A$6:$AZ$6,0),MATCH(AF$5&amp;"",'Oxford Economics'!$A$6:$AZ$6,0))),'Oxford Economics'!$A$7:$A$1000,$C26,'Oxford Economics'!$B$7:$B$1000,Settings!$B$14)+SUMIFS(INDEX('Oxford Economics'!$A$7:$AZ$1000,0,IFERROR(MATCH(AF$5,'Oxford Economics'!$A$6:$AZ$6,0),MATCH(AF$5&amp;"",'Oxford Economics'!$A$6:$AZ$6,0))),'Oxford Economics'!$A$7:$A$1000,$C26,'Oxford Economics'!$B$7:$B$1000,Settings!$B$16)+IF(Settings!$B$18="",0,SUMIFS(INDEX('Oxford Economics'!$A$7:$AZ$1000,0,IFERROR(MATCH(AF$5,'Oxford Economics'!$A$6:$AZ$6,0),MATCH(AF$5&amp;"",'Oxford Economics'!$A$6:$AZ$6,0))),'Oxford Economics'!$A$7:$A$1000,$C26,'Oxford Economics'!$B$7:$B$1000,Settings!$B$18)))),""))</f>
        <v>11054.69</v>
      </c>
      <c r="AG26" s="38" t="n">
        <f aca="false">IF($A26="","",IFERROR(1/(1/IF($B26="Residential",SUMIFS(INDEX('Oxford Economics'!$A$7:$AZ$1000,0,IFERROR(MATCH(AG$5,'Oxford Economics'!$A$6:$AZ$6,0),MATCH(AG$5&amp;"",'Oxford Economics'!$A$6:$AZ$6,0))),'Oxford Economics'!$A$7:$A$1000,$C26,'Oxford Economics'!$B$7:$B$1000,Settings!$B$12)-SUMIFS(INDEX('Oxford Economics'!$A$7:$AZ$1000,0,IFERROR(MATCH(AG$5,'Oxford Economics'!$A$6:$AZ$6,0),MATCH(AG$5&amp;"",'Oxford Economics'!$A$6:$AZ$6,0))),'Oxford Economics'!$A$7:$A$1000,$C26,'Oxford Economics'!$B$7:$B$1000,Settings!$B$14),SUMIFS(INDEX('Oxford Economics'!$A$7:$AZ$1000,0,IFERROR(MATCH(AG$5,'Oxford Economics'!$A$6:$AZ$6,0),MATCH(AG$5&amp;"",'Oxford Economics'!$A$6:$AZ$6,0))),'Oxford Economics'!$A$7:$A$1000,$C26,'Oxford Economics'!$B$7:$B$1000,Settings!$B$14)+SUMIFS(INDEX('Oxford Economics'!$A$7:$AZ$1000,0,IFERROR(MATCH(AG$5,'Oxford Economics'!$A$6:$AZ$6,0),MATCH(AG$5&amp;"",'Oxford Economics'!$A$6:$AZ$6,0))),'Oxford Economics'!$A$7:$A$1000,$C26,'Oxford Economics'!$B$7:$B$1000,Settings!$B$16)+IF(Settings!$B$18="",0,SUMIFS(INDEX('Oxford Economics'!$A$7:$AZ$1000,0,IFERROR(MATCH(AG$5,'Oxford Economics'!$A$6:$AZ$6,0),MATCH(AG$5&amp;"",'Oxford Economics'!$A$6:$AZ$6,0))),'Oxford Economics'!$A$7:$A$1000,$C26,'Oxford Economics'!$B$7:$B$1000,Settings!$B$18)))),""))</f>
        <v>11262.39</v>
      </c>
      <c r="AH26" s="38" t="n">
        <f aca="false">IF($A26="","",IFERROR(1/(1/IF($B26="Residential",SUMIFS(INDEX('Oxford Economics'!$A$7:$AZ$1000,0,IFERROR(MATCH(AH$5,'Oxford Economics'!$A$6:$AZ$6,0),MATCH(AH$5&amp;"",'Oxford Economics'!$A$6:$AZ$6,0))),'Oxford Economics'!$A$7:$A$1000,$C26,'Oxford Economics'!$B$7:$B$1000,Settings!$B$12)-SUMIFS(INDEX('Oxford Economics'!$A$7:$AZ$1000,0,IFERROR(MATCH(AH$5,'Oxford Economics'!$A$6:$AZ$6,0),MATCH(AH$5&amp;"",'Oxford Economics'!$A$6:$AZ$6,0))),'Oxford Economics'!$A$7:$A$1000,$C26,'Oxford Economics'!$B$7:$B$1000,Settings!$B$14),SUMIFS(INDEX('Oxford Economics'!$A$7:$AZ$1000,0,IFERROR(MATCH(AH$5,'Oxford Economics'!$A$6:$AZ$6,0),MATCH(AH$5&amp;"",'Oxford Economics'!$A$6:$AZ$6,0))),'Oxford Economics'!$A$7:$A$1000,$C26,'Oxford Economics'!$B$7:$B$1000,Settings!$B$14)+SUMIFS(INDEX('Oxford Economics'!$A$7:$AZ$1000,0,IFERROR(MATCH(AH$5,'Oxford Economics'!$A$6:$AZ$6,0),MATCH(AH$5&amp;"",'Oxford Economics'!$A$6:$AZ$6,0))),'Oxford Economics'!$A$7:$A$1000,$C26,'Oxford Economics'!$B$7:$B$1000,Settings!$B$16)+IF(Settings!$B$18="",0,SUMIFS(INDEX('Oxford Economics'!$A$7:$AZ$1000,0,IFERROR(MATCH(AH$5,'Oxford Economics'!$A$6:$AZ$6,0),MATCH(AH$5&amp;"",'Oxford Economics'!$A$6:$AZ$6,0))),'Oxford Economics'!$A$7:$A$1000,$C26,'Oxford Economics'!$B$7:$B$1000,Settings!$B$18)))),""))</f>
        <v>11584.94</v>
      </c>
      <c r="AI26" s="38" t="n">
        <f aca="false">IF($A26="","",IFERROR(1/(1/IF($B26="Residential",SUMIFS(INDEX('Oxford Economics'!$A$7:$AZ$1000,0,IFERROR(MATCH(AI$5,'Oxford Economics'!$A$6:$AZ$6,0),MATCH(AI$5&amp;"",'Oxford Economics'!$A$6:$AZ$6,0))),'Oxford Economics'!$A$7:$A$1000,$C26,'Oxford Economics'!$B$7:$B$1000,Settings!$B$12)-SUMIFS(INDEX('Oxford Economics'!$A$7:$AZ$1000,0,IFERROR(MATCH(AI$5,'Oxford Economics'!$A$6:$AZ$6,0),MATCH(AI$5&amp;"",'Oxford Economics'!$A$6:$AZ$6,0))),'Oxford Economics'!$A$7:$A$1000,$C26,'Oxford Economics'!$B$7:$B$1000,Settings!$B$14),SUMIFS(INDEX('Oxford Economics'!$A$7:$AZ$1000,0,IFERROR(MATCH(AI$5,'Oxford Economics'!$A$6:$AZ$6,0),MATCH(AI$5&amp;"",'Oxford Economics'!$A$6:$AZ$6,0))),'Oxford Economics'!$A$7:$A$1000,$C26,'Oxford Economics'!$B$7:$B$1000,Settings!$B$14)+SUMIFS(INDEX('Oxford Economics'!$A$7:$AZ$1000,0,IFERROR(MATCH(AI$5,'Oxford Economics'!$A$6:$AZ$6,0),MATCH(AI$5&amp;"",'Oxford Economics'!$A$6:$AZ$6,0))),'Oxford Economics'!$A$7:$A$1000,$C26,'Oxford Economics'!$B$7:$B$1000,Settings!$B$16)+IF(Settings!$B$18="",0,SUMIFS(INDEX('Oxford Economics'!$A$7:$AZ$1000,0,IFERROR(MATCH(AI$5,'Oxford Economics'!$A$6:$AZ$6,0),MATCH(AI$5&amp;"",'Oxford Economics'!$A$6:$AZ$6,0))),'Oxford Economics'!$A$7:$A$1000,$C26,'Oxford Economics'!$B$7:$B$1000,Settings!$B$18)))),""))</f>
        <v>11553.98</v>
      </c>
      <c r="AJ26" s="38" t="n">
        <f aca="false">IF($A26="","",IFERROR(1/(1/IF($B26="Residential",SUMIFS(INDEX('Oxford Economics'!$A$7:$AZ$1000,0,IFERROR(MATCH(AJ$5,'Oxford Economics'!$A$6:$AZ$6,0),MATCH(AJ$5&amp;"",'Oxford Economics'!$A$6:$AZ$6,0))),'Oxford Economics'!$A$7:$A$1000,$C26,'Oxford Economics'!$B$7:$B$1000,Settings!$B$12)-SUMIFS(INDEX('Oxford Economics'!$A$7:$AZ$1000,0,IFERROR(MATCH(AJ$5,'Oxford Economics'!$A$6:$AZ$6,0),MATCH(AJ$5&amp;"",'Oxford Economics'!$A$6:$AZ$6,0))),'Oxford Economics'!$A$7:$A$1000,$C26,'Oxford Economics'!$B$7:$B$1000,Settings!$B$14),SUMIFS(INDEX('Oxford Economics'!$A$7:$AZ$1000,0,IFERROR(MATCH(AJ$5,'Oxford Economics'!$A$6:$AZ$6,0),MATCH(AJ$5&amp;"",'Oxford Economics'!$A$6:$AZ$6,0))),'Oxford Economics'!$A$7:$A$1000,$C26,'Oxford Economics'!$B$7:$B$1000,Settings!$B$14)+SUMIFS(INDEX('Oxford Economics'!$A$7:$AZ$1000,0,IFERROR(MATCH(AJ$5,'Oxford Economics'!$A$6:$AZ$6,0),MATCH(AJ$5&amp;"",'Oxford Economics'!$A$6:$AZ$6,0))),'Oxford Economics'!$A$7:$A$1000,$C26,'Oxford Economics'!$B$7:$B$1000,Settings!$B$16)+IF(Settings!$B$18="",0,SUMIFS(INDEX('Oxford Economics'!$A$7:$AZ$1000,0,IFERROR(MATCH(AJ$5,'Oxford Economics'!$A$6:$AZ$6,0),MATCH(AJ$5&amp;"",'Oxford Economics'!$A$6:$AZ$6,0))),'Oxford Economics'!$A$7:$A$1000,$C26,'Oxford Economics'!$B$7:$B$1000,Settings!$B$18)))),""))</f>
        <v>11824.56</v>
      </c>
      <c r="AK26" s="38" t="n">
        <f aca="false">IF($A26="","",IFERROR(1/(1/IF($B26="Residential",SUMIFS(INDEX('Oxford Economics'!$A$7:$AZ$1000,0,IFERROR(MATCH(AK$5,'Oxford Economics'!$A$6:$AZ$6,0),MATCH(AK$5&amp;"",'Oxford Economics'!$A$6:$AZ$6,0))),'Oxford Economics'!$A$7:$A$1000,$C26,'Oxford Economics'!$B$7:$B$1000,Settings!$B$12)-SUMIFS(INDEX('Oxford Economics'!$A$7:$AZ$1000,0,IFERROR(MATCH(AK$5,'Oxford Economics'!$A$6:$AZ$6,0),MATCH(AK$5&amp;"",'Oxford Economics'!$A$6:$AZ$6,0))),'Oxford Economics'!$A$7:$A$1000,$C26,'Oxford Economics'!$B$7:$B$1000,Settings!$B$14),SUMIFS(INDEX('Oxford Economics'!$A$7:$AZ$1000,0,IFERROR(MATCH(AK$5,'Oxford Economics'!$A$6:$AZ$6,0),MATCH(AK$5&amp;"",'Oxford Economics'!$A$6:$AZ$6,0))),'Oxford Economics'!$A$7:$A$1000,$C26,'Oxford Economics'!$B$7:$B$1000,Settings!$B$14)+SUMIFS(INDEX('Oxford Economics'!$A$7:$AZ$1000,0,IFERROR(MATCH(AK$5,'Oxford Economics'!$A$6:$AZ$6,0),MATCH(AK$5&amp;"",'Oxford Economics'!$A$6:$AZ$6,0))),'Oxford Economics'!$A$7:$A$1000,$C26,'Oxford Economics'!$B$7:$B$1000,Settings!$B$16)+IF(Settings!$B$18="",0,SUMIFS(INDEX('Oxford Economics'!$A$7:$AZ$1000,0,IFERROR(MATCH(AK$5,'Oxford Economics'!$A$6:$AZ$6,0),MATCH(AK$5&amp;"",'Oxford Economics'!$A$6:$AZ$6,0))),'Oxford Economics'!$A$7:$A$1000,$C26,'Oxford Economics'!$B$7:$B$1000,Settings!$B$18)))),""))</f>
        <v>12152.93</v>
      </c>
      <c r="AL26" s="38" t="n">
        <f aca="false">IF($A26="","",IFERROR(1/(1/IF($B26="Residential",SUMIFS(INDEX('Oxford Economics'!$A$7:$AZ$1000,0,IFERROR(MATCH(AL$5,'Oxford Economics'!$A$6:$AZ$6,0),MATCH(AL$5&amp;"",'Oxford Economics'!$A$6:$AZ$6,0))),'Oxford Economics'!$A$7:$A$1000,$C26,'Oxford Economics'!$B$7:$B$1000,Settings!$B$12)-SUMIFS(INDEX('Oxford Economics'!$A$7:$AZ$1000,0,IFERROR(MATCH(AL$5,'Oxford Economics'!$A$6:$AZ$6,0),MATCH(AL$5&amp;"",'Oxford Economics'!$A$6:$AZ$6,0))),'Oxford Economics'!$A$7:$A$1000,$C26,'Oxford Economics'!$B$7:$B$1000,Settings!$B$14),SUMIFS(INDEX('Oxford Economics'!$A$7:$AZ$1000,0,IFERROR(MATCH(AL$5,'Oxford Economics'!$A$6:$AZ$6,0),MATCH(AL$5&amp;"",'Oxford Economics'!$A$6:$AZ$6,0))),'Oxford Economics'!$A$7:$A$1000,$C26,'Oxford Economics'!$B$7:$B$1000,Settings!$B$14)+SUMIFS(INDEX('Oxford Economics'!$A$7:$AZ$1000,0,IFERROR(MATCH(AL$5,'Oxford Economics'!$A$6:$AZ$6,0),MATCH(AL$5&amp;"",'Oxford Economics'!$A$6:$AZ$6,0))),'Oxford Economics'!$A$7:$A$1000,$C26,'Oxford Economics'!$B$7:$B$1000,Settings!$B$16)+IF(Settings!$B$18="",0,SUMIFS(INDEX('Oxford Economics'!$A$7:$AZ$1000,0,IFERROR(MATCH(AL$5,'Oxford Economics'!$A$6:$AZ$6,0),MATCH(AL$5&amp;"",'Oxford Economics'!$A$6:$AZ$6,0))),'Oxford Economics'!$A$7:$A$1000,$C26,'Oxford Economics'!$B$7:$B$1000,Settings!$B$18)))),""))</f>
        <v>12475.73</v>
      </c>
      <c r="AM26" s="38" t="n">
        <f aca="false">IF($A26="","",IFERROR(1/(1/IF($B26="Residential",SUMIFS(INDEX('Oxford Economics'!$A$7:$AZ$1000,0,IFERROR(MATCH(AM$5,'Oxford Economics'!$A$6:$AZ$6,0),MATCH(AM$5&amp;"",'Oxford Economics'!$A$6:$AZ$6,0))),'Oxford Economics'!$A$7:$A$1000,$C26,'Oxford Economics'!$B$7:$B$1000,Settings!$B$12)-SUMIFS(INDEX('Oxford Economics'!$A$7:$AZ$1000,0,IFERROR(MATCH(AM$5,'Oxford Economics'!$A$6:$AZ$6,0),MATCH(AM$5&amp;"",'Oxford Economics'!$A$6:$AZ$6,0))),'Oxford Economics'!$A$7:$A$1000,$C26,'Oxford Economics'!$B$7:$B$1000,Settings!$B$14),SUMIFS(INDEX('Oxford Economics'!$A$7:$AZ$1000,0,IFERROR(MATCH(AM$5,'Oxford Economics'!$A$6:$AZ$6,0),MATCH(AM$5&amp;"",'Oxford Economics'!$A$6:$AZ$6,0))),'Oxford Economics'!$A$7:$A$1000,$C26,'Oxford Economics'!$B$7:$B$1000,Settings!$B$14)+SUMIFS(INDEX('Oxford Economics'!$A$7:$AZ$1000,0,IFERROR(MATCH(AM$5,'Oxford Economics'!$A$6:$AZ$6,0),MATCH(AM$5&amp;"",'Oxford Economics'!$A$6:$AZ$6,0))),'Oxford Economics'!$A$7:$A$1000,$C26,'Oxford Economics'!$B$7:$B$1000,Settings!$B$16)+IF(Settings!$B$18="",0,SUMIFS(INDEX('Oxford Economics'!$A$7:$AZ$1000,0,IFERROR(MATCH(AM$5,'Oxford Economics'!$A$6:$AZ$6,0),MATCH(AM$5&amp;"",'Oxford Economics'!$A$6:$AZ$6,0))),'Oxford Economics'!$A$7:$A$1000,$C26,'Oxford Economics'!$B$7:$B$1000,Settings!$B$18)))),""))</f>
        <v>12756.4</v>
      </c>
    </row>
    <row r="27" customFormat="false" ht="15" hidden="false" customHeight="false" outlineLevel="0" collapsed="false">
      <c r="A27" s="37" t="str">
        <f aca="false">IF('Raw data'!$A27="","",'Raw data'!$A27)</f>
        <v>Netherlands</v>
      </c>
      <c r="B27" s="37" t="str">
        <f aca="false">IF($A27="","",'Raw data'!$C27)</f>
        <v>Commercial</v>
      </c>
      <c r="C27" s="37" t="str">
        <f aca="false">IF($A27="","",IF('Raw data'!$E27="",$A27,'Raw data'!$E27))</f>
        <v>Netherlands</v>
      </c>
      <c r="D27" s="38" t="n">
        <f aca="false">IF($A27="","",IF(AND(ISNUMBER(P27),ISNUMBER(AB27)),P27+AB27,""))</f>
        <v>21787.12</v>
      </c>
      <c r="E27" s="38" t="n">
        <f aca="false">IF($A27="","",IF(AND(ISNUMBER(Q27),ISNUMBER(AC27)),Q27+AC27,""))</f>
        <v>22854</v>
      </c>
      <c r="F27" s="38" t="n">
        <f aca="false">IF($A27="","",IF(AND(ISNUMBER(R27),ISNUMBER(AD27)),R27+AD27,""))</f>
        <v>24521.4</v>
      </c>
      <c r="G27" s="38" t="n">
        <f aca="false">IF($A27="","",IF(AND(ISNUMBER(S27),ISNUMBER(AE27)),S27+AE27,""))</f>
        <v>24951.67</v>
      </c>
      <c r="H27" s="38" t="n">
        <f aca="false">IF($A27="","",IF(AND(ISNUMBER(T27),ISNUMBER(AF27)),T27+AF27,""))</f>
        <v>24357.49</v>
      </c>
      <c r="I27" s="38" t="n">
        <f aca="false">IF($A27="","",IF(AND(ISNUMBER(U27),ISNUMBER(AG27)),U27+AG27,""))</f>
        <v>24549.72</v>
      </c>
      <c r="J27" s="38" t="n">
        <f aca="false">IF($A27="","",IF(AND(ISNUMBER(V27),ISNUMBER(AH27)),V27+AH27,""))</f>
        <v>25206.79</v>
      </c>
      <c r="K27" s="38" t="n">
        <f aca="false">IF($A27="","",IF(AND(ISNUMBER(W27),ISNUMBER(AI27)),W27+AI27,""))</f>
        <v>25727.33</v>
      </c>
      <c r="L27" s="38" t="n">
        <f aca="false">IF($A27="","",IF(AND(ISNUMBER(X27),ISNUMBER(AJ27)),X27+AJ27,""))</f>
        <v>26569.27</v>
      </c>
      <c r="M27" s="38" t="n">
        <f aca="false">IF($A27="","",IF(AND(ISNUMBER(Y27),ISNUMBER(AK27)),Y27+AK27,""))</f>
        <v>27554.26</v>
      </c>
      <c r="N27" s="38" t="n">
        <f aca="false">IF($A27="","",IF(AND(ISNUMBER(Z27),ISNUMBER(AL27)),Z27+AL27,""))</f>
        <v>28415.94</v>
      </c>
      <c r="O27" s="38" t="n">
        <f aca="false">IF($A27="","",IF(AND(ISNUMBER(AA27),ISNUMBER(AM27)),AA27+AM27,""))</f>
        <v>29067.96</v>
      </c>
      <c r="P27" s="38" t="n">
        <f aca="false">IF($A27="","",IFERROR(1/(1/IF($B27="Residential",SUMIFS(INDEX('Oxford Economics'!$A$7:$AZ$1000,0,IFERROR(MATCH(P$5,'Oxford Economics'!$A$6:$AZ$6,0),MATCH(P$5&amp;"",'Oxford Economics'!$A$6:$AZ$6,0))),'Oxford Economics'!$A$7:$A$1000,$C27,'Oxford Economics'!$B$7:$B$1000,Settings!$B$13)-SUMIFS(INDEX('Oxford Economics'!$A$7:$AZ$1000,0,IFERROR(MATCH(P$5,'Oxford Economics'!$A$6:$AZ$6,0),MATCH(P$5&amp;"",'Oxford Economics'!$A$6:$AZ$6,0))),'Oxford Economics'!$A$7:$A$1000,$C27,'Oxford Economics'!$B$7:$B$1000,Settings!$B$15),SUMIFS(INDEX('Oxford Economics'!$A$7:$AZ$1000,0,IFERROR(MATCH(P$5,'Oxford Economics'!$A$6:$AZ$6,0),MATCH(P$5&amp;"",'Oxford Economics'!$A$6:$AZ$6,0))),'Oxford Economics'!$A$7:$A$1000,$C27,'Oxford Economics'!$B$7:$B$1000,Settings!$B$15)+SUMIFS(INDEX('Oxford Economics'!$A$7:$AZ$1000,0,IFERROR(MATCH(P$5,'Oxford Economics'!$A$6:$AZ$6,0),MATCH(P$5&amp;"",'Oxford Economics'!$A$6:$AZ$6,0))),'Oxford Economics'!$A$7:$A$1000,$C27,'Oxford Economics'!$B$7:$B$1000,Settings!$B$17)+IF(Settings!$B$19="",0,SUMIFS(INDEX('Oxford Economics'!$A$7:$AZ$1000,0,IFERROR(MATCH(P$5,'Oxford Economics'!$A$6:$AZ$6,0),MATCH(P$5&amp;"",'Oxford Economics'!$A$6:$AZ$6,0))),'Oxford Economics'!$A$7:$A$1000,$C27,'Oxford Economics'!$B$7:$B$1000,Settings!$B$19)))),""))</f>
        <v>10197.14</v>
      </c>
      <c r="Q27" s="38" t="n">
        <f aca="false">IF($A27="","",IFERROR(1/(1/IF($B27="Residential",SUMIFS(INDEX('Oxford Economics'!$A$7:$AZ$1000,0,IFERROR(MATCH(Q$5,'Oxford Economics'!$A$6:$AZ$6,0),MATCH(Q$5&amp;"",'Oxford Economics'!$A$6:$AZ$6,0))),'Oxford Economics'!$A$7:$A$1000,$C27,'Oxford Economics'!$B$7:$B$1000,Settings!$B$13)-SUMIFS(INDEX('Oxford Economics'!$A$7:$AZ$1000,0,IFERROR(MATCH(Q$5,'Oxford Economics'!$A$6:$AZ$6,0),MATCH(Q$5&amp;"",'Oxford Economics'!$A$6:$AZ$6,0))),'Oxford Economics'!$A$7:$A$1000,$C27,'Oxford Economics'!$B$7:$B$1000,Settings!$B$15),SUMIFS(INDEX('Oxford Economics'!$A$7:$AZ$1000,0,IFERROR(MATCH(Q$5,'Oxford Economics'!$A$6:$AZ$6,0),MATCH(Q$5&amp;"",'Oxford Economics'!$A$6:$AZ$6,0))),'Oxford Economics'!$A$7:$A$1000,$C27,'Oxford Economics'!$B$7:$B$1000,Settings!$B$15)+SUMIFS(INDEX('Oxford Economics'!$A$7:$AZ$1000,0,IFERROR(MATCH(Q$5,'Oxford Economics'!$A$6:$AZ$6,0),MATCH(Q$5&amp;"",'Oxford Economics'!$A$6:$AZ$6,0))),'Oxford Economics'!$A$7:$A$1000,$C27,'Oxford Economics'!$B$7:$B$1000,Settings!$B$17)+IF(Settings!$B$19="",0,SUMIFS(INDEX('Oxford Economics'!$A$7:$AZ$1000,0,IFERROR(MATCH(Q$5,'Oxford Economics'!$A$6:$AZ$6,0),MATCH(Q$5&amp;"",'Oxford Economics'!$A$6:$AZ$6,0))),'Oxford Economics'!$A$7:$A$1000,$C27,'Oxford Economics'!$B$7:$B$1000,Settings!$B$19)))),""))</f>
        <v>9893.21</v>
      </c>
      <c r="R27" s="38" t="n">
        <f aca="false">IF($A27="","",IFERROR(1/(1/IF($B27="Residential",SUMIFS(INDEX('Oxford Economics'!$A$7:$AZ$1000,0,IFERROR(MATCH(R$5,'Oxford Economics'!$A$6:$AZ$6,0),MATCH(R$5&amp;"",'Oxford Economics'!$A$6:$AZ$6,0))),'Oxford Economics'!$A$7:$A$1000,$C27,'Oxford Economics'!$B$7:$B$1000,Settings!$B$13)-SUMIFS(INDEX('Oxford Economics'!$A$7:$AZ$1000,0,IFERROR(MATCH(R$5,'Oxford Economics'!$A$6:$AZ$6,0),MATCH(R$5&amp;"",'Oxford Economics'!$A$6:$AZ$6,0))),'Oxford Economics'!$A$7:$A$1000,$C27,'Oxford Economics'!$B$7:$B$1000,Settings!$B$15),SUMIFS(INDEX('Oxford Economics'!$A$7:$AZ$1000,0,IFERROR(MATCH(R$5,'Oxford Economics'!$A$6:$AZ$6,0),MATCH(R$5&amp;"",'Oxford Economics'!$A$6:$AZ$6,0))),'Oxford Economics'!$A$7:$A$1000,$C27,'Oxford Economics'!$B$7:$B$1000,Settings!$B$15)+SUMIFS(INDEX('Oxford Economics'!$A$7:$AZ$1000,0,IFERROR(MATCH(R$5,'Oxford Economics'!$A$6:$AZ$6,0),MATCH(R$5&amp;"",'Oxford Economics'!$A$6:$AZ$6,0))),'Oxford Economics'!$A$7:$A$1000,$C27,'Oxford Economics'!$B$7:$B$1000,Settings!$B$17)+IF(Settings!$B$19="",0,SUMIFS(INDEX('Oxford Economics'!$A$7:$AZ$1000,0,IFERROR(MATCH(R$5,'Oxford Economics'!$A$6:$AZ$6,0),MATCH(R$5&amp;"",'Oxford Economics'!$A$6:$AZ$6,0))),'Oxford Economics'!$A$7:$A$1000,$C27,'Oxford Economics'!$B$7:$B$1000,Settings!$B$19)))),""))</f>
        <v>10252.18</v>
      </c>
      <c r="S27" s="38" t="n">
        <f aca="false">IF($A27="","",IFERROR(1/(1/IF($B27="Residential",SUMIFS(INDEX('Oxford Economics'!$A$7:$AZ$1000,0,IFERROR(MATCH(S$5,'Oxford Economics'!$A$6:$AZ$6,0),MATCH(S$5&amp;"",'Oxford Economics'!$A$6:$AZ$6,0))),'Oxford Economics'!$A$7:$A$1000,$C27,'Oxford Economics'!$B$7:$B$1000,Settings!$B$13)-SUMIFS(INDEX('Oxford Economics'!$A$7:$AZ$1000,0,IFERROR(MATCH(S$5,'Oxford Economics'!$A$6:$AZ$6,0),MATCH(S$5&amp;"",'Oxford Economics'!$A$6:$AZ$6,0))),'Oxford Economics'!$A$7:$A$1000,$C27,'Oxford Economics'!$B$7:$B$1000,Settings!$B$15),SUMIFS(INDEX('Oxford Economics'!$A$7:$AZ$1000,0,IFERROR(MATCH(S$5,'Oxford Economics'!$A$6:$AZ$6,0),MATCH(S$5&amp;"",'Oxford Economics'!$A$6:$AZ$6,0))),'Oxford Economics'!$A$7:$A$1000,$C27,'Oxford Economics'!$B$7:$B$1000,Settings!$B$15)+SUMIFS(INDEX('Oxford Economics'!$A$7:$AZ$1000,0,IFERROR(MATCH(S$5,'Oxford Economics'!$A$6:$AZ$6,0),MATCH(S$5&amp;"",'Oxford Economics'!$A$6:$AZ$6,0))),'Oxford Economics'!$A$7:$A$1000,$C27,'Oxford Economics'!$B$7:$B$1000,Settings!$B$17)+IF(Settings!$B$19="",0,SUMIFS(INDEX('Oxford Economics'!$A$7:$AZ$1000,0,IFERROR(MATCH(S$5,'Oxford Economics'!$A$6:$AZ$6,0),MATCH(S$5&amp;"",'Oxford Economics'!$A$6:$AZ$6,0))),'Oxford Economics'!$A$7:$A$1000,$C27,'Oxford Economics'!$B$7:$B$1000,Settings!$B$19)))),""))</f>
        <v>10040.45</v>
      </c>
      <c r="T27" s="38" t="n">
        <f aca="false">IF($A27="","",IFERROR(1/(1/IF($B27="Residential",SUMIFS(INDEX('Oxford Economics'!$A$7:$AZ$1000,0,IFERROR(MATCH(T$5,'Oxford Economics'!$A$6:$AZ$6,0),MATCH(T$5&amp;"",'Oxford Economics'!$A$6:$AZ$6,0))),'Oxford Economics'!$A$7:$A$1000,$C27,'Oxford Economics'!$B$7:$B$1000,Settings!$B$13)-SUMIFS(INDEX('Oxford Economics'!$A$7:$AZ$1000,0,IFERROR(MATCH(T$5,'Oxford Economics'!$A$6:$AZ$6,0),MATCH(T$5&amp;"",'Oxford Economics'!$A$6:$AZ$6,0))),'Oxford Economics'!$A$7:$A$1000,$C27,'Oxford Economics'!$B$7:$B$1000,Settings!$B$15),SUMIFS(INDEX('Oxford Economics'!$A$7:$AZ$1000,0,IFERROR(MATCH(T$5,'Oxford Economics'!$A$6:$AZ$6,0),MATCH(T$5&amp;"",'Oxford Economics'!$A$6:$AZ$6,0))),'Oxford Economics'!$A$7:$A$1000,$C27,'Oxford Economics'!$B$7:$B$1000,Settings!$B$15)+SUMIFS(INDEX('Oxford Economics'!$A$7:$AZ$1000,0,IFERROR(MATCH(T$5,'Oxford Economics'!$A$6:$AZ$6,0),MATCH(T$5&amp;"",'Oxford Economics'!$A$6:$AZ$6,0))),'Oxford Economics'!$A$7:$A$1000,$C27,'Oxford Economics'!$B$7:$B$1000,Settings!$B$17)+IF(Settings!$B$19="",0,SUMIFS(INDEX('Oxford Economics'!$A$7:$AZ$1000,0,IFERROR(MATCH(T$5,'Oxford Economics'!$A$6:$AZ$6,0),MATCH(T$5&amp;"",'Oxford Economics'!$A$6:$AZ$6,0))),'Oxford Economics'!$A$7:$A$1000,$C27,'Oxford Economics'!$B$7:$B$1000,Settings!$B$19)))),""))</f>
        <v>10456.64</v>
      </c>
      <c r="U27" s="38" t="n">
        <f aca="false">IF($A27="","",IFERROR(1/(1/IF($B27="Residential",SUMIFS(INDEX('Oxford Economics'!$A$7:$AZ$1000,0,IFERROR(MATCH(U$5,'Oxford Economics'!$A$6:$AZ$6,0),MATCH(U$5&amp;"",'Oxford Economics'!$A$6:$AZ$6,0))),'Oxford Economics'!$A$7:$A$1000,$C27,'Oxford Economics'!$B$7:$B$1000,Settings!$B$13)-SUMIFS(INDEX('Oxford Economics'!$A$7:$AZ$1000,0,IFERROR(MATCH(U$5,'Oxford Economics'!$A$6:$AZ$6,0),MATCH(U$5&amp;"",'Oxford Economics'!$A$6:$AZ$6,0))),'Oxford Economics'!$A$7:$A$1000,$C27,'Oxford Economics'!$B$7:$B$1000,Settings!$B$15),SUMIFS(INDEX('Oxford Economics'!$A$7:$AZ$1000,0,IFERROR(MATCH(U$5,'Oxford Economics'!$A$6:$AZ$6,0),MATCH(U$5&amp;"",'Oxford Economics'!$A$6:$AZ$6,0))),'Oxford Economics'!$A$7:$A$1000,$C27,'Oxford Economics'!$B$7:$B$1000,Settings!$B$15)+SUMIFS(INDEX('Oxford Economics'!$A$7:$AZ$1000,0,IFERROR(MATCH(U$5,'Oxford Economics'!$A$6:$AZ$6,0),MATCH(U$5&amp;"",'Oxford Economics'!$A$6:$AZ$6,0))),'Oxford Economics'!$A$7:$A$1000,$C27,'Oxford Economics'!$B$7:$B$1000,Settings!$B$17)+IF(Settings!$B$19="",0,SUMIFS(INDEX('Oxford Economics'!$A$7:$AZ$1000,0,IFERROR(MATCH(U$5,'Oxford Economics'!$A$6:$AZ$6,0),MATCH(U$5&amp;"",'Oxford Economics'!$A$6:$AZ$6,0))),'Oxford Economics'!$A$7:$A$1000,$C27,'Oxford Economics'!$B$7:$B$1000,Settings!$B$19)))),""))</f>
        <v>10555.11</v>
      </c>
      <c r="V27" s="38" t="n">
        <f aca="false">IF($A27="","",IFERROR(1/(1/IF($B27="Residential",SUMIFS(INDEX('Oxford Economics'!$A$7:$AZ$1000,0,IFERROR(MATCH(V$5,'Oxford Economics'!$A$6:$AZ$6,0),MATCH(V$5&amp;"",'Oxford Economics'!$A$6:$AZ$6,0))),'Oxford Economics'!$A$7:$A$1000,$C27,'Oxford Economics'!$B$7:$B$1000,Settings!$B$13)-SUMIFS(INDEX('Oxford Economics'!$A$7:$AZ$1000,0,IFERROR(MATCH(V$5,'Oxford Economics'!$A$6:$AZ$6,0),MATCH(V$5&amp;"",'Oxford Economics'!$A$6:$AZ$6,0))),'Oxford Economics'!$A$7:$A$1000,$C27,'Oxford Economics'!$B$7:$B$1000,Settings!$B$15),SUMIFS(INDEX('Oxford Economics'!$A$7:$AZ$1000,0,IFERROR(MATCH(V$5,'Oxford Economics'!$A$6:$AZ$6,0),MATCH(V$5&amp;"",'Oxford Economics'!$A$6:$AZ$6,0))),'Oxford Economics'!$A$7:$A$1000,$C27,'Oxford Economics'!$B$7:$B$1000,Settings!$B$15)+SUMIFS(INDEX('Oxford Economics'!$A$7:$AZ$1000,0,IFERROR(MATCH(V$5,'Oxford Economics'!$A$6:$AZ$6,0),MATCH(V$5&amp;"",'Oxford Economics'!$A$6:$AZ$6,0))),'Oxford Economics'!$A$7:$A$1000,$C27,'Oxford Economics'!$B$7:$B$1000,Settings!$B$17)+IF(Settings!$B$19="",0,SUMIFS(INDEX('Oxford Economics'!$A$7:$AZ$1000,0,IFERROR(MATCH(V$5,'Oxford Economics'!$A$6:$AZ$6,0),MATCH(V$5&amp;"",'Oxford Economics'!$A$6:$AZ$6,0))),'Oxford Economics'!$A$7:$A$1000,$C27,'Oxford Economics'!$B$7:$B$1000,Settings!$B$19)))),""))</f>
        <v>10821.9</v>
      </c>
      <c r="W27" s="38" t="n">
        <f aca="false">IF($A27="","",IFERROR(1/(1/IF($B27="Residential",SUMIFS(INDEX('Oxford Economics'!$A$7:$AZ$1000,0,IFERROR(MATCH(W$5,'Oxford Economics'!$A$6:$AZ$6,0),MATCH(W$5&amp;"",'Oxford Economics'!$A$6:$AZ$6,0))),'Oxford Economics'!$A$7:$A$1000,$C27,'Oxford Economics'!$B$7:$B$1000,Settings!$B$13)-SUMIFS(INDEX('Oxford Economics'!$A$7:$AZ$1000,0,IFERROR(MATCH(W$5,'Oxford Economics'!$A$6:$AZ$6,0),MATCH(W$5&amp;"",'Oxford Economics'!$A$6:$AZ$6,0))),'Oxford Economics'!$A$7:$A$1000,$C27,'Oxford Economics'!$B$7:$B$1000,Settings!$B$15),SUMIFS(INDEX('Oxford Economics'!$A$7:$AZ$1000,0,IFERROR(MATCH(W$5,'Oxford Economics'!$A$6:$AZ$6,0),MATCH(W$5&amp;"",'Oxford Economics'!$A$6:$AZ$6,0))),'Oxford Economics'!$A$7:$A$1000,$C27,'Oxford Economics'!$B$7:$B$1000,Settings!$B$15)+SUMIFS(INDEX('Oxford Economics'!$A$7:$AZ$1000,0,IFERROR(MATCH(W$5,'Oxford Economics'!$A$6:$AZ$6,0),MATCH(W$5&amp;"",'Oxford Economics'!$A$6:$AZ$6,0))),'Oxford Economics'!$A$7:$A$1000,$C27,'Oxford Economics'!$B$7:$B$1000,Settings!$B$17)+IF(Settings!$B$19="",0,SUMIFS(INDEX('Oxford Economics'!$A$7:$AZ$1000,0,IFERROR(MATCH(W$5,'Oxford Economics'!$A$6:$AZ$6,0),MATCH(W$5&amp;"",'Oxford Economics'!$A$6:$AZ$6,0))),'Oxford Economics'!$A$7:$A$1000,$C27,'Oxford Economics'!$B$7:$B$1000,Settings!$B$19)))),""))</f>
        <v>11101.09</v>
      </c>
      <c r="X27" s="38" t="n">
        <f aca="false">IF($A27="","",IFERROR(1/(1/IF($B27="Residential",SUMIFS(INDEX('Oxford Economics'!$A$7:$AZ$1000,0,IFERROR(MATCH(X$5,'Oxford Economics'!$A$6:$AZ$6,0),MATCH(X$5&amp;"",'Oxford Economics'!$A$6:$AZ$6,0))),'Oxford Economics'!$A$7:$A$1000,$C27,'Oxford Economics'!$B$7:$B$1000,Settings!$B$13)-SUMIFS(INDEX('Oxford Economics'!$A$7:$AZ$1000,0,IFERROR(MATCH(X$5,'Oxford Economics'!$A$6:$AZ$6,0),MATCH(X$5&amp;"",'Oxford Economics'!$A$6:$AZ$6,0))),'Oxford Economics'!$A$7:$A$1000,$C27,'Oxford Economics'!$B$7:$B$1000,Settings!$B$15),SUMIFS(INDEX('Oxford Economics'!$A$7:$AZ$1000,0,IFERROR(MATCH(X$5,'Oxford Economics'!$A$6:$AZ$6,0),MATCH(X$5&amp;"",'Oxford Economics'!$A$6:$AZ$6,0))),'Oxford Economics'!$A$7:$A$1000,$C27,'Oxford Economics'!$B$7:$B$1000,Settings!$B$15)+SUMIFS(INDEX('Oxford Economics'!$A$7:$AZ$1000,0,IFERROR(MATCH(X$5,'Oxford Economics'!$A$6:$AZ$6,0),MATCH(X$5&amp;"",'Oxford Economics'!$A$6:$AZ$6,0))),'Oxford Economics'!$A$7:$A$1000,$C27,'Oxford Economics'!$B$7:$B$1000,Settings!$B$17)+IF(Settings!$B$19="",0,SUMIFS(INDEX('Oxford Economics'!$A$7:$AZ$1000,0,IFERROR(MATCH(X$5,'Oxford Economics'!$A$6:$AZ$6,0),MATCH(X$5&amp;"",'Oxford Economics'!$A$6:$AZ$6,0))),'Oxford Economics'!$A$7:$A$1000,$C27,'Oxford Economics'!$B$7:$B$1000,Settings!$B$19)))),""))</f>
        <v>11619.29</v>
      </c>
      <c r="Y27" s="38" t="n">
        <f aca="false">IF($A27="","",IFERROR(1/(1/IF($B27="Residential",SUMIFS(INDEX('Oxford Economics'!$A$7:$AZ$1000,0,IFERROR(MATCH(Y$5,'Oxford Economics'!$A$6:$AZ$6,0),MATCH(Y$5&amp;"",'Oxford Economics'!$A$6:$AZ$6,0))),'Oxford Economics'!$A$7:$A$1000,$C27,'Oxford Economics'!$B$7:$B$1000,Settings!$B$13)-SUMIFS(INDEX('Oxford Economics'!$A$7:$AZ$1000,0,IFERROR(MATCH(Y$5,'Oxford Economics'!$A$6:$AZ$6,0),MATCH(Y$5&amp;"",'Oxford Economics'!$A$6:$AZ$6,0))),'Oxford Economics'!$A$7:$A$1000,$C27,'Oxford Economics'!$B$7:$B$1000,Settings!$B$15),SUMIFS(INDEX('Oxford Economics'!$A$7:$AZ$1000,0,IFERROR(MATCH(Y$5,'Oxford Economics'!$A$6:$AZ$6,0),MATCH(Y$5&amp;"",'Oxford Economics'!$A$6:$AZ$6,0))),'Oxford Economics'!$A$7:$A$1000,$C27,'Oxford Economics'!$B$7:$B$1000,Settings!$B$15)+SUMIFS(INDEX('Oxford Economics'!$A$7:$AZ$1000,0,IFERROR(MATCH(Y$5,'Oxford Economics'!$A$6:$AZ$6,0),MATCH(Y$5&amp;"",'Oxford Economics'!$A$6:$AZ$6,0))),'Oxford Economics'!$A$7:$A$1000,$C27,'Oxford Economics'!$B$7:$B$1000,Settings!$B$17)+IF(Settings!$B$19="",0,SUMIFS(INDEX('Oxford Economics'!$A$7:$AZ$1000,0,IFERROR(MATCH(Y$5,'Oxford Economics'!$A$6:$AZ$6,0),MATCH(Y$5&amp;"",'Oxford Economics'!$A$6:$AZ$6,0))),'Oxford Economics'!$A$7:$A$1000,$C27,'Oxford Economics'!$B$7:$B$1000,Settings!$B$19)))),""))</f>
        <v>12205.83</v>
      </c>
      <c r="Z27" s="38" t="n">
        <f aca="false">IF($A27="","",IFERROR(1/(1/IF($B27="Residential",SUMIFS(INDEX('Oxford Economics'!$A$7:$AZ$1000,0,IFERROR(MATCH(Z$5,'Oxford Economics'!$A$6:$AZ$6,0),MATCH(Z$5&amp;"",'Oxford Economics'!$A$6:$AZ$6,0))),'Oxford Economics'!$A$7:$A$1000,$C27,'Oxford Economics'!$B$7:$B$1000,Settings!$B$13)-SUMIFS(INDEX('Oxford Economics'!$A$7:$AZ$1000,0,IFERROR(MATCH(Z$5,'Oxford Economics'!$A$6:$AZ$6,0),MATCH(Z$5&amp;"",'Oxford Economics'!$A$6:$AZ$6,0))),'Oxford Economics'!$A$7:$A$1000,$C27,'Oxford Economics'!$B$7:$B$1000,Settings!$B$15),SUMIFS(INDEX('Oxford Economics'!$A$7:$AZ$1000,0,IFERROR(MATCH(Z$5,'Oxford Economics'!$A$6:$AZ$6,0),MATCH(Z$5&amp;"",'Oxford Economics'!$A$6:$AZ$6,0))),'Oxford Economics'!$A$7:$A$1000,$C27,'Oxford Economics'!$B$7:$B$1000,Settings!$B$15)+SUMIFS(INDEX('Oxford Economics'!$A$7:$AZ$1000,0,IFERROR(MATCH(Z$5,'Oxford Economics'!$A$6:$AZ$6,0),MATCH(Z$5&amp;"",'Oxford Economics'!$A$6:$AZ$6,0))),'Oxford Economics'!$A$7:$A$1000,$C27,'Oxford Economics'!$B$7:$B$1000,Settings!$B$17)+IF(Settings!$B$19="",0,SUMIFS(INDEX('Oxford Economics'!$A$7:$AZ$1000,0,IFERROR(MATCH(Z$5,'Oxford Economics'!$A$6:$AZ$6,0),MATCH(Z$5&amp;"",'Oxford Economics'!$A$6:$AZ$6,0))),'Oxford Economics'!$A$7:$A$1000,$C27,'Oxford Economics'!$B$7:$B$1000,Settings!$B$19)))),""))</f>
        <v>12672.85</v>
      </c>
      <c r="AA27" s="38" t="n">
        <f aca="false">IF($A27="","",IFERROR(1/(1/IF($B27="Residential",SUMIFS(INDEX('Oxford Economics'!$A$7:$AZ$1000,0,IFERROR(MATCH(AA$5,'Oxford Economics'!$A$6:$AZ$6,0),MATCH(AA$5&amp;"",'Oxford Economics'!$A$6:$AZ$6,0))),'Oxford Economics'!$A$7:$A$1000,$C27,'Oxford Economics'!$B$7:$B$1000,Settings!$B$13)-SUMIFS(INDEX('Oxford Economics'!$A$7:$AZ$1000,0,IFERROR(MATCH(AA$5,'Oxford Economics'!$A$6:$AZ$6,0),MATCH(AA$5&amp;"",'Oxford Economics'!$A$6:$AZ$6,0))),'Oxford Economics'!$A$7:$A$1000,$C27,'Oxford Economics'!$B$7:$B$1000,Settings!$B$15),SUMIFS(INDEX('Oxford Economics'!$A$7:$AZ$1000,0,IFERROR(MATCH(AA$5,'Oxford Economics'!$A$6:$AZ$6,0),MATCH(AA$5&amp;"",'Oxford Economics'!$A$6:$AZ$6,0))),'Oxford Economics'!$A$7:$A$1000,$C27,'Oxford Economics'!$B$7:$B$1000,Settings!$B$15)+SUMIFS(INDEX('Oxford Economics'!$A$7:$AZ$1000,0,IFERROR(MATCH(AA$5,'Oxford Economics'!$A$6:$AZ$6,0),MATCH(AA$5&amp;"",'Oxford Economics'!$A$6:$AZ$6,0))),'Oxford Economics'!$A$7:$A$1000,$C27,'Oxford Economics'!$B$7:$B$1000,Settings!$B$17)+IF(Settings!$B$19="",0,SUMIFS(INDEX('Oxford Economics'!$A$7:$AZ$1000,0,IFERROR(MATCH(AA$5,'Oxford Economics'!$A$6:$AZ$6,0),MATCH(AA$5&amp;"",'Oxford Economics'!$A$6:$AZ$6,0))),'Oxford Economics'!$A$7:$A$1000,$C27,'Oxford Economics'!$B$7:$B$1000,Settings!$B$19)))),""))</f>
        <v>13034.29</v>
      </c>
      <c r="AB27" s="38" t="n">
        <f aca="false">IF($A27="","",IFERROR(1/(1/IF($B27="Residential",SUMIFS(INDEX('Oxford Economics'!$A$7:$AZ$1000,0,IFERROR(MATCH(AB$5,'Oxford Economics'!$A$6:$AZ$6,0),MATCH(AB$5&amp;"",'Oxford Economics'!$A$6:$AZ$6,0))),'Oxford Economics'!$A$7:$A$1000,$C27,'Oxford Economics'!$B$7:$B$1000,Settings!$B$12)-SUMIFS(INDEX('Oxford Economics'!$A$7:$AZ$1000,0,IFERROR(MATCH(AB$5,'Oxford Economics'!$A$6:$AZ$6,0),MATCH(AB$5&amp;"",'Oxford Economics'!$A$6:$AZ$6,0))),'Oxford Economics'!$A$7:$A$1000,$C27,'Oxford Economics'!$B$7:$B$1000,Settings!$B$14),SUMIFS(INDEX('Oxford Economics'!$A$7:$AZ$1000,0,IFERROR(MATCH(AB$5,'Oxford Economics'!$A$6:$AZ$6,0),MATCH(AB$5&amp;"",'Oxford Economics'!$A$6:$AZ$6,0))),'Oxford Economics'!$A$7:$A$1000,$C27,'Oxford Economics'!$B$7:$B$1000,Settings!$B$14)+SUMIFS(INDEX('Oxford Economics'!$A$7:$AZ$1000,0,IFERROR(MATCH(AB$5,'Oxford Economics'!$A$6:$AZ$6,0),MATCH(AB$5&amp;"",'Oxford Economics'!$A$6:$AZ$6,0))),'Oxford Economics'!$A$7:$A$1000,$C27,'Oxford Economics'!$B$7:$B$1000,Settings!$B$16)+IF(Settings!$B$18="",0,SUMIFS(INDEX('Oxford Economics'!$A$7:$AZ$1000,0,IFERROR(MATCH(AB$5,'Oxford Economics'!$A$6:$AZ$6,0),MATCH(AB$5&amp;"",'Oxford Economics'!$A$6:$AZ$6,0))),'Oxford Economics'!$A$7:$A$1000,$C27,'Oxford Economics'!$B$7:$B$1000,Settings!$B$18)))),""))</f>
        <v>11589.98</v>
      </c>
      <c r="AC27" s="38" t="n">
        <f aca="false">IF($A27="","",IFERROR(1/(1/IF($B27="Residential",SUMIFS(INDEX('Oxford Economics'!$A$7:$AZ$1000,0,IFERROR(MATCH(AC$5,'Oxford Economics'!$A$6:$AZ$6,0),MATCH(AC$5&amp;"",'Oxford Economics'!$A$6:$AZ$6,0))),'Oxford Economics'!$A$7:$A$1000,$C27,'Oxford Economics'!$B$7:$B$1000,Settings!$B$12)-SUMIFS(INDEX('Oxford Economics'!$A$7:$AZ$1000,0,IFERROR(MATCH(AC$5,'Oxford Economics'!$A$6:$AZ$6,0),MATCH(AC$5&amp;"",'Oxford Economics'!$A$6:$AZ$6,0))),'Oxford Economics'!$A$7:$A$1000,$C27,'Oxford Economics'!$B$7:$B$1000,Settings!$B$14),SUMIFS(INDEX('Oxford Economics'!$A$7:$AZ$1000,0,IFERROR(MATCH(AC$5,'Oxford Economics'!$A$6:$AZ$6,0),MATCH(AC$5&amp;"",'Oxford Economics'!$A$6:$AZ$6,0))),'Oxford Economics'!$A$7:$A$1000,$C27,'Oxford Economics'!$B$7:$B$1000,Settings!$B$14)+SUMIFS(INDEX('Oxford Economics'!$A$7:$AZ$1000,0,IFERROR(MATCH(AC$5,'Oxford Economics'!$A$6:$AZ$6,0),MATCH(AC$5&amp;"",'Oxford Economics'!$A$6:$AZ$6,0))),'Oxford Economics'!$A$7:$A$1000,$C27,'Oxford Economics'!$B$7:$B$1000,Settings!$B$16)+IF(Settings!$B$18="",0,SUMIFS(INDEX('Oxford Economics'!$A$7:$AZ$1000,0,IFERROR(MATCH(AC$5,'Oxford Economics'!$A$6:$AZ$6,0),MATCH(AC$5&amp;"",'Oxford Economics'!$A$6:$AZ$6,0))),'Oxford Economics'!$A$7:$A$1000,$C27,'Oxford Economics'!$B$7:$B$1000,Settings!$B$18)))),""))</f>
        <v>12960.79</v>
      </c>
      <c r="AD27" s="38" t="n">
        <f aca="false">IF($A27="","",IFERROR(1/(1/IF($B27="Residential",SUMIFS(INDEX('Oxford Economics'!$A$7:$AZ$1000,0,IFERROR(MATCH(AD$5,'Oxford Economics'!$A$6:$AZ$6,0),MATCH(AD$5&amp;"",'Oxford Economics'!$A$6:$AZ$6,0))),'Oxford Economics'!$A$7:$A$1000,$C27,'Oxford Economics'!$B$7:$B$1000,Settings!$B$12)-SUMIFS(INDEX('Oxford Economics'!$A$7:$AZ$1000,0,IFERROR(MATCH(AD$5,'Oxford Economics'!$A$6:$AZ$6,0),MATCH(AD$5&amp;"",'Oxford Economics'!$A$6:$AZ$6,0))),'Oxford Economics'!$A$7:$A$1000,$C27,'Oxford Economics'!$B$7:$B$1000,Settings!$B$14),SUMIFS(INDEX('Oxford Economics'!$A$7:$AZ$1000,0,IFERROR(MATCH(AD$5,'Oxford Economics'!$A$6:$AZ$6,0),MATCH(AD$5&amp;"",'Oxford Economics'!$A$6:$AZ$6,0))),'Oxford Economics'!$A$7:$A$1000,$C27,'Oxford Economics'!$B$7:$B$1000,Settings!$B$14)+SUMIFS(INDEX('Oxford Economics'!$A$7:$AZ$1000,0,IFERROR(MATCH(AD$5,'Oxford Economics'!$A$6:$AZ$6,0),MATCH(AD$5&amp;"",'Oxford Economics'!$A$6:$AZ$6,0))),'Oxford Economics'!$A$7:$A$1000,$C27,'Oxford Economics'!$B$7:$B$1000,Settings!$B$16)+IF(Settings!$B$18="",0,SUMIFS(INDEX('Oxford Economics'!$A$7:$AZ$1000,0,IFERROR(MATCH(AD$5,'Oxford Economics'!$A$6:$AZ$6,0),MATCH(AD$5&amp;"",'Oxford Economics'!$A$6:$AZ$6,0))),'Oxford Economics'!$A$7:$A$1000,$C27,'Oxford Economics'!$B$7:$B$1000,Settings!$B$18)))),""))</f>
        <v>14269.22</v>
      </c>
      <c r="AE27" s="38" t="n">
        <f aca="false">IF($A27="","",IFERROR(1/(1/IF($B27="Residential",SUMIFS(INDEX('Oxford Economics'!$A$7:$AZ$1000,0,IFERROR(MATCH(AE$5,'Oxford Economics'!$A$6:$AZ$6,0),MATCH(AE$5&amp;"",'Oxford Economics'!$A$6:$AZ$6,0))),'Oxford Economics'!$A$7:$A$1000,$C27,'Oxford Economics'!$B$7:$B$1000,Settings!$B$12)-SUMIFS(INDEX('Oxford Economics'!$A$7:$AZ$1000,0,IFERROR(MATCH(AE$5,'Oxford Economics'!$A$6:$AZ$6,0),MATCH(AE$5&amp;"",'Oxford Economics'!$A$6:$AZ$6,0))),'Oxford Economics'!$A$7:$A$1000,$C27,'Oxford Economics'!$B$7:$B$1000,Settings!$B$14),SUMIFS(INDEX('Oxford Economics'!$A$7:$AZ$1000,0,IFERROR(MATCH(AE$5,'Oxford Economics'!$A$6:$AZ$6,0),MATCH(AE$5&amp;"",'Oxford Economics'!$A$6:$AZ$6,0))),'Oxford Economics'!$A$7:$A$1000,$C27,'Oxford Economics'!$B$7:$B$1000,Settings!$B$14)+SUMIFS(INDEX('Oxford Economics'!$A$7:$AZ$1000,0,IFERROR(MATCH(AE$5,'Oxford Economics'!$A$6:$AZ$6,0),MATCH(AE$5&amp;"",'Oxford Economics'!$A$6:$AZ$6,0))),'Oxford Economics'!$A$7:$A$1000,$C27,'Oxford Economics'!$B$7:$B$1000,Settings!$B$16)+IF(Settings!$B$18="",0,SUMIFS(INDEX('Oxford Economics'!$A$7:$AZ$1000,0,IFERROR(MATCH(AE$5,'Oxford Economics'!$A$6:$AZ$6,0),MATCH(AE$5&amp;"",'Oxford Economics'!$A$6:$AZ$6,0))),'Oxford Economics'!$A$7:$A$1000,$C27,'Oxford Economics'!$B$7:$B$1000,Settings!$B$18)))),""))</f>
        <v>14911.22</v>
      </c>
      <c r="AF27" s="38" t="n">
        <f aca="false">IF($A27="","",IFERROR(1/(1/IF($B27="Residential",SUMIFS(INDEX('Oxford Economics'!$A$7:$AZ$1000,0,IFERROR(MATCH(AF$5,'Oxford Economics'!$A$6:$AZ$6,0),MATCH(AF$5&amp;"",'Oxford Economics'!$A$6:$AZ$6,0))),'Oxford Economics'!$A$7:$A$1000,$C27,'Oxford Economics'!$B$7:$B$1000,Settings!$B$12)-SUMIFS(INDEX('Oxford Economics'!$A$7:$AZ$1000,0,IFERROR(MATCH(AF$5,'Oxford Economics'!$A$6:$AZ$6,0),MATCH(AF$5&amp;"",'Oxford Economics'!$A$6:$AZ$6,0))),'Oxford Economics'!$A$7:$A$1000,$C27,'Oxford Economics'!$B$7:$B$1000,Settings!$B$14),SUMIFS(INDEX('Oxford Economics'!$A$7:$AZ$1000,0,IFERROR(MATCH(AF$5,'Oxford Economics'!$A$6:$AZ$6,0),MATCH(AF$5&amp;"",'Oxford Economics'!$A$6:$AZ$6,0))),'Oxford Economics'!$A$7:$A$1000,$C27,'Oxford Economics'!$B$7:$B$1000,Settings!$B$14)+SUMIFS(INDEX('Oxford Economics'!$A$7:$AZ$1000,0,IFERROR(MATCH(AF$5,'Oxford Economics'!$A$6:$AZ$6,0),MATCH(AF$5&amp;"",'Oxford Economics'!$A$6:$AZ$6,0))),'Oxford Economics'!$A$7:$A$1000,$C27,'Oxford Economics'!$B$7:$B$1000,Settings!$B$16)+IF(Settings!$B$18="",0,SUMIFS(INDEX('Oxford Economics'!$A$7:$AZ$1000,0,IFERROR(MATCH(AF$5,'Oxford Economics'!$A$6:$AZ$6,0),MATCH(AF$5&amp;"",'Oxford Economics'!$A$6:$AZ$6,0))),'Oxford Economics'!$A$7:$A$1000,$C27,'Oxford Economics'!$B$7:$B$1000,Settings!$B$18)))),""))</f>
        <v>13900.85</v>
      </c>
      <c r="AG27" s="38" t="n">
        <f aca="false">IF($A27="","",IFERROR(1/(1/IF($B27="Residential",SUMIFS(INDEX('Oxford Economics'!$A$7:$AZ$1000,0,IFERROR(MATCH(AG$5,'Oxford Economics'!$A$6:$AZ$6,0),MATCH(AG$5&amp;"",'Oxford Economics'!$A$6:$AZ$6,0))),'Oxford Economics'!$A$7:$A$1000,$C27,'Oxford Economics'!$B$7:$B$1000,Settings!$B$12)-SUMIFS(INDEX('Oxford Economics'!$A$7:$AZ$1000,0,IFERROR(MATCH(AG$5,'Oxford Economics'!$A$6:$AZ$6,0),MATCH(AG$5&amp;"",'Oxford Economics'!$A$6:$AZ$6,0))),'Oxford Economics'!$A$7:$A$1000,$C27,'Oxford Economics'!$B$7:$B$1000,Settings!$B$14),SUMIFS(INDEX('Oxford Economics'!$A$7:$AZ$1000,0,IFERROR(MATCH(AG$5,'Oxford Economics'!$A$6:$AZ$6,0),MATCH(AG$5&amp;"",'Oxford Economics'!$A$6:$AZ$6,0))),'Oxford Economics'!$A$7:$A$1000,$C27,'Oxford Economics'!$B$7:$B$1000,Settings!$B$14)+SUMIFS(INDEX('Oxford Economics'!$A$7:$AZ$1000,0,IFERROR(MATCH(AG$5,'Oxford Economics'!$A$6:$AZ$6,0),MATCH(AG$5&amp;"",'Oxford Economics'!$A$6:$AZ$6,0))),'Oxford Economics'!$A$7:$A$1000,$C27,'Oxford Economics'!$B$7:$B$1000,Settings!$B$16)+IF(Settings!$B$18="",0,SUMIFS(INDEX('Oxford Economics'!$A$7:$AZ$1000,0,IFERROR(MATCH(AG$5,'Oxford Economics'!$A$6:$AZ$6,0),MATCH(AG$5&amp;"",'Oxford Economics'!$A$6:$AZ$6,0))),'Oxford Economics'!$A$7:$A$1000,$C27,'Oxford Economics'!$B$7:$B$1000,Settings!$B$18)))),""))</f>
        <v>13994.61</v>
      </c>
      <c r="AH27" s="38" t="n">
        <f aca="false">IF($A27="","",IFERROR(1/(1/IF($B27="Residential",SUMIFS(INDEX('Oxford Economics'!$A$7:$AZ$1000,0,IFERROR(MATCH(AH$5,'Oxford Economics'!$A$6:$AZ$6,0),MATCH(AH$5&amp;"",'Oxford Economics'!$A$6:$AZ$6,0))),'Oxford Economics'!$A$7:$A$1000,$C27,'Oxford Economics'!$B$7:$B$1000,Settings!$B$12)-SUMIFS(INDEX('Oxford Economics'!$A$7:$AZ$1000,0,IFERROR(MATCH(AH$5,'Oxford Economics'!$A$6:$AZ$6,0),MATCH(AH$5&amp;"",'Oxford Economics'!$A$6:$AZ$6,0))),'Oxford Economics'!$A$7:$A$1000,$C27,'Oxford Economics'!$B$7:$B$1000,Settings!$B$14),SUMIFS(INDEX('Oxford Economics'!$A$7:$AZ$1000,0,IFERROR(MATCH(AH$5,'Oxford Economics'!$A$6:$AZ$6,0),MATCH(AH$5&amp;"",'Oxford Economics'!$A$6:$AZ$6,0))),'Oxford Economics'!$A$7:$A$1000,$C27,'Oxford Economics'!$B$7:$B$1000,Settings!$B$14)+SUMIFS(INDEX('Oxford Economics'!$A$7:$AZ$1000,0,IFERROR(MATCH(AH$5,'Oxford Economics'!$A$6:$AZ$6,0),MATCH(AH$5&amp;"",'Oxford Economics'!$A$6:$AZ$6,0))),'Oxford Economics'!$A$7:$A$1000,$C27,'Oxford Economics'!$B$7:$B$1000,Settings!$B$16)+IF(Settings!$B$18="",0,SUMIFS(INDEX('Oxford Economics'!$A$7:$AZ$1000,0,IFERROR(MATCH(AH$5,'Oxford Economics'!$A$6:$AZ$6,0),MATCH(AH$5&amp;"",'Oxford Economics'!$A$6:$AZ$6,0))),'Oxford Economics'!$A$7:$A$1000,$C27,'Oxford Economics'!$B$7:$B$1000,Settings!$B$18)))),""))</f>
        <v>14384.89</v>
      </c>
      <c r="AI27" s="38" t="n">
        <f aca="false">IF($A27="","",IFERROR(1/(1/IF($B27="Residential",SUMIFS(INDEX('Oxford Economics'!$A$7:$AZ$1000,0,IFERROR(MATCH(AI$5,'Oxford Economics'!$A$6:$AZ$6,0),MATCH(AI$5&amp;"",'Oxford Economics'!$A$6:$AZ$6,0))),'Oxford Economics'!$A$7:$A$1000,$C27,'Oxford Economics'!$B$7:$B$1000,Settings!$B$12)-SUMIFS(INDEX('Oxford Economics'!$A$7:$AZ$1000,0,IFERROR(MATCH(AI$5,'Oxford Economics'!$A$6:$AZ$6,0),MATCH(AI$5&amp;"",'Oxford Economics'!$A$6:$AZ$6,0))),'Oxford Economics'!$A$7:$A$1000,$C27,'Oxford Economics'!$B$7:$B$1000,Settings!$B$14),SUMIFS(INDEX('Oxford Economics'!$A$7:$AZ$1000,0,IFERROR(MATCH(AI$5,'Oxford Economics'!$A$6:$AZ$6,0),MATCH(AI$5&amp;"",'Oxford Economics'!$A$6:$AZ$6,0))),'Oxford Economics'!$A$7:$A$1000,$C27,'Oxford Economics'!$B$7:$B$1000,Settings!$B$14)+SUMIFS(INDEX('Oxford Economics'!$A$7:$AZ$1000,0,IFERROR(MATCH(AI$5,'Oxford Economics'!$A$6:$AZ$6,0),MATCH(AI$5&amp;"",'Oxford Economics'!$A$6:$AZ$6,0))),'Oxford Economics'!$A$7:$A$1000,$C27,'Oxford Economics'!$B$7:$B$1000,Settings!$B$16)+IF(Settings!$B$18="",0,SUMIFS(INDEX('Oxford Economics'!$A$7:$AZ$1000,0,IFERROR(MATCH(AI$5,'Oxford Economics'!$A$6:$AZ$6,0),MATCH(AI$5&amp;"",'Oxford Economics'!$A$6:$AZ$6,0))),'Oxford Economics'!$A$7:$A$1000,$C27,'Oxford Economics'!$B$7:$B$1000,Settings!$B$18)))),""))</f>
        <v>14626.24</v>
      </c>
      <c r="AJ27" s="38" t="n">
        <f aca="false">IF($A27="","",IFERROR(1/(1/IF($B27="Residential",SUMIFS(INDEX('Oxford Economics'!$A$7:$AZ$1000,0,IFERROR(MATCH(AJ$5,'Oxford Economics'!$A$6:$AZ$6,0),MATCH(AJ$5&amp;"",'Oxford Economics'!$A$6:$AZ$6,0))),'Oxford Economics'!$A$7:$A$1000,$C27,'Oxford Economics'!$B$7:$B$1000,Settings!$B$12)-SUMIFS(INDEX('Oxford Economics'!$A$7:$AZ$1000,0,IFERROR(MATCH(AJ$5,'Oxford Economics'!$A$6:$AZ$6,0),MATCH(AJ$5&amp;"",'Oxford Economics'!$A$6:$AZ$6,0))),'Oxford Economics'!$A$7:$A$1000,$C27,'Oxford Economics'!$B$7:$B$1000,Settings!$B$14),SUMIFS(INDEX('Oxford Economics'!$A$7:$AZ$1000,0,IFERROR(MATCH(AJ$5,'Oxford Economics'!$A$6:$AZ$6,0),MATCH(AJ$5&amp;"",'Oxford Economics'!$A$6:$AZ$6,0))),'Oxford Economics'!$A$7:$A$1000,$C27,'Oxford Economics'!$B$7:$B$1000,Settings!$B$14)+SUMIFS(INDEX('Oxford Economics'!$A$7:$AZ$1000,0,IFERROR(MATCH(AJ$5,'Oxford Economics'!$A$6:$AZ$6,0),MATCH(AJ$5&amp;"",'Oxford Economics'!$A$6:$AZ$6,0))),'Oxford Economics'!$A$7:$A$1000,$C27,'Oxford Economics'!$B$7:$B$1000,Settings!$B$16)+IF(Settings!$B$18="",0,SUMIFS(INDEX('Oxford Economics'!$A$7:$AZ$1000,0,IFERROR(MATCH(AJ$5,'Oxford Economics'!$A$6:$AZ$6,0),MATCH(AJ$5&amp;"",'Oxford Economics'!$A$6:$AZ$6,0))),'Oxford Economics'!$A$7:$A$1000,$C27,'Oxford Economics'!$B$7:$B$1000,Settings!$B$18)))),""))</f>
        <v>14949.98</v>
      </c>
      <c r="AK27" s="38" t="n">
        <f aca="false">IF($A27="","",IFERROR(1/(1/IF($B27="Residential",SUMIFS(INDEX('Oxford Economics'!$A$7:$AZ$1000,0,IFERROR(MATCH(AK$5,'Oxford Economics'!$A$6:$AZ$6,0),MATCH(AK$5&amp;"",'Oxford Economics'!$A$6:$AZ$6,0))),'Oxford Economics'!$A$7:$A$1000,$C27,'Oxford Economics'!$B$7:$B$1000,Settings!$B$12)-SUMIFS(INDEX('Oxford Economics'!$A$7:$AZ$1000,0,IFERROR(MATCH(AK$5,'Oxford Economics'!$A$6:$AZ$6,0),MATCH(AK$5&amp;"",'Oxford Economics'!$A$6:$AZ$6,0))),'Oxford Economics'!$A$7:$A$1000,$C27,'Oxford Economics'!$B$7:$B$1000,Settings!$B$14),SUMIFS(INDEX('Oxford Economics'!$A$7:$AZ$1000,0,IFERROR(MATCH(AK$5,'Oxford Economics'!$A$6:$AZ$6,0),MATCH(AK$5&amp;"",'Oxford Economics'!$A$6:$AZ$6,0))),'Oxford Economics'!$A$7:$A$1000,$C27,'Oxford Economics'!$B$7:$B$1000,Settings!$B$14)+SUMIFS(INDEX('Oxford Economics'!$A$7:$AZ$1000,0,IFERROR(MATCH(AK$5,'Oxford Economics'!$A$6:$AZ$6,0),MATCH(AK$5&amp;"",'Oxford Economics'!$A$6:$AZ$6,0))),'Oxford Economics'!$A$7:$A$1000,$C27,'Oxford Economics'!$B$7:$B$1000,Settings!$B$16)+IF(Settings!$B$18="",0,SUMIFS(INDEX('Oxford Economics'!$A$7:$AZ$1000,0,IFERROR(MATCH(AK$5,'Oxford Economics'!$A$6:$AZ$6,0),MATCH(AK$5&amp;"",'Oxford Economics'!$A$6:$AZ$6,0))),'Oxford Economics'!$A$7:$A$1000,$C27,'Oxford Economics'!$B$7:$B$1000,Settings!$B$18)))),""))</f>
        <v>15348.43</v>
      </c>
      <c r="AL27" s="38" t="n">
        <f aca="false">IF($A27="","",IFERROR(1/(1/IF($B27="Residential",SUMIFS(INDEX('Oxford Economics'!$A$7:$AZ$1000,0,IFERROR(MATCH(AL$5,'Oxford Economics'!$A$6:$AZ$6,0),MATCH(AL$5&amp;"",'Oxford Economics'!$A$6:$AZ$6,0))),'Oxford Economics'!$A$7:$A$1000,$C27,'Oxford Economics'!$B$7:$B$1000,Settings!$B$12)-SUMIFS(INDEX('Oxford Economics'!$A$7:$AZ$1000,0,IFERROR(MATCH(AL$5,'Oxford Economics'!$A$6:$AZ$6,0),MATCH(AL$5&amp;"",'Oxford Economics'!$A$6:$AZ$6,0))),'Oxford Economics'!$A$7:$A$1000,$C27,'Oxford Economics'!$B$7:$B$1000,Settings!$B$14),SUMIFS(INDEX('Oxford Economics'!$A$7:$AZ$1000,0,IFERROR(MATCH(AL$5,'Oxford Economics'!$A$6:$AZ$6,0),MATCH(AL$5&amp;"",'Oxford Economics'!$A$6:$AZ$6,0))),'Oxford Economics'!$A$7:$A$1000,$C27,'Oxford Economics'!$B$7:$B$1000,Settings!$B$14)+SUMIFS(INDEX('Oxford Economics'!$A$7:$AZ$1000,0,IFERROR(MATCH(AL$5,'Oxford Economics'!$A$6:$AZ$6,0),MATCH(AL$5&amp;"",'Oxford Economics'!$A$6:$AZ$6,0))),'Oxford Economics'!$A$7:$A$1000,$C27,'Oxford Economics'!$B$7:$B$1000,Settings!$B$16)+IF(Settings!$B$18="",0,SUMIFS(INDEX('Oxford Economics'!$A$7:$AZ$1000,0,IFERROR(MATCH(AL$5,'Oxford Economics'!$A$6:$AZ$6,0),MATCH(AL$5&amp;"",'Oxford Economics'!$A$6:$AZ$6,0))),'Oxford Economics'!$A$7:$A$1000,$C27,'Oxford Economics'!$B$7:$B$1000,Settings!$B$18)))),""))</f>
        <v>15743.09</v>
      </c>
      <c r="AM27" s="38" t="n">
        <f aca="false">IF($A27="","",IFERROR(1/(1/IF($B27="Residential",SUMIFS(INDEX('Oxford Economics'!$A$7:$AZ$1000,0,IFERROR(MATCH(AM$5,'Oxford Economics'!$A$6:$AZ$6,0),MATCH(AM$5&amp;"",'Oxford Economics'!$A$6:$AZ$6,0))),'Oxford Economics'!$A$7:$A$1000,$C27,'Oxford Economics'!$B$7:$B$1000,Settings!$B$12)-SUMIFS(INDEX('Oxford Economics'!$A$7:$AZ$1000,0,IFERROR(MATCH(AM$5,'Oxford Economics'!$A$6:$AZ$6,0),MATCH(AM$5&amp;"",'Oxford Economics'!$A$6:$AZ$6,0))),'Oxford Economics'!$A$7:$A$1000,$C27,'Oxford Economics'!$B$7:$B$1000,Settings!$B$14),SUMIFS(INDEX('Oxford Economics'!$A$7:$AZ$1000,0,IFERROR(MATCH(AM$5,'Oxford Economics'!$A$6:$AZ$6,0),MATCH(AM$5&amp;"",'Oxford Economics'!$A$6:$AZ$6,0))),'Oxford Economics'!$A$7:$A$1000,$C27,'Oxford Economics'!$B$7:$B$1000,Settings!$B$14)+SUMIFS(INDEX('Oxford Economics'!$A$7:$AZ$1000,0,IFERROR(MATCH(AM$5,'Oxford Economics'!$A$6:$AZ$6,0),MATCH(AM$5&amp;"",'Oxford Economics'!$A$6:$AZ$6,0))),'Oxford Economics'!$A$7:$A$1000,$C27,'Oxford Economics'!$B$7:$B$1000,Settings!$B$16)+IF(Settings!$B$18="",0,SUMIFS(INDEX('Oxford Economics'!$A$7:$AZ$1000,0,IFERROR(MATCH(AM$5,'Oxford Economics'!$A$6:$AZ$6,0),MATCH(AM$5&amp;"",'Oxford Economics'!$A$6:$AZ$6,0))),'Oxford Economics'!$A$7:$A$1000,$C27,'Oxford Economics'!$B$7:$B$1000,Settings!$B$18)))),""))</f>
        <v>16033.67</v>
      </c>
    </row>
    <row r="28" customFormat="false" ht="15" hidden="false" customHeight="false" outlineLevel="0" collapsed="false">
      <c r="A28" s="37" t="str">
        <f aca="false">IF('Raw data'!$A28="","",'Raw data'!$A28)</f>
        <v>Netherlands</v>
      </c>
      <c r="B28" s="37" t="str">
        <f aca="false">IF($A28="","",'Raw data'!$C28)</f>
        <v>Commercial</v>
      </c>
      <c r="C28" s="37" t="str">
        <f aca="false">IF($A28="","",IF('Raw data'!$E28="",$A28,'Raw data'!$E28))</f>
        <v>Netherlands</v>
      </c>
      <c r="D28" s="38" t="n">
        <f aca="false">IF($A28="","",IF(AND(ISNUMBER(P28),ISNUMBER(AB28)),P28+AB28,""))</f>
        <v>21787.12</v>
      </c>
      <c r="E28" s="38" t="n">
        <f aca="false">IF($A28="","",IF(AND(ISNUMBER(Q28),ISNUMBER(AC28)),Q28+AC28,""))</f>
        <v>22854</v>
      </c>
      <c r="F28" s="38" t="n">
        <f aca="false">IF($A28="","",IF(AND(ISNUMBER(R28),ISNUMBER(AD28)),R28+AD28,""))</f>
        <v>24521.4</v>
      </c>
      <c r="G28" s="38" t="n">
        <f aca="false">IF($A28="","",IF(AND(ISNUMBER(S28),ISNUMBER(AE28)),S28+AE28,""))</f>
        <v>24951.67</v>
      </c>
      <c r="H28" s="38" t="n">
        <f aca="false">IF($A28="","",IF(AND(ISNUMBER(T28),ISNUMBER(AF28)),T28+AF28,""))</f>
        <v>24357.49</v>
      </c>
      <c r="I28" s="38" t="n">
        <f aca="false">IF($A28="","",IF(AND(ISNUMBER(U28),ISNUMBER(AG28)),U28+AG28,""))</f>
        <v>24549.72</v>
      </c>
      <c r="J28" s="38" t="n">
        <f aca="false">IF($A28="","",IF(AND(ISNUMBER(V28),ISNUMBER(AH28)),V28+AH28,""))</f>
        <v>25206.79</v>
      </c>
      <c r="K28" s="38" t="n">
        <f aca="false">IF($A28="","",IF(AND(ISNUMBER(W28),ISNUMBER(AI28)),W28+AI28,""))</f>
        <v>25727.33</v>
      </c>
      <c r="L28" s="38" t="n">
        <f aca="false">IF($A28="","",IF(AND(ISNUMBER(X28),ISNUMBER(AJ28)),X28+AJ28,""))</f>
        <v>26569.27</v>
      </c>
      <c r="M28" s="38" t="n">
        <f aca="false">IF($A28="","",IF(AND(ISNUMBER(Y28),ISNUMBER(AK28)),Y28+AK28,""))</f>
        <v>27554.26</v>
      </c>
      <c r="N28" s="38" t="n">
        <f aca="false">IF($A28="","",IF(AND(ISNUMBER(Z28),ISNUMBER(AL28)),Z28+AL28,""))</f>
        <v>28415.94</v>
      </c>
      <c r="O28" s="38" t="n">
        <f aca="false">IF($A28="","",IF(AND(ISNUMBER(AA28),ISNUMBER(AM28)),AA28+AM28,""))</f>
        <v>29067.96</v>
      </c>
      <c r="P28" s="38" t="n">
        <f aca="false">IF($A28="","",IFERROR(1/(1/IF($B28="Residential",SUMIFS(INDEX('Oxford Economics'!$A$7:$AZ$1000,0,IFERROR(MATCH(P$5,'Oxford Economics'!$A$6:$AZ$6,0),MATCH(P$5&amp;"",'Oxford Economics'!$A$6:$AZ$6,0))),'Oxford Economics'!$A$7:$A$1000,$C28,'Oxford Economics'!$B$7:$B$1000,Settings!$B$13)-SUMIFS(INDEX('Oxford Economics'!$A$7:$AZ$1000,0,IFERROR(MATCH(P$5,'Oxford Economics'!$A$6:$AZ$6,0),MATCH(P$5&amp;"",'Oxford Economics'!$A$6:$AZ$6,0))),'Oxford Economics'!$A$7:$A$1000,$C28,'Oxford Economics'!$B$7:$B$1000,Settings!$B$15),SUMIFS(INDEX('Oxford Economics'!$A$7:$AZ$1000,0,IFERROR(MATCH(P$5,'Oxford Economics'!$A$6:$AZ$6,0),MATCH(P$5&amp;"",'Oxford Economics'!$A$6:$AZ$6,0))),'Oxford Economics'!$A$7:$A$1000,$C28,'Oxford Economics'!$B$7:$B$1000,Settings!$B$15)+SUMIFS(INDEX('Oxford Economics'!$A$7:$AZ$1000,0,IFERROR(MATCH(P$5,'Oxford Economics'!$A$6:$AZ$6,0),MATCH(P$5&amp;"",'Oxford Economics'!$A$6:$AZ$6,0))),'Oxford Economics'!$A$7:$A$1000,$C28,'Oxford Economics'!$B$7:$B$1000,Settings!$B$17)+IF(Settings!$B$19="",0,SUMIFS(INDEX('Oxford Economics'!$A$7:$AZ$1000,0,IFERROR(MATCH(P$5,'Oxford Economics'!$A$6:$AZ$6,0),MATCH(P$5&amp;"",'Oxford Economics'!$A$6:$AZ$6,0))),'Oxford Economics'!$A$7:$A$1000,$C28,'Oxford Economics'!$B$7:$B$1000,Settings!$B$19)))),""))</f>
        <v>10197.14</v>
      </c>
      <c r="Q28" s="38" t="n">
        <f aca="false">IF($A28="","",IFERROR(1/(1/IF($B28="Residential",SUMIFS(INDEX('Oxford Economics'!$A$7:$AZ$1000,0,IFERROR(MATCH(Q$5,'Oxford Economics'!$A$6:$AZ$6,0),MATCH(Q$5&amp;"",'Oxford Economics'!$A$6:$AZ$6,0))),'Oxford Economics'!$A$7:$A$1000,$C28,'Oxford Economics'!$B$7:$B$1000,Settings!$B$13)-SUMIFS(INDEX('Oxford Economics'!$A$7:$AZ$1000,0,IFERROR(MATCH(Q$5,'Oxford Economics'!$A$6:$AZ$6,0),MATCH(Q$5&amp;"",'Oxford Economics'!$A$6:$AZ$6,0))),'Oxford Economics'!$A$7:$A$1000,$C28,'Oxford Economics'!$B$7:$B$1000,Settings!$B$15),SUMIFS(INDEX('Oxford Economics'!$A$7:$AZ$1000,0,IFERROR(MATCH(Q$5,'Oxford Economics'!$A$6:$AZ$6,0),MATCH(Q$5&amp;"",'Oxford Economics'!$A$6:$AZ$6,0))),'Oxford Economics'!$A$7:$A$1000,$C28,'Oxford Economics'!$B$7:$B$1000,Settings!$B$15)+SUMIFS(INDEX('Oxford Economics'!$A$7:$AZ$1000,0,IFERROR(MATCH(Q$5,'Oxford Economics'!$A$6:$AZ$6,0),MATCH(Q$5&amp;"",'Oxford Economics'!$A$6:$AZ$6,0))),'Oxford Economics'!$A$7:$A$1000,$C28,'Oxford Economics'!$B$7:$B$1000,Settings!$B$17)+IF(Settings!$B$19="",0,SUMIFS(INDEX('Oxford Economics'!$A$7:$AZ$1000,0,IFERROR(MATCH(Q$5,'Oxford Economics'!$A$6:$AZ$6,0),MATCH(Q$5&amp;"",'Oxford Economics'!$A$6:$AZ$6,0))),'Oxford Economics'!$A$7:$A$1000,$C28,'Oxford Economics'!$B$7:$B$1000,Settings!$B$19)))),""))</f>
        <v>9893.21</v>
      </c>
      <c r="R28" s="38" t="n">
        <f aca="false">IF($A28="","",IFERROR(1/(1/IF($B28="Residential",SUMIFS(INDEX('Oxford Economics'!$A$7:$AZ$1000,0,IFERROR(MATCH(R$5,'Oxford Economics'!$A$6:$AZ$6,0),MATCH(R$5&amp;"",'Oxford Economics'!$A$6:$AZ$6,0))),'Oxford Economics'!$A$7:$A$1000,$C28,'Oxford Economics'!$B$7:$B$1000,Settings!$B$13)-SUMIFS(INDEX('Oxford Economics'!$A$7:$AZ$1000,0,IFERROR(MATCH(R$5,'Oxford Economics'!$A$6:$AZ$6,0),MATCH(R$5&amp;"",'Oxford Economics'!$A$6:$AZ$6,0))),'Oxford Economics'!$A$7:$A$1000,$C28,'Oxford Economics'!$B$7:$B$1000,Settings!$B$15),SUMIFS(INDEX('Oxford Economics'!$A$7:$AZ$1000,0,IFERROR(MATCH(R$5,'Oxford Economics'!$A$6:$AZ$6,0),MATCH(R$5&amp;"",'Oxford Economics'!$A$6:$AZ$6,0))),'Oxford Economics'!$A$7:$A$1000,$C28,'Oxford Economics'!$B$7:$B$1000,Settings!$B$15)+SUMIFS(INDEX('Oxford Economics'!$A$7:$AZ$1000,0,IFERROR(MATCH(R$5,'Oxford Economics'!$A$6:$AZ$6,0),MATCH(R$5&amp;"",'Oxford Economics'!$A$6:$AZ$6,0))),'Oxford Economics'!$A$7:$A$1000,$C28,'Oxford Economics'!$B$7:$B$1000,Settings!$B$17)+IF(Settings!$B$19="",0,SUMIFS(INDEX('Oxford Economics'!$A$7:$AZ$1000,0,IFERROR(MATCH(R$5,'Oxford Economics'!$A$6:$AZ$6,0),MATCH(R$5&amp;"",'Oxford Economics'!$A$6:$AZ$6,0))),'Oxford Economics'!$A$7:$A$1000,$C28,'Oxford Economics'!$B$7:$B$1000,Settings!$B$19)))),""))</f>
        <v>10252.18</v>
      </c>
      <c r="S28" s="38" t="n">
        <f aca="false">IF($A28="","",IFERROR(1/(1/IF($B28="Residential",SUMIFS(INDEX('Oxford Economics'!$A$7:$AZ$1000,0,IFERROR(MATCH(S$5,'Oxford Economics'!$A$6:$AZ$6,0),MATCH(S$5&amp;"",'Oxford Economics'!$A$6:$AZ$6,0))),'Oxford Economics'!$A$7:$A$1000,$C28,'Oxford Economics'!$B$7:$B$1000,Settings!$B$13)-SUMIFS(INDEX('Oxford Economics'!$A$7:$AZ$1000,0,IFERROR(MATCH(S$5,'Oxford Economics'!$A$6:$AZ$6,0),MATCH(S$5&amp;"",'Oxford Economics'!$A$6:$AZ$6,0))),'Oxford Economics'!$A$7:$A$1000,$C28,'Oxford Economics'!$B$7:$B$1000,Settings!$B$15),SUMIFS(INDEX('Oxford Economics'!$A$7:$AZ$1000,0,IFERROR(MATCH(S$5,'Oxford Economics'!$A$6:$AZ$6,0),MATCH(S$5&amp;"",'Oxford Economics'!$A$6:$AZ$6,0))),'Oxford Economics'!$A$7:$A$1000,$C28,'Oxford Economics'!$B$7:$B$1000,Settings!$B$15)+SUMIFS(INDEX('Oxford Economics'!$A$7:$AZ$1000,0,IFERROR(MATCH(S$5,'Oxford Economics'!$A$6:$AZ$6,0),MATCH(S$5&amp;"",'Oxford Economics'!$A$6:$AZ$6,0))),'Oxford Economics'!$A$7:$A$1000,$C28,'Oxford Economics'!$B$7:$B$1000,Settings!$B$17)+IF(Settings!$B$19="",0,SUMIFS(INDEX('Oxford Economics'!$A$7:$AZ$1000,0,IFERROR(MATCH(S$5,'Oxford Economics'!$A$6:$AZ$6,0),MATCH(S$5&amp;"",'Oxford Economics'!$A$6:$AZ$6,0))),'Oxford Economics'!$A$7:$A$1000,$C28,'Oxford Economics'!$B$7:$B$1000,Settings!$B$19)))),""))</f>
        <v>10040.45</v>
      </c>
      <c r="T28" s="38" t="n">
        <f aca="false">IF($A28="","",IFERROR(1/(1/IF($B28="Residential",SUMIFS(INDEX('Oxford Economics'!$A$7:$AZ$1000,0,IFERROR(MATCH(T$5,'Oxford Economics'!$A$6:$AZ$6,0),MATCH(T$5&amp;"",'Oxford Economics'!$A$6:$AZ$6,0))),'Oxford Economics'!$A$7:$A$1000,$C28,'Oxford Economics'!$B$7:$B$1000,Settings!$B$13)-SUMIFS(INDEX('Oxford Economics'!$A$7:$AZ$1000,0,IFERROR(MATCH(T$5,'Oxford Economics'!$A$6:$AZ$6,0),MATCH(T$5&amp;"",'Oxford Economics'!$A$6:$AZ$6,0))),'Oxford Economics'!$A$7:$A$1000,$C28,'Oxford Economics'!$B$7:$B$1000,Settings!$B$15),SUMIFS(INDEX('Oxford Economics'!$A$7:$AZ$1000,0,IFERROR(MATCH(T$5,'Oxford Economics'!$A$6:$AZ$6,0),MATCH(T$5&amp;"",'Oxford Economics'!$A$6:$AZ$6,0))),'Oxford Economics'!$A$7:$A$1000,$C28,'Oxford Economics'!$B$7:$B$1000,Settings!$B$15)+SUMIFS(INDEX('Oxford Economics'!$A$7:$AZ$1000,0,IFERROR(MATCH(T$5,'Oxford Economics'!$A$6:$AZ$6,0),MATCH(T$5&amp;"",'Oxford Economics'!$A$6:$AZ$6,0))),'Oxford Economics'!$A$7:$A$1000,$C28,'Oxford Economics'!$B$7:$B$1000,Settings!$B$17)+IF(Settings!$B$19="",0,SUMIFS(INDEX('Oxford Economics'!$A$7:$AZ$1000,0,IFERROR(MATCH(T$5,'Oxford Economics'!$A$6:$AZ$6,0),MATCH(T$5&amp;"",'Oxford Economics'!$A$6:$AZ$6,0))),'Oxford Economics'!$A$7:$A$1000,$C28,'Oxford Economics'!$B$7:$B$1000,Settings!$B$19)))),""))</f>
        <v>10456.64</v>
      </c>
      <c r="U28" s="38" t="n">
        <f aca="false">IF($A28="","",IFERROR(1/(1/IF($B28="Residential",SUMIFS(INDEX('Oxford Economics'!$A$7:$AZ$1000,0,IFERROR(MATCH(U$5,'Oxford Economics'!$A$6:$AZ$6,0),MATCH(U$5&amp;"",'Oxford Economics'!$A$6:$AZ$6,0))),'Oxford Economics'!$A$7:$A$1000,$C28,'Oxford Economics'!$B$7:$B$1000,Settings!$B$13)-SUMIFS(INDEX('Oxford Economics'!$A$7:$AZ$1000,0,IFERROR(MATCH(U$5,'Oxford Economics'!$A$6:$AZ$6,0),MATCH(U$5&amp;"",'Oxford Economics'!$A$6:$AZ$6,0))),'Oxford Economics'!$A$7:$A$1000,$C28,'Oxford Economics'!$B$7:$B$1000,Settings!$B$15),SUMIFS(INDEX('Oxford Economics'!$A$7:$AZ$1000,0,IFERROR(MATCH(U$5,'Oxford Economics'!$A$6:$AZ$6,0),MATCH(U$5&amp;"",'Oxford Economics'!$A$6:$AZ$6,0))),'Oxford Economics'!$A$7:$A$1000,$C28,'Oxford Economics'!$B$7:$B$1000,Settings!$B$15)+SUMIFS(INDEX('Oxford Economics'!$A$7:$AZ$1000,0,IFERROR(MATCH(U$5,'Oxford Economics'!$A$6:$AZ$6,0),MATCH(U$5&amp;"",'Oxford Economics'!$A$6:$AZ$6,0))),'Oxford Economics'!$A$7:$A$1000,$C28,'Oxford Economics'!$B$7:$B$1000,Settings!$B$17)+IF(Settings!$B$19="",0,SUMIFS(INDEX('Oxford Economics'!$A$7:$AZ$1000,0,IFERROR(MATCH(U$5,'Oxford Economics'!$A$6:$AZ$6,0),MATCH(U$5&amp;"",'Oxford Economics'!$A$6:$AZ$6,0))),'Oxford Economics'!$A$7:$A$1000,$C28,'Oxford Economics'!$B$7:$B$1000,Settings!$B$19)))),""))</f>
        <v>10555.11</v>
      </c>
      <c r="V28" s="38" t="n">
        <f aca="false">IF($A28="","",IFERROR(1/(1/IF($B28="Residential",SUMIFS(INDEX('Oxford Economics'!$A$7:$AZ$1000,0,IFERROR(MATCH(V$5,'Oxford Economics'!$A$6:$AZ$6,0),MATCH(V$5&amp;"",'Oxford Economics'!$A$6:$AZ$6,0))),'Oxford Economics'!$A$7:$A$1000,$C28,'Oxford Economics'!$B$7:$B$1000,Settings!$B$13)-SUMIFS(INDEX('Oxford Economics'!$A$7:$AZ$1000,0,IFERROR(MATCH(V$5,'Oxford Economics'!$A$6:$AZ$6,0),MATCH(V$5&amp;"",'Oxford Economics'!$A$6:$AZ$6,0))),'Oxford Economics'!$A$7:$A$1000,$C28,'Oxford Economics'!$B$7:$B$1000,Settings!$B$15),SUMIFS(INDEX('Oxford Economics'!$A$7:$AZ$1000,0,IFERROR(MATCH(V$5,'Oxford Economics'!$A$6:$AZ$6,0),MATCH(V$5&amp;"",'Oxford Economics'!$A$6:$AZ$6,0))),'Oxford Economics'!$A$7:$A$1000,$C28,'Oxford Economics'!$B$7:$B$1000,Settings!$B$15)+SUMIFS(INDEX('Oxford Economics'!$A$7:$AZ$1000,0,IFERROR(MATCH(V$5,'Oxford Economics'!$A$6:$AZ$6,0),MATCH(V$5&amp;"",'Oxford Economics'!$A$6:$AZ$6,0))),'Oxford Economics'!$A$7:$A$1000,$C28,'Oxford Economics'!$B$7:$B$1000,Settings!$B$17)+IF(Settings!$B$19="",0,SUMIFS(INDEX('Oxford Economics'!$A$7:$AZ$1000,0,IFERROR(MATCH(V$5,'Oxford Economics'!$A$6:$AZ$6,0),MATCH(V$5&amp;"",'Oxford Economics'!$A$6:$AZ$6,0))),'Oxford Economics'!$A$7:$A$1000,$C28,'Oxford Economics'!$B$7:$B$1000,Settings!$B$19)))),""))</f>
        <v>10821.9</v>
      </c>
      <c r="W28" s="38" t="n">
        <f aca="false">IF($A28="","",IFERROR(1/(1/IF($B28="Residential",SUMIFS(INDEX('Oxford Economics'!$A$7:$AZ$1000,0,IFERROR(MATCH(W$5,'Oxford Economics'!$A$6:$AZ$6,0),MATCH(W$5&amp;"",'Oxford Economics'!$A$6:$AZ$6,0))),'Oxford Economics'!$A$7:$A$1000,$C28,'Oxford Economics'!$B$7:$B$1000,Settings!$B$13)-SUMIFS(INDEX('Oxford Economics'!$A$7:$AZ$1000,0,IFERROR(MATCH(W$5,'Oxford Economics'!$A$6:$AZ$6,0),MATCH(W$5&amp;"",'Oxford Economics'!$A$6:$AZ$6,0))),'Oxford Economics'!$A$7:$A$1000,$C28,'Oxford Economics'!$B$7:$B$1000,Settings!$B$15),SUMIFS(INDEX('Oxford Economics'!$A$7:$AZ$1000,0,IFERROR(MATCH(W$5,'Oxford Economics'!$A$6:$AZ$6,0),MATCH(W$5&amp;"",'Oxford Economics'!$A$6:$AZ$6,0))),'Oxford Economics'!$A$7:$A$1000,$C28,'Oxford Economics'!$B$7:$B$1000,Settings!$B$15)+SUMIFS(INDEX('Oxford Economics'!$A$7:$AZ$1000,0,IFERROR(MATCH(W$5,'Oxford Economics'!$A$6:$AZ$6,0),MATCH(W$5&amp;"",'Oxford Economics'!$A$6:$AZ$6,0))),'Oxford Economics'!$A$7:$A$1000,$C28,'Oxford Economics'!$B$7:$B$1000,Settings!$B$17)+IF(Settings!$B$19="",0,SUMIFS(INDEX('Oxford Economics'!$A$7:$AZ$1000,0,IFERROR(MATCH(W$5,'Oxford Economics'!$A$6:$AZ$6,0),MATCH(W$5&amp;"",'Oxford Economics'!$A$6:$AZ$6,0))),'Oxford Economics'!$A$7:$A$1000,$C28,'Oxford Economics'!$B$7:$B$1000,Settings!$B$19)))),""))</f>
        <v>11101.09</v>
      </c>
      <c r="X28" s="38" t="n">
        <f aca="false">IF($A28="","",IFERROR(1/(1/IF($B28="Residential",SUMIFS(INDEX('Oxford Economics'!$A$7:$AZ$1000,0,IFERROR(MATCH(X$5,'Oxford Economics'!$A$6:$AZ$6,0),MATCH(X$5&amp;"",'Oxford Economics'!$A$6:$AZ$6,0))),'Oxford Economics'!$A$7:$A$1000,$C28,'Oxford Economics'!$B$7:$B$1000,Settings!$B$13)-SUMIFS(INDEX('Oxford Economics'!$A$7:$AZ$1000,0,IFERROR(MATCH(X$5,'Oxford Economics'!$A$6:$AZ$6,0),MATCH(X$5&amp;"",'Oxford Economics'!$A$6:$AZ$6,0))),'Oxford Economics'!$A$7:$A$1000,$C28,'Oxford Economics'!$B$7:$B$1000,Settings!$B$15),SUMIFS(INDEX('Oxford Economics'!$A$7:$AZ$1000,0,IFERROR(MATCH(X$5,'Oxford Economics'!$A$6:$AZ$6,0),MATCH(X$5&amp;"",'Oxford Economics'!$A$6:$AZ$6,0))),'Oxford Economics'!$A$7:$A$1000,$C28,'Oxford Economics'!$B$7:$B$1000,Settings!$B$15)+SUMIFS(INDEX('Oxford Economics'!$A$7:$AZ$1000,0,IFERROR(MATCH(X$5,'Oxford Economics'!$A$6:$AZ$6,0),MATCH(X$5&amp;"",'Oxford Economics'!$A$6:$AZ$6,0))),'Oxford Economics'!$A$7:$A$1000,$C28,'Oxford Economics'!$B$7:$B$1000,Settings!$B$17)+IF(Settings!$B$19="",0,SUMIFS(INDEX('Oxford Economics'!$A$7:$AZ$1000,0,IFERROR(MATCH(X$5,'Oxford Economics'!$A$6:$AZ$6,0),MATCH(X$5&amp;"",'Oxford Economics'!$A$6:$AZ$6,0))),'Oxford Economics'!$A$7:$A$1000,$C28,'Oxford Economics'!$B$7:$B$1000,Settings!$B$19)))),""))</f>
        <v>11619.29</v>
      </c>
      <c r="Y28" s="38" t="n">
        <f aca="false">IF($A28="","",IFERROR(1/(1/IF($B28="Residential",SUMIFS(INDEX('Oxford Economics'!$A$7:$AZ$1000,0,IFERROR(MATCH(Y$5,'Oxford Economics'!$A$6:$AZ$6,0),MATCH(Y$5&amp;"",'Oxford Economics'!$A$6:$AZ$6,0))),'Oxford Economics'!$A$7:$A$1000,$C28,'Oxford Economics'!$B$7:$B$1000,Settings!$B$13)-SUMIFS(INDEX('Oxford Economics'!$A$7:$AZ$1000,0,IFERROR(MATCH(Y$5,'Oxford Economics'!$A$6:$AZ$6,0),MATCH(Y$5&amp;"",'Oxford Economics'!$A$6:$AZ$6,0))),'Oxford Economics'!$A$7:$A$1000,$C28,'Oxford Economics'!$B$7:$B$1000,Settings!$B$15),SUMIFS(INDEX('Oxford Economics'!$A$7:$AZ$1000,0,IFERROR(MATCH(Y$5,'Oxford Economics'!$A$6:$AZ$6,0),MATCH(Y$5&amp;"",'Oxford Economics'!$A$6:$AZ$6,0))),'Oxford Economics'!$A$7:$A$1000,$C28,'Oxford Economics'!$B$7:$B$1000,Settings!$B$15)+SUMIFS(INDEX('Oxford Economics'!$A$7:$AZ$1000,0,IFERROR(MATCH(Y$5,'Oxford Economics'!$A$6:$AZ$6,0),MATCH(Y$5&amp;"",'Oxford Economics'!$A$6:$AZ$6,0))),'Oxford Economics'!$A$7:$A$1000,$C28,'Oxford Economics'!$B$7:$B$1000,Settings!$B$17)+IF(Settings!$B$19="",0,SUMIFS(INDEX('Oxford Economics'!$A$7:$AZ$1000,0,IFERROR(MATCH(Y$5,'Oxford Economics'!$A$6:$AZ$6,0),MATCH(Y$5&amp;"",'Oxford Economics'!$A$6:$AZ$6,0))),'Oxford Economics'!$A$7:$A$1000,$C28,'Oxford Economics'!$B$7:$B$1000,Settings!$B$19)))),""))</f>
        <v>12205.83</v>
      </c>
      <c r="Z28" s="38" t="n">
        <f aca="false">IF($A28="","",IFERROR(1/(1/IF($B28="Residential",SUMIFS(INDEX('Oxford Economics'!$A$7:$AZ$1000,0,IFERROR(MATCH(Z$5,'Oxford Economics'!$A$6:$AZ$6,0),MATCH(Z$5&amp;"",'Oxford Economics'!$A$6:$AZ$6,0))),'Oxford Economics'!$A$7:$A$1000,$C28,'Oxford Economics'!$B$7:$B$1000,Settings!$B$13)-SUMIFS(INDEX('Oxford Economics'!$A$7:$AZ$1000,0,IFERROR(MATCH(Z$5,'Oxford Economics'!$A$6:$AZ$6,0),MATCH(Z$5&amp;"",'Oxford Economics'!$A$6:$AZ$6,0))),'Oxford Economics'!$A$7:$A$1000,$C28,'Oxford Economics'!$B$7:$B$1000,Settings!$B$15),SUMIFS(INDEX('Oxford Economics'!$A$7:$AZ$1000,0,IFERROR(MATCH(Z$5,'Oxford Economics'!$A$6:$AZ$6,0),MATCH(Z$5&amp;"",'Oxford Economics'!$A$6:$AZ$6,0))),'Oxford Economics'!$A$7:$A$1000,$C28,'Oxford Economics'!$B$7:$B$1000,Settings!$B$15)+SUMIFS(INDEX('Oxford Economics'!$A$7:$AZ$1000,0,IFERROR(MATCH(Z$5,'Oxford Economics'!$A$6:$AZ$6,0),MATCH(Z$5&amp;"",'Oxford Economics'!$A$6:$AZ$6,0))),'Oxford Economics'!$A$7:$A$1000,$C28,'Oxford Economics'!$B$7:$B$1000,Settings!$B$17)+IF(Settings!$B$19="",0,SUMIFS(INDEX('Oxford Economics'!$A$7:$AZ$1000,0,IFERROR(MATCH(Z$5,'Oxford Economics'!$A$6:$AZ$6,0),MATCH(Z$5&amp;"",'Oxford Economics'!$A$6:$AZ$6,0))),'Oxford Economics'!$A$7:$A$1000,$C28,'Oxford Economics'!$B$7:$B$1000,Settings!$B$19)))),""))</f>
        <v>12672.85</v>
      </c>
      <c r="AA28" s="38" t="n">
        <f aca="false">IF($A28="","",IFERROR(1/(1/IF($B28="Residential",SUMIFS(INDEX('Oxford Economics'!$A$7:$AZ$1000,0,IFERROR(MATCH(AA$5,'Oxford Economics'!$A$6:$AZ$6,0),MATCH(AA$5&amp;"",'Oxford Economics'!$A$6:$AZ$6,0))),'Oxford Economics'!$A$7:$A$1000,$C28,'Oxford Economics'!$B$7:$B$1000,Settings!$B$13)-SUMIFS(INDEX('Oxford Economics'!$A$7:$AZ$1000,0,IFERROR(MATCH(AA$5,'Oxford Economics'!$A$6:$AZ$6,0),MATCH(AA$5&amp;"",'Oxford Economics'!$A$6:$AZ$6,0))),'Oxford Economics'!$A$7:$A$1000,$C28,'Oxford Economics'!$B$7:$B$1000,Settings!$B$15),SUMIFS(INDEX('Oxford Economics'!$A$7:$AZ$1000,0,IFERROR(MATCH(AA$5,'Oxford Economics'!$A$6:$AZ$6,0),MATCH(AA$5&amp;"",'Oxford Economics'!$A$6:$AZ$6,0))),'Oxford Economics'!$A$7:$A$1000,$C28,'Oxford Economics'!$B$7:$B$1000,Settings!$B$15)+SUMIFS(INDEX('Oxford Economics'!$A$7:$AZ$1000,0,IFERROR(MATCH(AA$5,'Oxford Economics'!$A$6:$AZ$6,0),MATCH(AA$5&amp;"",'Oxford Economics'!$A$6:$AZ$6,0))),'Oxford Economics'!$A$7:$A$1000,$C28,'Oxford Economics'!$B$7:$B$1000,Settings!$B$17)+IF(Settings!$B$19="",0,SUMIFS(INDEX('Oxford Economics'!$A$7:$AZ$1000,0,IFERROR(MATCH(AA$5,'Oxford Economics'!$A$6:$AZ$6,0),MATCH(AA$5&amp;"",'Oxford Economics'!$A$6:$AZ$6,0))),'Oxford Economics'!$A$7:$A$1000,$C28,'Oxford Economics'!$B$7:$B$1000,Settings!$B$19)))),""))</f>
        <v>13034.29</v>
      </c>
      <c r="AB28" s="38" t="n">
        <f aca="false">IF($A28="","",IFERROR(1/(1/IF($B28="Residential",SUMIFS(INDEX('Oxford Economics'!$A$7:$AZ$1000,0,IFERROR(MATCH(AB$5,'Oxford Economics'!$A$6:$AZ$6,0),MATCH(AB$5&amp;"",'Oxford Economics'!$A$6:$AZ$6,0))),'Oxford Economics'!$A$7:$A$1000,$C28,'Oxford Economics'!$B$7:$B$1000,Settings!$B$12)-SUMIFS(INDEX('Oxford Economics'!$A$7:$AZ$1000,0,IFERROR(MATCH(AB$5,'Oxford Economics'!$A$6:$AZ$6,0),MATCH(AB$5&amp;"",'Oxford Economics'!$A$6:$AZ$6,0))),'Oxford Economics'!$A$7:$A$1000,$C28,'Oxford Economics'!$B$7:$B$1000,Settings!$B$14),SUMIFS(INDEX('Oxford Economics'!$A$7:$AZ$1000,0,IFERROR(MATCH(AB$5,'Oxford Economics'!$A$6:$AZ$6,0),MATCH(AB$5&amp;"",'Oxford Economics'!$A$6:$AZ$6,0))),'Oxford Economics'!$A$7:$A$1000,$C28,'Oxford Economics'!$B$7:$B$1000,Settings!$B$14)+SUMIFS(INDEX('Oxford Economics'!$A$7:$AZ$1000,0,IFERROR(MATCH(AB$5,'Oxford Economics'!$A$6:$AZ$6,0),MATCH(AB$5&amp;"",'Oxford Economics'!$A$6:$AZ$6,0))),'Oxford Economics'!$A$7:$A$1000,$C28,'Oxford Economics'!$B$7:$B$1000,Settings!$B$16)+IF(Settings!$B$18="",0,SUMIFS(INDEX('Oxford Economics'!$A$7:$AZ$1000,0,IFERROR(MATCH(AB$5,'Oxford Economics'!$A$6:$AZ$6,0),MATCH(AB$5&amp;"",'Oxford Economics'!$A$6:$AZ$6,0))),'Oxford Economics'!$A$7:$A$1000,$C28,'Oxford Economics'!$B$7:$B$1000,Settings!$B$18)))),""))</f>
        <v>11589.98</v>
      </c>
      <c r="AC28" s="38" t="n">
        <f aca="false">IF($A28="","",IFERROR(1/(1/IF($B28="Residential",SUMIFS(INDEX('Oxford Economics'!$A$7:$AZ$1000,0,IFERROR(MATCH(AC$5,'Oxford Economics'!$A$6:$AZ$6,0),MATCH(AC$5&amp;"",'Oxford Economics'!$A$6:$AZ$6,0))),'Oxford Economics'!$A$7:$A$1000,$C28,'Oxford Economics'!$B$7:$B$1000,Settings!$B$12)-SUMIFS(INDEX('Oxford Economics'!$A$7:$AZ$1000,0,IFERROR(MATCH(AC$5,'Oxford Economics'!$A$6:$AZ$6,0),MATCH(AC$5&amp;"",'Oxford Economics'!$A$6:$AZ$6,0))),'Oxford Economics'!$A$7:$A$1000,$C28,'Oxford Economics'!$B$7:$B$1000,Settings!$B$14),SUMIFS(INDEX('Oxford Economics'!$A$7:$AZ$1000,0,IFERROR(MATCH(AC$5,'Oxford Economics'!$A$6:$AZ$6,0),MATCH(AC$5&amp;"",'Oxford Economics'!$A$6:$AZ$6,0))),'Oxford Economics'!$A$7:$A$1000,$C28,'Oxford Economics'!$B$7:$B$1000,Settings!$B$14)+SUMIFS(INDEX('Oxford Economics'!$A$7:$AZ$1000,0,IFERROR(MATCH(AC$5,'Oxford Economics'!$A$6:$AZ$6,0),MATCH(AC$5&amp;"",'Oxford Economics'!$A$6:$AZ$6,0))),'Oxford Economics'!$A$7:$A$1000,$C28,'Oxford Economics'!$B$7:$B$1000,Settings!$B$16)+IF(Settings!$B$18="",0,SUMIFS(INDEX('Oxford Economics'!$A$7:$AZ$1000,0,IFERROR(MATCH(AC$5,'Oxford Economics'!$A$6:$AZ$6,0),MATCH(AC$5&amp;"",'Oxford Economics'!$A$6:$AZ$6,0))),'Oxford Economics'!$A$7:$A$1000,$C28,'Oxford Economics'!$B$7:$B$1000,Settings!$B$18)))),""))</f>
        <v>12960.79</v>
      </c>
      <c r="AD28" s="38" t="n">
        <f aca="false">IF($A28="","",IFERROR(1/(1/IF($B28="Residential",SUMIFS(INDEX('Oxford Economics'!$A$7:$AZ$1000,0,IFERROR(MATCH(AD$5,'Oxford Economics'!$A$6:$AZ$6,0),MATCH(AD$5&amp;"",'Oxford Economics'!$A$6:$AZ$6,0))),'Oxford Economics'!$A$7:$A$1000,$C28,'Oxford Economics'!$B$7:$B$1000,Settings!$B$12)-SUMIFS(INDEX('Oxford Economics'!$A$7:$AZ$1000,0,IFERROR(MATCH(AD$5,'Oxford Economics'!$A$6:$AZ$6,0),MATCH(AD$5&amp;"",'Oxford Economics'!$A$6:$AZ$6,0))),'Oxford Economics'!$A$7:$A$1000,$C28,'Oxford Economics'!$B$7:$B$1000,Settings!$B$14),SUMIFS(INDEX('Oxford Economics'!$A$7:$AZ$1000,0,IFERROR(MATCH(AD$5,'Oxford Economics'!$A$6:$AZ$6,0),MATCH(AD$5&amp;"",'Oxford Economics'!$A$6:$AZ$6,0))),'Oxford Economics'!$A$7:$A$1000,$C28,'Oxford Economics'!$B$7:$B$1000,Settings!$B$14)+SUMIFS(INDEX('Oxford Economics'!$A$7:$AZ$1000,0,IFERROR(MATCH(AD$5,'Oxford Economics'!$A$6:$AZ$6,0),MATCH(AD$5&amp;"",'Oxford Economics'!$A$6:$AZ$6,0))),'Oxford Economics'!$A$7:$A$1000,$C28,'Oxford Economics'!$B$7:$B$1000,Settings!$B$16)+IF(Settings!$B$18="",0,SUMIFS(INDEX('Oxford Economics'!$A$7:$AZ$1000,0,IFERROR(MATCH(AD$5,'Oxford Economics'!$A$6:$AZ$6,0),MATCH(AD$5&amp;"",'Oxford Economics'!$A$6:$AZ$6,0))),'Oxford Economics'!$A$7:$A$1000,$C28,'Oxford Economics'!$B$7:$B$1000,Settings!$B$18)))),""))</f>
        <v>14269.22</v>
      </c>
      <c r="AE28" s="38" t="n">
        <f aca="false">IF($A28="","",IFERROR(1/(1/IF($B28="Residential",SUMIFS(INDEX('Oxford Economics'!$A$7:$AZ$1000,0,IFERROR(MATCH(AE$5,'Oxford Economics'!$A$6:$AZ$6,0),MATCH(AE$5&amp;"",'Oxford Economics'!$A$6:$AZ$6,0))),'Oxford Economics'!$A$7:$A$1000,$C28,'Oxford Economics'!$B$7:$B$1000,Settings!$B$12)-SUMIFS(INDEX('Oxford Economics'!$A$7:$AZ$1000,0,IFERROR(MATCH(AE$5,'Oxford Economics'!$A$6:$AZ$6,0),MATCH(AE$5&amp;"",'Oxford Economics'!$A$6:$AZ$6,0))),'Oxford Economics'!$A$7:$A$1000,$C28,'Oxford Economics'!$B$7:$B$1000,Settings!$B$14),SUMIFS(INDEX('Oxford Economics'!$A$7:$AZ$1000,0,IFERROR(MATCH(AE$5,'Oxford Economics'!$A$6:$AZ$6,0),MATCH(AE$5&amp;"",'Oxford Economics'!$A$6:$AZ$6,0))),'Oxford Economics'!$A$7:$A$1000,$C28,'Oxford Economics'!$B$7:$B$1000,Settings!$B$14)+SUMIFS(INDEX('Oxford Economics'!$A$7:$AZ$1000,0,IFERROR(MATCH(AE$5,'Oxford Economics'!$A$6:$AZ$6,0),MATCH(AE$5&amp;"",'Oxford Economics'!$A$6:$AZ$6,0))),'Oxford Economics'!$A$7:$A$1000,$C28,'Oxford Economics'!$B$7:$B$1000,Settings!$B$16)+IF(Settings!$B$18="",0,SUMIFS(INDEX('Oxford Economics'!$A$7:$AZ$1000,0,IFERROR(MATCH(AE$5,'Oxford Economics'!$A$6:$AZ$6,0),MATCH(AE$5&amp;"",'Oxford Economics'!$A$6:$AZ$6,0))),'Oxford Economics'!$A$7:$A$1000,$C28,'Oxford Economics'!$B$7:$B$1000,Settings!$B$18)))),""))</f>
        <v>14911.22</v>
      </c>
      <c r="AF28" s="38" t="n">
        <f aca="false">IF($A28="","",IFERROR(1/(1/IF($B28="Residential",SUMIFS(INDEX('Oxford Economics'!$A$7:$AZ$1000,0,IFERROR(MATCH(AF$5,'Oxford Economics'!$A$6:$AZ$6,0),MATCH(AF$5&amp;"",'Oxford Economics'!$A$6:$AZ$6,0))),'Oxford Economics'!$A$7:$A$1000,$C28,'Oxford Economics'!$B$7:$B$1000,Settings!$B$12)-SUMIFS(INDEX('Oxford Economics'!$A$7:$AZ$1000,0,IFERROR(MATCH(AF$5,'Oxford Economics'!$A$6:$AZ$6,0),MATCH(AF$5&amp;"",'Oxford Economics'!$A$6:$AZ$6,0))),'Oxford Economics'!$A$7:$A$1000,$C28,'Oxford Economics'!$B$7:$B$1000,Settings!$B$14),SUMIFS(INDEX('Oxford Economics'!$A$7:$AZ$1000,0,IFERROR(MATCH(AF$5,'Oxford Economics'!$A$6:$AZ$6,0),MATCH(AF$5&amp;"",'Oxford Economics'!$A$6:$AZ$6,0))),'Oxford Economics'!$A$7:$A$1000,$C28,'Oxford Economics'!$B$7:$B$1000,Settings!$B$14)+SUMIFS(INDEX('Oxford Economics'!$A$7:$AZ$1000,0,IFERROR(MATCH(AF$5,'Oxford Economics'!$A$6:$AZ$6,0),MATCH(AF$5&amp;"",'Oxford Economics'!$A$6:$AZ$6,0))),'Oxford Economics'!$A$7:$A$1000,$C28,'Oxford Economics'!$B$7:$B$1000,Settings!$B$16)+IF(Settings!$B$18="",0,SUMIFS(INDEX('Oxford Economics'!$A$7:$AZ$1000,0,IFERROR(MATCH(AF$5,'Oxford Economics'!$A$6:$AZ$6,0),MATCH(AF$5&amp;"",'Oxford Economics'!$A$6:$AZ$6,0))),'Oxford Economics'!$A$7:$A$1000,$C28,'Oxford Economics'!$B$7:$B$1000,Settings!$B$18)))),""))</f>
        <v>13900.85</v>
      </c>
      <c r="AG28" s="38" t="n">
        <f aca="false">IF($A28="","",IFERROR(1/(1/IF($B28="Residential",SUMIFS(INDEX('Oxford Economics'!$A$7:$AZ$1000,0,IFERROR(MATCH(AG$5,'Oxford Economics'!$A$6:$AZ$6,0),MATCH(AG$5&amp;"",'Oxford Economics'!$A$6:$AZ$6,0))),'Oxford Economics'!$A$7:$A$1000,$C28,'Oxford Economics'!$B$7:$B$1000,Settings!$B$12)-SUMIFS(INDEX('Oxford Economics'!$A$7:$AZ$1000,0,IFERROR(MATCH(AG$5,'Oxford Economics'!$A$6:$AZ$6,0),MATCH(AG$5&amp;"",'Oxford Economics'!$A$6:$AZ$6,0))),'Oxford Economics'!$A$7:$A$1000,$C28,'Oxford Economics'!$B$7:$B$1000,Settings!$B$14),SUMIFS(INDEX('Oxford Economics'!$A$7:$AZ$1000,0,IFERROR(MATCH(AG$5,'Oxford Economics'!$A$6:$AZ$6,0),MATCH(AG$5&amp;"",'Oxford Economics'!$A$6:$AZ$6,0))),'Oxford Economics'!$A$7:$A$1000,$C28,'Oxford Economics'!$B$7:$B$1000,Settings!$B$14)+SUMIFS(INDEX('Oxford Economics'!$A$7:$AZ$1000,0,IFERROR(MATCH(AG$5,'Oxford Economics'!$A$6:$AZ$6,0),MATCH(AG$5&amp;"",'Oxford Economics'!$A$6:$AZ$6,0))),'Oxford Economics'!$A$7:$A$1000,$C28,'Oxford Economics'!$B$7:$B$1000,Settings!$B$16)+IF(Settings!$B$18="",0,SUMIFS(INDEX('Oxford Economics'!$A$7:$AZ$1000,0,IFERROR(MATCH(AG$5,'Oxford Economics'!$A$6:$AZ$6,0),MATCH(AG$5&amp;"",'Oxford Economics'!$A$6:$AZ$6,0))),'Oxford Economics'!$A$7:$A$1000,$C28,'Oxford Economics'!$B$7:$B$1000,Settings!$B$18)))),""))</f>
        <v>13994.61</v>
      </c>
      <c r="AH28" s="38" t="n">
        <f aca="false">IF($A28="","",IFERROR(1/(1/IF($B28="Residential",SUMIFS(INDEX('Oxford Economics'!$A$7:$AZ$1000,0,IFERROR(MATCH(AH$5,'Oxford Economics'!$A$6:$AZ$6,0),MATCH(AH$5&amp;"",'Oxford Economics'!$A$6:$AZ$6,0))),'Oxford Economics'!$A$7:$A$1000,$C28,'Oxford Economics'!$B$7:$B$1000,Settings!$B$12)-SUMIFS(INDEX('Oxford Economics'!$A$7:$AZ$1000,0,IFERROR(MATCH(AH$5,'Oxford Economics'!$A$6:$AZ$6,0),MATCH(AH$5&amp;"",'Oxford Economics'!$A$6:$AZ$6,0))),'Oxford Economics'!$A$7:$A$1000,$C28,'Oxford Economics'!$B$7:$B$1000,Settings!$B$14),SUMIFS(INDEX('Oxford Economics'!$A$7:$AZ$1000,0,IFERROR(MATCH(AH$5,'Oxford Economics'!$A$6:$AZ$6,0),MATCH(AH$5&amp;"",'Oxford Economics'!$A$6:$AZ$6,0))),'Oxford Economics'!$A$7:$A$1000,$C28,'Oxford Economics'!$B$7:$B$1000,Settings!$B$14)+SUMIFS(INDEX('Oxford Economics'!$A$7:$AZ$1000,0,IFERROR(MATCH(AH$5,'Oxford Economics'!$A$6:$AZ$6,0),MATCH(AH$5&amp;"",'Oxford Economics'!$A$6:$AZ$6,0))),'Oxford Economics'!$A$7:$A$1000,$C28,'Oxford Economics'!$B$7:$B$1000,Settings!$B$16)+IF(Settings!$B$18="",0,SUMIFS(INDEX('Oxford Economics'!$A$7:$AZ$1000,0,IFERROR(MATCH(AH$5,'Oxford Economics'!$A$6:$AZ$6,0),MATCH(AH$5&amp;"",'Oxford Economics'!$A$6:$AZ$6,0))),'Oxford Economics'!$A$7:$A$1000,$C28,'Oxford Economics'!$B$7:$B$1000,Settings!$B$18)))),""))</f>
        <v>14384.89</v>
      </c>
      <c r="AI28" s="38" t="n">
        <f aca="false">IF($A28="","",IFERROR(1/(1/IF($B28="Residential",SUMIFS(INDEX('Oxford Economics'!$A$7:$AZ$1000,0,IFERROR(MATCH(AI$5,'Oxford Economics'!$A$6:$AZ$6,0),MATCH(AI$5&amp;"",'Oxford Economics'!$A$6:$AZ$6,0))),'Oxford Economics'!$A$7:$A$1000,$C28,'Oxford Economics'!$B$7:$B$1000,Settings!$B$12)-SUMIFS(INDEX('Oxford Economics'!$A$7:$AZ$1000,0,IFERROR(MATCH(AI$5,'Oxford Economics'!$A$6:$AZ$6,0),MATCH(AI$5&amp;"",'Oxford Economics'!$A$6:$AZ$6,0))),'Oxford Economics'!$A$7:$A$1000,$C28,'Oxford Economics'!$B$7:$B$1000,Settings!$B$14),SUMIFS(INDEX('Oxford Economics'!$A$7:$AZ$1000,0,IFERROR(MATCH(AI$5,'Oxford Economics'!$A$6:$AZ$6,0),MATCH(AI$5&amp;"",'Oxford Economics'!$A$6:$AZ$6,0))),'Oxford Economics'!$A$7:$A$1000,$C28,'Oxford Economics'!$B$7:$B$1000,Settings!$B$14)+SUMIFS(INDEX('Oxford Economics'!$A$7:$AZ$1000,0,IFERROR(MATCH(AI$5,'Oxford Economics'!$A$6:$AZ$6,0),MATCH(AI$5&amp;"",'Oxford Economics'!$A$6:$AZ$6,0))),'Oxford Economics'!$A$7:$A$1000,$C28,'Oxford Economics'!$B$7:$B$1000,Settings!$B$16)+IF(Settings!$B$18="",0,SUMIFS(INDEX('Oxford Economics'!$A$7:$AZ$1000,0,IFERROR(MATCH(AI$5,'Oxford Economics'!$A$6:$AZ$6,0),MATCH(AI$5&amp;"",'Oxford Economics'!$A$6:$AZ$6,0))),'Oxford Economics'!$A$7:$A$1000,$C28,'Oxford Economics'!$B$7:$B$1000,Settings!$B$18)))),""))</f>
        <v>14626.24</v>
      </c>
      <c r="AJ28" s="38" t="n">
        <f aca="false">IF($A28="","",IFERROR(1/(1/IF($B28="Residential",SUMIFS(INDEX('Oxford Economics'!$A$7:$AZ$1000,0,IFERROR(MATCH(AJ$5,'Oxford Economics'!$A$6:$AZ$6,0),MATCH(AJ$5&amp;"",'Oxford Economics'!$A$6:$AZ$6,0))),'Oxford Economics'!$A$7:$A$1000,$C28,'Oxford Economics'!$B$7:$B$1000,Settings!$B$12)-SUMIFS(INDEX('Oxford Economics'!$A$7:$AZ$1000,0,IFERROR(MATCH(AJ$5,'Oxford Economics'!$A$6:$AZ$6,0),MATCH(AJ$5&amp;"",'Oxford Economics'!$A$6:$AZ$6,0))),'Oxford Economics'!$A$7:$A$1000,$C28,'Oxford Economics'!$B$7:$B$1000,Settings!$B$14),SUMIFS(INDEX('Oxford Economics'!$A$7:$AZ$1000,0,IFERROR(MATCH(AJ$5,'Oxford Economics'!$A$6:$AZ$6,0),MATCH(AJ$5&amp;"",'Oxford Economics'!$A$6:$AZ$6,0))),'Oxford Economics'!$A$7:$A$1000,$C28,'Oxford Economics'!$B$7:$B$1000,Settings!$B$14)+SUMIFS(INDEX('Oxford Economics'!$A$7:$AZ$1000,0,IFERROR(MATCH(AJ$5,'Oxford Economics'!$A$6:$AZ$6,0),MATCH(AJ$5&amp;"",'Oxford Economics'!$A$6:$AZ$6,0))),'Oxford Economics'!$A$7:$A$1000,$C28,'Oxford Economics'!$B$7:$B$1000,Settings!$B$16)+IF(Settings!$B$18="",0,SUMIFS(INDEX('Oxford Economics'!$A$7:$AZ$1000,0,IFERROR(MATCH(AJ$5,'Oxford Economics'!$A$6:$AZ$6,0),MATCH(AJ$5&amp;"",'Oxford Economics'!$A$6:$AZ$6,0))),'Oxford Economics'!$A$7:$A$1000,$C28,'Oxford Economics'!$B$7:$B$1000,Settings!$B$18)))),""))</f>
        <v>14949.98</v>
      </c>
      <c r="AK28" s="38" t="n">
        <f aca="false">IF($A28="","",IFERROR(1/(1/IF($B28="Residential",SUMIFS(INDEX('Oxford Economics'!$A$7:$AZ$1000,0,IFERROR(MATCH(AK$5,'Oxford Economics'!$A$6:$AZ$6,0),MATCH(AK$5&amp;"",'Oxford Economics'!$A$6:$AZ$6,0))),'Oxford Economics'!$A$7:$A$1000,$C28,'Oxford Economics'!$B$7:$B$1000,Settings!$B$12)-SUMIFS(INDEX('Oxford Economics'!$A$7:$AZ$1000,0,IFERROR(MATCH(AK$5,'Oxford Economics'!$A$6:$AZ$6,0),MATCH(AK$5&amp;"",'Oxford Economics'!$A$6:$AZ$6,0))),'Oxford Economics'!$A$7:$A$1000,$C28,'Oxford Economics'!$B$7:$B$1000,Settings!$B$14),SUMIFS(INDEX('Oxford Economics'!$A$7:$AZ$1000,0,IFERROR(MATCH(AK$5,'Oxford Economics'!$A$6:$AZ$6,0),MATCH(AK$5&amp;"",'Oxford Economics'!$A$6:$AZ$6,0))),'Oxford Economics'!$A$7:$A$1000,$C28,'Oxford Economics'!$B$7:$B$1000,Settings!$B$14)+SUMIFS(INDEX('Oxford Economics'!$A$7:$AZ$1000,0,IFERROR(MATCH(AK$5,'Oxford Economics'!$A$6:$AZ$6,0),MATCH(AK$5&amp;"",'Oxford Economics'!$A$6:$AZ$6,0))),'Oxford Economics'!$A$7:$A$1000,$C28,'Oxford Economics'!$B$7:$B$1000,Settings!$B$16)+IF(Settings!$B$18="",0,SUMIFS(INDEX('Oxford Economics'!$A$7:$AZ$1000,0,IFERROR(MATCH(AK$5,'Oxford Economics'!$A$6:$AZ$6,0),MATCH(AK$5&amp;"",'Oxford Economics'!$A$6:$AZ$6,0))),'Oxford Economics'!$A$7:$A$1000,$C28,'Oxford Economics'!$B$7:$B$1000,Settings!$B$18)))),""))</f>
        <v>15348.43</v>
      </c>
      <c r="AL28" s="38" t="n">
        <f aca="false">IF($A28="","",IFERROR(1/(1/IF($B28="Residential",SUMIFS(INDEX('Oxford Economics'!$A$7:$AZ$1000,0,IFERROR(MATCH(AL$5,'Oxford Economics'!$A$6:$AZ$6,0),MATCH(AL$5&amp;"",'Oxford Economics'!$A$6:$AZ$6,0))),'Oxford Economics'!$A$7:$A$1000,$C28,'Oxford Economics'!$B$7:$B$1000,Settings!$B$12)-SUMIFS(INDEX('Oxford Economics'!$A$7:$AZ$1000,0,IFERROR(MATCH(AL$5,'Oxford Economics'!$A$6:$AZ$6,0),MATCH(AL$5&amp;"",'Oxford Economics'!$A$6:$AZ$6,0))),'Oxford Economics'!$A$7:$A$1000,$C28,'Oxford Economics'!$B$7:$B$1000,Settings!$B$14),SUMIFS(INDEX('Oxford Economics'!$A$7:$AZ$1000,0,IFERROR(MATCH(AL$5,'Oxford Economics'!$A$6:$AZ$6,0),MATCH(AL$5&amp;"",'Oxford Economics'!$A$6:$AZ$6,0))),'Oxford Economics'!$A$7:$A$1000,$C28,'Oxford Economics'!$B$7:$B$1000,Settings!$B$14)+SUMIFS(INDEX('Oxford Economics'!$A$7:$AZ$1000,0,IFERROR(MATCH(AL$5,'Oxford Economics'!$A$6:$AZ$6,0),MATCH(AL$5&amp;"",'Oxford Economics'!$A$6:$AZ$6,0))),'Oxford Economics'!$A$7:$A$1000,$C28,'Oxford Economics'!$B$7:$B$1000,Settings!$B$16)+IF(Settings!$B$18="",0,SUMIFS(INDEX('Oxford Economics'!$A$7:$AZ$1000,0,IFERROR(MATCH(AL$5,'Oxford Economics'!$A$6:$AZ$6,0),MATCH(AL$5&amp;"",'Oxford Economics'!$A$6:$AZ$6,0))),'Oxford Economics'!$A$7:$A$1000,$C28,'Oxford Economics'!$B$7:$B$1000,Settings!$B$18)))),""))</f>
        <v>15743.09</v>
      </c>
      <c r="AM28" s="38" t="n">
        <f aca="false">IF($A28="","",IFERROR(1/(1/IF($B28="Residential",SUMIFS(INDEX('Oxford Economics'!$A$7:$AZ$1000,0,IFERROR(MATCH(AM$5,'Oxford Economics'!$A$6:$AZ$6,0),MATCH(AM$5&amp;"",'Oxford Economics'!$A$6:$AZ$6,0))),'Oxford Economics'!$A$7:$A$1000,$C28,'Oxford Economics'!$B$7:$B$1000,Settings!$B$12)-SUMIFS(INDEX('Oxford Economics'!$A$7:$AZ$1000,0,IFERROR(MATCH(AM$5,'Oxford Economics'!$A$6:$AZ$6,0),MATCH(AM$5&amp;"",'Oxford Economics'!$A$6:$AZ$6,0))),'Oxford Economics'!$A$7:$A$1000,$C28,'Oxford Economics'!$B$7:$B$1000,Settings!$B$14),SUMIFS(INDEX('Oxford Economics'!$A$7:$AZ$1000,0,IFERROR(MATCH(AM$5,'Oxford Economics'!$A$6:$AZ$6,0),MATCH(AM$5&amp;"",'Oxford Economics'!$A$6:$AZ$6,0))),'Oxford Economics'!$A$7:$A$1000,$C28,'Oxford Economics'!$B$7:$B$1000,Settings!$B$14)+SUMIFS(INDEX('Oxford Economics'!$A$7:$AZ$1000,0,IFERROR(MATCH(AM$5,'Oxford Economics'!$A$6:$AZ$6,0),MATCH(AM$5&amp;"",'Oxford Economics'!$A$6:$AZ$6,0))),'Oxford Economics'!$A$7:$A$1000,$C28,'Oxford Economics'!$B$7:$B$1000,Settings!$B$16)+IF(Settings!$B$18="",0,SUMIFS(INDEX('Oxford Economics'!$A$7:$AZ$1000,0,IFERROR(MATCH(AM$5,'Oxford Economics'!$A$6:$AZ$6,0),MATCH(AM$5&amp;"",'Oxford Economics'!$A$6:$AZ$6,0))),'Oxford Economics'!$A$7:$A$1000,$C28,'Oxford Economics'!$B$7:$B$1000,Settings!$B$18)))),""))</f>
        <v>16033.67</v>
      </c>
    </row>
    <row r="29" customFormat="false" ht="15" hidden="false" customHeight="false" outlineLevel="0" collapsed="false">
      <c r="A29" s="37" t="str">
        <f aca="false">IF('Raw data'!$A29="","",'Raw data'!$A29)</f>
        <v>Netherlands</v>
      </c>
      <c r="B29" s="37" t="str">
        <f aca="false">IF($A29="","",'Raw data'!$C29)</f>
        <v>Commercial</v>
      </c>
      <c r="C29" s="37" t="str">
        <f aca="false">IF($A29="","",IF('Raw data'!$E29="",$A29,'Raw data'!$E29))</f>
        <v>Netherlands</v>
      </c>
      <c r="D29" s="38" t="n">
        <f aca="false">IF($A29="","",IF(AND(ISNUMBER(P29),ISNUMBER(AB29)),P29+AB29,""))</f>
        <v>21787.12</v>
      </c>
      <c r="E29" s="38" t="n">
        <f aca="false">IF($A29="","",IF(AND(ISNUMBER(Q29),ISNUMBER(AC29)),Q29+AC29,""))</f>
        <v>22854</v>
      </c>
      <c r="F29" s="38" t="n">
        <f aca="false">IF($A29="","",IF(AND(ISNUMBER(R29),ISNUMBER(AD29)),R29+AD29,""))</f>
        <v>24521.4</v>
      </c>
      <c r="G29" s="38" t="n">
        <f aca="false">IF($A29="","",IF(AND(ISNUMBER(S29),ISNUMBER(AE29)),S29+AE29,""))</f>
        <v>24951.67</v>
      </c>
      <c r="H29" s="38" t="n">
        <f aca="false">IF($A29="","",IF(AND(ISNUMBER(T29),ISNUMBER(AF29)),T29+AF29,""))</f>
        <v>24357.49</v>
      </c>
      <c r="I29" s="38" t="n">
        <f aca="false">IF($A29="","",IF(AND(ISNUMBER(U29),ISNUMBER(AG29)),U29+AG29,""))</f>
        <v>24549.72</v>
      </c>
      <c r="J29" s="38" t="n">
        <f aca="false">IF($A29="","",IF(AND(ISNUMBER(V29),ISNUMBER(AH29)),V29+AH29,""))</f>
        <v>25206.79</v>
      </c>
      <c r="K29" s="38" t="n">
        <f aca="false">IF($A29="","",IF(AND(ISNUMBER(W29),ISNUMBER(AI29)),W29+AI29,""))</f>
        <v>25727.33</v>
      </c>
      <c r="L29" s="38" t="n">
        <f aca="false">IF($A29="","",IF(AND(ISNUMBER(X29),ISNUMBER(AJ29)),X29+AJ29,""))</f>
        <v>26569.27</v>
      </c>
      <c r="M29" s="38" t="n">
        <f aca="false">IF($A29="","",IF(AND(ISNUMBER(Y29),ISNUMBER(AK29)),Y29+AK29,""))</f>
        <v>27554.26</v>
      </c>
      <c r="N29" s="38" t="n">
        <f aca="false">IF($A29="","",IF(AND(ISNUMBER(Z29),ISNUMBER(AL29)),Z29+AL29,""))</f>
        <v>28415.94</v>
      </c>
      <c r="O29" s="38" t="n">
        <f aca="false">IF($A29="","",IF(AND(ISNUMBER(AA29),ISNUMBER(AM29)),AA29+AM29,""))</f>
        <v>29067.96</v>
      </c>
      <c r="P29" s="38" t="n">
        <f aca="false">IF($A29="","",IFERROR(1/(1/IF($B29="Residential",SUMIFS(INDEX('Oxford Economics'!$A$7:$AZ$1000,0,IFERROR(MATCH(P$5,'Oxford Economics'!$A$6:$AZ$6,0),MATCH(P$5&amp;"",'Oxford Economics'!$A$6:$AZ$6,0))),'Oxford Economics'!$A$7:$A$1000,$C29,'Oxford Economics'!$B$7:$B$1000,Settings!$B$13)-SUMIFS(INDEX('Oxford Economics'!$A$7:$AZ$1000,0,IFERROR(MATCH(P$5,'Oxford Economics'!$A$6:$AZ$6,0),MATCH(P$5&amp;"",'Oxford Economics'!$A$6:$AZ$6,0))),'Oxford Economics'!$A$7:$A$1000,$C29,'Oxford Economics'!$B$7:$B$1000,Settings!$B$15),SUMIFS(INDEX('Oxford Economics'!$A$7:$AZ$1000,0,IFERROR(MATCH(P$5,'Oxford Economics'!$A$6:$AZ$6,0),MATCH(P$5&amp;"",'Oxford Economics'!$A$6:$AZ$6,0))),'Oxford Economics'!$A$7:$A$1000,$C29,'Oxford Economics'!$B$7:$B$1000,Settings!$B$15)+SUMIFS(INDEX('Oxford Economics'!$A$7:$AZ$1000,0,IFERROR(MATCH(P$5,'Oxford Economics'!$A$6:$AZ$6,0),MATCH(P$5&amp;"",'Oxford Economics'!$A$6:$AZ$6,0))),'Oxford Economics'!$A$7:$A$1000,$C29,'Oxford Economics'!$B$7:$B$1000,Settings!$B$17)+IF(Settings!$B$19="",0,SUMIFS(INDEX('Oxford Economics'!$A$7:$AZ$1000,0,IFERROR(MATCH(P$5,'Oxford Economics'!$A$6:$AZ$6,0),MATCH(P$5&amp;"",'Oxford Economics'!$A$6:$AZ$6,0))),'Oxford Economics'!$A$7:$A$1000,$C29,'Oxford Economics'!$B$7:$B$1000,Settings!$B$19)))),""))</f>
        <v>10197.14</v>
      </c>
      <c r="Q29" s="38" t="n">
        <f aca="false">IF($A29="","",IFERROR(1/(1/IF($B29="Residential",SUMIFS(INDEX('Oxford Economics'!$A$7:$AZ$1000,0,IFERROR(MATCH(Q$5,'Oxford Economics'!$A$6:$AZ$6,0),MATCH(Q$5&amp;"",'Oxford Economics'!$A$6:$AZ$6,0))),'Oxford Economics'!$A$7:$A$1000,$C29,'Oxford Economics'!$B$7:$B$1000,Settings!$B$13)-SUMIFS(INDEX('Oxford Economics'!$A$7:$AZ$1000,0,IFERROR(MATCH(Q$5,'Oxford Economics'!$A$6:$AZ$6,0),MATCH(Q$5&amp;"",'Oxford Economics'!$A$6:$AZ$6,0))),'Oxford Economics'!$A$7:$A$1000,$C29,'Oxford Economics'!$B$7:$B$1000,Settings!$B$15),SUMIFS(INDEX('Oxford Economics'!$A$7:$AZ$1000,0,IFERROR(MATCH(Q$5,'Oxford Economics'!$A$6:$AZ$6,0),MATCH(Q$5&amp;"",'Oxford Economics'!$A$6:$AZ$6,0))),'Oxford Economics'!$A$7:$A$1000,$C29,'Oxford Economics'!$B$7:$B$1000,Settings!$B$15)+SUMIFS(INDEX('Oxford Economics'!$A$7:$AZ$1000,0,IFERROR(MATCH(Q$5,'Oxford Economics'!$A$6:$AZ$6,0),MATCH(Q$5&amp;"",'Oxford Economics'!$A$6:$AZ$6,0))),'Oxford Economics'!$A$7:$A$1000,$C29,'Oxford Economics'!$B$7:$B$1000,Settings!$B$17)+IF(Settings!$B$19="",0,SUMIFS(INDEX('Oxford Economics'!$A$7:$AZ$1000,0,IFERROR(MATCH(Q$5,'Oxford Economics'!$A$6:$AZ$6,0),MATCH(Q$5&amp;"",'Oxford Economics'!$A$6:$AZ$6,0))),'Oxford Economics'!$A$7:$A$1000,$C29,'Oxford Economics'!$B$7:$B$1000,Settings!$B$19)))),""))</f>
        <v>9893.21</v>
      </c>
      <c r="R29" s="38" t="n">
        <f aca="false">IF($A29="","",IFERROR(1/(1/IF($B29="Residential",SUMIFS(INDEX('Oxford Economics'!$A$7:$AZ$1000,0,IFERROR(MATCH(R$5,'Oxford Economics'!$A$6:$AZ$6,0),MATCH(R$5&amp;"",'Oxford Economics'!$A$6:$AZ$6,0))),'Oxford Economics'!$A$7:$A$1000,$C29,'Oxford Economics'!$B$7:$B$1000,Settings!$B$13)-SUMIFS(INDEX('Oxford Economics'!$A$7:$AZ$1000,0,IFERROR(MATCH(R$5,'Oxford Economics'!$A$6:$AZ$6,0),MATCH(R$5&amp;"",'Oxford Economics'!$A$6:$AZ$6,0))),'Oxford Economics'!$A$7:$A$1000,$C29,'Oxford Economics'!$B$7:$B$1000,Settings!$B$15),SUMIFS(INDEX('Oxford Economics'!$A$7:$AZ$1000,0,IFERROR(MATCH(R$5,'Oxford Economics'!$A$6:$AZ$6,0),MATCH(R$5&amp;"",'Oxford Economics'!$A$6:$AZ$6,0))),'Oxford Economics'!$A$7:$A$1000,$C29,'Oxford Economics'!$B$7:$B$1000,Settings!$B$15)+SUMIFS(INDEX('Oxford Economics'!$A$7:$AZ$1000,0,IFERROR(MATCH(R$5,'Oxford Economics'!$A$6:$AZ$6,0),MATCH(R$5&amp;"",'Oxford Economics'!$A$6:$AZ$6,0))),'Oxford Economics'!$A$7:$A$1000,$C29,'Oxford Economics'!$B$7:$B$1000,Settings!$B$17)+IF(Settings!$B$19="",0,SUMIFS(INDEX('Oxford Economics'!$A$7:$AZ$1000,0,IFERROR(MATCH(R$5,'Oxford Economics'!$A$6:$AZ$6,0),MATCH(R$5&amp;"",'Oxford Economics'!$A$6:$AZ$6,0))),'Oxford Economics'!$A$7:$A$1000,$C29,'Oxford Economics'!$B$7:$B$1000,Settings!$B$19)))),""))</f>
        <v>10252.18</v>
      </c>
      <c r="S29" s="38" t="n">
        <f aca="false">IF($A29="","",IFERROR(1/(1/IF($B29="Residential",SUMIFS(INDEX('Oxford Economics'!$A$7:$AZ$1000,0,IFERROR(MATCH(S$5,'Oxford Economics'!$A$6:$AZ$6,0),MATCH(S$5&amp;"",'Oxford Economics'!$A$6:$AZ$6,0))),'Oxford Economics'!$A$7:$A$1000,$C29,'Oxford Economics'!$B$7:$B$1000,Settings!$B$13)-SUMIFS(INDEX('Oxford Economics'!$A$7:$AZ$1000,0,IFERROR(MATCH(S$5,'Oxford Economics'!$A$6:$AZ$6,0),MATCH(S$5&amp;"",'Oxford Economics'!$A$6:$AZ$6,0))),'Oxford Economics'!$A$7:$A$1000,$C29,'Oxford Economics'!$B$7:$B$1000,Settings!$B$15),SUMIFS(INDEX('Oxford Economics'!$A$7:$AZ$1000,0,IFERROR(MATCH(S$5,'Oxford Economics'!$A$6:$AZ$6,0),MATCH(S$5&amp;"",'Oxford Economics'!$A$6:$AZ$6,0))),'Oxford Economics'!$A$7:$A$1000,$C29,'Oxford Economics'!$B$7:$B$1000,Settings!$B$15)+SUMIFS(INDEX('Oxford Economics'!$A$7:$AZ$1000,0,IFERROR(MATCH(S$5,'Oxford Economics'!$A$6:$AZ$6,0),MATCH(S$5&amp;"",'Oxford Economics'!$A$6:$AZ$6,0))),'Oxford Economics'!$A$7:$A$1000,$C29,'Oxford Economics'!$B$7:$B$1000,Settings!$B$17)+IF(Settings!$B$19="",0,SUMIFS(INDEX('Oxford Economics'!$A$7:$AZ$1000,0,IFERROR(MATCH(S$5,'Oxford Economics'!$A$6:$AZ$6,0),MATCH(S$5&amp;"",'Oxford Economics'!$A$6:$AZ$6,0))),'Oxford Economics'!$A$7:$A$1000,$C29,'Oxford Economics'!$B$7:$B$1000,Settings!$B$19)))),""))</f>
        <v>10040.45</v>
      </c>
      <c r="T29" s="38" t="n">
        <f aca="false">IF($A29="","",IFERROR(1/(1/IF($B29="Residential",SUMIFS(INDEX('Oxford Economics'!$A$7:$AZ$1000,0,IFERROR(MATCH(T$5,'Oxford Economics'!$A$6:$AZ$6,0),MATCH(T$5&amp;"",'Oxford Economics'!$A$6:$AZ$6,0))),'Oxford Economics'!$A$7:$A$1000,$C29,'Oxford Economics'!$B$7:$B$1000,Settings!$B$13)-SUMIFS(INDEX('Oxford Economics'!$A$7:$AZ$1000,0,IFERROR(MATCH(T$5,'Oxford Economics'!$A$6:$AZ$6,0),MATCH(T$5&amp;"",'Oxford Economics'!$A$6:$AZ$6,0))),'Oxford Economics'!$A$7:$A$1000,$C29,'Oxford Economics'!$B$7:$B$1000,Settings!$B$15),SUMIFS(INDEX('Oxford Economics'!$A$7:$AZ$1000,0,IFERROR(MATCH(T$5,'Oxford Economics'!$A$6:$AZ$6,0),MATCH(T$5&amp;"",'Oxford Economics'!$A$6:$AZ$6,0))),'Oxford Economics'!$A$7:$A$1000,$C29,'Oxford Economics'!$B$7:$B$1000,Settings!$B$15)+SUMIFS(INDEX('Oxford Economics'!$A$7:$AZ$1000,0,IFERROR(MATCH(T$5,'Oxford Economics'!$A$6:$AZ$6,0),MATCH(T$5&amp;"",'Oxford Economics'!$A$6:$AZ$6,0))),'Oxford Economics'!$A$7:$A$1000,$C29,'Oxford Economics'!$B$7:$B$1000,Settings!$B$17)+IF(Settings!$B$19="",0,SUMIFS(INDEX('Oxford Economics'!$A$7:$AZ$1000,0,IFERROR(MATCH(T$5,'Oxford Economics'!$A$6:$AZ$6,0),MATCH(T$5&amp;"",'Oxford Economics'!$A$6:$AZ$6,0))),'Oxford Economics'!$A$7:$A$1000,$C29,'Oxford Economics'!$B$7:$B$1000,Settings!$B$19)))),""))</f>
        <v>10456.64</v>
      </c>
      <c r="U29" s="38" t="n">
        <f aca="false">IF($A29="","",IFERROR(1/(1/IF($B29="Residential",SUMIFS(INDEX('Oxford Economics'!$A$7:$AZ$1000,0,IFERROR(MATCH(U$5,'Oxford Economics'!$A$6:$AZ$6,0),MATCH(U$5&amp;"",'Oxford Economics'!$A$6:$AZ$6,0))),'Oxford Economics'!$A$7:$A$1000,$C29,'Oxford Economics'!$B$7:$B$1000,Settings!$B$13)-SUMIFS(INDEX('Oxford Economics'!$A$7:$AZ$1000,0,IFERROR(MATCH(U$5,'Oxford Economics'!$A$6:$AZ$6,0),MATCH(U$5&amp;"",'Oxford Economics'!$A$6:$AZ$6,0))),'Oxford Economics'!$A$7:$A$1000,$C29,'Oxford Economics'!$B$7:$B$1000,Settings!$B$15),SUMIFS(INDEX('Oxford Economics'!$A$7:$AZ$1000,0,IFERROR(MATCH(U$5,'Oxford Economics'!$A$6:$AZ$6,0),MATCH(U$5&amp;"",'Oxford Economics'!$A$6:$AZ$6,0))),'Oxford Economics'!$A$7:$A$1000,$C29,'Oxford Economics'!$B$7:$B$1000,Settings!$B$15)+SUMIFS(INDEX('Oxford Economics'!$A$7:$AZ$1000,0,IFERROR(MATCH(U$5,'Oxford Economics'!$A$6:$AZ$6,0),MATCH(U$5&amp;"",'Oxford Economics'!$A$6:$AZ$6,0))),'Oxford Economics'!$A$7:$A$1000,$C29,'Oxford Economics'!$B$7:$B$1000,Settings!$B$17)+IF(Settings!$B$19="",0,SUMIFS(INDEX('Oxford Economics'!$A$7:$AZ$1000,0,IFERROR(MATCH(U$5,'Oxford Economics'!$A$6:$AZ$6,0),MATCH(U$5&amp;"",'Oxford Economics'!$A$6:$AZ$6,0))),'Oxford Economics'!$A$7:$A$1000,$C29,'Oxford Economics'!$B$7:$B$1000,Settings!$B$19)))),""))</f>
        <v>10555.11</v>
      </c>
      <c r="V29" s="38" t="n">
        <f aca="false">IF($A29="","",IFERROR(1/(1/IF($B29="Residential",SUMIFS(INDEX('Oxford Economics'!$A$7:$AZ$1000,0,IFERROR(MATCH(V$5,'Oxford Economics'!$A$6:$AZ$6,0),MATCH(V$5&amp;"",'Oxford Economics'!$A$6:$AZ$6,0))),'Oxford Economics'!$A$7:$A$1000,$C29,'Oxford Economics'!$B$7:$B$1000,Settings!$B$13)-SUMIFS(INDEX('Oxford Economics'!$A$7:$AZ$1000,0,IFERROR(MATCH(V$5,'Oxford Economics'!$A$6:$AZ$6,0),MATCH(V$5&amp;"",'Oxford Economics'!$A$6:$AZ$6,0))),'Oxford Economics'!$A$7:$A$1000,$C29,'Oxford Economics'!$B$7:$B$1000,Settings!$B$15),SUMIFS(INDEX('Oxford Economics'!$A$7:$AZ$1000,0,IFERROR(MATCH(V$5,'Oxford Economics'!$A$6:$AZ$6,0),MATCH(V$5&amp;"",'Oxford Economics'!$A$6:$AZ$6,0))),'Oxford Economics'!$A$7:$A$1000,$C29,'Oxford Economics'!$B$7:$B$1000,Settings!$B$15)+SUMIFS(INDEX('Oxford Economics'!$A$7:$AZ$1000,0,IFERROR(MATCH(V$5,'Oxford Economics'!$A$6:$AZ$6,0),MATCH(V$5&amp;"",'Oxford Economics'!$A$6:$AZ$6,0))),'Oxford Economics'!$A$7:$A$1000,$C29,'Oxford Economics'!$B$7:$B$1000,Settings!$B$17)+IF(Settings!$B$19="",0,SUMIFS(INDEX('Oxford Economics'!$A$7:$AZ$1000,0,IFERROR(MATCH(V$5,'Oxford Economics'!$A$6:$AZ$6,0),MATCH(V$5&amp;"",'Oxford Economics'!$A$6:$AZ$6,0))),'Oxford Economics'!$A$7:$A$1000,$C29,'Oxford Economics'!$B$7:$B$1000,Settings!$B$19)))),""))</f>
        <v>10821.9</v>
      </c>
      <c r="W29" s="38" t="n">
        <f aca="false">IF($A29="","",IFERROR(1/(1/IF($B29="Residential",SUMIFS(INDEX('Oxford Economics'!$A$7:$AZ$1000,0,IFERROR(MATCH(W$5,'Oxford Economics'!$A$6:$AZ$6,0),MATCH(W$5&amp;"",'Oxford Economics'!$A$6:$AZ$6,0))),'Oxford Economics'!$A$7:$A$1000,$C29,'Oxford Economics'!$B$7:$B$1000,Settings!$B$13)-SUMIFS(INDEX('Oxford Economics'!$A$7:$AZ$1000,0,IFERROR(MATCH(W$5,'Oxford Economics'!$A$6:$AZ$6,0),MATCH(W$5&amp;"",'Oxford Economics'!$A$6:$AZ$6,0))),'Oxford Economics'!$A$7:$A$1000,$C29,'Oxford Economics'!$B$7:$B$1000,Settings!$B$15),SUMIFS(INDEX('Oxford Economics'!$A$7:$AZ$1000,0,IFERROR(MATCH(W$5,'Oxford Economics'!$A$6:$AZ$6,0),MATCH(W$5&amp;"",'Oxford Economics'!$A$6:$AZ$6,0))),'Oxford Economics'!$A$7:$A$1000,$C29,'Oxford Economics'!$B$7:$B$1000,Settings!$B$15)+SUMIFS(INDEX('Oxford Economics'!$A$7:$AZ$1000,0,IFERROR(MATCH(W$5,'Oxford Economics'!$A$6:$AZ$6,0),MATCH(W$5&amp;"",'Oxford Economics'!$A$6:$AZ$6,0))),'Oxford Economics'!$A$7:$A$1000,$C29,'Oxford Economics'!$B$7:$B$1000,Settings!$B$17)+IF(Settings!$B$19="",0,SUMIFS(INDEX('Oxford Economics'!$A$7:$AZ$1000,0,IFERROR(MATCH(W$5,'Oxford Economics'!$A$6:$AZ$6,0),MATCH(W$5&amp;"",'Oxford Economics'!$A$6:$AZ$6,0))),'Oxford Economics'!$A$7:$A$1000,$C29,'Oxford Economics'!$B$7:$B$1000,Settings!$B$19)))),""))</f>
        <v>11101.09</v>
      </c>
      <c r="X29" s="38" t="n">
        <f aca="false">IF($A29="","",IFERROR(1/(1/IF($B29="Residential",SUMIFS(INDEX('Oxford Economics'!$A$7:$AZ$1000,0,IFERROR(MATCH(X$5,'Oxford Economics'!$A$6:$AZ$6,0),MATCH(X$5&amp;"",'Oxford Economics'!$A$6:$AZ$6,0))),'Oxford Economics'!$A$7:$A$1000,$C29,'Oxford Economics'!$B$7:$B$1000,Settings!$B$13)-SUMIFS(INDEX('Oxford Economics'!$A$7:$AZ$1000,0,IFERROR(MATCH(X$5,'Oxford Economics'!$A$6:$AZ$6,0),MATCH(X$5&amp;"",'Oxford Economics'!$A$6:$AZ$6,0))),'Oxford Economics'!$A$7:$A$1000,$C29,'Oxford Economics'!$B$7:$B$1000,Settings!$B$15),SUMIFS(INDEX('Oxford Economics'!$A$7:$AZ$1000,0,IFERROR(MATCH(X$5,'Oxford Economics'!$A$6:$AZ$6,0),MATCH(X$5&amp;"",'Oxford Economics'!$A$6:$AZ$6,0))),'Oxford Economics'!$A$7:$A$1000,$C29,'Oxford Economics'!$B$7:$B$1000,Settings!$B$15)+SUMIFS(INDEX('Oxford Economics'!$A$7:$AZ$1000,0,IFERROR(MATCH(X$5,'Oxford Economics'!$A$6:$AZ$6,0),MATCH(X$5&amp;"",'Oxford Economics'!$A$6:$AZ$6,0))),'Oxford Economics'!$A$7:$A$1000,$C29,'Oxford Economics'!$B$7:$B$1000,Settings!$B$17)+IF(Settings!$B$19="",0,SUMIFS(INDEX('Oxford Economics'!$A$7:$AZ$1000,0,IFERROR(MATCH(X$5,'Oxford Economics'!$A$6:$AZ$6,0),MATCH(X$5&amp;"",'Oxford Economics'!$A$6:$AZ$6,0))),'Oxford Economics'!$A$7:$A$1000,$C29,'Oxford Economics'!$B$7:$B$1000,Settings!$B$19)))),""))</f>
        <v>11619.29</v>
      </c>
      <c r="Y29" s="38" t="n">
        <f aca="false">IF($A29="","",IFERROR(1/(1/IF($B29="Residential",SUMIFS(INDEX('Oxford Economics'!$A$7:$AZ$1000,0,IFERROR(MATCH(Y$5,'Oxford Economics'!$A$6:$AZ$6,0),MATCH(Y$5&amp;"",'Oxford Economics'!$A$6:$AZ$6,0))),'Oxford Economics'!$A$7:$A$1000,$C29,'Oxford Economics'!$B$7:$B$1000,Settings!$B$13)-SUMIFS(INDEX('Oxford Economics'!$A$7:$AZ$1000,0,IFERROR(MATCH(Y$5,'Oxford Economics'!$A$6:$AZ$6,0),MATCH(Y$5&amp;"",'Oxford Economics'!$A$6:$AZ$6,0))),'Oxford Economics'!$A$7:$A$1000,$C29,'Oxford Economics'!$B$7:$B$1000,Settings!$B$15),SUMIFS(INDEX('Oxford Economics'!$A$7:$AZ$1000,0,IFERROR(MATCH(Y$5,'Oxford Economics'!$A$6:$AZ$6,0),MATCH(Y$5&amp;"",'Oxford Economics'!$A$6:$AZ$6,0))),'Oxford Economics'!$A$7:$A$1000,$C29,'Oxford Economics'!$B$7:$B$1000,Settings!$B$15)+SUMIFS(INDEX('Oxford Economics'!$A$7:$AZ$1000,0,IFERROR(MATCH(Y$5,'Oxford Economics'!$A$6:$AZ$6,0),MATCH(Y$5&amp;"",'Oxford Economics'!$A$6:$AZ$6,0))),'Oxford Economics'!$A$7:$A$1000,$C29,'Oxford Economics'!$B$7:$B$1000,Settings!$B$17)+IF(Settings!$B$19="",0,SUMIFS(INDEX('Oxford Economics'!$A$7:$AZ$1000,0,IFERROR(MATCH(Y$5,'Oxford Economics'!$A$6:$AZ$6,0),MATCH(Y$5&amp;"",'Oxford Economics'!$A$6:$AZ$6,0))),'Oxford Economics'!$A$7:$A$1000,$C29,'Oxford Economics'!$B$7:$B$1000,Settings!$B$19)))),""))</f>
        <v>12205.83</v>
      </c>
      <c r="Z29" s="38" t="n">
        <f aca="false">IF($A29="","",IFERROR(1/(1/IF($B29="Residential",SUMIFS(INDEX('Oxford Economics'!$A$7:$AZ$1000,0,IFERROR(MATCH(Z$5,'Oxford Economics'!$A$6:$AZ$6,0),MATCH(Z$5&amp;"",'Oxford Economics'!$A$6:$AZ$6,0))),'Oxford Economics'!$A$7:$A$1000,$C29,'Oxford Economics'!$B$7:$B$1000,Settings!$B$13)-SUMIFS(INDEX('Oxford Economics'!$A$7:$AZ$1000,0,IFERROR(MATCH(Z$5,'Oxford Economics'!$A$6:$AZ$6,0),MATCH(Z$5&amp;"",'Oxford Economics'!$A$6:$AZ$6,0))),'Oxford Economics'!$A$7:$A$1000,$C29,'Oxford Economics'!$B$7:$B$1000,Settings!$B$15),SUMIFS(INDEX('Oxford Economics'!$A$7:$AZ$1000,0,IFERROR(MATCH(Z$5,'Oxford Economics'!$A$6:$AZ$6,0),MATCH(Z$5&amp;"",'Oxford Economics'!$A$6:$AZ$6,0))),'Oxford Economics'!$A$7:$A$1000,$C29,'Oxford Economics'!$B$7:$B$1000,Settings!$B$15)+SUMIFS(INDEX('Oxford Economics'!$A$7:$AZ$1000,0,IFERROR(MATCH(Z$5,'Oxford Economics'!$A$6:$AZ$6,0),MATCH(Z$5&amp;"",'Oxford Economics'!$A$6:$AZ$6,0))),'Oxford Economics'!$A$7:$A$1000,$C29,'Oxford Economics'!$B$7:$B$1000,Settings!$B$17)+IF(Settings!$B$19="",0,SUMIFS(INDEX('Oxford Economics'!$A$7:$AZ$1000,0,IFERROR(MATCH(Z$5,'Oxford Economics'!$A$6:$AZ$6,0),MATCH(Z$5&amp;"",'Oxford Economics'!$A$6:$AZ$6,0))),'Oxford Economics'!$A$7:$A$1000,$C29,'Oxford Economics'!$B$7:$B$1000,Settings!$B$19)))),""))</f>
        <v>12672.85</v>
      </c>
      <c r="AA29" s="38" t="n">
        <f aca="false">IF($A29="","",IFERROR(1/(1/IF($B29="Residential",SUMIFS(INDEX('Oxford Economics'!$A$7:$AZ$1000,0,IFERROR(MATCH(AA$5,'Oxford Economics'!$A$6:$AZ$6,0),MATCH(AA$5&amp;"",'Oxford Economics'!$A$6:$AZ$6,0))),'Oxford Economics'!$A$7:$A$1000,$C29,'Oxford Economics'!$B$7:$B$1000,Settings!$B$13)-SUMIFS(INDEX('Oxford Economics'!$A$7:$AZ$1000,0,IFERROR(MATCH(AA$5,'Oxford Economics'!$A$6:$AZ$6,0),MATCH(AA$5&amp;"",'Oxford Economics'!$A$6:$AZ$6,0))),'Oxford Economics'!$A$7:$A$1000,$C29,'Oxford Economics'!$B$7:$B$1000,Settings!$B$15),SUMIFS(INDEX('Oxford Economics'!$A$7:$AZ$1000,0,IFERROR(MATCH(AA$5,'Oxford Economics'!$A$6:$AZ$6,0),MATCH(AA$5&amp;"",'Oxford Economics'!$A$6:$AZ$6,0))),'Oxford Economics'!$A$7:$A$1000,$C29,'Oxford Economics'!$B$7:$B$1000,Settings!$B$15)+SUMIFS(INDEX('Oxford Economics'!$A$7:$AZ$1000,0,IFERROR(MATCH(AA$5,'Oxford Economics'!$A$6:$AZ$6,0),MATCH(AA$5&amp;"",'Oxford Economics'!$A$6:$AZ$6,0))),'Oxford Economics'!$A$7:$A$1000,$C29,'Oxford Economics'!$B$7:$B$1000,Settings!$B$17)+IF(Settings!$B$19="",0,SUMIFS(INDEX('Oxford Economics'!$A$7:$AZ$1000,0,IFERROR(MATCH(AA$5,'Oxford Economics'!$A$6:$AZ$6,0),MATCH(AA$5&amp;"",'Oxford Economics'!$A$6:$AZ$6,0))),'Oxford Economics'!$A$7:$A$1000,$C29,'Oxford Economics'!$B$7:$B$1000,Settings!$B$19)))),""))</f>
        <v>13034.29</v>
      </c>
      <c r="AB29" s="38" t="n">
        <f aca="false">IF($A29="","",IFERROR(1/(1/IF($B29="Residential",SUMIFS(INDEX('Oxford Economics'!$A$7:$AZ$1000,0,IFERROR(MATCH(AB$5,'Oxford Economics'!$A$6:$AZ$6,0),MATCH(AB$5&amp;"",'Oxford Economics'!$A$6:$AZ$6,0))),'Oxford Economics'!$A$7:$A$1000,$C29,'Oxford Economics'!$B$7:$B$1000,Settings!$B$12)-SUMIFS(INDEX('Oxford Economics'!$A$7:$AZ$1000,0,IFERROR(MATCH(AB$5,'Oxford Economics'!$A$6:$AZ$6,0),MATCH(AB$5&amp;"",'Oxford Economics'!$A$6:$AZ$6,0))),'Oxford Economics'!$A$7:$A$1000,$C29,'Oxford Economics'!$B$7:$B$1000,Settings!$B$14),SUMIFS(INDEX('Oxford Economics'!$A$7:$AZ$1000,0,IFERROR(MATCH(AB$5,'Oxford Economics'!$A$6:$AZ$6,0),MATCH(AB$5&amp;"",'Oxford Economics'!$A$6:$AZ$6,0))),'Oxford Economics'!$A$7:$A$1000,$C29,'Oxford Economics'!$B$7:$B$1000,Settings!$B$14)+SUMIFS(INDEX('Oxford Economics'!$A$7:$AZ$1000,0,IFERROR(MATCH(AB$5,'Oxford Economics'!$A$6:$AZ$6,0),MATCH(AB$5&amp;"",'Oxford Economics'!$A$6:$AZ$6,0))),'Oxford Economics'!$A$7:$A$1000,$C29,'Oxford Economics'!$B$7:$B$1000,Settings!$B$16)+IF(Settings!$B$18="",0,SUMIFS(INDEX('Oxford Economics'!$A$7:$AZ$1000,0,IFERROR(MATCH(AB$5,'Oxford Economics'!$A$6:$AZ$6,0),MATCH(AB$5&amp;"",'Oxford Economics'!$A$6:$AZ$6,0))),'Oxford Economics'!$A$7:$A$1000,$C29,'Oxford Economics'!$B$7:$B$1000,Settings!$B$18)))),""))</f>
        <v>11589.98</v>
      </c>
      <c r="AC29" s="38" t="n">
        <f aca="false">IF($A29="","",IFERROR(1/(1/IF($B29="Residential",SUMIFS(INDEX('Oxford Economics'!$A$7:$AZ$1000,0,IFERROR(MATCH(AC$5,'Oxford Economics'!$A$6:$AZ$6,0),MATCH(AC$5&amp;"",'Oxford Economics'!$A$6:$AZ$6,0))),'Oxford Economics'!$A$7:$A$1000,$C29,'Oxford Economics'!$B$7:$B$1000,Settings!$B$12)-SUMIFS(INDEX('Oxford Economics'!$A$7:$AZ$1000,0,IFERROR(MATCH(AC$5,'Oxford Economics'!$A$6:$AZ$6,0),MATCH(AC$5&amp;"",'Oxford Economics'!$A$6:$AZ$6,0))),'Oxford Economics'!$A$7:$A$1000,$C29,'Oxford Economics'!$B$7:$B$1000,Settings!$B$14),SUMIFS(INDEX('Oxford Economics'!$A$7:$AZ$1000,0,IFERROR(MATCH(AC$5,'Oxford Economics'!$A$6:$AZ$6,0),MATCH(AC$5&amp;"",'Oxford Economics'!$A$6:$AZ$6,0))),'Oxford Economics'!$A$7:$A$1000,$C29,'Oxford Economics'!$B$7:$B$1000,Settings!$B$14)+SUMIFS(INDEX('Oxford Economics'!$A$7:$AZ$1000,0,IFERROR(MATCH(AC$5,'Oxford Economics'!$A$6:$AZ$6,0),MATCH(AC$5&amp;"",'Oxford Economics'!$A$6:$AZ$6,0))),'Oxford Economics'!$A$7:$A$1000,$C29,'Oxford Economics'!$B$7:$B$1000,Settings!$B$16)+IF(Settings!$B$18="",0,SUMIFS(INDEX('Oxford Economics'!$A$7:$AZ$1000,0,IFERROR(MATCH(AC$5,'Oxford Economics'!$A$6:$AZ$6,0),MATCH(AC$5&amp;"",'Oxford Economics'!$A$6:$AZ$6,0))),'Oxford Economics'!$A$7:$A$1000,$C29,'Oxford Economics'!$B$7:$B$1000,Settings!$B$18)))),""))</f>
        <v>12960.79</v>
      </c>
      <c r="AD29" s="38" t="n">
        <f aca="false">IF($A29="","",IFERROR(1/(1/IF($B29="Residential",SUMIFS(INDEX('Oxford Economics'!$A$7:$AZ$1000,0,IFERROR(MATCH(AD$5,'Oxford Economics'!$A$6:$AZ$6,0),MATCH(AD$5&amp;"",'Oxford Economics'!$A$6:$AZ$6,0))),'Oxford Economics'!$A$7:$A$1000,$C29,'Oxford Economics'!$B$7:$B$1000,Settings!$B$12)-SUMIFS(INDEX('Oxford Economics'!$A$7:$AZ$1000,0,IFERROR(MATCH(AD$5,'Oxford Economics'!$A$6:$AZ$6,0),MATCH(AD$5&amp;"",'Oxford Economics'!$A$6:$AZ$6,0))),'Oxford Economics'!$A$7:$A$1000,$C29,'Oxford Economics'!$B$7:$B$1000,Settings!$B$14),SUMIFS(INDEX('Oxford Economics'!$A$7:$AZ$1000,0,IFERROR(MATCH(AD$5,'Oxford Economics'!$A$6:$AZ$6,0),MATCH(AD$5&amp;"",'Oxford Economics'!$A$6:$AZ$6,0))),'Oxford Economics'!$A$7:$A$1000,$C29,'Oxford Economics'!$B$7:$B$1000,Settings!$B$14)+SUMIFS(INDEX('Oxford Economics'!$A$7:$AZ$1000,0,IFERROR(MATCH(AD$5,'Oxford Economics'!$A$6:$AZ$6,0),MATCH(AD$5&amp;"",'Oxford Economics'!$A$6:$AZ$6,0))),'Oxford Economics'!$A$7:$A$1000,$C29,'Oxford Economics'!$B$7:$B$1000,Settings!$B$16)+IF(Settings!$B$18="",0,SUMIFS(INDEX('Oxford Economics'!$A$7:$AZ$1000,0,IFERROR(MATCH(AD$5,'Oxford Economics'!$A$6:$AZ$6,0),MATCH(AD$5&amp;"",'Oxford Economics'!$A$6:$AZ$6,0))),'Oxford Economics'!$A$7:$A$1000,$C29,'Oxford Economics'!$B$7:$B$1000,Settings!$B$18)))),""))</f>
        <v>14269.22</v>
      </c>
      <c r="AE29" s="38" t="n">
        <f aca="false">IF($A29="","",IFERROR(1/(1/IF($B29="Residential",SUMIFS(INDEX('Oxford Economics'!$A$7:$AZ$1000,0,IFERROR(MATCH(AE$5,'Oxford Economics'!$A$6:$AZ$6,0),MATCH(AE$5&amp;"",'Oxford Economics'!$A$6:$AZ$6,0))),'Oxford Economics'!$A$7:$A$1000,$C29,'Oxford Economics'!$B$7:$B$1000,Settings!$B$12)-SUMIFS(INDEX('Oxford Economics'!$A$7:$AZ$1000,0,IFERROR(MATCH(AE$5,'Oxford Economics'!$A$6:$AZ$6,0),MATCH(AE$5&amp;"",'Oxford Economics'!$A$6:$AZ$6,0))),'Oxford Economics'!$A$7:$A$1000,$C29,'Oxford Economics'!$B$7:$B$1000,Settings!$B$14),SUMIFS(INDEX('Oxford Economics'!$A$7:$AZ$1000,0,IFERROR(MATCH(AE$5,'Oxford Economics'!$A$6:$AZ$6,0),MATCH(AE$5&amp;"",'Oxford Economics'!$A$6:$AZ$6,0))),'Oxford Economics'!$A$7:$A$1000,$C29,'Oxford Economics'!$B$7:$B$1000,Settings!$B$14)+SUMIFS(INDEX('Oxford Economics'!$A$7:$AZ$1000,0,IFERROR(MATCH(AE$5,'Oxford Economics'!$A$6:$AZ$6,0),MATCH(AE$5&amp;"",'Oxford Economics'!$A$6:$AZ$6,0))),'Oxford Economics'!$A$7:$A$1000,$C29,'Oxford Economics'!$B$7:$B$1000,Settings!$B$16)+IF(Settings!$B$18="",0,SUMIFS(INDEX('Oxford Economics'!$A$7:$AZ$1000,0,IFERROR(MATCH(AE$5,'Oxford Economics'!$A$6:$AZ$6,0),MATCH(AE$5&amp;"",'Oxford Economics'!$A$6:$AZ$6,0))),'Oxford Economics'!$A$7:$A$1000,$C29,'Oxford Economics'!$B$7:$B$1000,Settings!$B$18)))),""))</f>
        <v>14911.22</v>
      </c>
      <c r="AF29" s="38" t="n">
        <f aca="false">IF($A29="","",IFERROR(1/(1/IF($B29="Residential",SUMIFS(INDEX('Oxford Economics'!$A$7:$AZ$1000,0,IFERROR(MATCH(AF$5,'Oxford Economics'!$A$6:$AZ$6,0),MATCH(AF$5&amp;"",'Oxford Economics'!$A$6:$AZ$6,0))),'Oxford Economics'!$A$7:$A$1000,$C29,'Oxford Economics'!$B$7:$B$1000,Settings!$B$12)-SUMIFS(INDEX('Oxford Economics'!$A$7:$AZ$1000,0,IFERROR(MATCH(AF$5,'Oxford Economics'!$A$6:$AZ$6,0),MATCH(AF$5&amp;"",'Oxford Economics'!$A$6:$AZ$6,0))),'Oxford Economics'!$A$7:$A$1000,$C29,'Oxford Economics'!$B$7:$B$1000,Settings!$B$14),SUMIFS(INDEX('Oxford Economics'!$A$7:$AZ$1000,0,IFERROR(MATCH(AF$5,'Oxford Economics'!$A$6:$AZ$6,0),MATCH(AF$5&amp;"",'Oxford Economics'!$A$6:$AZ$6,0))),'Oxford Economics'!$A$7:$A$1000,$C29,'Oxford Economics'!$B$7:$B$1000,Settings!$B$14)+SUMIFS(INDEX('Oxford Economics'!$A$7:$AZ$1000,0,IFERROR(MATCH(AF$5,'Oxford Economics'!$A$6:$AZ$6,0),MATCH(AF$5&amp;"",'Oxford Economics'!$A$6:$AZ$6,0))),'Oxford Economics'!$A$7:$A$1000,$C29,'Oxford Economics'!$B$7:$B$1000,Settings!$B$16)+IF(Settings!$B$18="",0,SUMIFS(INDEX('Oxford Economics'!$A$7:$AZ$1000,0,IFERROR(MATCH(AF$5,'Oxford Economics'!$A$6:$AZ$6,0),MATCH(AF$5&amp;"",'Oxford Economics'!$A$6:$AZ$6,0))),'Oxford Economics'!$A$7:$A$1000,$C29,'Oxford Economics'!$B$7:$B$1000,Settings!$B$18)))),""))</f>
        <v>13900.85</v>
      </c>
      <c r="AG29" s="38" t="n">
        <f aca="false">IF($A29="","",IFERROR(1/(1/IF($B29="Residential",SUMIFS(INDEX('Oxford Economics'!$A$7:$AZ$1000,0,IFERROR(MATCH(AG$5,'Oxford Economics'!$A$6:$AZ$6,0),MATCH(AG$5&amp;"",'Oxford Economics'!$A$6:$AZ$6,0))),'Oxford Economics'!$A$7:$A$1000,$C29,'Oxford Economics'!$B$7:$B$1000,Settings!$B$12)-SUMIFS(INDEX('Oxford Economics'!$A$7:$AZ$1000,0,IFERROR(MATCH(AG$5,'Oxford Economics'!$A$6:$AZ$6,0),MATCH(AG$5&amp;"",'Oxford Economics'!$A$6:$AZ$6,0))),'Oxford Economics'!$A$7:$A$1000,$C29,'Oxford Economics'!$B$7:$B$1000,Settings!$B$14),SUMIFS(INDEX('Oxford Economics'!$A$7:$AZ$1000,0,IFERROR(MATCH(AG$5,'Oxford Economics'!$A$6:$AZ$6,0),MATCH(AG$5&amp;"",'Oxford Economics'!$A$6:$AZ$6,0))),'Oxford Economics'!$A$7:$A$1000,$C29,'Oxford Economics'!$B$7:$B$1000,Settings!$B$14)+SUMIFS(INDEX('Oxford Economics'!$A$7:$AZ$1000,0,IFERROR(MATCH(AG$5,'Oxford Economics'!$A$6:$AZ$6,0),MATCH(AG$5&amp;"",'Oxford Economics'!$A$6:$AZ$6,0))),'Oxford Economics'!$A$7:$A$1000,$C29,'Oxford Economics'!$B$7:$B$1000,Settings!$B$16)+IF(Settings!$B$18="",0,SUMIFS(INDEX('Oxford Economics'!$A$7:$AZ$1000,0,IFERROR(MATCH(AG$5,'Oxford Economics'!$A$6:$AZ$6,0),MATCH(AG$5&amp;"",'Oxford Economics'!$A$6:$AZ$6,0))),'Oxford Economics'!$A$7:$A$1000,$C29,'Oxford Economics'!$B$7:$B$1000,Settings!$B$18)))),""))</f>
        <v>13994.61</v>
      </c>
      <c r="AH29" s="38" t="n">
        <f aca="false">IF($A29="","",IFERROR(1/(1/IF($B29="Residential",SUMIFS(INDEX('Oxford Economics'!$A$7:$AZ$1000,0,IFERROR(MATCH(AH$5,'Oxford Economics'!$A$6:$AZ$6,0),MATCH(AH$5&amp;"",'Oxford Economics'!$A$6:$AZ$6,0))),'Oxford Economics'!$A$7:$A$1000,$C29,'Oxford Economics'!$B$7:$B$1000,Settings!$B$12)-SUMIFS(INDEX('Oxford Economics'!$A$7:$AZ$1000,0,IFERROR(MATCH(AH$5,'Oxford Economics'!$A$6:$AZ$6,0),MATCH(AH$5&amp;"",'Oxford Economics'!$A$6:$AZ$6,0))),'Oxford Economics'!$A$7:$A$1000,$C29,'Oxford Economics'!$B$7:$B$1000,Settings!$B$14),SUMIFS(INDEX('Oxford Economics'!$A$7:$AZ$1000,0,IFERROR(MATCH(AH$5,'Oxford Economics'!$A$6:$AZ$6,0),MATCH(AH$5&amp;"",'Oxford Economics'!$A$6:$AZ$6,0))),'Oxford Economics'!$A$7:$A$1000,$C29,'Oxford Economics'!$B$7:$B$1000,Settings!$B$14)+SUMIFS(INDEX('Oxford Economics'!$A$7:$AZ$1000,0,IFERROR(MATCH(AH$5,'Oxford Economics'!$A$6:$AZ$6,0),MATCH(AH$5&amp;"",'Oxford Economics'!$A$6:$AZ$6,0))),'Oxford Economics'!$A$7:$A$1000,$C29,'Oxford Economics'!$B$7:$B$1000,Settings!$B$16)+IF(Settings!$B$18="",0,SUMIFS(INDEX('Oxford Economics'!$A$7:$AZ$1000,0,IFERROR(MATCH(AH$5,'Oxford Economics'!$A$6:$AZ$6,0),MATCH(AH$5&amp;"",'Oxford Economics'!$A$6:$AZ$6,0))),'Oxford Economics'!$A$7:$A$1000,$C29,'Oxford Economics'!$B$7:$B$1000,Settings!$B$18)))),""))</f>
        <v>14384.89</v>
      </c>
      <c r="AI29" s="38" t="n">
        <f aca="false">IF($A29="","",IFERROR(1/(1/IF($B29="Residential",SUMIFS(INDEX('Oxford Economics'!$A$7:$AZ$1000,0,IFERROR(MATCH(AI$5,'Oxford Economics'!$A$6:$AZ$6,0),MATCH(AI$5&amp;"",'Oxford Economics'!$A$6:$AZ$6,0))),'Oxford Economics'!$A$7:$A$1000,$C29,'Oxford Economics'!$B$7:$B$1000,Settings!$B$12)-SUMIFS(INDEX('Oxford Economics'!$A$7:$AZ$1000,0,IFERROR(MATCH(AI$5,'Oxford Economics'!$A$6:$AZ$6,0),MATCH(AI$5&amp;"",'Oxford Economics'!$A$6:$AZ$6,0))),'Oxford Economics'!$A$7:$A$1000,$C29,'Oxford Economics'!$B$7:$B$1000,Settings!$B$14),SUMIFS(INDEX('Oxford Economics'!$A$7:$AZ$1000,0,IFERROR(MATCH(AI$5,'Oxford Economics'!$A$6:$AZ$6,0),MATCH(AI$5&amp;"",'Oxford Economics'!$A$6:$AZ$6,0))),'Oxford Economics'!$A$7:$A$1000,$C29,'Oxford Economics'!$B$7:$B$1000,Settings!$B$14)+SUMIFS(INDEX('Oxford Economics'!$A$7:$AZ$1000,0,IFERROR(MATCH(AI$5,'Oxford Economics'!$A$6:$AZ$6,0),MATCH(AI$5&amp;"",'Oxford Economics'!$A$6:$AZ$6,0))),'Oxford Economics'!$A$7:$A$1000,$C29,'Oxford Economics'!$B$7:$B$1000,Settings!$B$16)+IF(Settings!$B$18="",0,SUMIFS(INDEX('Oxford Economics'!$A$7:$AZ$1000,0,IFERROR(MATCH(AI$5,'Oxford Economics'!$A$6:$AZ$6,0),MATCH(AI$5&amp;"",'Oxford Economics'!$A$6:$AZ$6,0))),'Oxford Economics'!$A$7:$A$1000,$C29,'Oxford Economics'!$B$7:$B$1000,Settings!$B$18)))),""))</f>
        <v>14626.24</v>
      </c>
      <c r="AJ29" s="38" t="n">
        <f aca="false">IF($A29="","",IFERROR(1/(1/IF($B29="Residential",SUMIFS(INDEX('Oxford Economics'!$A$7:$AZ$1000,0,IFERROR(MATCH(AJ$5,'Oxford Economics'!$A$6:$AZ$6,0),MATCH(AJ$5&amp;"",'Oxford Economics'!$A$6:$AZ$6,0))),'Oxford Economics'!$A$7:$A$1000,$C29,'Oxford Economics'!$B$7:$B$1000,Settings!$B$12)-SUMIFS(INDEX('Oxford Economics'!$A$7:$AZ$1000,0,IFERROR(MATCH(AJ$5,'Oxford Economics'!$A$6:$AZ$6,0),MATCH(AJ$5&amp;"",'Oxford Economics'!$A$6:$AZ$6,0))),'Oxford Economics'!$A$7:$A$1000,$C29,'Oxford Economics'!$B$7:$B$1000,Settings!$B$14),SUMIFS(INDEX('Oxford Economics'!$A$7:$AZ$1000,0,IFERROR(MATCH(AJ$5,'Oxford Economics'!$A$6:$AZ$6,0),MATCH(AJ$5&amp;"",'Oxford Economics'!$A$6:$AZ$6,0))),'Oxford Economics'!$A$7:$A$1000,$C29,'Oxford Economics'!$B$7:$B$1000,Settings!$B$14)+SUMIFS(INDEX('Oxford Economics'!$A$7:$AZ$1000,0,IFERROR(MATCH(AJ$5,'Oxford Economics'!$A$6:$AZ$6,0),MATCH(AJ$5&amp;"",'Oxford Economics'!$A$6:$AZ$6,0))),'Oxford Economics'!$A$7:$A$1000,$C29,'Oxford Economics'!$B$7:$B$1000,Settings!$B$16)+IF(Settings!$B$18="",0,SUMIFS(INDEX('Oxford Economics'!$A$7:$AZ$1000,0,IFERROR(MATCH(AJ$5,'Oxford Economics'!$A$6:$AZ$6,0),MATCH(AJ$5&amp;"",'Oxford Economics'!$A$6:$AZ$6,0))),'Oxford Economics'!$A$7:$A$1000,$C29,'Oxford Economics'!$B$7:$B$1000,Settings!$B$18)))),""))</f>
        <v>14949.98</v>
      </c>
      <c r="AK29" s="38" t="n">
        <f aca="false">IF($A29="","",IFERROR(1/(1/IF($B29="Residential",SUMIFS(INDEX('Oxford Economics'!$A$7:$AZ$1000,0,IFERROR(MATCH(AK$5,'Oxford Economics'!$A$6:$AZ$6,0),MATCH(AK$5&amp;"",'Oxford Economics'!$A$6:$AZ$6,0))),'Oxford Economics'!$A$7:$A$1000,$C29,'Oxford Economics'!$B$7:$B$1000,Settings!$B$12)-SUMIFS(INDEX('Oxford Economics'!$A$7:$AZ$1000,0,IFERROR(MATCH(AK$5,'Oxford Economics'!$A$6:$AZ$6,0),MATCH(AK$5&amp;"",'Oxford Economics'!$A$6:$AZ$6,0))),'Oxford Economics'!$A$7:$A$1000,$C29,'Oxford Economics'!$B$7:$B$1000,Settings!$B$14),SUMIFS(INDEX('Oxford Economics'!$A$7:$AZ$1000,0,IFERROR(MATCH(AK$5,'Oxford Economics'!$A$6:$AZ$6,0),MATCH(AK$5&amp;"",'Oxford Economics'!$A$6:$AZ$6,0))),'Oxford Economics'!$A$7:$A$1000,$C29,'Oxford Economics'!$B$7:$B$1000,Settings!$B$14)+SUMIFS(INDEX('Oxford Economics'!$A$7:$AZ$1000,0,IFERROR(MATCH(AK$5,'Oxford Economics'!$A$6:$AZ$6,0),MATCH(AK$5&amp;"",'Oxford Economics'!$A$6:$AZ$6,0))),'Oxford Economics'!$A$7:$A$1000,$C29,'Oxford Economics'!$B$7:$B$1000,Settings!$B$16)+IF(Settings!$B$18="",0,SUMIFS(INDEX('Oxford Economics'!$A$7:$AZ$1000,0,IFERROR(MATCH(AK$5,'Oxford Economics'!$A$6:$AZ$6,0),MATCH(AK$5&amp;"",'Oxford Economics'!$A$6:$AZ$6,0))),'Oxford Economics'!$A$7:$A$1000,$C29,'Oxford Economics'!$B$7:$B$1000,Settings!$B$18)))),""))</f>
        <v>15348.43</v>
      </c>
      <c r="AL29" s="38" t="n">
        <f aca="false">IF($A29="","",IFERROR(1/(1/IF($B29="Residential",SUMIFS(INDEX('Oxford Economics'!$A$7:$AZ$1000,0,IFERROR(MATCH(AL$5,'Oxford Economics'!$A$6:$AZ$6,0),MATCH(AL$5&amp;"",'Oxford Economics'!$A$6:$AZ$6,0))),'Oxford Economics'!$A$7:$A$1000,$C29,'Oxford Economics'!$B$7:$B$1000,Settings!$B$12)-SUMIFS(INDEX('Oxford Economics'!$A$7:$AZ$1000,0,IFERROR(MATCH(AL$5,'Oxford Economics'!$A$6:$AZ$6,0),MATCH(AL$5&amp;"",'Oxford Economics'!$A$6:$AZ$6,0))),'Oxford Economics'!$A$7:$A$1000,$C29,'Oxford Economics'!$B$7:$B$1000,Settings!$B$14),SUMIFS(INDEX('Oxford Economics'!$A$7:$AZ$1000,0,IFERROR(MATCH(AL$5,'Oxford Economics'!$A$6:$AZ$6,0),MATCH(AL$5&amp;"",'Oxford Economics'!$A$6:$AZ$6,0))),'Oxford Economics'!$A$7:$A$1000,$C29,'Oxford Economics'!$B$7:$B$1000,Settings!$B$14)+SUMIFS(INDEX('Oxford Economics'!$A$7:$AZ$1000,0,IFERROR(MATCH(AL$5,'Oxford Economics'!$A$6:$AZ$6,0),MATCH(AL$5&amp;"",'Oxford Economics'!$A$6:$AZ$6,0))),'Oxford Economics'!$A$7:$A$1000,$C29,'Oxford Economics'!$B$7:$B$1000,Settings!$B$16)+IF(Settings!$B$18="",0,SUMIFS(INDEX('Oxford Economics'!$A$7:$AZ$1000,0,IFERROR(MATCH(AL$5,'Oxford Economics'!$A$6:$AZ$6,0),MATCH(AL$5&amp;"",'Oxford Economics'!$A$6:$AZ$6,0))),'Oxford Economics'!$A$7:$A$1000,$C29,'Oxford Economics'!$B$7:$B$1000,Settings!$B$18)))),""))</f>
        <v>15743.09</v>
      </c>
      <c r="AM29" s="38" t="n">
        <f aca="false">IF($A29="","",IFERROR(1/(1/IF($B29="Residential",SUMIFS(INDEX('Oxford Economics'!$A$7:$AZ$1000,0,IFERROR(MATCH(AM$5,'Oxford Economics'!$A$6:$AZ$6,0),MATCH(AM$5&amp;"",'Oxford Economics'!$A$6:$AZ$6,0))),'Oxford Economics'!$A$7:$A$1000,$C29,'Oxford Economics'!$B$7:$B$1000,Settings!$B$12)-SUMIFS(INDEX('Oxford Economics'!$A$7:$AZ$1000,0,IFERROR(MATCH(AM$5,'Oxford Economics'!$A$6:$AZ$6,0),MATCH(AM$5&amp;"",'Oxford Economics'!$A$6:$AZ$6,0))),'Oxford Economics'!$A$7:$A$1000,$C29,'Oxford Economics'!$B$7:$B$1000,Settings!$B$14),SUMIFS(INDEX('Oxford Economics'!$A$7:$AZ$1000,0,IFERROR(MATCH(AM$5,'Oxford Economics'!$A$6:$AZ$6,0),MATCH(AM$5&amp;"",'Oxford Economics'!$A$6:$AZ$6,0))),'Oxford Economics'!$A$7:$A$1000,$C29,'Oxford Economics'!$B$7:$B$1000,Settings!$B$14)+SUMIFS(INDEX('Oxford Economics'!$A$7:$AZ$1000,0,IFERROR(MATCH(AM$5,'Oxford Economics'!$A$6:$AZ$6,0),MATCH(AM$5&amp;"",'Oxford Economics'!$A$6:$AZ$6,0))),'Oxford Economics'!$A$7:$A$1000,$C29,'Oxford Economics'!$B$7:$B$1000,Settings!$B$16)+IF(Settings!$B$18="",0,SUMIFS(INDEX('Oxford Economics'!$A$7:$AZ$1000,0,IFERROR(MATCH(AM$5,'Oxford Economics'!$A$6:$AZ$6,0),MATCH(AM$5&amp;"",'Oxford Economics'!$A$6:$AZ$6,0))),'Oxford Economics'!$A$7:$A$1000,$C29,'Oxford Economics'!$B$7:$B$1000,Settings!$B$18)))),""))</f>
        <v>16033.67</v>
      </c>
    </row>
    <row r="30" customFormat="false" ht="15" hidden="false" customHeight="false" outlineLevel="0" collapsed="false">
      <c r="A30" s="37" t="str">
        <f aca="false">IF('Raw data'!$A30="","",'Raw data'!$A30)</f>
        <v>Sweden</v>
      </c>
      <c r="B30" s="37" t="str">
        <f aca="false">IF($A30="","",'Raw data'!$C30)</f>
        <v>Residential</v>
      </c>
      <c r="C30" s="37" t="str">
        <f aca="false">IF($A30="","",IF('Raw data'!$E30="",$A30,'Raw data'!$E30))</f>
        <v>Sweden</v>
      </c>
      <c r="D30" s="38" t="n">
        <f aca="false">IF($A30="","",IF(AND(ISNUMBER(P30),ISNUMBER(AB30)),P30+AB30,""))</f>
        <v>8380.22</v>
      </c>
      <c r="E30" s="38" t="n">
        <f aca="false">IF($A30="","",IF(AND(ISNUMBER(Q30),ISNUMBER(AC30)),Q30+AC30,""))</f>
        <v>8776.18</v>
      </c>
      <c r="F30" s="38" t="n">
        <f aca="false">IF($A30="","",IF(AND(ISNUMBER(R30),ISNUMBER(AD30)),R30+AD30,""))</f>
        <v>9202.1</v>
      </c>
      <c r="G30" s="38" t="n">
        <f aca="false">IF($A30="","",IF(AND(ISNUMBER(S30),ISNUMBER(AE30)),S30+AE30,""))</f>
        <v>9061.96</v>
      </c>
      <c r="H30" s="38" t="n">
        <f aca="false">IF($A30="","",IF(AND(ISNUMBER(T30),ISNUMBER(AF30)),T30+AF30,""))</f>
        <v>8634.45</v>
      </c>
      <c r="I30" s="38" t="n">
        <f aca="false">IF($A30="","",IF(AND(ISNUMBER(U30),ISNUMBER(AG30)),U30+AG30,""))</f>
        <v>8363.88</v>
      </c>
      <c r="J30" s="38" t="n">
        <f aca="false">IF($A30="","",IF(AND(ISNUMBER(V30),ISNUMBER(AH30)),V30+AH30,""))</f>
        <v>8535.63</v>
      </c>
      <c r="K30" s="38" t="n">
        <f aca="false">IF($A30="","",IF(AND(ISNUMBER(W30),ISNUMBER(AI30)),W30+AI30,""))</f>
        <v>8896.12</v>
      </c>
      <c r="L30" s="38" t="n">
        <f aca="false">IF($A30="","",IF(AND(ISNUMBER(X30),ISNUMBER(AJ30)),X30+AJ30,""))</f>
        <v>9099.96</v>
      </c>
      <c r="M30" s="38" t="n">
        <f aca="false">IF($A30="","",IF(AND(ISNUMBER(Y30),ISNUMBER(AK30)),Y30+AK30,""))</f>
        <v>9255.97</v>
      </c>
      <c r="N30" s="38" t="n">
        <f aca="false">IF($A30="","",IF(AND(ISNUMBER(Z30),ISNUMBER(AL30)),Z30+AL30,""))</f>
        <v>9521.88</v>
      </c>
      <c r="O30" s="38" t="n">
        <f aca="false">IF($A30="","",IF(AND(ISNUMBER(AA30),ISNUMBER(AM30)),AA30+AM30,""))</f>
        <v>9690.43</v>
      </c>
      <c r="P30" s="38" t="n">
        <f aca="false">IF($A30="","",IFERROR(1/(1/IF($B30="Residential",SUMIFS(INDEX('Oxford Economics'!$A$7:$AZ$1000,0,IFERROR(MATCH(P$5,'Oxford Economics'!$A$6:$AZ$6,0),MATCH(P$5&amp;"",'Oxford Economics'!$A$6:$AZ$6,0))),'Oxford Economics'!$A$7:$A$1000,$C30,'Oxford Economics'!$B$7:$B$1000,Settings!$B$13)-SUMIFS(INDEX('Oxford Economics'!$A$7:$AZ$1000,0,IFERROR(MATCH(P$5,'Oxford Economics'!$A$6:$AZ$6,0),MATCH(P$5&amp;"",'Oxford Economics'!$A$6:$AZ$6,0))),'Oxford Economics'!$A$7:$A$1000,$C30,'Oxford Economics'!$B$7:$B$1000,Settings!$B$15),SUMIFS(INDEX('Oxford Economics'!$A$7:$AZ$1000,0,IFERROR(MATCH(P$5,'Oxford Economics'!$A$6:$AZ$6,0),MATCH(P$5&amp;"",'Oxford Economics'!$A$6:$AZ$6,0))),'Oxford Economics'!$A$7:$A$1000,$C30,'Oxford Economics'!$B$7:$B$1000,Settings!$B$15)+SUMIFS(INDEX('Oxford Economics'!$A$7:$AZ$1000,0,IFERROR(MATCH(P$5,'Oxford Economics'!$A$6:$AZ$6,0),MATCH(P$5&amp;"",'Oxford Economics'!$A$6:$AZ$6,0))),'Oxford Economics'!$A$7:$A$1000,$C30,'Oxford Economics'!$B$7:$B$1000,Settings!$B$17)+IF(Settings!$B$19="",0,SUMIFS(INDEX('Oxford Economics'!$A$7:$AZ$1000,0,IFERROR(MATCH(P$5,'Oxford Economics'!$A$6:$AZ$6,0),MATCH(P$5&amp;"",'Oxford Economics'!$A$6:$AZ$6,0))),'Oxford Economics'!$A$7:$A$1000,$C30,'Oxford Economics'!$B$7:$B$1000,Settings!$B$19)))),""))</f>
        <v>4053.53</v>
      </c>
      <c r="Q30" s="38" t="n">
        <f aca="false">IF($A30="","",IFERROR(1/(1/IF($B30="Residential",SUMIFS(INDEX('Oxford Economics'!$A$7:$AZ$1000,0,IFERROR(MATCH(Q$5,'Oxford Economics'!$A$6:$AZ$6,0),MATCH(Q$5&amp;"",'Oxford Economics'!$A$6:$AZ$6,0))),'Oxford Economics'!$A$7:$A$1000,$C30,'Oxford Economics'!$B$7:$B$1000,Settings!$B$13)-SUMIFS(INDEX('Oxford Economics'!$A$7:$AZ$1000,0,IFERROR(MATCH(Q$5,'Oxford Economics'!$A$6:$AZ$6,0),MATCH(Q$5&amp;"",'Oxford Economics'!$A$6:$AZ$6,0))),'Oxford Economics'!$A$7:$A$1000,$C30,'Oxford Economics'!$B$7:$B$1000,Settings!$B$15),SUMIFS(INDEX('Oxford Economics'!$A$7:$AZ$1000,0,IFERROR(MATCH(Q$5,'Oxford Economics'!$A$6:$AZ$6,0),MATCH(Q$5&amp;"",'Oxford Economics'!$A$6:$AZ$6,0))),'Oxford Economics'!$A$7:$A$1000,$C30,'Oxford Economics'!$B$7:$B$1000,Settings!$B$15)+SUMIFS(INDEX('Oxford Economics'!$A$7:$AZ$1000,0,IFERROR(MATCH(Q$5,'Oxford Economics'!$A$6:$AZ$6,0),MATCH(Q$5&amp;"",'Oxford Economics'!$A$6:$AZ$6,0))),'Oxford Economics'!$A$7:$A$1000,$C30,'Oxford Economics'!$B$7:$B$1000,Settings!$B$17)+IF(Settings!$B$19="",0,SUMIFS(INDEX('Oxford Economics'!$A$7:$AZ$1000,0,IFERROR(MATCH(Q$5,'Oxford Economics'!$A$6:$AZ$6,0),MATCH(Q$5&amp;"",'Oxford Economics'!$A$6:$AZ$6,0))),'Oxford Economics'!$A$7:$A$1000,$C30,'Oxford Economics'!$B$7:$B$1000,Settings!$B$19)))),""))</f>
        <v>4041.52</v>
      </c>
      <c r="R30" s="38" t="n">
        <f aca="false">IF($A30="","",IFERROR(1/(1/IF($B30="Residential",SUMIFS(INDEX('Oxford Economics'!$A$7:$AZ$1000,0,IFERROR(MATCH(R$5,'Oxford Economics'!$A$6:$AZ$6,0),MATCH(R$5&amp;"",'Oxford Economics'!$A$6:$AZ$6,0))),'Oxford Economics'!$A$7:$A$1000,$C30,'Oxford Economics'!$B$7:$B$1000,Settings!$B$13)-SUMIFS(INDEX('Oxford Economics'!$A$7:$AZ$1000,0,IFERROR(MATCH(R$5,'Oxford Economics'!$A$6:$AZ$6,0),MATCH(R$5&amp;"",'Oxford Economics'!$A$6:$AZ$6,0))),'Oxford Economics'!$A$7:$A$1000,$C30,'Oxford Economics'!$B$7:$B$1000,Settings!$B$15),SUMIFS(INDEX('Oxford Economics'!$A$7:$AZ$1000,0,IFERROR(MATCH(R$5,'Oxford Economics'!$A$6:$AZ$6,0),MATCH(R$5&amp;"",'Oxford Economics'!$A$6:$AZ$6,0))),'Oxford Economics'!$A$7:$A$1000,$C30,'Oxford Economics'!$B$7:$B$1000,Settings!$B$15)+SUMIFS(INDEX('Oxford Economics'!$A$7:$AZ$1000,0,IFERROR(MATCH(R$5,'Oxford Economics'!$A$6:$AZ$6,0),MATCH(R$5&amp;"",'Oxford Economics'!$A$6:$AZ$6,0))),'Oxford Economics'!$A$7:$A$1000,$C30,'Oxford Economics'!$B$7:$B$1000,Settings!$B$17)+IF(Settings!$B$19="",0,SUMIFS(INDEX('Oxford Economics'!$A$7:$AZ$1000,0,IFERROR(MATCH(R$5,'Oxford Economics'!$A$6:$AZ$6,0),MATCH(R$5&amp;"",'Oxford Economics'!$A$6:$AZ$6,0))),'Oxford Economics'!$A$7:$A$1000,$C30,'Oxford Economics'!$B$7:$B$1000,Settings!$B$19)))),""))</f>
        <v>4181.8</v>
      </c>
      <c r="S30" s="38" t="n">
        <f aca="false">IF($A30="","",IFERROR(1/(1/IF($B30="Residential",SUMIFS(INDEX('Oxford Economics'!$A$7:$AZ$1000,0,IFERROR(MATCH(S$5,'Oxford Economics'!$A$6:$AZ$6,0),MATCH(S$5&amp;"",'Oxford Economics'!$A$6:$AZ$6,0))),'Oxford Economics'!$A$7:$A$1000,$C30,'Oxford Economics'!$B$7:$B$1000,Settings!$B$13)-SUMIFS(INDEX('Oxford Economics'!$A$7:$AZ$1000,0,IFERROR(MATCH(S$5,'Oxford Economics'!$A$6:$AZ$6,0),MATCH(S$5&amp;"",'Oxford Economics'!$A$6:$AZ$6,0))),'Oxford Economics'!$A$7:$A$1000,$C30,'Oxford Economics'!$B$7:$B$1000,Settings!$B$15),SUMIFS(INDEX('Oxford Economics'!$A$7:$AZ$1000,0,IFERROR(MATCH(S$5,'Oxford Economics'!$A$6:$AZ$6,0),MATCH(S$5&amp;"",'Oxford Economics'!$A$6:$AZ$6,0))),'Oxford Economics'!$A$7:$A$1000,$C30,'Oxford Economics'!$B$7:$B$1000,Settings!$B$15)+SUMIFS(INDEX('Oxford Economics'!$A$7:$AZ$1000,0,IFERROR(MATCH(S$5,'Oxford Economics'!$A$6:$AZ$6,0),MATCH(S$5&amp;"",'Oxford Economics'!$A$6:$AZ$6,0))),'Oxford Economics'!$A$7:$A$1000,$C30,'Oxford Economics'!$B$7:$B$1000,Settings!$B$17)+IF(Settings!$B$19="",0,SUMIFS(INDEX('Oxford Economics'!$A$7:$AZ$1000,0,IFERROR(MATCH(S$5,'Oxford Economics'!$A$6:$AZ$6,0),MATCH(S$5&amp;"",'Oxford Economics'!$A$6:$AZ$6,0))),'Oxford Economics'!$A$7:$A$1000,$C30,'Oxford Economics'!$B$7:$B$1000,Settings!$B$19)))),""))</f>
        <v>4935.68</v>
      </c>
      <c r="T30" s="38" t="n">
        <f aca="false">IF($A30="","",IFERROR(1/(1/IF($B30="Residential",SUMIFS(INDEX('Oxford Economics'!$A$7:$AZ$1000,0,IFERROR(MATCH(T$5,'Oxford Economics'!$A$6:$AZ$6,0),MATCH(T$5&amp;"",'Oxford Economics'!$A$6:$AZ$6,0))),'Oxford Economics'!$A$7:$A$1000,$C30,'Oxford Economics'!$B$7:$B$1000,Settings!$B$13)-SUMIFS(INDEX('Oxford Economics'!$A$7:$AZ$1000,0,IFERROR(MATCH(T$5,'Oxford Economics'!$A$6:$AZ$6,0),MATCH(T$5&amp;"",'Oxford Economics'!$A$6:$AZ$6,0))),'Oxford Economics'!$A$7:$A$1000,$C30,'Oxford Economics'!$B$7:$B$1000,Settings!$B$15),SUMIFS(INDEX('Oxford Economics'!$A$7:$AZ$1000,0,IFERROR(MATCH(T$5,'Oxford Economics'!$A$6:$AZ$6,0),MATCH(T$5&amp;"",'Oxford Economics'!$A$6:$AZ$6,0))),'Oxford Economics'!$A$7:$A$1000,$C30,'Oxford Economics'!$B$7:$B$1000,Settings!$B$15)+SUMIFS(INDEX('Oxford Economics'!$A$7:$AZ$1000,0,IFERROR(MATCH(T$5,'Oxford Economics'!$A$6:$AZ$6,0),MATCH(T$5&amp;"",'Oxford Economics'!$A$6:$AZ$6,0))),'Oxford Economics'!$A$7:$A$1000,$C30,'Oxford Economics'!$B$7:$B$1000,Settings!$B$17)+IF(Settings!$B$19="",0,SUMIFS(INDEX('Oxford Economics'!$A$7:$AZ$1000,0,IFERROR(MATCH(T$5,'Oxford Economics'!$A$6:$AZ$6,0),MATCH(T$5&amp;"",'Oxford Economics'!$A$6:$AZ$6,0))),'Oxford Economics'!$A$7:$A$1000,$C30,'Oxford Economics'!$B$7:$B$1000,Settings!$B$19)))),""))</f>
        <v>5225.83</v>
      </c>
      <c r="U30" s="38" t="n">
        <f aca="false">IF($A30="","",IFERROR(1/(1/IF($B30="Residential",SUMIFS(INDEX('Oxford Economics'!$A$7:$AZ$1000,0,IFERROR(MATCH(U$5,'Oxford Economics'!$A$6:$AZ$6,0),MATCH(U$5&amp;"",'Oxford Economics'!$A$6:$AZ$6,0))),'Oxford Economics'!$A$7:$A$1000,$C30,'Oxford Economics'!$B$7:$B$1000,Settings!$B$13)-SUMIFS(INDEX('Oxford Economics'!$A$7:$AZ$1000,0,IFERROR(MATCH(U$5,'Oxford Economics'!$A$6:$AZ$6,0),MATCH(U$5&amp;"",'Oxford Economics'!$A$6:$AZ$6,0))),'Oxford Economics'!$A$7:$A$1000,$C30,'Oxford Economics'!$B$7:$B$1000,Settings!$B$15),SUMIFS(INDEX('Oxford Economics'!$A$7:$AZ$1000,0,IFERROR(MATCH(U$5,'Oxford Economics'!$A$6:$AZ$6,0),MATCH(U$5&amp;"",'Oxford Economics'!$A$6:$AZ$6,0))),'Oxford Economics'!$A$7:$A$1000,$C30,'Oxford Economics'!$B$7:$B$1000,Settings!$B$15)+SUMIFS(INDEX('Oxford Economics'!$A$7:$AZ$1000,0,IFERROR(MATCH(U$5,'Oxford Economics'!$A$6:$AZ$6,0),MATCH(U$5&amp;"",'Oxford Economics'!$A$6:$AZ$6,0))),'Oxford Economics'!$A$7:$A$1000,$C30,'Oxford Economics'!$B$7:$B$1000,Settings!$B$17)+IF(Settings!$B$19="",0,SUMIFS(INDEX('Oxford Economics'!$A$7:$AZ$1000,0,IFERROR(MATCH(U$5,'Oxford Economics'!$A$6:$AZ$6,0),MATCH(U$5&amp;"",'Oxford Economics'!$A$6:$AZ$6,0))),'Oxford Economics'!$A$7:$A$1000,$C30,'Oxford Economics'!$B$7:$B$1000,Settings!$B$19)))),""))</f>
        <v>5075.26</v>
      </c>
      <c r="V30" s="38" t="n">
        <f aca="false">IF($A30="","",IFERROR(1/(1/IF($B30="Residential",SUMIFS(INDEX('Oxford Economics'!$A$7:$AZ$1000,0,IFERROR(MATCH(V$5,'Oxford Economics'!$A$6:$AZ$6,0),MATCH(V$5&amp;"",'Oxford Economics'!$A$6:$AZ$6,0))),'Oxford Economics'!$A$7:$A$1000,$C30,'Oxford Economics'!$B$7:$B$1000,Settings!$B$13)-SUMIFS(INDEX('Oxford Economics'!$A$7:$AZ$1000,0,IFERROR(MATCH(V$5,'Oxford Economics'!$A$6:$AZ$6,0),MATCH(V$5&amp;"",'Oxford Economics'!$A$6:$AZ$6,0))),'Oxford Economics'!$A$7:$A$1000,$C30,'Oxford Economics'!$B$7:$B$1000,Settings!$B$15),SUMIFS(INDEX('Oxford Economics'!$A$7:$AZ$1000,0,IFERROR(MATCH(V$5,'Oxford Economics'!$A$6:$AZ$6,0),MATCH(V$5&amp;"",'Oxford Economics'!$A$6:$AZ$6,0))),'Oxford Economics'!$A$7:$A$1000,$C30,'Oxford Economics'!$B$7:$B$1000,Settings!$B$15)+SUMIFS(INDEX('Oxford Economics'!$A$7:$AZ$1000,0,IFERROR(MATCH(V$5,'Oxford Economics'!$A$6:$AZ$6,0),MATCH(V$5&amp;"",'Oxford Economics'!$A$6:$AZ$6,0))),'Oxford Economics'!$A$7:$A$1000,$C30,'Oxford Economics'!$B$7:$B$1000,Settings!$B$17)+IF(Settings!$B$19="",0,SUMIFS(INDEX('Oxford Economics'!$A$7:$AZ$1000,0,IFERROR(MATCH(V$5,'Oxford Economics'!$A$6:$AZ$6,0),MATCH(V$5&amp;"",'Oxford Economics'!$A$6:$AZ$6,0))),'Oxford Economics'!$A$7:$A$1000,$C30,'Oxford Economics'!$B$7:$B$1000,Settings!$B$19)))),""))</f>
        <v>5050.7</v>
      </c>
      <c r="W30" s="38" t="n">
        <f aca="false">IF($A30="","",IFERROR(1/(1/IF($B30="Residential",SUMIFS(INDEX('Oxford Economics'!$A$7:$AZ$1000,0,IFERROR(MATCH(W$5,'Oxford Economics'!$A$6:$AZ$6,0),MATCH(W$5&amp;"",'Oxford Economics'!$A$6:$AZ$6,0))),'Oxford Economics'!$A$7:$A$1000,$C30,'Oxford Economics'!$B$7:$B$1000,Settings!$B$13)-SUMIFS(INDEX('Oxford Economics'!$A$7:$AZ$1000,0,IFERROR(MATCH(W$5,'Oxford Economics'!$A$6:$AZ$6,0),MATCH(W$5&amp;"",'Oxford Economics'!$A$6:$AZ$6,0))),'Oxford Economics'!$A$7:$A$1000,$C30,'Oxford Economics'!$B$7:$B$1000,Settings!$B$15),SUMIFS(INDEX('Oxford Economics'!$A$7:$AZ$1000,0,IFERROR(MATCH(W$5,'Oxford Economics'!$A$6:$AZ$6,0),MATCH(W$5&amp;"",'Oxford Economics'!$A$6:$AZ$6,0))),'Oxford Economics'!$A$7:$A$1000,$C30,'Oxford Economics'!$B$7:$B$1000,Settings!$B$15)+SUMIFS(INDEX('Oxford Economics'!$A$7:$AZ$1000,0,IFERROR(MATCH(W$5,'Oxford Economics'!$A$6:$AZ$6,0),MATCH(W$5&amp;"",'Oxford Economics'!$A$6:$AZ$6,0))),'Oxford Economics'!$A$7:$A$1000,$C30,'Oxford Economics'!$B$7:$B$1000,Settings!$B$17)+IF(Settings!$B$19="",0,SUMIFS(INDEX('Oxford Economics'!$A$7:$AZ$1000,0,IFERROR(MATCH(W$5,'Oxford Economics'!$A$6:$AZ$6,0),MATCH(W$5&amp;"",'Oxford Economics'!$A$6:$AZ$6,0))),'Oxford Economics'!$A$7:$A$1000,$C30,'Oxford Economics'!$B$7:$B$1000,Settings!$B$19)))),""))</f>
        <v>5249.98</v>
      </c>
      <c r="X30" s="38" t="n">
        <f aca="false">IF($A30="","",IFERROR(1/(1/IF($B30="Residential",SUMIFS(INDEX('Oxford Economics'!$A$7:$AZ$1000,0,IFERROR(MATCH(X$5,'Oxford Economics'!$A$6:$AZ$6,0),MATCH(X$5&amp;"",'Oxford Economics'!$A$6:$AZ$6,0))),'Oxford Economics'!$A$7:$A$1000,$C30,'Oxford Economics'!$B$7:$B$1000,Settings!$B$13)-SUMIFS(INDEX('Oxford Economics'!$A$7:$AZ$1000,0,IFERROR(MATCH(X$5,'Oxford Economics'!$A$6:$AZ$6,0),MATCH(X$5&amp;"",'Oxford Economics'!$A$6:$AZ$6,0))),'Oxford Economics'!$A$7:$A$1000,$C30,'Oxford Economics'!$B$7:$B$1000,Settings!$B$15),SUMIFS(INDEX('Oxford Economics'!$A$7:$AZ$1000,0,IFERROR(MATCH(X$5,'Oxford Economics'!$A$6:$AZ$6,0),MATCH(X$5&amp;"",'Oxford Economics'!$A$6:$AZ$6,0))),'Oxford Economics'!$A$7:$A$1000,$C30,'Oxford Economics'!$B$7:$B$1000,Settings!$B$15)+SUMIFS(INDEX('Oxford Economics'!$A$7:$AZ$1000,0,IFERROR(MATCH(X$5,'Oxford Economics'!$A$6:$AZ$6,0),MATCH(X$5&amp;"",'Oxford Economics'!$A$6:$AZ$6,0))),'Oxford Economics'!$A$7:$A$1000,$C30,'Oxford Economics'!$B$7:$B$1000,Settings!$B$17)+IF(Settings!$B$19="",0,SUMIFS(INDEX('Oxford Economics'!$A$7:$AZ$1000,0,IFERROR(MATCH(X$5,'Oxford Economics'!$A$6:$AZ$6,0),MATCH(X$5&amp;"",'Oxford Economics'!$A$6:$AZ$6,0))),'Oxford Economics'!$A$7:$A$1000,$C30,'Oxford Economics'!$B$7:$B$1000,Settings!$B$19)))),""))</f>
        <v>5371.29</v>
      </c>
      <c r="Y30" s="38" t="n">
        <f aca="false">IF($A30="","",IFERROR(1/(1/IF($B30="Residential",SUMIFS(INDEX('Oxford Economics'!$A$7:$AZ$1000,0,IFERROR(MATCH(Y$5,'Oxford Economics'!$A$6:$AZ$6,0),MATCH(Y$5&amp;"",'Oxford Economics'!$A$6:$AZ$6,0))),'Oxford Economics'!$A$7:$A$1000,$C30,'Oxford Economics'!$B$7:$B$1000,Settings!$B$13)-SUMIFS(INDEX('Oxford Economics'!$A$7:$AZ$1000,0,IFERROR(MATCH(Y$5,'Oxford Economics'!$A$6:$AZ$6,0),MATCH(Y$5&amp;"",'Oxford Economics'!$A$6:$AZ$6,0))),'Oxford Economics'!$A$7:$A$1000,$C30,'Oxford Economics'!$B$7:$B$1000,Settings!$B$15),SUMIFS(INDEX('Oxford Economics'!$A$7:$AZ$1000,0,IFERROR(MATCH(Y$5,'Oxford Economics'!$A$6:$AZ$6,0),MATCH(Y$5&amp;"",'Oxford Economics'!$A$6:$AZ$6,0))),'Oxford Economics'!$A$7:$A$1000,$C30,'Oxford Economics'!$B$7:$B$1000,Settings!$B$15)+SUMIFS(INDEX('Oxford Economics'!$A$7:$AZ$1000,0,IFERROR(MATCH(Y$5,'Oxford Economics'!$A$6:$AZ$6,0),MATCH(Y$5&amp;"",'Oxford Economics'!$A$6:$AZ$6,0))),'Oxford Economics'!$A$7:$A$1000,$C30,'Oxford Economics'!$B$7:$B$1000,Settings!$B$17)+IF(Settings!$B$19="",0,SUMIFS(INDEX('Oxford Economics'!$A$7:$AZ$1000,0,IFERROR(MATCH(Y$5,'Oxford Economics'!$A$6:$AZ$6,0),MATCH(Y$5&amp;"",'Oxford Economics'!$A$6:$AZ$6,0))),'Oxford Economics'!$A$7:$A$1000,$C30,'Oxford Economics'!$B$7:$B$1000,Settings!$B$19)))),""))</f>
        <v>5460.51</v>
      </c>
      <c r="Z30" s="38" t="n">
        <f aca="false">IF($A30="","",IFERROR(1/(1/IF($B30="Residential",SUMIFS(INDEX('Oxford Economics'!$A$7:$AZ$1000,0,IFERROR(MATCH(Z$5,'Oxford Economics'!$A$6:$AZ$6,0),MATCH(Z$5&amp;"",'Oxford Economics'!$A$6:$AZ$6,0))),'Oxford Economics'!$A$7:$A$1000,$C30,'Oxford Economics'!$B$7:$B$1000,Settings!$B$13)-SUMIFS(INDEX('Oxford Economics'!$A$7:$AZ$1000,0,IFERROR(MATCH(Z$5,'Oxford Economics'!$A$6:$AZ$6,0),MATCH(Z$5&amp;"",'Oxford Economics'!$A$6:$AZ$6,0))),'Oxford Economics'!$A$7:$A$1000,$C30,'Oxford Economics'!$B$7:$B$1000,Settings!$B$15),SUMIFS(INDEX('Oxford Economics'!$A$7:$AZ$1000,0,IFERROR(MATCH(Z$5,'Oxford Economics'!$A$6:$AZ$6,0),MATCH(Z$5&amp;"",'Oxford Economics'!$A$6:$AZ$6,0))),'Oxford Economics'!$A$7:$A$1000,$C30,'Oxford Economics'!$B$7:$B$1000,Settings!$B$15)+SUMIFS(INDEX('Oxford Economics'!$A$7:$AZ$1000,0,IFERROR(MATCH(Z$5,'Oxford Economics'!$A$6:$AZ$6,0),MATCH(Z$5&amp;"",'Oxford Economics'!$A$6:$AZ$6,0))),'Oxford Economics'!$A$7:$A$1000,$C30,'Oxford Economics'!$B$7:$B$1000,Settings!$B$17)+IF(Settings!$B$19="",0,SUMIFS(INDEX('Oxford Economics'!$A$7:$AZ$1000,0,IFERROR(MATCH(Z$5,'Oxford Economics'!$A$6:$AZ$6,0),MATCH(Z$5&amp;"",'Oxford Economics'!$A$6:$AZ$6,0))),'Oxford Economics'!$A$7:$A$1000,$C30,'Oxford Economics'!$B$7:$B$1000,Settings!$B$19)))),""))</f>
        <v>5654.06</v>
      </c>
      <c r="AA30" s="38" t="n">
        <f aca="false">IF($A30="","",IFERROR(1/(1/IF($B30="Residential",SUMIFS(INDEX('Oxford Economics'!$A$7:$AZ$1000,0,IFERROR(MATCH(AA$5,'Oxford Economics'!$A$6:$AZ$6,0),MATCH(AA$5&amp;"",'Oxford Economics'!$A$6:$AZ$6,0))),'Oxford Economics'!$A$7:$A$1000,$C30,'Oxford Economics'!$B$7:$B$1000,Settings!$B$13)-SUMIFS(INDEX('Oxford Economics'!$A$7:$AZ$1000,0,IFERROR(MATCH(AA$5,'Oxford Economics'!$A$6:$AZ$6,0),MATCH(AA$5&amp;"",'Oxford Economics'!$A$6:$AZ$6,0))),'Oxford Economics'!$A$7:$A$1000,$C30,'Oxford Economics'!$B$7:$B$1000,Settings!$B$15),SUMIFS(INDEX('Oxford Economics'!$A$7:$AZ$1000,0,IFERROR(MATCH(AA$5,'Oxford Economics'!$A$6:$AZ$6,0),MATCH(AA$5&amp;"",'Oxford Economics'!$A$6:$AZ$6,0))),'Oxford Economics'!$A$7:$A$1000,$C30,'Oxford Economics'!$B$7:$B$1000,Settings!$B$15)+SUMIFS(INDEX('Oxford Economics'!$A$7:$AZ$1000,0,IFERROR(MATCH(AA$5,'Oxford Economics'!$A$6:$AZ$6,0),MATCH(AA$5&amp;"",'Oxford Economics'!$A$6:$AZ$6,0))),'Oxford Economics'!$A$7:$A$1000,$C30,'Oxford Economics'!$B$7:$B$1000,Settings!$B$17)+IF(Settings!$B$19="",0,SUMIFS(INDEX('Oxford Economics'!$A$7:$AZ$1000,0,IFERROR(MATCH(AA$5,'Oxford Economics'!$A$6:$AZ$6,0),MATCH(AA$5&amp;"",'Oxford Economics'!$A$6:$AZ$6,0))),'Oxford Economics'!$A$7:$A$1000,$C30,'Oxford Economics'!$B$7:$B$1000,Settings!$B$19)))),""))</f>
        <v>5759.77</v>
      </c>
      <c r="AB30" s="38" t="n">
        <f aca="false">IF($A30="","",IFERROR(1/(1/IF($B30="Residential",SUMIFS(INDEX('Oxford Economics'!$A$7:$AZ$1000,0,IFERROR(MATCH(AB$5,'Oxford Economics'!$A$6:$AZ$6,0),MATCH(AB$5&amp;"",'Oxford Economics'!$A$6:$AZ$6,0))),'Oxford Economics'!$A$7:$A$1000,$C30,'Oxford Economics'!$B$7:$B$1000,Settings!$B$12)-SUMIFS(INDEX('Oxford Economics'!$A$7:$AZ$1000,0,IFERROR(MATCH(AB$5,'Oxford Economics'!$A$6:$AZ$6,0),MATCH(AB$5&amp;"",'Oxford Economics'!$A$6:$AZ$6,0))),'Oxford Economics'!$A$7:$A$1000,$C30,'Oxford Economics'!$B$7:$B$1000,Settings!$B$14),SUMIFS(INDEX('Oxford Economics'!$A$7:$AZ$1000,0,IFERROR(MATCH(AB$5,'Oxford Economics'!$A$6:$AZ$6,0),MATCH(AB$5&amp;"",'Oxford Economics'!$A$6:$AZ$6,0))),'Oxford Economics'!$A$7:$A$1000,$C30,'Oxford Economics'!$B$7:$B$1000,Settings!$B$14)+SUMIFS(INDEX('Oxford Economics'!$A$7:$AZ$1000,0,IFERROR(MATCH(AB$5,'Oxford Economics'!$A$6:$AZ$6,0),MATCH(AB$5&amp;"",'Oxford Economics'!$A$6:$AZ$6,0))),'Oxford Economics'!$A$7:$A$1000,$C30,'Oxford Economics'!$B$7:$B$1000,Settings!$B$16)+IF(Settings!$B$18="",0,SUMIFS(INDEX('Oxford Economics'!$A$7:$AZ$1000,0,IFERROR(MATCH(AB$5,'Oxford Economics'!$A$6:$AZ$6,0),MATCH(AB$5&amp;"",'Oxford Economics'!$A$6:$AZ$6,0))),'Oxford Economics'!$A$7:$A$1000,$C30,'Oxford Economics'!$B$7:$B$1000,Settings!$B$18)))),""))</f>
        <v>4326.69</v>
      </c>
      <c r="AC30" s="38" t="n">
        <f aca="false">IF($A30="","",IFERROR(1/(1/IF($B30="Residential",SUMIFS(INDEX('Oxford Economics'!$A$7:$AZ$1000,0,IFERROR(MATCH(AC$5,'Oxford Economics'!$A$6:$AZ$6,0),MATCH(AC$5&amp;"",'Oxford Economics'!$A$6:$AZ$6,0))),'Oxford Economics'!$A$7:$A$1000,$C30,'Oxford Economics'!$B$7:$B$1000,Settings!$B$12)-SUMIFS(INDEX('Oxford Economics'!$A$7:$AZ$1000,0,IFERROR(MATCH(AC$5,'Oxford Economics'!$A$6:$AZ$6,0),MATCH(AC$5&amp;"",'Oxford Economics'!$A$6:$AZ$6,0))),'Oxford Economics'!$A$7:$A$1000,$C30,'Oxford Economics'!$B$7:$B$1000,Settings!$B$14),SUMIFS(INDEX('Oxford Economics'!$A$7:$AZ$1000,0,IFERROR(MATCH(AC$5,'Oxford Economics'!$A$6:$AZ$6,0),MATCH(AC$5&amp;"",'Oxford Economics'!$A$6:$AZ$6,0))),'Oxford Economics'!$A$7:$A$1000,$C30,'Oxford Economics'!$B$7:$B$1000,Settings!$B$14)+SUMIFS(INDEX('Oxford Economics'!$A$7:$AZ$1000,0,IFERROR(MATCH(AC$5,'Oxford Economics'!$A$6:$AZ$6,0),MATCH(AC$5&amp;"",'Oxford Economics'!$A$6:$AZ$6,0))),'Oxford Economics'!$A$7:$A$1000,$C30,'Oxford Economics'!$B$7:$B$1000,Settings!$B$16)+IF(Settings!$B$18="",0,SUMIFS(INDEX('Oxford Economics'!$A$7:$AZ$1000,0,IFERROR(MATCH(AC$5,'Oxford Economics'!$A$6:$AZ$6,0),MATCH(AC$5&amp;"",'Oxford Economics'!$A$6:$AZ$6,0))),'Oxford Economics'!$A$7:$A$1000,$C30,'Oxford Economics'!$B$7:$B$1000,Settings!$B$18)))),""))</f>
        <v>4734.66</v>
      </c>
      <c r="AD30" s="38" t="n">
        <f aca="false">IF($A30="","",IFERROR(1/(1/IF($B30="Residential",SUMIFS(INDEX('Oxford Economics'!$A$7:$AZ$1000,0,IFERROR(MATCH(AD$5,'Oxford Economics'!$A$6:$AZ$6,0),MATCH(AD$5&amp;"",'Oxford Economics'!$A$6:$AZ$6,0))),'Oxford Economics'!$A$7:$A$1000,$C30,'Oxford Economics'!$B$7:$B$1000,Settings!$B$12)-SUMIFS(INDEX('Oxford Economics'!$A$7:$AZ$1000,0,IFERROR(MATCH(AD$5,'Oxford Economics'!$A$6:$AZ$6,0),MATCH(AD$5&amp;"",'Oxford Economics'!$A$6:$AZ$6,0))),'Oxford Economics'!$A$7:$A$1000,$C30,'Oxford Economics'!$B$7:$B$1000,Settings!$B$14),SUMIFS(INDEX('Oxford Economics'!$A$7:$AZ$1000,0,IFERROR(MATCH(AD$5,'Oxford Economics'!$A$6:$AZ$6,0),MATCH(AD$5&amp;"",'Oxford Economics'!$A$6:$AZ$6,0))),'Oxford Economics'!$A$7:$A$1000,$C30,'Oxford Economics'!$B$7:$B$1000,Settings!$B$14)+SUMIFS(INDEX('Oxford Economics'!$A$7:$AZ$1000,0,IFERROR(MATCH(AD$5,'Oxford Economics'!$A$6:$AZ$6,0),MATCH(AD$5&amp;"",'Oxford Economics'!$A$6:$AZ$6,0))),'Oxford Economics'!$A$7:$A$1000,$C30,'Oxford Economics'!$B$7:$B$1000,Settings!$B$16)+IF(Settings!$B$18="",0,SUMIFS(INDEX('Oxford Economics'!$A$7:$AZ$1000,0,IFERROR(MATCH(AD$5,'Oxford Economics'!$A$6:$AZ$6,0),MATCH(AD$5&amp;"",'Oxford Economics'!$A$6:$AZ$6,0))),'Oxford Economics'!$A$7:$A$1000,$C30,'Oxford Economics'!$B$7:$B$1000,Settings!$B$18)))),""))</f>
        <v>5020.3</v>
      </c>
      <c r="AE30" s="38" t="n">
        <f aca="false">IF($A30="","",IFERROR(1/(1/IF($B30="Residential",SUMIFS(INDEX('Oxford Economics'!$A$7:$AZ$1000,0,IFERROR(MATCH(AE$5,'Oxford Economics'!$A$6:$AZ$6,0),MATCH(AE$5&amp;"",'Oxford Economics'!$A$6:$AZ$6,0))),'Oxford Economics'!$A$7:$A$1000,$C30,'Oxford Economics'!$B$7:$B$1000,Settings!$B$12)-SUMIFS(INDEX('Oxford Economics'!$A$7:$AZ$1000,0,IFERROR(MATCH(AE$5,'Oxford Economics'!$A$6:$AZ$6,0),MATCH(AE$5&amp;"",'Oxford Economics'!$A$6:$AZ$6,0))),'Oxford Economics'!$A$7:$A$1000,$C30,'Oxford Economics'!$B$7:$B$1000,Settings!$B$14),SUMIFS(INDEX('Oxford Economics'!$A$7:$AZ$1000,0,IFERROR(MATCH(AE$5,'Oxford Economics'!$A$6:$AZ$6,0),MATCH(AE$5&amp;"",'Oxford Economics'!$A$6:$AZ$6,0))),'Oxford Economics'!$A$7:$A$1000,$C30,'Oxford Economics'!$B$7:$B$1000,Settings!$B$14)+SUMIFS(INDEX('Oxford Economics'!$A$7:$AZ$1000,0,IFERROR(MATCH(AE$5,'Oxford Economics'!$A$6:$AZ$6,0),MATCH(AE$5&amp;"",'Oxford Economics'!$A$6:$AZ$6,0))),'Oxford Economics'!$A$7:$A$1000,$C30,'Oxford Economics'!$B$7:$B$1000,Settings!$B$16)+IF(Settings!$B$18="",0,SUMIFS(INDEX('Oxford Economics'!$A$7:$AZ$1000,0,IFERROR(MATCH(AE$5,'Oxford Economics'!$A$6:$AZ$6,0),MATCH(AE$5&amp;"",'Oxford Economics'!$A$6:$AZ$6,0))),'Oxford Economics'!$A$7:$A$1000,$C30,'Oxford Economics'!$B$7:$B$1000,Settings!$B$18)))),""))</f>
        <v>4126.28</v>
      </c>
      <c r="AF30" s="38" t="n">
        <f aca="false">IF($A30="","",IFERROR(1/(1/IF($B30="Residential",SUMIFS(INDEX('Oxford Economics'!$A$7:$AZ$1000,0,IFERROR(MATCH(AF$5,'Oxford Economics'!$A$6:$AZ$6,0),MATCH(AF$5&amp;"",'Oxford Economics'!$A$6:$AZ$6,0))),'Oxford Economics'!$A$7:$A$1000,$C30,'Oxford Economics'!$B$7:$B$1000,Settings!$B$12)-SUMIFS(INDEX('Oxford Economics'!$A$7:$AZ$1000,0,IFERROR(MATCH(AF$5,'Oxford Economics'!$A$6:$AZ$6,0),MATCH(AF$5&amp;"",'Oxford Economics'!$A$6:$AZ$6,0))),'Oxford Economics'!$A$7:$A$1000,$C30,'Oxford Economics'!$B$7:$B$1000,Settings!$B$14),SUMIFS(INDEX('Oxford Economics'!$A$7:$AZ$1000,0,IFERROR(MATCH(AF$5,'Oxford Economics'!$A$6:$AZ$6,0),MATCH(AF$5&amp;"",'Oxford Economics'!$A$6:$AZ$6,0))),'Oxford Economics'!$A$7:$A$1000,$C30,'Oxford Economics'!$B$7:$B$1000,Settings!$B$14)+SUMIFS(INDEX('Oxford Economics'!$A$7:$AZ$1000,0,IFERROR(MATCH(AF$5,'Oxford Economics'!$A$6:$AZ$6,0),MATCH(AF$5&amp;"",'Oxford Economics'!$A$6:$AZ$6,0))),'Oxford Economics'!$A$7:$A$1000,$C30,'Oxford Economics'!$B$7:$B$1000,Settings!$B$16)+IF(Settings!$B$18="",0,SUMIFS(INDEX('Oxford Economics'!$A$7:$AZ$1000,0,IFERROR(MATCH(AF$5,'Oxford Economics'!$A$6:$AZ$6,0),MATCH(AF$5&amp;"",'Oxford Economics'!$A$6:$AZ$6,0))),'Oxford Economics'!$A$7:$A$1000,$C30,'Oxford Economics'!$B$7:$B$1000,Settings!$B$18)))),""))</f>
        <v>3408.62</v>
      </c>
      <c r="AG30" s="38" t="n">
        <f aca="false">IF($A30="","",IFERROR(1/(1/IF($B30="Residential",SUMIFS(INDEX('Oxford Economics'!$A$7:$AZ$1000,0,IFERROR(MATCH(AG$5,'Oxford Economics'!$A$6:$AZ$6,0),MATCH(AG$5&amp;"",'Oxford Economics'!$A$6:$AZ$6,0))),'Oxford Economics'!$A$7:$A$1000,$C30,'Oxford Economics'!$B$7:$B$1000,Settings!$B$12)-SUMIFS(INDEX('Oxford Economics'!$A$7:$AZ$1000,0,IFERROR(MATCH(AG$5,'Oxford Economics'!$A$6:$AZ$6,0),MATCH(AG$5&amp;"",'Oxford Economics'!$A$6:$AZ$6,0))),'Oxford Economics'!$A$7:$A$1000,$C30,'Oxford Economics'!$B$7:$B$1000,Settings!$B$14),SUMIFS(INDEX('Oxford Economics'!$A$7:$AZ$1000,0,IFERROR(MATCH(AG$5,'Oxford Economics'!$A$6:$AZ$6,0),MATCH(AG$5&amp;"",'Oxford Economics'!$A$6:$AZ$6,0))),'Oxford Economics'!$A$7:$A$1000,$C30,'Oxford Economics'!$B$7:$B$1000,Settings!$B$14)+SUMIFS(INDEX('Oxford Economics'!$A$7:$AZ$1000,0,IFERROR(MATCH(AG$5,'Oxford Economics'!$A$6:$AZ$6,0),MATCH(AG$5&amp;"",'Oxford Economics'!$A$6:$AZ$6,0))),'Oxford Economics'!$A$7:$A$1000,$C30,'Oxford Economics'!$B$7:$B$1000,Settings!$B$16)+IF(Settings!$B$18="",0,SUMIFS(INDEX('Oxford Economics'!$A$7:$AZ$1000,0,IFERROR(MATCH(AG$5,'Oxford Economics'!$A$6:$AZ$6,0),MATCH(AG$5&amp;"",'Oxford Economics'!$A$6:$AZ$6,0))),'Oxford Economics'!$A$7:$A$1000,$C30,'Oxford Economics'!$B$7:$B$1000,Settings!$B$18)))),""))</f>
        <v>3288.62</v>
      </c>
      <c r="AH30" s="38" t="n">
        <f aca="false">IF($A30="","",IFERROR(1/(1/IF($B30="Residential",SUMIFS(INDEX('Oxford Economics'!$A$7:$AZ$1000,0,IFERROR(MATCH(AH$5,'Oxford Economics'!$A$6:$AZ$6,0),MATCH(AH$5&amp;"",'Oxford Economics'!$A$6:$AZ$6,0))),'Oxford Economics'!$A$7:$A$1000,$C30,'Oxford Economics'!$B$7:$B$1000,Settings!$B$12)-SUMIFS(INDEX('Oxford Economics'!$A$7:$AZ$1000,0,IFERROR(MATCH(AH$5,'Oxford Economics'!$A$6:$AZ$6,0),MATCH(AH$5&amp;"",'Oxford Economics'!$A$6:$AZ$6,0))),'Oxford Economics'!$A$7:$A$1000,$C30,'Oxford Economics'!$B$7:$B$1000,Settings!$B$14),SUMIFS(INDEX('Oxford Economics'!$A$7:$AZ$1000,0,IFERROR(MATCH(AH$5,'Oxford Economics'!$A$6:$AZ$6,0),MATCH(AH$5&amp;"",'Oxford Economics'!$A$6:$AZ$6,0))),'Oxford Economics'!$A$7:$A$1000,$C30,'Oxford Economics'!$B$7:$B$1000,Settings!$B$14)+SUMIFS(INDEX('Oxford Economics'!$A$7:$AZ$1000,0,IFERROR(MATCH(AH$5,'Oxford Economics'!$A$6:$AZ$6,0),MATCH(AH$5&amp;"",'Oxford Economics'!$A$6:$AZ$6,0))),'Oxford Economics'!$A$7:$A$1000,$C30,'Oxford Economics'!$B$7:$B$1000,Settings!$B$16)+IF(Settings!$B$18="",0,SUMIFS(INDEX('Oxford Economics'!$A$7:$AZ$1000,0,IFERROR(MATCH(AH$5,'Oxford Economics'!$A$6:$AZ$6,0),MATCH(AH$5&amp;"",'Oxford Economics'!$A$6:$AZ$6,0))),'Oxford Economics'!$A$7:$A$1000,$C30,'Oxford Economics'!$B$7:$B$1000,Settings!$B$18)))),""))</f>
        <v>3484.93</v>
      </c>
      <c r="AI30" s="38" t="n">
        <f aca="false">IF($A30="","",IFERROR(1/(1/IF($B30="Residential",SUMIFS(INDEX('Oxford Economics'!$A$7:$AZ$1000,0,IFERROR(MATCH(AI$5,'Oxford Economics'!$A$6:$AZ$6,0),MATCH(AI$5&amp;"",'Oxford Economics'!$A$6:$AZ$6,0))),'Oxford Economics'!$A$7:$A$1000,$C30,'Oxford Economics'!$B$7:$B$1000,Settings!$B$12)-SUMIFS(INDEX('Oxford Economics'!$A$7:$AZ$1000,0,IFERROR(MATCH(AI$5,'Oxford Economics'!$A$6:$AZ$6,0),MATCH(AI$5&amp;"",'Oxford Economics'!$A$6:$AZ$6,0))),'Oxford Economics'!$A$7:$A$1000,$C30,'Oxford Economics'!$B$7:$B$1000,Settings!$B$14),SUMIFS(INDEX('Oxford Economics'!$A$7:$AZ$1000,0,IFERROR(MATCH(AI$5,'Oxford Economics'!$A$6:$AZ$6,0),MATCH(AI$5&amp;"",'Oxford Economics'!$A$6:$AZ$6,0))),'Oxford Economics'!$A$7:$A$1000,$C30,'Oxford Economics'!$B$7:$B$1000,Settings!$B$14)+SUMIFS(INDEX('Oxford Economics'!$A$7:$AZ$1000,0,IFERROR(MATCH(AI$5,'Oxford Economics'!$A$6:$AZ$6,0),MATCH(AI$5&amp;"",'Oxford Economics'!$A$6:$AZ$6,0))),'Oxford Economics'!$A$7:$A$1000,$C30,'Oxford Economics'!$B$7:$B$1000,Settings!$B$16)+IF(Settings!$B$18="",0,SUMIFS(INDEX('Oxford Economics'!$A$7:$AZ$1000,0,IFERROR(MATCH(AI$5,'Oxford Economics'!$A$6:$AZ$6,0),MATCH(AI$5&amp;"",'Oxford Economics'!$A$6:$AZ$6,0))),'Oxford Economics'!$A$7:$A$1000,$C30,'Oxford Economics'!$B$7:$B$1000,Settings!$B$18)))),""))</f>
        <v>3646.14</v>
      </c>
      <c r="AJ30" s="38" t="n">
        <f aca="false">IF($A30="","",IFERROR(1/(1/IF($B30="Residential",SUMIFS(INDEX('Oxford Economics'!$A$7:$AZ$1000,0,IFERROR(MATCH(AJ$5,'Oxford Economics'!$A$6:$AZ$6,0),MATCH(AJ$5&amp;"",'Oxford Economics'!$A$6:$AZ$6,0))),'Oxford Economics'!$A$7:$A$1000,$C30,'Oxford Economics'!$B$7:$B$1000,Settings!$B$12)-SUMIFS(INDEX('Oxford Economics'!$A$7:$AZ$1000,0,IFERROR(MATCH(AJ$5,'Oxford Economics'!$A$6:$AZ$6,0),MATCH(AJ$5&amp;"",'Oxford Economics'!$A$6:$AZ$6,0))),'Oxford Economics'!$A$7:$A$1000,$C30,'Oxford Economics'!$B$7:$B$1000,Settings!$B$14),SUMIFS(INDEX('Oxford Economics'!$A$7:$AZ$1000,0,IFERROR(MATCH(AJ$5,'Oxford Economics'!$A$6:$AZ$6,0),MATCH(AJ$5&amp;"",'Oxford Economics'!$A$6:$AZ$6,0))),'Oxford Economics'!$A$7:$A$1000,$C30,'Oxford Economics'!$B$7:$B$1000,Settings!$B$14)+SUMIFS(INDEX('Oxford Economics'!$A$7:$AZ$1000,0,IFERROR(MATCH(AJ$5,'Oxford Economics'!$A$6:$AZ$6,0),MATCH(AJ$5&amp;"",'Oxford Economics'!$A$6:$AZ$6,0))),'Oxford Economics'!$A$7:$A$1000,$C30,'Oxford Economics'!$B$7:$B$1000,Settings!$B$16)+IF(Settings!$B$18="",0,SUMIFS(INDEX('Oxford Economics'!$A$7:$AZ$1000,0,IFERROR(MATCH(AJ$5,'Oxford Economics'!$A$6:$AZ$6,0),MATCH(AJ$5&amp;"",'Oxford Economics'!$A$6:$AZ$6,0))),'Oxford Economics'!$A$7:$A$1000,$C30,'Oxford Economics'!$B$7:$B$1000,Settings!$B$18)))),""))</f>
        <v>3728.67</v>
      </c>
      <c r="AK30" s="38" t="n">
        <f aca="false">IF($A30="","",IFERROR(1/(1/IF($B30="Residential",SUMIFS(INDEX('Oxford Economics'!$A$7:$AZ$1000,0,IFERROR(MATCH(AK$5,'Oxford Economics'!$A$6:$AZ$6,0),MATCH(AK$5&amp;"",'Oxford Economics'!$A$6:$AZ$6,0))),'Oxford Economics'!$A$7:$A$1000,$C30,'Oxford Economics'!$B$7:$B$1000,Settings!$B$12)-SUMIFS(INDEX('Oxford Economics'!$A$7:$AZ$1000,0,IFERROR(MATCH(AK$5,'Oxford Economics'!$A$6:$AZ$6,0),MATCH(AK$5&amp;"",'Oxford Economics'!$A$6:$AZ$6,0))),'Oxford Economics'!$A$7:$A$1000,$C30,'Oxford Economics'!$B$7:$B$1000,Settings!$B$14),SUMIFS(INDEX('Oxford Economics'!$A$7:$AZ$1000,0,IFERROR(MATCH(AK$5,'Oxford Economics'!$A$6:$AZ$6,0),MATCH(AK$5&amp;"",'Oxford Economics'!$A$6:$AZ$6,0))),'Oxford Economics'!$A$7:$A$1000,$C30,'Oxford Economics'!$B$7:$B$1000,Settings!$B$14)+SUMIFS(INDEX('Oxford Economics'!$A$7:$AZ$1000,0,IFERROR(MATCH(AK$5,'Oxford Economics'!$A$6:$AZ$6,0),MATCH(AK$5&amp;"",'Oxford Economics'!$A$6:$AZ$6,0))),'Oxford Economics'!$A$7:$A$1000,$C30,'Oxford Economics'!$B$7:$B$1000,Settings!$B$16)+IF(Settings!$B$18="",0,SUMIFS(INDEX('Oxford Economics'!$A$7:$AZ$1000,0,IFERROR(MATCH(AK$5,'Oxford Economics'!$A$6:$AZ$6,0),MATCH(AK$5&amp;"",'Oxford Economics'!$A$6:$AZ$6,0))),'Oxford Economics'!$A$7:$A$1000,$C30,'Oxford Economics'!$B$7:$B$1000,Settings!$B$18)))),""))</f>
        <v>3795.46</v>
      </c>
      <c r="AL30" s="38" t="n">
        <f aca="false">IF($A30="","",IFERROR(1/(1/IF($B30="Residential",SUMIFS(INDEX('Oxford Economics'!$A$7:$AZ$1000,0,IFERROR(MATCH(AL$5,'Oxford Economics'!$A$6:$AZ$6,0),MATCH(AL$5&amp;"",'Oxford Economics'!$A$6:$AZ$6,0))),'Oxford Economics'!$A$7:$A$1000,$C30,'Oxford Economics'!$B$7:$B$1000,Settings!$B$12)-SUMIFS(INDEX('Oxford Economics'!$A$7:$AZ$1000,0,IFERROR(MATCH(AL$5,'Oxford Economics'!$A$6:$AZ$6,0),MATCH(AL$5&amp;"",'Oxford Economics'!$A$6:$AZ$6,0))),'Oxford Economics'!$A$7:$A$1000,$C30,'Oxford Economics'!$B$7:$B$1000,Settings!$B$14),SUMIFS(INDEX('Oxford Economics'!$A$7:$AZ$1000,0,IFERROR(MATCH(AL$5,'Oxford Economics'!$A$6:$AZ$6,0),MATCH(AL$5&amp;"",'Oxford Economics'!$A$6:$AZ$6,0))),'Oxford Economics'!$A$7:$A$1000,$C30,'Oxford Economics'!$B$7:$B$1000,Settings!$B$14)+SUMIFS(INDEX('Oxford Economics'!$A$7:$AZ$1000,0,IFERROR(MATCH(AL$5,'Oxford Economics'!$A$6:$AZ$6,0),MATCH(AL$5&amp;"",'Oxford Economics'!$A$6:$AZ$6,0))),'Oxford Economics'!$A$7:$A$1000,$C30,'Oxford Economics'!$B$7:$B$1000,Settings!$B$16)+IF(Settings!$B$18="",0,SUMIFS(INDEX('Oxford Economics'!$A$7:$AZ$1000,0,IFERROR(MATCH(AL$5,'Oxford Economics'!$A$6:$AZ$6,0),MATCH(AL$5&amp;"",'Oxford Economics'!$A$6:$AZ$6,0))),'Oxford Economics'!$A$7:$A$1000,$C30,'Oxford Economics'!$B$7:$B$1000,Settings!$B$18)))),""))</f>
        <v>3867.82</v>
      </c>
      <c r="AM30" s="38" t="n">
        <f aca="false">IF($A30="","",IFERROR(1/(1/IF($B30="Residential",SUMIFS(INDEX('Oxford Economics'!$A$7:$AZ$1000,0,IFERROR(MATCH(AM$5,'Oxford Economics'!$A$6:$AZ$6,0),MATCH(AM$5&amp;"",'Oxford Economics'!$A$6:$AZ$6,0))),'Oxford Economics'!$A$7:$A$1000,$C30,'Oxford Economics'!$B$7:$B$1000,Settings!$B$12)-SUMIFS(INDEX('Oxford Economics'!$A$7:$AZ$1000,0,IFERROR(MATCH(AM$5,'Oxford Economics'!$A$6:$AZ$6,0),MATCH(AM$5&amp;"",'Oxford Economics'!$A$6:$AZ$6,0))),'Oxford Economics'!$A$7:$A$1000,$C30,'Oxford Economics'!$B$7:$B$1000,Settings!$B$14),SUMIFS(INDEX('Oxford Economics'!$A$7:$AZ$1000,0,IFERROR(MATCH(AM$5,'Oxford Economics'!$A$6:$AZ$6,0),MATCH(AM$5&amp;"",'Oxford Economics'!$A$6:$AZ$6,0))),'Oxford Economics'!$A$7:$A$1000,$C30,'Oxford Economics'!$B$7:$B$1000,Settings!$B$14)+SUMIFS(INDEX('Oxford Economics'!$A$7:$AZ$1000,0,IFERROR(MATCH(AM$5,'Oxford Economics'!$A$6:$AZ$6,0),MATCH(AM$5&amp;"",'Oxford Economics'!$A$6:$AZ$6,0))),'Oxford Economics'!$A$7:$A$1000,$C30,'Oxford Economics'!$B$7:$B$1000,Settings!$B$16)+IF(Settings!$B$18="",0,SUMIFS(INDEX('Oxford Economics'!$A$7:$AZ$1000,0,IFERROR(MATCH(AM$5,'Oxford Economics'!$A$6:$AZ$6,0),MATCH(AM$5&amp;"",'Oxford Economics'!$A$6:$AZ$6,0))),'Oxford Economics'!$A$7:$A$1000,$C30,'Oxford Economics'!$B$7:$B$1000,Settings!$B$18)))),""))</f>
        <v>3930.66</v>
      </c>
    </row>
    <row r="31" customFormat="false" ht="15" hidden="false" customHeight="false" outlineLevel="0" collapsed="false">
      <c r="A31" s="37" t="str">
        <f aca="false">IF('Raw data'!$A31="","",'Raw data'!$A31)</f>
        <v>Sweden</v>
      </c>
      <c r="B31" s="37" t="str">
        <f aca="false">IF($A31="","",'Raw data'!$C31)</f>
        <v>Residential</v>
      </c>
      <c r="C31" s="37" t="str">
        <f aca="false">IF($A31="","",IF('Raw data'!$E31="",$A31,'Raw data'!$E31))</f>
        <v>Sweden</v>
      </c>
      <c r="D31" s="38" t="n">
        <f aca="false">IF($A31="","",IF(AND(ISNUMBER(P31),ISNUMBER(AB31)),P31+AB31,""))</f>
        <v>8380.22</v>
      </c>
      <c r="E31" s="38" t="n">
        <f aca="false">IF($A31="","",IF(AND(ISNUMBER(Q31),ISNUMBER(AC31)),Q31+AC31,""))</f>
        <v>8776.18</v>
      </c>
      <c r="F31" s="38" t="n">
        <f aca="false">IF($A31="","",IF(AND(ISNUMBER(R31),ISNUMBER(AD31)),R31+AD31,""))</f>
        <v>9202.1</v>
      </c>
      <c r="G31" s="38" t="n">
        <f aca="false">IF($A31="","",IF(AND(ISNUMBER(S31),ISNUMBER(AE31)),S31+AE31,""))</f>
        <v>9061.96</v>
      </c>
      <c r="H31" s="38" t="n">
        <f aca="false">IF($A31="","",IF(AND(ISNUMBER(T31),ISNUMBER(AF31)),T31+AF31,""))</f>
        <v>8634.45</v>
      </c>
      <c r="I31" s="38" t="n">
        <f aca="false">IF($A31="","",IF(AND(ISNUMBER(U31),ISNUMBER(AG31)),U31+AG31,""))</f>
        <v>8363.88</v>
      </c>
      <c r="J31" s="38" t="n">
        <f aca="false">IF($A31="","",IF(AND(ISNUMBER(V31),ISNUMBER(AH31)),V31+AH31,""))</f>
        <v>8535.63</v>
      </c>
      <c r="K31" s="38" t="n">
        <f aca="false">IF($A31="","",IF(AND(ISNUMBER(W31),ISNUMBER(AI31)),W31+AI31,""))</f>
        <v>8896.12</v>
      </c>
      <c r="L31" s="38" t="n">
        <f aca="false">IF($A31="","",IF(AND(ISNUMBER(X31),ISNUMBER(AJ31)),X31+AJ31,""))</f>
        <v>9099.96</v>
      </c>
      <c r="M31" s="38" t="n">
        <f aca="false">IF($A31="","",IF(AND(ISNUMBER(Y31),ISNUMBER(AK31)),Y31+AK31,""))</f>
        <v>9255.97</v>
      </c>
      <c r="N31" s="38" t="n">
        <f aca="false">IF($A31="","",IF(AND(ISNUMBER(Z31),ISNUMBER(AL31)),Z31+AL31,""))</f>
        <v>9521.88</v>
      </c>
      <c r="O31" s="38" t="n">
        <f aca="false">IF($A31="","",IF(AND(ISNUMBER(AA31),ISNUMBER(AM31)),AA31+AM31,""))</f>
        <v>9690.43</v>
      </c>
      <c r="P31" s="38" t="n">
        <f aca="false">IF($A31="","",IFERROR(1/(1/IF($B31="Residential",SUMIFS(INDEX('Oxford Economics'!$A$7:$AZ$1000,0,IFERROR(MATCH(P$5,'Oxford Economics'!$A$6:$AZ$6,0),MATCH(P$5&amp;"",'Oxford Economics'!$A$6:$AZ$6,0))),'Oxford Economics'!$A$7:$A$1000,$C31,'Oxford Economics'!$B$7:$B$1000,Settings!$B$13)-SUMIFS(INDEX('Oxford Economics'!$A$7:$AZ$1000,0,IFERROR(MATCH(P$5,'Oxford Economics'!$A$6:$AZ$6,0),MATCH(P$5&amp;"",'Oxford Economics'!$A$6:$AZ$6,0))),'Oxford Economics'!$A$7:$A$1000,$C31,'Oxford Economics'!$B$7:$B$1000,Settings!$B$15),SUMIFS(INDEX('Oxford Economics'!$A$7:$AZ$1000,0,IFERROR(MATCH(P$5,'Oxford Economics'!$A$6:$AZ$6,0),MATCH(P$5&amp;"",'Oxford Economics'!$A$6:$AZ$6,0))),'Oxford Economics'!$A$7:$A$1000,$C31,'Oxford Economics'!$B$7:$B$1000,Settings!$B$15)+SUMIFS(INDEX('Oxford Economics'!$A$7:$AZ$1000,0,IFERROR(MATCH(P$5,'Oxford Economics'!$A$6:$AZ$6,0),MATCH(P$5&amp;"",'Oxford Economics'!$A$6:$AZ$6,0))),'Oxford Economics'!$A$7:$A$1000,$C31,'Oxford Economics'!$B$7:$B$1000,Settings!$B$17)+IF(Settings!$B$19="",0,SUMIFS(INDEX('Oxford Economics'!$A$7:$AZ$1000,0,IFERROR(MATCH(P$5,'Oxford Economics'!$A$6:$AZ$6,0),MATCH(P$5&amp;"",'Oxford Economics'!$A$6:$AZ$6,0))),'Oxford Economics'!$A$7:$A$1000,$C31,'Oxford Economics'!$B$7:$B$1000,Settings!$B$19)))),""))</f>
        <v>4053.53</v>
      </c>
      <c r="Q31" s="38" t="n">
        <f aca="false">IF($A31="","",IFERROR(1/(1/IF($B31="Residential",SUMIFS(INDEX('Oxford Economics'!$A$7:$AZ$1000,0,IFERROR(MATCH(Q$5,'Oxford Economics'!$A$6:$AZ$6,0),MATCH(Q$5&amp;"",'Oxford Economics'!$A$6:$AZ$6,0))),'Oxford Economics'!$A$7:$A$1000,$C31,'Oxford Economics'!$B$7:$B$1000,Settings!$B$13)-SUMIFS(INDEX('Oxford Economics'!$A$7:$AZ$1000,0,IFERROR(MATCH(Q$5,'Oxford Economics'!$A$6:$AZ$6,0),MATCH(Q$5&amp;"",'Oxford Economics'!$A$6:$AZ$6,0))),'Oxford Economics'!$A$7:$A$1000,$C31,'Oxford Economics'!$B$7:$B$1000,Settings!$B$15),SUMIFS(INDEX('Oxford Economics'!$A$7:$AZ$1000,0,IFERROR(MATCH(Q$5,'Oxford Economics'!$A$6:$AZ$6,0),MATCH(Q$5&amp;"",'Oxford Economics'!$A$6:$AZ$6,0))),'Oxford Economics'!$A$7:$A$1000,$C31,'Oxford Economics'!$B$7:$B$1000,Settings!$B$15)+SUMIFS(INDEX('Oxford Economics'!$A$7:$AZ$1000,0,IFERROR(MATCH(Q$5,'Oxford Economics'!$A$6:$AZ$6,0),MATCH(Q$5&amp;"",'Oxford Economics'!$A$6:$AZ$6,0))),'Oxford Economics'!$A$7:$A$1000,$C31,'Oxford Economics'!$B$7:$B$1000,Settings!$B$17)+IF(Settings!$B$19="",0,SUMIFS(INDEX('Oxford Economics'!$A$7:$AZ$1000,0,IFERROR(MATCH(Q$5,'Oxford Economics'!$A$6:$AZ$6,0),MATCH(Q$5&amp;"",'Oxford Economics'!$A$6:$AZ$6,0))),'Oxford Economics'!$A$7:$A$1000,$C31,'Oxford Economics'!$B$7:$B$1000,Settings!$B$19)))),""))</f>
        <v>4041.52</v>
      </c>
      <c r="R31" s="38" t="n">
        <f aca="false">IF($A31="","",IFERROR(1/(1/IF($B31="Residential",SUMIFS(INDEX('Oxford Economics'!$A$7:$AZ$1000,0,IFERROR(MATCH(R$5,'Oxford Economics'!$A$6:$AZ$6,0),MATCH(R$5&amp;"",'Oxford Economics'!$A$6:$AZ$6,0))),'Oxford Economics'!$A$7:$A$1000,$C31,'Oxford Economics'!$B$7:$B$1000,Settings!$B$13)-SUMIFS(INDEX('Oxford Economics'!$A$7:$AZ$1000,0,IFERROR(MATCH(R$5,'Oxford Economics'!$A$6:$AZ$6,0),MATCH(R$5&amp;"",'Oxford Economics'!$A$6:$AZ$6,0))),'Oxford Economics'!$A$7:$A$1000,$C31,'Oxford Economics'!$B$7:$B$1000,Settings!$B$15),SUMIFS(INDEX('Oxford Economics'!$A$7:$AZ$1000,0,IFERROR(MATCH(R$5,'Oxford Economics'!$A$6:$AZ$6,0),MATCH(R$5&amp;"",'Oxford Economics'!$A$6:$AZ$6,0))),'Oxford Economics'!$A$7:$A$1000,$C31,'Oxford Economics'!$B$7:$B$1000,Settings!$B$15)+SUMIFS(INDEX('Oxford Economics'!$A$7:$AZ$1000,0,IFERROR(MATCH(R$5,'Oxford Economics'!$A$6:$AZ$6,0),MATCH(R$5&amp;"",'Oxford Economics'!$A$6:$AZ$6,0))),'Oxford Economics'!$A$7:$A$1000,$C31,'Oxford Economics'!$B$7:$B$1000,Settings!$B$17)+IF(Settings!$B$19="",0,SUMIFS(INDEX('Oxford Economics'!$A$7:$AZ$1000,0,IFERROR(MATCH(R$5,'Oxford Economics'!$A$6:$AZ$6,0),MATCH(R$5&amp;"",'Oxford Economics'!$A$6:$AZ$6,0))),'Oxford Economics'!$A$7:$A$1000,$C31,'Oxford Economics'!$B$7:$B$1000,Settings!$B$19)))),""))</f>
        <v>4181.8</v>
      </c>
      <c r="S31" s="38" t="n">
        <f aca="false">IF($A31="","",IFERROR(1/(1/IF($B31="Residential",SUMIFS(INDEX('Oxford Economics'!$A$7:$AZ$1000,0,IFERROR(MATCH(S$5,'Oxford Economics'!$A$6:$AZ$6,0),MATCH(S$5&amp;"",'Oxford Economics'!$A$6:$AZ$6,0))),'Oxford Economics'!$A$7:$A$1000,$C31,'Oxford Economics'!$B$7:$B$1000,Settings!$B$13)-SUMIFS(INDEX('Oxford Economics'!$A$7:$AZ$1000,0,IFERROR(MATCH(S$5,'Oxford Economics'!$A$6:$AZ$6,0),MATCH(S$5&amp;"",'Oxford Economics'!$A$6:$AZ$6,0))),'Oxford Economics'!$A$7:$A$1000,$C31,'Oxford Economics'!$B$7:$B$1000,Settings!$B$15),SUMIFS(INDEX('Oxford Economics'!$A$7:$AZ$1000,0,IFERROR(MATCH(S$5,'Oxford Economics'!$A$6:$AZ$6,0),MATCH(S$5&amp;"",'Oxford Economics'!$A$6:$AZ$6,0))),'Oxford Economics'!$A$7:$A$1000,$C31,'Oxford Economics'!$B$7:$B$1000,Settings!$B$15)+SUMIFS(INDEX('Oxford Economics'!$A$7:$AZ$1000,0,IFERROR(MATCH(S$5,'Oxford Economics'!$A$6:$AZ$6,0),MATCH(S$5&amp;"",'Oxford Economics'!$A$6:$AZ$6,0))),'Oxford Economics'!$A$7:$A$1000,$C31,'Oxford Economics'!$B$7:$B$1000,Settings!$B$17)+IF(Settings!$B$19="",0,SUMIFS(INDEX('Oxford Economics'!$A$7:$AZ$1000,0,IFERROR(MATCH(S$5,'Oxford Economics'!$A$6:$AZ$6,0),MATCH(S$5&amp;"",'Oxford Economics'!$A$6:$AZ$6,0))),'Oxford Economics'!$A$7:$A$1000,$C31,'Oxford Economics'!$B$7:$B$1000,Settings!$B$19)))),""))</f>
        <v>4935.68</v>
      </c>
      <c r="T31" s="38" t="n">
        <f aca="false">IF($A31="","",IFERROR(1/(1/IF($B31="Residential",SUMIFS(INDEX('Oxford Economics'!$A$7:$AZ$1000,0,IFERROR(MATCH(T$5,'Oxford Economics'!$A$6:$AZ$6,0),MATCH(T$5&amp;"",'Oxford Economics'!$A$6:$AZ$6,0))),'Oxford Economics'!$A$7:$A$1000,$C31,'Oxford Economics'!$B$7:$B$1000,Settings!$B$13)-SUMIFS(INDEX('Oxford Economics'!$A$7:$AZ$1000,0,IFERROR(MATCH(T$5,'Oxford Economics'!$A$6:$AZ$6,0),MATCH(T$5&amp;"",'Oxford Economics'!$A$6:$AZ$6,0))),'Oxford Economics'!$A$7:$A$1000,$C31,'Oxford Economics'!$B$7:$B$1000,Settings!$B$15),SUMIFS(INDEX('Oxford Economics'!$A$7:$AZ$1000,0,IFERROR(MATCH(T$5,'Oxford Economics'!$A$6:$AZ$6,0),MATCH(T$5&amp;"",'Oxford Economics'!$A$6:$AZ$6,0))),'Oxford Economics'!$A$7:$A$1000,$C31,'Oxford Economics'!$B$7:$B$1000,Settings!$B$15)+SUMIFS(INDEX('Oxford Economics'!$A$7:$AZ$1000,0,IFERROR(MATCH(T$5,'Oxford Economics'!$A$6:$AZ$6,0),MATCH(T$5&amp;"",'Oxford Economics'!$A$6:$AZ$6,0))),'Oxford Economics'!$A$7:$A$1000,$C31,'Oxford Economics'!$B$7:$B$1000,Settings!$B$17)+IF(Settings!$B$19="",0,SUMIFS(INDEX('Oxford Economics'!$A$7:$AZ$1000,0,IFERROR(MATCH(T$5,'Oxford Economics'!$A$6:$AZ$6,0),MATCH(T$5&amp;"",'Oxford Economics'!$A$6:$AZ$6,0))),'Oxford Economics'!$A$7:$A$1000,$C31,'Oxford Economics'!$B$7:$B$1000,Settings!$B$19)))),""))</f>
        <v>5225.83</v>
      </c>
      <c r="U31" s="38" t="n">
        <f aca="false">IF($A31="","",IFERROR(1/(1/IF($B31="Residential",SUMIFS(INDEX('Oxford Economics'!$A$7:$AZ$1000,0,IFERROR(MATCH(U$5,'Oxford Economics'!$A$6:$AZ$6,0),MATCH(U$5&amp;"",'Oxford Economics'!$A$6:$AZ$6,0))),'Oxford Economics'!$A$7:$A$1000,$C31,'Oxford Economics'!$B$7:$B$1000,Settings!$B$13)-SUMIFS(INDEX('Oxford Economics'!$A$7:$AZ$1000,0,IFERROR(MATCH(U$5,'Oxford Economics'!$A$6:$AZ$6,0),MATCH(U$5&amp;"",'Oxford Economics'!$A$6:$AZ$6,0))),'Oxford Economics'!$A$7:$A$1000,$C31,'Oxford Economics'!$B$7:$B$1000,Settings!$B$15),SUMIFS(INDEX('Oxford Economics'!$A$7:$AZ$1000,0,IFERROR(MATCH(U$5,'Oxford Economics'!$A$6:$AZ$6,0),MATCH(U$5&amp;"",'Oxford Economics'!$A$6:$AZ$6,0))),'Oxford Economics'!$A$7:$A$1000,$C31,'Oxford Economics'!$B$7:$B$1000,Settings!$B$15)+SUMIFS(INDEX('Oxford Economics'!$A$7:$AZ$1000,0,IFERROR(MATCH(U$5,'Oxford Economics'!$A$6:$AZ$6,0),MATCH(U$5&amp;"",'Oxford Economics'!$A$6:$AZ$6,0))),'Oxford Economics'!$A$7:$A$1000,$C31,'Oxford Economics'!$B$7:$B$1000,Settings!$B$17)+IF(Settings!$B$19="",0,SUMIFS(INDEX('Oxford Economics'!$A$7:$AZ$1000,0,IFERROR(MATCH(U$5,'Oxford Economics'!$A$6:$AZ$6,0),MATCH(U$5&amp;"",'Oxford Economics'!$A$6:$AZ$6,0))),'Oxford Economics'!$A$7:$A$1000,$C31,'Oxford Economics'!$B$7:$B$1000,Settings!$B$19)))),""))</f>
        <v>5075.26</v>
      </c>
      <c r="V31" s="38" t="n">
        <f aca="false">IF($A31="","",IFERROR(1/(1/IF($B31="Residential",SUMIFS(INDEX('Oxford Economics'!$A$7:$AZ$1000,0,IFERROR(MATCH(V$5,'Oxford Economics'!$A$6:$AZ$6,0),MATCH(V$5&amp;"",'Oxford Economics'!$A$6:$AZ$6,0))),'Oxford Economics'!$A$7:$A$1000,$C31,'Oxford Economics'!$B$7:$B$1000,Settings!$B$13)-SUMIFS(INDEX('Oxford Economics'!$A$7:$AZ$1000,0,IFERROR(MATCH(V$5,'Oxford Economics'!$A$6:$AZ$6,0),MATCH(V$5&amp;"",'Oxford Economics'!$A$6:$AZ$6,0))),'Oxford Economics'!$A$7:$A$1000,$C31,'Oxford Economics'!$B$7:$B$1000,Settings!$B$15),SUMIFS(INDEX('Oxford Economics'!$A$7:$AZ$1000,0,IFERROR(MATCH(V$5,'Oxford Economics'!$A$6:$AZ$6,0),MATCH(V$5&amp;"",'Oxford Economics'!$A$6:$AZ$6,0))),'Oxford Economics'!$A$7:$A$1000,$C31,'Oxford Economics'!$B$7:$B$1000,Settings!$B$15)+SUMIFS(INDEX('Oxford Economics'!$A$7:$AZ$1000,0,IFERROR(MATCH(V$5,'Oxford Economics'!$A$6:$AZ$6,0),MATCH(V$5&amp;"",'Oxford Economics'!$A$6:$AZ$6,0))),'Oxford Economics'!$A$7:$A$1000,$C31,'Oxford Economics'!$B$7:$B$1000,Settings!$B$17)+IF(Settings!$B$19="",0,SUMIFS(INDEX('Oxford Economics'!$A$7:$AZ$1000,0,IFERROR(MATCH(V$5,'Oxford Economics'!$A$6:$AZ$6,0),MATCH(V$5&amp;"",'Oxford Economics'!$A$6:$AZ$6,0))),'Oxford Economics'!$A$7:$A$1000,$C31,'Oxford Economics'!$B$7:$B$1000,Settings!$B$19)))),""))</f>
        <v>5050.7</v>
      </c>
      <c r="W31" s="38" t="n">
        <f aca="false">IF($A31="","",IFERROR(1/(1/IF($B31="Residential",SUMIFS(INDEX('Oxford Economics'!$A$7:$AZ$1000,0,IFERROR(MATCH(W$5,'Oxford Economics'!$A$6:$AZ$6,0),MATCH(W$5&amp;"",'Oxford Economics'!$A$6:$AZ$6,0))),'Oxford Economics'!$A$7:$A$1000,$C31,'Oxford Economics'!$B$7:$B$1000,Settings!$B$13)-SUMIFS(INDEX('Oxford Economics'!$A$7:$AZ$1000,0,IFERROR(MATCH(W$5,'Oxford Economics'!$A$6:$AZ$6,0),MATCH(W$5&amp;"",'Oxford Economics'!$A$6:$AZ$6,0))),'Oxford Economics'!$A$7:$A$1000,$C31,'Oxford Economics'!$B$7:$B$1000,Settings!$B$15),SUMIFS(INDEX('Oxford Economics'!$A$7:$AZ$1000,0,IFERROR(MATCH(W$5,'Oxford Economics'!$A$6:$AZ$6,0),MATCH(W$5&amp;"",'Oxford Economics'!$A$6:$AZ$6,0))),'Oxford Economics'!$A$7:$A$1000,$C31,'Oxford Economics'!$B$7:$B$1000,Settings!$B$15)+SUMIFS(INDEX('Oxford Economics'!$A$7:$AZ$1000,0,IFERROR(MATCH(W$5,'Oxford Economics'!$A$6:$AZ$6,0),MATCH(W$5&amp;"",'Oxford Economics'!$A$6:$AZ$6,0))),'Oxford Economics'!$A$7:$A$1000,$C31,'Oxford Economics'!$B$7:$B$1000,Settings!$B$17)+IF(Settings!$B$19="",0,SUMIFS(INDEX('Oxford Economics'!$A$7:$AZ$1000,0,IFERROR(MATCH(W$5,'Oxford Economics'!$A$6:$AZ$6,0),MATCH(W$5&amp;"",'Oxford Economics'!$A$6:$AZ$6,0))),'Oxford Economics'!$A$7:$A$1000,$C31,'Oxford Economics'!$B$7:$B$1000,Settings!$B$19)))),""))</f>
        <v>5249.98</v>
      </c>
      <c r="X31" s="38" t="n">
        <f aca="false">IF($A31="","",IFERROR(1/(1/IF($B31="Residential",SUMIFS(INDEX('Oxford Economics'!$A$7:$AZ$1000,0,IFERROR(MATCH(X$5,'Oxford Economics'!$A$6:$AZ$6,0),MATCH(X$5&amp;"",'Oxford Economics'!$A$6:$AZ$6,0))),'Oxford Economics'!$A$7:$A$1000,$C31,'Oxford Economics'!$B$7:$B$1000,Settings!$B$13)-SUMIFS(INDEX('Oxford Economics'!$A$7:$AZ$1000,0,IFERROR(MATCH(X$5,'Oxford Economics'!$A$6:$AZ$6,0),MATCH(X$5&amp;"",'Oxford Economics'!$A$6:$AZ$6,0))),'Oxford Economics'!$A$7:$A$1000,$C31,'Oxford Economics'!$B$7:$B$1000,Settings!$B$15),SUMIFS(INDEX('Oxford Economics'!$A$7:$AZ$1000,0,IFERROR(MATCH(X$5,'Oxford Economics'!$A$6:$AZ$6,0),MATCH(X$5&amp;"",'Oxford Economics'!$A$6:$AZ$6,0))),'Oxford Economics'!$A$7:$A$1000,$C31,'Oxford Economics'!$B$7:$B$1000,Settings!$B$15)+SUMIFS(INDEX('Oxford Economics'!$A$7:$AZ$1000,0,IFERROR(MATCH(X$5,'Oxford Economics'!$A$6:$AZ$6,0),MATCH(X$5&amp;"",'Oxford Economics'!$A$6:$AZ$6,0))),'Oxford Economics'!$A$7:$A$1000,$C31,'Oxford Economics'!$B$7:$B$1000,Settings!$B$17)+IF(Settings!$B$19="",0,SUMIFS(INDEX('Oxford Economics'!$A$7:$AZ$1000,0,IFERROR(MATCH(X$5,'Oxford Economics'!$A$6:$AZ$6,0),MATCH(X$5&amp;"",'Oxford Economics'!$A$6:$AZ$6,0))),'Oxford Economics'!$A$7:$A$1000,$C31,'Oxford Economics'!$B$7:$B$1000,Settings!$B$19)))),""))</f>
        <v>5371.29</v>
      </c>
      <c r="Y31" s="38" t="n">
        <f aca="false">IF($A31="","",IFERROR(1/(1/IF($B31="Residential",SUMIFS(INDEX('Oxford Economics'!$A$7:$AZ$1000,0,IFERROR(MATCH(Y$5,'Oxford Economics'!$A$6:$AZ$6,0),MATCH(Y$5&amp;"",'Oxford Economics'!$A$6:$AZ$6,0))),'Oxford Economics'!$A$7:$A$1000,$C31,'Oxford Economics'!$B$7:$B$1000,Settings!$B$13)-SUMIFS(INDEX('Oxford Economics'!$A$7:$AZ$1000,0,IFERROR(MATCH(Y$5,'Oxford Economics'!$A$6:$AZ$6,0),MATCH(Y$5&amp;"",'Oxford Economics'!$A$6:$AZ$6,0))),'Oxford Economics'!$A$7:$A$1000,$C31,'Oxford Economics'!$B$7:$B$1000,Settings!$B$15),SUMIFS(INDEX('Oxford Economics'!$A$7:$AZ$1000,0,IFERROR(MATCH(Y$5,'Oxford Economics'!$A$6:$AZ$6,0),MATCH(Y$5&amp;"",'Oxford Economics'!$A$6:$AZ$6,0))),'Oxford Economics'!$A$7:$A$1000,$C31,'Oxford Economics'!$B$7:$B$1000,Settings!$B$15)+SUMIFS(INDEX('Oxford Economics'!$A$7:$AZ$1000,0,IFERROR(MATCH(Y$5,'Oxford Economics'!$A$6:$AZ$6,0),MATCH(Y$5&amp;"",'Oxford Economics'!$A$6:$AZ$6,0))),'Oxford Economics'!$A$7:$A$1000,$C31,'Oxford Economics'!$B$7:$B$1000,Settings!$B$17)+IF(Settings!$B$19="",0,SUMIFS(INDEX('Oxford Economics'!$A$7:$AZ$1000,0,IFERROR(MATCH(Y$5,'Oxford Economics'!$A$6:$AZ$6,0),MATCH(Y$5&amp;"",'Oxford Economics'!$A$6:$AZ$6,0))),'Oxford Economics'!$A$7:$A$1000,$C31,'Oxford Economics'!$B$7:$B$1000,Settings!$B$19)))),""))</f>
        <v>5460.51</v>
      </c>
      <c r="Z31" s="38" t="n">
        <f aca="false">IF($A31="","",IFERROR(1/(1/IF($B31="Residential",SUMIFS(INDEX('Oxford Economics'!$A$7:$AZ$1000,0,IFERROR(MATCH(Z$5,'Oxford Economics'!$A$6:$AZ$6,0),MATCH(Z$5&amp;"",'Oxford Economics'!$A$6:$AZ$6,0))),'Oxford Economics'!$A$7:$A$1000,$C31,'Oxford Economics'!$B$7:$B$1000,Settings!$B$13)-SUMIFS(INDEX('Oxford Economics'!$A$7:$AZ$1000,0,IFERROR(MATCH(Z$5,'Oxford Economics'!$A$6:$AZ$6,0),MATCH(Z$5&amp;"",'Oxford Economics'!$A$6:$AZ$6,0))),'Oxford Economics'!$A$7:$A$1000,$C31,'Oxford Economics'!$B$7:$B$1000,Settings!$B$15),SUMIFS(INDEX('Oxford Economics'!$A$7:$AZ$1000,0,IFERROR(MATCH(Z$5,'Oxford Economics'!$A$6:$AZ$6,0),MATCH(Z$5&amp;"",'Oxford Economics'!$A$6:$AZ$6,0))),'Oxford Economics'!$A$7:$A$1000,$C31,'Oxford Economics'!$B$7:$B$1000,Settings!$B$15)+SUMIFS(INDEX('Oxford Economics'!$A$7:$AZ$1000,0,IFERROR(MATCH(Z$5,'Oxford Economics'!$A$6:$AZ$6,0),MATCH(Z$5&amp;"",'Oxford Economics'!$A$6:$AZ$6,0))),'Oxford Economics'!$A$7:$A$1000,$C31,'Oxford Economics'!$B$7:$B$1000,Settings!$B$17)+IF(Settings!$B$19="",0,SUMIFS(INDEX('Oxford Economics'!$A$7:$AZ$1000,0,IFERROR(MATCH(Z$5,'Oxford Economics'!$A$6:$AZ$6,0),MATCH(Z$5&amp;"",'Oxford Economics'!$A$6:$AZ$6,0))),'Oxford Economics'!$A$7:$A$1000,$C31,'Oxford Economics'!$B$7:$B$1000,Settings!$B$19)))),""))</f>
        <v>5654.06</v>
      </c>
      <c r="AA31" s="38" t="n">
        <f aca="false">IF($A31="","",IFERROR(1/(1/IF($B31="Residential",SUMIFS(INDEX('Oxford Economics'!$A$7:$AZ$1000,0,IFERROR(MATCH(AA$5,'Oxford Economics'!$A$6:$AZ$6,0),MATCH(AA$5&amp;"",'Oxford Economics'!$A$6:$AZ$6,0))),'Oxford Economics'!$A$7:$A$1000,$C31,'Oxford Economics'!$B$7:$B$1000,Settings!$B$13)-SUMIFS(INDEX('Oxford Economics'!$A$7:$AZ$1000,0,IFERROR(MATCH(AA$5,'Oxford Economics'!$A$6:$AZ$6,0),MATCH(AA$5&amp;"",'Oxford Economics'!$A$6:$AZ$6,0))),'Oxford Economics'!$A$7:$A$1000,$C31,'Oxford Economics'!$B$7:$B$1000,Settings!$B$15),SUMIFS(INDEX('Oxford Economics'!$A$7:$AZ$1000,0,IFERROR(MATCH(AA$5,'Oxford Economics'!$A$6:$AZ$6,0),MATCH(AA$5&amp;"",'Oxford Economics'!$A$6:$AZ$6,0))),'Oxford Economics'!$A$7:$A$1000,$C31,'Oxford Economics'!$B$7:$B$1000,Settings!$B$15)+SUMIFS(INDEX('Oxford Economics'!$A$7:$AZ$1000,0,IFERROR(MATCH(AA$5,'Oxford Economics'!$A$6:$AZ$6,0),MATCH(AA$5&amp;"",'Oxford Economics'!$A$6:$AZ$6,0))),'Oxford Economics'!$A$7:$A$1000,$C31,'Oxford Economics'!$B$7:$B$1000,Settings!$B$17)+IF(Settings!$B$19="",0,SUMIFS(INDEX('Oxford Economics'!$A$7:$AZ$1000,0,IFERROR(MATCH(AA$5,'Oxford Economics'!$A$6:$AZ$6,0),MATCH(AA$5&amp;"",'Oxford Economics'!$A$6:$AZ$6,0))),'Oxford Economics'!$A$7:$A$1000,$C31,'Oxford Economics'!$B$7:$B$1000,Settings!$B$19)))),""))</f>
        <v>5759.77</v>
      </c>
      <c r="AB31" s="38" t="n">
        <f aca="false">IF($A31="","",IFERROR(1/(1/IF($B31="Residential",SUMIFS(INDEX('Oxford Economics'!$A$7:$AZ$1000,0,IFERROR(MATCH(AB$5,'Oxford Economics'!$A$6:$AZ$6,0),MATCH(AB$5&amp;"",'Oxford Economics'!$A$6:$AZ$6,0))),'Oxford Economics'!$A$7:$A$1000,$C31,'Oxford Economics'!$B$7:$B$1000,Settings!$B$12)-SUMIFS(INDEX('Oxford Economics'!$A$7:$AZ$1000,0,IFERROR(MATCH(AB$5,'Oxford Economics'!$A$6:$AZ$6,0),MATCH(AB$5&amp;"",'Oxford Economics'!$A$6:$AZ$6,0))),'Oxford Economics'!$A$7:$A$1000,$C31,'Oxford Economics'!$B$7:$B$1000,Settings!$B$14),SUMIFS(INDEX('Oxford Economics'!$A$7:$AZ$1000,0,IFERROR(MATCH(AB$5,'Oxford Economics'!$A$6:$AZ$6,0),MATCH(AB$5&amp;"",'Oxford Economics'!$A$6:$AZ$6,0))),'Oxford Economics'!$A$7:$A$1000,$C31,'Oxford Economics'!$B$7:$B$1000,Settings!$B$14)+SUMIFS(INDEX('Oxford Economics'!$A$7:$AZ$1000,0,IFERROR(MATCH(AB$5,'Oxford Economics'!$A$6:$AZ$6,0),MATCH(AB$5&amp;"",'Oxford Economics'!$A$6:$AZ$6,0))),'Oxford Economics'!$A$7:$A$1000,$C31,'Oxford Economics'!$B$7:$B$1000,Settings!$B$16)+IF(Settings!$B$18="",0,SUMIFS(INDEX('Oxford Economics'!$A$7:$AZ$1000,0,IFERROR(MATCH(AB$5,'Oxford Economics'!$A$6:$AZ$6,0),MATCH(AB$5&amp;"",'Oxford Economics'!$A$6:$AZ$6,0))),'Oxford Economics'!$A$7:$A$1000,$C31,'Oxford Economics'!$B$7:$B$1000,Settings!$B$18)))),""))</f>
        <v>4326.69</v>
      </c>
      <c r="AC31" s="38" t="n">
        <f aca="false">IF($A31="","",IFERROR(1/(1/IF($B31="Residential",SUMIFS(INDEX('Oxford Economics'!$A$7:$AZ$1000,0,IFERROR(MATCH(AC$5,'Oxford Economics'!$A$6:$AZ$6,0),MATCH(AC$5&amp;"",'Oxford Economics'!$A$6:$AZ$6,0))),'Oxford Economics'!$A$7:$A$1000,$C31,'Oxford Economics'!$B$7:$B$1000,Settings!$B$12)-SUMIFS(INDEX('Oxford Economics'!$A$7:$AZ$1000,0,IFERROR(MATCH(AC$5,'Oxford Economics'!$A$6:$AZ$6,0),MATCH(AC$5&amp;"",'Oxford Economics'!$A$6:$AZ$6,0))),'Oxford Economics'!$A$7:$A$1000,$C31,'Oxford Economics'!$B$7:$B$1000,Settings!$B$14),SUMIFS(INDEX('Oxford Economics'!$A$7:$AZ$1000,0,IFERROR(MATCH(AC$5,'Oxford Economics'!$A$6:$AZ$6,0),MATCH(AC$5&amp;"",'Oxford Economics'!$A$6:$AZ$6,0))),'Oxford Economics'!$A$7:$A$1000,$C31,'Oxford Economics'!$B$7:$B$1000,Settings!$B$14)+SUMIFS(INDEX('Oxford Economics'!$A$7:$AZ$1000,0,IFERROR(MATCH(AC$5,'Oxford Economics'!$A$6:$AZ$6,0),MATCH(AC$5&amp;"",'Oxford Economics'!$A$6:$AZ$6,0))),'Oxford Economics'!$A$7:$A$1000,$C31,'Oxford Economics'!$B$7:$B$1000,Settings!$B$16)+IF(Settings!$B$18="",0,SUMIFS(INDEX('Oxford Economics'!$A$7:$AZ$1000,0,IFERROR(MATCH(AC$5,'Oxford Economics'!$A$6:$AZ$6,0),MATCH(AC$5&amp;"",'Oxford Economics'!$A$6:$AZ$6,0))),'Oxford Economics'!$A$7:$A$1000,$C31,'Oxford Economics'!$B$7:$B$1000,Settings!$B$18)))),""))</f>
        <v>4734.66</v>
      </c>
      <c r="AD31" s="38" t="n">
        <f aca="false">IF($A31="","",IFERROR(1/(1/IF($B31="Residential",SUMIFS(INDEX('Oxford Economics'!$A$7:$AZ$1000,0,IFERROR(MATCH(AD$5,'Oxford Economics'!$A$6:$AZ$6,0),MATCH(AD$5&amp;"",'Oxford Economics'!$A$6:$AZ$6,0))),'Oxford Economics'!$A$7:$A$1000,$C31,'Oxford Economics'!$B$7:$B$1000,Settings!$B$12)-SUMIFS(INDEX('Oxford Economics'!$A$7:$AZ$1000,0,IFERROR(MATCH(AD$5,'Oxford Economics'!$A$6:$AZ$6,0),MATCH(AD$5&amp;"",'Oxford Economics'!$A$6:$AZ$6,0))),'Oxford Economics'!$A$7:$A$1000,$C31,'Oxford Economics'!$B$7:$B$1000,Settings!$B$14),SUMIFS(INDEX('Oxford Economics'!$A$7:$AZ$1000,0,IFERROR(MATCH(AD$5,'Oxford Economics'!$A$6:$AZ$6,0),MATCH(AD$5&amp;"",'Oxford Economics'!$A$6:$AZ$6,0))),'Oxford Economics'!$A$7:$A$1000,$C31,'Oxford Economics'!$B$7:$B$1000,Settings!$B$14)+SUMIFS(INDEX('Oxford Economics'!$A$7:$AZ$1000,0,IFERROR(MATCH(AD$5,'Oxford Economics'!$A$6:$AZ$6,0),MATCH(AD$5&amp;"",'Oxford Economics'!$A$6:$AZ$6,0))),'Oxford Economics'!$A$7:$A$1000,$C31,'Oxford Economics'!$B$7:$B$1000,Settings!$B$16)+IF(Settings!$B$18="",0,SUMIFS(INDEX('Oxford Economics'!$A$7:$AZ$1000,0,IFERROR(MATCH(AD$5,'Oxford Economics'!$A$6:$AZ$6,0),MATCH(AD$5&amp;"",'Oxford Economics'!$A$6:$AZ$6,0))),'Oxford Economics'!$A$7:$A$1000,$C31,'Oxford Economics'!$B$7:$B$1000,Settings!$B$18)))),""))</f>
        <v>5020.3</v>
      </c>
      <c r="AE31" s="38" t="n">
        <f aca="false">IF($A31="","",IFERROR(1/(1/IF($B31="Residential",SUMIFS(INDEX('Oxford Economics'!$A$7:$AZ$1000,0,IFERROR(MATCH(AE$5,'Oxford Economics'!$A$6:$AZ$6,0),MATCH(AE$5&amp;"",'Oxford Economics'!$A$6:$AZ$6,0))),'Oxford Economics'!$A$7:$A$1000,$C31,'Oxford Economics'!$B$7:$B$1000,Settings!$B$12)-SUMIFS(INDEX('Oxford Economics'!$A$7:$AZ$1000,0,IFERROR(MATCH(AE$5,'Oxford Economics'!$A$6:$AZ$6,0),MATCH(AE$5&amp;"",'Oxford Economics'!$A$6:$AZ$6,0))),'Oxford Economics'!$A$7:$A$1000,$C31,'Oxford Economics'!$B$7:$B$1000,Settings!$B$14),SUMIFS(INDEX('Oxford Economics'!$A$7:$AZ$1000,0,IFERROR(MATCH(AE$5,'Oxford Economics'!$A$6:$AZ$6,0),MATCH(AE$5&amp;"",'Oxford Economics'!$A$6:$AZ$6,0))),'Oxford Economics'!$A$7:$A$1000,$C31,'Oxford Economics'!$B$7:$B$1000,Settings!$B$14)+SUMIFS(INDEX('Oxford Economics'!$A$7:$AZ$1000,0,IFERROR(MATCH(AE$5,'Oxford Economics'!$A$6:$AZ$6,0),MATCH(AE$5&amp;"",'Oxford Economics'!$A$6:$AZ$6,0))),'Oxford Economics'!$A$7:$A$1000,$C31,'Oxford Economics'!$B$7:$B$1000,Settings!$B$16)+IF(Settings!$B$18="",0,SUMIFS(INDEX('Oxford Economics'!$A$7:$AZ$1000,0,IFERROR(MATCH(AE$5,'Oxford Economics'!$A$6:$AZ$6,0),MATCH(AE$5&amp;"",'Oxford Economics'!$A$6:$AZ$6,0))),'Oxford Economics'!$A$7:$A$1000,$C31,'Oxford Economics'!$B$7:$B$1000,Settings!$B$18)))),""))</f>
        <v>4126.28</v>
      </c>
      <c r="AF31" s="38" t="n">
        <f aca="false">IF($A31="","",IFERROR(1/(1/IF($B31="Residential",SUMIFS(INDEX('Oxford Economics'!$A$7:$AZ$1000,0,IFERROR(MATCH(AF$5,'Oxford Economics'!$A$6:$AZ$6,0),MATCH(AF$5&amp;"",'Oxford Economics'!$A$6:$AZ$6,0))),'Oxford Economics'!$A$7:$A$1000,$C31,'Oxford Economics'!$B$7:$B$1000,Settings!$B$12)-SUMIFS(INDEX('Oxford Economics'!$A$7:$AZ$1000,0,IFERROR(MATCH(AF$5,'Oxford Economics'!$A$6:$AZ$6,0),MATCH(AF$5&amp;"",'Oxford Economics'!$A$6:$AZ$6,0))),'Oxford Economics'!$A$7:$A$1000,$C31,'Oxford Economics'!$B$7:$B$1000,Settings!$B$14),SUMIFS(INDEX('Oxford Economics'!$A$7:$AZ$1000,0,IFERROR(MATCH(AF$5,'Oxford Economics'!$A$6:$AZ$6,0),MATCH(AF$5&amp;"",'Oxford Economics'!$A$6:$AZ$6,0))),'Oxford Economics'!$A$7:$A$1000,$C31,'Oxford Economics'!$B$7:$B$1000,Settings!$B$14)+SUMIFS(INDEX('Oxford Economics'!$A$7:$AZ$1000,0,IFERROR(MATCH(AF$5,'Oxford Economics'!$A$6:$AZ$6,0),MATCH(AF$5&amp;"",'Oxford Economics'!$A$6:$AZ$6,0))),'Oxford Economics'!$A$7:$A$1000,$C31,'Oxford Economics'!$B$7:$B$1000,Settings!$B$16)+IF(Settings!$B$18="",0,SUMIFS(INDEX('Oxford Economics'!$A$7:$AZ$1000,0,IFERROR(MATCH(AF$5,'Oxford Economics'!$A$6:$AZ$6,0),MATCH(AF$5&amp;"",'Oxford Economics'!$A$6:$AZ$6,0))),'Oxford Economics'!$A$7:$A$1000,$C31,'Oxford Economics'!$B$7:$B$1000,Settings!$B$18)))),""))</f>
        <v>3408.62</v>
      </c>
      <c r="AG31" s="38" t="n">
        <f aca="false">IF($A31="","",IFERROR(1/(1/IF($B31="Residential",SUMIFS(INDEX('Oxford Economics'!$A$7:$AZ$1000,0,IFERROR(MATCH(AG$5,'Oxford Economics'!$A$6:$AZ$6,0),MATCH(AG$5&amp;"",'Oxford Economics'!$A$6:$AZ$6,0))),'Oxford Economics'!$A$7:$A$1000,$C31,'Oxford Economics'!$B$7:$B$1000,Settings!$B$12)-SUMIFS(INDEX('Oxford Economics'!$A$7:$AZ$1000,0,IFERROR(MATCH(AG$5,'Oxford Economics'!$A$6:$AZ$6,0),MATCH(AG$5&amp;"",'Oxford Economics'!$A$6:$AZ$6,0))),'Oxford Economics'!$A$7:$A$1000,$C31,'Oxford Economics'!$B$7:$B$1000,Settings!$B$14),SUMIFS(INDEX('Oxford Economics'!$A$7:$AZ$1000,0,IFERROR(MATCH(AG$5,'Oxford Economics'!$A$6:$AZ$6,0),MATCH(AG$5&amp;"",'Oxford Economics'!$A$6:$AZ$6,0))),'Oxford Economics'!$A$7:$A$1000,$C31,'Oxford Economics'!$B$7:$B$1000,Settings!$B$14)+SUMIFS(INDEX('Oxford Economics'!$A$7:$AZ$1000,0,IFERROR(MATCH(AG$5,'Oxford Economics'!$A$6:$AZ$6,0),MATCH(AG$5&amp;"",'Oxford Economics'!$A$6:$AZ$6,0))),'Oxford Economics'!$A$7:$A$1000,$C31,'Oxford Economics'!$B$7:$B$1000,Settings!$B$16)+IF(Settings!$B$18="",0,SUMIFS(INDEX('Oxford Economics'!$A$7:$AZ$1000,0,IFERROR(MATCH(AG$5,'Oxford Economics'!$A$6:$AZ$6,0),MATCH(AG$5&amp;"",'Oxford Economics'!$A$6:$AZ$6,0))),'Oxford Economics'!$A$7:$A$1000,$C31,'Oxford Economics'!$B$7:$B$1000,Settings!$B$18)))),""))</f>
        <v>3288.62</v>
      </c>
      <c r="AH31" s="38" t="n">
        <f aca="false">IF($A31="","",IFERROR(1/(1/IF($B31="Residential",SUMIFS(INDEX('Oxford Economics'!$A$7:$AZ$1000,0,IFERROR(MATCH(AH$5,'Oxford Economics'!$A$6:$AZ$6,0),MATCH(AH$5&amp;"",'Oxford Economics'!$A$6:$AZ$6,0))),'Oxford Economics'!$A$7:$A$1000,$C31,'Oxford Economics'!$B$7:$B$1000,Settings!$B$12)-SUMIFS(INDEX('Oxford Economics'!$A$7:$AZ$1000,0,IFERROR(MATCH(AH$5,'Oxford Economics'!$A$6:$AZ$6,0),MATCH(AH$5&amp;"",'Oxford Economics'!$A$6:$AZ$6,0))),'Oxford Economics'!$A$7:$A$1000,$C31,'Oxford Economics'!$B$7:$B$1000,Settings!$B$14),SUMIFS(INDEX('Oxford Economics'!$A$7:$AZ$1000,0,IFERROR(MATCH(AH$5,'Oxford Economics'!$A$6:$AZ$6,0),MATCH(AH$5&amp;"",'Oxford Economics'!$A$6:$AZ$6,0))),'Oxford Economics'!$A$7:$A$1000,$C31,'Oxford Economics'!$B$7:$B$1000,Settings!$B$14)+SUMIFS(INDEX('Oxford Economics'!$A$7:$AZ$1000,0,IFERROR(MATCH(AH$5,'Oxford Economics'!$A$6:$AZ$6,0),MATCH(AH$5&amp;"",'Oxford Economics'!$A$6:$AZ$6,0))),'Oxford Economics'!$A$7:$A$1000,$C31,'Oxford Economics'!$B$7:$B$1000,Settings!$B$16)+IF(Settings!$B$18="",0,SUMIFS(INDEX('Oxford Economics'!$A$7:$AZ$1000,0,IFERROR(MATCH(AH$5,'Oxford Economics'!$A$6:$AZ$6,0),MATCH(AH$5&amp;"",'Oxford Economics'!$A$6:$AZ$6,0))),'Oxford Economics'!$A$7:$A$1000,$C31,'Oxford Economics'!$B$7:$B$1000,Settings!$B$18)))),""))</f>
        <v>3484.93</v>
      </c>
      <c r="AI31" s="38" t="n">
        <f aca="false">IF($A31="","",IFERROR(1/(1/IF($B31="Residential",SUMIFS(INDEX('Oxford Economics'!$A$7:$AZ$1000,0,IFERROR(MATCH(AI$5,'Oxford Economics'!$A$6:$AZ$6,0),MATCH(AI$5&amp;"",'Oxford Economics'!$A$6:$AZ$6,0))),'Oxford Economics'!$A$7:$A$1000,$C31,'Oxford Economics'!$B$7:$B$1000,Settings!$B$12)-SUMIFS(INDEX('Oxford Economics'!$A$7:$AZ$1000,0,IFERROR(MATCH(AI$5,'Oxford Economics'!$A$6:$AZ$6,0),MATCH(AI$5&amp;"",'Oxford Economics'!$A$6:$AZ$6,0))),'Oxford Economics'!$A$7:$A$1000,$C31,'Oxford Economics'!$B$7:$B$1000,Settings!$B$14),SUMIFS(INDEX('Oxford Economics'!$A$7:$AZ$1000,0,IFERROR(MATCH(AI$5,'Oxford Economics'!$A$6:$AZ$6,0),MATCH(AI$5&amp;"",'Oxford Economics'!$A$6:$AZ$6,0))),'Oxford Economics'!$A$7:$A$1000,$C31,'Oxford Economics'!$B$7:$B$1000,Settings!$B$14)+SUMIFS(INDEX('Oxford Economics'!$A$7:$AZ$1000,0,IFERROR(MATCH(AI$5,'Oxford Economics'!$A$6:$AZ$6,0),MATCH(AI$5&amp;"",'Oxford Economics'!$A$6:$AZ$6,0))),'Oxford Economics'!$A$7:$A$1000,$C31,'Oxford Economics'!$B$7:$B$1000,Settings!$B$16)+IF(Settings!$B$18="",0,SUMIFS(INDEX('Oxford Economics'!$A$7:$AZ$1000,0,IFERROR(MATCH(AI$5,'Oxford Economics'!$A$6:$AZ$6,0),MATCH(AI$5&amp;"",'Oxford Economics'!$A$6:$AZ$6,0))),'Oxford Economics'!$A$7:$A$1000,$C31,'Oxford Economics'!$B$7:$B$1000,Settings!$B$18)))),""))</f>
        <v>3646.14</v>
      </c>
      <c r="AJ31" s="38" t="n">
        <f aca="false">IF($A31="","",IFERROR(1/(1/IF($B31="Residential",SUMIFS(INDEX('Oxford Economics'!$A$7:$AZ$1000,0,IFERROR(MATCH(AJ$5,'Oxford Economics'!$A$6:$AZ$6,0),MATCH(AJ$5&amp;"",'Oxford Economics'!$A$6:$AZ$6,0))),'Oxford Economics'!$A$7:$A$1000,$C31,'Oxford Economics'!$B$7:$B$1000,Settings!$B$12)-SUMIFS(INDEX('Oxford Economics'!$A$7:$AZ$1000,0,IFERROR(MATCH(AJ$5,'Oxford Economics'!$A$6:$AZ$6,0),MATCH(AJ$5&amp;"",'Oxford Economics'!$A$6:$AZ$6,0))),'Oxford Economics'!$A$7:$A$1000,$C31,'Oxford Economics'!$B$7:$B$1000,Settings!$B$14),SUMIFS(INDEX('Oxford Economics'!$A$7:$AZ$1000,0,IFERROR(MATCH(AJ$5,'Oxford Economics'!$A$6:$AZ$6,0),MATCH(AJ$5&amp;"",'Oxford Economics'!$A$6:$AZ$6,0))),'Oxford Economics'!$A$7:$A$1000,$C31,'Oxford Economics'!$B$7:$B$1000,Settings!$B$14)+SUMIFS(INDEX('Oxford Economics'!$A$7:$AZ$1000,0,IFERROR(MATCH(AJ$5,'Oxford Economics'!$A$6:$AZ$6,0),MATCH(AJ$5&amp;"",'Oxford Economics'!$A$6:$AZ$6,0))),'Oxford Economics'!$A$7:$A$1000,$C31,'Oxford Economics'!$B$7:$B$1000,Settings!$B$16)+IF(Settings!$B$18="",0,SUMIFS(INDEX('Oxford Economics'!$A$7:$AZ$1000,0,IFERROR(MATCH(AJ$5,'Oxford Economics'!$A$6:$AZ$6,0),MATCH(AJ$5&amp;"",'Oxford Economics'!$A$6:$AZ$6,0))),'Oxford Economics'!$A$7:$A$1000,$C31,'Oxford Economics'!$B$7:$B$1000,Settings!$B$18)))),""))</f>
        <v>3728.67</v>
      </c>
      <c r="AK31" s="38" t="n">
        <f aca="false">IF($A31="","",IFERROR(1/(1/IF($B31="Residential",SUMIFS(INDEX('Oxford Economics'!$A$7:$AZ$1000,0,IFERROR(MATCH(AK$5,'Oxford Economics'!$A$6:$AZ$6,0),MATCH(AK$5&amp;"",'Oxford Economics'!$A$6:$AZ$6,0))),'Oxford Economics'!$A$7:$A$1000,$C31,'Oxford Economics'!$B$7:$B$1000,Settings!$B$12)-SUMIFS(INDEX('Oxford Economics'!$A$7:$AZ$1000,0,IFERROR(MATCH(AK$5,'Oxford Economics'!$A$6:$AZ$6,0),MATCH(AK$5&amp;"",'Oxford Economics'!$A$6:$AZ$6,0))),'Oxford Economics'!$A$7:$A$1000,$C31,'Oxford Economics'!$B$7:$B$1000,Settings!$B$14),SUMIFS(INDEX('Oxford Economics'!$A$7:$AZ$1000,0,IFERROR(MATCH(AK$5,'Oxford Economics'!$A$6:$AZ$6,0),MATCH(AK$5&amp;"",'Oxford Economics'!$A$6:$AZ$6,0))),'Oxford Economics'!$A$7:$A$1000,$C31,'Oxford Economics'!$B$7:$B$1000,Settings!$B$14)+SUMIFS(INDEX('Oxford Economics'!$A$7:$AZ$1000,0,IFERROR(MATCH(AK$5,'Oxford Economics'!$A$6:$AZ$6,0),MATCH(AK$5&amp;"",'Oxford Economics'!$A$6:$AZ$6,0))),'Oxford Economics'!$A$7:$A$1000,$C31,'Oxford Economics'!$B$7:$B$1000,Settings!$B$16)+IF(Settings!$B$18="",0,SUMIFS(INDEX('Oxford Economics'!$A$7:$AZ$1000,0,IFERROR(MATCH(AK$5,'Oxford Economics'!$A$6:$AZ$6,0),MATCH(AK$5&amp;"",'Oxford Economics'!$A$6:$AZ$6,0))),'Oxford Economics'!$A$7:$A$1000,$C31,'Oxford Economics'!$B$7:$B$1000,Settings!$B$18)))),""))</f>
        <v>3795.46</v>
      </c>
      <c r="AL31" s="38" t="n">
        <f aca="false">IF($A31="","",IFERROR(1/(1/IF($B31="Residential",SUMIFS(INDEX('Oxford Economics'!$A$7:$AZ$1000,0,IFERROR(MATCH(AL$5,'Oxford Economics'!$A$6:$AZ$6,0),MATCH(AL$5&amp;"",'Oxford Economics'!$A$6:$AZ$6,0))),'Oxford Economics'!$A$7:$A$1000,$C31,'Oxford Economics'!$B$7:$B$1000,Settings!$B$12)-SUMIFS(INDEX('Oxford Economics'!$A$7:$AZ$1000,0,IFERROR(MATCH(AL$5,'Oxford Economics'!$A$6:$AZ$6,0),MATCH(AL$5&amp;"",'Oxford Economics'!$A$6:$AZ$6,0))),'Oxford Economics'!$A$7:$A$1000,$C31,'Oxford Economics'!$B$7:$B$1000,Settings!$B$14),SUMIFS(INDEX('Oxford Economics'!$A$7:$AZ$1000,0,IFERROR(MATCH(AL$5,'Oxford Economics'!$A$6:$AZ$6,0),MATCH(AL$5&amp;"",'Oxford Economics'!$A$6:$AZ$6,0))),'Oxford Economics'!$A$7:$A$1000,$C31,'Oxford Economics'!$B$7:$B$1000,Settings!$B$14)+SUMIFS(INDEX('Oxford Economics'!$A$7:$AZ$1000,0,IFERROR(MATCH(AL$5,'Oxford Economics'!$A$6:$AZ$6,0),MATCH(AL$5&amp;"",'Oxford Economics'!$A$6:$AZ$6,0))),'Oxford Economics'!$A$7:$A$1000,$C31,'Oxford Economics'!$B$7:$B$1000,Settings!$B$16)+IF(Settings!$B$18="",0,SUMIFS(INDEX('Oxford Economics'!$A$7:$AZ$1000,0,IFERROR(MATCH(AL$5,'Oxford Economics'!$A$6:$AZ$6,0),MATCH(AL$5&amp;"",'Oxford Economics'!$A$6:$AZ$6,0))),'Oxford Economics'!$A$7:$A$1000,$C31,'Oxford Economics'!$B$7:$B$1000,Settings!$B$18)))),""))</f>
        <v>3867.82</v>
      </c>
      <c r="AM31" s="38" t="n">
        <f aca="false">IF($A31="","",IFERROR(1/(1/IF($B31="Residential",SUMIFS(INDEX('Oxford Economics'!$A$7:$AZ$1000,0,IFERROR(MATCH(AM$5,'Oxford Economics'!$A$6:$AZ$6,0),MATCH(AM$5&amp;"",'Oxford Economics'!$A$6:$AZ$6,0))),'Oxford Economics'!$A$7:$A$1000,$C31,'Oxford Economics'!$B$7:$B$1000,Settings!$B$12)-SUMIFS(INDEX('Oxford Economics'!$A$7:$AZ$1000,0,IFERROR(MATCH(AM$5,'Oxford Economics'!$A$6:$AZ$6,0),MATCH(AM$5&amp;"",'Oxford Economics'!$A$6:$AZ$6,0))),'Oxford Economics'!$A$7:$A$1000,$C31,'Oxford Economics'!$B$7:$B$1000,Settings!$B$14),SUMIFS(INDEX('Oxford Economics'!$A$7:$AZ$1000,0,IFERROR(MATCH(AM$5,'Oxford Economics'!$A$6:$AZ$6,0),MATCH(AM$5&amp;"",'Oxford Economics'!$A$6:$AZ$6,0))),'Oxford Economics'!$A$7:$A$1000,$C31,'Oxford Economics'!$B$7:$B$1000,Settings!$B$14)+SUMIFS(INDEX('Oxford Economics'!$A$7:$AZ$1000,0,IFERROR(MATCH(AM$5,'Oxford Economics'!$A$6:$AZ$6,0),MATCH(AM$5&amp;"",'Oxford Economics'!$A$6:$AZ$6,0))),'Oxford Economics'!$A$7:$A$1000,$C31,'Oxford Economics'!$B$7:$B$1000,Settings!$B$16)+IF(Settings!$B$18="",0,SUMIFS(INDEX('Oxford Economics'!$A$7:$AZ$1000,0,IFERROR(MATCH(AM$5,'Oxford Economics'!$A$6:$AZ$6,0),MATCH(AM$5&amp;"",'Oxford Economics'!$A$6:$AZ$6,0))),'Oxford Economics'!$A$7:$A$1000,$C31,'Oxford Economics'!$B$7:$B$1000,Settings!$B$18)))),""))</f>
        <v>3930.66</v>
      </c>
    </row>
    <row r="32" customFormat="false" ht="15" hidden="false" customHeight="false" outlineLevel="0" collapsed="false">
      <c r="A32" s="37" t="str">
        <f aca="false">IF('Raw data'!$A32="","",'Raw data'!$A32)</f>
        <v>Sweden</v>
      </c>
      <c r="B32" s="37" t="str">
        <f aca="false">IF($A32="","",'Raw data'!$C32)</f>
        <v>Residential</v>
      </c>
      <c r="C32" s="37" t="str">
        <f aca="false">IF($A32="","",IF('Raw data'!$E32="",$A32,'Raw data'!$E32))</f>
        <v>Sweden</v>
      </c>
      <c r="D32" s="38" t="n">
        <f aca="false">IF($A32="","",IF(AND(ISNUMBER(P32),ISNUMBER(AB32)),P32+AB32,""))</f>
        <v>8380.22</v>
      </c>
      <c r="E32" s="38" t="n">
        <f aca="false">IF($A32="","",IF(AND(ISNUMBER(Q32),ISNUMBER(AC32)),Q32+AC32,""))</f>
        <v>8776.18</v>
      </c>
      <c r="F32" s="38" t="n">
        <f aca="false">IF($A32="","",IF(AND(ISNUMBER(R32),ISNUMBER(AD32)),R32+AD32,""))</f>
        <v>9202.1</v>
      </c>
      <c r="G32" s="38" t="n">
        <f aca="false">IF($A32="","",IF(AND(ISNUMBER(S32),ISNUMBER(AE32)),S32+AE32,""))</f>
        <v>9061.96</v>
      </c>
      <c r="H32" s="38" t="n">
        <f aca="false">IF($A32="","",IF(AND(ISNUMBER(T32),ISNUMBER(AF32)),T32+AF32,""))</f>
        <v>8634.45</v>
      </c>
      <c r="I32" s="38" t="n">
        <f aca="false">IF($A32="","",IF(AND(ISNUMBER(U32),ISNUMBER(AG32)),U32+AG32,""))</f>
        <v>8363.88</v>
      </c>
      <c r="J32" s="38" t="n">
        <f aca="false">IF($A32="","",IF(AND(ISNUMBER(V32),ISNUMBER(AH32)),V32+AH32,""))</f>
        <v>8535.63</v>
      </c>
      <c r="K32" s="38" t="n">
        <f aca="false">IF($A32="","",IF(AND(ISNUMBER(W32),ISNUMBER(AI32)),W32+AI32,""))</f>
        <v>8896.12</v>
      </c>
      <c r="L32" s="38" t="n">
        <f aca="false">IF($A32="","",IF(AND(ISNUMBER(X32),ISNUMBER(AJ32)),X32+AJ32,""))</f>
        <v>9099.96</v>
      </c>
      <c r="M32" s="38" t="n">
        <f aca="false">IF($A32="","",IF(AND(ISNUMBER(Y32),ISNUMBER(AK32)),Y32+AK32,""))</f>
        <v>9255.97</v>
      </c>
      <c r="N32" s="38" t="n">
        <f aca="false">IF($A32="","",IF(AND(ISNUMBER(Z32),ISNUMBER(AL32)),Z32+AL32,""))</f>
        <v>9521.88</v>
      </c>
      <c r="O32" s="38" t="n">
        <f aca="false">IF($A32="","",IF(AND(ISNUMBER(AA32),ISNUMBER(AM32)),AA32+AM32,""))</f>
        <v>9690.43</v>
      </c>
      <c r="P32" s="38" t="n">
        <f aca="false">IF($A32="","",IFERROR(1/(1/IF($B32="Residential",SUMIFS(INDEX('Oxford Economics'!$A$7:$AZ$1000,0,IFERROR(MATCH(P$5,'Oxford Economics'!$A$6:$AZ$6,0),MATCH(P$5&amp;"",'Oxford Economics'!$A$6:$AZ$6,0))),'Oxford Economics'!$A$7:$A$1000,$C32,'Oxford Economics'!$B$7:$B$1000,Settings!$B$13)-SUMIFS(INDEX('Oxford Economics'!$A$7:$AZ$1000,0,IFERROR(MATCH(P$5,'Oxford Economics'!$A$6:$AZ$6,0),MATCH(P$5&amp;"",'Oxford Economics'!$A$6:$AZ$6,0))),'Oxford Economics'!$A$7:$A$1000,$C32,'Oxford Economics'!$B$7:$B$1000,Settings!$B$15),SUMIFS(INDEX('Oxford Economics'!$A$7:$AZ$1000,0,IFERROR(MATCH(P$5,'Oxford Economics'!$A$6:$AZ$6,0),MATCH(P$5&amp;"",'Oxford Economics'!$A$6:$AZ$6,0))),'Oxford Economics'!$A$7:$A$1000,$C32,'Oxford Economics'!$B$7:$B$1000,Settings!$B$15)+SUMIFS(INDEX('Oxford Economics'!$A$7:$AZ$1000,0,IFERROR(MATCH(P$5,'Oxford Economics'!$A$6:$AZ$6,0),MATCH(P$5&amp;"",'Oxford Economics'!$A$6:$AZ$6,0))),'Oxford Economics'!$A$7:$A$1000,$C32,'Oxford Economics'!$B$7:$B$1000,Settings!$B$17)+IF(Settings!$B$19="",0,SUMIFS(INDEX('Oxford Economics'!$A$7:$AZ$1000,0,IFERROR(MATCH(P$5,'Oxford Economics'!$A$6:$AZ$6,0),MATCH(P$5&amp;"",'Oxford Economics'!$A$6:$AZ$6,0))),'Oxford Economics'!$A$7:$A$1000,$C32,'Oxford Economics'!$B$7:$B$1000,Settings!$B$19)))),""))</f>
        <v>4053.53</v>
      </c>
      <c r="Q32" s="38" t="n">
        <f aca="false">IF($A32="","",IFERROR(1/(1/IF($B32="Residential",SUMIFS(INDEX('Oxford Economics'!$A$7:$AZ$1000,0,IFERROR(MATCH(Q$5,'Oxford Economics'!$A$6:$AZ$6,0),MATCH(Q$5&amp;"",'Oxford Economics'!$A$6:$AZ$6,0))),'Oxford Economics'!$A$7:$A$1000,$C32,'Oxford Economics'!$B$7:$B$1000,Settings!$B$13)-SUMIFS(INDEX('Oxford Economics'!$A$7:$AZ$1000,0,IFERROR(MATCH(Q$5,'Oxford Economics'!$A$6:$AZ$6,0),MATCH(Q$5&amp;"",'Oxford Economics'!$A$6:$AZ$6,0))),'Oxford Economics'!$A$7:$A$1000,$C32,'Oxford Economics'!$B$7:$B$1000,Settings!$B$15),SUMIFS(INDEX('Oxford Economics'!$A$7:$AZ$1000,0,IFERROR(MATCH(Q$5,'Oxford Economics'!$A$6:$AZ$6,0),MATCH(Q$5&amp;"",'Oxford Economics'!$A$6:$AZ$6,0))),'Oxford Economics'!$A$7:$A$1000,$C32,'Oxford Economics'!$B$7:$B$1000,Settings!$B$15)+SUMIFS(INDEX('Oxford Economics'!$A$7:$AZ$1000,0,IFERROR(MATCH(Q$5,'Oxford Economics'!$A$6:$AZ$6,0),MATCH(Q$5&amp;"",'Oxford Economics'!$A$6:$AZ$6,0))),'Oxford Economics'!$A$7:$A$1000,$C32,'Oxford Economics'!$B$7:$B$1000,Settings!$B$17)+IF(Settings!$B$19="",0,SUMIFS(INDEX('Oxford Economics'!$A$7:$AZ$1000,0,IFERROR(MATCH(Q$5,'Oxford Economics'!$A$6:$AZ$6,0),MATCH(Q$5&amp;"",'Oxford Economics'!$A$6:$AZ$6,0))),'Oxford Economics'!$A$7:$A$1000,$C32,'Oxford Economics'!$B$7:$B$1000,Settings!$B$19)))),""))</f>
        <v>4041.52</v>
      </c>
      <c r="R32" s="38" t="n">
        <f aca="false">IF($A32="","",IFERROR(1/(1/IF($B32="Residential",SUMIFS(INDEX('Oxford Economics'!$A$7:$AZ$1000,0,IFERROR(MATCH(R$5,'Oxford Economics'!$A$6:$AZ$6,0),MATCH(R$5&amp;"",'Oxford Economics'!$A$6:$AZ$6,0))),'Oxford Economics'!$A$7:$A$1000,$C32,'Oxford Economics'!$B$7:$B$1000,Settings!$B$13)-SUMIFS(INDEX('Oxford Economics'!$A$7:$AZ$1000,0,IFERROR(MATCH(R$5,'Oxford Economics'!$A$6:$AZ$6,0),MATCH(R$5&amp;"",'Oxford Economics'!$A$6:$AZ$6,0))),'Oxford Economics'!$A$7:$A$1000,$C32,'Oxford Economics'!$B$7:$B$1000,Settings!$B$15),SUMIFS(INDEX('Oxford Economics'!$A$7:$AZ$1000,0,IFERROR(MATCH(R$5,'Oxford Economics'!$A$6:$AZ$6,0),MATCH(R$5&amp;"",'Oxford Economics'!$A$6:$AZ$6,0))),'Oxford Economics'!$A$7:$A$1000,$C32,'Oxford Economics'!$B$7:$B$1000,Settings!$B$15)+SUMIFS(INDEX('Oxford Economics'!$A$7:$AZ$1000,0,IFERROR(MATCH(R$5,'Oxford Economics'!$A$6:$AZ$6,0),MATCH(R$5&amp;"",'Oxford Economics'!$A$6:$AZ$6,0))),'Oxford Economics'!$A$7:$A$1000,$C32,'Oxford Economics'!$B$7:$B$1000,Settings!$B$17)+IF(Settings!$B$19="",0,SUMIFS(INDEX('Oxford Economics'!$A$7:$AZ$1000,0,IFERROR(MATCH(R$5,'Oxford Economics'!$A$6:$AZ$6,0),MATCH(R$5&amp;"",'Oxford Economics'!$A$6:$AZ$6,0))),'Oxford Economics'!$A$7:$A$1000,$C32,'Oxford Economics'!$B$7:$B$1000,Settings!$B$19)))),""))</f>
        <v>4181.8</v>
      </c>
      <c r="S32" s="38" t="n">
        <f aca="false">IF($A32="","",IFERROR(1/(1/IF($B32="Residential",SUMIFS(INDEX('Oxford Economics'!$A$7:$AZ$1000,0,IFERROR(MATCH(S$5,'Oxford Economics'!$A$6:$AZ$6,0),MATCH(S$5&amp;"",'Oxford Economics'!$A$6:$AZ$6,0))),'Oxford Economics'!$A$7:$A$1000,$C32,'Oxford Economics'!$B$7:$B$1000,Settings!$B$13)-SUMIFS(INDEX('Oxford Economics'!$A$7:$AZ$1000,0,IFERROR(MATCH(S$5,'Oxford Economics'!$A$6:$AZ$6,0),MATCH(S$5&amp;"",'Oxford Economics'!$A$6:$AZ$6,0))),'Oxford Economics'!$A$7:$A$1000,$C32,'Oxford Economics'!$B$7:$B$1000,Settings!$B$15),SUMIFS(INDEX('Oxford Economics'!$A$7:$AZ$1000,0,IFERROR(MATCH(S$5,'Oxford Economics'!$A$6:$AZ$6,0),MATCH(S$5&amp;"",'Oxford Economics'!$A$6:$AZ$6,0))),'Oxford Economics'!$A$7:$A$1000,$C32,'Oxford Economics'!$B$7:$B$1000,Settings!$B$15)+SUMIFS(INDEX('Oxford Economics'!$A$7:$AZ$1000,0,IFERROR(MATCH(S$5,'Oxford Economics'!$A$6:$AZ$6,0),MATCH(S$5&amp;"",'Oxford Economics'!$A$6:$AZ$6,0))),'Oxford Economics'!$A$7:$A$1000,$C32,'Oxford Economics'!$B$7:$B$1000,Settings!$B$17)+IF(Settings!$B$19="",0,SUMIFS(INDEX('Oxford Economics'!$A$7:$AZ$1000,0,IFERROR(MATCH(S$5,'Oxford Economics'!$A$6:$AZ$6,0),MATCH(S$5&amp;"",'Oxford Economics'!$A$6:$AZ$6,0))),'Oxford Economics'!$A$7:$A$1000,$C32,'Oxford Economics'!$B$7:$B$1000,Settings!$B$19)))),""))</f>
        <v>4935.68</v>
      </c>
      <c r="T32" s="38" t="n">
        <f aca="false">IF($A32="","",IFERROR(1/(1/IF($B32="Residential",SUMIFS(INDEX('Oxford Economics'!$A$7:$AZ$1000,0,IFERROR(MATCH(T$5,'Oxford Economics'!$A$6:$AZ$6,0),MATCH(T$5&amp;"",'Oxford Economics'!$A$6:$AZ$6,0))),'Oxford Economics'!$A$7:$A$1000,$C32,'Oxford Economics'!$B$7:$B$1000,Settings!$B$13)-SUMIFS(INDEX('Oxford Economics'!$A$7:$AZ$1000,0,IFERROR(MATCH(T$5,'Oxford Economics'!$A$6:$AZ$6,0),MATCH(T$5&amp;"",'Oxford Economics'!$A$6:$AZ$6,0))),'Oxford Economics'!$A$7:$A$1000,$C32,'Oxford Economics'!$B$7:$B$1000,Settings!$B$15),SUMIFS(INDEX('Oxford Economics'!$A$7:$AZ$1000,0,IFERROR(MATCH(T$5,'Oxford Economics'!$A$6:$AZ$6,0),MATCH(T$5&amp;"",'Oxford Economics'!$A$6:$AZ$6,0))),'Oxford Economics'!$A$7:$A$1000,$C32,'Oxford Economics'!$B$7:$B$1000,Settings!$B$15)+SUMIFS(INDEX('Oxford Economics'!$A$7:$AZ$1000,0,IFERROR(MATCH(T$5,'Oxford Economics'!$A$6:$AZ$6,0),MATCH(T$5&amp;"",'Oxford Economics'!$A$6:$AZ$6,0))),'Oxford Economics'!$A$7:$A$1000,$C32,'Oxford Economics'!$B$7:$B$1000,Settings!$B$17)+IF(Settings!$B$19="",0,SUMIFS(INDEX('Oxford Economics'!$A$7:$AZ$1000,0,IFERROR(MATCH(T$5,'Oxford Economics'!$A$6:$AZ$6,0),MATCH(T$5&amp;"",'Oxford Economics'!$A$6:$AZ$6,0))),'Oxford Economics'!$A$7:$A$1000,$C32,'Oxford Economics'!$B$7:$B$1000,Settings!$B$19)))),""))</f>
        <v>5225.83</v>
      </c>
      <c r="U32" s="38" t="n">
        <f aca="false">IF($A32="","",IFERROR(1/(1/IF($B32="Residential",SUMIFS(INDEX('Oxford Economics'!$A$7:$AZ$1000,0,IFERROR(MATCH(U$5,'Oxford Economics'!$A$6:$AZ$6,0),MATCH(U$5&amp;"",'Oxford Economics'!$A$6:$AZ$6,0))),'Oxford Economics'!$A$7:$A$1000,$C32,'Oxford Economics'!$B$7:$B$1000,Settings!$B$13)-SUMIFS(INDEX('Oxford Economics'!$A$7:$AZ$1000,0,IFERROR(MATCH(U$5,'Oxford Economics'!$A$6:$AZ$6,0),MATCH(U$5&amp;"",'Oxford Economics'!$A$6:$AZ$6,0))),'Oxford Economics'!$A$7:$A$1000,$C32,'Oxford Economics'!$B$7:$B$1000,Settings!$B$15),SUMIFS(INDEX('Oxford Economics'!$A$7:$AZ$1000,0,IFERROR(MATCH(U$5,'Oxford Economics'!$A$6:$AZ$6,0),MATCH(U$5&amp;"",'Oxford Economics'!$A$6:$AZ$6,0))),'Oxford Economics'!$A$7:$A$1000,$C32,'Oxford Economics'!$B$7:$B$1000,Settings!$B$15)+SUMIFS(INDEX('Oxford Economics'!$A$7:$AZ$1000,0,IFERROR(MATCH(U$5,'Oxford Economics'!$A$6:$AZ$6,0),MATCH(U$5&amp;"",'Oxford Economics'!$A$6:$AZ$6,0))),'Oxford Economics'!$A$7:$A$1000,$C32,'Oxford Economics'!$B$7:$B$1000,Settings!$B$17)+IF(Settings!$B$19="",0,SUMIFS(INDEX('Oxford Economics'!$A$7:$AZ$1000,0,IFERROR(MATCH(U$5,'Oxford Economics'!$A$6:$AZ$6,0),MATCH(U$5&amp;"",'Oxford Economics'!$A$6:$AZ$6,0))),'Oxford Economics'!$A$7:$A$1000,$C32,'Oxford Economics'!$B$7:$B$1000,Settings!$B$19)))),""))</f>
        <v>5075.26</v>
      </c>
      <c r="V32" s="38" t="n">
        <f aca="false">IF($A32="","",IFERROR(1/(1/IF($B32="Residential",SUMIFS(INDEX('Oxford Economics'!$A$7:$AZ$1000,0,IFERROR(MATCH(V$5,'Oxford Economics'!$A$6:$AZ$6,0),MATCH(V$5&amp;"",'Oxford Economics'!$A$6:$AZ$6,0))),'Oxford Economics'!$A$7:$A$1000,$C32,'Oxford Economics'!$B$7:$B$1000,Settings!$B$13)-SUMIFS(INDEX('Oxford Economics'!$A$7:$AZ$1000,0,IFERROR(MATCH(V$5,'Oxford Economics'!$A$6:$AZ$6,0),MATCH(V$5&amp;"",'Oxford Economics'!$A$6:$AZ$6,0))),'Oxford Economics'!$A$7:$A$1000,$C32,'Oxford Economics'!$B$7:$B$1000,Settings!$B$15),SUMIFS(INDEX('Oxford Economics'!$A$7:$AZ$1000,0,IFERROR(MATCH(V$5,'Oxford Economics'!$A$6:$AZ$6,0),MATCH(V$5&amp;"",'Oxford Economics'!$A$6:$AZ$6,0))),'Oxford Economics'!$A$7:$A$1000,$C32,'Oxford Economics'!$B$7:$B$1000,Settings!$B$15)+SUMIFS(INDEX('Oxford Economics'!$A$7:$AZ$1000,0,IFERROR(MATCH(V$5,'Oxford Economics'!$A$6:$AZ$6,0),MATCH(V$5&amp;"",'Oxford Economics'!$A$6:$AZ$6,0))),'Oxford Economics'!$A$7:$A$1000,$C32,'Oxford Economics'!$B$7:$B$1000,Settings!$B$17)+IF(Settings!$B$19="",0,SUMIFS(INDEX('Oxford Economics'!$A$7:$AZ$1000,0,IFERROR(MATCH(V$5,'Oxford Economics'!$A$6:$AZ$6,0),MATCH(V$5&amp;"",'Oxford Economics'!$A$6:$AZ$6,0))),'Oxford Economics'!$A$7:$A$1000,$C32,'Oxford Economics'!$B$7:$B$1000,Settings!$B$19)))),""))</f>
        <v>5050.7</v>
      </c>
      <c r="W32" s="38" t="n">
        <f aca="false">IF($A32="","",IFERROR(1/(1/IF($B32="Residential",SUMIFS(INDEX('Oxford Economics'!$A$7:$AZ$1000,0,IFERROR(MATCH(W$5,'Oxford Economics'!$A$6:$AZ$6,0),MATCH(W$5&amp;"",'Oxford Economics'!$A$6:$AZ$6,0))),'Oxford Economics'!$A$7:$A$1000,$C32,'Oxford Economics'!$B$7:$B$1000,Settings!$B$13)-SUMIFS(INDEX('Oxford Economics'!$A$7:$AZ$1000,0,IFERROR(MATCH(W$5,'Oxford Economics'!$A$6:$AZ$6,0),MATCH(W$5&amp;"",'Oxford Economics'!$A$6:$AZ$6,0))),'Oxford Economics'!$A$7:$A$1000,$C32,'Oxford Economics'!$B$7:$B$1000,Settings!$B$15),SUMIFS(INDEX('Oxford Economics'!$A$7:$AZ$1000,0,IFERROR(MATCH(W$5,'Oxford Economics'!$A$6:$AZ$6,0),MATCH(W$5&amp;"",'Oxford Economics'!$A$6:$AZ$6,0))),'Oxford Economics'!$A$7:$A$1000,$C32,'Oxford Economics'!$B$7:$B$1000,Settings!$B$15)+SUMIFS(INDEX('Oxford Economics'!$A$7:$AZ$1000,0,IFERROR(MATCH(W$5,'Oxford Economics'!$A$6:$AZ$6,0),MATCH(W$5&amp;"",'Oxford Economics'!$A$6:$AZ$6,0))),'Oxford Economics'!$A$7:$A$1000,$C32,'Oxford Economics'!$B$7:$B$1000,Settings!$B$17)+IF(Settings!$B$19="",0,SUMIFS(INDEX('Oxford Economics'!$A$7:$AZ$1000,0,IFERROR(MATCH(W$5,'Oxford Economics'!$A$6:$AZ$6,0),MATCH(W$5&amp;"",'Oxford Economics'!$A$6:$AZ$6,0))),'Oxford Economics'!$A$7:$A$1000,$C32,'Oxford Economics'!$B$7:$B$1000,Settings!$B$19)))),""))</f>
        <v>5249.98</v>
      </c>
      <c r="X32" s="38" t="n">
        <f aca="false">IF($A32="","",IFERROR(1/(1/IF($B32="Residential",SUMIFS(INDEX('Oxford Economics'!$A$7:$AZ$1000,0,IFERROR(MATCH(X$5,'Oxford Economics'!$A$6:$AZ$6,0),MATCH(X$5&amp;"",'Oxford Economics'!$A$6:$AZ$6,0))),'Oxford Economics'!$A$7:$A$1000,$C32,'Oxford Economics'!$B$7:$B$1000,Settings!$B$13)-SUMIFS(INDEX('Oxford Economics'!$A$7:$AZ$1000,0,IFERROR(MATCH(X$5,'Oxford Economics'!$A$6:$AZ$6,0),MATCH(X$5&amp;"",'Oxford Economics'!$A$6:$AZ$6,0))),'Oxford Economics'!$A$7:$A$1000,$C32,'Oxford Economics'!$B$7:$B$1000,Settings!$B$15),SUMIFS(INDEX('Oxford Economics'!$A$7:$AZ$1000,0,IFERROR(MATCH(X$5,'Oxford Economics'!$A$6:$AZ$6,0),MATCH(X$5&amp;"",'Oxford Economics'!$A$6:$AZ$6,0))),'Oxford Economics'!$A$7:$A$1000,$C32,'Oxford Economics'!$B$7:$B$1000,Settings!$B$15)+SUMIFS(INDEX('Oxford Economics'!$A$7:$AZ$1000,0,IFERROR(MATCH(X$5,'Oxford Economics'!$A$6:$AZ$6,0),MATCH(X$5&amp;"",'Oxford Economics'!$A$6:$AZ$6,0))),'Oxford Economics'!$A$7:$A$1000,$C32,'Oxford Economics'!$B$7:$B$1000,Settings!$B$17)+IF(Settings!$B$19="",0,SUMIFS(INDEX('Oxford Economics'!$A$7:$AZ$1000,0,IFERROR(MATCH(X$5,'Oxford Economics'!$A$6:$AZ$6,0),MATCH(X$5&amp;"",'Oxford Economics'!$A$6:$AZ$6,0))),'Oxford Economics'!$A$7:$A$1000,$C32,'Oxford Economics'!$B$7:$B$1000,Settings!$B$19)))),""))</f>
        <v>5371.29</v>
      </c>
      <c r="Y32" s="38" t="n">
        <f aca="false">IF($A32="","",IFERROR(1/(1/IF($B32="Residential",SUMIFS(INDEX('Oxford Economics'!$A$7:$AZ$1000,0,IFERROR(MATCH(Y$5,'Oxford Economics'!$A$6:$AZ$6,0),MATCH(Y$5&amp;"",'Oxford Economics'!$A$6:$AZ$6,0))),'Oxford Economics'!$A$7:$A$1000,$C32,'Oxford Economics'!$B$7:$B$1000,Settings!$B$13)-SUMIFS(INDEX('Oxford Economics'!$A$7:$AZ$1000,0,IFERROR(MATCH(Y$5,'Oxford Economics'!$A$6:$AZ$6,0),MATCH(Y$5&amp;"",'Oxford Economics'!$A$6:$AZ$6,0))),'Oxford Economics'!$A$7:$A$1000,$C32,'Oxford Economics'!$B$7:$B$1000,Settings!$B$15),SUMIFS(INDEX('Oxford Economics'!$A$7:$AZ$1000,0,IFERROR(MATCH(Y$5,'Oxford Economics'!$A$6:$AZ$6,0),MATCH(Y$5&amp;"",'Oxford Economics'!$A$6:$AZ$6,0))),'Oxford Economics'!$A$7:$A$1000,$C32,'Oxford Economics'!$B$7:$B$1000,Settings!$B$15)+SUMIFS(INDEX('Oxford Economics'!$A$7:$AZ$1000,0,IFERROR(MATCH(Y$5,'Oxford Economics'!$A$6:$AZ$6,0),MATCH(Y$5&amp;"",'Oxford Economics'!$A$6:$AZ$6,0))),'Oxford Economics'!$A$7:$A$1000,$C32,'Oxford Economics'!$B$7:$B$1000,Settings!$B$17)+IF(Settings!$B$19="",0,SUMIFS(INDEX('Oxford Economics'!$A$7:$AZ$1000,0,IFERROR(MATCH(Y$5,'Oxford Economics'!$A$6:$AZ$6,0),MATCH(Y$5&amp;"",'Oxford Economics'!$A$6:$AZ$6,0))),'Oxford Economics'!$A$7:$A$1000,$C32,'Oxford Economics'!$B$7:$B$1000,Settings!$B$19)))),""))</f>
        <v>5460.51</v>
      </c>
      <c r="Z32" s="38" t="n">
        <f aca="false">IF($A32="","",IFERROR(1/(1/IF($B32="Residential",SUMIFS(INDEX('Oxford Economics'!$A$7:$AZ$1000,0,IFERROR(MATCH(Z$5,'Oxford Economics'!$A$6:$AZ$6,0),MATCH(Z$5&amp;"",'Oxford Economics'!$A$6:$AZ$6,0))),'Oxford Economics'!$A$7:$A$1000,$C32,'Oxford Economics'!$B$7:$B$1000,Settings!$B$13)-SUMIFS(INDEX('Oxford Economics'!$A$7:$AZ$1000,0,IFERROR(MATCH(Z$5,'Oxford Economics'!$A$6:$AZ$6,0),MATCH(Z$5&amp;"",'Oxford Economics'!$A$6:$AZ$6,0))),'Oxford Economics'!$A$7:$A$1000,$C32,'Oxford Economics'!$B$7:$B$1000,Settings!$B$15),SUMIFS(INDEX('Oxford Economics'!$A$7:$AZ$1000,0,IFERROR(MATCH(Z$5,'Oxford Economics'!$A$6:$AZ$6,0),MATCH(Z$5&amp;"",'Oxford Economics'!$A$6:$AZ$6,0))),'Oxford Economics'!$A$7:$A$1000,$C32,'Oxford Economics'!$B$7:$B$1000,Settings!$B$15)+SUMIFS(INDEX('Oxford Economics'!$A$7:$AZ$1000,0,IFERROR(MATCH(Z$5,'Oxford Economics'!$A$6:$AZ$6,0),MATCH(Z$5&amp;"",'Oxford Economics'!$A$6:$AZ$6,0))),'Oxford Economics'!$A$7:$A$1000,$C32,'Oxford Economics'!$B$7:$B$1000,Settings!$B$17)+IF(Settings!$B$19="",0,SUMIFS(INDEX('Oxford Economics'!$A$7:$AZ$1000,0,IFERROR(MATCH(Z$5,'Oxford Economics'!$A$6:$AZ$6,0),MATCH(Z$5&amp;"",'Oxford Economics'!$A$6:$AZ$6,0))),'Oxford Economics'!$A$7:$A$1000,$C32,'Oxford Economics'!$B$7:$B$1000,Settings!$B$19)))),""))</f>
        <v>5654.06</v>
      </c>
      <c r="AA32" s="38" t="n">
        <f aca="false">IF($A32="","",IFERROR(1/(1/IF($B32="Residential",SUMIFS(INDEX('Oxford Economics'!$A$7:$AZ$1000,0,IFERROR(MATCH(AA$5,'Oxford Economics'!$A$6:$AZ$6,0),MATCH(AA$5&amp;"",'Oxford Economics'!$A$6:$AZ$6,0))),'Oxford Economics'!$A$7:$A$1000,$C32,'Oxford Economics'!$B$7:$B$1000,Settings!$B$13)-SUMIFS(INDEX('Oxford Economics'!$A$7:$AZ$1000,0,IFERROR(MATCH(AA$5,'Oxford Economics'!$A$6:$AZ$6,0),MATCH(AA$5&amp;"",'Oxford Economics'!$A$6:$AZ$6,0))),'Oxford Economics'!$A$7:$A$1000,$C32,'Oxford Economics'!$B$7:$B$1000,Settings!$B$15),SUMIFS(INDEX('Oxford Economics'!$A$7:$AZ$1000,0,IFERROR(MATCH(AA$5,'Oxford Economics'!$A$6:$AZ$6,0),MATCH(AA$5&amp;"",'Oxford Economics'!$A$6:$AZ$6,0))),'Oxford Economics'!$A$7:$A$1000,$C32,'Oxford Economics'!$B$7:$B$1000,Settings!$B$15)+SUMIFS(INDEX('Oxford Economics'!$A$7:$AZ$1000,0,IFERROR(MATCH(AA$5,'Oxford Economics'!$A$6:$AZ$6,0),MATCH(AA$5&amp;"",'Oxford Economics'!$A$6:$AZ$6,0))),'Oxford Economics'!$A$7:$A$1000,$C32,'Oxford Economics'!$B$7:$B$1000,Settings!$B$17)+IF(Settings!$B$19="",0,SUMIFS(INDEX('Oxford Economics'!$A$7:$AZ$1000,0,IFERROR(MATCH(AA$5,'Oxford Economics'!$A$6:$AZ$6,0),MATCH(AA$5&amp;"",'Oxford Economics'!$A$6:$AZ$6,0))),'Oxford Economics'!$A$7:$A$1000,$C32,'Oxford Economics'!$B$7:$B$1000,Settings!$B$19)))),""))</f>
        <v>5759.77</v>
      </c>
      <c r="AB32" s="38" t="n">
        <f aca="false">IF($A32="","",IFERROR(1/(1/IF($B32="Residential",SUMIFS(INDEX('Oxford Economics'!$A$7:$AZ$1000,0,IFERROR(MATCH(AB$5,'Oxford Economics'!$A$6:$AZ$6,0),MATCH(AB$5&amp;"",'Oxford Economics'!$A$6:$AZ$6,0))),'Oxford Economics'!$A$7:$A$1000,$C32,'Oxford Economics'!$B$7:$B$1000,Settings!$B$12)-SUMIFS(INDEX('Oxford Economics'!$A$7:$AZ$1000,0,IFERROR(MATCH(AB$5,'Oxford Economics'!$A$6:$AZ$6,0),MATCH(AB$5&amp;"",'Oxford Economics'!$A$6:$AZ$6,0))),'Oxford Economics'!$A$7:$A$1000,$C32,'Oxford Economics'!$B$7:$B$1000,Settings!$B$14),SUMIFS(INDEX('Oxford Economics'!$A$7:$AZ$1000,0,IFERROR(MATCH(AB$5,'Oxford Economics'!$A$6:$AZ$6,0),MATCH(AB$5&amp;"",'Oxford Economics'!$A$6:$AZ$6,0))),'Oxford Economics'!$A$7:$A$1000,$C32,'Oxford Economics'!$B$7:$B$1000,Settings!$B$14)+SUMIFS(INDEX('Oxford Economics'!$A$7:$AZ$1000,0,IFERROR(MATCH(AB$5,'Oxford Economics'!$A$6:$AZ$6,0),MATCH(AB$5&amp;"",'Oxford Economics'!$A$6:$AZ$6,0))),'Oxford Economics'!$A$7:$A$1000,$C32,'Oxford Economics'!$B$7:$B$1000,Settings!$B$16)+IF(Settings!$B$18="",0,SUMIFS(INDEX('Oxford Economics'!$A$7:$AZ$1000,0,IFERROR(MATCH(AB$5,'Oxford Economics'!$A$6:$AZ$6,0),MATCH(AB$5&amp;"",'Oxford Economics'!$A$6:$AZ$6,0))),'Oxford Economics'!$A$7:$A$1000,$C32,'Oxford Economics'!$B$7:$B$1000,Settings!$B$18)))),""))</f>
        <v>4326.69</v>
      </c>
      <c r="AC32" s="38" t="n">
        <f aca="false">IF($A32="","",IFERROR(1/(1/IF($B32="Residential",SUMIFS(INDEX('Oxford Economics'!$A$7:$AZ$1000,0,IFERROR(MATCH(AC$5,'Oxford Economics'!$A$6:$AZ$6,0),MATCH(AC$5&amp;"",'Oxford Economics'!$A$6:$AZ$6,0))),'Oxford Economics'!$A$7:$A$1000,$C32,'Oxford Economics'!$B$7:$B$1000,Settings!$B$12)-SUMIFS(INDEX('Oxford Economics'!$A$7:$AZ$1000,0,IFERROR(MATCH(AC$5,'Oxford Economics'!$A$6:$AZ$6,0),MATCH(AC$5&amp;"",'Oxford Economics'!$A$6:$AZ$6,0))),'Oxford Economics'!$A$7:$A$1000,$C32,'Oxford Economics'!$B$7:$B$1000,Settings!$B$14),SUMIFS(INDEX('Oxford Economics'!$A$7:$AZ$1000,0,IFERROR(MATCH(AC$5,'Oxford Economics'!$A$6:$AZ$6,0),MATCH(AC$5&amp;"",'Oxford Economics'!$A$6:$AZ$6,0))),'Oxford Economics'!$A$7:$A$1000,$C32,'Oxford Economics'!$B$7:$B$1000,Settings!$B$14)+SUMIFS(INDEX('Oxford Economics'!$A$7:$AZ$1000,0,IFERROR(MATCH(AC$5,'Oxford Economics'!$A$6:$AZ$6,0),MATCH(AC$5&amp;"",'Oxford Economics'!$A$6:$AZ$6,0))),'Oxford Economics'!$A$7:$A$1000,$C32,'Oxford Economics'!$B$7:$B$1000,Settings!$B$16)+IF(Settings!$B$18="",0,SUMIFS(INDEX('Oxford Economics'!$A$7:$AZ$1000,0,IFERROR(MATCH(AC$5,'Oxford Economics'!$A$6:$AZ$6,0),MATCH(AC$5&amp;"",'Oxford Economics'!$A$6:$AZ$6,0))),'Oxford Economics'!$A$7:$A$1000,$C32,'Oxford Economics'!$B$7:$B$1000,Settings!$B$18)))),""))</f>
        <v>4734.66</v>
      </c>
      <c r="AD32" s="38" t="n">
        <f aca="false">IF($A32="","",IFERROR(1/(1/IF($B32="Residential",SUMIFS(INDEX('Oxford Economics'!$A$7:$AZ$1000,0,IFERROR(MATCH(AD$5,'Oxford Economics'!$A$6:$AZ$6,0),MATCH(AD$5&amp;"",'Oxford Economics'!$A$6:$AZ$6,0))),'Oxford Economics'!$A$7:$A$1000,$C32,'Oxford Economics'!$B$7:$B$1000,Settings!$B$12)-SUMIFS(INDEX('Oxford Economics'!$A$7:$AZ$1000,0,IFERROR(MATCH(AD$5,'Oxford Economics'!$A$6:$AZ$6,0),MATCH(AD$5&amp;"",'Oxford Economics'!$A$6:$AZ$6,0))),'Oxford Economics'!$A$7:$A$1000,$C32,'Oxford Economics'!$B$7:$B$1000,Settings!$B$14),SUMIFS(INDEX('Oxford Economics'!$A$7:$AZ$1000,0,IFERROR(MATCH(AD$5,'Oxford Economics'!$A$6:$AZ$6,0),MATCH(AD$5&amp;"",'Oxford Economics'!$A$6:$AZ$6,0))),'Oxford Economics'!$A$7:$A$1000,$C32,'Oxford Economics'!$B$7:$B$1000,Settings!$B$14)+SUMIFS(INDEX('Oxford Economics'!$A$7:$AZ$1000,0,IFERROR(MATCH(AD$5,'Oxford Economics'!$A$6:$AZ$6,0),MATCH(AD$5&amp;"",'Oxford Economics'!$A$6:$AZ$6,0))),'Oxford Economics'!$A$7:$A$1000,$C32,'Oxford Economics'!$B$7:$B$1000,Settings!$B$16)+IF(Settings!$B$18="",0,SUMIFS(INDEX('Oxford Economics'!$A$7:$AZ$1000,0,IFERROR(MATCH(AD$5,'Oxford Economics'!$A$6:$AZ$6,0),MATCH(AD$5&amp;"",'Oxford Economics'!$A$6:$AZ$6,0))),'Oxford Economics'!$A$7:$A$1000,$C32,'Oxford Economics'!$B$7:$B$1000,Settings!$B$18)))),""))</f>
        <v>5020.3</v>
      </c>
      <c r="AE32" s="38" t="n">
        <f aca="false">IF($A32="","",IFERROR(1/(1/IF($B32="Residential",SUMIFS(INDEX('Oxford Economics'!$A$7:$AZ$1000,0,IFERROR(MATCH(AE$5,'Oxford Economics'!$A$6:$AZ$6,0),MATCH(AE$5&amp;"",'Oxford Economics'!$A$6:$AZ$6,0))),'Oxford Economics'!$A$7:$A$1000,$C32,'Oxford Economics'!$B$7:$B$1000,Settings!$B$12)-SUMIFS(INDEX('Oxford Economics'!$A$7:$AZ$1000,0,IFERROR(MATCH(AE$5,'Oxford Economics'!$A$6:$AZ$6,0),MATCH(AE$5&amp;"",'Oxford Economics'!$A$6:$AZ$6,0))),'Oxford Economics'!$A$7:$A$1000,$C32,'Oxford Economics'!$B$7:$B$1000,Settings!$B$14),SUMIFS(INDEX('Oxford Economics'!$A$7:$AZ$1000,0,IFERROR(MATCH(AE$5,'Oxford Economics'!$A$6:$AZ$6,0),MATCH(AE$5&amp;"",'Oxford Economics'!$A$6:$AZ$6,0))),'Oxford Economics'!$A$7:$A$1000,$C32,'Oxford Economics'!$B$7:$B$1000,Settings!$B$14)+SUMIFS(INDEX('Oxford Economics'!$A$7:$AZ$1000,0,IFERROR(MATCH(AE$5,'Oxford Economics'!$A$6:$AZ$6,0),MATCH(AE$5&amp;"",'Oxford Economics'!$A$6:$AZ$6,0))),'Oxford Economics'!$A$7:$A$1000,$C32,'Oxford Economics'!$B$7:$B$1000,Settings!$B$16)+IF(Settings!$B$18="",0,SUMIFS(INDEX('Oxford Economics'!$A$7:$AZ$1000,0,IFERROR(MATCH(AE$5,'Oxford Economics'!$A$6:$AZ$6,0),MATCH(AE$5&amp;"",'Oxford Economics'!$A$6:$AZ$6,0))),'Oxford Economics'!$A$7:$A$1000,$C32,'Oxford Economics'!$B$7:$B$1000,Settings!$B$18)))),""))</f>
        <v>4126.28</v>
      </c>
      <c r="AF32" s="38" t="n">
        <f aca="false">IF($A32="","",IFERROR(1/(1/IF($B32="Residential",SUMIFS(INDEX('Oxford Economics'!$A$7:$AZ$1000,0,IFERROR(MATCH(AF$5,'Oxford Economics'!$A$6:$AZ$6,0),MATCH(AF$5&amp;"",'Oxford Economics'!$A$6:$AZ$6,0))),'Oxford Economics'!$A$7:$A$1000,$C32,'Oxford Economics'!$B$7:$B$1000,Settings!$B$12)-SUMIFS(INDEX('Oxford Economics'!$A$7:$AZ$1000,0,IFERROR(MATCH(AF$5,'Oxford Economics'!$A$6:$AZ$6,0),MATCH(AF$5&amp;"",'Oxford Economics'!$A$6:$AZ$6,0))),'Oxford Economics'!$A$7:$A$1000,$C32,'Oxford Economics'!$B$7:$B$1000,Settings!$B$14),SUMIFS(INDEX('Oxford Economics'!$A$7:$AZ$1000,0,IFERROR(MATCH(AF$5,'Oxford Economics'!$A$6:$AZ$6,0),MATCH(AF$5&amp;"",'Oxford Economics'!$A$6:$AZ$6,0))),'Oxford Economics'!$A$7:$A$1000,$C32,'Oxford Economics'!$B$7:$B$1000,Settings!$B$14)+SUMIFS(INDEX('Oxford Economics'!$A$7:$AZ$1000,0,IFERROR(MATCH(AF$5,'Oxford Economics'!$A$6:$AZ$6,0),MATCH(AF$5&amp;"",'Oxford Economics'!$A$6:$AZ$6,0))),'Oxford Economics'!$A$7:$A$1000,$C32,'Oxford Economics'!$B$7:$B$1000,Settings!$B$16)+IF(Settings!$B$18="",0,SUMIFS(INDEX('Oxford Economics'!$A$7:$AZ$1000,0,IFERROR(MATCH(AF$5,'Oxford Economics'!$A$6:$AZ$6,0),MATCH(AF$5&amp;"",'Oxford Economics'!$A$6:$AZ$6,0))),'Oxford Economics'!$A$7:$A$1000,$C32,'Oxford Economics'!$B$7:$B$1000,Settings!$B$18)))),""))</f>
        <v>3408.62</v>
      </c>
      <c r="AG32" s="38" t="n">
        <f aca="false">IF($A32="","",IFERROR(1/(1/IF($B32="Residential",SUMIFS(INDEX('Oxford Economics'!$A$7:$AZ$1000,0,IFERROR(MATCH(AG$5,'Oxford Economics'!$A$6:$AZ$6,0),MATCH(AG$5&amp;"",'Oxford Economics'!$A$6:$AZ$6,0))),'Oxford Economics'!$A$7:$A$1000,$C32,'Oxford Economics'!$B$7:$B$1000,Settings!$B$12)-SUMIFS(INDEX('Oxford Economics'!$A$7:$AZ$1000,0,IFERROR(MATCH(AG$5,'Oxford Economics'!$A$6:$AZ$6,0),MATCH(AG$5&amp;"",'Oxford Economics'!$A$6:$AZ$6,0))),'Oxford Economics'!$A$7:$A$1000,$C32,'Oxford Economics'!$B$7:$B$1000,Settings!$B$14),SUMIFS(INDEX('Oxford Economics'!$A$7:$AZ$1000,0,IFERROR(MATCH(AG$5,'Oxford Economics'!$A$6:$AZ$6,0),MATCH(AG$5&amp;"",'Oxford Economics'!$A$6:$AZ$6,0))),'Oxford Economics'!$A$7:$A$1000,$C32,'Oxford Economics'!$B$7:$B$1000,Settings!$B$14)+SUMIFS(INDEX('Oxford Economics'!$A$7:$AZ$1000,0,IFERROR(MATCH(AG$5,'Oxford Economics'!$A$6:$AZ$6,0),MATCH(AG$5&amp;"",'Oxford Economics'!$A$6:$AZ$6,0))),'Oxford Economics'!$A$7:$A$1000,$C32,'Oxford Economics'!$B$7:$B$1000,Settings!$B$16)+IF(Settings!$B$18="",0,SUMIFS(INDEX('Oxford Economics'!$A$7:$AZ$1000,0,IFERROR(MATCH(AG$5,'Oxford Economics'!$A$6:$AZ$6,0),MATCH(AG$5&amp;"",'Oxford Economics'!$A$6:$AZ$6,0))),'Oxford Economics'!$A$7:$A$1000,$C32,'Oxford Economics'!$B$7:$B$1000,Settings!$B$18)))),""))</f>
        <v>3288.62</v>
      </c>
      <c r="AH32" s="38" t="n">
        <f aca="false">IF($A32="","",IFERROR(1/(1/IF($B32="Residential",SUMIFS(INDEX('Oxford Economics'!$A$7:$AZ$1000,0,IFERROR(MATCH(AH$5,'Oxford Economics'!$A$6:$AZ$6,0),MATCH(AH$5&amp;"",'Oxford Economics'!$A$6:$AZ$6,0))),'Oxford Economics'!$A$7:$A$1000,$C32,'Oxford Economics'!$B$7:$B$1000,Settings!$B$12)-SUMIFS(INDEX('Oxford Economics'!$A$7:$AZ$1000,0,IFERROR(MATCH(AH$5,'Oxford Economics'!$A$6:$AZ$6,0),MATCH(AH$5&amp;"",'Oxford Economics'!$A$6:$AZ$6,0))),'Oxford Economics'!$A$7:$A$1000,$C32,'Oxford Economics'!$B$7:$B$1000,Settings!$B$14),SUMIFS(INDEX('Oxford Economics'!$A$7:$AZ$1000,0,IFERROR(MATCH(AH$5,'Oxford Economics'!$A$6:$AZ$6,0),MATCH(AH$5&amp;"",'Oxford Economics'!$A$6:$AZ$6,0))),'Oxford Economics'!$A$7:$A$1000,$C32,'Oxford Economics'!$B$7:$B$1000,Settings!$B$14)+SUMIFS(INDEX('Oxford Economics'!$A$7:$AZ$1000,0,IFERROR(MATCH(AH$5,'Oxford Economics'!$A$6:$AZ$6,0),MATCH(AH$5&amp;"",'Oxford Economics'!$A$6:$AZ$6,0))),'Oxford Economics'!$A$7:$A$1000,$C32,'Oxford Economics'!$B$7:$B$1000,Settings!$B$16)+IF(Settings!$B$18="",0,SUMIFS(INDEX('Oxford Economics'!$A$7:$AZ$1000,0,IFERROR(MATCH(AH$5,'Oxford Economics'!$A$6:$AZ$6,0),MATCH(AH$5&amp;"",'Oxford Economics'!$A$6:$AZ$6,0))),'Oxford Economics'!$A$7:$A$1000,$C32,'Oxford Economics'!$B$7:$B$1000,Settings!$B$18)))),""))</f>
        <v>3484.93</v>
      </c>
      <c r="AI32" s="38" t="n">
        <f aca="false">IF($A32="","",IFERROR(1/(1/IF($B32="Residential",SUMIFS(INDEX('Oxford Economics'!$A$7:$AZ$1000,0,IFERROR(MATCH(AI$5,'Oxford Economics'!$A$6:$AZ$6,0),MATCH(AI$5&amp;"",'Oxford Economics'!$A$6:$AZ$6,0))),'Oxford Economics'!$A$7:$A$1000,$C32,'Oxford Economics'!$B$7:$B$1000,Settings!$B$12)-SUMIFS(INDEX('Oxford Economics'!$A$7:$AZ$1000,0,IFERROR(MATCH(AI$5,'Oxford Economics'!$A$6:$AZ$6,0),MATCH(AI$5&amp;"",'Oxford Economics'!$A$6:$AZ$6,0))),'Oxford Economics'!$A$7:$A$1000,$C32,'Oxford Economics'!$B$7:$B$1000,Settings!$B$14),SUMIFS(INDEX('Oxford Economics'!$A$7:$AZ$1000,0,IFERROR(MATCH(AI$5,'Oxford Economics'!$A$6:$AZ$6,0),MATCH(AI$5&amp;"",'Oxford Economics'!$A$6:$AZ$6,0))),'Oxford Economics'!$A$7:$A$1000,$C32,'Oxford Economics'!$B$7:$B$1000,Settings!$B$14)+SUMIFS(INDEX('Oxford Economics'!$A$7:$AZ$1000,0,IFERROR(MATCH(AI$5,'Oxford Economics'!$A$6:$AZ$6,0),MATCH(AI$5&amp;"",'Oxford Economics'!$A$6:$AZ$6,0))),'Oxford Economics'!$A$7:$A$1000,$C32,'Oxford Economics'!$B$7:$B$1000,Settings!$B$16)+IF(Settings!$B$18="",0,SUMIFS(INDEX('Oxford Economics'!$A$7:$AZ$1000,0,IFERROR(MATCH(AI$5,'Oxford Economics'!$A$6:$AZ$6,0),MATCH(AI$5&amp;"",'Oxford Economics'!$A$6:$AZ$6,0))),'Oxford Economics'!$A$7:$A$1000,$C32,'Oxford Economics'!$B$7:$B$1000,Settings!$B$18)))),""))</f>
        <v>3646.14</v>
      </c>
      <c r="AJ32" s="38" t="n">
        <f aca="false">IF($A32="","",IFERROR(1/(1/IF($B32="Residential",SUMIFS(INDEX('Oxford Economics'!$A$7:$AZ$1000,0,IFERROR(MATCH(AJ$5,'Oxford Economics'!$A$6:$AZ$6,0),MATCH(AJ$5&amp;"",'Oxford Economics'!$A$6:$AZ$6,0))),'Oxford Economics'!$A$7:$A$1000,$C32,'Oxford Economics'!$B$7:$B$1000,Settings!$B$12)-SUMIFS(INDEX('Oxford Economics'!$A$7:$AZ$1000,0,IFERROR(MATCH(AJ$5,'Oxford Economics'!$A$6:$AZ$6,0),MATCH(AJ$5&amp;"",'Oxford Economics'!$A$6:$AZ$6,0))),'Oxford Economics'!$A$7:$A$1000,$C32,'Oxford Economics'!$B$7:$B$1000,Settings!$B$14),SUMIFS(INDEX('Oxford Economics'!$A$7:$AZ$1000,0,IFERROR(MATCH(AJ$5,'Oxford Economics'!$A$6:$AZ$6,0),MATCH(AJ$5&amp;"",'Oxford Economics'!$A$6:$AZ$6,0))),'Oxford Economics'!$A$7:$A$1000,$C32,'Oxford Economics'!$B$7:$B$1000,Settings!$B$14)+SUMIFS(INDEX('Oxford Economics'!$A$7:$AZ$1000,0,IFERROR(MATCH(AJ$5,'Oxford Economics'!$A$6:$AZ$6,0),MATCH(AJ$5&amp;"",'Oxford Economics'!$A$6:$AZ$6,0))),'Oxford Economics'!$A$7:$A$1000,$C32,'Oxford Economics'!$B$7:$B$1000,Settings!$B$16)+IF(Settings!$B$18="",0,SUMIFS(INDEX('Oxford Economics'!$A$7:$AZ$1000,0,IFERROR(MATCH(AJ$5,'Oxford Economics'!$A$6:$AZ$6,0),MATCH(AJ$5&amp;"",'Oxford Economics'!$A$6:$AZ$6,0))),'Oxford Economics'!$A$7:$A$1000,$C32,'Oxford Economics'!$B$7:$B$1000,Settings!$B$18)))),""))</f>
        <v>3728.67</v>
      </c>
      <c r="AK32" s="38" t="n">
        <f aca="false">IF($A32="","",IFERROR(1/(1/IF($B32="Residential",SUMIFS(INDEX('Oxford Economics'!$A$7:$AZ$1000,0,IFERROR(MATCH(AK$5,'Oxford Economics'!$A$6:$AZ$6,0),MATCH(AK$5&amp;"",'Oxford Economics'!$A$6:$AZ$6,0))),'Oxford Economics'!$A$7:$A$1000,$C32,'Oxford Economics'!$B$7:$B$1000,Settings!$B$12)-SUMIFS(INDEX('Oxford Economics'!$A$7:$AZ$1000,0,IFERROR(MATCH(AK$5,'Oxford Economics'!$A$6:$AZ$6,0),MATCH(AK$5&amp;"",'Oxford Economics'!$A$6:$AZ$6,0))),'Oxford Economics'!$A$7:$A$1000,$C32,'Oxford Economics'!$B$7:$B$1000,Settings!$B$14),SUMIFS(INDEX('Oxford Economics'!$A$7:$AZ$1000,0,IFERROR(MATCH(AK$5,'Oxford Economics'!$A$6:$AZ$6,0),MATCH(AK$5&amp;"",'Oxford Economics'!$A$6:$AZ$6,0))),'Oxford Economics'!$A$7:$A$1000,$C32,'Oxford Economics'!$B$7:$B$1000,Settings!$B$14)+SUMIFS(INDEX('Oxford Economics'!$A$7:$AZ$1000,0,IFERROR(MATCH(AK$5,'Oxford Economics'!$A$6:$AZ$6,0),MATCH(AK$5&amp;"",'Oxford Economics'!$A$6:$AZ$6,0))),'Oxford Economics'!$A$7:$A$1000,$C32,'Oxford Economics'!$B$7:$B$1000,Settings!$B$16)+IF(Settings!$B$18="",0,SUMIFS(INDEX('Oxford Economics'!$A$7:$AZ$1000,0,IFERROR(MATCH(AK$5,'Oxford Economics'!$A$6:$AZ$6,0),MATCH(AK$5&amp;"",'Oxford Economics'!$A$6:$AZ$6,0))),'Oxford Economics'!$A$7:$A$1000,$C32,'Oxford Economics'!$B$7:$B$1000,Settings!$B$18)))),""))</f>
        <v>3795.46</v>
      </c>
      <c r="AL32" s="38" t="n">
        <f aca="false">IF($A32="","",IFERROR(1/(1/IF($B32="Residential",SUMIFS(INDEX('Oxford Economics'!$A$7:$AZ$1000,0,IFERROR(MATCH(AL$5,'Oxford Economics'!$A$6:$AZ$6,0),MATCH(AL$5&amp;"",'Oxford Economics'!$A$6:$AZ$6,0))),'Oxford Economics'!$A$7:$A$1000,$C32,'Oxford Economics'!$B$7:$B$1000,Settings!$B$12)-SUMIFS(INDEX('Oxford Economics'!$A$7:$AZ$1000,0,IFERROR(MATCH(AL$5,'Oxford Economics'!$A$6:$AZ$6,0),MATCH(AL$5&amp;"",'Oxford Economics'!$A$6:$AZ$6,0))),'Oxford Economics'!$A$7:$A$1000,$C32,'Oxford Economics'!$B$7:$B$1000,Settings!$B$14),SUMIFS(INDEX('Oxford Economics'!$A$7:$AZ$1000,0,IFERROR(MATCH(AL$5,'Oxford Economics'!$A$6:$AZ$6,0),MATCH(AL$5&amp;"",'Oxford Economics'!$A$6:$AZ$6,0))),'Oxford Economics'!$A$7:$A$1000,$C32,'Oxford Economics'!$B$7:$B$1000,Settings!$B$14)+SUMIFS(INDEX('Oxford Economics'!$A$7:$AZ$1000,0,IFERROR(MATCH(AL$5,'Oxford Economics'!$A$6:$AZ$6,0),MATCH(AL$5&amp;"",'Oxford Economics'!$A$6:$AZ$6,0))),'Oxford Economics'!$A$7:$A$1000,$C32,'Oxford Economics'!$B$7:$B$1000,Settings!$B$16)+IF(Settings!$B$18="",0,SUMIFS(INDEX('Oxford Economics'!$A$7:$AZ$1000,0,IFERROR(MATCH(AL$5,'Oxford Economics'!$A$6:$AZ$6,0),MATCH(AL$5&amp;"",'Oxford Economics'!$A$6:$AZ$6,0))),'Oxford Economics'!$A$7:$A$1000,$C32,'Oxford Economics'!$B$7:$B$1000,Settings!$B$18)))),""))</f>
        <v>3867.82</v>
      </c>
      <c r="AM32" s="38" t="n">
        <f aca="false">IF($A32="","",IFERROR(1/(1/IF($B32="Residential",SUMIFS(INDEX('Oxford Economics'!$A$7:$AZ$1000,0,IFERROR(MATCH(AM$5,'Oxford Economics'!$A$6:$AZ$6,0),MATCH(AM$5&amp;"",'Oxford Economics'!$A$6:$AZ$6,0))),'Oxford Economics'!$A$7:$A$1000,$C32,'Oxford Economics'!$B$7:$B$1000,Settings!$B$12)-SUMIFS(INDEX('Oxford Economics'!$A$7:$AZ$1000,0,IFERROR(MATCH(AM$5,'Oxford Economics'!$A$6:$AZ$6,0),MATCH(AM$5&amp;"",'Oxford Economics'!$A$6:$AZ$6,0))),'Oxford Economics'!$A$7:$A$1000,$C32,'Oxford Economics'!$B$7:$B$1000,Settings!$B$14),SUMIFS(INDEX('Oxford Economics'!$A$7:$AZ$1000,0,IFERROR(MATCH(AM$5,'Oxford Economics'!$A$6:$AZ$6,0),MATCH(AM$5&amp;"",'Oxford Economics'!$A$6:$AZ$6,0))),'Oxford Economics'!$A$7:$A$1000,$C32,'Oxford Economics'!$B$7:$B$1000,Settings!$B$14)+SUMIFS(INDEX('Oxford Economics'!$A$7:$AZ$1000,0,IFERROR(MATCH(AM$5,'Oxford Economics'!$A$6:$AZ$6,0),MATCH(AM$5&amp;"",'Oxford Economics'!$A$6:$AZ$6,0))),'Oxford Economics'!$A$7:$A$1000,$C32,'Oxford Economics'!$B$7:$B$1000,Settings!$B$16)+IF(Settings!$B$18="",0,SUMIFS(INDEX('Oxford Economics'!$A$7:$AZ$1000,0,IFERROR(MATCH(AM$5,'Oxford Economics'!$A$6:$AZ$6,0),MATCH(AM$5&amp;"",'Oxford Economics'!$A$6:$AZ$6,0))),'Oxford Economics'!$A$7:$A$1000,$C32,'Oxford Economics'!$B$7:$B$1000,Settings!$B$18)))),""))</f>
        <v>3930.66</v>
      </c>
    </row>
    <row r="33" customFormat="false" ht="15" hidden="false" customHeight="false" outlineLevel="0" collapsed="false">
      <c r="A33" s="37" t="str">
        <f aca="false">IF('Raw data'!$A33="","",'Raw data'!$A33)</f>
        <v>Sweden</v>
      </c>
      <c r="B33" s="37" t="str">
        <f aca="false">IF($A33="","",'Raw data'!$C33)</f>
        <v>Commercial</v>
      </c>
      <c r="C33" s="37" t="str">
        <f aca="false">IF($A33="","",IF('Raw data'!$E33="",$A33,'Raw data'!$E33))</f>
        <v>Sweden</v>
      </c>
      <c r="D33" s="38" t="n">
        <f aca="false">IF($A33="","",IF(AND(ISNUMBER(P33),ISNUMBER(AB33)),P33+AB33,""))</f>
        <v>17278.38</v>
      </c>
      <c r="E33" s="38" t="n">
        <f aca="false">IF($A33="","",IF(AND(ISNUMBER(Q33),ISNUMBER(AC33)),Q33+AC33,""))</f>
        <v>17683.56</v>
      </c>
      <c r="F33" s="38" t="n">
        <f aca="false">IF($A33="","",IF(AND(ISNUMBER(R33),ISNUMBER(AD33)),R33+AD33,""))</f>
        <v>18076.28</v>
      </c>
      <c r="G33" s="38" t="n">
        <f aca="false">IF($A33="","",IF(AND(ISNUMBER(S33),ISNUMBER(AE33)),S33+AE33,""))</f>
        <v>17772.72</v>
      </c>
      <c r="H33" s="38" t="n">
        <f aca="false">IF($A33="","",IF(AND(ISNUMBER(T33),ISNUMBER(AF33)),T33+AF33,""))</f>
        <v>17652.06</v>
      </c>
      <c r="I33" s="38" t="n">
        <f aca="false">IF($A33="","",IF(AND(ISNUMBER(U33),ISNUMBER(AG33)),U33+AG33,""))</f>
        <v>16933.1</v>
      </c>
      <c r="J33" s="38" t="n">
        <f aca="false">IF($A33="","",IF(AND(ISNUMBER(V33),ISNUMBER(AH33)),V33+AH33,""))</f>
        <v>16822.53</v>
      </c>
      <c r="K33" s="38" t="n">
        <f aca="false">IF($A33="","",IF(AND(ISNUMBER(W33),ISNUMBER(AI33)),W33+AI33,""))</f>
        <v>17106.48</v>
      </c>
      <c r="L33" s="38" t="n">
        <f aca="false">IF($A33="","",IF(AND(ISNUMBER(X33),ISNUMBER(AJ33)),X33+AJ33,""))</f>
        <v>17497.61</v>
      </c>
      <c r="M33" s="38" t="n">
        <f aca="false">IF($A33="","",IF(AND(ISNUMBER(Y33),ISNUMBER(AK33)),Y33+AK33,""))</f>
        <v>17916.37</v>
      </c>
      <c r="N33" s="38" t="n">
        <f aca="false">IF($A33="","",IF(AND(ISNUMBER(Z33),ISNUMBER(AL33)),Z33+AL33,""))</f>
        <v>18475.21</v>
      </c>
      <c r="O33" s="38" t="n">
        <f aca="false">IF($A33="","",IF(AND(ISNUMBER(AA33),ISNUMBER(AM33)),AA33+AM33,""))</f>
        <v>18820.48</v>
      </c>
      <c r="P33" s="38" t="n">
        <f aca="false">IF($A33="","",IFERROR(1/(1/IF($B33="Residential",SUMIFS(INDEX('Oxford Economics'!$A$7:$AZ$1000,0,IFERROR(MATCH(P$5,'Oxford Economics'!$A$6:$AZ$6,0),MATCH(P$5&amp;"",'Oxford Economics'!$A$6:$AZ$6,0))),'Oxford Economics'!$A$7:$A$1000,$C33,'Oxford Economics'!$B$7:$B$1000,Settings!$B$13)-SUMIFS(INDEX('Oxford Economics'!$A$7:$AZ$1000,0,IFERROR(MATCH(P$5,'Oxford Economics'!$A$6:$AZ$6,0),MATCH(P$5&amp;"",'Oxford Economics'!$A$6:$AZ$6,0))),'Oxford Economics'!$A$7:$A$1000,$C33,'Oxford Economics'!$B$7:$B$1000,Settings!$B$15),SUMIFS(INDEX('Oxford Economics'!$A$7:$AZ$1000,0,IFERROR(MATCH(P$5,'Oxford Economics'!$A$6:$AZ$6,0),MATCH(P$5&amp;"",'Oxford Economics'!$A$6:$AZ$6,0))),'Oxford Economics'!$A$7:$A$1000,$C33,'Oxford Economics'!$B$7:$B$1000,Settings!$B$15)+SUMIFS(INDEX('Oxford Economics'!$A$7:$AZ$1000,0,IFERROR(MATCH(P$5,'Oxford Economics'!$A$6:$AZ$6,0),MATCH(P$5&amp;"",'Oxford Economics'!$A$6:$AZ$6,0))),'Oxford Economics'!$A$7:$A$1000,$C33,'Oxford Economics'!$B$7:$B$1000,Settings!$B$17)+IF(Settings!$B$19="",0,SUMIFS(INDEX('Oxford Economics'!$A$7:$AZ$1000,0,IFERROR(MATCH(P$5,'Oxford Economics'!$A$6:$AZ$6,0),MATCH(P$5&amp;"",'Oxford Economics'!$A$6:$AZ$6,0))),'Oxford Economics'!$A$7:$A$1000,$C33,'Oxford Economics'!$B$7:$B$1000,Settings!$B$19)))),""))</f>
        <v>7171.26</v>
      </c>
      <c r="Q33" s="38" t="n">
        <f aca="false">IF($A33="","",IFERROR(1/(1/IF($B33="Residential",SUMIFS(INDEX('Oxford Economics'!$A$7:$AZ$1000,0,IFERROR(MATCH(Q$5,'Oxford Economics'!$A$6:$AZ$6,0),MATCH(Q$5&amp;"",'Oxford Economics'!$A$6:$AZ$6,0))),'Oxford Economics'!$A$7:$A$1000,$C33,'Oxford Economics'!$B$7:$B$1000,Settings!$B$13)-SUMIFS(INDEX('Oxford Economics'!$A$7:$AZ$1000,0,IFERROR(MATCH(Q$5,'Oxford Economics'!$A$6:$AZ$6,0),MATCH(Q$5&amp;"",'Oxford Economics'!$A$6:$AZ$6,0))),'Oxford Economics'!$A$7:$A$1000,$C33,'Oxford Economics'!$B$7:$B$1000,Settings!$B$15),SUMIFS(INDEX('Oxford Economics'!$A$7:$AZ$1000,0,IFERROR(MATCH(Q$5,'Oxford Economics'!$A$6:$AZ$6,0),MATCH(Q$5&amp;"",'Oxford Economics'!$A$6:$AZ$6,0))),'Oxford Economics'!$A$7:$A$1000,$C33,'Oxford Economics'!$B$7:$B$1000,Settings!$B$15)+SUMIFS(INDEX('Oxford Economics'!$A$7:$AZ$1000,0,IFERROR(MATCH(Q$5,'Oxford Economics'!$A$6:$AZ$6,0),MATCH(Q$5&amp;"",'Oxford Economics'!$A$6:$AZ$6,0))),'Oxford Economics'!$A$7:$A$1000,$C33,'Oxford Economics'!$B$7:$B$1000,Settings!$B$17)+IF(Settings!$B$19="",0,SUMIFS(INDEX('Oxford Economics'!$A$7:$AZ$1000,0,IFERROR(MATCH(Q$5,'Oxford Economics'!$A$6:$AZ$6,0),MATCH(Q$5&amp;"",'Oxford Economics'!$A$6:$AZ$6,0))),'Oxford Economics'!$A$7:$A$1000,$C33,'Oxford Economics'!$B$7:$B$1000,Settings!$B$19)))),""))</f>
        <v>7319.44</v>
      </c>
      <c r="R33" s="38" t="n">
        <f aca="false">IF($A33="","",IFERROR(1/(1/IF($B33="Residential",SUMIFS(INDEX('Oxford Economics'!$A$7:$AZ$1000,0,IFERROR(MATCH(R$5,'Oxford Economics'!$A$6:$AZ$6,0),MATCH(R$5&amp;"",'Oxford Economics'!$A$6:$AZ$6,0))),'Oxford Economics'!$A$7:$A$1000,$C33,'Oxford Economics'!$B$7:$B$1000,Settings!$B$13)-SUMIFS(INDEX('Oxford Economics'!$A$7:$AZ$1000,0,IFERROR(MATCH(R$5,'Oxford Economics'!$A$6:$AZ$6,0),MATCH(R$5&amp;"",'Oxford Economics'!$A$6:$AZ$6,0))),'Oxford Economics'!$A$7:$A$1000,$C33,'Oxford Economics'!$B$7:$B$1000,Settings!$B$15),SUMIFS(INDEX('Oxford Economics'!$A$7:$AZ$1000,0,IFERROR(MATCH(R$5,'Oxford Economics'!$A$6:$AZ$6,0),MATCH(R$5&amp;"",'Oxford Economics'!$A$6:$AZ$6,0))),'Oxford Economics'!$A$7:$A$1000,$C33,'Oxford Economics'!$B$7:$B$1000,Settings!$B$15)+SUMIFS(INDEX('Oxford Economics'!$A$7:$AZ$1000,0,IFERROR(MATCH(R$5,'Oxford Economics'!$A$6:$AZ$6,0),MATCH(R$5&amp;"",'Oxford Economics'!$A$6:$AZ$6,0))),'Oxford Economics'!$A$7:$A$1000,$C33,'Oxford Economics'!$B$7:$B$1000,Settings!$B$17)+IF(Settings!$B$19="",0,SUMIFS(INDEX('Oxford Economics'!$A$7:$AZ$1000,0,IFERROR(MATCH(R$5,'Oxford Economics'!$A$6:$AZ$6,0),MATCH(R$5&amp;"",'Oxford Economics'!$A$6:$AZ$6,0))),'Oxford Economics'!$A$7:$A$1000,$C33,'Oxford Economics'!$B$7:$B$1000,Settings!$B$19)))),""))</f>
        <v>7514.95</v>
      </c>
      <c r="S33" s="38" t="n">
        <f aca="false">IF($A33="","",IFERROR(1/(1/IF($B33="Residential",SUMIFS(INDEX('Oxford Economics'!$A$7:$AZ$1000,0,IFERROR(MATCH(S$5,'Oxford Economics'!$A$6:$AZ$6,0),MATCH(S$5&amp;"",'Oxford Economics'!$A$6:$AZ$6,0))),'Oxford Economics'!$A$7:$A$1000,$C33,'Oxford Economics'!$B$7:$B$1000,Settings!$B$13)-SUMIFS(INDEX('Oxford Economics'!$A$7:$AZ$1000,0,IFERROR(MATCH(S$5,'Oxford Economics'!$A$6:$AZ$6,0),MATCH(S$5&amp;"",'Oxford Economics'!$A$6:$AZ$6,0))),'Oxford Economics'!$A$7:$A$1000,$C33,'Oxford Economics'!$B$7:$B$1000,Settings!$B$15),SUMIFS(INDEX('Oxford Economics'!$A$7:$AZ$1000,0,IFERROR(MATCH(S$5,'Oxford Economics'!$A$6:$AZ$6,0),MATCH(S$5&amp;"",'Oxford Economics'!$A$6:$AZ$6,0))),'Oxford Economics'!$A$7:$A$1000,$C33,'Oxford Economics'!$B$7:$B$1000,Settings!$B$15)+SUMIFS(INDEX('Oxford Economics'!$A$7:$AZ$1000,0,IFERROR(MATCH(S$5,'Oxford Economics'!$A$6:$AZ$6,0),MATCH(S$5&amp;"",'Oxford Economics'!$A$6:$AZ$6,0))),'Oxford Economics'!$A$7:$A$1000,$C33,'Oxford Economics'!$B$7:$B$1000,Settings!$B$17)+IF(Settings!$B$19="",0,SUMIFS(INDEX('Oxford Economics'!$A$7:$AZ$1000,0,IFERROR(MATCH(S$5,'Oxford Economics'!$A$6:$AZ$6,0),MATCH(S$5&amp;"",'Oxford Economics'!$A$6:$AZ$6,0))),'Oxford Economics'!$A$7:$A$1000,$C33,'Oxford Economics'!$B$7:$B$1000,Settings!$B$19)))),""))</f>
        <v>8457.81</v>
      </c>
      <c r="T33" s="38" t="n">
        <f aca="false">IF($A33="","",IFERROR(1/(1/IF($B33="Residential",SUMIFS(INDEX('Oxford Economics'!$A$7:$AZ$1000,0,IFERROR(MATCH(T$5,'Oxford Economics'!$A$6:$AZ$6,0),MATCH(T$5&amp;"",'Oxford Economics'!$A$6:$AZ$6,0))),'Oxford Economics'!$A$7:$A$1000,$C33,'Oxford Economics'!$B$7:$B$1000,Settings!$B$13)-SUMIFS(INDEX('Oxford Economics'!$A$7:$AZ$1000,0,IFERROR(MATCH(T$5,'Oxford Economics'!$A$6:$AZ$6,0),MATCH(T$5&amp;"",'Oxford Economics'!$A$6:$AZ$6,0))),'Oxford Economics'!$A$7:$A$1000,$C33,'Oxford Economics'!$B$7:$B$1000,Settings!$B$15),SUMIFS(INDEX('Oxford Economics'!$A$7:$AZ$1000,0,IFERROR(MATCH(T$5,'Oxford Economics'!$A$6:$AZ$6,0),MATCH(T$5&amp;"",'Oxford Economics'!$A$6:$AZ$6,0))),'Oxford Economics'!$A$7:$A$1000,$C33,'Oxford Economics'!$B$7:$B$1000,Settings!$B$15)+SUMIFS(INDEX('Oxford Economics'!$A$7:$AZ$1000,0,IFERROR(MATCH(T$5,'Oxford Economics'!$A$6:$AZ$6,0),MATCH(T$5&amp;"",'Oxford Economics'!$A$6:$AZ$6,0))),'Oxford Economics'!$A$7:$A$1000,$C33,'Oxford Economics'!$B$7:$B$1000,Settings!$B$17)+IF(Settings!$B$19="",0,SUMIFS(INDEX('Oxford Economics'!$A$7:$AZ$1000,0,IFERROR(MATCH(T$5,'Oxford Economics'!$A$6:$AZ$6,0),MATCH(T$5&amp;"",'Oxford Economics'!$A$6:$AZ$6,0))),'Oxford Economics'!$A$7:$A$1000,$C33,'Oxford Economics'!$B$7:$B$1000,Settings!$B$19)))),""))</f>
        <v>9366.23</v>
      </c>
      <c r="U33" s="38" t="n">
        <f aca="false">IF($A33="","",IFERROR(1/(1/IF($B33="Residential",SUMIFS(INDEX('Oxford Economics'!$A$7:$AZ$1000,0,IFERROR(MATCH(U$5,'Oxford Economics'!$A$6:$AZ$6,0),MATCH(U$5&amp;"",'Oxford Economics'!$A$6:$AZ$6,0))),'Oxford Economics'!$A$7:$A$1000,$C33,'Oxford Economics'!$B$7:$B$1000,Settings!$B$13)-SUMIFS(INDEX('Oxford Economics'!$A$7:$AZ$1000,0,IFERROR(MATCH(U$5,'Oxford Economics'!$A$6:$AZ$6,0),MATCH(U$5&amp;"",'Oxford Economics'!$A$6:$AZ$6,0))),'Oxford Economics'!$A$7:$A$1000,$C33,'Oxford Economics'!$B$7:$B$1000,Settings!$B$15),SUMIFS(INDEX('Oxford Economics'!$A$7:$AZ$1000,0,IFERROR(MATCH(U$5,'Oxford Economics'!$A$6:$AZ$6,0),MATCH(U$5&amp;"",'Oxford Economics'!$A$6:$AZ$6,0))),'Oxford Economics'!$A$7:$A$1000,$C33,'Oxford Economics'!$B$7:$B$1000,Settings!$B$15)+SUMIFS(INDEX('Oxford Economics'!$A$7:$AZ$1000,0,IFERROR(MATCH(U$5,'Oxford Economics'!$A$6:$AZ$6,0),MATCH(U$5&amp;"",'Oxford Economics'!$A$6:$AZ$6,0))),'Oxford Economics'!$A$7:$A$1000,$C33,'Oxford Economics'!$B$7:$B$1000,Settings!$B$17)+IF(Settings!$B$19="",0,SUMIFS(INDEX('Oxford Economics'!$A$7:$AZ$1000,0,IFERROR(MATCH(U$5,'Oxford Economics'!$A$6:$AZ$6,0),MATCH(U$5&amp;"",'Oxford Economics'!$A$6:$AZ$6,0))),'Oxford Economics'!$A$7:$A$1000,$C33,'Oxford Economics'!$B$7:$B$1000,Settings!$B$19)))),""))</f>
        <v>9161.16</v>
      </c>
      <c r="V33" s="38" t="n">
        <f aca="false">IF($A33="","",IFERROR(1/(1/IF($B33="Residential",SUMIFS(INDEX('Oxford Economics'!$A$7:$AZ$1000,0,IFERROR(MATCH(V$5,'Oxford Economics'!$A$6:$AZ$6,0),MATCH(V$5&amp;"",'Oxford Economics'!$A$6:$AZ$6,0))),'Oxford Economics'!$A$7:$A$1000,$C33,'Oxford Economics'!$B$7:$B$1000,Settings!$B$13)-SUMIFS(INDEX('Oxford Economics'!$A$7:$AZ$1000,0,IFERROR(MATCH(V$5,'Oxford Economics'!$A$6:$AZ$6,0),MATCH(V$5&amp;"",'Oxford Economics'!$A$6:$AZ$6,0))),'Oxford Economics'!$A$7:$A$1000,$C33,'Oxford Economics'!$B$7:$B$1000,Settings!$B$15),SUMIFS(INDEX('Oxford Economics'!$A$7:$AZ$1000,0,IFERROR(MATCH(V$5,'Oxford Economics'!$A$6:$AZ$6,0),MATCH(V$5&amp;"",'Oxford Economics'!$A$6:$AZ$6,0))),'Oxford Economics'!$A$7:$A$1000,$C33,'Oxford Economics'!$B$7:$B$1000,Settings!$B$15)+SUMIFS(INDEX('Oxford Economics'!$A$7:$AZ$1000,0,IFERROR(MATCH(V$5,'Oxford Economics'!$A$6:$AZ$6,0),MATCH(V$5&amp;"",'Oxford Economics'!$A$6:$AZ$6,0))),'Oxford Economics'!$A$7:$A$1000,$C33,'Oxford Economics'!$B$7:$B$1000,Settings!$B$17)+IF(Settings!$B$19="",0,SUMIFS(INDEX('Oxford Economics'!$A$7:$AZ$1000,0,IFERROR(MATCH(V$5,'Oxford Economics'!$A$6:$AZ$6,0),MATCH(V$5&amp;"",'Oxford Economics'!$A$6:$AZ$6,0))),'Oxford Economics'!$A$7:$A$1000,$C33,'Oxford Economics'!$B$7:$B$1000,Settings!$B$19)))),""))</f>
        <v>8941.93</v>
      </c>
      <c r="W33" s="38" t="n">
        <f aca="false">IF($A33="","",IFERROR(1/(1/IF($B33="Residential",SUMIFS(INDEX('Oxford Economics'!$A$7:$AZ$1000,0,IFERROR(MATCH(W$5,'Oxford Economics'!$A$6:$AZ$6,0),MATCH(W$5&amp;"",'Oxford Economics'!$A$6:$AZ$6,0))),'Oxford Economics'!$A$7:$A$1000,$C33,'Oxford Economics'!$B$7:$B$1000,Settings!$B$13)-SUMIFS(INDEX('Oxford Economics'!$A$7:$AZ$1000,0,IFERROR(MATCH(W$5,'Oxford Economics'!$A$6:$AZ$6,0),MATCH(W$5&amp;"",'Oxford Economics'!$A$6:$AZ$6,0))),'Oxford Economics'!$A$7:$A$1000,$C33,'Oxford Economics'!$B$7:$B$1000,Settings!$B$15),SUMIFS(INDEX('Oxford Economics'!$A$7:$AZ$1000,0,IFERROR(MATCH(W$5,'Oxford Economics'!$A$6:$AZ$6,0),MATCH(W$5&amp;"",'Oxford Economics'!$A$6:$AZ$6,0))),'Oxford Economics'!$A$7:$A$1000,$C33,'Oxford Economics'!$B$7:$B$1000,Settings!$B$15)+SUMIFS(INDEX('Oxford Economics'!$A$7:$AZ$1000,0,IFERROR(MATCH(W$5,'Oxford Economics'!$A$6:$AZ$6,0),MATCH(W$5&amp;"",'Oxford Economics'!$A$6:$AZ$6,0))),'Oxford Economics'!$A$7:$A$1000,$C33,'Oxford Economics'!$B$7:$B$1000,Settings!$B$17)+IF(Settings!$B$19="",0,SUMIFS(INDEX('Oxford Economics'!$A$7:$AZ$1000,0,IFERROR(MATCH(W$5,'Oxford Economics'!$A$6:$AZ$6,0),MATCH(W$5&amp;"",'Oxford Economics'!$A$6:$AZ$6,0))),'Oxford Economics'!$A$7:$A$1000,$C33,'Oxford Economics'!$B$7:$B$1000,Settings!$B$19)))),""))</f>
        <v>9038.01</v>
      </c>
      <c r="X33" s="38" t="n">
        <f aca="false">IF($A33="","",IFERROR(1/(1/IF($B33="Residential",SUMIFS(INDEX('Oxford Economics'!$A$7:$AZ$1000,0,IFERROR(MATCH(X$5,'Oxford Economics'!$A$6:$AZ$6,0),MATCH(X$5&amp;"",'Oxford Economics'!$A$6:$AZ$6,0))),'Oxford Economics'!$A$7:$A$1000,$C33,'Oxford Economics'!$B$7:$B$1000,Settings!$B$13)-SUMIFS(INDEX('Oxford Economics'!$A$7:$AZ$1000,0,IFERROR(MATCH(X$5,'Oxford Economics'!$A$6:$AZ$6,0),MATCH(X$5&amp;"",'Oxford Economics'!$A$6:$AZ$6,0))),'Oxford Economics'!$A$7:$A$1000,$C33,'Oxford Economics'!$B$7:$B$1000,Settings!$B$15),SUMIFS(INDEX('Oxford Economics'!$A$7:$AZ$1000,0,IFERROR(MATCH(X$5,'Oxford Economics'!$A$6:$AZ$6,0),MATCH(X$5&amp;"",'Oxford Economics'!$A$6:$AZ$6,0))),'Oxford Economics'!$A$7:$A$1000,$C33,'Oxford Economics'!$B$7:$B$1000,Settings!$B$15)+SUMIFS(INDEX('Oxford Economics'!$A$7:$AZ$1000,0,IFERROR(MATCH(X$5,'Oxford Economics'!$A$6:$AZ$6,0),MATCH(X$5&amp;"",'Oxford Economics'!$A$6:$AZ$6,0))),'Oxford Economics'!$A$7:$A$1000,$C33,'Oxford Economics'!$B$7:$B$1000,Settings!$B$17)+IF(Settings!$B$19="",0,SUMIFS(INDEX('Oxford Economics'!$A$7:$AZ$1000,0,IFERROR(MATCH(X$5,'Oxford Economics'!$A$6:$AZ$6,0),MATCH(X$5&amp;"",'Oxford Economics'!$A$6:$AZ$6,0))),'Oxford Economics'!$A$7:$A$1000,$C33,'Oxford Economics'!$B$7:$B$1000,Settings!$B$19)))),""))</f>
        <v>9303.59</v>
      </c>
      <c r="Y33" s="38" t="n">
        <f aca="false">IF($A33="","",IFERROR(1/(1/IF($B33="Residential",SUMIFS(INDEX('Oxford Economics'!$A$7:$AZ$1000,0,IFERROR(MATCH(Y$5,'Oxford Economics'!$A$6:$AZ$6,0),MATCH(Y$5&amp;"",'Oxford Economics'!$A$6:$AZ$6,0))),'Oxford Economics'!$A$7:$A$1000,$C33,'Oxford Economics'!$B$7:$B$1000,Settings!$B$13)-SUMIFS(INDEX('Oxford Economics'!$A$7:$AZ$1000,0,IFERROR(MATCH(Y$5,'Oxford Economics'!$A$6:$AZ$6,0),MATCH(Y$5&amp;"",'Oxford Economics'!$A$6:$AZ$6,0))),'Oxford Economics'!$A$7:$A$1000,$C33,'Oxford Economics'!$B$7:$B$1000,Settings!$B$15),SUMIFS(INDEX('Oxford Economics'!$A$7:$AZ$1000,0,IFERROR(MATCH(Y$5,'Oxford Economics'!$A$6:$AZ$6,0),MATCH(Y$5&amp;"",'Oxford Economics'!$A$6:$AZ$6,0))),'Oxford Economics'!$A$7:$A$1000,$C33,'Oxford Economics'!$B$7:$B$1000,Settings!$B$15)+SUMIFS(INDEX('Oxford Economics'!$A$7:$AZ$1000,0,IFERROR(MATCH(Y$5,'Oxford Economics'!$A$6:$AZ$6,0),MATCH(Y$5&amp;"",'Oxford Economics'!$A$6:$AZ$6,0))),'Oxford Economics'!$A$7:$A$1000,$C33,'Oxford Economics'!$B$7:$B$1000,Settings!$B$17)+IF(Settings!$B$19="",0,SUMIFS(INDEX('Oxford Economics'!$A$7:$AZ$1000,0,IFERROR(MATCH(Y$5,'Oxford Economics'!$A$6:$AZ$6,0),MATCH(Y$5&amp;"",'Oxford Economics'!$A$6:$AZ$6,0))),'Oxford Economics'!$A$7:$A$1000,$C33,'Oxford Economics'!$B$7:$B$1000,Settings!$B$19)))),""))</f>
        <v>9621.21</v>
      </c>
      <c r="Z33" s="38" t="n">
        <f aca="false">IF($A33="","",IFERROR(1/(1/IF($B33="Residential",SUMIFS(INDEX('Oxford Economics'!$A$7:$AZ$1000,0,IFERROR(MATCH(Z$5,'Oxford Economics'!$A$6:$AZ$6,0),MATCH(Z$5&amp;"",'Oxford Economics'!$A$6:$AZ$6,0))),'Oxford Economics'!$A$7:$A$1000,$C33,'Oxford Economics'!$B$7:$B$1000,Settings!$B$13)-SUMIFS(INDEX('Oxford Economics'!$A$7:$AZ$1000,0,IFERROR(MATCH(Z$5,'Oxford Economics'!$A$6:$AZ$6,0),MATCH(Z$5&amp;"",'Oxford Economics'!$A$6:$AZ$6,0))),'Oxford Economics'!$A$7:$A$1000,$C33,'Oxford Economics'!$B$7:$B$1000,Settings!$B$15),SUMIFS(INDEX('Oxford Economics'!$A$7:$AZ$1000,0,IFERROR(MATCH(Z$5,'Oxford Economics'!$A$6:$AZ$6,0),MATCH(Z$5&amp;"",'Oxford Economics'!$A$6:$AZ$6,0))),'Oxford Economics'!$A$7:$A$1000,$C33,'Oxford Economics'!$B$7:$B$1000,Settings!$B$15)+SUMIFS(INDEX('Oxford Economics'!$A$7:$AZ$1000,0,IFERROR(MATCH(Z$5,'Oxford Economics'!$A$6:$AZ$6,0),MATCH(Z$5&amp;"",'Oxford Economics'!$A$6:$AZ$6,0))),'Oxford Economics'!$A$7:$A$1000,$C33,'Oxford Economics'!$B$7:$B$1000,Settings!$B$17)+IF(Settings!$B$19="",0,SUMIFS(INDEX('Oxford Economics'!$A$7:$AZ$1000,0,IFERROR(MATCH(Z$5,'Oxford Economics'!$A$6:$AZ$6,0),MATCH(Z$5&amp;"",'Oxford Economics'!$A$6:$AZ$6,0))),'Oxford Economics'!$A$7:$A$1000,$C33,'Oxford Economics'!$B$7:$B$1000,Settings!$B$19)))),""))</f>
        <v>10026.21</v>
      </c>
      <c r="AA33" s="38" t="n">
        <f aca="false">IF($A33="","",IFERROR(1/(1/IF($B33="Residential",SUMIFS(INDEX('Oxford Economics'!$A$7:$AZ$1000,0,IFERROR(MATCH(AA$5,'Oxford Economics'!$A$6:$AZ$6,0),MATCH(AA$5&amp;"",'Oxford Economics'!$A$6:$AZ$6,0))),'Oxford Economics'!$A$7:$A$1000,$C33,'Oxford Economics'!$B$7:$B$1000,Settings!$B$13)-SUMIFS(INDEX('Oxford Economics'!$A$7:$AZ$1000,0,IFERROR(MATCH(AA$5,'Oxford Economics'!$A$6:$AZ$6,0),MATCH(AA$5&amp;"",'Oxford Economics'!$A$6:$AZ$6,0))),'Oxford Economics'!$A$7:$A$1000,$C33,'Oxford Economics'!$B$7:$B$1000,Settings!$B$15),SUMIFS(INDEX('Oxford Economics'!$A$7:$AZ$1000,0,IFERROR(MATCH(AA$5,'Oxford Economics'!$A$6:$AZ$6,0),MATCH(AA$5&amp;"",'Oxford Economics'!$A$6:$AZ$6,0))),'Oxford Economics'!$A$7:$A$1000,$C33,'Oxford Economics'!$B$7:$B$1000,Settings!$B$15)+SUMIFS(INDEX('Oxford Economics'!$A$7:$AZ$1000,0,IFERROR(MATCH(AA$5,'Oxford Economics'!$A$6:$AZ$6,0),MATCH(AA$5&amp;"",'Oxford Economics'!$A$6:$AZ$6,0))),'Oxford Economics'!$A$7:$A$1000,$C33,'Oxford Economics'!$B$7:$B$1000,Settings!$B$17)+IF(Settings!$B$19="",0,SUMIFS(INDEX('Oxford Economics'!$A$7:$AZ$1000,0,IFERROR(MATCH(AA$5,'Oxford Economics'!$A$6:$AZ$6,0),MATCH(AA$5&amp;"",'Oxford Economics'!$A$6:$AZ$6,0))),'Oxford Economics'!$A$7:$A$1000,$C33,'Oxford Economics'!$B$7:$B$1000,Settings!$B$19)))),""))</f>
        <v>10197.62</v>
      </c>
      <c r="AB33" s="38" t="n">
        <f aca="false">IF($A33="","",IFERROR(1/(1/IF($B33="Residential",SUMIFS(INDEX('Oxford Economics'!$A$7:$AZ$1000,0,IFERROR(MATCH(AB$5,'Oxford Economics'!$A$6:$AZ$6,0),MATCH(AB$5&amp;"",'Oxford Economics'!$A$6:$AZ$6,0))),'Oxford Economics'!$A$7:$A$1000,$C33,'Oxford Economics'!$B$7:$B$1000,Settings!$B$12)-SUMIFS(INDEX('Oxford Economics'!$A$7:$AZ$1000,0,IFERROR(MATCH(AB$5,'Oxford Economics'!$A$6:$AZ$6,0),MATCH(AB$5&amp;"",'Oxford Economics'!$A$6:$AZ$6,0))),'Oxford Economics'!$A$7:$A$1000,$C33,'Oxford Economics'!$B$7:$B$1000,Settings!$B$14),SUMIFS(INDEX('Oxford Economics'!$A$7:$AZ$1000,0,IFERROR(MATCH(AB$5,'Oxford Economics'!$A$6:$AZ$6,0),MATCH(AB$5&amp;"",'Oxford Economics'!$A$6:$AZ$6,0))),'Oxford Economics'!$A$7:$A$1000,$C33,'Oxford Economics'!$B$7:$B$1000,Settings!$B$14)+SUMIFS(INDEX('Oxford Economics'!$A$7:$AZ$1000,0,IFERROR(MATCH(AB$5,'Oxford Economics'!$A$6:$AZ$6,0),MATCH(AB$5&amp;"",'Oxford Economics'!$A$6:$AZ$6,0))),'Oxford Economics'!$A$7:$A$1000,$C33,'Oxford Economics'!$B$7:$B$1000,Settings!$B$16)+IF(Settings!$B$18="",0,SUMIFS(INDEX('Oxford Economics'!$A$7:$AZ$1000,0,IFERROR(MATCH(AB$5,'Oxford Economics'!$A$6:$AZ$6,0),MATCH(AB$5&amp;"",'Oxford Economics'!$A$6:$AZ$6,0))),'Oxford Economics'!$A$7:$A$1000,$C33,'Oxford Economics'!$B$7:$B$1000,Settings!$B$18)))),""))</f>
        <v>10107.12</v>
      </c>
      <c r="AC33" s="38" t="n">
        <f aca="false">IF($A33="","",IFERROR(1/(1/IF($B33="Residential",SUMIFS(INDEX('Oxford Economics'!$A$7:$AZ$1000,0,IFERROR(MATCH(AC$5,'Oxford Economics'!$A$6:$AZ$6,0),MATCH(AC$5&amp;"",'Oxford Economics'!$A$6:$AZ$6,0))),'Oxford Economics'!$A$7:$A$1000,$C33,'Oxford Economics'!$B$7:$B$1000,Settings!$B$12)-SUMIFS(INDEX('Oxford Economics'!$A$7:$AZ$1000,0,IFERROR(MATCH(AC$5,'Oxford Economics'!$A$6:$AZ$6,0),MATCH(AC$5&amp;"",'Oxford Economics'!$A$6:$AZ$6,0))),'Oxford Economics'!$A$7:$A$1000,$C33,'Oxford Economics'!$B$7:$B$1000,Settings!$B$14),SUMIFS(INDEX('Oxford Economics'!$A$7:$AZ$1000,0,IFERROR(MATCH(AC$5,'Oxford Economics'!$A$6:$AZ$6,0),MATCH(AC$5&amp;"",'Oxford Economics'!$A$6:$AZ$6,0))),'Oxford Economics'!$A$7:$A$1000,$C33,'Oxford Economics'!$B$7:$B$1000,Settings!$B$14)+SUMIFS(INDEX('Oxford Economics'!$A$7:$AZ$1000,0,IFERROR(MATCH(AC$5,'Oxford Economics'!$A$6:$AZ$6,0),MATCH(AC$5&amp;"",'Oxford Economics'!$A$6:$AZ$6,0))),'Oxford Economics'!$A$7:$A$1000,$C33,'Oxford Economics'!$B$7:$B$1000,Settings!$B$16)+IF(Settings!$B$18="",0,SUMIFS(INDEX('Oxford Economics'!$A$7:$AZ$1000,0,IFERROR(MATCH(AC$5,'Oxford Economics'!$A$6:$AZ$6,0),MATCH(AC$5&amp;"",'Oxford Economics'!$A$6:$AZ$6,0))),'Oxford Economics'!$A$7:$A$1000,$C33,'Oxford Economics'!$B$7:$B$1000,Settings!$B$18)))),""))</f>
        <v>10364.12</v>
      </c>
      <c r="AD33" s="38" t="n">
        <f aca="false">IF($A33="","",IFERROR(1/(1/IF($B33="Residential",SUMIFS(INDEX('Oxford Economics'!$A$7:$AZ$1000,0,IFERROR(MATCH(AD$5,'Oxford Economics'!$A$6:$AZ$6,0),MATCH(AD$5&amp;"",'Oxford Economics'!$A$6:$AZ$6,0))),'Oxford Economics'!$A$7:$A$1000,$C33,'Oxford Economics'!$B$7:$B$1000,Settings!$B$12)-SUMIFS(INDEX('Oxford Economics'!$A$7:$AZ$1000,0,IFERROR(MATCH(AD$5,'Oxford Economics'!$A$6:$AZ$6,0),MATCH(AD$5&amp;"",'Oxford Economics'!$A$6:$AZ$6,0))),'Oxford Economics'!$A$7:$A$1000,$C33,'Oxford Economics'!$B$7:$B$1000,Settings!$B$14),SUMIFS(INDEX('Oxford Economics'!$A$7:$AZ$1000,0,IFERROR(MATCH(AD$5,'Oxford Economics'!$A$6:$AZ$6,0),MATCH(AD$5&amp;"",'Oxford Economics'!$A$6:$AZ$6,0))),'Oxford Economics'!$A$7:$A$1000,$C33,'Oxford Economics'!$B$7:$B$1000,Settings!$B$14)+SUMIFS(INDEX('Oxford Economics'!$A$7:$AZ$1000,0,IFERROR(MATCH(AD$5,'Oxford Economics'!$A$6:$AZ$6,0),MATCH(AD$5&amp;"",'Oxford Economics'!$A$6:$AZ$6,0))),'Oxford Economics'!$A$7:$A$1000,$C33,'Oxford Economics'!$B$7:$B$1000,Settings!$B$16)+IF(Settings!$B$18="",0,SUMIFS(INDEX('Oxford Economics'!$A$7:$AZ$1000,0,IFERROR(MATCH(AD$5,'Oxford Economics'!$A$6:$AZ$6,0),MATCH(AD$5&amp;"",'Oxford Economics'!$A$6:$AZ$6,0))),'Oxford Economics'!$A$7:$A$1000,$C33,'Oxford Economics'!$B$7:$B$1000,Settings!$B$18)))),""))</f>
        <v>10561.33</v>
      </c>
      <c r="AE33" s="38" t="n">
        <f aca="false">IF($A33="","",IFERROR(1/(1/IF($B33="Residential",SUMIFS(INDEX('Oxford Economics'!$A$7:$AZ$1000,0,IFERROR(MATCH(AE$5,'Oxford Economics'!$A$6:$AZ$6,0),MATCH(AE$5&amp;"",'Oxford Economics'!$A$6:$AZ$6,0))),'Oxford Economics'!$A$7:$A$1000,$C33,'Oxford Economics'!$B$7:$B$1000,Settings!$B$12)-SUMIFS(INDEX('Oxford Economics'!$A$7:$AZ$1000,0,IFERROR(MATCH(AE$5,'Oxford Economics'!$A$6:$AZ$6,0),MATCH(AE$5&amp;"",'Oxford Economics'!$A$6:$AZ$6,0))),'Oxford Economics'!$A$7:$A$1000,$C33,'Oxford Economics'!$B$7:$B$1000,Settings!$B$14),SUMIFS(INDEX('Oxford Economics'!$A$7:$AZ$1000,0,IFERROR(MATCH(AE$5,'Oxford Economics'!$A$6:$AZ$6,0),MATCH(AE$5&amp;"",'Oxford Economics'!$A$6:$AZ$6,0))),'Oxford Economics'!$A$7:$A$1000,$C33,'Oxford Economics'!$B$7:$B$1000,Settings!$B$14)+SUMIFS(INDEX('Oxford Economics'!$A$7:$AZ$1000,0,IFERROR(MATCH(AE$5,'Oxford Economics'!$A$6:$AZ$6,0),MATCH(AE$5&amp;"",'Oxford Economics'!$A$6:$AZ$6,0))),'Oxford Economics'!$A$7:$A$1000,$C33,'Oxford Economics'!$B$7:$B$1000,Settings!$B$16)+IF(Settings!$B$18="",0,SUMIFS(INDEX('Oxford Economics'!$A$7:$AZ$1000,0,IFERROR(MATCH(AE$5,'Oxford Economics'!$A$6:$AZ$6,0),MATCH(AE$5&amp;"",'Oxford Economics'!$A$6:$AZ$6,0))),'Oxford Economics'!$A$7:$A$1000,$C33,'Oxford Economics'!$B$7:$B$1000,Settings!$B$18)))),""))</f>
        <v>9314.91</v>
      </c>
      <c r="AF33" s="38" t="n">
        <f aca="false">IF($A33="","",IFERROR(1/(1/IF($B33="Residential",SUMIFS(INDEX('Oxford Economics'!$A$7:$AZ$1000,0,IFERROR(MATCH(AF$5,'Oxford Economics'!$A$6:$AZ$6,0),MATCH(AF$5&amp;"",'Oxford Economics'!$A$6:$AZ$6,0))),'Oxford Economics'!$A$7:$A$1000,$C33,'Oxford Economics'!$B$7:$B$1000,Settings!$B$12)-SUMIFS(INDEX('Oxford Economics'!$A$7:$AZ$1000,0,IFERROR(MATCH(AF$5,'Oxford Economics'!$A$6:$AZ$6,0),MATCH(AF$5&amp;"",'Oxford Economics'!$A$6:$AZ$6,0))),'Oxford Economics'!$A$7:$A$1000,$C33,'Oxford Economics'!$B$7:$B$1000,Settings!$B$14),SUMIFS(INDEX('Oxford Economics'!$A$7:$AZ$1000,0,IFERROR(MATCH(AF$5,'Oxford Economics'!$A$6:$AZ$6,0),MATCH(AF$5&amp;"",'Oxford Economics'!$A$6:$AZ$6,0))),'Oxford Economics'!$A$7:$A$1000,$C33,'Oxford Economics'!$B$7:$B$1000,Settings!$B$14)+SUMIFS(INDEX('Oxford Economics'!$A$7:$AZ$1000,0,IFERROR(MATCH(AF$5,'Oxford Economics'!$A$6:$AZ$6,0),MATCH(AF$5&amp;"",'Oxford Economics'!$A$6:$AZ$6,0))),'Oxford Economics'!$A$7:$A$1000,$C33,'Oxford Economics'!$B$7:$B$1000,Settings!$B$16)+IF(Settings!$B$18="",0,SUMIFS(INDEX('Oxford Economics'!$A$7:$AZ$1000,0,IFERROR(MATCH(AF$5,'Oxford Economics'!$A$6:$AZ$6,0),MATCH(AF$5&amp;"",'Oxford Economics'!$A$6:$AZ$6,0))),'Oxford Economics'!$A$7:$A$1000,$C33,'Oxford Economics'!$B$7:$B$1000,Settings!$B$18)))),""))</f>
        <v>8285.83</v>
      </c>
      <c r="AG33" s="38" t="n">
        <f aca="false">IF($A33="","",IFERROR(1/(1/IF($B33="Residential",SUMIFS(INDEX('Oxford Economics'!$A$7:$AZ$1000,0,IFERROR(MATCH(AG$5,'Oxford Economics'!$A$6:$AZ$6,0),MATCH(AG$5&amp;"",'Oxford Economics'!$A$6:$AZ$6,0))),'Oxford Economics'!$A$7:$A$1000,$C33,'Oxford Economics'!$B$7:$B$1000,Settings!$B$12)-SUMIFS(INDEX('Oxford Economics'!$A$7:$AZ$1000,0,IFERROR(MATCH(AG$5,'Oxford Economics'!$A$6:$AZ$6,0),MATCH(AG$5&amp;"",'Oxford Economics'!$A$6:$AZ$6,0))),'Oxford Economics'!$A$7:$A$1000,$C33,'Oxford Economics'!$B$7:$B$1000,Settings!$B$14),SUMIFS(INDEX('Oxford Economics'!$A$7:$AZ$1000,0,IFERROR(MATCH(AG$5,'Oxford Economics'!$A$6:$AZ$6,0),MATCH(AG$5&amp;"",'Oxford Economics'!$A$6:$AZ$6,0))),'Oxford Economics'!$A$7:$A$1000,$C33,'Oxford Economics'!$B$7:$B$1000,Settings!$B$14)+SUMIFS(INDEX('Oxford Economics'!$A$7:$AZ$1000,0,IFERROR(MATCH(AG$5,'Oxford Economics'!$A$6:$AZ$6,0),MATCH(AG$5&amp;"",'Oxford Economics'!$A$6:$AZ$6,0))),'Oxford Economics'!$A$7:$A$1000,$C33,'Oxford Economics'!$B$7:$B$1000,Settings!$B$16)+IF(Settings!$B$18="",0,SUMIFS(INDEX('Oxford Economics'!$A$7:$AZ$1000,0,IFERROR(MATCH(AG$5,'Oxford Economics'!$A$6:$AZ$6,0),MATCH(AG$5&amp;"",'Oxford Economics'!$A$6:$AZ$6,0))),'Oxford Economics'!$A$7:$A$1000,$C33,'Oxford Economics'!$B$7:$B$1000,Settings!$B$18)))),""))</f>
        <v>7771.94</v>
      </c>
      <c r="AH33" s="38" t="n">
        <f aca="false">IF($A33="","",IFERROR(1/(1/IF($B33="Residential",SUMIFS(INDEX('Oxford Economics'!$A$7:$AZ$1000,0,IFERROR(MATCH(AH$5,'Oxford Economics'!$A$6:$AZ$6,0),MATCH(AH$5&amp;"",'Oxford Economics'!$A$6:$AZ$6,0))),'Oxford Economics'!$A$7:$A$1000,$C33,'Oxford Economics'!$B$7:$B$1000,Settings!$B$12)-SUMIFS(INDEX('Oxford Economics'!$A$7:$AZ$1000,0,IFERROR(MATCH(AH$5,'Oxford Economics'!$A$6:$AZ$6,0),MATCH(AH$5&amp;"",'Oxford Economics'!$A$6:$AZ$6,0))),'Oxford Economics'!$A$7:$A$1000,$C33,'Oxford Economics'!$B$7:$B$1000,Settings!$B$14),SUMIFS(INDEX('Oxford Economics'!$A$7:$AZ$1000,0,IFERROR(MATCH(AH$5,'Oxford Economics'!$A$6:$AZ$6,0),MATCH(AH$5&amp;"",'Oxford Economics'!$A$6:$AZ$6,0))),'Oxford Economics'!$A$7:$A$1000,$C33,'Oxford Economics'!$B$7:$B$1000,Settings!$B$14)+SUMIFS(INDEX('Oxford Economics'!$A$7:$AZ$1000,0,IFERROR(MATCH(AH$5,'Oxford Economics'!$A$6:$AZ$6,0),MATCH(AH$5&amp;"",'Oxford Economics'!$A$6:$AZ$6,0))),'Oxford Economics'!$A$7:$A$1000,$C33,'Oxford Economics'!$B$7:$B$1000,Settings!$B$16)+IF(Settings!$B$18="",0,SUMIFS(INDEX('Oxford Economics'!$A$7:$AZ$1000,0,IFERROR(MATCH(AH$5,'Oxford Economics'!$A$6:$AZ$6,0),MATCH(AH$5&amp;"",'Oxford Economics'!$A$6:$AZ$6,0))),'Oxford Economics'!$A$7:$A$1000,$C33,'Oxford Economics'!$B$7:$B$1000,Settings!$B$18)))),""))</f>
        <v>7880.6</v>
      </c>
      <c r="AI33" s="38" t="n">
        <f aca="false">IF($A33="","",IFERROR(1/(1/IF($B33="Residential",SUMIFS(INDEX('Oxford Economics'!$A$7:$AZ$1000,0,IFERROR(MATCH(AI$5,'Oxford Economics'!$A$6:$AZ$6,0),MATCH(AI$5&amp;"",'Oxford Economics'!$A$6:$AZ$6,0))),'Oxford Economics'!$A$7:$A$1000,$C33,'Oxford Economics'!$B$7:$B$1000,Settings!$B$12)-SUMIFS(INDEX('Oxford Economics'!$A$7:$AZ$1000,0,IFERROR(MATCH(AI$5,'Oxford Economics'!$A$6:$AZ$6,0),MATCH(AI$5&amp;"",'Oxford Economics'!$A$6:$AZ$6,0))),'Oxford Economics'!$A$7:$A$1000,$C33,'Oxford Economics'!$B$7:$B$1000,Settings!$B$14),SUMIFS(INDEX('Oxford Economics'!$A$7:$AZ$1000,0,IFERROR(MATCH(AI$5,'Oxford Economics'!$A$6:$AZ$6,0),MATCH(AI$5&amp;"",'Oxford Economics'!$A$6:$AZ$6,0))),'Oxford Economics'!$A$7:$A$1000,$C33,'Oxford Economics'!$B$7:$B$1000,Settings!$B$14)+SUMIFS(INDEX('Oxford Economics'!$A$7:$AZ$1000,0,IFERROR(MATCH(AI$5,'Oxford Economics'!$A$6:$AZ$6,0),MATCH(AI$5&amp;"",'Oxford Economics'!$A$6:$AZ$6,0))),'Oxford Economics'!$A$7:$A$1000,$C33,'Oxford Economics'!$B$7:$B$1000,Settings!$B$16)+IF(Settings!$B$18="",0,SUMIFS(INDEX('Oxford Economics'!$A$7:$AZ$1000,0,IFERROR(MATCH(AI$5,'Oxford Economics'!$A$6:$AZ$6,0),MATCH(AI$5&amp;"",'Oxford Economics'!$A$6:$AZ$6,0))),'Oxford Economics'!$A$7:$A$1000,$C33,'Oxford Economics'!$B$7:$B$1000,Settings!$B$18)))),""))</f>
        <v>8068.47</v>
      </c>
      <c r="AJ33" s="38" t="n">
        <f aca="false">IF($A33="","",IFERROR(1/(1/IF($B33="Residential",SUMIFS(INDEX('Oxford Economics'!$A$7:$AZ$1000,0,IFERROR(MATCH(AJ$5,'Oxford Economics'!$A$6:$AZ$6,0),MATCH(AJ$5&amp;"",'Oxford Economics'!$A$6:$AZ$6,0))),'Oxford Economics'!$A$7:$A$1000,$C33,'Oxford Economics'!$B$7:$B$1000,Settings!$B$12)-SUMIFS(INDEX('Oxford Economics'!$A$7:$AZ$1000,0,IFERROR(MATCH(AJ$5,'Oxford Economics'!$A$6:$AZ$6,0),MATCH(AJ$5&amp;"",'Oxford Economics'!$A$6:$AZ$6,0))),'Oxford Economics'!$A$7:$A$1000,$C33,'Oxford Economics'!$B$7:$B$1000,Settings!$B$14),SUMIFS(INDEX('Oxford Economics'!$A$7:$AZ$1000,0,IFERROR(MATCH(AJ$5,'Oxford Economics'!$A$6:$AZ$6,0),MATCH(AJ$5&amp;"",'Oxford Economics'!$A$6:$AZ$6,0))),'Oxford Economics'!$A$7:$A$1000,$C33,'Oxford Economics'!$B$7:$B$1000,Settings!$B$14)+SUMIFS(INDEX('Oxford Economics'!$A$7:$AZ$1000,0,IFERROR(MATCH(AJ$5,'Oxford Economics'!$A$6:$AZ$6,0),MATCH(AJ$5&amp;"",'Oxford Economics'!$A$6:$AZ$6,0))),'Oxford Economics'!$A$7:$A$1000,$C33,'Oxford Economics'!$B$7:$B$1000,Settings!$B$16)+IF(Settings!$B$18="",0,SUMIFS(INDEX('Oxford Economics'!$A$7:$AZ$1000,0,IFERROR(MATCH(AJ$5,'Oxford Economics'!$A$6:$AZ$6,0),MATCH(AJ$5&amp;"",'Oxford Economics'!$A$6:$AZ$6,0))),'Oxford Economics'!$A$7:$A$1000,$C33,'Oxford Economics'!$B$7:$B$1000,Settings!$B$18)))),""))</f>
        <v>8194.02</v>
      </c>
      <c r="AK33" s="38" t="n">
        <f aca="false">IF($A33="","",IFERROR(1/(1/IF($B33="Residential",SUMIFS(INDEX('Oxford Economics'!$A$7:$AZ$1000,0,IFERROR(MATCH(AK$5,'Oxford Economics'!$A$6:$AZ$6,0),MATCH(AK$5&amp;"",'Oxford Economics'!$A$6:$AZ$6,0))),'Oxford Economics'!$A$7:$A$1000,$C33,'Oxford Economics'!$B$7:$B$1000,Settings!$B$12)-SUMIFS(INDEX('Oxford Economics'!$A$7:$AZ$1000,0,IFERROR(MATCH(AK$5,'Oxford Economics'!$A$6:$AZ$6,0),MATCH(AK$5&amp;"",'Oxford Economics'!$A$6:$AZ$6,0))),'Oxford Economics'!$A$7:$A$1000,$C33,'Oxford Economics'!$B$7:$B$1000,Settings!$B$14),SUMIFS(INDEX('Oxford Economics'!$A$7:$AZ$1000,0,IFERROR(MATCH(AK$5,'Oxford Economics'!$A$6:$AZ$6,0),MATCH(AK$5&amp;"",'Oxford Economics'!$A$6:$AZ$6,0))),'Oxford Economics'!$A$7:$A$1000,$C33,'Oxford Economics'!$B$7:$B$1000,Settings!$B$14)+SUMIFS(INDEX('Oxford Economics'!$A$7:$AZ$1000,0,IFERROR(MATCH(AK$5,'Oxford Economics'!$A$6:$AZ$6,0),MATCH(AK$5&amp;"",'Oxford Economics'!$A$6:$AZ$6,0))),'Oxford Economics'!$A$7:$A$1000,$C33,'Oxford Economics'!$B$7:$B$1000,Settings!$B$16)+IF(Settings!$B$18="",0,SUMIFS(INDEX('Oxford Economics'!$A$7:$AZ$1000,0,IFERROR(MATCH(AK$5,'Oxford Economics'!$A$6:$AZ$6,0),MATCH(AK$5&amp;"",'Oxford Economics'!$A$6:$AZ$6,0))),'Oxford Economics'!$A$7:$A$1000,$C33,'Oxford Economics'!$B$7:$B$1000,Settings!$B$18)))),""))</f>
        <v>8295.16</v>
      </c>
      <c r="AL33" s="38" t="n">
        <f aca="false">IF($A33="","",IFERROR(1/(1/IF($B33="Residential",SUMIFS(INDEX('Oxford Economics'!$A$7:$AZ$1000,0,IFERROR(MATCH(AL$5,'Oxford Economics'!$A$6:$AZ$6,0),MATCH(AL$5&amp;"",'Oxford Economics'!$A$6:$AZ$6,0))),'Oxford Economics'!$A$7:$A$1000,$C33,'Oxford Economics'!$B$7:$B$1000,Settings!$B$12)-SUMIFS(INDEX('Oxford Economics'!$A$7:$AZ$1000,0,IFERROR(MATCH(AL$5,'Oxford Economics'!$A$6:$AZ$6,0),MATCH(AL$5&amp;"",'Oxford Economics'!$A$6:$AZ$6,0))),'Oxford Economics'!$A$7:$A$1000,$C33,'Oxford Economics'!$B$7:$B$1000,Settings!$B$14),SUMIFS(INDEX('Oxford Economics'!$A$7:$AZ$1000,0,IFERROR(MATCH(AL$5,'Oxford Economics'!$A$6:$AZ$6,0),MATCH(AL$5&amp;"",'Oxford Economics'!$A$6:$AZ$6,0))),'Oxford Economics'!$A$7:$A$1000,$C33,'Oxford Economics'!$B$7:$B$1000,Settings!$B$14)+SUMIFS(INDEX('Oxford Economics'!$A$7:$AZ$1000,0,IFERROR(MATCH(AL$5,'Oxford Economics'!$A$6:$AZ$6,0),MATCH(AL$5&amp;"",'Oxford Economics'!$A$6:$AZ$6,0))),'Oxford Economics'!$A$7:$A$1000,$C33,'Oxford Economics'!$B$7:$B$1000,Settings!$B$16)+IF(Settings!$B$18="",0,SUMIFS(INDEX('Oxford Economics'!$A$7:$AZ$1000,0,IFERROR(MATCH(AL$5,'Oxford Economics'!$A$6:$AZ$6,0),MATCH(AL$5&amp;"",'Oxford Economics'!$A$6:$AZ$6,0))),'Oxford Economics'!$A$7:$A$1000,$C33,'Oxford Economics'!$B$7:$B$1000,Settings!$B$18)))),""))</f>
        <v>8449</v>
      </c>
      <c r="AM33" s="38" t="n">
        <f aca="false">IF($A33="","",IFERROR(1/(1/IF($B33="Residential",SUMIFS(INDEX('Oxford Economics'!$A$7:$AZ$1000,0,IFERROR(MATCH(AM$5,'Oxford Economics'!$A$6:$AZ$6,0),MATCH(AM$5&amp;"",'Oxford Economics'!$A$6:$AZ$6,0))),'Oxford Economics'!$A$7:$A$1000,$C33,'Oxford Economics'!$B$7:$B$1000,Settings!$B$12)-SUMIFS(INDEX('Oxford Economics'!$A$7:$AZ$1000,0,IFERROR(MATCH(AM$5,'Oxford Economics'!$A$6:$AZ$6,0),MATCH(AM$5&amp;"",'Oxford Economics'!$A$6:$AZ$6,0))),'Oxford Economics'!$A$7:$A$1000,$C33,'Oxford Economics'!$B$7:$B$1000,Settings!$B$14),SUMIFS(INDEX('Oxford Economics'!$A$7:$AZ$1000,0,IFERROR(MATCH(AM$5,'Oxford Economics'!$A$6:$AZ$6,0),MATCH(AM$5&amp;"",'Oxford Economics'!$A$6:$AZ$6,0))),'Oxford Economics'!$A$7:$A$1000,$C33,'Oxford Economics'!$B$7:$B$1000,Settings!$B$14)+SUMIFS(INDEX('Oxford Economics'!$A$7:$AZ$1000,0,IFERROR(MATCH(AM$5,'Oxford Economics'!$A$6:$AZ$6,0),MATCH(AM$5&amp;"",'Oxford Economics'!$A$6:$AZ$6,0))),'Oxford Economics'!$A$7:$A$1000,$C33,'Oxford Economics'!$B$7:$B$1000,Settings!$B$16)+IF(Settings!$B$18="",0,SUMIFS(INDEX('Oxford Economics'!$A$7:$AZ$1000,0,IFERROR(MATCH(AM$5,'Oxford Economics'!$A$6:$AZ$6,0),MATCH(AM$5&amp;"",'Oxford Economics'!$A$6:$AZ$6,0))),'Oxford Economics'!$A$7:$A$1000,$C33,'Oxford Economics'!$B$7:$B$1000,Settings!$B$18)))),""))</f>
        <v>8622.86</v>
      </c>
    </row>
    <row r="34" customFormat="false" ht="15" hidden="false" customHeight="false" outlineLevel="0" collapsed="false">
      <c r="A34" s="37" t="str">
        <f aca="false">IF('Raw data'!$A34="","",'Raw data'!$A34)</f>
        <v>Sweden</v>
      </c>
      <c r="B34" s="37" t="str">
        <f aca="false">IF($A34="","",'Raw data'!$C34)</f>
        <v>Commercial</v>
      </c>
      <c r="C34" s="37" t="str">
        <f aca="false">IF($A34="","",IF('Raw data'!$E34="",$A34,'Raw data'!$E34))</f>
        <v>Sweden</v>
      </c>
      <c r="D34" s="38" t="n">
        <f aca="false">IF($A34="","",IF(AND(ISNUMBER(P34),ISNUMBER(AB34)),P34+AB34,""))</f>
        <v>17278.38</v>
      </c>
      <c r="E34" s="38" t="n">
        <f aca="false">IF($A34="","",IF(AND(ISNUMBER(Q34),ISNUMBER(AC34)),Q34+AC34,""))</f>
        <v>17683.56</v>
      </c>
      <c r="F34" s="38" t="n">
        <f aca="false">IF($A34="","",IF(AND(ISNUMBER(R34),ISNUMBER(AD34)),R34+AD34,""))</f>
        <v>18076.28</v>
      </c>
      <c r="G34" s="38" t="n">
        <f aca="false">IF($A34="","",IF(AND(ISNUMBER(S34),ISNUMBER(AE34)),S34+AE34,""))</f>
        <v>17772.72</v>
      </c>
      <c r="H34" s="38" t="n">
        <f aca="false">IF($A34="","",IF(AND(ISNUMBER(T34),ISNUMBER(AF34)),T34+AF34,""))</f>
        <v>17652.06</v>
      </c>
      <c r="I34" s="38" t="n">
        <f aca="false">IF($A34="","",IF(AND(ISNUMBER(U34),ISNUMBER(AG34)),U34+AG34,""))</f>
        <v>16933.1</v>
      </c>
      <c r="J34" s="38" t="n">
        <f aca="false">IF($A34="","",IF(AND(ISNUMBER(V34),ISNUMBER(AH34)),V34+AH34,""))</f>
        <v>16822.53</v>
      </c>
      <c r="K34" s="38" t="n">
        <f aca="false">IF($A34="","",IF(AND(ISNUMBER(W34),ISNUMBER(AI34)),W34+AI34,""))</f>
        <v>17106.48</v>
      </c>
      <c r="L34" s="38" t="n">
        <f aca="false">IF($A34="","",IF(AND(ISNUMBER(X34),ISNUMBER(AJ34)),X34+AJ34,""))</f>
        <v>17497.61</v>
      </c>
      <c r="M34" s="38" t="n">
        <f aca="false">IF($A34="","",IF(AND(ISNUMBER(Y34),ISNUMBER(AK34)),Y34+AK34,""))</f>
        <v>17916.37</v>
      </c>
      <c r="N34" s="38" t="n">
        <f aca="false">IF($A34="","",IF(AND(ISNUMBER(Z34),ISNUMBER(AL34)),Z34+AL34,""))</f>
        <v>18475.21</v>
      </c>
      <c r="O34" s="38" t="n">
        <f aca="false">IF($A34="","",IF(AND(ISNUMBER(AA34),ISNUMBER(AM34)),AA34+AM34,""))</f>
        <v>18820.48</v>
      </c>
      <c r="P34" s="38" t="n">
        <f aca="false">IF($A34="","",IFERROR(1/(1/IF($B34="Residential",SUMIFS(INDEX('Oxford Economics'!$A$7:$AZ$1000,0,IFERROR(MATCH(P$5,'Oxford Economics'!$A$6:$AZ$6,0),MATCH(P$5&amp;"",'Oxford Economics'!$A$6:$AZ$6,0))),'Oxford Economics'!$A$7:$A$1000,$C34,'Oxford Economics'!$B$7:$B$1000,Settings!$B$13)-SUMIFS(INDEX('Oxford Economics'!$A$7:$AZ$1000,0,IFERROR(MATCH(P$5,'Oxford Economics'!$A$6:$AZ$6,0),MATCH(P$5&amp;"",'Oxford Economics'!$A$6:$AZ$6,0))),'Oxford Economics'!$A$7:$A$1000,$C34,'Oxford Economics'!$B$7:$B$1000,Settings!$B$15),SUMIFS(INDEX('Oxford Economics'!$A$7:$AZ$1000,0,IFERROR(MATCH(P$5,'Oxford Economics'!$A$6:$AZ$6,0),MATCH(P$5&amp;"",'Oxford Economics'!$A$6:$AZ$6,0))),'Oxford Economics'!$A$7:$A$1000,$C34,'Oxford Economics'!$B$7:$B$1000,Settings!$B$15)+SUMIFS(INDEX('Oxford Economics'!$A$7:$AZ$1000,0,IFERROR(MATCH(P$5,'Oxford Economics'!$A$6:$AZ$6,0),MATCH(P$5&amp;"",'Oxford Economics'!$A$6:$AZ$6,0))),'Oxford Economics'!$A$7:$A$1000,$C34,'Oxford Economics'!$B$7:$B$1000,Settings!$B$17)+IF(Settings!$B$19="",0,SUMIFS(INDEX('Oxford Economics'!$A$7:$AZ$1000,0,IFERROR(MATCH(P$5,'Oxford Economics'!$A$6:$AZ$6,0),MATCH(P$5&amp;"",'Oxford Economics'!$A$6:$AZ$6,0))),'Oxford Economics'!$A$7:$A$1000,$C34,'Oxford Economics'!$B$7:$B$1000,Settings!$B$19)))),""))</f>
        <v>7171.26</v>
      </c>
      <c r="Q34" s="38" t="n">
        <f aca="false">IF($A34="","",IFERROR(1/(1/IF($B34="Residential",SUMIFS(INDEX('Oxford Economics'!$A$7:$AZ$1000,0,IFERROR(MATCH(Q$5,'Oxford Economics'!$A$6:$AZ$6,0),MATCH(Q$5&amp;"",'Oxford Economics'!$A$6:$AZ$6,0))),'Oxford Economics'!$A$7:$A$1000,$C34,'Oxford Economics'!$B$7:$B$1000,Settings!$B$13)-SUMIFS(INDEX('Oxford Economics'!$A$7:$AZ$1000,0,IFERROR(MATCH(Q$5,'Oxford Economics'!$A$6:$AZ$6,0),MATCH(Q$5&amp;"",'Oxford Economics'!$A$6:$AZ$6,0))),'Oxford Economics'!$A$7:$A$1000,$C34,'Oxford Economics'!$B$7:$B$1000,Settings!$B$15),SUMIFS(INDEX('Oxford Economics'!$A$7:$AZ$1000,0,IFERROR(MATCH(Q$5,'Oxford Economics'!$A$6:$AZ$6,0),MATCH(Q$5&amp;"",'Oxford Economics'!$A$6:$AZ$6,0))),'Oxford Economics'!$A$7:$A$1000,$C34,'Oxford Economics'!$B$7:$B$1000,Settings!$B$15)+SUMIFS(INDEX('Oxford Economics'!$A$7:$AZ$1000,0,IFERROR(MATCH(Q$5,'Oxford Economics'!$A$6:$AZ$6,0),MATCH(Q$5&amp;"",'Oxford Economics'!$A$6:$AZ$6,0))),'Oxford Economics'!$A$7:$A$1000,$C34,'Oxford Economics'!$B$7:$B$1000,Settings!$B$17)+IF(Settings!$B$19="",0,SUMIFS(INDEX('Oxford Economics'!$A$7:$AZ$1000,0,IFERROR(MATCH(Q$5,'Oxford Economics'!$A$6:$AZ$6,0),MATCH(Q$5&amp;"",'Oxford Economics'!$A$6:$AZ$6,0))),'Oxford Economics'!$A$7:$A$1000,$C34,'Oxford Economics'!$B$7:$B$1000,Settings!$B$19)))),""))</f>
        <v>7319.44</v>
      </c>
      <c r="R34" s="38" t="n">
        <f aca="false">IF($A34="","",IFERROR(1/(1/IF($B34="Residential",SUMIFS(INDEX('Oxford Economics'!$A$7:$AZ$1000,0,IFERROR(MATCH(R$5,'Oxford Economics'!$A$6:$AZ$6,0),MATCH(R$5&amp;"",'Oxford Economics'!$A$6:$AZ$6,0))),'Oxford Economics'!$A$7:$A$1000,$C34,'Oxford Economics'!$B$7:$B$1000,Settings!$B$13)-SUMIFS(INDEX('Oxford Economics'!$A$7:$AZ$1000,0,IFERROR(MATCH(R$5,'Oxford Economics'!$A$6:$AZ$6,0),MATCH(R$5&amp;"",'Oxford Economics'!$A$6:$AZ$6,0))),'Oxford Economics'!$A$7:$A$1000,$C34,'Oxford Economics'!$B$7:$B$1000,Settings!$B$15),SUMIFS(INDEX('Oxford Economics'!$A$7:$AZ$1000,0,IFERROR(MATCH(R$5,'Oxford Economics'!$A$6:$AZ$6,0),MATCH(R$5&amp;"",'Oxford Economics'!$A$6:$AZ$6,0))),'Oxford Economics'!$A$7:$A$1000,$C34,'Oxford Economics'!$B$7:$B$1000,Settings!$B$15)+SUMIFS(INDEX('Oxford Economics'!$A$7:$AZ$1000,0,IFERROR(MATCH(R$5,'Oxford Economics'!$A$6:$AZ$6,0),MATCH(R$5&amp;"",'Oxford Economics'!$A$6:$AZ$6,0))),'Oxford Economics'!$A$7:$A$1000,$C34,'Oxford Economics'!$B$7:$B$1000,Settings!$B$17)+IF(Settings!$B$19="",0,SUMIFS(INDEX('Oxford Economics'!$A$7:$AZ$1000,0,IFERROR(MATCH(R$5,'Oxford Economics'!$A$6:$AZ$6,0),MATCH(R$5&amp;"",'Oxford Economics'!$A$6:$AZ$6,0))),'Oxford Economics'!$A$7:$A$1000,$C34,'Oxford Economics'!$B$7:$B$1000,Settings!$B$19)))),""))</f>
        <v>7514.95</v>
      </c>
      <c r="S34" s="38" t="n">
        <f aca="false">IF($A34="","",IFERROR(1/(1/IF($B34="Residential",SUMIFS(INDEX('Oxford Economics'!$A$7:$AZ$1000,0,IFERROR(MATCH(S$5,'Oxford Economics'!$A$6:$AZ$6,0),MATCH(S$5&amp;"",'Oxford Economics'!$A$6:$AZ$6,0))),'Oxford Economics'!$A$7:$A$1000,$C34,'Oxford Economics'!$B$7:$B$1000,Settings!$B$13)-SUMIFS(INDEX('Oxford Economics'!$A$7:$AZ$1000,0,IFERROR(MATCH(S$5,'Oxford Economics'!$A$6:$AZ$6,0),MATCH(S$5&amp;"",'Oxford Economics'!$A$6:$AZ$6,0))),'Oxford Economics'!$A$7:$A$1000,$C34,'Oxford Economics'!$B$7:$B$1000,Settings!$B$15),SUMIFS(INDEX('Oxford Economics'!$A$7:$AZ$1000,0,IFERROR(MATCH(S$5,'Oxford Economics'!$A$6:$AZ$6,0),MATCH(S$5&amp;"",'Oxford Economics'!$A$6:$AZ$6,0))),'Oxford Economics'!$A$7:$A$1000,$C34,'Oxford Economics'!$B$7:$B$1000,Settings!$B$15)+SUMIFS(INDEX('Oxford Economics'!$A$7:$AZ$1000,0,IFERROR(MATCH(S$5,'Oxford Economics'!$A$6:$AZ$6,0),MATCH(S$5&amp;"",'Oxford Economics'!$A$6:$AZ$6,0))),'Oxford Economics'!$A$7:$A$1000,$C34,'Oxford Economics'!$B$7:$B$1000,Settings!$B$17)+IF(Settings!$B$19="",0,SUMIFS(INDEX('Oxford Economics'!$A$7:$AZ$1000,0,IFERROR(MATCH(S$5,'Oxford Economics'!$A$6:$AZ$6,0),MATCH(S$5&amp;"",'Oxford Economics'!$A$6:$AZ$6,0))),'Oxford Economics'!$A$7:$A$1000,$C34,'Oxford Economics'!$B$7:$B$1000,Settings!$B$19)))),""))</f>
        <v>8457.81</v>
      </c>
      <c r="T34" s="38" t="n">
        <f aca="false">IF($A34="","",IFERROR(1/(1/IF($B34="Residential",SUMIFS(INDEX('Oxford Economics'!$A$7:$AZ$1000,0,IFERROR(MATCH(T$5,'Oxford Economics'!$A$6:$AZ$6,0),MATCH(T$5&amp;"",'Oxford Economics'!$A$6:$AZ$6,0))),'Oxford Economics'!$A$7:$A$1000,$C34,'Oxford Economics'!$B$7:$B$1000,Settings!$B$13)-SUMIFS(INDEX('Oxford Economics'!$A$7:$AZ$1000,0,IFERROR(MATCH(T$5,'Oxford Economics'!$A$6:$AZ$6,0),MATCH(T$5&amp;"",'Oxford Economics'!$A$6:$AZ$6,0))),'Oxford Economics'!$A$7:$A$1000,$C34,'Oxford Economics'!$B$7:$B$1000,Settings!$B$15),SUMIFS(INDEX('Oxford Economics'!$A$7:$AZ$1000,0,IFERROR(MATCH(T$5,'Oxford Economics'!$A$6:$AZ$6,0),MATCH(T$5&amp;"",'Oxford Economics'!$A$6:$AZ$6,0))),'Oxford Economics'!$A$7:$A$1000,$C34,'Oxford Economics'!$B$7:$B$1000,Settings!$B$15)+SUMIFS(INDEX('Oxford Economics'!$A$7:$AZ$1000,0,IFERROR(MATCH(T$5,'Oxford Economics'!$A$6:$AZ$6,0),MATCH(T$5&amp;"",'Oxford Economics'!$A$6:$AZ$6,0))),'Oxford Economics'!$A$7:$A$1000,$C34,'Oxford Economics'!$B$7:$B$1000,Settings!$B$17)+IF(Settings!$B$19="",0,SUMIFS(INDEX('Oxford Economics'!$A$7:$AZ$1000,0,IFERROR(MATCH(T$5,'Oxford Economics'!$A$6:$AZ$6,0),MATCH(T$5&amp;"",'Oxford Economics'!$A$6:$AZ$6,0))),'Oxford Economics'!$A$7:$A$1000,$C34,'Oxford Economics'!$B$7:$B$1000,Settings!$B$19)))),""))</f>
        <v>9366.23</v>
      </c>
      <c r="U34" s="38" t="n">
        <f aca="false">IF($A34="","",IFERROR(1/(1/IF($B34="Residential",SUMIFS(INDEX('Oxford Economics'!$A$7:$AZ$1000,0,IFERROR(MATCH(U$5,'Oxford Economics'!$A$6:$AZ$6,0),MATCH(U$5&amp;"",'Oxford Economics'!$A$6:$AZ$6,0))),'Oxford Economics'!$A$7:$A$1000,$C34,'Oxford Economics'!$B$7:$B$1000,Settings!$B$13)-SUMIFS(INDEX('Oxford Economics'!$A$7:$AZ$1000,0,IFERROR(MATCH(U$5,'Oxford Economics'!$A$6:$AZ$6,0),MATCH(U$5&amp;"",'Oxford Economics'!$A$6:$AZ$6,0))),'Oxford Economics'!$A$7:$A$1000,$C34,'Oxford Economics'!$B$7:$B$1000,Settings!$B$15),SUMIFS(INDEX('Oxford Economics'!$A$7:$AZ$1000,0,IFERROR(MATCH(U$5,'Oxford Economics'!$A$6:$AZ$6,0),MATCH(U$5&amp;"",'Oxford Economics'!$A$6:$AZ$6,0))),'Oxford Economics'!$A$7:$A$1000,$C34,'Oxford Economics'!$B$7:$B$1000,Settings!$B$15)+SUMIFS(INDEX('Oxford Economics'!$A$7:$AZ$1000,0,IFERROR(MATCH(U$5,'Oxford Economics'!$A$6:$AZ$6,0),MATCH(U$5&amp;"",'Oxford Economics'!$A$6:$AZ$6,0))),'Oxford Economics'!$A$7:$A$1000,$C34,'Oxford Economics'!$B$7:$B$1000,Settings!$B$17)+IF(Settings!$B$19="",0,SUMIFS(INDEX('Oxford Economics'!$A$7:$AZ$1000,0,IFERROR(MATCH(U$5,'Oxford Economics'!$A$6:$AZ$6,0),MATCH(U$5&amp;"",'Oxford Economics'!$A$6:$AZ$6,0))),'Oxford Economics'!$A$7:$A$1000,$C34,'Oxford Economics'!$B$7:$B$1000,Settings!$B$19)))),""))</f>
        <v>9161.16</v>
      </c>
      <c r="V34" s="38" t="n">
        <f aca="false">IF($A34="","",IFERROR(1/(1/IF($B34="Residential",SUMIFS(INDEX('Oxford Economics'!$A$7:$AZ$1000,0,IFERROR(MATCH(V$5,'Oxford Economics'!$A$6:$AZ$6,0),MATCH(V$5&amp;"",'Oxford Economics'!$A$6:$AZ$6,0))),'Oxford Economics'!$A$7:$A$1000,$C34,'Oxford Economics'!$B$7:$B$1000,Settings!$B$13)-SUMIFS(INDEX('Oxford Economics'!$A$7:$AZ$1000,0,IFERROR(MATCH(V$5,'Oxford Economics'!$A$6:$AZ$6,0),MATCH(V$5&amp;"",'Oxford Economics'!$A$6:$AZ$6,0))),'Oxford Economics'!$A$7:$A$1000,$C34,'Oxford Economics'!$B$7:$B$1000,Settings!$B$15),SUMIFS(INDEX('Oxford Economics'!$A$7:$AZ$1000,0,IFERROR(MATCH(V$5,'Oxford Economics'!$A$6:$AZ$6,0),MATCH(V$5&amp;"",'Oxford Economics'!$A$6:$AZ$6,0))),'Oxford Economics'!$A$7:$A$1000,$C34,'Oxford Economics'!$B$7:$B$1000,Settings!$B$15)+SUMIFS(INDEX('Oxford Economics'!$A$7:$AZ$1000,0,IFERROR(MATCH(V$5,'Oxford Economics'!$A$6:$AZ$6,0),MATCH(V$5&amp;"",'Oxford Economics'!$A$6:$AZ$6,0))),'Oxford Economics'!$A$7:$A$1000,$C34,'Oxford Economics'!$B$7:$B$1000,Settings!$B$17)+IF(Settings!$B$19="",0,SUMIFS(INDEX('Oxford Economics'!$A$7:$AZ$1000,0,IFERROR(MATCH(V$5,'Oxford Economics'!$A$6:$AZ$6,0),MATCH(V$5&amp;"",'Oxford Economics'!$A$6:$AZ$6,0))),'Oxford Economics'!$A$7:$A$1000,$C34,'Oxford Economics'!$B$7:$B$1000,Settings!$B$19)))),""))</f>
        <v>8941.93</v>
      </c>
      <c r="W34" s="38" t="n">
        <f aca="false">IF($A34="","",IFERROR(1/(1/IF($B34="Residential",SUMIFS(INDEX('Oxford Economics'!$A$7:$AZ$1000,0,IFERROR(MATCH(W$5,'Oxford Economics'!$A$6:$AZ$6,0),MATCH(W$5&amp;"",'Oxford Economics'!$A$6:$AZ$6,0))),'Oxford Economics'!$A$7:$A$1000,$C34,'Oxford Economics'!$B$7:$B$1000,Settings!$B$13)-SUMIFS(INDEX('Oxford Economics'!$A$7:$AZ$1000,0,IFERROR(MATCH(W$5,'Oxford Economics'!$A$6:$AZ$6,0),MATCH(W$5&amp;"",'Oxford Economics'!$A$6:$AZ$6,0))),'Oxford Economics'!$A$7:$A$1000,$C34,'Oxford Economics'!$B$7:$B$1000,Settings!$B$15),SUMIFS(INDEX('Oxford Economics'!$A$7:$AZ$1000,0,IFERROR(MATCH(W$5,'Oxford Economics'!$A$6:$AZ$6,0),MATCH(W$5&amp;"",'Oxford Economics'!$A$6:$AZ$6,0))),'Oxford Economics'!$A$7:$A$1000,$C34,'Oxford Economics'!$B$7:$B$1000,Settings!$B$15)+SUMIFS(INDEX('Oxford Economics'!$A$7:$AZ$1000,0,IFERROR(MATCH(W$5,'Oxford Economics'!$A$6:$AZ$6,0),MATCH(W$5&amp;"",'Oxford Economics'!$A$6:$AZ$6,0))),'Oxford Economics'!$A$7:$A$1000,$C34,'Oxford Economics'!$B$7:$B$1000,Settings!$B$17)+IF(Settings!$B$19="",0,SUMIFS(INDEX('Oxford Economics'!$A$7:$AZ$1000,0,IFERROR(MATCH(W$5,'Oxford Economics'!$A$6:$AZ$6,0),MATCH(W$5&amp;"",'Oxford Economics'!$A$6:$AZ$6,0))),'Oxford Economics'!$A$7:$A$1000,$C34,'Oxford Economics'!$B$7:$B$1000,Settings!$B$19)))),""))</f>
        <v>9038.01</v>
      </c>
      <c r="X34" s="38" t="n">
        <f aca="false">IF($A34="","",IFERROR(1/(1/IF($B34="Residential",SUMIFS(INDEX('Oxford Economics'!$A$7:$AZ$1000,0,IFERROR(MATCH(X$5,'Oxford Economics'!$A$6:$AZ$6,0),MATCH(X$5&amp;"",'Oxford Economics'!$A$6:$AZ$6,0))),'Oxford Economics'!$A$7:$A$1000,$C34,'Oxford Economics'!$B$7:$B$1000,Settings!$B$13)-SUMIFS(INDEX('Oxford Economics'!$A$7:$AZ$1000,0,IFERROR(MATCH(X$5,'Oxford Economics'!$A$6:$AZ$6,0),MATCH(X$5&amp;"",'Oxford Economics'!$A$6:$AZ$6,0))),'Oxford Economics'!$A$7:$A$1000,$C34,'Oxford Economics'!$B$7:$B$1000,Settings!$B$15),SUMIFS(INDEX('Oxford Economics'!$A$7:$AZ$1000,0,IFERROR(MATCH(X$5,'Oxford Economics'!$A$6:$AZ$6,0),MATCH(X$5&amp;"",'Oxford Economics'!$A$6:$AZ$6,0))),'Oxford Economics'!$A$7:$A$1000,$C34,'Oxford Economics'!$B$7:$B$1000,Settings!$B$15)+SUMIFS(INDEX('Oxford Economics'!$A$7:$AZ$1000,0,IFERROR(MATCH(X$5,'Oxford Economics'!$A$6:$AZ$6,0),MATCH(X$5&amp;"",'Oxford Economics'!$A$6:$AZ$6,0))),'Oxford Economics'!$A$7:$A$1000,$C34,'Oxford Economics'!$B$7:$B$1000,Settings!$B$17)+IF(Settings!$B$19="",0,SUMIFS(INDEX('Oxford Economics'!$A$7:$AZ$1000,0,IFERROR(MATCH(X$5,'Oxford Economics'!$A$6:$AZ$6,0),MATCH(X$5&amp;"",'Oxford Economics'!$A$6:$AZ$6,0))),'Oxford Economics'!$A$7:$A$1000,$C34,'Oxford Economics'!$B$7:$B$1000,Settings!$B$19)))),""))</f>
        <v>9303.59</v>
      </c>
      <c r="Y34" s="38" t="n">
        <f aca="false">IF($A34="","",IFERROR(1/(1/IF($B34="Residential",SUMIFS(INDEX('Oxford Economics'!$A$7:$AZ$1000,0,IFERROR(MATCH(Y$5,'Oxford Economics'!$A$6:$AZ$6,0),MATCH(Y$5&amp;"",'Oxford Economics'!$A$6:$AZ$6,0))),'Oxford Economics'!$A$7:$A$1000,$C34,'Oxford Economics'!$B$7:$B$1000,Settings!$B$13)-SUMIFS(INDEX('Oxford Economics'!$A$7:$AZ$1000,0,IFERROR(MATCH(Y$5,'Oxford Economics'!$A$6:$AZ$6,0),MATCH(Y$5&amp;"",'Oxford Economics'!$A$6:$AZ$6,0))),'Oxford Economics'!$A$7:$A$1000,$C34,'Oxford Economics'!$B$7:$B$1000,Settings!$B$15),SUMIFS(INDEX('Oxford Economics'!$A$7:$AZ$1000,0,IFERROR(MATCH(Y$5,'Oxford Economics'!$A$6:$AZ$6,0),MATCH(Y$5&amp;"",'Oxford Economics'!$A$6:$AZ$6,0))),'Oxford Economics'!$A$7:$A$1000,$C34,'Oxford Economics'!$B$7:$B$1000,Settings!$B$15)+SUMIFS(INDEX('Oxford Economics'!$A$7:$AZ$1000,0,IFERROR(MATCH(Y$5,'Oxford Economics'!$A$6:$AZ$6,0),MATCH(Y$5&amp;"",'Oxford Economics'!$A$6:$AZ$6,0))),'Oxford Economics'!$A$7:$A$1000,$C34,'Oxford Economics'!$B$7:$B$1000,Settings!$B$17)+IF(Settings!$B$19="",0,SUMIFS(INDEX('Oxford Economics'!$A$7:$AZ$1000,0,IFERROR(MATCH(Y$5,'Oxford Economics'!$A$6:$AZ$6,0),MATCH(Y$5&amp;"",'Oxford Economics'!$A$6:$AZ$6,0))),'Oxford Economics'!$A$7:$A$1000,$C34,'Oxford Economics'!$B$7:$B$1000,Settings!$B$19)))),""))</f>
        <v>9621.21</v>
      </c>
      <c r="Z34" s="38" t="n">
        <f aca="false">IF($A34="","",IFERROR(1/(1/IF($B34="Residential",SUMIFS(INDEX('Oxford Economics'!$A$7:$AZ$1000,0,IFERROR(MATCH(Z$5,'Oxford Economics'!$A$6:$AZ$6,0),MATCH(Z$5&amp;"",'Oxford Economics'!$A$6:$AZ$6,0))),'Oxford Economics'!$A$7:$A$1000,$C34,'Oxford Economics'!$B$7:$B$1000,Settings!$B$13)-SUMIFS(INDEX('Oxford Economics'!$A$7:$AZ$1000,0,IFERROR(MATCH(Z$5,'Oxford Economics'!$A$6:$AZ$6,0),MATCH(Z$5&amp;"",'Oxford Economics'!$A$6:$AZ$6,0))),'Oxford Economics'!$A$7:$A$1000,$C34,'Oxford Economics'!$B$7:$B$1000,Settings!$B$15),SUMIFS(INDEX('Oxford Economics'!$A$7:$AZ$1000,0,IFERROR(MATCH(Z$5,'Oxford Economics'!$A$6:$AZ$6,0),MATCH(Z$5&amp;"",'Oxford Economics'!$A$6:$AZ$6,0))),'Oxford Economics'!$A$7:$A$1000,$C34,'Oxford Economics'!$B$7:$B$1000,Settings!$B$15)+SUMIFS(INDEX('Oxford Economics'!$A$7:$AZ$1000,0,IFERROR(MATCH(Z$5,'Oxford Economics'!$A$6:$AZ$6,0),MATCH(Z$5&amp;"",'Oxford Economics'!$A$6:$AZ$6,0))),'Oxford Economics'!$A$7:$A$1000,$C34,'Oxford Economics'!$B$7:$B$1000,Settings!$B$17)+IF(Settings!$B$19="",0,SUMIFS(INDEX('Oxford Economics'!$A$7:$AZ$1000,0,IFERROR(MATCH(Z$5,'Oxford Economics'!$A$6:$AZ$6,0),MATCH(Z$5&amp;"",'Oxford Economics'!$A$6:$AZ$6,0))),'Oxford Economics'!$A$7:$A$1000,$C34,'Oxford Economics'!$B$7:$B$1000,Settings!$B$19)))),""))</f>
        <v>10026.21</v>
      </c>
      <c r="AA34" s="38" t="n">
        <f aca="false">IF($A34="","",IFERROR(1/(1/IF($B34="Residential",SUMIFS(INDEX('Oxford Economics'!$A$7:$AZ$1000,0,IFERROR(MATCH(AA$5,'Oxford Economics'!$A$6:$AZ$6,0),MATCH(AA$5&amp;"",'Oxford Economics'!$A$6:$AZ$6,0))),'Oxford Economics'!$A$7:$A$1000,$C34,'Oxford Economics'!$B$7:$B$1000,Settings!$B$13)-SUMIFS(INDEX('Oxford Economics'!$A$7:$AZ$1000,0,IFERROR(MATCH(AA$5,'Oxford Economics'!$A$6:$AZ$6,0),MATCH(AA$5&amp;"",'Oxford Economics'!$A$6:$AZ$6,0))),'Oxford Economics'!$A$7:$A$1000,$C34,'Oxford Economics'!$B$7:$B$1000,Settings!$B$15),SUMIFS(INDEX('Oxford Economics'!$A$7:$AZ$1000,0,IFERROR(MATCH(AA$5,'Oxford Economics'!$A$6:$AZ$6,0),MATCH(AA$5&amp;"",'Oxford Economics'!$A$6:$AZ$6,0))),'Oxford Economics'!$A$7:$A$1000,$C34,'Oxford Economics'!$B$7:$B$1000,Settings!$B$15)+SUMIFS(INDEX('Oxford Economics'!$A$7:$AZ$1000,0,IFERROR(MATCH(AA$5,'Oxford Economics'!$A$6:$AZ$6,0),MATCH(AA$5&amp;"",'Oxford Economics'!$A$6:$AZ$6,0))),'Oxford Economics'!$A$7:$A$1000,$C34,'Oxford Economics'!$B$7:$B$1000,Settings!$B$17)+IF(Settings!$B$19="",0,SUMIFS(INDEX('Oxford Economics'!$A$7:$AZ$1000,0,IFERROR(MATCH(AA$5,'Oxford Economics'!$A$6:$AZ$6,0),MATCH(AA$5&amp;"",'Oxford Economics'!$A$6:$AZ$6,0))),'Oxford Economics'!$A$7:$A$1000,$C34,'Oxford Economics'!$B$7:$B$1000,Settings!$B$19)))),""))</f>
        <v>10197.62</v>
      </c>
      <c r="AB34" s="38" t="n">
        <f aca="false">IF($A34="","",IFERROR(1/(1/IF($B34="Residential",SUMIFS(INDEX('Oxford Economics'!$A$7:$AZ$1000,0,IFERROR(MATCH(AB$5,'Oxford Economics'!$A$6:$AZ$6,0),MATCH(AB$5&amp;"",'Oxford Economics'!$A$6:$AZ$6,0))),'Oxford Economics'!$A$7:$A$1000,$C34,'Oxford Economics'!$B$7:$B$1000,Settings!$B$12)-SUMIFS(INDEX('Oxford Economics'!$A$7:$AZ$1000,0,IFERROR(MATCH(AB$5,'Oxford Economics'!$A$6:$AZ$6,0),MATCH(AB$5&amp;"",'Oxford Economics'!$A$6:$AZ$6,0))),'Oxford Economics'!$A$7:$A$1000,$C34,'Oxford Economics'!$B$7:$B$1000,Settings!$B$14),SUMIFS(INDEX('Oxford Economics'!$A$7:$AZ$1000,0,IFERROR(MATCH(AB$5,'Oxford Economics'!$A$6:$AZ$6,0),MATCH(AB$5&amp;"",'Oxford Economics'!$A$6:$AZ$6,0))),'Oxford Economics'!$A$7:$A$1000,$C34,'Oxford Economics'!$B$7:$B$1000,Settings!$B$14)+SUMIFS(INDEX('Oxford Economics'!$A$7:$AZ$1000,0,IFERROR(MATCH(AB$5,'Oxford Economics'!$A$6:$AZ$6,0),MATCH(AB$5&amp;"",'Oxford Economics'!$A$6:$AZ$6,0))),'Oxford Economics'!$A$7:$A$1000,$C34,'Oxford Economics'!$B$7:$B$1000,Settings!$B$16)+IF(Settings!$B$18="",0,SUMIFS(INDEX('Oxford Economics'!$A$7:$AZ$1000,0,IFERROR(MATCH(AB$5,'Oxford Economics'!$A$6:$AZ$6,0),MATCH(AB$5&amp;"",'Oxford Economics'!$A$6:$AZ$6,0))),'Oxford Economics'!$A$7:$A$1000,$C34,'Oxford Economics'!$B$7:$B$1000,Settings!$B$18)))),""))</f>
        <v>10107.12</v>
      </c>
      <c r="AC34" s="38" t="n">
        <f aca="false">IF($A34="","",IFERROR(1/(1/IF($B34="Residential",SUMIFS(INDEX('Oxford Economics'!$A$7:$AZ$1000,0,IFERROR(MATCH(AC$5,'Oxford Economics'!$A$6:$AZ$6,0),MATCH(AC$5&amp;"",'Oxford Economics'!$A$6:$AZ$6,0))),'Oxford Economics'!$A$7:$A$1000,$C34,'Oxford Economics'!$B$7:$B$1000,Settings!$B$12)-SUMIFS(INDEX('Oxford Economics'!$A$7:$AZ$1000,0,IFERROR(MATCH(AC$5,'Oxford Economics'!$A$6:$AZ$6,0),MATCH(AC$5&amp;"",'Oxford Economics'!$A$6:$AZ$6,0))),'Oxford Economics'!$A$7:$A$1000,$C34,'Oxford Economics'!$B$7:$B$1000,Settings!$B$14),SUMIFS(INDEX('Oxford Economics'!$A$7:$AZ$1000,0,IFERROR(MATCH(AC$5,'Oxford Economics'!$A$6:$AZ$6,0),MATCH(AC$5&amp;"",'Oxford Economics'!$A$6:$AZ$6,0))),'Oxford Economics'!$A$7:$A$1000,$C34,'Oxford Economics'!$B$7:$B$1000,Settings!$B$14)+SUMIFS(INDEX('Oxford Economics'!$A$7:$AZ$1000,0,IFERROR(MATCH(AC$5,'Oxford Economics'!$A$6:$AZ$6,0),MATCH(AC$5&amp;"",'Oxford Economics'!$A$6:$AZ$6,0))),'Oxford Economics'!$A$7:$A$1000,$C34,'Oxford Economics'!$B$7:$B$1000,Settings!$B$16)+IF(Settings!$B$18="",0,SUMIFS(INDEX('Oxford Economics'!$A$7:$AZ$1000,0,IFERROR(MATCH(AC$5,'Oxford Economics'!$A$6:$AZ$6,0),MATCH(AC$5&amp;"",'Oxford Economics'!$A$6:$AZ$6,0))),'Oxford Economics'!$A$7:$A$1000,$C34,'Oxford Economics'!$B$7:$B$1000,Settings!$B$18)))),""))</f>
        <v>10364.12</v>
      </c>
      <c r="AD34" s="38" t="n">
        <f aca="false">IF($A34="","",IFERROR(1/(1/IF($B34="Residential",SUMIFS(INDEX('Oxford Economics'!$A$7:$AZ$1000,0,IFERROR(MATCH(AD$5,'Oxford Economics'!$A$6:$AZ$6,0),MATCH(AD$5&amp;"",'Oxford Economics'!$A$6:$AZ$6,0))),'Oxford Economics'!$A$7:$A$1000,$C34,'Oxford Economics'!$B$7:$B$1000,Settings!$B$12)-SUMIFS(INDEX('Oxford Economics'!$A$7:$AZ$1000,0,IFERROR(MATCH(AD$5,'Oxford Economics'!$A$6:$AZ$6,0),MATCH(AD$5&amp;"",'Oxford Economics'!$A$6:$AZ$6,0))),'Oxford Economics'!$A$7:$A$1000,$C34,'Oxford Economics'!$B$7:$B$1000,Settings!$B$14),SUMIFS(INDEX('Oxford Economics'!$A$7:$AZ$1000,0,IFERROR(MATCH(AD$5,'Oxford Economics'!$A$6:$AZ$6,0),MATCH(AD$5&amp;"",'Oxford Economics'!$A$6:$AZ$6,0))),'Oxford Economics'!$A$7:$A$1000,$C34,'Oxford Economics'!$B$7:$B$1000,Settings!$B$14)+SUMIFS(INDEX('Oxford Economics'!$A$7:$AZ$1000,0,IFERROR(MATCH(AD$5,'Oxford Economics'!$A$6:$AZ$6,0),MATCH(AD$5&amp;"",'Oxford Economics'!$A$6:$AZ$6,0))),'Oxford Economics'!$A$7:$A$1000,$C34,'Oxford Economics'!$B$7:$B$1000,Settings!$B$16)+IF(Settings!$B$18="",0,SUMIFS(INDEX('Oxford Economics'!$A$7:$AZ$1000,0,IFERROR(MATCH(AD$5,'Oxford Economics'!$A$6:$AZ$6,0),MATCH(AD$5&amp;"",'Oxford Economics'!$A$6:$AZ$6,0))),'Oxford Economics'!$A$7:$A$1000,$C34,'Oxford Economics'!$B$7:$B$1000,Settings!$B$18)))),""))</f>
        <v>10561.33</v>
      </c>
      <c r="AE34" s="38" t="n">
        <f aca="false">IF($A34="","",IFERROR(1/(1/IF($B34="Residential",SUMIFS(INDEX('Oxford Economics'!$A$7:$AZ$1000,0,IFERROR(MATCH(AE$5,'Oxford Economics'!$A$6:$AZ$6,0),MATCH(AE$5&amp;"",'Oxford Economics'!$A$6:$AZ$6,0))),'Oxford Economics'!$A$7:$A$1000,$C34,'Oxford Economics'!$B$7:$B$1000,Settings!$B$12)-SUMIFS(INDEX('Oxford Economics'!$A$7:$AZ$1000,0,IFERROR(MATCH(AE$5,'Oxford Economics'!$A$6:$AZ$6,0),MATCH(AE$5&amp;"",'Oxford Economics'!$A$6:$AZ$6,0))),'Oxford Economics'!$A$7:$A$1000,$C34,'Oxford Economics'!$B$7:$B$1000,Settings!$B$14),SUMIFS(INDEX('Oxford Economics'!$A$7:$AZ$1000,0,IFERROR(MATCH(AE$5,'Oxford Economics'!$A$6:$AZ$6,0),MATCH(AE$5&amp;"",'Oxford Economics'!$A$6:$AZ$6,0))),'Oxford Economics'!$A$7:$A$1000,$C34,'Oxford Economics'!$B$7:$B$1000,Settings!$B$14)+SUMIFS(INDEX('Oxford Economics'!$A$7:$AZ$1000,0,IFERROR(MATCH(AE$5,'Oxford Economics'!$A$6:$AZ$6,0),MATCH(AE$5&amp;"",'Oxford Economics'!$A$6:$AZ$6,0))),'Oxford Economics'!$A$7:$A$1000,$C34,'Oxford Economics'!$B$7:$B$1000,Settings!$B$16)+IF(Settings!$B$18="",0,SUMIFS(INDEX('Oxford Economics'!$A$7:$AZ$1000,0,IFERROR(MATCH(AE$5,'Oxford Economics'!$A$6:$AZ$6,0),MATCH(AE$5&amp;"",'Oxford Economics'!$A$6:$AZ$6,0))),'Oxford Economics'!$A$7:$A$1000,$C34,'Oxford Economics'!$B$7:$B$1000,Settings!$B$18)))),""))</f>
        <v>9314.91</v>
      </c>
      <c r="AF34" s="38" t="n">
        <f aca="false">IF($A34="","",IFERROR(1/(1/IF($B34="Residential",SUMIFS(INDEX('Oxford Economics'!$A$7:$AZ$1000,0,IFERROR(MATCH(AF$5,'Oxford Economics'!$A$6:$AZ$6,0),MATCH(AF$5&amp;"",'Oxford Economics'!$A$6:$AZ$6,0))),'Oxford Economics'!$A$7:$A$1000,$C34,'Oxford Economics'!$B$7:$B$1000,Settings!$B$12)-SUMIFS(INDEX('Oxford Economics'!$A$7:$AZ$1000,0,IFERROR(MATCH(AF$5,'Oxford Economics'!$A$6:$AZ$6,0),MATCH(AF$5&amp;"",'Oxford Economics'!$A$6:$AZ$6,0))),'Oxford Economics'!$A$7:$A$1000,$C34,'Oxford Economics'!$B$7:$B$1000,Settings!$B$14),SUMIFS(INDEX('Oxford Economics'!$A$7:$AZ$1000,0,IFERROR(MATCH(AF$5,'Oxford Economics'!$A$6:$AZ$6,0),MATCH(AF$5&amp;"",'Oxford Economics'!$A$6:$AZ$6,0))),'Oxford Economics'!$A$7:$A$1000,$C34,'Oxford Economics'!$B$7:$B$1000,Settings!$B$14)+SUMIFS(INDEX('Oxford Economics'!$A$7:$AZ$1000,0,IFERROR(MATCH(AF$5,'Oxford Economics'!$A$6:$AZ$6,0),MATCH(AF$5&amp;"",'Oxford Economics'!$A$6:$AZ$6,0))),'Oxford Economics'!$A$7:$A$1000,$C34,'Oxford Economics'!$B$7:$B$1000,Settings!$B$16)+IF(Settings!$B$18="",0,SUMIFS(INDEX('Oxford Economics'!$A$7:$AZ$1000,0,IFERROR(MATCH(AF$5,'Oxford Economics'!$A$6:$AZ$6,0),MATCH(AF$5&amp;"",'Oxford Economics'!$A$6:$AZ$6,0))),'Oxford Economics'!$A$7:$A$1000,$C34,'Oxford Economics'!$B$7:$B$1000,Settings!$B$18)))),""))</f>
        <v>8285.83</v>
      </c>
      <c r="AG34" s="38" t="n">
        <f aca="false">IF($A34="","",IFERROR(1/(1/IF($B34="Residential",SUMIFS(INDEX('Oxford Economics'!$A$7:$AZ$1000,0,IFERROR(MATCH(AG$5,'Oxford Economics'!$A$6:$AZ$6,0),MATCH(AG$5&amp;"",'Oxford Economics'!$A$6:$AZ$6,0))),'Oxford Economics'!$A$7:$A$1000,$C34,'Oxford Economics'!$B$7:$B$1000,Settings!$B$12)-SUMIFS(INDEX('Oxford Economics'!$A$7:$AZ$1000,0,IFERROR(MATCH(AG$5,'Oxford Economics'!$A$6:$AZ$6,0),MATCH(AG$5&amp;"",'Oxford Economics'!$A$6:$AZ$6,0))),'Oxford Economics'!$A$7:$A$1000,$C34,'Oxford Economics'!$B$7:$B$1000,Settings!$B$14),SUMIFS(INDEX('Oxford Economics'!$A$7:$AZ$1000,0,IFERROR(MATCH(AG$5,'Oxford Economics'!$A$6:$AZ$6,0),MATCH(AG$5&amp;"",'Oxford Economics'!$A$6:$AZ$6,0))),'Oxford Economics'!$A$7:$A$1000,$C34,'Oxford Economics'!$B$7:$B$1000,Settings!$B$14)+SUMIFS(INDEX('Oxford Economics'!$A$7:$AZ$1000,0,IFERROR(MATCH(AG$5,'Oxford Economics'!$A$6:$AZ$6,0),MATCH(AG$5&amp;"",'Oxford Economics'!$A$6:$AZ$6,0))),'Oxford Economics'!$A$7:$A$1000,$C34,'Oxford Economics'!$B$7:$B$1000,Settings!$B$16)+IF(Settings!$B$18="",0,SUMIFS(INDEX('Oxford Economics'!$A$7:$AZ$1000,0,IFERROR(MATCH(AG$5,'Oxford Economics'!$A$6:$AZ$6,0),MATCH(AG$5&amp;"",'Oxford Economics'!$A$6:$AZ$6,0))),'Oxford Economics'!$A$7:$A$1000,$C34,'Oxford Economics'!$B$7:$B$1000,Settings!$B$18)))),""))</f>
        <v>7771.94</v>
      </c>
      <c r="AH34" s="38" t="n">
        <f aca="false">IF($A34="","",IFERROR(1/(1/IF($B34="Residential",SUMIFS(INDEX('Oxford Economics'!$A$7:$AZ$1000,0,IFERROR(MATCH(AH$5,'Oxford Economics'!$A$6:$AZ$6,0),MATCH(AH$5&amp;"",'Oxford Economics'!$A$6:$AZ$6,0))),'Oxford Economics'!$A$7:$A$1000,$C34,'Oxford Economics'!$B$7:$B$1000,Settings!$B$12)-SUMIFS(INDEX('Oxford Economics'!$A$7:$AZ$1000,0,IFERROR(MATCH(AH$5,'Oxford Economics'!$A$6:$AZ$6,0),MATCH(AH$5&amp;"",'Oxford Economics'!$A$6:$AZ$6,0))),'Oxford Economics'!$A$7:$A$1000,$C34,'Oxford Economics'!$B$7:$B$1000,Settings!$B$14),SUMIFS(INDEX('Oxford Economics'!$A$7:$AZ$1000,0,IFERROR(MATCH(AH$5,'Oxford Economics'!$A$6:$AZ$6,0),MATCH(AH$5&amp;"",'Oxford Economics'!$A$6:$AZ$6,0))),'Oxford Economics'!$A$7:$A$1000,$C34,'Oxford Economics'!$B$7:$B$1000,Settings!$B$14)+SUMIFS(INDEX('Oxford Economics'!$A$7:$AZ$1000,0,IFERROR(MATCH(AH$5,'Oxford Economics'!$A$6:$AZ$6,0),MATCH(AH$5&amp;"",'Oxford Economics'!$A$6:$AZ$6,0))),'Oxford Economics'!$A$7:$A$1000,$C34,'Oxford Economics'!$B$7:$B$1000,Settings!$B$16)+IF(Settings!$B$18="",0,SUMIFS(INDEX('Oxford Economics'!$A$7:$AZ$1000,0,IFERROR(MATCH(AH$5,'Oxford Economics'!$A$6:$AZ$6,0),MATCH(AH$5&amp;"",'Oxford Economics'!$A$6:$AZ$6,0))),'Oxford Economics'!$A$7:$A$1000,$C34,'Oxford Economics'!$B$7:$B$1000,Settings!$B$18)))),""))</f>
        <v>7880.6</v>
      </c>
      <c r="AI34" s="38" t="n">
        <f aca="false">IF($A34="","",IFERROR(1/(1/IF($B34="Residential",SUMIFS(INDEX('Oxford Economics'!$A$7:$AZ$1000,0,IFERROR(MATCH(AI$5,'Oxford Economics'!$A$6:$AZ$6,0),MATCH(AI$5&amp;"",'Oxford Economics'!$A$6:$AZ$6,0))),'Oxford Economics'!$A$7:$A$1000,$C34,'Oxford Economics'!$B$7:$B$1000,Settings!$B$12)-SUMIFS(INDEX('Oxford Economics'!$A$7:$AZ$1000,0,IFERROR(MATCH(AI$5,'Oxford Economics'!$A$6:$AZ$6,0),MATCH(AI$5&amp;"",'Oxford Economics'!$A$6:$AZ$6,0))),'Oxford Economics'!$A$7:$A$1000,$C34,'Oxford Economics'!$B$7:$B$1000,Settings!$B$14),SUMIFS(INDEX('Oxford Economics'!$A$7:$AZ$1000,0,IFERROR(MATCH(AI$5,'Oxford Economics'!$A$6:$AZ$6,0),MATCH(AI$5&amp;"",'Oxford Economics'!$A$6:$AZ$6,0))),'Oxford Economics'!$A$7:$A$1000,$C34,'Oxford Economics'!$B$7:$B$1000,Settings!$B$14)+SUMIFS(INDEX('Oxford Economics'!$A$7:$AZ$1000,0,IFERROR(MATCH(AI$5,'Oxford Economics'!$A$6:$AZ$6,0),MATCH(AI$5&amp;"",'Oxford Economics'!$A$6:$AZ$6,0))),'Oxford Economics'!$A$7:$A$1000,$C34,'Oxford Economics'!$B$7:$B$1000,Settings!$B$16)+IF(Settings!$B$18="",0,SUMIFS(INDEX('Oxford Economics'!$A$7:$AZ$1000,0,IFERROR(MATCH(AI$5,'Oxford Economics'!$A$6:$AZ$6,0),MATCH(AI$5&amp;"",'Oxford Economics'!$A$6:$AZ$6,0))),'Oxford Economics'!$A$7:$A$1000,$C34,'Oxford Economics'!$B$7:$B$1000,Settings!$B$18)))),""))</f>
        <v>8068.47</v>
      </c>
      <c r="AJ34" s="38" t="n">
        <f aca="false">IF($A34="","",IFERROR(1/(1/IF($B34="Residential",SUMIFS(INDEX('Oxford Economics'!$A$7:$AZ$1000,0,IFERROR(MATCH(AJ$5,'Oxford Economics'!$A$6:$AZ$6,0),MATCH(AJ$5&amp;"",'Oxford Economics'!$A$6:$AZ$6,0))),'Oxford Economics'!$A$7:$A$1000,$C34,'Oxford Economics'!$B$7:$B$1000,Settings!$B$12)-SUMIFS(INDEX('Oxford Economics'!$A$7:$AZ$1000,0,IFERROR(MATCH(AJ$5,'Oxford Economics'!$A$6:$AZ$6,0),MATCH(AJ$5&amp;"",'Oxford Economics'!$A$6:$AZ$6,0))),'Oxford Economics'!$A$7:$A$1000,$C34,'Oxford Economics'!$B$7:$B$1000,Settings!$B$14),SUMIFS(INDEX('Oxford Economics'!$A$7:$AZ$1000,0,IFERROR(MATCH(AJ$5,'Oxford Economics'!$A$6:$AZ$6,0),MATCH(AJ$5&amp;"",'Oxford Economics'!$A$6:$AZ$6,0))),'Oxford Economics'!$A$7:$A$1000,$C34,'Oxford Economics'!$B$7:$B$1000,Settings!$B$14)+SUMIFS(INDEX('Oxford Economics'!$A$7:$AZ$1000,0,IFERROR(MATCH(AJ$5,'Oxford Economics'!$A$6:$AZ$6,0),MATCH(AJ$5&amp;"",'Oxford Economics'!$A$6:$AZ$6,0))),'Oxford Economics'!$A$7:$A$1000,$C34,'Oxford Economics'!$B$7:$B$1000,Settings!$B$16)+IF(Settings!$B$18="",0,SUMIFS(INDEX('Oxford Economics'!$A$7:$AZ$1000,0,IFERROR(MATCH(AJ$5,'Oxford Economics'!$A$6:$AZ$6,0),MATCH(AJ$5&amp;"",'Oxford Economics'!$A$6:$AZ$6,0))),'Oxford Economics'!$A$7:$A$1000,$C34,'Oxford Economics'!$B$7:$B$1000,Settings!$B$18)))),""))</f>
        <v>8194.02</v>
      </c>
      <c r="AK34" s="38" t="n">
        <f aca="false">IF($A34="","",IFERROR(1/(1/IF($B34="Residential",SUMIFS(INDEX('Oxford Economics'!$A$7:$AZ$1000,0,IFERROR(MATCH(AK$5,'Oxford Economics'!$A$6:$AZ$6,0),MATCH(AK$5&amp;"",'Oxford Economics'!$A$6:$AZ$6,0))),'Oxford Economics'!$A$7:$A$1000,$C34,'Oxford Economics'!$B$7:$B$1000,Settings!$B$12)-SUMIFS(INDEX('Oxford Economics'!$A$7:$AZ$1000,0,IFERROR(MATCH(AK$5,'Oxford Economics'!$A$6:$AZ$6,0),MATCH(AK$5&amp;"",'Oxford Economics'!$A$6:$AZ$6,0))),'Oxford Economics'!$A$7:$A$1000,$C34,'Oxford Economics'!$B$7:$B$1000,Settings!$B$14),SUMIFS(INDEX('Oxford Economics'!$A$7:$AZ$1000,0,IFERROR(MATCH(AK$5,'Oxford Economics'!$A$6:$AZ$6,0),MATCH(AK$5&amp;"",'Oxford Economics'!$A$6:$AZ$6,0))),'Oxford Economics'!$A$7:$A$1000,$C34,'Oxford Economics'!$B$7:$B$1000,Settings!$B$14)+SUMIFS(INDEX('Oxford Economics'!$A$7:$AZ$1000,0,IFERROR(MATCH(AK$5,'Oxford Economics'!$A$6:$AZ$6,0),MATCH(AK$5&amp;"",'Oxford Economics'!$A$6:$AZ$6,0))),'Oxford Economics'!$A$7:$A$1000,$C34,'Oxford Economics'!$B$7:$B$1000,Settings!$B$16)+IF(Settings!$B$18="",0,SUMIFS(INDEX('Oxford Economics'!$A$7:$AZ$1000,0,IFERROR(MATCH(AK$5,'Oxford Economics'!$A$6:$AZ$6,0),MATCH(AK$5&amp;"",'Oxford Economics'!$A$6:$AZ$6,0))),'Oxford Economics'!$A$7:$A$1000,$C34,'Oxford Economics'!$B$7:$B$1000,Settings!$B$18)))),""))</f>
        <v>8295.16</v>
      </c>
      <c r="AL34" s="38" t="n">
        <f aca="false">IF($A34="","",IFERROR(1/(1/IF($B34="Residential",SUMIFS(INDEX('Oxford Economics'!$A$7:$AZ$1000,0,IFERROR(MATCH(AL$5,'Oxford Economics'!$A$6:$AZ$6,0),MATCH(AL$5&amp;"",'Oxford Economics'!$A$6:$AZ$6,0))),'Oxford Economics'!$A$7:$A$1000,$C34,'Oxford Economics'!$B$7:$B$1000,Settings!$B$12)-SUMIFS(INDEX('Oxford Economics'!$A$7:$AZ$1000,0,IFERROR(MATCH(AL$5,'Oxford Economics'!$A$6:$AZ$6,0),MATCH(AL$5&amp;"",'Oxford Economics'!$A$6:$AZ$6,0))),'Oxford Economics'!$A$7:$A$1000,$C34,'Oxford Economics'!$B$7:$B$1000,Settings!$B$14),SUMIFS(INDEX('Oxford Economics'!$A$7:$AZ$1000,0,IFERROR(MATCH(AL$5,'Oxford Economics'!$A$6:$AZ$6,0),MATCH(AL$5&amp;"",'Oxford Economics'!$A$6:$AZ$6,0))),'Oxford Economics'!$A$7:$A$1000,$C34,'Oxford Economics'!$B$7:$B$1000,Settings!$B$14)+SUMIFS(INDEX('Oxford Economics'!$A$7:$AZ$1000,0,IFERROR(MATCH(AL$5,'Oxford Economics'!$A$6:$AZ$6,0),MATCH(AL$5&amp;"",'Oxford Economics'!$A$6:$AZ$6,0))),'Oxford Economics'!$A$7:$A$1000,$C34,'Oxford Economics'!$B$7:$B$1000,Settings!$B$16)+IF(Settings!$B$18="",0,SUMIFS(INDEX('Oxford Economics'!$A$7:$AZ$1000,0,IFERROR(MATCH(AL$5,'Oxford Economics'!$A$6:$AZ$6,0),MATCH(AL$5&amp;"",'Oxford Economics'!$A$6:$AZ$6,0))),'Oxford Economics'!$A$7:$A$1000,$C34,'Oxford Economics'!$B$7:$B$1000,Settings!$B$18)))),""))</f>
        <v>8449</v>
      </c>
      <c r="AM34" s="38" t="n">
        <f aca="false">IF($A34="","",IFERROR(1/(1/IF($B34="Residential",SUMIFS(INDEX('Oxford Economics'!$A$7:$AZ$1000,0,IFERROR(MATCH(AM$5,'Oxford Economics'!$A$6:$AZ$6,0),MATCH(AM$5&amp;"",'Oxford Economics'!$A$6:$AZ$6,0))),'Oxford Economics'!$A$7:$A$1000,$C34,'Oxford Economics'!$B$7:$B$1000,Settings!$B$12)-SUMIFS(INDEX('Oxford Economics'!$A$7:$AZ$1000,0,IFERROR(MATCH(AM$5,'Oxford Economics'!$A$6:$AZ$6,0),MATCH(AM$5&amp;"",'Oxford Economics'!$A$6:$AZ$6,0))),'Oxford Economics'!$A$7:$A$1000,$C34,'Oxford Economics'!$B$7:$B$1000,Settings!$B$14),SUMIFS(INDEX('Oxford Economics'!$A$7:$AZ$1000,0,IFERROR(MATCH(AM$5,'Oxford Economics'!$A$6:$AZ$6,0),MATCH(AM$5&amp;"",'Oxford Economics'!$A$6:$AZ$6,0))),'Oxford Economics'!$A$7:$A$1000,$C34,'Oxford Economics'!$B$7:$B$1000,Settings!$B$14)+SUMIFS(INDEX('Oxford Economics'!$A$7:$AZ$1000,0,IFERROR(MATCH(AM$5,'Oxford Economics'!$A$6:$AZ$6,0),MATCH(AM$5&amp;"",'Oxford Economics'!$A$6:$AZ$6,0))),'Oxford Economics'!$A$7:$A$1000,$C34,'Oxford Economics'!$B$7:$B$1000,Settings!$B$16)+IF(Settings!$B$18="",0,SUMIFS(INDEX('Oxford Economics'!$A$7:$AZ$1000,0,IFERROR(MATCH(AM$5,'Oxford Economics'!$A$6:$AZ$6,0),MATCH(AM$5&amp;"",'Oxford Economics'!$A$6:$AZ$6,0))),'Oxford Economics'!$A$7:$A$1000,$C34,'Oxford Economics'!$B$7:$B$1000,Settings!$B$18)))),""))</f>
        <v>8622.86</v>
      </c>
    </row>
    <row r="35" customFormat="false" ht="15" hidden="false" customHeight="false" outlineLevel="0" collapsed="false">
      <c r="A35" s="37" t="str">
        <f aca="false">IF('Raw data'!$A35="","",'Raw data'!$A35)</f>
        <v>Sweden</v>
      </c>
      <c r="B35" s="37" t="str">
        <f aca="false">IF($A35="","",'Raw data'!$C35)</f>
        <v>Commercial</v>
      </c>
      <c r="C35" s="37" t="str">
        <f aca="false">IF($A35="","",IF('Raw data'!$E35="",$A35,'Raw data'!$E35))</f>
        <v>Sweden</v>
      </c>
      <c r="D35" s="38" t="n">
        <f aca="false">IF($A35="","",IF(AND(ISNUMBER(P35),ISNUMBER(AB35)),P35+AB35,""))</f>
        <v>17278.38</v>
      </c>
      <c r="E35" s="38" t="n">
        <f aca="false">IF($A35="","",IF(AND(ISNUMBER(Q35),ISNUMBER(AC35)),Q35+AC35,""))</f>
        <v>17683.56</v>
      </c>
      <c r="F35" s="38" t="n">
        <f aca="false">IF($A35="","",IF(AND(ISNUMBER(R35),ISNUMBER(AD35)),R35+AD35,""))</f>
        <v>18076.28</v>
      </c>
      <c r="G35" s="38" t="n">
        <f aca="false">IF($A35="","",IF(AND(ISNUMBER(S35),ISNUMBER(AE35)),S35+AE35,""))</f>
        <v>17772.72</v>
      </c>
      <c r="H35" s="38" t="n">
        <f aca="false">IF($A35="","",IF(AND(ISNUMBER(T35),ISNUMBER(AF35)),T35+AF35,""))</f>
        <v>17652.06</v>
      </c>
      <c r="I35" s="38" t="n">
        <f aca="false">IF($A35="","",IF(AND(ISNUMBER(U35),ISNUMBER(AG35)),U35+AG35,""))</f>
        <v>16933.1</v>
      </c>
      <c r="J35" s="38" t="n">
        <f aca="false">IF($A35="","",IF(AND(ISNUMBER(V35),ISNUMBER(AH35)),V35+AH35,""))</f>
        <v>16822.53</v>
      </c>
      <c r="K35" s="38" t="n">
        <f aca="false">IF($A35="","",IF(AND(ISNUMBER(W35),ISNUMBER(AI35)),W35+AI35,""))</f>
        <v>17106.48</v>
      </c>
      <c r="L35" s="38" t="n">
        <f aca="false">IF($A35="","",IF(AND(ISNUMBER(X35),ISNUMBER(AJ35)),X35+AJ35,""))</f>
        <v>17497.61</v>
      </c>
      <c r="M35" s="38" t="n">
        <f aca="false">IF($A35="","",IF(AND(ISNUMBER(Y35),ISNUMBER(AK35)),Y35+AK35,""))</f>
        <v>17916.37</v>
      </c>
      <c r="N35" s="38" t="n">
        <f aca="false">IF($A35="","",IF(AND(ISNUMBER(Z35),ISNUMBER(AL35)),Z35+AL35,""))</f>
        <v>18475.21</v>
      </c>
      <c r="O35" s="38" t="n">
        <f aca="false">IF($A35="","",IF(AND(ISNUMBER(AA35),ISNUMBER(AM35)),AA35+AM35,""))</f>
        <v>18820.48</v>
      </c>
      <c r="P35" s="38" t="n">
        <f aca="false">IF($A35="","",IFERROR(1/(1/IF($B35="Residential",SUMIFS(INDEX('Oxford Economics'!$A$7:$AZ$1000,0,IFERROR(MATCH(P$5,'Oxford Economics'!$A$6:$AZ$6,0),MATCH(P$5&amp;"",'Oxford Economics'!$A$6:$AZ$6,0))),'Oxford Economics'!$A$7:$A$1000,$C35,'Oxford Economics'!$B$7:$B$1000,Settings!$B$13)-SUMIFS(INDEX('Oxford Economics'!$A$7:$AZ$1000,0,IFERROR(MATCH(P$5,'Oxford Economics'!$A$6:$AZ$6,0),MATCH(P$5&amp;"",'Oxford Economics'!$A$6:$AZ$6,0))),'Oxford Economics'!$A$7:$A$1000,$C35,'Oxford Economics'!$B$7:$B$1000,Settings!$B$15),SUMIFS(INDEX('Oxford Economics'!$A$7:$AZ$1000,0,IFERROR(MATCH(P$5,'Oxford Economics'!$A$6:$AZ$6,0),MATCH(P$5&amp;"",'Oxford Economics'!$A$6:$AZ$6,0))),'Oxford Economics'!$A$7:$A$1000,$C35,'Oxford Economics'!$B$7:$B$1000,Settings!$B$15)+SUMIFS(INDEX('Oxford Economics'!$A$7:$AZ$1000,0,IFERROR(MATCH(P$5,'Oxford Economics'!$A$6:$AZ$6,0),MATCH(P$5&amp;"",'Oxford Economics'!$A$6:$AZ$6,0))),'Oxford Economics'!$A$7:$A$1000,$C35,'Oxford Economics'!$B$7:$B$1000,Settings!$B$17)+IF(Settings!$B$19="",0,SUMIFS(INDEX('Oxford Economics'!$A$7:$AZ$1000,0,IFERROR(MATCH(P$5,'Oxford Economics'!$A$6:$AZ$6,0),MATCH(P$5&amp;"",'Oxford Economics'!$A$6:$AZ$6,0))),'Oxford Economics'!$A$7:$A$1000,$C35,'Oxford Economics'!$B$7:$B$1000,Settings!$B$19)))),""))</f>
        <v>7171.26</v>
      </c>
      <c r="Q35" s="38" t="n">
        <f aca="false">IF($A35="","",IFERROR(1/(1/IF($B35="Residential",SUMIFS(INDEX('Oxford Economics'!$A$7:$AZ$1000,0,IFERROR(MATCH(Q$5,'Oxford Economics'!$A$6:$AZ$6,0),MATCH(Q$5&amp;"",'Oxford Economics'!$A$6:$AZ$6,0))),'Oxford Economics'!$A$7:$A$1000,$C35,'Oxford Economics'!$B$7:$B$1000,Settings!$B$13)-SUMIFS(INDEX('Oxford Economics'!$A$7:$AZ$1000,0,IFERROR(MATCH(Q$5,'Oxford Economics'!$A$6:$AZ$6,0),MATCH(Q$5&amp;"",'Oxford Economics'!$A$6:$AZ$6,0))),'Oxford Economics'!$A$7:$A$1000,$C35,'Oxford Economics'!$B$7:$B$1000,Settings!$B$15),SUMIFS(INDEX('Oxford Economics'!$A$7:$AZ$1000,0,IFERROR(MATCH(Q$5,'Oxford Economics'!$A$6:$AZ$6,0),MATCH(Q$5&amp;"",'Oxford Economics'!$A$6:$AZ$6,0))),'Oxford Economics'!$A$7:$A$1000,$C35,'Oxford Economics'!$B$7:$B$1000,Settings!$B$15)+SUMIFS(INDEX('Oxford Economics'!$A$7:$AZ$1000,0,IFERROR(MATCH(Q$5,'Oxford Economics'!$A$6:$AZ$6,0),MATCH(Q$5&amp;"",'Oxford Economics'!$A$6:$AZ$6,0))),'Oxford Economics'!$A$7:$A$1000,$C35,'Oxford Economics'!$B$7:$B$1000,Settings!$B$17)+IF(Settings!$B$19="",0,SUMIFS(INDEX('Oxford Economics'!$A$7:$AZ$1000,0,IFERROR(MATCH(Q$5,'Oxford Economics'!$A$6:$AZ$6,0),MATCH(Q$5&amp;"",'Oxford Economics'!$A$6:$AZ$6,0))),'Oxford Economics'!$A$7:$A$1000,$C35,'Oxford Economics'!$B$7:$B$1000,Settings!$B$19)))),""))</f>
        <v>7319.44</v>
      </c>
      <c r="R35" s="38" t="n">
        <f aca="false">IF($A35="","",IFERROR(1/(1/IF($B35="Residential",SUMIFS(INDEX('Oxford Economics'!$A$7:$AZ$1000,0,IFERROR(MATCH(R$5,'Oxford Economics'!$A$6:$AZ$6,0),MATCH(R$5&amp;"",'Oxford Economics'!$A$6:$AZ$6,0))),'Oxford Economics'!$A$7:$A$1000,$C35,'Oxford Economics'!$B$7:$B$1000,Settings!$B$13)-SUMIFS(INDEX('Oxford Economics'!$A$7:$AZ$1000,0,IFERROR(MATCH(R$5,'Oxford Economics'!$A$6:$AZ$6,0),MATCH(R$5&amp;"",'Oxford Economics'!$A$6:$AZ$6,0))),'Oxford Economics'!$A$7:$A$1000,$C35,'Oxford Economics'!$B$7:$B$1000,Settings!$B$15),SUMIFS(INDEX('Oxford Economics'!$A$7:$AZ$1000,0,IFERROR(MATCH(R$5,'Oxford Economics'!$A$6:$AZ$6,0),MATCH(R$5&amp;"",'Oxford Economics'!$A$6:$AZ$6,0))),'Oxford Economics'!$A$7:$A$1000,$C35,'Oxford Economics'!$B$7:$B$1000,Settings!$B$15)+SUMIFS(INDEX('Oxford Economics'!$A$7:$AZ$1000,0,IFERROR(MATCH(R$5,'Oxford Economics'!$A$6:$AZ$6,0),MATCH(R$5&amp;"",'Oxford Economics'!$A$6:$AZ$6,0))),'Oxford Economics'!$A$7:$A$1000,$C35,'Oxford Economics'!$B$7:$B$1000,Settings!$B$17)+IF(Settings!$B$19="",0,SUMIFS(INDEX('Oxford Economics'!$A$7:$AZ$1000,0,IFERROR(MATCH(R$5,'Oxford Economics'!$A$6:$AZ$6,0),MATCH(R$5&amp;"",'Oxford Economics'!$A$6:$AZ$6,0))),'Oxford Economics'!$A$7:$A$1000,$C35,'Oxford Economics'!$B$7:$B$1000,Settings!$B$19)))),""))</f>
        <v>7514.95</v>
      </c>
      <c r="S35" s="38" t="n">
        <f aca="false">IF($A35="","",IFERROR(1/(1/IF($B35="Residential",SUMIFS(INDEX('Oxford Economics'!$A$7:$AZ$1000,0,IFERROR(MATCH(S$5,'Oxford Economics'!$A$6:$AZ$6,0),MATCH(S$5&amp;"",'Oxford Economics'!$A$6:$AZ$6,0))),'Oxford Economics'!$A$7:$A$1000,$C35,'Oxford Economics'!$B$7:$B$1000,Settings!$B$13)-SUMIFS(INDEX('Oxford Economics'!$A$7:$AZ$1000,0,IFERROR(MATCH(S$5,'Oxford Economics'!$A$6:$AZ$6,0),MATCH(S$5&amp;"",'Oxford Economics'!$A$6:$AZ$6,0))),'Oxford Economics'!$A$7:$A$1000,$C35,'Oxford Economics'!$B$7:$B$1000,Settings!$B$15),SUMIFS(INDEX('Oxford Economics'!$A$7:$AZ$1000,0,IFERROR(MATCH(S$5,'Oxford Economics'!$A$6:$AZ$6,0),MATCH(S$5&amp;"",'Oxford Economics'!$A$6:$AZ$6,0))),'Oxford Economics'!$A$7:$A$1000,$C35,'Oxford Economics'!$B$7:$B$1000,Settings!$B$15)+SUMIFS(INDEX('Oxford Economics'!$A$7:$AZ$1000,0,IFERROR(MATCH(S$5,'Oxford Economics'!$A$6:$AZ$6,0),MATCH(S$5&amp;"",'Oxford Economics'!$A$6:$AZ$6,0))),'Oxford Economics'!$A$7:$A$1000,$C35,'Oxford Economics'!$B$7:$B$1000,Settings!$B$17)+IF(Settings!$B$19="",0,SUMIFS(INDEX('Oxford Economics'!$A$7:$AZ$1000,0,IFERROR(MATCH(S$5,'Oxford Economics'!$A$6:$AZ$6,0),MATCH(S$5&amp;"",'Oxford Economics'!$A$6:$AZ$6,0))),'Oxford Economics'!$A$7:$A$1000,$C35,'Oxford Economics'!$B$7:$B$1000,Settings!$B$19)))),""))</f>
        <v>8457.81</v>
      </c>
      <c r="T35" s="38" t="n">
        <f aca="false">IF($A35="","",IFERROR(1/(1/IF($B35="Residential",SUMIFS(INDEX('Oxford Economics'!$A$7:$AZ$1000,0,IFERROR(MATCH(T$5,'Oxford Economics'!$A$6:$AZ$6,0),MATCH(T$5&amp;"",'Oxford Economics'!$A$6:$AZ$6,0))),'Oxford Economics'!$A$7:$A$1000,$C35,'Oxford Economics'!$B$7:$B$1000,Settings!$B$13)-SUMIFS(INDEX('Oxford Economics'!$A$7:$AZ$1000,0,IFERROR(MATCH(T$5,'Oxford Economics'!$A$6:$AZ$6,0),MATCH(T$5&amp;"",'Oxford Economics'!$A$6:$AZ$6,0))),'Oxford Economics'!$A$7:$A$1000,$C35,'Oxford Economics'!$B$7:$B$1000,Settings!$B$15),SUMIFS(INDEX('Oxford Economics'!$A$7:$AZ$1000,0,IFERROR(MATCH(T$5,'Oxford Economics'!$A$6:$AZ$6,0),MATCH(T$5&amp;"",'Oxford Economics'!$A$6:$AZ$6,0))),'Oxford Economics'!$A$7:$A$1000,$C35,'Oxford Economics'!$B$7:$B$1000,Settings!$B$15)+SUMIFS(INDEX('Oxford Economics'!$A$7:$AZ$1000,0,IFERROR(MATCH(T$5,'Oxford Economics'!$A$6:$AZ$6,0),MATCH(T$5&amp;"",'Oxford Economics'!$A$6:$AZ$6,0))),'Oxford Economics'!$A$7:$A$1000,$C35,'Oxford Economics'!$B$7:$B$1000,Settings!$B$17)+IF(Settings!$B$19="",0,SUMIFS(INDEX('Oxford Economics'!$A$7:$AZ$1000,0,IFERROR(MATCH(T$5,'Oxford Economics'!$A$6:$AZ$6,0),MATCH(T$5&amp;"",'Oxford Economics'!$A$6:$AZ$6,0))),'Oxford Economics'!$A$7:$A$1000,$C35,'Oxford Economics'!$B$7:$B$1000,Settings!$B$19)))),""))</f>
        <v>9366.23</v>
      </c>
      <c r="U35" s="38" t="n">
        <f aca="false">IF($A35="","",IFERROR(1/(1/IF($B35="Residential",SUMIFS(INDEX('Oxford Economics'!$A$7:$AZ$1000,0,IFERROR(MATCH(U$5,'Oxford Economics'!$A$6:$AZ$6,0),MATCH(U$5&amp;"",'Oxford Economics'!$A$6:$AZ$6,0))),'Oxford Economics'!$A$7:$A$1000,$C35,'Oxford Economics'!$B$7:$B$1000,Settings!$B$13)-SUMIFS(INDEX('Oxford Economics'!$A$7:$AZ$1000,0,IFERROR(MATCH(U$5,'Oxford Economics'!$A$6:$AZ$6,0),MATCH(U$5&amp;"",'Oxford Economics'!$A$6:$AZ$6,0))),'Oxford Economics'!$A$7:$A$1000,$C35,'Oxford Economics'!$B$7:$B$1000,Settings!$B$15),SUMIFS(INDEX('Oxford Economics'!$A$7:$AZ$1000,0,IFERROR(MATCH(U$5,'Oxford Economics'!$A$6:$AZ$6,0),MATCH(U$5&amp;"",'Oxford Economics'!$A$6:$AZ$6,0))),'Oxford Economics'!$A$7:$A$1000,$C35,'Oxford Economics'!$B$7:$B$1000,Settings!$B$15)+SUMIFS(INDEX('Oxford Economics'!$A$7:$AZ$1000,0,IFERROR(MATCH(U$5,'Oxford Economics'!$A$6:$AZ$6,0),MATCH(U$5&amp;"",'Oxford Economics'!$A$6:$AZ$6,0))),'Oxford Economics'!$A$7:$A$1000,$C35,'Oxford Economics'!$B$7:$B$1000,Settings!$B$17)+IF(Settings!$B$19="",0,SUMIFS(INDEX('Oxford Economics'!$A$7:$AZ$1000,0,IFERROR(MATCH(U$5,'Oxford Economics'!$A$6:$AZ$6,0),MATCH(U$5&amp;"",'Oxford Economics'!$A$6:$AZ$6,0))),'Oxford Economics'!$A$7:$A$1000,$C35,'Oxford Economics'!$B$7:$B$1000,Settings!$B$19)))),""))</f>
        <v>9161.16</v>
      </c>
      <c r="V35" s="38" t="n">
        <f aca="false">IF($A35="","",IFERROR(1/(1/IF($B35="Residential",SUMIFS(INDEX('Oxford Economics'!$A$7:$AZ$1000,0,IFERROR(MATCH(V$5,'Oxford Economics'!$A$6:$AZ$6,0),MATCH(V$5&amp;"",'Oxford Economics'!$A$6:$AZ$6,0))),'Oxford Economics'!$A$7:$A$1000,$C35,'Oxford Economics'!$B$7:$B$1000,Settings!$B$13)-SUMIFS(INDEX('Oxford Economics'!$A$7:$AZ$1000,0,IFERROR(MATCH(V$5,'Oxford Economics'!$A$6:$AZ$6,0),MATCH(V$5&amp;"",'Oxford Economics'!$A$6:$AZ$6,0))),'Oxford Economics'!$A$7:$A$1000,$C35,'Oxford Economics'!$B$7:$B$1000,Settings!$B$15),SUMIFS(INDEX('Oxford Economics'!$A$7:$AZ$1000,0,IFERROR(MATCH(V$5,'Oxford Economics'!$A$6:$AZ$6,0),MATCH(V$5&amp;"",'Oxford Economics'!$A$6:$AZ$6,0))),'Oxford Economics'!$A$7:$A$1000,$C35,'Oxford Economics'!$B$7:$B$1000,Settings!$B$15)+SUMIFS(INDEX('Oxford Economics'!$A$7:$AZ$1000,0,IFERROR(MATCH(V$5,'Oxford Economics'!$A$6:$AZ$6,0),MATCH(V$5&amp;"",'Oxford Economics'!$A$6:$AZ$6,0))),'Oxford Economics'!$A$7:$A$1000,$C35,'Oxford Economics'!$B$7:$B$1000,Settings!$B$17)+IF(Settings!$B$19="",0,SUMIFS(INDEX('Oxford Economics'!$A$7:$AZ$1000,0,IFERROR(MATCH(V$5,'Oxford Economics'!$A$6:$AZ$6,0),MATCH(V$5&amp;"",'Oxford Economics'!$A$6:$AZ$6,0))),'Oxford Economics'!$A$7:$A$1000,$C35,'Oxford Economics'!$B$7:$B$1000,Settings!$B$19)))),""))</f>
        <v>8941.93</v>
      </c>
      <c r="W35" s="38" t="n">
        <f aca="false">IF($A35="","",IFERROR(1/(1/IF($B35="Residential",SUMIFS(INDEX('Oxford Economics'!$A$7:$AZ$1000,0,IFERROR(MATCH(W$5,'Oxford Economics'!$A$6:$AZ$6,0),MATCH(W$5&amp;"",'Oxford Economics'!$A$6:$AZ$6,0))),'Oxford Economics'!$A$7:$A$1000,$C35,'Oxford Economics'!$B$7:$B$1000,Settings!$B$13)-SUMIFS(INDEX('Oxford Economics'!$A$7:$AZ$1000,0,IFERROR(MATCH(W$5,'Oxford Economics'!$A$6:$AZ$6,0),MATCH(W$5&amp;"",'Oxford Economics'!$A$6:$AZ$6,0))),'Oxford Economics'!$A$7:$A$1000,$C35,'Oxford Economics'!$B$7:$B$1000,Settings!$B$15),SUMIFS(INDEX('Oxford Economics'!$A$7:$AZ$1000,0,IFERROR(MATCH(W$5,'Oxford Economics'!$A$6:$AZ$6,0),MATCH(W$5&amp;"",'Oxford Economics'!$A$6:$AZ$6,0))),'Oxford Economics'!$A$7:$A$1000,$C35,'Oxford Economics'!$B$7:$B$1000,Settings!$B$15)+SUMIFS(INDEX('Oxford Economics'!$A$7:$AZ$1000,0,IFERROR(MATCH(W$5,'Oxford Economics'!$A$6:$AZ$6,0),MATCH(W$5&amp;"",'Oxford Economics'!$A$6:$AZ$6,0))),'Oxford Economics'!$A$7:$A$1000,$C35,'Oxford Economics'!$B$7:$B$1000,Settings!$B$17)+IF(Settings!$B$19="",0,SUMIFS(INDEX('Oxford Economics'!$A$7:$AZ$1000,0,IFERROR(MATCH(W$5,'Oxford Economics'!$A$6:$AZ$6,0),MATCH(W$5&amp;"",'Oxford Economics'!$A$6:$AZ$6,0))),'Oxford Economics'!$A$7:$A$1000,$C35,'Oxford Economics'!$B$7:$B$1000,Settings!$B$19)))),""))</f>
        <v>9038.01</v>
      </c>
      <c r="X35" s="38" t="n">
        <f aca="false">IF($A35="","",IFERROR(1/(1/IF($B35="Residential",SUMIFS(INDEX('Oxford Economics'!$A$7:$AZ$1000,0,IFERROR(MATCH(X$5,'Oxford Economics'!$A$6:$AZ$6,0),MATCH(X$5&amp;"",'Oxford Economics'!$A$6:$AZ$6,0))),'Oxford Economics'!$A$7:$A$1000,$C35,'Oxford Economics'!$B$7:$B$1000,Settings!$B$13)-SUMIFS(INDEX('Oxford Economics'!$A$7:$AZ$1000,0,IFERROR(MATCH(X$5,'Oxford Economics'!$A$6:$AZ$6,0),MATCH(X$5&amp;"",'Oxford Economics'!$A$6:$AZ$6,0))),'Oxford Economics'!$A$7:$A$1000,$C35,'Oxford Economics'!$B$7:$B$1000,Settings!$B$15),SUMIFS(INDEX('Oxford Economics'!$A$7:$AZ$1000,0,IFERROR(MATCH(X$5,'Oxford Economics'!$A$6:$AZ$6,0),MATCH(X$5&amp;"",'Oxford Economics'!$A$6:$AZ$6,0))),'Oxford Economics'!$A$7:$A$1000,$C35,'Oxford Economics'!$B$7:$B$1000,Settings!$B$15)+SUMIFS(INDEX('Oxford Economics'!$A$7:$AZ$1000,0,IFERROR(MATCH(X$5,'Oxford Economics'!$A$6:$AZ$6,0),MATCH(X$5&amp;"",'Oxford Economics'!$A$6:$AZ$6,0))),'Oxford Economics'!$A$7:$A$1000,$C35,'Oxford Economics'!$B$7:$B$1000,Settings!$B$17)+IF(Settings!$B$19="",0,SUMIFS(INDEX('Oxford Economics'!$A$7:$AZ$1000,0,IFERROR(MATCH(X$5,'Oxford Economics'!$A$6:$AZ$6,0),MATCH(X$5&amp;"",'Oxford Economics'!$A$6:$AZ$6,0))),'Oxford Economics'!$A$7:$A$1000,$C35,'Oxford Economics'!$B$7:$B$1000,Settings!$B$19)))),""))</f>
        <v>9303.59</v>
      </c>
      <c r="Y35" s="38" t="n">
        <f aca="false">IF($A35="","",IFERROR(1/(1/IF($B35="Residential",SUMIFS(INDEX('Oxford Economics'!$A$7:$AZ$1000,0,IFERROR(MATCH(Y$5,'Oxford Economics'!$A$6:$AZ$6,0),MATCH(Y$5&amp;"",'Oxford Economics'!$A$6:$AZ$6,0))),'Oxford Economics'!$A$7:$A$1000,$C35,'Oxford Economics'!$B$7:$B$1000,Settings!$B$13)-SUMIFS(INDEX('Oxford Economics'!$A$7:$AZ$1000,0,IFERROR(MATCH(Y$5,'Oxford Economics'!$A$6:$AZ$6,0),MATCH(Y$5&amp;"",'Oxford Economics'!$A$6:$AZ$6,0))),'Oxford Economics'!$A$7:$A$1000,$C35,'Oxford Economics'!$B$7:$B$1000,Settings!$B$15),SUMIFS(INDEX('Oxford Economics'!$A$7:$AZ$1000,0,IFERROR(MATCH(Y$5,'Oxford Economics'!$A$6:$AZ$6,0),MATCH(Y$5&amp;"",'Oxford Economics'!$A$6:$AZ$6,0))),'Oxford Economics'!$A$7:$A$1000,$C35,'Oxford Economics'!$B$7:$B$1000,Settings!$B$15)+SUMIFS(INDEX('Oxford Economics'!$A$7:$AZ$1000,0,IFERROR(MATCH(Y$5,'Oxford Economics'!$A$6:$AZ$6,0),MATCH(Y$5&amp;"",'Oxford Economics'!$A$6:$AZ$6,0))),'Oxford Economics'!$A$7:$A$1000,$C35,'Oxford Economics'!$B$7:$B$1000,Settings!$B$17)+IF(Settings!$B$19="",0,SUMIFS(INDEX('Oxford Economics'!$A$7:$AZ$1000,0,IFERROR(MATCH(Y$5,'Oxford Economics'!$A$6:$AZ$6,0),MATCH(Y$5&amp;"",'Oxford Economics'!$A$6:$AZ$6,0))),'Oxford Economics'!$A$7:$A$1000,$C35,'Oxford Economics'!$B$7:$B$1000,Settings!$B$19)))),""))</f>
        <v>9621.21</v>
      </c>
      <c r="Z35" s="38" t="n">
        <f aca="false">IF($A35="","",IFERROR(1/(1/IF($B35="Residential",SUMIFS(INDEX('Oxford Economics'!$A$7:$AZ$1000,0,IFERROR(MATCH(Z$5,'Oxford Economics'!$A$6:$AZ$6,0),MATCH(Z$5&amp;"",'Oxford Economics'!$A$6:$AZ$6,0))),'Oxford Economics'!$A$7:$A$1000,$C35,'Oxford Economics'!$B$7:$B$1000,Settings!$B$13)-SUMIFS(INDEX('Oxford Economics'!$A$7:$AZ$1000,0,IFERROR(MATCH(Z$5,'Oxford Economics'!$A$6:$AZ$6,0),MATCH(Z$5&amp;"",'Oxford Economics'!$A$6:$AZ$6,0))),'Oxford Economics'!$A$7:$A$1000,$C35,'Oxford Economics'!$B$7:$B$1000,Settings!$B$15),SUMIFS(INDEX('Oxford Economics'!$A$7:$AZ$1000,0,IFERROR(MATCH(Z$5,'Oxford Economics'!$A$6:$AZ$6,0),MATCH(Z$5&amp;"",'Oxford Economics'!$A$6:$AZ$6,0))),'Oxford Economics'!$A$7:$A$1000,$C35,'Oxford Economics'!$B$7:$B$1000,Settings!$B$15)+SUMIFS(INDEX('Oxford Economics'!$A$7:$AZ$1000,0,IFERROR(MATCH(Z$5,'Oxford Economics'!$A$6:$AZ$6,0),MATCH(Z$5&amp;"",'Oxford Economics'!$A$6:$AZ$6,0))),'Oxford Economics'!$A$7:$A$1000,$C35,'Oxford Economics'!$B$7:$B$1000,Settings!$B$17)+IF(Settings!$B$19="",0,SUMIFS(INDEX('Oxford Economics'!$A$7:$AZ$1000,0,IFERROR(MATCH(Z$5,'Oxford Economics'!$A$6:$AZ$6,0),MATCH(Z$5&amp;"",'Oxford Economics'!$A$6:$AZ$6,0))),'Oxford Economics'!$A$7:$A$1000,$C35,'Oxford Economics'!$B$7:$B$1000,Settings!$B$19)))),""))</f>
        <v>10026.21</v>
      </c>
      <c r="AA35" s="38" t="n">
        <f aca="false">IF($A35="","",IFERROR(1/(1/IF($B35="Residential",SUMIFS(INDEX('Oxford Economics'!$A$7:$AZ$1000,0,IFERROR(MATCH(AA$5,'Oxford Economics'!$A$6:$AZ$6,0),MATCH(AA$5&amp;"",'Oxford Economics'!$A$6:$AZ$6,0))),'Oxford Economics'!$A$7:$A$1000,$C35,'Oxford Economics'!$B$7:$B$1000,Settings!$B$13)-SUMIFS(INDEX('Oxford Economics'!$A$7:$AZ$1000,0,IFERROR(MATCH(AA$5,'Oxford Economics'!$A$6:$AZ$6,0),MATCH(AA$5&amp;"",'Oxford Economics'!$A$6:$AZ$6,0))),'Oxford Economics'!$A$7:$A$1000,$C35,'Oxford Economics'!$B$7:$B$1000,Settings!$B$15),SUMIFS(INDEX('Oxford Economics'!$A$7:$AZ$1000,0,IFERROR(MATCH(AA$5,'Oxford Economics'!$A$6:$AZ$6,0),MATCH(AA$5&amp;"",'Oxford Economics'!$A$6:$AZ$6,0))),'Oxford Economics'!$A$7:$A$1000,$C35,'Oxford Economics'!$B$7:$B$1000,Settings!$B$15)+SUMIFS(INDEX('Oxford Economics'!$A$7:$AZ$1000,0,IFERROR(MATCH(AA$5,'Oxford Economics'!$A$6:$AZ$6,0),MATCH(AA$5&amp;"",'Oxford Economics'!$A$6:$AZ$6,0))),'Oxford Economics'!$A$7:$A$1000,$C35,'Oxford Economics'!$B$7:$B$1000,Settings!$B$17)+IF(Settings!$B$19="",0,SUMIFS(INDEX('Oxford Economics'!$A$7:$AZ$1000,0,IFERROR(MATCH(AA$5,'Oxford Economics'!$A$6:$AZ$6,0),MATCH(AA$5&amp;"",'Oxford Economics'!$A$6:$AZ$6,0))),'Oxford Economics'!$A$7:$A$1000,$C35,'Oxford Economics'!$B$7:$B$1000,Settings!$B$19)))),""))</f>
        <v>10197.62</v>
      </c>
      <c r="AB35" s="38" t="n">
        <f aca="false">IF($A35="","",IFERROR(1/(1/IF($B35="Residential",SUMIFS(INDEX('Oxford Economics'!$A$7:$AZ$1000,0,IFERROR(MATCH(AB$5,'Oxford Economics'!$A$6:$AZ$6,0),MATCH(AB$5&amp;"",'Oxford Economics'!$A$6:$AZ$6,0))),'Oxford Economics'!$A$7:$A$1000,$C35,'Oxford Economics'!$B$7:$B$1000,Settings!$B$12)-SUMIFS(INDEX('Oxford Economics'!$A$7:$AZ$1000,0,IFERROR(MATCH(AB$5,'Oxford Economics'!$A$6:$AZ$6,0),MATCH(AB$5&amp;"",'Oxford Economics'!$A$6:$AZ$6,0))),'Oxford Economics'!$A$7:$A$1000,$C35,'Oxford Economics'!$B$7:$B$1000,Settings!$B$14),SUMIFS(INDEX('Oxford Economics'!$A$7:$AZ$1000,0,IFERROR(MATCH(AB$5,'Oxford Economics'!$A$6:$AZ$6,0),MATCH(AB$5&amp;"",'Oxford Economics'!$A$6:$AZ$6,0))),'Oxford Economics'!$A$7:$A$1000,$C35,'Oxford Economics'!$B$7:$B$1000,Settings!$B$14)+SUMIFS(INDEX('Oxford Economics'!$A$7:$AZ$1000,0,IFERROR(MATCH(AB$5,'Oxford Economics'!$A$6:$AZ$6,0),MATCH(AB$5&amp;"",'Oxford Economics'!$A$6:$AZ$6,0))),'Oxford Economics'!$A$7:$A$1000,$C35,'Oxford Economics'!$B$7:$B$1000,Settings!$B$16)+IF(Settings!$B$18="",0,SUMIFS(INDEX('Oxford Economics'!$A$7:$AZ$1000,0,IFERROR(MATCH(AB$5,'Oxford Economics'!$A$6:$AZ$6,0),MATCH(AB$5&amp;"",'Oxford Economics'!$A$6:$AZ$6,0))),'Oxford Economics'!$A$7:$A$1000,$C35,'Oxford Economics'!$B$7:$B$1000,Settings!$B$18)))),""))</f>
        <v>10107.12</v>
      </c>
      <c r="AC35" s="38" t="n">
        <f aca="false">IF($A35="","",IFERROR(1/(1/IF($B35="Residential",SUMIFS(INDEX('Oxford Economics'!$A$7:$AZ$1000,0,IFERROR(MATCH(AC$5,'Oxford Economics'!$A$6:$AZ$6,0),MATCH(AC$5&amp;"",'Oxford Economics'!$A$6:$AZ$6,0))),'Oxford Economics'!$A$7:$A$1000,$C35,'Oxford Economics'!$B$7:$B$1000,Settings!$B$12)-SUMIFS(INDEX('Oxford Economics'!$A$7:$AZ$1000,0,IFERROR(MATCH(AC$5,'Oxford Economics'!$A$6:$AZ$6,0),MATCH(AC$5&amp;"",'Oxford Economics'!$A$6:$AZ$6,0))),'Oxford Economics'!$A$7:$A$1000,$C35,'Oxford Economics'!$B$7:$B$1000,Settings!$B$14),SUMIFS(INDEX('Oxford Economics'!$A$7:$AZ$1000,0,IFERROR(MATCH(AC$5,'Oxford Economics'!$A$6:$AZ$6,0),MATCH(AC$5&amp;"",'Oxford Economics'!$A$6:$AZ$6,0))),'Oxford Economics'!$A$7:$A$1000,$C35,'Oxford Economics'!$B$7:$B$1000,Settings!$B$14)+SUMIFS(INDEX('Oxford Economics'!$A$7:$AZ$1000,0,IFERROR(MATCH(AC$5,'Oxford Economics'!$A$6:$AZ$6,0),MATCH(AC$5&amp;"",'Oxford Economics'!$A$6:$AZ$6,0))),'Oxford Economics'!$A$7:$A$1000,$C35,'Oxford Economics'!$B$7:$B$1000,Settings!$B$16)+IF(Settings!$B$18="",0,SUMIFS(INDEX('Oxford Economics'!$A$7:$AZ$1000,0,IFERROR(MATCH(AC$5,'Oxford Economics'!$A$6:$AZ$6,0),MATCH(AC$5&amp;"",'Oxford Economics'!$A$6:$AZ$6,0))),'Oxford Economics'!$A$7:$A$1000,$C35,'Oxford Economics'!$B$7:$B$1000,Settings!$B$18)))),""))</f>
        <v>10364.12</v>
      </c>
      <c r="AD35" s="38" t="n">
        <f aca="false">IF($A35="","",IFERROR(1/(1/IF($B35="Residential",SUMIFS(INDEX('Oxford Economics'!$A$7:$AZ$1000,0,IFERROR(MATCH(AD$5,'Oxford Economics'!$A$6:$AZ$6,0),MATCH(AD$5&amp;"",'Oxford Economics'!$A$6:$AZ$6,0))),'Oxford Economics'!$A$7:$A$1000,$C35,'Oxford Economics'!$B$7:$B$1000,Settings!$B$12)-SUMIFS(INDEX('Oxford Economics'!$A$7:$AZ$1000,0,IFERROR(MATCH(AD$5,'Oxford Economics'!$A$6:$AZ$6,0),MATCH(AD$5&amp;"",'Oxford Economics'!$A$6:$AZ$6,0))),'Oxford Economics'!$A$7:$A$1000,$C35,'Oxford Economics'!$B$7:$B$1000,Settings!$B$14),SUMIFS(INDEX('Oxford Economics'!$A$7:$AZ$1000,0,IFERROR(MATCH(AD$5,'Oxford Economics'!$A$6:$AZ$6,0),MATCH(AD$5&amp;"",'Oxford Economics'!$A$6:$AZ$6,0))),'Oxford Economics'!$A$7:$A$1000,$C35,'Oxford Economics'!$B$7:$B$1000,Settings!$B$14)+SUMIFS(INDEX('Oxford Economics'!$A$7:$AZ$1000,0,IFERROR(MATCH(AD$5,'Oxford Economics'!$A$6:$AZ$6,0),MATCH(AD$5&amp;"",'Oxford Economics'!$A$6:$AZ$6,0))),'Oxford Economics'!$A$7:$A$1000,$C35,'Oxford Economics'!$B$7:$B$1000,Settings!$B$16)+IF(Settings!$B$18="",0,SUMIFS(INDEX('Oxford Economics'!$A$7:$AZ$1000,0,IFERROR(MATCH(AD$5,'Oxford Economics'!$A$6:$AZ$6,0),MATCH(AD$5&amp;"",'Oxford Economics'!$A$6:$AZ$6,0))),'Oxford Economics'!$A$7:$A$1000,$C35,'Oxford Economics'!$B$7:$B$1000,Settings!$B$18)))),""))</f>
        <v>10561.33</v>
      </c>
      <c r="AE35" s="38" t="n">
        <f aca="false">IF($A35="","",IFERROR(1/(1/IF($B35="Residential",SUMIFS(INDEX('Oxford Economics'!$A$7:$AZ$1000,0,IFERROR(MATCH(AE$5,'Oxford Economics'!$A$6:$AZ$6,0),MATCH(AE$5&amp;"",'Oxford Economics'!$A$6:$AZ$6,0))),'Oxford Economics'!$A$7:$A$1000,$C35,'Oxford Economics'!$B$7:$B$1000,Settings!$B$12)-SUMIFS(INDEX('Oxford Economics'!$A$7:$AZ$1000,0,IFERROR(MATCH(AE$5,'Oxford Economics'!$A$6:$AZ$6,0),MATCH(AE$5&amp;"",'Oxford Economics'!$A$6:$AZ$6,0))),'Oxford Economics'!$A$7:$A$1000,$C35,'Oxford Economics'!$B$7:$B$1000,Settings!$B$14),SUMIFS(INDEX('Oxford Economics'!$A$7:$AZ$1000,0,IFERROR(MATCH(AE$5,'Oxford Economics'!$A$6:$AZ$6,0),MATCH(AE$5&amp;"",'Oxford Economics'!$A$6:$AZ$6,0))),'Oxford Economics'!$A$7:$A$1000,$C35,'Oxford Economics'!$B$7:$B$1000,Settings!$B$14)+SUMIFS(INDEX('Oxford Economics'!$A$7:$AZ$1000,0,IFERROR(MATCH(AE$5,'Oxford Economics'!$A$6:$AZ$6,0),MATCH(AE$5&amp;"",'Oxford Economics'!$A$6:$AZ$6,0))),'Oxford Economics'!$A$7:$A$1000,$C35,'Oxford Economics'!$B$7:$B$1000,Settings!$B$16)+IF(Settings!$B$18="",0,SUMIFS(INDEX('Oxford Economics'!$A$7:$AZ$1000,0,IFERROR(MATCH(AE$5,'Oxford Economics'!$A$6:$AZ$6,0),MATCH(AE$5&amp;"",'Oxford Economics'!$A$6:$AZ$6,0))),'Oxford Economics'!$A$7:$A$1000,$C35,'Oxford Economics'!$B$7:$B$1000,Settings!$B$18)))),""))</f>
        <v>9314.91</v>
      </c>
      <c r="AF35" s="38" t="n">
        <f aca="false">IF($A35="","",IFERROR(1/(1/IF($B35="Residential",SUMIFS(INDEX('Oxford Economics'!$A$7:$AZ$1000,0,IFERROR(MATCH(AF$5,'Oxford Economics'!$A$6:$AZ$6,0),MATCH(AF$5&amp;"",'Oxford Economics'!$A$6:$AZ$6,0))),'Oxford Economics'!$A$7:$A$1000,$C35,'Oxford Economics'!$B$7:$B$1000,Settings!$B$12)-SUMIFS(INDEX('Oxford Economics'!$A$7:$AZ$1000,0,IFERROR(MATCH(AF$5,'Oxford Economics'!$A$6:$AZ$6,0),MATCH(AF$5&amp;"",'Oxford Economics'!$A$6:$AZ$6,0))),'Oxford Economics'!$A$7:$A$1000,$C35,'Oxford Economics'!$B$7:$B$1000,Settings!$B$14),SUMIFS(INDEX('Oxford Economics'!$A$7:$AZ$1000,0,IFERROR(MATCH(AF$5,'Oxford Economics'!$A$6:$AZ$6,0),MATCH(AF$5&amp;"",'Oxford Economics'!$A$6:$AZ$6,0))),'Oxford Economics'!$A$7:$A$1000,$C35,'Oxford Economics'!$B$7:$B$1000,Settings!$B$14)+SUMIFS(INDEX('Oxford Economics'!$A$7:$AZ$1000,0,IFERROR(MATCH(AF$5,'Oxford Economics'!$A$6:$AZ$6,0),MATCH(AF$5&amp;"",'Oxford Economics'!$A$6:$AZ$6,0))),'Oxford Economics'!$A$7:$A$1000,$C35,'Oxford Economics'!$B$7:$B$1000,Settings!$B$16)+IF(Settings!$B$18="",0,SUMIFS(INDEX('Oxford Economics'!$A$7:$AZ$1000,0,IFERROR(MATCH(AF$5,'Oxford Economics'!$A$6:$AZ$6,0),MATCH(AF$5&amp;"",'Oxford Economics'!$A$6:$AZ$6,0))),'Oxford Economics'!$A$7:$A$1000,$C35,'Oxford Economics'!$B$7:$B$1000,Settings!$B$18)))),""))</f>
        <v>8285.83</v>
      </c>
      <c r="AG35" s="38" t="n">
        <f aca="false">IF($A35="","",IFERROR(1/(1/IF($B35="Residential",SUMIFS(INDEX('Oxford Economics'!$A$7:$AZ$1000,0,IFERROR(MATCH(AG$5,'Oxford Economics'!$A$6:$AZ$6,0),MATCH(AG$5&amp;"",'Oxford Economics'!$A$6:$AZ$6,0))),'Oxford Economics'!$A$7:$A$1000,$C35,'Oxford Economics'!$B$7:$B$1000,Settings!$B$12)-SUMIFS(INDEX('Oxford Economics'!$A$7:$AZ$1000,0,IFERROR(MATCH(AG$5,'Oxford Economics'!$A$6:$AZ$6,0),MATCH(AG$5&amp;"",'Oxford Economics'!$A$6:$AZ$6,0))),'Oxford Economics'!$A$7:$A$1000,$C35,'Oxford Economics'!$B$7:$B$1000,Settings!$B$14),SUMIFS(INDEX('Oxford Economics'!$A$7:$AZ$1000,0,IFERROR(MATCH(AG$5,'Oxford Economics'!$A$6:$AZ$6,0),MATCH(AG$5&amp;"",'Oxford Economics'!$A$6:$AZ$6,0))),'Oxford Economics'!$A$7:$A$1000,$C35,'Oxford Economics'!$B$7:$B$1000,Settings!$B$14)+SUMIFS(INDEX('Oxford Economics'!$A$7:$AZ$1000,0,IFERROR(MATCH(AG$5,'Oxford Economics'!$A$6:$AZ$6,0),MATCH(AG$5&amp;"",'Oxford Economics'!$A$6:$AZ$6,0))),'Oxford Economics'!$A$7:$A$1000,$C35,'Oxford Economics'!$B$7:$B$1000,Settings!$B$16)+IF(Settings!$B$18="",0,SUMIFS(INDEX('Oxford Economics'!$A$7:$AZ$1000,0,IFERROR(MATCH(AG$5,'Oxford Economics'!$A$6:$AZ$6,0),MATCH(AG$5&amp;"",'Oxford Economics'!$A$6:$AZ$6,0))),'Oxford Economics'!$A$7:$A$1000,$C35,'Oxford Economics'!$B$7:$B$1000,Settings!$B$18)))),""))</f>
        <v>7771.94</v>
      </c>
      <c r="AH35" s="38" t="n">
        <f aca="false">IF($A35="","",IFERROR(1/(1/IF($B35="Residential",SUMIFS(INDEX('Oxford Economics'!$A$7:$AZ$1000,0,IFERROR(MATCH(AH$5,'Oxford Economics'!$A$6:$AZ$6,0),MATCH(AH$5&amp;"",'Oxford Economics'!$A$6:$AZ$6,0))),'Oxford Economics'!$A$7:$A$1000,$C35,'Oxford Economics'!$B$7:$B$1000,Settings!$B$12)-SUMIFS(INDEX('Oxford Economics'!$A$7:$AZ$1000,0,IFERROR(MATCH(AH$5,'Oxford Economics'!$A$6:$AZ$6,0),MATCH(AH$5&amp;"",'Oxford Economics'!$A$6:$AZ$6,0))),'Oxford Economics'!$A$7:$A$1000,$C35,'Oxford Economics'!$B$7:$B$1000,Settings!$B$14),SUMIFS(INDEX('Oxford Economics'!$A$7:$AZ$1000,0,IFERROR(MATCH(AH$5,'Oxford Economics'!$A$6:$AZ$6,0),MATCH(AH$5&amp;"",'Oxford Economics'!$A$6:$AZ$6,0))),'Oxford Economics'!$A$7:$A$1000,$C35,'Oxford Economics'!$B$7:$B$1000,Settings!$B$14)+SUMIFS(INDEX('Oxford Economics'!$A$7:$AZ$1000,0,IFERROR(MATCH(AH$5,'Oxford Economics'!$A$6:$AZ$6,0),MATCH(AH$5&amp;"",'Oxford Economics'!$A$6:$AZ$6,0))),'Oxford Economics'!$A$7:$A$1000,$C35,'Oxford Economics'!$B$7:$B$1000,Settings!$B$16)+IF(Settings!$B$18="",0,SUMIFS(INDEX('Oxford Economics'!$A$7:$AZ$1000,0,IFERROR(MATCH(AH$5,'Oxford Economics'!$A$6:$AZ$6,0),MATCH(AH$5&amp;"",'Oxford Economics'!$A$6:$AZ$6,0))),'Oxford Economics'!$A$7:$A$1000,$C35,'Oxford Economics'!$B$7:$B$1000,Settings!$B$18)))),""))</f>
        <v>7880.6</v>
      </c>
      <c r="AI35" s="38" t="n">
        <f aca="false">IF($A35="","",IFERROR(1/(1/IF($B35="Residential",SUMIFS(INDEX('Oxford Economics'!$A$7:$AZ$1000,0,IFERROR(MATCH(AI$5,'Oxford Economics'!$A$6:$AZ$6,0),MATCH(AI$5&amp;"",'Oxford Economics'!$A$6:$AZ$6,0))),'Oxford Economics'!$A$7:$A$1000,$C35,'Oxford Economics'!$B$7:$B$1000,Settings!$B$12)-SUMIFS(INDEX('Oxford Economics'!$A$7:$AZ$1000,0,IFERROR(MATCH(AI$5,'Oxford Economics'!$A$6:$AZ$6,0),MATCH(AI$5&amp;"",'Oxford Economics'!$A$6:$AZ$6,0))),'Oxford Economics'!$A$7:$A$1000,$C35,'Oxford Economics'!$B$7:$B$1000,Settings!$B$14),SUMIFS(INDEX('Oxford Economics'!$A$7:$AZ$1000,0,IFERROR(MATCH(AI$5,'Oxford Economics'!$A$6:$AZ$6,0),MATCH(AI$5&amp;"",'Oxford Economics'!$A$6:$AZ$6,0))),'Oxford Economics'!$A$7:$A$1000,$C35,'Oxford Economics'!$B$7:$B$1000,Settings!$B$14)+SUMIFS(INDEX('Oxford Economics'!$A$7:$AZ$1000,0,IFERROR(MATCH(AI$5,'Oxford Economics'!$A$6:$AZ$6,0),MATCH(AI$5&amp;"",'Oxford Economics'!$A$6:$AZ$6,0))),'Oxford Economics'!$A$7:$A$1000,$C35,'Oxford Economics'!$B$7:$B$1000,Settings!$B$16)+IF(Settings!$B$18="",0,SUMIFS(INDEX('Oxford Economics'!$A$7:$AZ$1000,0,IFERROR(MATCH(AI$5,'Oxford Economics'!$A$6:$AZ$6,0),MATCH(AI$5&amp;"",'Oxford Economics'!$A$6:$AZ$6,0))),'Oxford Economics'!$A$7:$A$1000,$C35,'Oxford Economics'!$B$7:$B$1000,Settings!$B$18)))),""))</f>
        <v>8068.47</v>
      </c>
      <c r="AJ35" s="38" t="n">
        <f aca="false">IF($A35="","",IFERROR(1/(1/IF($B35="Residential",SUMIFS(INDEX('Oxford Economics'!$A$7:$AZ$1000,0,IFERROR(MATCH(AJ$5,'Oxford Economics'!$A$6:$AZ$6,0),MATCH(AJ$5&amp;"",'Oxford Economics'!$A$6:$AZ$6,0))),'Oxford Economics'!$A$7:$A$1000,$C35,'Oxford Economics'!$B$7:$B$1000,Settings!$B$12)-SUMIFS(INDEX('Oxford Economics'!$A$7:$AZ$1000,0,IFERROR(MATCH(AJ$5,'Oxford Economics'!$A$6:$AZ$6,0),MATCH(AJ$5&amp;"",'Oxford Economics'!$A$6:$AZ$6,0))),'Oxford Economics'!$A$7:$A$1000,$C35,'Oxford Economics'!$B$7:$B$1000,Settings!$B$14),SUMIFS(INDEX('Oxford Economics'!$A$7:$AZ$1000,0,IFERROR(MATCH(AJ$5,'Oxford Economics'!$A$6:$AZ$6,0),MATCH(AJ$5&amp;"",'Oxford Economics'!$A$6:$AZ$6,0))),'Oxford Economics'!$A$7:$A$1000,$C35,'Oxford Economics'!$B$7:$B$1000,Settings!$B$14)+SUMIFS(INDEX('Oxford Economics'!$A$7:$AZ$1000,0,IFERROR(MATCH(AJ$5,'Oxford Economics'!$A$6:$AZ$6,0),MATCH(AJ$5&amp;"",'Oxford Economics'!$A$6:$AZ$6,0))),'Oxford Economics'!$A$7:$A$1000,$C35,'Oxford Economics'!$B$7:$B$1000,Settings!$B$16)+IF(Settings!$B$18="",0,SUMIFS(INDEX('Oxford Economics'!$A$7:$AZ$1000,0,IFERROR(MATCH(AJ$5,'Oxford Economics'!$A$6:$AZ$6,0),MATCH(AJ$5&amp;"",'Oxford Economics'!$A$6:$AZ$6,0))),'Oxford Economics'!$A$7:$A$1000,$C35,'Oxford Economics'!$B$7:$B$1000,Settings!$B$18)))),""))</f>
        <v>8194.02</v>
      </c>
      <c r="AK35" s="38" t="n">
        <f aca="false">IF($A35="","",IFERROR(1/(1/IF($B35="Residential",SUMIFS(INDEX('Oxford Economics'!$A$7:$AZ$1000,0,IFERROR(MATCH(AK$5,'Oxford Economics'!$A$6:$AZ$6,0),MATCH(AK$5&amp;"",'Oxford Economics'!$A$6:$AZ$6,0))),'Oxford Economics'!$A$7:$A$1000,$C35,'Oxford Economics'!$B$7:$B$1000,Settings!$B$12)-SUMIFS(INDEX('Oxford Economics'!$A$7:$AZ$1000,0,IFERROR(MATCH(AK$5,'Oxford Economics'!$A$6:$AZ$6,0),MATCH(AK$5&amp;"",'Oxford Economics'!$A$6:$AZ$6,0))),'Oxford Economics'!$A$7:$A$1000,$C35,'Oxford Economics'!$B$7:$B$1000,Settings!$B$14),SUMIFS(INDEX('Oxford Economics'!$A$7:$AZ$1000,0,IFERROR(MATCH(AK$5,'Oxford Economics'!$A$6:$AZ$6,0),MATCH(AK$5&amp;"",'Oxford Economics'!$A$6:$AZ$6,0))),'Oxford Economics'!$A$7:$A$1000,$C35,'Oxford Economics'!$B$7:$B$1000,Settings!$B$14)+SUMIFS(INDEX('Oxford Economics'!$A$7:$AZ$1000,0,IFERROR(MATCH(AK$5,'Oxford Economics'!$A$6:$AZ$6,0),MATCH(AK$5&amp;"",'Oxford Economics'!$A$6:$AZ$6,0))),'Oxford Economics'!$A$7:$A$1000,$C35,'Oxford Economics'!$B$7:$B$1000,Settings!$B$16)+IF(Settings!$B$18="",0,SUMIFS(INDEX('Oxford Economics'!$A$7:$AZ$1000,0,IFERROR(MATCH(AK$5,'Oxford Economics'!$A$6:$AZ$6,0),MATCH(AK$5&amp;"",'Oxford Economics'!$A$6:$AZ$6,0))),'Oxford Economics'!$A$7:$A$1000,$C35,'Oxford Economics'!$B$7:$B$1000,Settings!$B$18)))),""))</f>
        <v>8295.16</v>
      </c>
      <c r="AL35" s="38" t="n">
        <f aca="false">IF($A35="","",IFERROR(1/(1/IF($B35="Residential",SUMIFS(INDEX('Oxford Economics'!$A$7:$AZ$1000,0,IFERROR(MATCH(AL$5,'Oxford Economics'!$A$6:$AZ$6,0),MATCH(AL$5&amp;"",'Oxford Economics'!$A$6:$AZ$6,0))),'Oxford Economics'!$A$7:$A$1000,$C35,'Oxford Economics'!$B$7:$B$1000,Settings!$B$12)-SUMIFS(INDEX('Oxford Economics'!$A$7:$AZ$1000,0,IFERROR(MATCH(AL$5,'Oxford Economics'!$A$6:$AZ$6,0),MATCH(AL$5&amp;"",'Oxford Economics'!$A$6:$AZ$6,0))),'Oxford Economics'!$A$7:$A$1000,$C35,'Oxford Economics'!$B$7:$B$1000,Settings!$B$14),SUMIFS(INDEX('Oxford Economics'!$A$7:$AZ$1000,0,IFERROR(MATCH(AL$5,'Oxford Economics'!$A$6:$AZ$6,0),MATCH(AL$5&amp;"",'Oxford Economics'!$A$6:$AZ$6,0))),'Oxford Economics'!$A$7:$A$1000,$C35,'Oxford Economics'!$B$7:$B$1000,Settings!$B$14)+SUMIFS(INDEX('Oxford Economics'!$A$7:$AZ$1000,0,IFERROR(MATCH(AL$5,'Oxford Economics'!$A$6:$AZ$6,0),MATCH(AL$5&amp;"",'Oxford Economics'!$A$6:$AZ$6,0))),'Oxford Economics'!$A$7:$A$1000,$C35,'Oxford Economics'!$B$7:$B$1000,Settings!$B$16)+IF(Settings!$B$18="",0,SUMIFS(INDEX('Oxford Economics'!$A$7:$AZ$1000,0,IFERROR(MATCH(AL$5,'Oxford Economics'!$A$6:$AZ$6,0),MATCH(AL$5&amp;"",'Oxford Economics'!$A$6:$AZ$6,0))),'Oxford Economics'!$A$7:$A$1000,$C35,'Oxford Economics'!$B$7:$B$1000,Settings!$B$18)))),""))</f>
        <v>8449</v>
      </c>
      <c r="AM35" s="38" t="n">
        <f aca="false">IF($A35="","",IFERROR(1/(1/IF($B35="Residential",SUMIFS(INDEX('Oxford Economics'!$A$7:$AZ$1000,0,IFERROR(MATCH(AM$5,'Oxford Economics'!$A$6:$AZ$6,0),MATCH(AM$5&amp;"",'Oxford Economics'!$A$6:$AZ$6,0))),'Oxford Economics'!$A$7:$A$1000,$C35,'Oxford Economics'!$B$7:$B$1000,Settings!$B$12)-SUMIFS(INDEX('Oxford Economics'!$A$7:$AZ$1000,0,IFERROR(MATCH(AM$5,'Oxford Economics'!$A$6:$AZ$6,0),MATCH(AM$5&amp;"",'Oxford Economics'!$A$6:$AZ$6,0))),'Oxford Economics'!$A$7:$A$1000,$C35,'Oxford Economics'!$B$7:$B$1000,Settings!$B$14),SUMIFS(INDEX('Oxford Economics'!$A$7:$AZ$1000,0,IFERROR(MATCH(AM$5,'Oxford Economics'!$A$6:$AZ$6,0),MATCH(AM$5&amp;"",'Oxford Economics'!$A$6:$AZ$6,0))),'Oxford Economics'!$A$7:$A$1000,$C35,'Oxford Economics'!$B$7:$B$1000,Settings!$B$14)+SUMIFS(INDEX('Oxford Economics'!$A$7:$AZ$1000,0,IFERROR(MATCH(AM$5,'Oxford Economics'!$A$6:$AZ$6,0),MATCH(AM$5&amp;"",'Oxford Economics'!$A$6:$AZ$6,0))),'Oxford Economics'!$A$7:$A$1000,$C35,'Oxford Economics'!$B$7:$B$1000,Settings!$B$16)+IF(Settings!$B$18="",0,SUMIFS(INDEX('Oxford Economics'!$A$7:$AZ$1000,0,IFERROR(MATCH(AM$5,'Oxford Economics'!$A$6:$AZ$6,0),MATCH(AM$5&amp;"",'Oxford Economics'!$A$6:$AZ$6,0))),'Oxford Economics'!$A$7:$A$1000,$C35,'Oxford Economics'!$B$7:$B$1000,Settings!$B$18)))),""))</f>
        <v>8622.86</v>
      </c>
    </row>
    <row r="36" customFormat="false" ht="15" hidden="false" customHeight="false" outlineLevel="0" collapsed="false">
      <c r="A36" s="37" t="str">
        <f aca="false">IF('Raw data'!$A36="","",'Raw data'!$A36)</f>
        <v>Norway</v>
      </c>
      <c r="B36" s="37" t="str">
        <f aca="false">IF($A36="","",'Raw data'!$C36)</f>
        <v>Residential</v>
      </c>
      <c r="C36" s="37" t="str">
        <f aca="false">IF($A36="","",IF('Raw data'!$E36="",$A36,'Raw data'!$E36))</f>
        <v>Norway</v>
      </c>
      <c r="D36" s="38" t="n">
        <f aca="false">IF($A36="","",IF(AND(ISNUMBER(P36),ISNUMBER(AB36)),P36+AB36,""))</f>
        <v>4895.05</v>
      </c>
      <c r="E36" s="38" t="n">
        <f aca="false">IF($A36="","",IF(AND(ISNUMBER(Q36),ISNUMBER(AC36)),Q36+AC36,""))</f>
        <v>4903.45</v>
      </c>
      <c r="F36" s="38" t="n">
        <f aca="false">IF($A36="","",IF(AND(ISNUMBER(R36),ISNUMBER(AD36)),R36+AD36,""))</f>
        <v>4862.79</v>
      </c>
      <c r="G36" s="38" t="n">
        <f aca="false">IF($A36="","",IF(AND(ISNUMBER(S36),ISNUMBER(AE36)),S36+AE36,""))</f>
        <v>4758.22</v>
      </c>
      <c r="H36" s="38" t="n">
        <f aca="false">IF($A36="","",IF(AND(ISNUMBER(T36),ISNUMBER(AF36)),T36+AF36,""))</f>
        <v>4512.12</v>
      </c>
      <c r="I36" s="38" t="n">
        <f aca="false">IF($A36="","",IF(AND(ISNUMBER(U36),ISNUMBER(AG36)),U36+AG36,""))</f>
        <v>4324.92</v>
      </c>
      <c r="J36" s="38" t="n">
        <f aca="false">IF($A36="","",IF(AND(ISNUMBER(V36),ISNUMBER(AH36)),V36+AH36,""))</f>
        <v>4084.4</v>
      </c>
      <c r="K36" s="38" t="n">
        <f aca="false">IF($A36="","",IF(AND(ISNUMBER(W36),ISNUMBER(AI36)),W36+AI36,""))</f>
        <v>4107.37</v>
      </c>
      <c r="L36" s="38" t="n">
        <f aca="false">IF($A36="","",IF(AND(ISNUMBER(X36),ISNUMBER(AJ36)),X36+AJ36,""))</f>
        <v>4322.25</v>
      </c>
      <c r="M36" s="38" t="n">
        <f aca="false">IF($A36="","",IF(AND(ISNUMBER(Y36),ISNUMBER(AK36)),Y36+AK36,""))</f>
        <v>4479.47</v>
      </c>
      <c r="N36" s="38" t="n">
        <f aca="false">IF($A36="","",IF(AND(ISNUMBER(Z36),ISNUMBER(AL36)),Z36+AL36,""))</f>
        <v>4640.05</v>
      </c>
      <c r="O36" s="38" t="n">
        <f aca="false">IF($A36="","",IF(AND(ISNUMBER(AA36),ISNUMBER(AM36)),AA36+AM36,""))</f>
        <v>4703.5</v>
      </c>
      <c r="P36" s="38" t="n">
        <f aca="false">IF($A36="","",IFERROR(1/(1/IF($B36="Residential",SUMIFS(INDEX('Oxford Economics'!$A$7:$AZ$1000,0,IFERROR(MATCH(P$5,'Oxford Economics'!$A$6:$AZ$6,0),MATCH(P$5&amp;"",'Oxford Economics'!$A$6:$AZ$6,0))),'Oxford Economics'!$A$7:$A$1000,$C36,'Oxford Economics'!$B$7:$B$1000,Settings!$B$13)-SUMIFS(INDEX('Oxford Economics'!$A$7:$AZ$1000,0,IFERROR(MATCH(P$5,'Oxford Economics'!$A$6:$AZ$6,0),MATCH(P$5&amp;"",'Oxford Economics'!$A$6:$AZ$6,0))),'Oxford Economics'!$A$7:$A$1000,$C36,'Oxford Economics'!$B$7:$B$1000,Settings!$B$15),SUMIFS(INDEX('Oxford Economics'!$A$7:$AZ$1000,0,IFERROR(MATCH(P$5,'Oxford Economics'!$A$6:$AZ$6,0),MATCH(P$5&amp;"",'Oxford Economics'!$A$6:$AZ$6,0))),'Oxford Economics'!$A$7:$A$1000,$C36,'Oxford Economics'!$B$7:$B$1000,Settings!$B$15)+SUMIFS(INDEX('Oxford Economics'!$A$7:$AZ$1000,0,IFERROR(MATCH(P$5,'Oxford Economics'!$A$6:$AZ$6,0),MATCH(P$5&amp;"",'Oxford Economics'!$A$6:$AZ$6,0))),'Oxford Economics'!$A$7:$A$1000,$C36,'Oxford Economics'!$B$7:$B$1000,Settings!$B$17)+IF(Settings!$B$19="",0,SUMIFS(INDEX('Oxford Economics'!$A$7:$AZ$1000,0,IFERROR(MATCH(P$5,'Oxford Economics'!$A$6:$AZ$6,0),MATCH(P$5&amp;"",'Oxford Economics'!$A$6:$AZ$6,0))),'Oxford Economics'!$A$7:$A$1000,$C36,'Oxford Economics'!$B$7:$B$1000,Settings!$B$19)))),""))</f>
        <v>3108.28</v>
      </c>
      <c r="Q36" s="38" t="n">
        <f aca="false">IF($A36="","",IFERROR(1/(1/IF($B36="Residential",SUMIFS(INDEX('Oxford Economics'!$A$7:$AZ$1000,0,IFERROR(MATCH(Q$5,'Oxford Economics'!$A$6:$AZ$6,0),MATCH(Q$5&amp;"",'Oxford Economics'!$A$6:$AZ$6,0))),'Oxford Economics'!$A$7:$A$1000,$C36,'Oxford Economics'!$B$7:$B$1000,Settings!$B$13)-SUMIFS(INDEX('Oxford Economics'!$A$7:$AZ$1000,0,IFERROR(MATCH(Q$5,'Oxford Economics'!$A$6:$AZ$6,0),MATCH(Q$5&amp;"",'Oxford Economics'!$A$6:$AZ$6,0))),'Oxford Economics'!$A$7:$A$1000,$C36,'Oxford Economics'!$B$7:$B$1000,Settings!$B$15),SUMIFS(INDEX('Oxford Economics'!$A$7:$AZ$1000,0,IFERROR(MATCH(Q$5,'Oxford Economics'!$A$6:$AZ$6,0),MATCH(Q$5&amp;"",'Oxford Economics'!$A$6:$AZ$6,0))),'Oxford Economics'!$A$7:$A$1000,$C36,'Oxford Economics'!$B$7:$B$1000,Settings!$B$15)+SUMIFS(INDEX('Oxford Economics'!$A$7:$AZ$1000,0,IFERROR(MATCH(Q$5,'Oxford Economics'!$A$6:$AZ$6,0),MATCH(Q$5&amp;"",'Oxford Economics'!$A$6:$AZ$6,0))),'Oxford Economics'!$A$7:$A$1000,$C36,'Oxford Economics'!$B$7:$B$1000,Settings!$B$17)+IF(Settings!$B$19="",0,SUMIFS(INDEX('Oxford Economics'!$A$7:$AZ$1000,0,IFERROR(MATCH(Q$5,'Oxford Economics'!$A$6:$AZ$6,0),MATCH(Q$5&amp;"",'Oxford Economics'!$A$6:$AZ$6,0))),'Oxford Economics'!$A$7:$A$1000,$C36,'Oxford Economics'!$B$7:$B$1000,Settings!$B$19)))),""))</f>
        <v>2970.47</v>
      </c>
      <c r="R36" s="38" t="n">
        <f aca="false">IF($A36="","",IFERROR(1/(1/IF($B36="Residential",SUMIFS(INDEX('Oxford Economics'!$A$7:$AZ$1000,0,IFERROR(MATCH(R$5,'Oxford Economics'!$A$6:$AZ$6,0),MATCH(R$5&amp;"",'Oxford Economics'!$A$6:$AZ$6,0))),'Oxford Economics'!$A$7:$A$1000,$C36,'Oxford Economics'!$B$7:$B$1000,Settings!$B$13)-SUMIFS(INDEX('Oxford Economics'!$A$7:$AZ$1000,0,IFERROR(MATCH(R$5,'Oxford Economics'!$A$6:$AZ$6,0),MATCH(R$5&amp;"",'Oxford Economics'!$A$6:$AZ$6,0))),'Oxford Economics'!$A$7:$A$1000,$C36,'Oxford Economics'!$B$7:$B$1000,Settings!$B$15),SUMIFS(INDEX('Oxford Economics'!$A$7:$AZ$1000,0,IFERROR(MATCH(R$5,'Oxford Economics'!$A$6:$AZ$6,0),MATCH(R$5&amp;"",'Oxford Economics'!$A$6:$AZ$6,0))),'Oxford Economics'!$A$7:$A$1000,$C36,'Oxford Economics'!$B$7:$B$1000,Settings!$B$15)+SUMIFS(INDEX('Oxford Economics'!$A$7:$AZ$1000,0,IFERROR(MATCH(R$5,'Oxford Economics'!$A$6:$AZ$6,0),MATCH(R$5&amp;"",'Oxford Economics'!$A$6:$AZ$6,0))),'Oxford Economics'!$A$7:$A$1000,$C36,'Oxford Economics'!$B$7:$B$1000,Settings!$B$17)+IF(Settings!$B$19="",0,SUMIFS(INDEX('Oxford Economics'!$A$7:$AZ$1000,0,IFERROR(MATCH(R$5,'Oxford Economics'!$A$6:$AZ$6,0),MATCH(R$5&amp;"",'Oxford Economics'!$A$6:$AZ$6,0))),'Oxford Economics'!$A$7:$A$1000,$C36,'Oxford Economics'!$B$7:$B$1000,Settings!$B$19)))),""))</f>
        <v>3027.33</v>
      </c>
      <c r="S36" s="38" t="n">
        <f aca="false">IF($A36="","",IFERROR(1/(1/IF($B36="Residential",SUMIFS(INDEX('Oxford Economics'!$A$7:$AZ$1000,0,IFERROR(MATCH(S$5,'Oxford Economics'!$A$6:$AZ$6,0),MATCH(S$5&amp;"",'Oxford Economics'!$A$6:$AZ$6,0))),'Oxford Economics'!$A$7:$A$1000,$C36,'Oxford Economics'!$B$7:$B$1000,Settings!$B$13)-SUMIFS(INDEX('Oxford Economics'!$A$7:$AZ$1000,0,IFERROR(MATCH(S$5,'Oxford Economics'!$A$6:$AZ$6,0),MATCH(S$5&amp;"",'Oxford Economics'!$A$6:$AZ$6,0))),'Oxford Economics'!$A$7:$A$1000,$C36,'Oxford Economics'!$B$7:$B$1000,Settings!$B$15),SUMIFS(INDEX('Oxford Economics'!$A$7:$AZ$1000,0,IFERROR(MATCH(S$5,'Oxford Economics'!$A$6:$AZ$6,0),MATCH(S$5&amp;"",'Oxford Economics'!$A$6:$AZ$6,0))),'Oxford Economics'!$A$7:$A$1000,$C36,'Oxford Economics'!$B$7:$B$1000,Settings!$B$15)+SUMIFS(INDEX('Oxford Economics'!$A$7:$AZ$1000,0,IFERROR(MATCH(S$5,'Oxford Economics'!$A$6:$AZ$6,0),MATCH(S$5&amp;"",'Oxford Economics'!$A$6:$AZ$6,0))),'Oxford Economics'!$A$7:$A$1000,$C36,'Oxford Economics'!$B$7:$B$1000,Settings!$B$17)+IF(Settings!$B$19="",0,SUMIFS(INDEX('Oxford Economics'!$A$7:$AZ$1000,0,IFERROR(MATCH(S$5,'Oxford Economics'!$A$6:$AZ$6,0),MATCH(S$5&amp;"",'Oxford Economics'!$A$6:$AZ$6,0))),'Oxford Economics'!$A$7:$A$1000,$C36,'Oxford Economics'!$B$7:$B$1000,Settings!$B$19)))),""))</f>
        <v>3334.88</v>
      </c>
      <c r="T36" s="38" t="n">
        <f aca="false">IF($A36="","",IFERROR(1/(1/IF($B36="Residential",SUMIFS(INDEX('Oxford Economics'!$A$7:$AZ$1000,0,IFERROR(MATCH(T$5,'Oxford Economics'!$A$6:$AZ$6,0),MATCH(T$5&amp;"",'Oxford Economics'!$A$6:$AZ$6,0))),'Oxford Economics'!$A$7:$A$1000,$C36,'Oxford Economics'!$B$7:$B$1000,Settings!$B$13)-SUMIFS(INDEX('Oxford Economics'!$A$7:$AZ$1000,0,IFERROR(MATCH(T$5,'Oxford Economics'!$A$6:$AZ$6,0),MATCH(T$5&amp;"",'Oxford Economics'!$A$6:$AZ$6,0))),'Oxford Economics'!$A$7:$A$1000,$C36,'Oxford Economics'!$B$7:$B$1000,Settings!$B$15),SUMIFS(INDEX('Oxford Economics'!$A$7:$AZ$1000,0,IFERROR(MATCH(T$5,'Oxford Economics'!$A$6:$AZ$6,0),MATCH(T$5&amp;"",'Oxford Economics'!$A$6:$AZ$6,0))),'Oxford Economics'!$A$7:$A$1000,$C36,'Oxford Economics'!$B$7:$B$1000,Settings!$B$15)+SUMIFS(INDEX('Oxford Economics'!$A$7:$AZ$1000,0,IFERROR(MATCH(T$5,'Oxford Economics'!$A$6:$AZ$6,0),MATCH(T$5&amp;"",'Oxford Economics'!$A$6:$AZ$6,0))),'Oxford Economics'!$A$7:$A$1000,$C36,'Oxford Economics'!$B$7:$B$1000,Settings!$B$17)+IF(Settings!$B$19="",0,SUMIFS(INDEX('Oxford Economics'!$A$7:$AZ$1000,0,IFERROR(MATCH(T$5,'Oxford Economics'!$A$6:$AZ$6,0),MATCH(T$5&amp;"",'Oxford Economics'!$A$6:$AZ$6,0))),'Oxford Economics'!$A$7:$A$1000,$C36,'Oxford Economics'!$B$7:$B$1000,Settings!$B$19)))),""))</f>
        <v>3364.39</v>
      </c>
      <c r="U36" s="38" t="n">
        <f aca="false">IF($A36="","",IFERROR(1/(1/IF($B36="Residential",SUMIFS(INDEX('Oxford Economics'!$A$7:$AZ$1000,0,IFERROR(MATCH(U$5,'Oxford Economics'!$A$6:$AZ$6,0),MATCH(U$5&amp;"",'Oxford Economics'!$A$6:$AZ$6,0))),'Oxford Economics'!$A$7:$A$1000,$C36,'Oxford Economics'!$B$7:$B$1000,Settings!$B$13)-SUMIFS(INDEX('Oxford Economics'!$A$7:$AZ$1000,0,IFERROR(MATCH(U$5,'Oxford Economics'!$A$6:$AZ$6,0),MATCH(U$5&amp;"",'Oxford Economics'!$A$6:$AZ$6,0))),'Oxford Economics'!$A$7:$A$1000,$C36,'Oxford Economics'!$B$7:$B$1000,Settings!$B$15),SUMIFS(INDEX('Oxford Economics'!$A$7:$AZ$1000,0,IFERROR(MATCH(U$5,'Oxford Economics'!$A$6:$AZ$6,0),MATCH(U$5&amp;"",'Oxford Economics'!$A$6:$AZ$6,0))),'Oxford Economics'!$A$7:$A$1000,$C36,'Oxford Economics'!$B$7:$B$1000,Settings!$B$15)+SUMIFS(INDEX('Oxford Economics'!$A$7:$AZ$1000,0,IFERROR(MATCH(U$5,'Oxford Economics'!$A$6:$AZ$6,0),MATCH(U$5&amp;"",'Oxford Economics'!$A$6:$AZ$6,0))),'Oxford Economics'!$A$7:$A$1000,$C36,'Oxford Economics'!$B$7:$B$1000,Settings!$B$17)+IF(Settings!$B$19="",0,SUMIFS(INDEX('Oxford Economics'!$A$7:$AZ$1000,0,IFERROR(MATCH(U$5,'Oxford Economics'!$A$6:$AZ$6,0),MATCH(U$5&amp;"",'Oxford Economics'!$A$6:$AZ$6,0))),'Oxford Economics'!$A$7:$A$1000,$C36,'Oxford Economics'!$B$7:$B$1000,Settings!$B$19)))),""))</f>
        <v>3253.72</v>
      </c>
      <c r="V36" s="38" t="n">
        <f aca="false">IF($A36="","",IFERROR(1/(1/IF($B36="Residential",SUMIFS(INDEX('Oxford Economics'!$A$7:$AZ$1000,0,IFERROR(MATCH(V$5,'Oxford Economics'!$A$6:$AZ$6,0),MATCH(V$5&amp;"",'Oxford Economics'!$A$6:$AZ$6,0))),'Oxford Economics'!$A$7:$A$1000,$C36,'Oxford Economics'!$B$7:$B$1000,Settings!$B$13)-SUMIFS(INDEX('Oxford Economics'!$A$7:$AZ$1000,0,IFERROR(MATCH(V$5,'Oxford Economics'!$A$6:$AZ$6,0),MATCH(V$5&amp;"",'Oxford Economics'!$A$6:$AZ$6,0))),'Oxford Economics'!$A$7:$A$1000,$C36,'Oxford Economics'!$B$7:$B$1000,Settings!$B$15),SUMIFS(INDEX('Oxford Economics'!$A$7:$AZ$1000,0,IFERROR(MATCH(V$5,'Oxford Economics'!$A$6:$AZ$6,0),MATCH(V$5&amp;"",'Oxford Economics'!$A$6:$AZ$6,0))),'Oxford Economics'!$A$7:$A$1000,$C36,'Oxford Economics'!$B$7:$B$1000,Settings!$B$15)+SUMIFS(INDEX('Oxford Economics'!$A$7:$AZ$1000,0,IFERROR(MATCH(V$5,'Oxford Economics'!$A$6:$AZ$6,0),MATCH(V$5&amp;"",'Oxford Economics'!$A$6:$AZ$6,0))),'Oxford Economics'!$A$7:$A$1000,$C36,'Oxford Economics'!$B$7:$B$1000,Settings!$B$17)+IF(Settings!$B$19="",0,SUMIFS(INDEX('Oxford Economics'!$A$7:$AZ$1000,0,IFERROR(MATCH(V$5,'Oxford Economics'!$A$6:$AZ$6,0),MATCH(V$5&amp;"",'Oxford Economics'!$A$6:$AZ$6,0))),'Oxford Economics'!$A$7:$A$1000,$C36,'Oxford Economics'!$B$7:$B$1000,Settings!$B$19)))),""))</f>
        <v>3058.86</v>
      </c>
      <c r="W36" s="38" t="n">
        <f aca="false">IF($A36="","",IFERROR(1/(1/IF($B36="Residential",SUMIFS(INDEX('Oxford Economics'!$A$7:$AZ$1000,0,IFERROR(MATCH(W$5,'Oxford Economics'!$A$6:$AZ$6,0),MATCH(W$5&amp;"",'Oxford Economics'!$A$6:$AZ$6,0))),'Oxford Economics'!$A$7:$A$1000,$C36,'Oxford Economics'!$B$7:$B$1000,Settings!$B$13)-SUMIFS(INDEX('Oxford Economics'!$A$7:$AZ$1000,0,IFERROR(MATCH(W$5,'Oxford Economics'!$A$6:$AZ$6,0),MATCH(W$5&amp;"",'Oxford Economics'!$A$6:$AZ$6,0))),'Oxford Economics'!$A$7:$A$1000,$C36,'Oxford Economics'!$B$7:$B$1000,Settings!$B$15),SUMIFS(INDEX('Oxford Economics'!$A$7:$AZ$1000,0,IFERROR(MATCH(W$5,'Oxford Economics'!$A$6:$AZ$6,0),MATCH(W$5&amp;"",'Oxford Economics'!$A$6:$AZ$6,0))),'Oxford Economics'!$A$7:$A$1000,$C36,'Oxford Economics'!$B$7:$B$1000,Settings!$B$15)+SUMIFS(INDEX('Oxford Economics'!$A$7:$AZ$1000,0,IFERROR(MATCH(W$5,'Oxford Economics'!$A$6:$AZ$6,0),MATCH(W$5&amp;"",'Oxford Economics'!$A$6:$AZ$6,0))),'Oxford Economics'!$A$7:$A$1000,$C36,'Oxford Economics'!$B$7:$B$1000,Settings!$B$17)+IF(Settings!$B$19="",0,SUMIFS(INDEX('Oxford Economics'!$A$7:$AZ$1000,0,IFERROR(MATCH(W$5,'Oxford Economics'!$A$6:$AZ$6,0),MATCH(W$5&amp;"",'Oxford Economics'!$A$6:$AZ$6,0))),'Oxford Economics'!$A$7:$A$1000,$C36,'Oxford Economics'!$B$7:$B$1000,Settings!$B$19)))),""))</f>
        <v>3055.63</v>
      </c>
      <c r="X36" s="38" t="n">
        <f aca="false">IF($A36="","",IFERROR(1/(1/IF($B36="Residential",SUMIFS(INDEX('Oxford Economics'!$A$7:$AZ$1000,0,IFERROR(MATCH(X$5,'Oxford Economics'!$A$6:$AZ$6,0),MATCH(X$5&amp;"",'Oxford Economics'!$A$6:$AZ$6,0))),'Oxford Economics'!$A$7:$A$1000,$C36,'Oxford Economics'!$B$7:$B$1000,Settings!$B$13)-SUMIFS(INDEX('Oxford Economics'!$A$7:$AZ$1000,0,IFERROR(MATCH(X$5,'Oxford Economics'!$A$6:$AZ$6,0),MATCH(X$5&amp;"",'Oxford Economics'!$A$6:$AZ$6,0))),'Oxford Economics'!$A$7:$A$1000,$C36,'Oxford Economics'!$B$7:$B$1000,Settings!$B$15),SUMIFS(INDEX('Oxford Economics'!$A$7:$AZ$1000,0,IFERROR(MATCH(X$5,'Oxford Economics'!$A$6:$AZ$6,0),MATCH(X$5&amp;"",'Oxford Economics'!$A$6:$AZ$6,0))),'Oxford Economics'!$A$7:$A$1000,$C36,'Oxford Economics'!$B$7:$B$1000,Settings!$B$15)+SUMIFS(INDEX('Oxford Economics'!$A$7:$AZ$1000,0,IFERROR(MATCH(X$5,'Oxford Economics'!$A$6:$AZ$6,0),MATCH(X$5&amp;"",'Oxford Economics'!$A$6:$AZ$6,0))),'Oxford Economics'!$A$7:$A$1000,$C36,'Oxford Economics'!$B$7:$B$1000,Settings!$B$17)+IF(Settings!$B$19="",0,SUMIFS(INDEX('Oxford Economics'!$A$7:$AZ$1000,0,IFERROR(MATCH(X$5,'Oxford Economics'!$A$6:$AZ$6,0),MATCH(X$5&amp;"",'Oxford Economics'!$A$6:$AZ$6,0))),'Oxford Economics'!$A$7:$A$1000,$C36,'Oxford Economics'!$B$7:$B$1000,Settings!$B$19)))),""))</f>
        <v>3180.26</v>
      </c>
      <c r="Y36" s="38" t="n">
        <f aca="false">IF($A36="","",IFERROR(1/(1/IF($B36="Residential",SUMIFS(INDEX('Oxford Economics'!$A$7:$AZ$1000,0,IFERROR(MATCH(Y$5,'Oxford Economics'!$A$6:$AZ$6,0),MATCH(Y$5&amp;"",'Oxford Economics'!$A$6:$AZ$6,0))),'Oxford Economics'!$A$7:$A$1000,$C36,'Oxford Economics'!$B$7:$B$1000,Settings!$B$13)-SUMIFS(INDEX('Oxford Economics'!$A$7:$AZ$1000,0,IFERROR(MATCH(Y$5,'Oxford Economics'!$A$6:$AZ$6,0),MATCH(Y$5&amp;"",'Oxford Economics'!$A$6:$AZ$6,0))),'Oxford Economics'!$A$7:$A$1000,$C36,'Oxford Economics'!$B$7:$B$1000,Settings!$B$15),SUMIFS(INDEX('Oxford Economics'!$A$7:$AZ$1000,0,IFERROR(MATCH(Y$5,'Oxford Economics'!$A$6:$AZ$6,0),MATCH(Y$5&amp;"",'Oxford Economics'!$A$6:$AZ$6,0))),'Oxford Economics'!$A$7:$A$1000,$C36,'Oxford Economics'!$B$7:$B$1000,Settings!$B$15)+SUMIFS(INDEX('Oxford Economics'!$A$7:$AZ$1000,0,IFERROR(MATCH(Y$5,'Oxford Economics'!$A$6:$AZ$6,0),MATCH(Y$5&amp;"",'Oxford Economics'!$A$6:$AZ$6,0))),'Oxford Economics'!$A$7:$A$1000,$C36,'Oxford Economics'!$B$7:$B$1000,Settings!$B$17)+IF(Settings!$B$19="",0,SUMIFS(INDEX('Oxford Economics'!$A$7:$AZ$1000,0,IFERROR(MATCH(Y$5,'Oxford Economics'!$A$6:$AZ$6,0),MATCH(Y$5&amp;"",'Oxford Economics'!$A$6:$AZ$6,0))),'Oxford Economics'!$A$7:$A$1000,$C36,'Oxford Economics'!$B$7:$B$1000,Settings!$B$19)))),""))</f>
        <v>3260.16</v>
      </c>
      <c r="Z36" s="38" t="n">
        <f aca="false">IF($A36="","",IFERROR(1/(1/IF($B36="Residential",SUMIFS(INDEX('Oxford Economics'!$A$7:$AZ$1000,0,IFERROR(MATCH(Z$5,'Oxford Economics'!$A$6:$AZ$6,0),MATCH(Z$5&amp;"",'Oxford Economics'!$A$6:$AZ$6,0))),'Oxford Economics'!$A$7:$A$1000,$C36,'Oxford Economics'!$B$7:$B$1000,Settings!$B$13)-SUMIFS(INDEX('Oxford Economics'!$A$7:$AZ$1000,0,IFERROR(MATCH(Z$5,'Oxford Economics'!$A$6:$AZ$6,0),MATCH(Z$5&amp;"",'Oxford Economics'!$A$6:$AZ$6,0))),'Oxford Economics'!$A$7:$A$1000,$C36,'Oxford Economics'!$B$7:$B$1000,Settings!$B$15),SUMIFS(INDEX('Oxford Economics'!$A$7:$AZ$1000,0,IFERROR(MATCH(Z$5,'Oxford Economics'!$A$6:$AZ$6,0),MATCH(Z$5&amp;"",'Oxford Economics'!$A$6:$AZ$6,0))),'Oxford Economics'!$A$7:$A$1000,$C36,'Oxford Economics'!$B$7:$B$1000,Settings!$B$15)+SUMIFS(INDEX('Oxford Economics'!$A$7:$AZ$1000,0,IFERROR(MATCH(Z$5,'Oxford Economics'!$A$6:$AZ$6,0),MATCH(Z$5&amp;"",'Oxford Economics'!$A$6:$AZ$6,0))),'Oxford Economics'!$A$7:$A$1000,$C36,'Oxford Economics'!$B$7:$B$1000,Settings!$B$17)+IF(Settings!$B$19="",0,SUMIFS(INDEX('Oxford Economics'!$A$7:$AZ$1000,0,IFERROR(MATCH(Z$5,'Oxford Economics'!$A$6:$AZ$6,0),MATCH(Z$5&amp;"",'Oxford Economics'!$A$6:$AZ$6,0))),'Oxford Economics'!$A$7:$A$1000,$C36,'Oxford Economics'!$B$7:$B$1000,Settings!$B$19)))),""))</f>
        <v>3367.77</v>
      </c>
      <c r="AA36" s="38" t="n">
        <f aca="false">IF($A36="","",IFERROR(1/(1/IF($B36="Residential",SUMIFS(INDEX('Oxford Economics'!$A$7:$AZ$1000,0,IFERROR(MATCH(AA$5,'Oxford Economics'!$A$6:$AZ$6,0),MATCH(AA$5&amp;"",'Oxford Economics'!$A$6:$AZ$6,0))),'Oxford Economics'!$A$7:$A$1000,$C36,'Oxford Economics'!$B$7:$B$1000,Settings!$B$13)-SUMIFS(INDEX('Oxford Economics'!$A$7:$AZ$1000,0,IFERROR(MATCH(AA$5,'Oxford Economics'!$A$6:$AZ$6,0),MATCH(AA$5&amp;"",'Oxford Economics'!$A$6:$AZ$6,0))),'Oxford Economics'!$A$7:$A$1000,$C36,'Oxford Economics'!$B$7:$B$1000,Settings!$B$15),SUMIFS(INDEX('Oxford Economics'!$A$7:$AZ$1000,0,IFERROR(MATCH(AA$5,'Oxford Economics'!$A$6:$AZ$6,0),MATCH(AA$5&amp;"",'Oxford Economics'!$A$6:$AZ$6,0))),'Oxford Economics'!$A$7:$A$1000,$C36,'Oxford Economics'!$B$7:$B$1000,Settings!$B$15)+SUMIFS(INDEX('Oxford Economics'!$A$7:$AZ$1000,0,IFERROR(MATCH(AA$5,'Oxford Economics'!$A$6:$AZ$6,0),MATCH(AA$5&amp;"",'Oxford Economics'!$A$6:$AZ$6,0))),'Oxford Economics'!$A$7:$A$1000,$C36,'Oxford Economics'!$B$7:$B$1000,Settings!$B$17)+IF(Settings!$B$19="",0,SUMIFS(INDEX('Oxford Economics'!$A$7:$AZ$1000,0,IFERROR(MATCH(AA$5,'Oxford Economics'!$A$6:$AZ$6,0),MATCH(AA$5&amp;"",'Oxford Economics'!$A$6:$AZ$6,0))),'Oxford Economics'!$A$7:$A$1000,$C36,'Oxford Economics'!$B$7:$B$1000,Settings!$B$19)))),""))</f>
        <v>3398.17</v>
      </c>
      <c r="AB36" s="38" t="n">
        <f aca="false">IF($A36="","",IFERROR(1/(1/IF($B36="Residential",SUMIFS(INDEX('Oxford Economics'!$A$7:$AZ$1000,0,IFERROR(MATCH(AB$5,'Oxford Economics'!$A$6:$AZ$6,0),MATCH(AB$5&amp;"",'Oxford Economics'!$A$6:$AZ$6,0))),'Oxford Economics'!$A$7:$A$1000,$C36,'Oxford Economics'!$B$7:$B$1000,Settings!$B$12)-SUMIFS(INDEX('Oxford Economics'!$A$7:$AZ$1000,0,IFERROR(MATCH(AB$5,'Oxford Economics'!$A$6:$AZ$6,0),MATCH(AB$5&amp;"",'Oxford Economics'!$A$6:$AZ$6,0))),'Oxford Economics'!$A$7:$A$1000,$C36,'Oxford Economics'!$B$7:$B$1000,Settings!$B$14),SUMIFS(INDEX('Oxford Economics'!$A$7:$AZ$1000,0,IFERROR(MATCH(AB$5,'Oxford Economics'!$A$6:$AZ$6,0),MATCH(AB$5&amp;"",'Oxford Economics'!$A$6:$AZ$6,0))),'Oxford Economics'!$A$7:$A$1000,$C36,'Oxford Economics'!$B$7:$B$1000,Settings!$B$14)+SUMIFS(INDEX('Oxford Economics'!$A$7:$AZ$1000,0,IFERROR(MATCH(AB$5,'Oxford Economics'!$A$6:$AZ$6,0),MATCH(AB$5&amp;"",'Oxford Economics'!$A$6:$AZ$6,0))),'Oxford Economics'!$A$7:$A$1000,$C36,'Oxford Economics'!$B$7:$B$1000,Settings!$B$16)+IF(Settings!$B$18="",0,SUMIFS(INDEX('Oxford Economics'!$A$7:$AZ$1000,0,IFERROR(MATCH(AB$5,'Oxford Economics'!$A$6:$AZ$6,0),MATCH(AB$5&amp;"",'Oxford Economics'!$A$6:$AZ$6,0))),'Oxford Economics'!$A$7:$A$1000,$C36,'Oxford Economics'!$B$7:$B$1000,Settings!$B$18)))),""))</f>
        <v>1786.77</v>
      </c>
      <c r="AC36" s="38" t="n">
        <f aca="false">IF($A36="","",IFERROR(1/(1/IF($B36="Residential",SUMIFS(INDEX('Oxford Economics'!$A$7:$AZ$1000,0,IFERROR(MATCH(AC$5,'Oxford Economics'!$A$6:$AZ$6,0),MATCH(AC$5&amp;"",'Oxford Economics'!$A$6:$AZ$6,0))),'Oxford Economics'!$A$7:$A$1000,$C36,'Oxford Economics'!$B$7:$B$1000,Settings!$B$12)-SUMIFS(INDEX('Oxford Economics'!$A$7:$AZ$1000,0,IFERROR(MATCH(AC$5,'Oxford Economics'!$A$6:$AZ$6,0),MATCH(AC$5&amp;"",'Oxford Economics'!$A$6:$AZ$6,0))),'Oxford Economics'!$A$7:$A$1000,$C36,'Oxford Economics'!$B$7:$B$1000,Settings!$B$14),SUMIFS(INDEX('Oxford Economics'!$A$7:$AZ$1000,0,IFERROR(MATCH(AC$5,'Oxford Economics'!$A$6:$AZ$6,0),MATCH(AC$5&amp;"",'Oxford Economics'!$A$6:$AZ$6,0))),'Oxford Economics'!$A$7:$A$1000,$C36,'Oxford Economics'!$B$7:$B$1000,Settings!$B$14)+SUMIFS(INDEX('Oxford Economics'!$A$7:$AZ$1000,0,IFERROR(MATCH(AC$5,'Oxford Economics'!$A$6:$AZ$6,0),MATCH(AC$5&amp;"",'Oxford Economics'!$A$6:$AZ$6,0))),'Oxford Economics'!$A$7:$A$1000,$C36,'Oxford Economics'!$B$7:$B$1000,Settings!$B$16)+IF(Settings!$B$18="",0,SUMIFS(INDEX('Oxford Economics'!$A$7:$AZ$1000,0,IFERROR(MATCH(AC$5,'Oxford Economics'!$A$6:$AZ$6,0),MATCH(AC$5&amp;"",'Oxford Economics'!$A$6:$AZ$6,0))),'Oxford Economics'!$A$7:$A$1000,$C36,'Oxford Economics'!$B$7:$B$1000,Settings!$B$18)))),""))</f>
        <v>1932.98</v>
      </c>
      <c r="AD36" s="38" t="n">
        <f aca="false">IF($A36="","",IFERROR(1/(1/IF($B36="Residential",SUMIFS(INDEX('Oxford Economics'!$A$7:$AZ$1000,0,IFERROR(MATCH(AD$5,'Oxford Economics'!$A$6:$AZ$6,0),MATCH(AD$5&amp;"",'Oxford Economics'!$A$6:$AZ$6,0))),'Oxford Economics'!$A$7:$A$1000,$C36,'Oxford Economics'!$B$7:$B$1000,Settings!$B$12)-SUMIFS(INDEX('Oxford Economics'!$A$7:$AZ$1000,0,IFERROR(MATCH(AD$5,'Oxford Economics'!$A$6:$AZ$6,0),MATCH(AD$5&amp;"",'Oxford Economics'!$A$6:$AZ$6,0))),'Oxford Economics'!$A$7:$A$1000,$C36,'Oxford Economics'!$B$7:$B$1000,Settings!$B$14),SUMIFS(INDEX('Oxford Economics'!$A$7:$AZ$1000,0,IFERROR(MATCH(AD$5,'Oxford Economics'!$A$6:$AZ$6,0),MATCH(AD$5&amp;"",'Oxford Economics'!$A$6:$AZ$6,0))),'Oxford Economics'!$A$7:$A$1000,$C36,'Oxford Economics'!$B$7:$B$1000,Settings!$B$14)+SUMIFS(INDEX('Oxford Economics'!$A$7:$AZ$1000,0,IFERROR(MATCH(AD$5,'Oxford Economics'!$A$6:$AZ$6,0),MATCH(AD$5&amp;"",'Oxford Economics'!$A$6:$AZ$6,0))),'Oxford Economics'!$A$7:$A$1000,$C36,'Oxford Economics'!$B$7:$B$1000,Settings!$B$16)+IF(Settings!$B$18="",0,SUMIFS(INDEX('Oxford Economics'!$A$7:$AZ$1000,0,IFERROR(MATCH(AD$5,'Oxford Economics'!$A$6:$AZ$6,0),MATCH(AD$5&amp;"",'Oxford Economics'!$A$6:$AZ$6,0))),'Oxford Economics'!$A$7:$A$1000,$C36,'Oxford Economics'!$B$7:$B$1000,Settings!$B$18)))),""))</f>
        <v>1835.46</v>
      </c>
      <c r="AE36" s="38" t="n">
        <f aca="false">IF($A36="","",IFERROR(1/(1/IF($B36="Residential",SUMIFS(INDEX('Oxford Economics'!$A$7:$AZ$1000,0,IFERROR(MATCH(AE$5,'Oxford Economics'!$A$6:$AZ$6,0),MATCH(AE$5&amp;"",'Oxford Economics'!$A$6:$AZ$6,0))),'Oxford Economics'!$A$7:$A$1000,$C36,'Oxford Economics'!$B$7:$B$1000,Settings!$B$12)-SUMIFS(INDEX('Oxford Economics'!$A$7:$AZ$1000,0,IFERROR(MATCH(AE$5,'Oxford Economics'!$A$6:$AZ$6,0),MATCH(AE$5&amp;"",'Oxford Economics'!$A$6:$AZ$6,0))),'Oxford Economics'!$A$7:$A$1000,$C36,'Oxford Economics'!$B$7:$B$1000,Settings!$B$14),SUMIFS(INDEX('Oxford Economics'!$A$7:$AZ$1000,0,IFERROR(MATCH(AE$5,'Oxford Economics'!$A$6:$AZ$6,0),MATCH(AE$5&amp;"",'Oxford Economics'!$A$6:$AZ$6,0))),'Oxford Economics'!$A$7:$A$1000,$C36,'Oxford Economics'!$B$7:$B$1000,Settings!$B$14)+SUMIFS(INDEX('Oxford Economics'!$A$7:$AZ$1000,0,IFERROR(MATCH(AE$5,'Oxford Economics'!$A$6:$AZ$6,0),MATCH(AE$5&amp;"",'Oxford Economics'!$A$6:$AZ$6,0))),'Oxford Economics'!$A$7:$A$1000,$C36,'Oxford Economics'!$B$7:$B$1000,Settings!$B$16)+IF(Settings!$B$18="",0,SUMIFS(INDEX('Oxford Economics'!$A$7:$AZ$1000,0,IFERROR(MATCH(AE$5,'Oxford Economics'!$A$6:$AZ$6,0),MATCH(AE$5&amp;"",'Oxford Economics'!$A$6:$AZ$6,0))),'Oxford Economics'!$A$7:$A$1000,$C36,'Oxford Economics'!$B$7:$B$1000,Settings!$B$18)))),""))</f>
        <v>1423.34</v>
      </c>
      <c r="AF36" s="38" t="n">
        <f aca="false">IF($A36="","",IFERROR(1/(1/IF($B36="Residential",SUMIFS(INDEX('Oxford Economics'!$A$7:$AZ$1000,0,IFERROR(MATCH(AF$5,'Oxford Economics'!$A$6:$AZ$6,0),MATCH(AF$5&amp;"",'Oxford Economics'!$A$6:$AZ$6,0))),'Oxford Economics'!$A$7:$A$1000,$C36,'Oxford Economics'!$B$7:$B$1000,Settings!$B$12)-SUMIFS(INDEX('Oxford Economics'!$A$7:$AZ$1000,0,IFERROR(MATCH(AF$5,'Oxford Economics'!$A$6:$AZ$6,0),MATCH(AF$5&amp;"",'Oxford Economics'!$A$6:$AZ$6,0))),'Oxford Economics'!$A$7:$A$1000,$C36,'Oxford Economics'!$B$7:$B$1000,Settings!$B$14),SUMIFS(INDEX('Oxford Economics'!$A$7:$AZ$1000,0,IFERROR(MATCH(AF$5,'Oxford Economics'!$A$6:$AZ$6,0),MATCH(AF$5&amp;"",'Oxford Economics'!$A$6:$AZ$6,0))),'Oxford Economics'!$A$7:$A$1000,$C36,'Oxford Economics'!$B$7:$B$1000,Settings!$B$14)+SUMIFS(INDEX('Oxford Economics'!$A$7:$AZ$1000,0,IFERROR(MATCH(AF$5,'Oxford Economics'!$A$6:$AZ$6,0),MATCH(AF$5&amp;"",'Oxford Economics'!$A$6:$AZ$6,0))),'Oxford Economics'!$A$7:$A$1000,$C36,'Oxford Economics'!$B$7:$B$1000,Settings!$B$16)+IF(Settings!$B$18="",0,SUMIFS(INDEX('Oxford Economics'!$A$7:$AZ$1000,0,IFERROR(MATCH(AF$5,'Oxford Economics'!$A$6:$AZ$6,0),MATCH(AF$5&amp;"",'Oxford Economics'!$A$6:$AZ$6,0))),'Oxford Economics'!$A$7:$A$1000,$C36,'Oxford Economics'!$B$7:$B$1000,Settings!$B$18)))),""))</f>
        <v>1147.73</v>
      </c>
      <c r="AG36" s="38" t="n">
        <f aca="false">IF($A36="","",IFERROR(1/(1/IF($B36="Residential",SUMIFS(INDEX('Oxford Economics'!$A$7:$AZ$1000,0,IFERROR(MATCH(AG$5,'Oxford Economics'!$A$6:$AZ$6,0),MATCH(AG$5&amp;"",'Oxford Economics'!$A$6:$AZ$6,0))),'Oxford Economics'!$A$7:$A$1000,$C36,'Oxford Economics'!$B$7:$B$1000,Settings!$B$12)-SUMIFS(INDEX('Oxford Economics'!$A$7:$AZ$1000,0,IFERROR(MATCH(AG$5,'Oxford Economics'!$A$6:$AZ$6,0),MATCH(AG$5&amp;"",'Oxford Economics'!$A$6:$AZ$6,0))),'Oxford Economics'!$A$7:$A$1000,$C36,'Oxford Economics'!$B$7:$B$1000,Settings!$B$14),SUMIFS(INDEX('Oxford Economics'!$A$7:$AZ$1000,0,IFERROR(MATCH(AG$5,'Oxford Economics'!$A$6:$AZ$6,0),MATCH(AG$5&amp;"",'Oxford Economics'!$A$6:$AZ$6,0))),'Oxford Economics'!$A$7:$A$1000,$C36,'Oxford Economics'!$B$7:$B$1000,Settings!$B$14)+SUMIFS(INDEX('Oxford Economics'!$A$7:$AZ$1000,0,IFERROR(MATCH(AG$5,'Oxford Economics'!$A$6:$AZ$6,0),MATCH(AG$5&amp;"",'Oxford Economics'!$A$6:$AZ$6,0))),'Oxford Economics'!$A$7:$A$1000,$C36,'Oxford Economics'!$B$7:$B$1000,Settings!$B$16)+IF(Settings!$B$18="",0,SUMIFS(INDEX('Oxford Economics'!$A$7:$AZ$1000,0,IFERROR(MATCH(AG$5,'Oxford Economics'!$A$6:$AZ$6,0),MATCH(AG$5&amp;"",'Oxford Economics'!$A$6:$AZ$6,0))),'Oxford Economics'!$A$7:$A$1000,$C36,'Oxford Economics'!$B$7:$B$1000,Settings!$B$18)))),""))</f>
        <v>1071.2</v>
      </c>
      <c r="AH36" s="38" t="n">
        <f aca="false">IF($A36="","",IFERROR(1/(1/IF($B36="Residential",SUMIFS(INDEX('Oxford Economics'!$A$7:$AZ$1000,0,IFERROR(MATCH(AH$5,'Oxford Economics'!$A$6:$AZ$6,0),MATCH(AH$5&amp;"",'Oxford Economics'!$A$6:$AZ$6,0))),'Oxford Economics'!$A$7:$A$1000,$C36,'Oxford Economics'!$B$7:$B$1000,Settings!$B$12)-SUMIFS(INDEX('Oxford Economics'!$A$7:$AZ$1000,0,IFERROR(MATCH(AH$5,'Oxford Economics'!$A$6:$AZ$6,0),MATCH(AH$5&amp;"",'Oxford Economics'!$A$6:$AZ$6,0))),'Oxford Economics'!$A$7:$A$1000,$C36,'Oxford Economics'!$B$7:$B$1000,Settings!$B$14),SUMIFS(INDEX('Oxford Economics'!$A$7:$AZ$1000,0,IFERROR(MATCH(AH$5,'Oxford Economics'!$A$6:$AZ$6,0),MATCH(AH$5&amp;"",'Oxford Economics'!$A$6:$AZ$6,0))),'Oxford Economics'!$A$7:$A$1000,$C36,'Oxford Economics'!$B$7:$B$1000,Settings!$B$14)+SUMIFS(INDEX('Oxford Economics'!$A$7:$AZ$1000,0,IFERROR(MATCH(AH$5,'Oxford Economics'!$A$6:$AZ$6,0),MATCH(AH$5&amp;"",'Oxford Economics'!$A$6:$AZ$6,0))),'Oxford Economics'!$A$7:$A$1000,$C36,'Oxford Economics'!$B$7:$B$1000,Settings!$B$16)+IF(Settings!$B$18="",0,SUMIFS(INDEX('Oxford Economics'!$A$7:$AZ$1000,0,IFERROR(MATCH(AH$5,'Oxford Economics'!$A$6:$AZ$6,0),MATCH(AH$5&amp;"",'Oxford Economics'!$A$6:$AZ$6,0))),'Oxford Economics'!$A$7:$A$1000,$C36,'Oxford Economics'!$B$7:$B$1000,Settings!$B$18)))),""))</f>
        <v>1025.54</v>
      </c>
      <c r="AI36" s="38" t="n">
        <f aca="false">IF($A36="","",IFERROR(1/(1/IF($B36="Residential",SUMIFS(INDEX('Oxford Economics'!$A$7:$AZ$1000,0,IFERROR(MATCH(AI$5,'Oxford Economics'!$A$6:$AZ$6,0),MATCH(AI$5&amp;"",'Oxford Economics'!$A$6:$AZ$6,0))),'Oxford Economics'!$A$7:$A$1000,$C36,'Oxford Economics'!$B$7:$B$1000,Settings!$B$12)-SUMIFS(INDEX('Oxford Economics'!$A$7:$AZ$1000,0,IFERROR(MATCH(AI$5,'Oxford Economics'!$A$6:$AZ$6,0),MATCH(AI$5&amp;"",'Oxford Economics'!$A$6:$AZ$6,0))),'Oxford Economics'!$A$7:$A$1000,$C36,'Oxford Economics'!$B$7:$B$1000,Settings!$B$14),SUMIFS(INDEX('Oxford Economics'!$A$7:$AZ$1000,0,IFERROR(MATCH(AI$5,'Oxford Economics'!$A$6:$AZ$6,0),MATCH(AI$5&amp;"",'Oxford Economics'!$A$6:$AZ$6,0))),'Oxford Economics'!$A$7:$A$1000,$C36,'Oxford Economics'!$B$7:$B$1000,Settings!$B$14)+SUMIFS(INDEX('Oxford Economics'!$A$7:$AZ$1000,0,IFERROR(MATCH(AI$5,'Oxford Economics'!$A$6:$AZ$6,0),MATCH(AI$5&amp;"",'Oxford Economics'!$A$6:$AZ$6,0))),'Oxford Economics'!$A$7:$A$1000,$C36,'Oxford Economics'!$B$7:$B$1000,Settings!$B$16)+IF(Settings!$B$18="",0,SUMIFS(INDEX('Oxford Economics'!$A$7:$AZ$1000,0,IFERROR(MATCH(AI$5,'Oxford Economics'!$A$6:$AZ$6,0),MATCH(AI$5&amp;"",'Oxford Economics'!$A$6:$AZ$6,0))),'Oxford Economics'!$A$7:$A$1000,$C36,'Oxford Economics'!$B$7:$B$1000,Settings!$B$18)))),""))</f>
        <v>1051.74</v>
      </c>
      <c r="AJ36" s="38" t="n">
        <f aca="false">IF($A36="","",IFERROR(1/(1/IF($B36="Residential",SUMIFS(INDEX('Oxford Economics'!$A$7:$AZ$1000,0,IFERROR(MATCH(AJ$5,'Oxford Economics'!$A$6:$AZ$6,0),MATCH(AJ$5&amp;"",'Oxford Economics'!$A$6:$AZ$6,0))),'Oxford Economics'!$A$7:$A$1000,$C36,'Oxford Economics'!$B$7:$B$1000,Settings!$B$12)-SUMIFS(INDEX('Oxford Economics'!$A$7:$AZ$1000,0,IFERROR(MATCH(AJ$5,'Oxford Economics'!$A$6:$AZ$6,0),MATCH(AJ$5&amp;"",'Oxford Economics'!$A$6:$AZ$6,0))),'Oxford Economics'!$A$7:$A$1000,$C36,'Oxford Economics'!$B$7:$B$1000,Settings!$B$14),SUMIFS(INDEX('Oxford Economics'!$A$7:$AZ$1000,0,IFERROR(MATCH(AJ$5,'Oxford Economics'!$A$6:$AZ$6,0),MATCH(AJ$5&amp;"",'Oxford Economics'!$A$6:$AZ$6,0))),'Oxford Economics'!$A$7:$A$1000,$C36,'Oxford Economics'!$B$7:$B$1000,Settings!$B$14)+SUMIFS(INDEX('Oxford Economics'!$A$7:$AZ$1000,0,IFERROR(MATCH(AJ$5,'Oxford Economics'!$A$6:$AZ$6,0),MATCH(AJ$5&amp;"",'Oxford Economics'!$A$6:$AZ$6,0))),'Oxford Economics'!$A$7:$A$1000,$C36,'Oxford Economics'!$B$7:$B$1000,Settings!$B$16)+IF(Settings!$B$18="",0,SUMIFS(INDEX('Oxford Economics'!$A$7:$AZ$1000,0,IFERROR(MATCH(AJ$5,'Oxford Economics'!$A$6:$AZ$6,0),MATCH(AJ$5&amp;"",'Oxford Economics'!$A$6:$AZ$6,0))),'Oxford Economics'!$A$7:$A$1000,$C36,'Oxford Economics'!$B$7:$B$1000,Settings!$B$18)))),""))</f>
        <v>1141.99</v>
      </c>
      <c r="AK36" s="38" t="n">
        <f aca="false">IF($A36="","",IFERROR(1/(1/IF($B36="Residential",SUMIFS(INDEX('Oxford Economics'!$A$7:$AZ$1000,0,IFERROR(MATCH(AK$5,'Oxford Economics'!$A$6:$AZ$6,0),MATCH(AK$5&amp;"",'Oxford Economics'!$A$6:$AZ$6,0))),'Oxford Economics'!$A$7:$A$1000,$C36,'Oxford Economics'!$B$7:$B$1000,Settings!$B$12)-SUMIFS(INDEX('Oxford Economics'!$A$7:$AZ$1000,0,IFERROR(MATCH(AK$5,'Oxford Economics'!$A$6:$AZ$6,0),MATCH(AK$5&amp;"",'Oxford Economics'!$A$6:$AZ$6,0))),'Oxford Economics'!$A$7:$A$1000,$C36,'Oxford Economics'!$B$7:$B$1000,Settings!$B$14),SUMIFS(INDEX('Oxford Economics'!$A$7:$AZ$1000,0,IFERROR(MATCH(AK$5,'Oxford Economics'!$A$6:$AZ$6,0),MATCH(AK$5&amp;"",'Oxford Economics'!$A$6:$AZ$6,0))),'Oxford Economics'!$A$7:$A$1000,$C36,'Oxford Economics'!$B$7:$B$1000,Settings!$B$14)+SUMIFS(INDEX('Oxford Economics'!$A$7:$AZ$1000,0,IFERROR(MATCH(AK$5,'Oxford Economics'!$A$6:$AZ$6,0),MATCH(AK$5&amp;"",'Oxford Economics'!$A$6:$AZ$6,0))),'Oxford Economics'!$A$7:$A$1000,$C36,'Oxford Economics'!$B$7:$B$1000,Settings!$B$16)+IF(Settings!$B$18="",0,SUMIFS(INDEX('Oxford Economics'!$A$7:$AZ$1000,0,IFERROR(MATCH(AK$5,'Oxford Economics'!$A$6:$AZ$6,0),MATCH(AK$5&amp;"",'Oxford Economics'!$A$6:$AZ$6,0))),'Oxford Economics'!$A$7:$A$1000,$C36,'Oxford Economics'!$B$7:$B$1000,Settings!$B$18)))),""))</f>
        <v>1219.31</v>
      </c>
      <c r="AL36" s="38" t="n">
        <f aca="false">IF($A36="","",IFERROR(1/(1/IF($B36="Residential",SUMIFS(INDEX('Oxford Economics'!$A$7:$AZ$1000,0,IFERROR(MATCH(AL$5,'Oxford Economics'!$A$6:$AZ$6,0),MATCH(AL$5&amp;"",'Oxford Economics'!$A$6:$AZ$6,0))),'Oxford Economics'!$A$7:$A$1000,$C36,'Oxford Economics'!$B$7:$B$1000,Settings!$B$12)-SUMIFS(INDEX('Oxford Economics'!$A$7:$AZ$1000,0,IFERROR(MATCH(AL$5,'Oxford Economics'!$A$6:$AZ$6,0),MATCH(AL$5&amp;"",'Oxford Economics'!$A$6:$AZ$6,0))),'Oxford Economics'!$A$7:$A$1000,$C36,'Oxford Economics'!$B$7:$B$1000,Settings!$B$14),SUMIFS(INDEX('Oxford Economics'!$A$7:$AZ$1000,0,IFERROR(MATCH(AL$5,'Oxford Economics'!$A$6:$AZ$6,0),MATCH(AL$5&amp;"",'Oxford Economics'!$A$6:$AZ$6,0))),'Oxford Economics'!$A$7:$A$1000,$C36,'Oxford Economics'!$B$7:$B$1000,Settings!$B$14)+SUMIFS(INDEX('Oxford Economics'!$A$7:$AZ$1000,0,IFERROR(MATCH(AL$5,'Oxford Economics'!$A$6:$AZ$6,0),MATCH(AL$5&amp;"",'Oxford Economics'!$A$6:$AZ$6,0))),'Oxford Economics'!$A$7:$A$1000,$C36,'Oxford Economics'!$B$7:$B$1000,Settings!$B$16)+IF(Settings!$B$18="",0,SUMIFS(INDEX('Oxford Economics'!$A$7:$AZ$1000,0,IFERROR(MATCH(AL$5,'Oxford Economics'!$A$6:$AZ$6,0),MATCH(AL$5&amp;"",'Oxford Economics'!$A$6:$AZ$6,0))),'Oxford Economics'!$A$7:$A$1000,$C36,'Oxford Economics'!$B$7:$B$1000,Settings!$B$18)))),""))</f>
        <v>1272.28</v>
      </c>
      <c r="AM36" s="38" t="n">
        <f aca="false">IF($A36="","",IFERROR(1/(1/IF($B36="Residential",SUMIFS(INDEX('Oxford Economics'!$A$7:$AZ$1000,0,IFERROR(MATCH(AM$5,'Oxford Economics'!$A$6:$AZ$6,0),MATCH(AM$5&amp;"",'Oxford Economics'!$A$6:$AZ$6,0))),'Oxford Economics'!$A$7:$A$1000,$C36,'Oxford Economics'!$B$7:$B$1000,Settings!$B$12)-SUMIFS(INDEX('Oxford Economics'!$A$7:$AZ$1000,0,IFERROR(MATCH(AM$5,'Oxford Economics'!$A$6:$AZ$6,0),MATCH(AM$5&amp;"",'Oxford Economics'!$A$6:$AZ$6,0))),'Oxford Economics'!$A$7:$A$1000,$C36,'Oxford Economics'!$B$7:$B$1000,Settings!$B$14),SUMIFS(INDEX('Oxford Economics'!$A$7:$AZ$1000,0,IFERROR(MATCH(AM$5,'Oxford Economics'!$A$6:$AZ$6,0),MATCH(AM$5&amp;"",'Oxford Economics'!$A$6:$AZ$6,0))),'Oxford Economics'!$A$7:$A$1000,$C36,'Oxford Economics'!$B$7:$B$1000,Settings!$B$14)+SUMIFS(INDEX('Oxford Economics'!$A$7:$AZ$1000,0,IFERROR(MATCH(AM$5,'Oxford Economics'!$A$6:$AZ$6,0),MATCH(AM$5&amp;"",'Oxford Economics'!$A$6:$AZ$6,0))),'Oxford Economics'!$A$7:$A$1000,$C36,'Oxford Economics'!$B$7:$B$1000,Settings!$B$16)+IF(Settings!$B$18="",0,SUMIFS(INDEX('Oxford Economics'!$A$7:$AZ$1000,0,IFERROR(MATCH(AM$5,'Oxford Economics'!$A$6:$AZ$6,0),MATCH(AM$5&amp;"",'Oxford Economics'!$A$6:$AZ$6,0))),'Oxford Economics'!$A$7:$A$1000,$C36,'Oxford Economics'!$B$7:$B$1000,Settings!$B$18)))),""))</f>
        <v>1305.33</v>
      </c>
    </row>
    <row r="37" customFormat="false" ht="15" hidden="false" customHeight="false" outlineLevel="0" collapsed="false">
      <c r="A37" s="37" t="str">
        <f aca="false">IF('Raw data'!$A37="","",'Raw data'!$A37)</f>
        <v>Norway</v>
      </c>
      <c r="B37" s="37" t="str">
        <f aca="false">IF($A37="","",'Raw data'!$C37)</f>
        <v>Residential</v>
      </c>
      <c r="C37" s="37" t="str">
        <f aca="false">IF($A37="","",IF('Raw data'!$E37="",$A37,'Raw data'!$E37))</f>
        <v>Norway</v>
      </c>
      <c r="D37" s="38" t="n">
        <f aca="false">IF($A37="","",IF(AND(ISNUMBER(P37),ISNUMBER(AB37)),P37+AB37,""))</f>
        <v>4895.05</v>
      </c>
      <c r="E37" s="38" t="n">
        <f aca="false">IF($A37="","",IF(AND(ISNUMBER(Q37),ISNUMBER(AC37)),Q37+AC37,""))</f>
        <v>4903.45</v>
      </c>
      <c r="F37" s="38" t="n">
        <f aca="false">IF($A37="","",IF(AND(ISNUMBER(R37),ISNUMBER(AD37)),R37+AD37,""))</f>
        <v>4862.79</v>
      </c>
      <c r="G37" s="38" t="n">
        <f aca="false">IF($A37="","",IF(AND(ISNUMBER(S37),ISNUMBER(AE37)),S37+AE37,""))</f>
        <v>4758.22</v>
      </c>
      <c r="H37" s="38" t="n">
        <f aca="false">IF($A37="","",IF(AND(ISNUMBER(T37),ISNUMBER(AF37)),T37+AF37,""))</f>
        <v>4512.12</v>
      </c>
      <c r="I37" s="38" t="n">
        <f aca="false">IF($A37="","",IF(AND(ISNUMBER(U37),ISNUMBER(AG37)),U37+AG37,""))</f>
        <v>4324.92</v>
      </c>
      <c r="J37" s="38" t="n">
        <f aca="false">IF($A37="","",IF(AND(ISNUMBER(V37),ISNUMBER(AH37)),V37+AH37,""))</f>
        <v>4084.4</v>
      </c>
      <c r="K37" s="38" t="n">
        <f aca="false">IF($A37="","",IF(AND(ISNUMBER(W37),ISNUMBER(AI37)),W37+AI37,""))</f>
        <v>4107.37</v>
      </c>
      <c r="L37" s="38" t="n">
        <f aca="false">IF($A37="","",IF(AND(ISNUMBER(X37),ISNUMBER(AJ37)),X37+AJ37,""))</f>
        <v>4322.25</v>
      </c>
      <c r="M37" s="38" t="n">
        <f aca="false">IF($A37="","",IF(AND(ISNUMBER(Y37),ISNUMBER(AK37)),Y37+AK37,""))</f>
        <v>4479.47</v>
      </c>
      <c r="N37" s="38" t="n">
        <f aca="false">IF($A37="","",IF(AND(ISNUMBER(Z37),ISNUMBER(AL37)),Z37+AL37,""))</f>
        <v>4640.05</v>
      </c>
      <c r="O37" s="38" t="n">
        <f aca="false">IF($A37="","",IF(AND(ISNUMBER(AA37),ISNUMBER(AM37)),AA37+AM37,""))</f>
        <v>4703.5</v>
      </c>
      <c r="P37" s="38" t="n">
        <f aca="false">IF($A37="","",IFERROR(1/(1/IF($B37="Residential",SUMIFS(INDEX('Oxford Economics'!$A$7:$AZ$1000,0,IFERROR(MATCH(P$5,'Oxford Economics'!$A$6:$AZ$6,0),MATCH(P$5&amp;"",'Oxford Economics'!$A$6:$AZ$6,0))),'Oxford Economics'!$A$7:$A$1000,$C37,'Oxford Economics'!$B$7:$B$1000,Settings!$B$13)-SUMIFS(INDEX('Oxford Economics'!$A$7:$AZ$1000,0,IFERROR(MATCH(P$5,'Oxford Economics'!$A$6:$AZ$6,0),MATCH(P$5&amp;"",'Oxford Economics'!$A$6:$AZ$6,0))),'Oxford Economics'!$A$7:$A$1000,$C37,'Oxford Economics'!$B$7:$B$1000,Settings!$B$15),SUMIFS(INDEX('Oxford Economics'!$A$7:$AZ$1000,0,IFERROR(MATCH(P$5,'Oxford Economics'!$A$6:$AZ$6,0),MATCH(P$5&amp;"",'Oxford Economics'!$A$6:$AZ$6,0))),'Oxford Economics'!$A$7:$A$1000,$C37,'Oxford Economics'!$B$7:$B$1000,Settings!$B$15)+SUMIFS(INDEX('Oxford Economics'!$A$7:$AZ$1000,0,IFERROR(MATCH(P$5,'Oxford Economics'!$A$6:$AZ$6,0),MATCH(P$5&amp;"",'Oxford Economics'!$A$6:$AZ$6,0))),'Oxford Economics'!$A$7:$A$1000,$C37,'Oxford Economics'!$B$7:$B$1000,Settings!$B$17)+IF(Settings!$B$19="",0,SUMIFS(INDEX('Oxford Economics'!$A$7:$AZ$1000,0,IFERROR(MATCH(P$5,'Oxford Economics'!$A$6:$AZ$6,0),MATCH(P$5&amp;"",'Oxford Economics'!$A$6:$AZ$6,0))),'Oxford Economics'!$A$7:$A$1000,$C37,'Oxford Economics'!$B$7:$B$1000,Settings!$B$19)))),""))</f>
        <v>3108.28</v>
      </c>
      <c r="Q37" s="38" t="n">
        <f aca="false">IF($A37="","",IFERROR(1/(1/IF($B37="Residential",SUMIFS(INDEX('Oxford Economics'!$A$7:$AZ$1000,0,IFERROR(MATCH(Q$5,'Oxford Economics'!$A$6:$AZ$6,0),MATCH(Q$5&amp;"",'Oxford Economics'!$A$6:$AZ$6,0))),'Oxford Economics'!$A$7:$A$1000,$C37,'Oxford Economics'!$B$7:$B$1000,Settings!$B$13)-SUMIFS(INDEX('Oxford Economics'!$A$7:$AZ$1000,0,IFERROR(MATCH(Q$5,'Oxford Economics'!$A$6:$AZ$6,0),MATCH(Q$5&amp;"",'Oxford Economics'!$A$6:$AZ$6,0))),'Oxford Economics'!$A$7:$A$1000,$C37,'Oxford Economics'!$B$7:$B$1000,Settings!$B$15),SUMIFS(INDEX('Oxford Economics'!$A$7:$AZ$1000,0,IFERROR(MATCH(Q$5,'Oxford Economics'!$A$6:$AZ$6,0),MATCH(Q$5&amp;"",'Oxford Economics'!$A$6:$AZ$6,0))),'Oxford Economics'!$A$7:$A$1000,$C37,'Oxford Economics'!$B$7:$B$1000,Settings!$B$15)+SUMIFS(INDEX('Oxford Economics'!$A$7:$AZ$1000,0,IFERROR(MATCH(Q$5,'Oxford Economics'!$A$6:$AZ$6,0),MATCH(Q$5&amp;"",'Oxford Economics'!$A$6:$AZ$6,0))),'Oxford Economics'!$A$7:$A$1000,$C37,'Oxford Economics'!$B$7:$B$1000,Settings!$B$17)+IF(Settings!$B$19="",0,SUMIFS(INDEX('Oxford Economics'!$A$7:$AZ$1000,0,IFERROR(MATCH(Q$5,'Oxford Economics'!$A$6:$AZ$6,0),MATCH(Q$5&amp;"",'Oxford Economics'!$A$6:$AZ$6,0))),'Oxford Economics'!$A$7:$A$1000,$C37,'Oxford Economics'!$B$7:$B$1000,Settings!$B$19)))),""))</f>
        <v>2970.47</v>
      </c>
      <c r="R37" s="38" t="n">
        <f aca="false">IF($A37="","",IFERROR(1/(1/IF($B37="Residential",SUMIFS(INDEX('Oxford Economics'!$A$7:$AZ$1000,0,IFERROR(MATCH(R$5,'Oxford Economics'!$A$6:$AZ$6,0),MATCH(R$5&amp;"",'Oxford Economics'!$A$6:$AZ$6,0))),'Oxford Economics'!$A$7:$A$1000,$C37,'Oxford Economics'!$B$7:$B$1000,Settings!$B$13)-SUMIFS(INDEX('Oxford Economics'!$A$7:$AZ$1000,0,IFERROR(MATCH(R$5,'Oxford Economics'!$A$6:$AZ$6,0),MATCH(R$5&amp;"",'Oxford Economics'!$A$6:$AZ$6,0))),'Oxford Economics'!$A$7:$A$1000,$C37,'Oxford Economics'!$B$7:$B$1000,Settings!$B$15),SUMIFS(INDEX('Oxford Economics'!$A$7:$AZ$1000,0,IFERROR(MATCH(R$5,'Oxford Economics'!$A$6:$AZ$6,0),MATCH(R$5&amp;"",'Oxford Economics'!$A$6:$AZ$6,0))),'Oxford Economics'!$A$7:$A$1000,$C37,'Oxford Economics'!$B$7:$B$1000,Settings!$B$15)+SUMIFS(INDEX('Oxford Economics'!$A$7:$AZ$1000,0,IFERROR(MATCH(R$5,'Oxford Economics'!$A$6:$AZ$6,0),MATCH(R$5&amp;"",'Oxford Economics'!$A$6:$AZ$6,0))),'Oxford Economics'!$A$7:$A$1000,$C37,'Oxford Economics'!$B$7:$B$1000,Settings!$B$17)+IF(Settings!$B$19="",0,SUMIFS(INDEX('Oxford Economics'!$A$7:$AZ$1000,0,IFERROR(MATCH(R$5,'Oxford Economics'!$A$6:$AZ$6,0),MATCH(R$5&amp;"",'Oxford Economics'!$A$6:$AZ$6,0))),'Oxford Economics'!$A$7:$A$1000,$C37,'Oxford Economics'!$B$7:$B$1000,Settings!$B$19)))),""))</f>
        <v>3027.33</v>
      </c>
      <c r="S37" s="38" t="n">
        <f aca="false">IF($A37="","",IFERROR(1/(1/IF($B37="Residential",SUMIFS(INDEX('Oxford Economics'!$A$7:$AZ$1000,0,IFERROR(MATCH(S$5,'Oxford Economics'!$A$6:$AZ$6,0),MATCH(S$5&amp;"",'Oxford Economics'!$A$6:$AZ$6,0))),'Oxford Economics'!$A$7:$A$1000,$C37,'Oxford Economics'!$B$7:$B$1000,Settings!$B$13)-SUMIFS(INDEX('Oxford Economics'!$A$7:$AZ$1000,0,IFERROR(MATCH(S$5,'Oxford Economics'!$A$6:$AZ$6,0),MATCH(S$5&amp;"",'Oxford Economics'!$A$6:$AZ$6,0))),'Oxford Economics'!$A$7:$A$1000,$C37,'Oxford Economics'!$B$7:$B$1000,Settings!$B$15),SUMIFS(INDEX('Oxford Economics'!$A$7:$AZ$1000,0,IFERROR(MATCH(S$5,'Oxford Economics'!$A$6:$AZ$6,0),MATCH(S$5&amp;"",'Oxford Economics'!$A$6:$AZ$6,0))),'Oxford Economics'!$A$7:$A$1000,$C37,'Oxford Economics'!$B$7:$B$1000,Settings!$B$15)+SUMIFS(INDEX('Oxford Economics'!$A$7:$AZ$1000,0,IFERROR(MATCH(S$5,'Oxford Economics'!$A$6:$AZ$6,0),MATCH(S$5&amp;"",'Oxford Economics'!$A$6:$AZ$6,0))),'Oxford Economics'!$A$7:$A$1000,$C37,'Oxford Economics'!$B$7:$B$1000,Settings!$B$17)+IF(Settings!$B$19="",0,SUMIFS(INDEX('Oxford Economics'!$A$7:$AZ$1000,0,IFERROR(MATCH(S$5,'Oxford Economics'!$A$6:$AZ$6,0),MATCH(S$5&amp;"",'Oxford Economics'!$A$6:$AZ$6,0))),'Oxford Economics'!$A$7:$A$1000,$C37,'Oxford Economics'!$B$7:$B$1000,Settings!$B$19)))),""))</f>
        <v>3334.88</v>
      </c>
      <c r="T37" s="38" t="n">
        <f aca="false">IF($A37="","",IFERROR(1/(1/IF($B37="Residential",SUMIFS(INDEX('Oxford Economics'!$A$7:$AZ$1000,0,IFERROR(MATCH(T$5,'Oxford Economics'!$A$6:$AZ$6,0),MATCH(T$5&amp;"",'Oxford Economics'!$A$6:$AZ$6,0))),'Oxford Economics'!$A$7:$A$1000,$C37,'Oxford Economics'!$B$7:$B$1000,Settings!$B$13)-SUMIFS(INDEX('Oxford Economics'!$A$7:$AZ$1000,0,IFERROR(MATCH(T$5,'Oxford Economics'!$A$6:$AZ$6,0),MATCH(T$5&amp;"",'Oxford Economics'!$A$6:$AZ$6,0))),'Oxford Economics'!$A$7:$A$1000,$C37,'Oxford Economics'!$B$7:$B$1000,Settings!$B$15),SUMIFS(INDEX('Oxford Economics'!$A$7:$AZ$1000,0,IFERROR(MATCH(T$5,'Oxford Economics'!$A$6:$AZ$6,0),MATCH(T$5&amp;"",'Oxford Economics'!$A$6:$AZ$6,0))),'Oxford Economics'!$A$7:$A$1000,$C37,'Oxford Economics'!$B$7:$B$1000,Settings!$B$15)+SUMIFS(INDEX('Oxford Economics'!$A$7:$AZ$1000,0,IFERROR(MATCH(T$5,'Oxford Economics'!$A$6:$AZ$6,0),MATCH(T$5&amp;"",'Oxford Economics'!$A$6:$AZ$6,0))),'Oxford Economics'!$A$7:$A$1000,$C37,'Oxford Economics'!$B$7:$B$1000,Settings!$B$17)+IF(Settings!$B$19="",0,SUMIFS(INDEX('Oxford Economics'!$A$7:$AZ$1000,0,IFERROR(MATCH(T$5,'Oxford Economics'!$A$6:$AZ$6,0),MATCH(T$5&amp;"",'Oxford Economics'!$A$6:$AZ$6,0))),'Oxford Economics'!$A$7:$A$1000,$C37,'Oxford Economics'!$B$7:$B$1000,Settings!$B$19)))),""))</f>
        <v>3364.39</v>
      </c>
      <c r="U37" s="38" t="n">
        <f aca="false">IF($A37="","",IFERROR(1/(1/IF($B37="Residential",SUMIFS(INDEX('Oxford Economics'!$A$7:$AZ$1000,0,IFERROR(MATCH(U$5,'Oxford Economics'!$A$6:$AZ$6,0),MATCH(U$5&amp;"",'Oxford Economics'!$A$6:$AZ$6,0))),'Oxford Economics'!$A$7:$A$1000,$C37,'Oxford Economics'!$B$7:$B$1000,Settings!$B$13)-SUMIFS(INDEX('Oxford Economics'!$A$7:$AZ$1000,0,IFERROR(MATCH(U$5,'Oxford Economics'!$A$6:$AZ$6,0),MATCH(U$5&amp;"",'Oxford Economics'!$A$6:$AZ$6,0))),'Oxford Economics'!$A$7:$A$1000,$C37,'Oxford Economics'!$B$7:$B$1000,Settings!$B$15),SUMIFS(INDEX('Oxford Economics'!$A$7:$AZ$1000,0,IFERROR(MATCH(U$5,'Oxford Economics'!$A$6:$AZ$6,0),MATCH(U$5&amp;"",'Oxford Economics'!$A$6:$AZ$6,0))),'Oxford Economics'!$A$7:$A$1000,$C37,'Oxford Economics'!$B$7:$B$1000,Settings!$B$15)+SUMIFS(INDEX('Oxford Economics'!$A$7:$AZ$1000,0,IFERROR(MATCH(U$5,'Oxford Economics'!$A$6:$AZ$6,0),MATCH(U$5&amp;"",'Oxford Economics'!$A$6:$AZ$6,0))),'Oxford Economics'!$A$7:$A$1000,$C37,'Oxford Economics'!$B$7:$B$1000,Settings!$B$17)+IF(Settings!$B$19="",0,SUMIFS(INDEX('Oxford Economics'!$A$7:$AZ$1000,0,IFERROR(MATCH(U$5,'Oxford Economics'!$A$6:$AZ$6,0),MATCH(U$5&amp;"",'Oxford Economics'!$A$6:$AZ$6,0))),'Oxford Economics'!$A$7:$A$1000,$C37,'Oxford Economics'!$B$7:$B$1000,Settings!$B$19)))),""))</f>
        <v>3253.72</v>
      </c>
      <c r="V37" s="38" t="n">
        <f aca="false">IF($A37="","",IFERROR(1/(1/IF($B37="Residential",SUMIFS(INDEX('Oxford Economics'!$A$7:$AZ$1000,0,IFERROR(MATCH(V$5,'Oxford Economics'!$A$6:$AZ$6,0),MATCH(V$5&amp;"",'Oxford Economics'!$A$6:$AZ$6,0))),'Oxford Economics'!$A$7:$A$1000,$C37,'Oxford Economics'!$B$7:$B$1000,Settings!$B$13)-SUMIFS(INDEX('Oxford Economics'!$A$7:$AZ$1000,0,IFERROR(MATCH(V$5,'Oxford Economics'!$A$6:$AZ$6,0),MATCH(V$5&amp;"",'Oxford Economics'!$A$6:$AZ$6,0))),'Oxford Economics'!$A$7:$A$1000,$C37,'Oxford Economics'!$B$7:$B$1000,Settings!$B$15),SUMIFS(INDEX('Oxford Economics'!$A$7:$AZ$1000,0,IFERROR(MATCH(V$5,'Oxford Economics'!$A$6:$AZ$6,0),MATCH(V$5&amp;"",'Oxford Economics'!$A$6:$AZ$6,0))),'Oxford Economics'!$A$7:$A$1000,$C37,'Oxford Economics'!$B$7:$B$1000,Settings!$B$15)+SUMIFS(INDEX('Oxford Economics'!$A$7:$AZ$1000,0,IFERROR(MATCH(V$5,'Oxford Economics'!$A$6:$AZ$6,0),MATCH(V$5&amp;"",'Oxford Economics'!$A$6:$AZ$6,0))),'Oxford Economics'!$A$7:$A$1000,$C37,'Oxford Economics'!$B$7:$B$1000,Settings!$B$17)+IF(Settings!$B$19="",0,SUMIFS(INDEX('Oxford Economics'!$A$7:$AZ$1000,0,IFERROR(MATCH(V$5,'Oxford Economics'!$A$6:$AZ$6,0),MATCH(V$5&amp;"",'Oxford Economics'!$A$6:$AZ$6,0))),'Oxford Economics'!$A$7:$A$1000,$C37,'Oxford Economics'!$B$7:$B$1000,Settings!$B$19)))),""))</f>
        <v>3058.86</v>
      </c>
      <c r="W37" s="38" t="n">
        <f aca="false">IF($A37="","",IFERROR(1/(1/IF($B37="Residential",SUMIFS(INDEX('Oxford Economics'!$A$7:$AZ$1000,0,IFERROR(MATCH(W$5,'Oxford Economics'!$A$6:$AZ$6,0),MATCH(W$5&amp;"",'Oxford Economics'!$A$6:$AZ$6,0))),'Oxford Economics'!$A$7:$A$1000,$C37,'Oxford Economics'!$B$7:$B$1000,Settings!$B$13)-SUMIFS(INDEX('Oxford Economics'!$A$7:$AZ$1000,0,IFERROR(MATCH(W$5,'Oxford Economics'!$A$6:$AZ$6,0),MATCH(W$5&amp;"",'Oxford Economics'!$A$6:$AZ$6,0))),'Oxford Economics'!$A$7:$A$1000,$C37,'Oxford Economics'!$B$7:$B$1000,Settings!$B$15),SUMIFS(INDEX('Oxford Economics'!$A$7:$AZ$1000,0,IFERROR(MATCH(W$5,'Oxford Economics'!$A$6:$AZ$6,0),MATCH(W$5&amp;"",'Oxford Economics'!$A$6:$AZ$6,0))),'Oxford Economics'!$A$7:$A$1000,$C37,'Oxford Economics'!$B$7:$B$1000,Settings!$B$15)+SUMIFS(INDEX('Oxford Economics'!$A$7:$AZ$1000,0,IFERROR(MATCH(W$5,'Oxford Economics'!$A$6:$AZ$6,0),MATCH(W$5&amp;"",'Oxford Economics'!$A$6:$AZ$6,0))),'Oxford Economics'!$A$7:$A$1000,$C37,'Oxford Economics'!$B$7:$B$1000,Settings!$B$17)+IF(Settings!$B$19="",0,SUMIFS(INDEX('Oxford Economics'!$A$7:$AZ$1000,0,IFERROR(MATCH(W$5,'Oxford Economics'!$A$6:$AZ$6,0),MATCH(W$5&amp;"",'Oxford Economics'!$A$6:$AZ$6,0))),'Oxford Economics'!$A$7:$A$1000,$C37,'Oxford Economics'!$B$7:$B$1000,Settings!$B$19)))),""))</f>
        <v>3055.63</v>
      </c>
      <c r="X37" s="38" t="n">
        <f aca="false">IF($A37="","",IFERROR(1/(1/IF($B37="Residential",SUMIFS(INDEX('Oxford Economics'!$A$7:$AZ$1000,0,IFERROR(MATCH(X$5,'Oxford Economics'!$A$6:$AZ$6,0),MATCH(X$5&amp;"",'Oxford Economics'!$A$6:$AZ$6,0))),'Oxford Economics'!$A$7:$A$1000,$C37,'Oxford Economics'!$B$7:$B$1000,Settings!$B$13)-SUMIFS(INDEX('Oxford Economics'!$A$7:$AZ$1000,0,IFERROR(MATCH(X$5,'Oxford Economics'!$A$6:$AZ$6,0),MATCH(X$5&amp;"",'Oxford Economics'!$A$6:$AZ$6,0))),'Oxford Economics'!$A$7:$A$1000,$C37,'Oxford Economics'!$B$7:$B$1000,Settings!$B$15),SUMIFS(INDEX('Oxford Economics'!$A$7:$AZ$1000,0,IFERROR(MATCH(X$5,'Oxford Economics'!$A$6:$AZ$6,0),MATCH(X$5&amp;"",'Oxford Economics'!$A$6:$AZ$6,0))),'Oxford Economics'!$A$7:$A$1000,$C37,'Oxford Economics'!$B$7:$B$1000,Settings!$B$15)+SUMIFS(INDEX('Oxford Economics'!$A$7:$AZ$1000,0,IFERROR(MATCH(X$5,'Oxford Economics'!$A$6:$AZ$6,0),MATCH(X$5&amp;"",'Oxford Economics'!$A$6:$AZ$6,0))),'Oxford Economics'!$A$7:$A$1000,$C37,'Oxford Economics'!$B$7:$B$1000,Settings!$B$17)+IF(Settings!$B$19="",0,SUMIFS(INDEX('Oxford Economics'!$A$7:$AZ$1000,0,IFERROR(MATCH(X$5,'Oxford Economics'!$A$6:$AZ$6,0),MATCH(X$5&amp;"",'Oxford Economics'!$A$6:$AZ$6,0))),'Oxford Economics'!$A$7:$A$1000,$C37,'Oxford Economics'!$B$7:$B$1000,Settings!$B$19)))),""))</f>
        <v>3180.26</v>
      </c>
      <c r="Y37" s="38" t="n">
        <f aca="false">IF($A37="","",IFERROR(1/(1/IF($B37="Residential",SUMIFS(INDEX('Oxford Economics'!$A$7:$AZ$1000,0,IFERROR(MATCH(Y$5,'Oxford Economics'!$A$6:$AZ$6,0),MATCH(Y$5&amp;"",'Oxford Economics'!$A$6:$AZ$6,0))),'Oxford Economics'!$A$7:$A$1000,$C37,'Oxford Economics'!$B$7:$B$1000,Settings!$B$13)-SUMIFS(INDEX('Oxford Economics'!$A$7:$AZ$1000,0,IFERROR(MATCH(Y$5,'Oxford Economics'!$A$6:$AZ$6,0),MATCH(Y$5&amp;"",'Oxford Economics'!$A$6:$AZ$6,0))),'Oxford Economics'!$A$7:$A$1000,$C37,'Oxford Economics'!$B$7:$B$1000,Settings!$B$15),SUMIFS(INDEX('Oxford Economics'!$A$7:$AZ$1000,0,IFERROR(MATCH(Y$5,'Oxford Economics'!$A$6:$AZ$6,0),MATCH(Y$5&amp;"",'Oxford Economics'!$A$6:$AZ$6,0))),'Oxford Economics'!$A$7:$A$1000,$C37,'Oxford Economics'!$B$7:$B$1000,Settings!$B$15)+SUMIFS(INDEX('Oxford Economics'!$A$7:$AZ$1000,0,IFERROR(MATCH(Y$5,'Oxford Economics'!$A$6:$AZ$6,0),MATCH(Y$5&amp;"",'Oxford Economics'!$A$6:$AZ$6,0))),'Oxford Economics'!$A$7:$A$1000,$C37,'Oxford Economics'!$B$7:$B$1000,Settings!$B$17)+IF(Settings!$B$19="",0,SUMIFS(INDEX('Oxford Economics'!$A$7:$AZ$1000,0,IFERROR(MATCH(Y$5,'Oxford Economics'!$A$6:$AZ$6,0),MATCH(Y$5&amp;"",'Oxford Economics'!$A$6:$AZ$6,0))),'Oxford Economics'!$A$7:$A$1000,$C37,'Oxford Economics'!$B$7:$B$1000,Settings!$B$19)))),""))</f>
        <v>3260.16</v>
      </c>
      <c r="Z37" s="38" t="n">
        <f aca="false">IF($A37="","",IFERROR(1/(1/IF($B37="Residential",SUMIFS(INDEX('Oxford Economics'!$A$7:$AZ$1000,0,IFERROR(MATCH(Z$5,'Oxford Economics'!$A$6:$AZ$6,0),MATCH(Z$5&amp;"",'Oxford Economics'!$A$6:$AZ$6,0))),'Oxford Economics'!$A$7:$A$1000,$C37,'Oxford Economics'!$B$7:$B$1000,Settings!$B$13)-SUMIFS(INDEX('Oxford Economics'!$A$7:$AZ$1000,0,IFERROR(MATCH(Z$5,'Oxford Economics'!$A$6:$AZ$6,0),MATCH(Z$5&amp;"",'Oxford Economics'!$A$6:$AZ$6,0))),'Oxford Economics'!$A$7:$A$1000,$C37,'Oxford Economics'!$B$7:$B$1000,Settings!$B$15),SUMIFS(INDEX('Oxford Economics'!$A$7:$AZ$1000,0,IFERROR(MATCH(Z$5,'Oxford Economics'!$A$6:$AZ$6,0),MATCH(Z$5&amp;"",'Oxford Economics'!$A$6:$AZ$6,0))),'Oxford Economics'!$A$7:$A$1000,$C37,'Oxford Economics'!$B$7:$B$1000,Settings!$B$15)+SUMIFS(INDEX('Oxford Economics'!$A$7:$AZ$1000,0,IFERROR(MATCH(Z$5,'Oxford Economics'!$A$6:$AZ$6,0),MATCH(Z$5&amp;"",'Oxford Economics'!$A$6:$AZ$6,0))),'Oxford Economics'!$A$7:$A$1000,$C37,'Oxford Economics'!$B$7:$B$1000,Settings!$B$17)+IF(Settings!$B$19="",0,SUMIFS(INDEX('Oxford Economics'!$A$7:$AZ$1000,0,IFERROR(MATCH(Z$5,'Oxford Economics'!$A$6:$AZ$6,0),MATCH(Z$5&amp;"",'Oxford Economics'!$A$6:$AZ$6,0))),'Oxford Economics'!$A$7:$A$1000,$C37,'Oxford Economics'!$B$7:$B$1000,Settings!$B$19)))),""))</f>
        <v>3367.77</v>
      </c>
      <c r="AA37" s="38" t="n">
        <f aca="false">IF($A37="","",IFERROR(1/(1/IF($B37="Residential",SUMIFS(INDEX('Oxford Economics'!$A$7:$AZ$1000,0,IFERROR(MATCH(AA$5,'Oxford Economics'!$A$6:$AZ$6,0),MATCH(AA$5&amp;"",'Oxford Economics'!$A$6:$AZ$6,0))),'Oxford Economics'!$A$7:$A$1000,$C37,'Oxford Economics'!$B$7:$B$1000,Settings!$B$13)-SUMIFS(INDEX('Oxford Economics'!$A$7:$AZ$1000,0,IFERROR(MATCH(AA$5,'Oxford Economics'!$A$6:$AZ$6,0),MATCH(AA$5&amp;"",'Oxford Economics'!$A$6:$AZ$6,0))),'Oxford Economics'!$A$7:$A$1000,$C37,'Oxford Economics'!$B$7:$B$1000,Settings!$B$15),SUMIFS(INDEX('Oxford Economics'!$A$7:$AZ$1000,0,IFERROR(MATCH(AA$5,'Oxford Economics'!$A$6:$AZ$6,0),MATCH(AA$5&amp;"",'Oxford Economics'!$A$6:$AZ$6,0))),'Oxford Economics'!$A$7:$A$1000,$C37,'Oxford Economics'!$B$7:$B$1000,Settings!$B$15)+SUMIFS(INDEX('Oxford Economics'!$A$7:$AZ$1000,0,IFERROR(MATCH(AA$5,'Oxford Economics'!$A$6:$AZ$6,0),MATCH(AA$5&amp;"",'Oxford Economics'!$A$6:$AZ$6,0))),'Oxford Economics'!$A$7:$A$1000,$C37,'Oxford Economics'!$B$7:$B$1000,Settings!$B$17)+IF(Settings!$B$19="",0,SUMIFS(INDEX('Oxford Economics'!$A$7:$AZ$1000,0,IFERROR(MATCH(AA$5,'Oxford Economics'!$A$6:$AZ$6,0),MATCH(AA$5&amp;"",'Oxford Economics'!$A$6:$AZ$6,0))),'Oxford Economics'!$A$7:$A$1000,$C37,'Oxford Economics'!$B$7:$B$1000,Settings!$B$19)))),""))</f>
        <v>3398.17</v>
      </c>
      <c r="AB37" s="38" t="n">
        <f aca="false">IF($A37="","",IFERROR(1/(1/IF($B37="Residential",SUMIFS(INDEX('Oxford Economics'!$A$7:$AZ$1000,0,IFERROR(MATCH(AB$5,'Oxford Economics'!$A$6:$AZ$6,0),MATCH(AB$5&amp;"",'Oxford Economics'!$A$6:$AZ$6,0))),'Oxford Economics'!$A$7:$A$1000,$C37,'Oxford Economics'!$B$7:$B$1000,Settings!$B$12)-SUMIFS(INDEX('Oxford Economics'!$A$7:$AZ$1000,0,IFERROR(MATCH(AB$5,'Oxford Economics'!$A$6:$AZ$6,0),MATCH(AB$5&amp;"",'Oxford Economics'!$A$6:$AZ$6,0))),'Oxford Economics'!$A$7:$A$1000,$C37,'Oxford Economics'!$B$7:$B$1000,Settings!$B$14),SUMIFS(INDEX('Oxford Economics'!$A$7:$AZ$1000,0,IFERROR(MATCH(AB$5,'Oxford Economics'!$A$6:$AZ$6,0),MATCH(AB$5&amp;"",'Oxford Economics'!$A$6:$AZ$6,0))),'Oxford Economics'!$A$7:$A$1000,$C37,'Oxford Economics'!$B$7:$B$1000,Settings!$B$14)+SUMIFS(INDEX('Oxford Economics'!$A$7:$AZ$1000,0,IFERROR(MATCH(AB$5,'Oxford Economics'!$A$6:$AZ$6,0),MATCH(AB$5&amp;"",'Oxford Economics'!$A$6:$AZ$6,0))),'Oxford Economics'!$A$7:$A$1000,$C37,'Oxford Economics'!$B$7:$B$1000,Settings!$B$16)+IF(Settings!$B$18="",0,SUMIFS(INDEX('Oxford Economics'!$A$7:$AZ$1000,0,IFERROR(MATCH(AB$5,'Oxford Economics'!$A$6:$AZ$6,0),MATCH(AB$5&amp;"",'Oxford Economics'!$A$6:$AZ$6,0))),'Oxford Economics'!$A$7:$A$1000,$C37,'Oxford Economics'!$B$7:$B$1000,Settings!$B$18)))),""))</f>
        <v>1786.77</v>
      </c>
      <c r="AC37" s="38" t="n">
        <f aca="false">IF($A37="","",IFERROR(1/(1/IF($B37="Residential",SUMIFS(INDEX('Oxford Economics'!$A$7:$AZ$1000,0,IFERROR(MATCH(AC$5,'Oxford Economics'!$A$6:$AZ$6,0),MATCH(AC$5&amp;"",'Oxford Economics'!$A$6:$AZ$6,0))),'Oxford Economics'!$A$7:$A$1000,$C37,'Oxford Economics'!$B$7:$B$1000,Settings!$B$12)-SUMIFS(INDEX('Oxford Economics'!$A$7:$AZ$1000,0,IFERROR(MATCH(AC$5,'Oxford Economics'!$A$6:$AZ$6,0),MATCH(AC$5&amp;"",'Oxford Economics'!$A$6:$AZ$6,0))),'Oxford Economics'!$A$7:$A$1000,$C37,'Oxford Economics'!$B$7:$B$1000,Settings!$B$14),SUMIFS(INDEX('Oxford Economics'!$A$7:$AZ$1000,0,IFERROR(MATCH(AC$5,'Oxford Economics'!$A$6:$AZ$6,0),MATCH(AC$5&amp;"",'Oxford Economics'!$A$6:$AZ$6,0))),'Oxford Economics'!$A$7:$A$1000,$C37,'Oxford Economics'!$B$7:$B$1000,Settings!$B$14)+SUMIFS(INDEX('Oxford Economics'!$A$7:$AZ$1000,0,IFERROR(MATCH(AC$5,'Oxford Economics'!$A$6:$AZ$6,0),MATCH(AC$5&amp;"",'Oxford Economics'!$A$6:$AZ$6,0))),'Oxford Economics'!$A$7:$A$1000,$C37,'Oxford Economics'!$B$7:$B$1000,Settings!$B$16)+IF(Settings!$B$18="",0,SUMIFS(INDEX('Oxford Economics'!$A$7:$AZ$1000,0,IFERROR(MATCH(AC$5,'Oxford Economics'!$A$6:$AZ$6,0),MATCH(AC$5&amp;"",'Oxford Economics'!$A$6:$AZ$6,0))),'Oxford Economics'!$A$7:$A$1000,$C37,'Oxford Economics'!$B$7:$B$1000,Settings!$B$18)))),""))</f>
        <v>1932.98</v>
      </c>
      <c r="AD37" s="38" t="n">
        <f aca="false">IF($A37="","",IFERROR(1/(1/IF($B37="Residential",SUMIFS(INDEX('Oxford Economics'!$A$7:$AZ$1000,0,IFERROR(MATCH(AD$5,'Oxford Economics'!$A$6:$AZ$6,0),MATCH(AD$5&amp;"",'Oxford Economics'!$A$6:$AZ$6,0))),'Oxford Economics'!$A$7:$A$1000,$C37,'Oxford Economics'!$B$7:$B$1000,Settings!$B$12)-SUMIFS(INDEX('Oxford Economics'!$A$7:$AZ$1000,0,IFERROR(MATCH(AD$5,'Oxford Economics'!$A$6:$AZ$6,0),MATCH(AD$5&amp;"",'Oxford Economics'!$A$6:$AZ$6,0))),'Oxford Economics'!$A$7:$A$1000,$C37,'Oxford Economics'!$B$7:$B$1000,Settings!$B$14),SUMIFS(INDEX('Oxford Economics'!$A$7:$AZ$1000,0,IFERROR(MATCH(AD$5,'Oxford Economics'!$A$6:$AZ$6,0),MATCH(AD$5&amp;"",'Oxford Economics'!$A$6:$AZ$6,0))),'Oxford Economics'!$A$7:$A$1000,$C37,'Oxford Economics'!$B$7:$B$1000,Settings!$B$14)+SUMIFS(INDEX('Oxford Economics'!$A$7:$AZ$1000,0,IFERROR(MATCH(AD$5,'Oxford Economics'!$A$6:$AZ$6,0),MATCH(AD$5&amp;"",'Oxford Economics'!$A$6:$AZ$6,0))),'Oxford Economics'!$A$7:$A$1000,$C37,'Oxford Economics'!$B$7:$B$1000,Settings!$B$16)+IF(Settings!$B$18="",0,SUMIFS(INDEX('Oxford Economics'!$A$7:$AZ$1000,0,IFERROR(MATCH(AD$5,'Oxford Economics'!$A$6:$AZ$6,0),MATCH(AD$5&amp;"",'Oxford Economics'!$A$6:$AZ$6,0))),'Oxford Economics'!$A$7:$A$1000,$C37,'Oxford Economics'!$B$7:$B$1000,Settings!$B$18)))),""))</f>
        <v>1835.46</v>
      </c>
      <c r="AE37" s="38" t="n">
        <f aca="false">IF($A37="","",IFERROR(1/(1/IF($B37="Residential",SUMIFS(INDEX('Oxford Economics'!$A$7:$AZ$1000,0,IFERROR(MATCH(AE$5,'Oxford Economics'!$A$6:$AZ$6,0),MATCH(AE$5&amp;"",'Oxford Economics'!$A$6:$AZ$6,0))),'Oxford Economics'!$A$7:$A$1000,$C37,'Oxford Economics'!$B$7:$B$1000,Settings!$B$12)-SUMIFS(INDEX('Oxford Economics'!$A$7:$AZ$1000,0,IFERROR(MATCH(AE$5,'Oxford Economics'!$A$6:$AZ$6,0),MATCH(AE$5&amp;"",'Oxford Economics'!$A$6:$AZ$6,0))),'Oxford Economics'!$A$7:$A$1000,$C37,'Oxford Economics'!$B$7:$B$1000,Settings!$B$14),SUMIFS(INDEX('Oxford Economics'!$A$7:$AZ$1000,0,IFERROR(MATCH(AE$5,'Oxford Economics'!$A$6:$AZ$6,0),MATCH(AE$5&amp;"",'Oxford Economics'!$A$6:$AZ$6,0))),'Oxford Economics'!$A$7:$A$1000,$C37,'Oxford Economics'!$B$7:$B$1000,Settings!$B$14)+SUMIFS(INDEX('Oxford Economics'!$A$7:$AZ$1000,0,IFERROR(MATCH(AE$5,'Oxford Economics'!$A$6:$AZ$6,0),MATCH(AE$5&amp;"",'Oxford Economics'!$A$6:$AZ$6,0))),'Oxford Economics'!$A$7:$A$1000,$C37,'Oxford Economics'!$B$7:$B$1000,Settings!$B$16)+IF(Settings!$B$18="",0,SUMIFS(INDEX('Oxford Economics'!$A$7:$AZ$1000,0,IFERROR(MATCH(AE$5,'Oxford Economics'!$A$6:$AZ$6,0),MATCH(AE$5&amp;"",'Oxford Economics'!$A$6:$AZ$6,0))),'Oxford Economics'!$A$7:$A$1000,$C37,'Oxford Economics'!$B$7:$B$1000,Settings!$B$18)))),""))</f>
        <v>1423.34</v>
      </c>
      <c r="AF37" s="38" t="n">
        <f aca="false">IF($A37="","",IFERROR(1/(1/IF($B37="Residential",SUMIFS(INDEX('Oxford Economics'!$A$7:$AZ$1000,0,IFERROR(MATCH(AF$5,'Oxford Economics'!$A$6:$AZ$6,0),MATCH(AF$5&amp;"",'Oxford Economics'!$A$6:$AZ$6,0))),'Oxford Economics'!$A$7:$A$1000,$C37,'Oxford Economics'!$B$7:$B$1000,Settings!$B$12)-SUMIFS(INDEX('Oxford Economics'!$A$7:$AZ$1000,0,IFERROR(MATCH(AF$5,'Oxford Economics'!$A$6:$AZ$6,0),MATCH(AF$5&amp;"",'Oxford Economics'!$A$6:$AZ$6,0))),'Oxford Economics'!$A$7:$A$1000,$C37,'Oxford Economics'!$B$7:$B$1000,Settings!$B$14),SUMIFS(INDEX('Oxford Economics'!$A$7:$AZ$1000,0,IFERROR(MATCH(AF$5,'Oxford Economics'!$A$6:$AZ$6,0),MATCH(AF$5&amp;"",'Oxford Economics'!$A$6:$AZ$6,0))),'Oxford Economics'!$A$7:$A$1000,$C37,'Oxford Economics'!$B$7:$B$1000,Settings!$B$14)+SUMIFS(INDEX('Oxford Economics'!$A$7:$AZ$1000,0,IFERROR(MATCH(AF$5,'Oxford Economics'!$A$6:$AZ$6,0),MATCH(AF$5&amp;"",'Oxford Economics'!$A$6:$AZ$6,0))),'Oxford Economics'!$A$7:$A$1000,$C37,'Oxford Economics'!$B$7:$B$1000,Settings!$B$16)+IF(Settings!$B$18="",0,SUMIFS(INDEX('Oxford Economics'!$A$7:$AZ$1000,0,IFERROR(MATCH(AF$5,'Oxford Economics'!$A$6:$AZ$6,0),MATCH(AF$5&amp;"",'Oxford Economics'!$A$6:$AZ$6,0))),'Oxford Economics'!$A$7:$A$1000,$C37,'Oxford Economics'!$B$7:$B$1000,Settings!$B$18)))),""))</f>
        <v>1147.73</v>
      </c>
      <c r="AG37" s="38" t="n">
        <f aca="false">IF($A37="","",IFERROR(1/(1/IF($B37="Residential",SUMIFS(INDEX('Oxford Economics'!$A$7:$AZ$1000,0,IFERROR(MATCH(AG$5,'Oxford Economics'!$A$6:$AZ$6,0),MATCH(AG$5&amp;"",'Oxford Economics'!$A$6:$AZ$6,0))),'Oxford Economics'!$A$7:$A$1000,$C37,'Oxford Economics'!$B$7:$B$1000,Settings!$B$12)-SUMIFS(INDEX('Oxford Economics'!$A$7:$AZ$1000,0,IFERROR(MATCH(AG$5,'Oxford Economics'!$A$6:$AZ$6,0),MATCH(AG$5&amp;"",'Oxford Economics'!$A$6:$AZ$6,0))),'Oxford Economics'!$A$7:$A$1000,$C37,'Oxford Economics'!$B$7:$B$1000,Settings!$B$14),SUMIFS(INDEX('Oxford Economics'!$A$7:$AZ$1000,0,IFERROR(MATCH(AG$5,'Oxford Economics'!$A$6:$AZ$6,0),MATCH(AG$5&amp;"",'Oxford Economics'!$A$6:$AZ$6,0))),'Oxford Economics'!$A$7:$A$1000,$C37,'Oxford Economics'!$B$7:$B$1000,Settings!$B$14)+SUMIFS(INDEX('Oxford Economics'!$A$7:$AZ$1000,0,IFERROR(MATCH(AG$5,'Oxford Economics'!$A$6:$AZ$6,0),MATCH(AG$5&amp;"",'Oxford Economics'!$A$6:$AZ$6,0))),'Oxford Economics'!$A$7:$A$1000,$C37,'Oxford Economics'!$B$7:$B$1000,Settings!$B$16)+IF(Settings!$B$18="",0,SUMIFS(INDEX('Oxford Economics'!$A$7:$AZ$1000,0,IFERROR(MATCH(AG$5,'Oxford Economics'!$A$6:$AZ$6,0),MATCH(AG$5&amp;"",'Oxford Economics'!$A$6:$AZ$6,0))),'Oxford Economics'!$A$7:$A$1000,$C37,'Oxford Economics'!$B$7:$B$1000,Settings!$B$18)))),""))</f>
        <v>1071.2</v>
      </c>
      <c r="AH37" s="38" t="n">
        <f aca="false">IF($A37="","",IFERROR(1/(1/IF($B37="Residential",SUMIFS(INDEX('Oxford Economics'!$A$7:$AZ$1000,0,IFERROR(MATCH(AH$5,'Oxford Economics'!$A$6:$AZ$6,0),MATCH(AH$5&amp;"",'Oxford Economics'!$A$6:$AZ$6,0))),'Oxford Economics'!$A$7:$A$1000,$C37,'Oxford Economics'!$B$7:$B$1000,Settings!$B$12)-SUMIFS(INDEX('Oxford Economics'!$A$7:$AZ$1000,0,IFERROR(MATCH(AH$5,'Oxford Economics'!$A$6:$AZ$6,0),MATCH(AH$5&amp;"",'Oxford Economics'!$A$6:$AZ$6,0))),'Oxford Economics'!$A$7:$A$1000,$C37,'Oxford Economics'!$B$7:$B$1000,Settings!$B$14),SUMIFS(INDEX('Oxford Economics'!$A$7:$AZ$1000,0,IFERROR(MATCH(AH$5,'Oxford Economics'!$A$6:$AZ$6,0),MATCH(AH$5&amp;"",'Oxford Economics'!$A$6:$AZ$6,0))),'Oxford Economics'!$A$7:$A$1000,$C37,'Oxford Economics'!$B$7:$B$1000,Settings!$B$14)+SUMIFS(INDEX('Oxford Economics'!$A$7:$AZ$1000,0,IFERROR(MATCH(AH$5,'Oxford Economics'!$A$6:$AZ$6,0),MATCH(AH$5&amp;"",'Oxford Economics'!$A$6:$AZ$6,0))),'Oxford Economics'!$A$7:$A$1000,$C37,'Oxford Economics'!$B$7:$B$1000,Settings!$B$16)+IF(Settings!$B$18="",0,SUMIFS(INDEX('Oxford Economics'!$A$7:$AZ$1000,0,IFERROR(MATCH(AH$5,'Oxford Economics'!$A$6:$AZ$6,0),MATCH(AH$5&amp;"",'Oxford Economics'!$A$6:$AZ$6,0))),'Oxford Economics'!$A$7:$A$1000,$C37,'Oxford Economics'!$B$7:$B$1000,Settings!$B$18)))),""))</f>
        <v>1025.54</v>
      </c>
      <c r="AI37" s="38" t="n">
        <f aca="false">IF($A37="","",IFERROR(1/(1/IF($B37="Residential",SUMIFS(INDEX('Oxford Economics'!$A$7:$AZ$1000,0,IFERROR(MATCH(AI$5,'Oxford Economics'!$A$6:$AZ$6,0),MATCH(AI$5&amp;"",'Oxford Economics'!$A$6:$AZ$6,0))),'Oxford Economics'!$A$7:$A$1000,$C37,'Oxford Economics'!$B$7:$B$1000,Settings!$B$12)-SUMIFS(INDEX('Oxford Economics'!$A$7:$AZ$1000,0,IFERROR(MATCH(AI$5,'Oxford Economics'!$A$6:$AZ$6,0),MATCH(AI$5&amp;"",'Oxford Economics'!$A$6:$AZ$6,0))),'Oxford Economics'!$A$7:$A$1000,$C37,'Oxford Economics'!$B$7:$B$1000,Settings!$B$14),SUMIFS(INDEX('Oxford Economics'!$A$7:$AZ$1000,0,IFERROR(MATCH(AI$5,'Oxford Economics'!$A$6:$AZ$6,0),MATCH(AI$5&amp;"",'Oxford Economics'!$A$6:$AZ$6,0))),'Oxford Economics'!$A$7:$A$1000,$C37,'Oxford Economics'!$B$7:$B$1000,Settings!$B$14)+SUMIFS(INDEX('Oxford Economics'!$A$7:$AZ$1000,0,IFERROR(MATCH(AI$5,'Oxford Economics'!$A$6:$AZ$6,0),MATCH(AI$5&amp;"",'Oxford Economics'!$A$6:$AZ$6,0))),'Oxford Economics'!$A$7:$A$1000,$C37,'Oxford Economics'!$B$7:$B$1000,Settings!$B$16)+IF(Settings!$B$18="",0,SUMIFS(INDEX('Oxford Economics'!$A$7:$AZ$1000,0,IFERROR(MATCH(AI$5,'Oxford Economics'!$A$6:$AZ$6,0),MATCH(AI$5&amp;"",'Oxford Economics'!$A$6:$AZ$6,0))),'Oxford Economics'!$A$7:$A$1000,$C37,'Oxford Economics'!$B$7:$B$1000,Settings!$B$18)))),""))</f>
        <v>1051.74</v>
      </c>
      <c r="AJ37" s="38" t="n">
        <f aca="false">IF($A37="","",IFERROR(1/(1/IF($B37="Residential",SUMIFS(INDEX('Oxford Economics'!$A$7:$AZ$1000,0,IFERROR(MATCH(AJ$5,'Oxford Economics'!$A$6:$AZ$6,0),MATCH(AJ$5&amp;"",'Oxford Economics'!$A$6:$AZ$6,0))),'Oxford Economics'!$A$7:$A$1000,$C37,'Oxford Economics'!$B$7:$B$1000,Settings!$B$12)-SUMIFS(INDEX('Oxford Economics'!$A$7:$AZ$1000,0,IFERROR(MATCH(AJ$5,'Oxford Economics'!$A$6:$AZ$6,0),MATCH(AJ$5&amp;"",'Oxford Economics'!$A$6:$AZ$6,0))),'Oxford Economics'!$A$7:$A$1000,$C37,'Oxford Economics'!$B$7:$B$1000,Settings!$B$14),SUMIFS(INDEX('Oxford Economics'!$A$7:$AZ$1000,0,IFERROR(MATCH(AJ$5,'Oxford Economics'!$A$6:$AZ$6,0),MATCH(AJ$5&amp;"",'Oxford Economics'!$A$6:$AZ$6,0))),'Oxford Economics'!$A$7:$A$1000,$C37,'Oxford Economics'!$B$7:$B$1000,Settings!$B$14)+SUMIFS(INDEX('Oxford Economics'!$A$7:$AZ$1000,0,IFERROR(MATCH(AJ$5,'Oxford Economics'!$A$6:$AZ$6,0),MATCH(AJ$5&amp;"",'Oxford Economics'!$A$6:$AZ$6,0))),'Oxford Economics'!$A$7:$A$1000,$C37,'Oxford Economics'!$B$7:$B$1000,Settings!$B$16)+IF(Settings!$B$18="",0,SUMIFS(INDEX('Oxford Economics'!$A$7:$AZ$1000,0,IFERROR(MATCH(AJ$5,'Oxford Economics'!$A$6:$AZ$6,0),MATCH(AJ$5&amp;"",'Oxford Economics'!$A$6:$AZ$6,0))),'Oxford Economics'!$A$7:$A$1000,$C37,'Oxford Economics'!$B$7:$B$1000,Settings!$B$18)))),""))</f>
        <v>1141.99</v>
      </c>
      <c r="AK37" s="38" t="n">
        <f aca="false">IF($A37="","",IFERROR(1/(1/IF($B37="Residential",SUMIFS(INDEX('Oxford Economics'!$A$7:$AZ$1000,0,IFERROR(MATCH(AK$5,'Oxford Economics'!$A$6:$AZ$6,0),MATCH(AK$5&amp;"",'Oxford Economics'!$A$6:$AZ$6,0))),'Oxford Economics'!$A$7:$A$1000,$C37,'Oxford Economics'!$B$7:$B$1000,Settings!$B$12)-SUMIFS(INDEX('Oxford Economics'!$A$7:$AZ$1000,0,IFERROR(MATCH(AK$5,'Oxford Economics'!$A$6:$AZ$6,0),MATCH(AK$5&amp;"",'Oxford Economics'!$A$6:$AZ$6,0))),'Oxford Economics'!$A$7:$A$1000,$C37,'Oxford Economics'!$B$7:$B$1000,Settings!$B$14),SUMIFS(INDEX('Oxford Economics'!$A$7:$AZ$1000,0,IFERROR(MATCH(AK$5,'Oxford Economics'!$A$6:$AZ$6,0),MATCH(AK$5&amp;"",'Oxford Economics'!$A$6:$AZ$6,0))),'Oxford Economics'!$A$7:$A$1000,$C37,'Oxford Economics'!$B$7:$B$1000,Settings!$B$14)+SUMIFS(INDEX('Oxford Economics'!$A$7:$AZ$1000,0,IFERROR(MATCH(AK$5,'Oxford Economics'!$A$6:$AZ$6,0),MATCH(AK$5&amp;"",'Oxford Economics'!$A$6:$AZ$6,0))),'Oxford Economics'!$A$7:$A$1000,$C37,'Oxford Economics'!$B$7:$B$1000,Settings!$B$16)+IF(Settings!$B$18="",0,SUMIFS(INDEX('Oxford Economics'!$A$7:$AZ$1000,0,IFERROR(MATCH(AK$5,'Oxford Economics'!$A$6:$AZ$6,0),MATCH(AK$5&amp;"",'Oxford Economics'!$A$6:$AZ$6,0))),'Oxford Economics'!$A$7:$A$1000,$C37,'Oxford Economics'!$B$7:$B$1000,Settings!$B$18)))),""))</f>
        <v>1219.31</v>
      </c>
      <c r="AL37" s="38" t="n">
        <f aca="false">IF($A37="","",IFERROR(1/(1/IF($B37="Residential",SUMIFS(INDEX('Oxford Economics'!$A$7:$AZ$1000,0,IFERROR(MATCH(AL$5,'Oxford Economics'!$A$6:$AZ$6,0),MATCH(AL$5&amp;"",'Oxford Economics'!$A$6:$AZ$6,0))),'Oxford Economics'!$A$7:$A$1000,$C37,'Oxford Economics'!$B$7:$B$1000,Settings!$B$12)-SUMIFS(INDEX('Oxford Economics'!$A$7:$AZ$1000,0,IFERROR(MATCH(AL$5,'Oxford Economics'!$A$6:$AZ$6,0),MATCH(AL$5&amp;"",'Oxford Economics'!$A$6:$AZ$6,0))),'Oxford Economics'!$A$7:$A$1000,$C37,'Oxford Economics'!$B$7:$B$1000,Settings!$B$14),SUMIFS(INDEX('Oxford Economics'!$A$7:$AZ$1000,0,IFERROR(MATCH(AL$5,'Oxford Economics'!$A$6:$AZ$6,0),MATCH(AL$5&amp;"",'Oxford Economics'!$A$6:$AZ$6,0))),'Oxford Economics'!$A$7:$A$1000,$C37,'Oxford Economics'!$B$7:$B$1000,Settings!$B$14)+SUMIFS(INDEX('Oxford Economics'!$A$7:$AZ$1000,0,IFERROR(MATCH(AL$5,'Oxford Economics'!$A$6:$AZ$6,0),MATCH(AL$5&amp;"",'Oxford Economics'!$A$6:$AZ$6,0))),'Oxford Economics'!$A$7:$A$1000,$C37,'Oxford Economics'!$B$7:$B$1000,Settings!$B$16)+IF(Settings!$B$18="",0,SUMIFS(INDEX('Oxford Economics'!$A$7:$AZ$1000,0,IFERROR(MATCH(AL$5,'Oxford Economics'!$A$6:$AZ$6,0),MATCH(AL$5&amp;"",'Oxford Economics'!$A$6:$AZ$6,0))),'Oxford Economics'!$A$7:$A$1000,$C37,'Oxford Economics'!$B$7:$B$1000,Settings!$B$18)))),""))</f>
        <v>1272.28</v>
      </c>
      <c r="AM37" s="38" t="n">
        <f aca="false">IF($A37="","",IFERROR(1/(1/IF($B37="Residential",SUMIFS(INDEX('Oxford Economics'!$A$7:$AZ$1000,0,IFERROR(MATCH(AM$5,'Oxford Economics'!$A$6:$AZ$6,0),MATCH(AM$5&amp;"",'Oxford Economics'!$A$6:$AZ$6,0))),'Oxford Economics'!$A$7:$A$1000,$C37,'Oxford Economics'!$B$7:$B$1000,Settings!$B$12)-SUMIFS(INDEX('Oxford Economics'!$A$7:$AZ$1000,0,IFERROR(MATCH(AM$5,'Oxford Economics'!$A$6:$AZ$6,0),MATCH(AM$5&amp;"",'Oxford Economics'!$A$6:$AZ$6,0))),'Oxford Economics'!$A$7:$A$1000,$C37,'Oxford Economics'!$B$7:$B$1000,Settings!$B$14),SUMIFS(INDEX('Oxford Economics'!$A$7:$AZ$1000,0,IFERROR(MATCH(AM$5,'Oxford Economics'!$A$6:$AZ$6,0),MATCH(AM$5&amp;"",'Oxford Economics'!$A$6:$AZ$6,0))),'Oxford Economics'!$A$7:$A$1000,$C37,'Oxford Economics'!$B$7:$B$1000,Settings!$B$14)+SUMIFS(INDEX('Oxford Economics'!$A$7:$AZ$1000,0,IFERROR(MATCH(AM$5,'Oxford Economics'!$A$6:$AZ$6,0),MATCH(AM$5&amp;"",'Oxford Economics'!$A$6:$AZ$6,0))),'Oxford Economics'!$A$7:$A$1000,$C37,'Oxford Economics'!$B$7:$B$1000,Settings!$B$16)+IF(Settings!$B$18="",0,SUMIFS(INDEX('Oxford Economics'!$A$7:$AZ$1000,0,IFERROR(MATCH(AM$5,'Oxford Economics'!$A$6:$AZ$6,0),MATCH(AM$5&amp;"",'Oxford Economics'!$A$6:$AZ$6,0))),'Oxford Economics'!$A$7:$A$1000,$C37,'Oxford Economics'!$B$7:$B$1000,Settings!$B$18)))),""))</f>
        <v>1305.33</v>
      </c>
    </row>
    <row r="38" customFormat="false" ht="15" hidden="false" customHeight="false" outlineLevel="0" collapsed="false">
      <c r="A38" s="37" t="str">
        <f aca="false">IF('Raw data'!$A38="","",'Raw data'!$A38)</f>
        <v>Norway</v>
      </c>
      <c r="B38" s="37" t="str">
        <f aca="false">IF($A38="","",'Raw data'!$C38)</f>
        <v>Residential</v>
      </c>
      <c r="C38" s="37" t="str">
        <f aca="false">IF($A38="","",IF('Raw data'!$E38="",$A38,'Raw data'!$E38))</f>
        <v>Norway</v>
      </c>
      <c r="D38" s="38" t="n">
        <f aca="false">IF($A38="","",IF(AND(ISNUMBER(P38),ISNUMBER(AB38)),P38+AB38,""))</f>
        <v>4895.05</v>
      </c>
      <c r="E38" s="38" t="n">
        <f aca="false">IF($A38="","",IF(AND(ISNUMBER(Q38),ISNUMBER(AC38)),Q38+AC38,""))</f>
        <v>4903.45</v>
      </c>
      <c r="F38" s="38" t="n">
        <f aca="false">IF($A38="","",IF(AND(ISNUMBER(R38),ISNUMBER(AD38)),R38+AD38,""))</f>
        <v>4862.79</v>
      </c>
      <c r="G38" s="38" t="n">
        <f aca="false">IF($A38="","",IF(AND(ISNUMBER(S38),ISNUMBER(AE38)),S38+AE38,""))</f>
        <v>4758.22</v>
      </c>
      <c r="H38" s="38" t="n">
        <f aca="false">IF($A38="","",IF(AND(ISNUMBER(T38),ISNUMBER(AF38)),T38+AF38,""))</f>
        <v>4512.12</v>
      </c>
      <c r="I38" s="38" t="n">
        <f aca="false">IF($A38="","",IF(AND(ISNUMBER(U38),ISNUMBER(AG38)),U38+AG38,""))</f>
        <v>4324.92</v>
      </c>
      <c r="J38" s="38" t="n">
        <f aca="false">IF($A38="","",IF(AND(ISNUMBER(V38),ISNUMBER(AH38)),V38+AH38,""))</f>
        <v>4084.4</v>
      </c>
      <c r="K38" s="38" t="n">
        <f aca="false">IF($A38="","",IF(AND(ISNUMBER(W38),ISNUMBER(AI38)),W38+AI38,""))</f>
        <v>4107.37</v>
      </c>
      <c r="L38" s="38" t="n">
        <f aca="false">IF($A38="","",IF(AND(ISNUMBER(X38),ISNUMBER(AJ38)),X38+AJ38,""))</f>
        <v>4322.25</v>
      </c>
      <c r="M38" s="38" t="n">
        <f aca="false">IF($A38="","",IF(AND(ISNUMBER(Y38),ISNUMBER(AK38)),Y38+AK38,""))</f>
        <v>4479.47</v>
      </c>
      <c r="N38" s="38" t="n">
        <f aca="false">IF($A38="","",IF(AND(ISNUMBER(Z38),ISNUMBER(AL38)),Z38+AL38,""))</f>
        <v>4640.05</v>
      </c>
      <c r="O38" s="38" t="n">
        <f aca="false">IF($A38="","",IF(AND(ISNUMBER(AA38),ISNUMBER(AM38)),AA38+AM38,""))</f>
        <v>4703.5</v>
      </c>
      <c r="P38" s="38" t="n">
        <f aca="false">IF($A38="","",IFERROR(1/(1/IF($B38="Residential",SUMIFS(INDEX('Oxford Economics'!$A$7:$AZ$1000,0,IFERROR(MATCH(P$5,'Oxford Economics'!$A$6:$AZ$6,0),MATCH(P$5&amp;"",'Oxford Economics'!$A$6:$AZ$6,0))),'Oxford Economics'!$A$7:$A$1000,$C38,'Oxford Economics'!$B$7:$B$1000,Settings!$B$13)-SUMIFS(INDEX('Oxford Economics'!$A$7:$AZ$1000,0,IFERROR(MATCH(P$5,'Oxford Economics'!$A$6:$AZ$6,0),MATCH(P$5&amp;"",'Oxford Economics'!$A$6:$AZ$6,0))),'Oxford Economics'!$A$7:$A$1000,$C38,'Oxford Economics'!$B$7:$B$1000,Settings!$B$15),SUMIFS(INDEX('Oxford Economics'!$A$7:$AZ$1000,0,IFERROR(MATCH(P$5,'Oxford Economics'!$A$6:$AZ$6,0),MATCH(P$5&amp;"",'Oxford Economics'!$A$6:$AZ$6,0))),'Oxford Economics'!$A$7:$A$1000,$C38,'Oxford Economics'!$B$7:$B$1000,Settings!$B$15)+SUMIFS(INDEX('Oxford Economics'!$A$7:$AZ$1000,0,IFERROR(MATCH(P$5,'Oxford Economics'!$A$6:$AZ$6,0),MATCH(P$5&amp;"",'Oxford Economics'!$A$6:$AZ$6,0))),'Oxford Economics'!$A$7:$A$1000,$C38,'Oxford Economics'!$B$7:$B$1000,Settings!$B$17)+IF(Settings!$B$19="",0,SUMIFS(INDEX('Oxford Economics'!$A$7:$AZ$1000,0,IFERROR(MATCH(P$5,'Oxford Economics'!$A$6:$AZ$6,0),MATCH(P$5&amp;"",'Oxford Economics'!$A$6:$AZ$6,0))),'Oxford Economics'!$A$7:$A$1000,$C38,'Oxford Economics'!$B$7:$B$1000,Settings!$B$19)))),""))</f>
        <v>3108.28</v>
      </c>
      <c r="Q38" s="38" t="n">
        <f aca="false">IF($A38="","",IFERROR(1/(1/IF($B38="Residential",SUMIFS(INDEX('Oxford Economics'!$A$7:$AZ$1000,0,IFERROR(MATCH(Q$5,'Oxford Economics'!$A$6:$AZ$6,0),MATCH(Q$5&amp;"",'Oxford Economics'!$A$6:$AZ$6,0))),'Oxford Economics'!$A$7:$A$1000,$C38,'Oxford Economics'!$B$7:$B$1000,Settings!$B$13)-SUMIFS(INDEX('Oxford Economics'!$A$7:$AZ$1000,0,IFERROR(MATCH(Q$5,'Oxford Economics'!$A$6:$AZ$6,0),MATCH(Q$5&amp;"",'Oxford Economics'!$A$6:$AZ$6,0))),'Oxford Economics'!$A$7:$A$1000,$C38,'Oxford Economics'!$B$7:$B$1000,Settings!$B$15),SUMIFS(INDEX('Oxford Economics'!$A$7:$AZ$1000,0,IFERROR(MATCH(Q$5,'Oxford Economics'!$A$6:$AZ$6,0),MATCH(Q$5&amp;"",'Oxford Economics'!$A$6:$AZ$6,0))),'Oxford Economics'!$A$7:$A$1000,$C38,'Oxford Economics'!$B$7:$B$1000,Settings!$B$15)+SUMIFS(INDEX('Oxford Economics'!$A$7:$AZ$1000,0,IFERROR(MATCH(Q$5,'Oxford Economics'!$A$6:$AZ$6,0),MATCH(Q$5&amp;"",'Oxford Economics'!$A$6:$AZ$6,0))),'Oxford Economics'!$A$7:$A$1000,$C38,'Oxford Economics'!$B$7:$B$1000,Settings!$B$17)+IF(Settings!$B$19="",0,SUMIFS(INDEX('Oxford Economics'!$A$7:$AZ$1000,0,IFERROR(MATCH(Q$5,'Oxford Economics'!$A$6:$AZ$6,0),MATCH(Q$5&amp;"",'Oxford Economics'!$A$6:$AZ$6,0))),'Oxford Economics'!$A$7:$A$1000,$C38,'Oxford Economics'!$B$7:$B$1000,Settings!$B$19)))),""))</f>
        <v>2970.47</v>
      </c>
      <c r="R38" s="38" t="n">
        <f aca="false">IF($A38="","",IFERROR(1/(1/IF($B38="Residential",SUMIFS(INDEX('Oxford Economics'!$A$7:$AZ$1000,0,IFERROR(MATCH(R$5,'Oxford Economics'!$A$6:$AZ$6,0),MATCH(R$5&amp;"",'Oxford Economics'!$A$6:$AZ$6,0))),'Oxford Economics'!$A$7:$A$1000,$C38,'Oxford Economics'!$B$7:$B$1000,Settings!$B$13)-SUMIFS(INDEX('Oxford Economics'!$A$7:$AZ$1000,0,IFERROR(MATCH(R$5,'Oxford Economics'!$A$6:$AZ$6,0),MATCH(R$5&amp;"",'Oxford Economics'!$A$6:$AZ$6,0))),'Oxford Economics'!$A$7:$A$1000,$C38,'Oxford Economics'!$B$7:$B$1000,Settings!$B$15),SUMIFS(INDEX('Oxford Economics'!$A$7:$AZ$1000,0,IFERROR(MATCH(R$5,'Oxford Economics'!$A$6:$AZ$6,0),MATCH(R$5&amp;"",'Oxford Economics'!$A$6:$AZ$6,0))),'Oxford Economics'!$A$7:$A$1000,$C38,'Oxford Economics'!$B$7:$B$1000,Settings!$B$15)+SUMIFS(INDEX('Oxford Economics'!$A$7:$AZ$1000,0,IFERROR(MATCH(R$5,'Oxford Economics'!$A$6:$AZ$6,0),MATCH(R$5&amp;"",'Oxford Economics'!$A$6:$AZ$6,0))),'Oxford Economics'!$A$7:$A$1000,$C38,'Oxford Economics'!$B$7:$B$1000,Settings!$B$17)+IF(Settings!$B$19="",0,SUMIFS(INDEX('Oxford Economics'!$A$7:$AZ$1000,0,IFERROR(MATCH(R$5,'Oxford Economics'!$A$6:$AZ$6,0),MATCH(R$5&amp;"",'Oxford Economics'!$A$6:$AZ$6,0))),'Oxford Economics'!$A$7:$A$1000,$C38,'Oxford Economics'!$B$7:$B$1000,Settings!$B$19)))),""))</f>
        <v>3027.33</v>
      </c>
      <c r="S38" s="38" t="n">
        <f aca="false">IF($A38="","",IFERROR(1/(1/IF($B38="Residential",SUMIFS(INDEX('Oxford Economics'!$A$7:$AZ$1000,0,IFERROR(MATCH(S$5,'Oxford Economics'!$A$6:$AZ$6,0),MATCH(S$5&amp;"",'Oxford Economics'!$A$6:$AZ$6,0))),'Oxford Economics'!$A$7:$A$1000,$C38,'Oxford Economics'!$B$7:$B$1000,Settings!$B$13)-SUMIFS(INDEX('Oxford Economics'!$A$7:$AZ$1000,0,IFERROR(MATCH(S$5,'Oxford Economics'!$A$6:$AZ$6,0),MATCH(S$5&amp;"",'Oxford Economics'!$A$6:$AZ$6,0))),'Oxford Economics'!$A$7:$A$1000,$C38,'Oxford Economics'!$B$7:$B$1000,Settings!$B$15),SUMIFS(INDEX('Oxford Economics'!$A$7:$AZ$1000,0,IFERROR(MATCH(S$5,'Oxford Economics'!$A$6:$AZ$6,0),MATCH(S$5&amp;"",'Oxford Economics'!$A$6:$AZ$6,0))),'Oxford Economics'!$A$7:$A$1000,$C38,'Oxford Economics'!$B$7:$B$1000,Settings!$B$15)+SUMIFS(INDEX('Oxford Economics'!$A$7:$AZ$1000,0,IFERROR(MATCH(S$5,'Oxford Economics'!$A$6:$AZ$6,0),MATCH(S$5&amp;"",'Oxford Economics'!$A$6:$AZ$6,0))),'Oxford Economics'!$A$7:$A$1000,$C38,'Oxford Economics'!$B$7:$B$1000,Settings!$B$17)+IF(Settings!$B$19="",0,SUMIFS(INDEX('Oxford Economics'!$A$7:$AZ$1000,0,IFERROR(MATCH(S$5,'Oxford Economics'!$A$6:$AZ$6,0),MATCH(S$5&amp;"",'Oxford Economics'!$A$6:$AZ$6,0))),'Oxford Economics'!$A$7:$A$1000,$C38,'Oxford Economics'!$B$7:$B$1000,Settings!$B$19)))),""))</f>
        <v>3334.88</v>
      </c>
      <c r="T38" s="38" t="n">
        <f aca="false">IF($A38="","",IFERROR(1/(1/IF($B38="Residential",SUMIFS(INDEX('Oxford Economics'!$A$7:$AZ$1000,0,IFERROR(MATCH(T$5,'Oxford Economics'!$A$6:$AZ$6,0),MATCH(T$5&amp;"",'Oxford Economics'!$A$6:$AZ$6,0))),'Oxford Economics'!$A$7:$A$1000,$C38,'Oxford Economics'!$B$7:$B$1000,Settings!$B$13)-SUMIFS(INDEX('Oxford Economics'!$A$7:$AZ$1000,0,IFERROR(MATCH(T$5,'Oxford Economics'!$A$6:$AZ$6,0),MATCH(T$5&amp;"",'Oxford Economics'!$A$6:$AZ$6,0))),'Oxford Economics'!$A$7:$A$1000,$C38,'Oxford Economics'!$B$7:$B$1000,Settings!$B$15),SUMIFS(INDEX('Oxford Economics'!$A$7:$AZ$1000,0,IFERROR(MATCH(T$5,'Oxford Economics'!$A$6:$AZ$6,0),MATCH(T$5&amp;"",'Oxford Economics'!$A$6:$AZ$6,0))),'Oxford Economics'!$A$7:$A$1000,$C38,'Oxford Economics'!$B$7:$B$1000,Settings!$B$15)+SUMIFS(INDEX('Oxford Economics'!$A$7:$AZ$1000,0,IFERROR(MATCH(T$5,'Oxford Economics'!$A$6:$AZ$6,0),MATCH(T$5&amp;"",'Oxford Economics'!$A$6:$AZ$6,0))),'Oxford Economics'!$A$7:$A$1000,$C38,'Oxford Economics'!$B$7:$B$1000,Settings!$B$17)+IF(Settings!$B$19="",0,SUMIFS(INDEX('Oxford Economics'!$A$7:$AZ$1000,0,IFERROR(MATCH(T$5,'Oxford Economics'!$A$6:$AZ$6,0),MATCH(T$5&amp;"",'Oxford Economics'!$A$6:$AZ$6,0))),'Oxford Economics'!$A$7:$A$1000,$C38,'Oxford Economics'!$B$7:$B$1000,Settings!$B$19)))),""))</f>
        <v>3364.39</v>
      </c>
      <c r="U38" s="38" t="n">
        <f aca="false">IF($A38="","",IFERROR(1/(1/IF($B38="Residential",SUMIFS(INDEX('Oxford Economics'!$A$7:$AZ$1000,0,IFERROR(MATCH(U$5,'Oxford Economics'!$A$6:$AZ$6,0),MATCH(U$5&amp;"",'Oxford Economics'!$A$6:$AZ$6,0))),'Oxford Economics'!$A$7:$A$1000,$C38,'Oxford Economics'!$B$7:$B$1000,Settings!$B$13)-SUMIFS(INDEX('Oxford Economics'!$A$7:$AZ$1000,0,IFERROR(MATCH(U$5,'Oxford Economics'!$A$6:$AZ$6,0),MATCH(U$5&amp;"",'Oxford Economics'!$A$6:$AZ$6,0))),'Oxford Economics'!$A$7:$A$1000,$C38,'Oxford Economics'!$B$7:$B$1000,Settings!$B$15),SUMIFS(INDEX('Oxford Economics'!$A$7:$AZ$1000,0,IFERROR(MATCH(U$5,'Oxford Economics'!$A$6:$AZ$6,0),MATCH(U$5&amp;"",'Oxford Economics'!$A$6:$AZ$6,0))),'Oxford Economics'!$A$7:$A$1000,$C38,'Oxford Economics'!$B$7:$B$1000,Settings!$B$15)+SUMIFS(INDEX('Oxford Economics'!$A$7:$AZ$1000,0,IFERROR(MATCH(U$5,'Oxford Economics'!$A$6:$AZ$6,0),MATCH(U$5&amp;"",'Oxford Economics'!$A$6:$AZ$6,0))),'Oxford Economics'!$A$7:$A$1000,$C38,'Oxford Economics'!$B$7:$B$1000,Settings!$B$17)+IF(Settings!$B$19="",0,SUMIFS(INDEX('Oxford Economics'!$A$7:$AZ$1000,0,IFERROR(MATCH(U$5,'Oxford Economics'!$A$6:$AZ$6,0),MATCH(U$5&amp;"",'Oxford Economics'!$A$6:$AZ$6,0))),'Oxford Economics'!$A$7:$A$1000,$C38,'Oxford Economics'!$B$7:$B$1000,Settings!$B$19)))),""))</f>
        <v>3253.72</v>
      </c>
      <c r="V38" s="38" t="n">
        <f aca="false">IF($A38="","",IFERROR(1/(1/IF($B38="Residential",SUMIFS(INDEX('Oxford Economics'!$A$7:$AZ$1000,0,IFERROR(MATCH(V$5,'Oxford Economics'!$A$6:$AZ$6,0),MATCH(V$5&amp;"",'Oxford Economics'!$A$6:$AZ$6,0))),'Oxford Economics'!$A$7:$A$1000,$C38,'Oxford Economics'!$B$7:$B$1000,Settings!$B$13)-SUMIFS(INDEX('Oxford Economics'!$A$7:$AZ$1000,0,IFERROR(MATCH(V$5,'Oxford Economics'!$A$6:$AZ$6,0),MATCH(V$5&amp;"",'Oxford Economics'!$A$6:$AZ$6,0))),'Oxford Economics'!$A$7:$A$1000,$C38,'Oxford Economics'!$B$7:$B$1000,Settings!$B$15),SUMIFS(INDEX('Oxford Economics'!$A$7:$AZ$1000,0,IFERROR(MATCH(V$5,'Oxford Economics'!$A$6:$AZ$6,0),MATCH(V$5&amp;"",'Oxford Economics'!$A$6:$AZ$6,0))),'Oxford Economics'!$A$7:$A$1000,$C38,'Oxford Economics'!$B$7:$B$1000,Settings!$B$15)+SUMIFS(INDEX('Oxford Economics'!$A$7:$AZ$1000,0,IFERROR(MATCH(V$5,'Oxford Economics'!$A$6:$AZ$6,0),MATCH(V$5&amp;"",'Oxford Economics'!$A$6:$AZ$6,0))),'Oxford Economics'!$A$7:$A$1000,$C38,'Oxford Economics'!$B$7:$B$1000,Settings!$B$17)+IF(Settings!$B$19="",0,SUMIFS(INDEX('Oxford Economics'!$A$7:$AZ$1000,0,IFERROR(MATCH(V$5,'Oxford Economics'!$A$6:$AZ$6,0),MATCH(V$5&amp;"",'Oxford Economics'!$A$6:$AZ$6,0))),'Oxford Economics'!$A$7:$A$1000,$C38,'Oxford Economics'!$B$7:$B$1000,Settings!$B$19)))),""))</f>
        <v>3058.86</v>
      </c>
      <c r="W38" s="38" t="n">
        <f aca="false">IF($A38="","",IFERROR(1/(1/IF($B38="Residential",SUMIFS(INDEX('Oxford Economics'!$A$7:$AZ$1000,0,IFERROR(MATCH(W$5,'Oxford Economics'!$A$6:$AZ$6,0),MATCH(W$5&amp;"",'Oxford Economics'!$A$6:$AZ$6,0))),'Oxford Economics'!$A$7:$A$1000,$C38,'Oxford Economics'!$B$7:$B$1000,Settings!$B$13)-SUMIFS(INDEX('Oxford Economics'!$A$7:$AZ$1000,0,IFERROR(MATCH(W$5,'Oxford Economics'!$A$6:$AZ$6,0),MATCH(W$5&amp;"",'Oxford Economics'!$A$6:$AZ$6,0))),'Oxford Economics'!$A$7:$A$1000,$C38,'Oxford Economics'!$B$7:$B$1000,Settings!$B$15),SUMIFS(INDEX('Oxford Economics'!$A$7:$AZ$1000,0,IFERROR(MATCH(W$5,'Oxford Economics'!$A$6:$AZ$6,0),MATCH(W$5&amp;"",'Oxford Economics'!$A$6:$AZ$6,0))),'Oxford Economics'!$A$7:$A$1000,$C38,'Oxford Economics'!$B$7:$B$1000,Settings!$B$15)+SUMIFS(INDEX('Oxford Economics'!$A$7:$AZ$1000,0,IFERROR(MATCH(W$5,'Oxford Economics'!$A$6:$AZ$6,0),MATCH(W$5&amp;"",'Oxford Economics'!$A$6:$AZ$6,0))),'Oxford Economics'!$A$7:$A$1000,$C38,'Oxford Economics'!$B$7:$B$1000,Settings!$B$17)+IF(Settings!$B$19="",0,SUMIFS(INDEX('Oxford Economics'!$A$7:$AZ$1000,0,IFERROR(MATCH(W$5,'Oxford Economics'!$A$6:$AZ$6,0),MATCH(W$5&amp;"",'Oxford Economics'!$A$6:$AZ$6,0))),'Oxford Economics'!$A$7:$A$1000,$C38,'Oxford Economics'!$B$7:$B$1000,Settings!$B$19)))),""))</f>
        <v>3055.63</v>
      </c>
      <c r="X38" s="38" t="n">
        <f aca="false">IF($A38="","",IFERROR(1/(1/IF($B38="Residential",SUMIFS(INDEX('Oxford Economics'!$A$7:$AZ$1000,0,IFERROR(MATCH(X$5,'Oxford Economics'!$A$6:$AZ$6,0),MATCH(X$5&amp;"",'Oxford Economics'!$A$6:$AZ$6,0))),'Oxford Economics'!$A$7:$A$1000,$C38,'Oxford Economics'!$B$7:$B$1000,Settings!$B$13)-SUMIFS(INDEX('Oxford Economics'!$A$7:$AZ$1000,0,IFERROR(MATCH(X$5,'Oxford Economics'!$A$6:$AZ$6,0),MATCH(X$5&amp;"",'Oxford Economics'!$A$6:$AZ$6,0))),'Oxford Economics'!$A$7:$A$1000,$C38,'Oxford Economics'!$B$7:$B$1000,Settings!$B$15),SUMIFS(INDEX('Oxford Economics'!$A$7:$AZ$1000,0,IFERROR(MATCH(X$5,'Oxford Economics'!$A$6:$AZ$6,0),MATCH(X$5&amp;"",'Oxford Economics'!$A$6:$AZ$6,0))),'Oxford Economics'!$A$7:$A$1000,$C38,'Oxford Economics'!$B$7:$B$1000,Settings!$B$15)+SUMIFS(INDEX('Oxford Economics'!$A$7:$AZ$1000,0,IFERROR(MATCH(X$5,'Oxford Economics'!$A$6:$AZ$6,0),MATCH(X$5&amp;"",'Oxford Economics'!$A$6:$AZ$6,0))),'Oxford Economics'!$A$7:$A$1000,$C38,'Oxford Economics'!$B$7:$B$1000,Settings!$B$17)+IF(Settings!$B$19="",0,SUMIFS(INDEX('Oxford Economics'!$A$7:$AZ$1000,0,IFERROR(MATCH(X$5,'Oxford Economics'!$A$6:$AZ$6,0),MATCH(X$5&amp;"",'Oxford Economics'!$A$6:$AZ$6,0))),'Oxford Economics'!$A$7:$A$1000,$C38,'Oxford Economics'!$B$7:$B$1000,Settings!$B$19)))),""))</f>
        <v>3180.26</v>
      </c>
      <c r="Y38" s="38" t="n">
        <f aca="false">IF($A38="","",IFERROR(1/(1/IF($B38="Residential",SUMIFS(INDEX('Oxford Economics'!$A$7:$AZ$1000,0,IFERROR(MATCH(Y$5,'Oxford Economics'!$A$6:$AZ$6,0),MATCH(Y$5&amp;"",'Oxford Economics'!$A$6:$AZ$6,0))),'Oxford Economics'!$A$7:$A$1000,$C38,'Oxford Economics'!$B$7:$B$1000,Settings!$B$13)-SUMIFS(INDEX('Oxford Economics'!$A$7:$AZ$1000,0,IFERROR(MATCH(Y$5,'Oxford Economics'!$A$6:$AZ$6,0),MATCH(Y$5&amp;"",'Oxford Economics'!$A$6:$AZ$6,0))),'Oxford Economics'!$A$7:$A$1000,$C38,'Oxford Economics'!$B$7:$B$1000,Settings!$B$15),SUMIFS(INDEX('Oxford Economics'!$A$7:$AZ$1000,0,IFERROR(MATCH(Y$5,'Oxford Economics'!$A$6:$AZ$6,0),MATCH(Y$5&amp;"",'Oxford Economics'!$A$6:$AZ$6,0))),'Oxford Economics'!$A$7:$A$1000,$C38,'Oxford Economics'!$B$7:$B$1000,Settings!$B$15)+SUMIFS(INDEX('Oxford Economics'!$A$7:$AZ$1000,0,IFERROR(MATCH(Y$5,'Oxford Economics'!$A$6:$AZ$6,0),MATCH(Y$5&amp;"",'Oxford Economics'!$A$6:$AZ$6,0))),'Oxford Economics'!$A$7:$A$1000,$C38,'Oxford Economics'!$B$7:$B$1000,Settings!$B$17)+IF(Settings!$B$19="",0,SUMIFS(INDEX('Oxford Economics'!$A$7:$AZ$1000,0,IFERROR(MATCH(Y$5,'Oxford Economics'!$A$6:$AZ$6,0),MATCH(Y$5&amp;"",'Oxford Economics'!$A$6:$AZ$6,0))),'Oxford Economics'!$A$7:$A$1000,$C38,'Oxford Economics'!$B$7:$B$1000,Settings!$B$19)))),""))</f>
        <v>3260.16</v>
      </c>
      <c r="Z38" s="38" t="n">
        <f aca="false">IF($A38="","",IFERROR(1/(1/IF($B38="Residential",SUMIFS(INDEX('Oxford Economics'!$A$7:$AZ$1000,0,IFERROR(MATCH(Z$5,'Oxford Economics'!$A$6:$AZ$6,0),MATCH(Z$5&amp;"",'Oxford Economics'!$A$6:$AZ$6,0))),'Oxford Economics'!$A$7:$A$1000,$C38,'Oxford Economics'!$B$7:$B$1000,Settings!$B$13)-SUMIFS(INDEX('Oxford Economics'!$A$7:$AZ$1000,0,IFERROR(MATCH(Z$5,'Oxford Economics'!$A$6:$AZ$6,0),MATCH(Z$5&amp;"",'Oxford Economics'!$A$6:$AZ$6,0))),'Oxford Economics'!$A$7:$A$1000,$C38,'Oxford Economics'!$B$7:$B$1000,Settings!$B$15),SUMIFS(INDEX('Oxford Economics'!$A$7:$AZ$1000,0,IFERROR(MATCH(Z$5,'Oxford Economics'!$A$6:$AZ$6,0),MATCH(Z$5&amp;"",'Oxford Economics'!$A$6:$AZ$6,0))),'Oxford Economics'!$A$7:$A$1000,$C38,'Oxford Economics'!$B$7:$B$1000,Settings!$B$15)+SUMIFS(INDEX('Oxford Economics'!$A$7:$AZ$1000,0,IFERROR(MATCH(Z$5,'Oxford Economics'!$A$6:$AZ$6,0),MATCH(Z$5&amp;"",'Oxford Economics'!$A$6:$AZ$6,0))),'Oxford Economics'!$A$7:$A$1000,$C38,'Oxford Economics'!$B$7:$B$1000,Settings!$B$17)+IF(Settings!$B$19="",0,SUMIFS(INDEX('Oxford Economics'!$A$7:$AZ$1000,0,IFERROR(MATCH(Z$5,'Oxford Economics'!$A$6:$AZ$6,0),MATCH(Z$5&amp;"",'Oxford Economics'!$A$6:$AZ$6,0))),'Oxford Economics'!$A$7:$A$1000,$C38,'Oxford Economics'!$B$7:$B$1000,Settings!$B$19)))),""))</f>
        <v>3367.77</v>
      </c>
      <c r="AA38" s="38" t="n">
        <f aca="false">IF($A38="","",IFERROR(1/(1/IF($B38="Residential",SUMIFS(INDEX('Oxford Economics'!$A$7:$AZ$1000,0,IFERROR(MATCH(AA$5,'Oxford Economics'!$A$6:$AZ$6,0),MATCH(AA$5&amp;"",'Oxford Economics'!$A$6:$AZ$6,0))),'Oxford Economics'!$A$7:$A$1000,$C38,'Oxford Economics'!$B$7:$B$1000,Settings!$B$13)-SUMIFS(INDEX('Oxford Economics'!$A$7:$AZ$1000,0,IFERROR(MATCH(AA$5,'Oxford Economics'!$A$6:$AZ$6,0),MATCH(AA$5&amp;"",'Oxford Economics'!$A$6:$AZ$6,0))),'Oxford Economics'!$A$7:$A$1000,$C38,'Oxford Economics'!$B$7:$B$1000,Settings!$B$15),SUMIFS(INDEX('Oxford Economics'!$A$7:$AZ$1000,0,IFERROR(MATCH(AA$5,'Oxford Economics'!$A$6:$AZ$6,0),MATCH(AA$5&amp;"",'Oxford Economics'!$A$6:$AZ$6,0))),'Oxford Economics'!$A$7:$A$1000,$C38,'Oxford Economics'!$B$7:$B$1000,Settings!$B$15)+SUMIFS(INDEX('Oxford Economics'!$A$7:$AZ$1000,0,IFERROR(MATCH(AA$5,'Oxford Economics'!$A$6:$AZ$6,0),MATCH(AA$5&amp;"",'Oxford Economics'!$A$6:$AZ$6,0))),'Oxford Economics'!$A$7:$A$1000,$C38,'Oxford Economics'!$B$7:$B$1000,Settings!$B$17)+IF(Settings!$B$19="",0,SUMIFS(INDEX('Oxford Economics'!$A$7:$AZ$1000,0,IFERROR(MATCH(AA$5,'Oxford Economics'!$A$6:$AZ$6,0),MATCH(AA$5&amp;"",'Oxford Economics'!$A$6:$AZ$6,0))),'Oxford Economics'!$A$7:$A$1000,$C38,'Oxford Economics'!$B$7:$B$1000,Settings!$B$19)))),""))</f>
        <v>3398.17</v>
      </c>
      <c r="AB38" s="38" t="n">
        <f aca="false">IF($A38="","",IFERROR(1/(1/IF($B38="Residential",SUMIFS(INDEX('Oxford Economics'!$A$7:$AZ$1000,0,IFERROR(MATCH(AB$5,'Oxford Economics'!$A$6:$AZ$6,0),MATCH(AB$5&amp;"",'Oxford Economics'!$A$6:$AZ$6,0))),'Oxford Economics'!$A$7:$A$1000,$C38,'Oxford Economics'!$B$7:$B$1000,Settings!$B$12)-SUMIFS(INDEX('Oxford Economics'!$A$7:$AZ$1000,0,IFERROR(MATCH(AB$5,'Oxford Economics'!$A$6:$AZ$6,0),MATCH(AB$5&amp;"",'Oxford Economics'!$A$6:$AZ$6,0))),'Oxford Economics'!$A$7:$A$1000,$C38,'Oxford Economics'!$B$7:$B$1000,Settings!$B$14),SUMIFS(INDEX('Oxford Economics'!$A$7:$AZ$1000,0,IFERROR(MATCH(AB$5,'Oxford Economics'!$A$6:$AZ$6,0),MATCH(AB$5&amp;"",'Oxford Economics'!$A$6:$AZ$6,0))),'Oxford Economics'!$A$7:$A$1000,$C38,'Oxford Economics'!$B$7:$B$1000,Settings!$B$14)+SUMIFS(INDEX('Oxford Economics'!$A$7:$AZ$1000,0,IFERROR(MATCH(AB$5,'Oxford Economics'!$A$6:$AZ$6,0),MATCH(AB$5&amp;"",'Oxford Economics'!$A$6:$AZ$6,0))),'Oxford Economics'!$A$7:$A$1000,$C38,'Oxford Economics'!$B$7:$B$1000,Settings!$B$16)+IF(Settings!$B$18="",0,SUMIFS(INDEX('Oxford Economics'!$A$7:$AZ$1000,0,IFERROR(MATCH(AB$5,'Oxford Economics'!$A$6:$AZ$6,0),MATCH(AB$5&amp;"",'Oxford Economics'!$A$6:$AZ$6,0))),'Oxford Economics'!$A$7:$A$1000,$C38,'Oxford Economics'!$B$7:$B$1000,Settings!$B$18)))),""))</f>
        <v>1786.77</v>
      </c>
      <c r="AC38" s="38" t="n">
        <f aca="false">IF($A38="","",IFERROR(1/(1/IF($B38="Residential",SUMIFS(INDEX('Oxford Economics'!$A$7:$AZ$1000,0,IFERROR(MATCH(AC$5,'Oxford Economics'!$A$6:$AZ$6,0),MATCH(AC$5&amp;"",'Oxford Economics'!$A$6:$AZ$6,0))),'Oxford Economics'!$A$7:$A$1000,$C38,'Oxford Economics'!$B$7:$B$1000,Settings!$B$12)-SUMIFS(INDEX('Oxford Economics'!$A$7:$AZ$1000,0,IFERROR(MATCH(AC$5,'Oxford Economics'!$A$6:$AZ$6,0),MATCH(AC$5&amp;"",'Oxford Economics'!$A$6:$AZ$6,0))),'Oxford Economics'!$A$7:$A$1000,$C38,'Oxford Economics'!$B$7:$B$1000,Settings!$B$14),SUMIFS(INDEX('Oxford Economics'!$A$7:$AZ$1000,0,IFERROR(MATCH(AC$5,'Oxford Economics'!$A$6:$AZ$6,0),MATCH(AC$5&amp;"",'Oxford Economics'!$A$6:$AZ$6,0))),'Oxford Economics'!$A$7:$A$1000,$C38,'Oxford Economics'!$B$7:$B$1000,Settings!$B$14)+SUMIFS(INDEX('Oxford Economics'!$A$7:$AZ$1000,0,IFERROR(MATCH(AC$5,'Oxford Economics'!$A$6:$AZ$6,0),MATCH(AC$5&amp;"",'Oxford Economics'!$A$6:$AZ$6,0))),'Oxford Economics'!$A$7:$A$1000,$C38,'Oxford Economics'!$B$7:$B$1000,Settings!$B$16)+IF(Settings!$B$18="",0,SUMIFS(INDEX('Oxford Economics'!$A$7:$AZ$1000,0,IFERROR(MATCH(AC$5,'Oxford Economics'!$A$6:$AZ$6,0),MATCH(AC$5&amp;"",'Oxford Economics'!$A$6:$AZ$6,0))),'Oxford Economics'!$A$7:$A$1000,$C38,'Oxford Economics'!$B$7:$B$1000,Settings!$B$18)))),""))</f>
        <v>1932.98</v>
      </c>
      <c r="AD38" s="38" t="n">
        <f aca="false">IF($A38="","",IFERROR(1/(1/IF($B38="Residential",SUMIFS(INDEX('Oxford Economics'!$A$7:$AZ$1000,0,IFERROR(MATCH(AD$5,'Oxford Economics'!$A$6:$AZ$6,0),MATCH(AD$5&amp;"",'Oxford Economics'!$A$6:$AZ$6,0))),'Oxford Economics'!$A$7:$A$1000,$C38,'Oxford Economics'!$B$7:$B$1000,Settings!$B$12)-SUMIFS(INDEX('Oxford Economics'!$A$7:$AZ$1000,0,IFERROR(MATCH(AD$5,'Oxford Economics'!$A$6:$AZ$6,0),MATCH(AD$5&amp;"",'Oxford Economics'!$A$6:$AZ$6,0))),'Oxford Economics'!$A$7:$A$1000,$C38,'Oxford Economics'!$B$7:$B$1000,Settings!$B$14),SUMIFS(INDEX('Oxford Economics'!$A$7:$AZ$1000,0,IFERROR(MATCH(AD$5,'Oxford Economics'!$A$6:$AZ$6,0),MATCH(AD$5&amp;"",'Oxford Economics'!$A$6:$AZ$6,0))),'Oxford Economics'!$A$7:$A$1000,$C38,'Oxford Economics'!$B$7:$B$1000,Settings!$B$14)+SUMIFS(INDEX('Oxford Economics'!$A$7:$AZ$1000,0,IFERROR(MATCH(AD$5,'Oxford Economics'!$A$6:$AZ$6,0),MATCH(AD$5&amp;"",'Oxford Economics'!$A$6:$AZ$6,0))),'Oxford Economics'!$A$7:$A$1000,$C38,'Oxford Economics'!$B$7:$B$1000,Settings!$B$16)+IF(Settings!$B$18="",0,SUMIFS(INDEX('Oxford Economics'!$A$7:$AZ$1000,0,IFERROR(MATCH(AD$5,'Oxford Economics'!$A$6:$AZ$6,0),MATCH(AD$5&amp;"",'Oxford Economics'!$A$6:$AZ$6,0))),'Oxford Economics'!$A$7:$A$1000,$C38,'Oxford Economics'!$B$7:$B$1000,Settings!$B$18)))),""))</f>
        <v>1835.46</v>
      </c>
      <c r="AE38" s="38" t="n">
        <f aca="false">IF($A38="","",IFERROR(1/(1/IF($B38="Residential",SUMIFS(INDEX('Oxford Economics'!$A$7:$AZ$1000,0,IFERROR(MATCH(AE$5,'Oxford Economics'!$A$6:$AZ$6,0),MATCH(AE$5&amp;"",'Oxford Economics'!$A$6:$AZ$6,0))),'Oxford Economics'!$A$7:$A$1000,$C38,'Oxford Economics'!$B$7:$B$1000,Settings!$B$12)-SUMIFS(INDEX('Oxford Economics'!$A$7:$AZ$1000,0,IFERROR(MATCH(AE$5,'Oxford Economics'!$A$6:$AZ$6,0),MATCH(AE$5&amp;"",'Oxford Economics'!$A$6:$AZ$6,0))),'Oxford Economics'!$A$7:$A$1000,$C38,'Oxford Economics'!$B$7:$B$1000,Settings!$B$14),SUMIFS(INDEX('Oxford Economics'!$A$7:$AZ$1000,0,IFERROR(MATCH(AE$5,'Oxford Economics'!$A$6:$AZ$6,0),MATCH(AE$5&amp;"",'Oxford Economics'!$A$6:$AZ$6,0))),'Oxford Economics'!$A$7:$A$1000,$C38,'Oxford Economics'!$B$7:$B$1000,Settings!$B$14)+SUMIFS(INDEX('Oxford Economics'!$A$7:$AZ$1000,0,IFERROR(MATCH(AE$5,'Oxford Economics'!$A$6:$AZ$6,0),MATCH(AE$5&amp;"",'Oxford Economics'!$A$6:$AZ$6,0))),'Oxford Economics'!$A$7:$A$1000,$C38,'Oxford Economics'!$B$7:$B$1000,Settings!$B$16)+IF(Settings!$B$18="",0,SUMIFS(INDEX('Oxford Economics'!$A$7:$AZ$1000,0,IFERROR(MATCH(AE$5,'Oxford Economics'!$A$6:$AZ$6,0),MATCH(AE$5&amp;"",'Oxford Economics'!$A$6:$AZ$6,0))),'Oxford Economics'!$A$7:$A$1000,$C38,'Oxford Economics'!$B$7:$B$1000,Settings!$B$18)))),""))</f>
        <v>1423.34</v>
      </c>
      <c r="AF38" s="38" t="n">
        <f aca="false">IF($A38="","",IFERROR(1/(1/IF($B38="Residential",SUMIFS(INDEX('Oxford Economics'!$A$7:$AZ$1000,0,IFERROR(MATCH(AF$5,'Oxford Economics'!$A$6:$AZ$6,0),MATCH(AF$5&amp;"",'Oxford Economics'!$A$6:$AZ$6,0))),'Oxford Economics'!$A$7:$A$1000,$C38,'Oxford Economics'!$B$7:$B$1000,Settings!$B$12)-SUMIFS(INDEX('Oxford Economics'!$A$7:$AZ$1000,0,IFERROR(MATCH(AF$5,'Oxford Economics'!$A$6:$AZ$6,0),MATCH(AF$5&amp;"",'Oxford Economics'!$A$6:$AZ$6,0))),'Oxford Economics'!$A$7:$A$1000,$C38,'Oxford Economics'!$B$7:$B$1000,Settings!$B$14),SUMIFS(INDEX('Oxford Economics'!$A$7:$AZ$1000,0,IFERROR(MATCH(AF$5,'Oxford Economics'!$A$6:$AZ$6,0),MATCH(AF$5&amp;"",'Oxford Economics'!$A$6:$AZ$6,0))),'Oxford Economics'!$A$7:$A$1000,$C38,'Oxford Economics'!$B$7:$B$1000,Settings!$B$14)+SUMIFS(INDEX('Oxford Economics'!$A$7:$AZ$1000,0,IFERROR(MATCH(AF$5,'Oxford Economics'!$A$6:$AZ$6,0),MATCH(AF$5&amp;"",'Oxford Economics'!$A$6:$AZ$6,0))),'Oxford Economics'!$A$7:$A$1000,$C38,'Oxford Economics'!$B$7:$B$1000,Settings!$B$16)+IF(Settings!$B$18="",0,SUMIFS(INDEX('Oxford Economics'!$A$7:$AZ$1000,0,IFERROR(MATCH(AF$5,'Oxford Economics'!$A$6:$AZ$6,0),MATCH(AF$5&amp;"",'Oxford Economics'!$A$6:$AZ$6,0))),'Oxford Economics'!$A$7:$A$1000,$C38,'Oxford Economics'!$B$7:$B$1000,Settings!$B$18)))),""))</f>
        <v>1147.73</v>
      </c>
      <c r="AG38" s="38" t="n">
        <f aca="false">IF($A38="","",IFERROR(1/(1/IF($B38="Residential",SUMIFS(INDEX('Oxford Economics'!$A$7:$AZ$1000,0,IFERROR(MATCH(AG$5,'Oxford Economics'!$A$6:$AZ$6,0),MATCH(AG$5&amp;"",'Oxford Economics'!$A$6:$AZ$6,0))),'Oxford Economics'!$A$7:$A$1000,$C38,'Oxford Economics'!$B$7:$B$1000,Settings!$B$12)-SUMIFS(INDEX('Oxford Economics'!$A$7:$AZ$1000,0,IFERROR(MATCH(AG$5,'Oxford Economics'!$A$6:$AZ$6,0),MATCH(AG$5&amp;"",'Oxford Economics'!$A$6:$AZ$6,0))),'Oxford Economics'!$A$7:$A$1000,$C38,'Oxford Economics'!$B$7:$B$1000,Settings!$B$14),SUMIFS(INDEX('Oxford Economics'!$A$7:$AZ$1000,0,IFERROR(MATCH(AG$5,'Oxford Economics'!$A$6:$AZ$6,0),MATCH(AG$5&amp;"",'Oxford Economics'!$A$6:$AZ$6,0))),'Oxford Economics'!$A$7:$A$1000,$C38,'Oxford Economics'!$B$7:$B$1000,Settings!$B$14)+SUMIFS(INDEX('Oxford Economics'!$A$7:$AZ$1000,0,IFERROR(MATCH(AG$5,'Oxford Economics'!$A$6:$AZ$6,0),MATCH(AG$5&amp;"",'Oxford Economics'!$A$6:$AZ$6,0))),'Oxford Economics'!$A$7:$A$1000,$C38,'Oxford Economics'!$B$7:$B$1000,Settings!$B$16)+IF(Settings!$B$18="",0,SUMIFS(INDEX('Oxford Economics'!$A$7:$AZ$1000,0,IFERROR(MATCH(AG$5,'Oxford Economics'!$A$6:$AZ$6,0),MATCH(AG$5&amp;"",'Oxford Economics'!$A$6:$AZ$6,0))),'Oxford Economics'!$A$7:$A$1000,$C38,'Oxford Economics'!$B$7:$B$1000,Settings!$B$18)))),""))</f>
        <v>1071.2</v>
      </c>
      <c r="AH38" s="38" t="n">
        <f aca="false">IF($A38="","",IFERROR(1/(1/IF($B38="Residential",SUMIFS(INDEX('Oxford Economics'!$A$7:$AZ$1000,0,IFERROR(MATCH(AH$5,'Oxford Economics'!$A$6:$AZ$6,0),MATCH(AH$5&amp;"",'Oxford Economics'!$A$6:$AZ$6,0))),'Oxford Economics'!$A$7:$A$1000,$C38,'Oxford Economics'!$B$7:$B$1000,Settings!$B$12)-SUMIFS(INDEX('Oxford Economics'!$A$7:$AZ$1000,0,IFERROR(MATCH(AH$5,'Oxford Economics'!$A$6:$AZ$6,0),MATCH(AH$5&amp;"",'Oxford Economics'!$A$6:$AZ$6,0))),'Oxford Economics'!$A$7:$A$1000,$C38,'Oxford Economics'!$B$7:$B$1000,Settings!$B$14),SUMIFS(INDEX('Oxford Economics'!$A$7:$AZ$1000,0,IFERROR(MATCH(AH$5,'Oxford Economics'!$A$6:$AZ$6,0),MATCH(AH$5&amp;"",'Oxford Economics'!$A$6:$AZ$6,0))),'Oxford Economics'!$A$7:$A$1000,$C38,'Oxford Economics'!$B$7:$B$1000,Settings!$B$14)+SUMIFS(INDEX('Oxford Economics'!$A$7:$AZ$1000,0,IFERROR(MATCH(AH$5,'Oxford Economics'!$A$6:$AZ$6,0),MATCH(AH$5&amp;"",'Oxford Economics'!$A$6:$AZ$6,0))),'Oxford Economics'!$A$7:$A$1000,$C38,'Oxford Economics'!$B$7:$B$1000,Settings!$B$16)+IF(Settings!$B$18="",0,SUMIFS(INDEX('Oxford Economics'!$A$7:$AZ$1000,0,IFERROR(MATCH(AH$5,'Oxford Economics'!$A$6:$AZ$6,0),MATCH(AH$5&amp;"",'Oxford Economics'!$A$6:$AZ$6,0))),'Oxford Economics'!$A$7:$A$1000,$C38,'Oxford Economics'!$B$7:$B$1000,Settings!$B$18)))),""))</f>
        <v>1025.54</v>
      </c>
      <c r="AI38" s="38" t="n">
        <f aca="false">IF($A38="","",IFERROR(1/(1/IF($B38="Residential",SUMIFS(INDEX('Oxford Economics'!$A$7:$AZ$1000,0,IFERROR(MATCH(AI$5,'Oxford Economics'!$A$6:$AZ$6,0),MATCH(AI$5&amp;"",'Oxford Economics'!$A$6:$AZ$6,0))),'Oxford Economics'!$A$7:$A$1000,$C38,'Oxford Economics'!$B$7:$B$1000,Settings!$B$12)-SUMIFS(INDEX('Oxford Economics'!$A$7:$AZ$1000,0,IFERROR(MATCH(AI$5,'Oxford Economics'!$A$6:$AZ$6,0),MATCH(AI$5&amp;"",'Oxford Economics'!$A$6:$AZ$6,0))),'Oxford Economics'!$A$7:$A$1000,$C38,'Oxford Economics'!$B$7:$B$1000,Settings!$B$14),SUMIFS(INDEX('Oxford Economics'!$A$7:$AZ$1000,0,IFERROR(MATCH(AI$5,'Oxford Economics'!$A$6:$AZ$6,0),MATCH(AI$5&amp;"",'Oxford Economics'!$A$6:$AZ$6,0))),'Oxford Economics'!$A$7:$A$1000,$C38,'Oxford Economics'!$B$7:$B$1000,Settings!$B$14)+SUMIFS(INDEX('Oxford Economics'!$A$7:$AZ$1000,0,IFERROR(MATCH(AI$5,'Oxford Economics'!$A$6:$AZ$6,0),MATCH(AI$5&amp;"",'Oxford Economics'!$A$6:$AZ$6,0))),'Oxford Economics'!$A$7:$A$1000,$C38,'Oxford Economics'!$B$7:$B$1000,Settings!$B$16)+IF(Settings!$B$18="",0,SUMIFS(INDEX('Oxford Economics'!$A$7:$AZ$1000,0,IFERROR(MATCH(AI$5,'Oxford Economics'!$A$6:$AZ$6,0),MATCH(AI$5&amp;"",'Oxford Economics'!$A$6:$AZ$6,0))),'Oxford Economics'!$A$7:$A$1000,$C38,'Oxford Economics'!$B$7:$B$1000,Settings!$B$18)))),""))</f>
        <v>1051.74</v>
      </c>
      <c r="AJ38" s="38" t="n">
        <f aca="false">IF($A38="","",IFERROR(1/(1/IF($B38="Residential",SUMIFS(INDEX('Oxford Economics'!$A$7:$AZ$1000,0,IFERROR(MATCH(AJ$5,'Oxford Economics'!$A$6:$AZ$6,0),MATCH(AJ$5&amp;"",'Oxford Economics'!$A$6:$AZ$6,0))),'Oxford Economics'!$A$7:$A$1000,$C38,'Oxford Economics'!$B$7:$B$1000,Settings!$B$12)-SUMIFS(INDEX('Oxford Economics'!$A$7:$AZ$1000,0,IFERROR(MATCH(AJ$5,'Oxford Economics'!$A$6:$AZ$6,0),MATCH(AJ$5&amp;"",'Oxford Economics'!$A$6:$AZ$6,0))),'Oxford Economics'!$A$7:$A$1000,$C38,'Oxford Economics'!$B$7:$B$1000,Settings!$B$14),SUMIFS(INDEX('Oxford Economics'!$A$7:$AZ$1000,0,IFERROR(MATCH(AJ$5,'Oxford Economics'!$A$6:$AZ$6,0),MATCH(AJ$5&amp;"",'Oxford Economics'!$A$6:$AZ$6,0))),'Oxford Economics'!$A$7:$A$1000,$C38,'Oxford Economics'!$B$7:$B$1000,Settings!$B$14)+SUMIFS(INDEX('Oxford Economics'!$A$7:$AZ$1000,0,IFERROR(MATCH(AJ$5,'Oxford Economics'!$A$6:$AZ$6,0),MATCH(AJ$5&amp;"",'Oxford Economics'!$A$6:$AZ$6,0))),'Oxford Economics'!$A$7:$A$1000,$C38,'Oxford Economics'!$B$7:$B$1000,Settings!$B$16)+IF(Settings!$B$18="",0,SUMIFS(INDEX('Oxford Economics'!$A$7:$AZ$1000,0,IFERROR(MATCH(AJ$5,'Oxford Economics'!$A$6:$AZ$6,0),MATCH(AJ$5&amp;"",'Oxford Economics'!$A$6:$AZ$6,0))),'Oxford Economics'!$A$7:$A$1000,$C38,'Oxford Economics'!$B$7:$B$1000,Settings!$B$18)))),""))</f>
        <v>1141.99</v>
      </c>
      <c r="AK38" s="38" t="n">
        <f aca="false">IF($A38="","",IFERROR(1/(1/IF($B38="Residential",SUMIFS(INDEX('Oxford Economics'!$A$7:$AZ$1000,0,IFERROR(MATCH(AK$5,'Oxford Economics'!$A$6:$AZ$6,0),MATCH(AK$5&amp;"",'Oxford Economics'!$A$6:$AZ$6,0))),'Oxford Economics'!$A$7:$A$1000,$C38,'Oxford Economics'!$B$7:$B$1000,Settings!$B$12)-SUMIFS(INDEX('Oxford Economics'!$A$7:$AZ$1000,0,IFERROR(MATCH(AK$5,'Oxford Economics'!$A$6:$AZ$6,0),MATCH(AK$5&amp;"",'Oxford Economics'!$A$6:$AZ$6,0))),'Oxford Economics'!$A$7:$A$1000,$C38,'Oxford Economics'!$B$7:$B$1000,Settings!$B$14),SUMIFS(INDEX('Oxford Economics'!$A$7:$AZ$1000,0,IFERROR(MATCH(AK$5,'Oxford Economics'!$A$6:$AZ$6,0),MATCH(AK$5&amp;"",'Oxford Economics'!$A$6:$AZ$6,0))),'Oxford Economics'!$A$7:$A$1000,$C38,'Oxford Economics'!$B$7:$B$1000,Settings!$B$14)+SUMIFS(INDEX('Oxford Economics'!$A$7:$AZ$1000,0,IFERROR(MATCH(AK$5,'Oxford Economics'!$A$6:$AZ$6,0),MATCH(AK$5&amp;"",'Oxford Economics'!$A$6:$AZ$6,0))),'Oxford Economics'!$A$7:$A$1000,$C38,'Oxford Economics'!$B$7:$B$1000,Settings!$B$16)+IF(Settings!$B$18="",0,SUMIFS(INDEX('Oxford Economics'!$A$7:$AZ$1000,0,IFERROR(MATCH(AK$5,'Oxford Economics'!$A$6:$AZ$6,0),MATCH(AK$5&amp;"",'Oxford Economics'!$A$6:$AZ$6,0))),'Oxford Economics'!$A$7:$A$1000,$C38,'Oxford Economics'!$B$7:$B$1000,Settings!$B$18)))),""))</f>
        <v>1219.31</v>
      </c>
      <c r="AL38" s="38" t="n">
        <f aca="false">IF($A38="","",IFERROR(1/(1/IF($B38="Residential",SUMIFS(INDEX('Oxford Economics'!$A$7:$AZ$1000,0,IFERROR(MATCH(AL$5,'Oxford Economics'!$A$6:$AZ$6,0),MATCH(AL$5&amp;"",'Oxford Economics'!$A$6:$AZ$6,0))),'Oxford Economics'!$A$7:$A$1000,$C38,'Oxford Economics'!$B$7:$B$1000,Settings!$B$12)-SUMIFS(INDEX('Oxford Economics'!$A$7:$AZ$1000,0,IFERROR(MATCH(AL$5,'Oxford Economics'!$A$6:$AZ$6,0),MATCH(AL$5&amp;"",'Oxford Economics'!$A$6:$AZ$6,0))),'Oxford Economics'!$A$7:$A$1000,$C38,'Oxford Economics'!$B$7:$B$1000,Settings!$B$14),SUMIFS(INDEX('Oxford Economics'!$A$7:$AZ$1000,0,IFERROR(MATCH(AL$5,'Oxford Economics'!$A$6:$AZ$6,0),MATCH(AL$5&amp;"",'Oxford Economics'!$A$6:$AZ$6,0))),'Oxford Economics'!$A$7:$A$1000,$C38,'Oxford Economics'!$B$7:$B$1000,Settings!$B$14)+SUMIFS(INDEX('Oxford Economics'!$A$7:$AZ$1000,0,IFERROR(MATCH(AL$5,'Oxford Economics'!$A$6:$AZ$6,0),MATCH(AL$5&amp;"",'Oxford Economics'!$A$6:$AZ$6,0))),'Oxford Economics'!$A$7:$A$1000,$C38,'Oxford Economics'!$B$7:$B$1000,Settings!$B$16)+IF(Settings!$B$18="",0,SUMIFS(INDEX('Oxford Economics'!$A$7:$AZ$1000,0,IFERROR(MATCH(AL$5,'Oxford Economics'!$A$6:$AZ$6,0),MATCH(AL$5&amp;"",'Oxford Economics'!$A$6:$AZ$6,0))),'Oxford Economics'!$A$7:$A$1000,$C38,'Oxford Economics'!$B$7:$B$1000,Settings!$B$18)))),""))</f>
        <v>1272.28</v>
      </c>
      <c r="AM38" s="38" t="n">
        <f aca="false">IF($A38="","",IFERROR(1/(1/IF($B38="Residential",SUMIFS(INDEX('Oxford Economics'!$A$7:$AZ$1000,0,IFERROR(MATCH(AM$5,'Oxford Economics'!$A$6:$AZ$6,0),MATCH(AM$5&amp;"",'Oxford Economics'!$A$6:$AZ$6,0))),'Oxford Economics'!$A$7:$A$1000,$C38,'Oxford Economics'!$B$7:$B$1000,Settings!$B$12)-SUMIFS(INDEX('Oxford Economics'!$A$7:$AZ$1000,0,IFERROR(MATCH(AM$5,'Oxford Economics'!$A$6:$AZ$6,0),MATCH(AM$5&amp;"",'Oxford Economics'!$A$6:$AZ$6,0))),'Oxford Economics'!$A$7:$A$1000,$C38,'Oxford Economics'!$B$7:$B$1000,Settings!$B$14),SUMIFS(INDEX('Oxford Economics'!$A$7:$AZ$1000,0,IFERROR(MATCH(AM$5,'Oxford Economics'!$A$6:$AZ$6,0),MATCH(AM$5&amp;"",'Oxford Economics'!$A$6:$AZ$6,0))),'Oxford Economics'!$A$7:$A$1000,$C38,'Oxford Economics'!$B$7:$B$1000,Settings!$B$14)+SUMIFS(INDEX('Oxford Economics'!$A$7:$AZ$1000,0,IFERROR(MATCH(AM$5,'Oxford Economics'!$A$6:$AZ$6,0),MATCH(AM$5&amp;"",'Oxford Economics'!$A$6:$AZ$6,0))),'Oxford Economics'!$A$7:$A$1000,$C38,'Oxford Economics'!$B$7:$B$1000,Settings!$B$16)+IF(Settings!$B$18="",0,SUMIFS(INDEX('Oxford Economics'!$A$7:$AZ$1000,0,IFERROR(MATCH(AM$5,'Oxford Economics'!$A$6:$AZ$6,0),MATCH(AM$5&amp;"",'Oxford Economics'!$A$6:$AZ$6,0))),'Oxford Economics'!$A$7:$A$1000,$C38,'Oxford Economics'!$B$7:$B$1000,Settings!$B$18)))),""))</f>
        <v>1305.33</v>
      </c>
    </row>
    <row r="39" customFormat="false" ht="15" hidden="false" customHeight="false" outlineLevel="0" collapsed="false">
      <c r="A39" s="37" t="str">
        <f aca="false">IF('Raw data'!$A39="","",'Raw data'!$A39)</f>
        <v>Norway</v>
      </c>
      <c r="B39" s="37" t="str">
        <f aca="false">IF($A39="","",'Raw data'!$C39)</f>
        <v>Commercial</v>
      </c>
      <c r="C39" s="37" t="str">
        <f aca="false">IF($A39="","",IF('Raw data'!$E39="",$A39,'Raw data'!$E39))</f>
        <v>Norway</v>
      </c>
      <c r="D39" s="38" t="n">
        <f aca="false">IF($A39="","",IF(AND(ISNUMBER(P39),ISNUMBER(AB39)),P39+AB39,""))</f>
        <v>12613.05</v>
      </c>
      <c r="E39" s="38" t="n">
        <f aca="false">IF($A39="","",IF(AND(ISNUMBER(Q39),ISNUMBER(AC39)),Q39+AC39,""))</f>
        <v>12948.06</v>
      </c>
      <c r="F39" s="38" t="n">
        <f aca="false">IF($A39="","",IF(AND(ISNUMBER(R39),ISNUMBER(AD39)),R39+AD39,""))</f>
        <v>13412.33</v>
      </c>
      <c r="G39" s="38" t="n">
        <f aca="false">IF($A39="","",IF(AND(ISNUMBER(S39),ISNUMBER(AE39)),S39+AE39,""))</f>
        <v>12979.57</v>
      </c>
      <c r="H39" s="38" t="n">
        <f aca="false">IF($A39="","",IF(AND(ISNUMBER(T39),ISNUMBER(AF39)),T39+AF39,""))</f>
        <v>12222.4</v>
      </c>
      <c r="I39" s="38" t="n">
        <f aca="false">IF($A39="","",IF(AND(ISNUMBER(U39),ISNUMBER(AG39)),U39+AG39,""))</f>
        <v>11770.8</v>
      </c>
      <c r="J39" s="38" t="n">
        <f aca="false">IF($A39="","",IF(AND(ISNUMBER(V39),ISNUMBER(AH39)),V39+AH39,""))</f>
        <v>12057.35</v>
      </c>
      <c r="K39" s="38" t="n">
        <f aca="false">IF($A39="","",IF(AND(ISNUMBER(W39),ISNUMBER(AI39)),W39+AI39,""))</f>
        <v>12012.11</v>
      </c>
      <c r="L39" s="38" t="n">
        <f aca="false">IF($A39="","",IF(AND(ISNUMBER(X39),ISNUMBER(AJ39)),X39+AJ39,""))</f>
        <v>12211.73</v>
      </c>
      <c r="M39" s="38" t="n">
        <f aca="false">IF($A39="","",IF(AND(ISNUMBER(Y39),ISNUMBER(AK39)),Y39+AK39,""))</f>
        <v>12656.74</v>
      </c>
      <c r="N39" s="38" t="n">
        <f aca="false">IF($A39="","",IF(AND(ISNUMBER(Z39),ISNUMBER(AL39)),Z39+AL39,""))</f>
        <v>13227.63</v>
      </c>
      <c r="O39" s="38" t="n">
        <f aca="false">IF($A39="","",IF(AND(ISNUMBER(AA39),ISNUMBER(AM39)),AA39+AM39,""))</f>
        <v>13465.99</v>
      </c>
      <c r="P39" s="38" t="n">
        <f aca="false">IF($A39="","",IFERROR(1/(1/IF($B39="Residential",SUMIFS(INDEX('Oxford Economics'!$A$7:$AZ$1000,0,IFERROR(MATCH(P$5,'Oxford Economics'!$A$6:$AZ$6,0),MATCH(P$5&amp;"",'Oxford Economics'!$A$6:$AZ$6,0))),'Oxford Economics'!$A$7:$A$1000,$C39,'Oxford Economics'!$B$7:$B$1000,Settings!$B$13)-SUMIFS(INDEX('Oxford Economics'!$A$7:$AZ$1000,0,IFERROR(MATCH(P$5,'Oxford Economics'!$A$6:$AZ$6,0),MATCH(P$5&amp;"",'Oxford Economics'!$A$6:$AZ$6,0))),'Oxford Economics'!$A$7:$A$1000,$C39,'Oxford Economics'!$B$7:$B$1000,Settings!$B$15),SUMIFS(INDEX('Oxford Economics'!$A$7:$AZ$1000,0,IFERROR(MATCH(P$5,'Oxford Economics'!$A$6:$AZ$6,0),MATCH(P$5&amp;"",'Oxford Economics'!$A$6:$AZ$6,0))),'Oxford Economics'!$A$7:$A$1000,$C39,'Oxford Economics'!$B$7:$B$1000,Settings!$B$15)+SUMIFS(INDEX('Oxford Economics'!$A$7:$AZ$1000,0,IFERROR(MATCH(P$5,'Oxford Economics'!$A$6:$AZ$6,0),MATCH(P$5&amp;"",'Oxford Economics'!$A$6:$AZ$6,0))),'Oxford Economics'!$A$7:$A$1000,$C39,'Oxford Economics'!$B$7:$B$1000,Settings!$B$17)+IF(Settings!$B$19="",0,SUMIFS(INDEX('Oxford Economics'!$A$7:$AZ$1000,0,IFERROR(MATCH(P$5,'Oxford Economics'!$A$6:$AZ$6,0),MATCH(P$5&amp;"",'Oxford Economics'!$A$6:$AZ$6,0))),'Oxford Economics'!$A$7:$A$1000,$C39,'Oxford Economics'!$B$7:$B$1000,Settings!$B$19)))),""))</f>
        <v>6454.16</v>
      </c>
      <c r="Q39" s="38" t="n">
        <f aca="false">IF($A39="","",IFERROR(1/(1/IF($B39="Residential",SUMIFS(INDEX('Oxford Economics'!$A$7:$AZ$1000,0,IFERROR(MATCH(Q$5,'Oxford Economics'!$A$6:$AZ$6,0),MATCH(Q$5&amp;"",'Oxford Economics'!$A$6:$AZ$6,0))),'Oxford Economics'!$A$7:$A$1000,$C39,'Oxford Economics'!$B$7:$B$1000,Settings!$B$13)-SUMIFS(INDEX('Oxford Economics'!$A$7:$AZ$1000,0,IFERROR(MATCH(Q$5,'Oxford Economics'!$A$6:$AZ$6,0),MATCH(Q$5&amp;"",'Oxford Economics'!$A$6:$AZ$6,0))),'Oxford Economics'!$A$7:$A$1000,$C39,'Oxford Economics'!$B$7:$B$1000,Settings!$B$15),SUMIFS(INDEX('Oxford Economics'!$A$7:$AZ$1000,0,IFERROR(MATCH(Q$5,'Oxford Economics'!$A$6:$AZ$6,0),MATCH(Q$5&amp;"",'Oxford Economics'!$A$6:$AZ$6,0))),'Oxford Economics'!$A$7:$A$1000,$C39,'Oxford Economics'!$B$7:$B$1000,Settings!$B$15)+SUMIFS(INDEX('Oxford Economics'!$A$7:$AZ$1000,0,IFERROR(MATCH(Q$5,'Oxford Economics'!$A$6:$AZ$6,0),MATCH(Q$5&amp;"",'Oxford Economics'!$A$6:$AZ$6,0))),'Oxford Economics'!$A$7:$A$1000,$C39,'Oxford Economics'!$B$7:$B$1000,Settings!$B$17)+IF(Settings!$B$19="",0,SUMIFS(INDEX('Oxford Economics'!$A$7:$AZ$1000,0,IFERROR(MATCH(Q$5,'Oxford Economics'!$A$6:$AZ$6,0),MATCH(Q$5&amp;"",'Oxford Economics'!$A$6:$AZ$6,0))),'Oxford Economics'!$A$7:$A$1000,$C39,'Oxford Economics'!$B$7:$B$1000,Settings!$B$19)))),""))</f>
        <v>6613.73</v>
      </c>
      <c r="R39" s="38" t="n">
        <f aca="false">IF($A39="","",IFERROR(1/(1/IF($B39="Residential",SUMIFS(INDEX('Oxford Economics'!$A$7:$AZ$1000,0,IFERROR(MATCH(R$5,'Oxford Economics'!$A$6:$AZ$6,0),MATCH(R$5&amp;"",'Oxford Economics'!$A$6:$AZ$6,0))),'Oxford Economics'!$A$7:$A$1000,$C39,'Oxford Economics'!$B$7:$B$1000,Settings!$B$13)-SUMIFS(INDEX('Oxford Economics'!$A$7:$AZ$1000,0,IFERROR(MATCH(R$5,'Oxford Economics'!$A$6:$AZ$6,0),MATCH(R$5&amp;"",'Oxford Economics'!$A$6:$AZ$6,0))),'Oxford Economics'!$A$7:$A$1000,$C39,'Oxford Economics'!$B$7:$B$1000,Settings!$B$15),SUMIFS(INDEX('Oxford Economics'!$A$7:$AZ$1000,0,IFERROR(MATCH(R$5,'Oxford Economics'!$A$6:$AZ$6,0),MATCH(R$5&amp;"",'Oxford Economics'!$A$6:$AZ$6,0))),'Oxford Economics'!$A$7:$A$1000,$C39,'Oxford Economics'!$B$7:$B$1000,Settings!$B$15)+SUMIFS(INDEX('Oxford Economics'!$A$7:$AZ$1000,0,IFERROR(MATCH(R$5,'Oxford Economics'!$A$6:$AZ$6,0),MATCH(R$5&amp;"",'Oxford Economics'!$A$6:$AZ$6,0))),'Oxford Economics'!$A$7:$A$1000,$C39,'Oxford Economics'!$B$7:$B$1000,Settings!$B$17)+IF(Settings!$B$19="",0,SUMIFS(INDEX('Oxford Economics'!$A$7:$AZ$1000,0,IFERROR(MATCH(R$5,'Oxford Economics'!$A$6:$AZ$6,0),MATCH(R$5&amp;"",'Oxford Economics'!$A$6:$AZ$6,0))),'Oxford Economics'!$A$7:$A$1000,$C39,'Oxford Economics'!$B$7:$B$1000,Settings!$B$19)))),""))</f>
        <v>6903.92</v>
      </c>
      <c r="S39" s="38" t="n">
        <f aca="false">IF($A39="","",IFERROR(1/(1/IF($B39="Residential",SUMIFS(INDEX('Oxford Economics'!$A$7:$AZ$1000,0,IFERROR(MATCH(S$5,'Oxford Economics'!$A$6:$AZ$6,0),MATCH(S$5&amp;"",'Oxford Economics'!$A$6:$AZ$6,0))),'Oxford Economics'!$A$7:$A$1000,$C39,'Oxford Economics'!$B$7:$B$1000,Settings!$B$13)-SUMIFS(INDEX('Oxford Economics'!$A$7:$AZ$1000,0,IFERROR(MATCH(S$5,'Oxford Economics'!$A$6:$AZ$6,0),MATCH(S$5&amp;"",'Oxford Economics'!$A$6:$AZ$6,0))),'Oxford Economics'!$A$7:$A$1000,$C39,'Oxford Economics'!$B$7:$B$1000,Settings!$B$15),SUMIFS(INDEX('Oxford Economics'!$A$7:$AZ$1000,0,IFERROR(MATCH(S$5,'Oxford Economics'!$A$6:$AZ$6,0),MATCH(S$5&amp;"",'Oxford Economics'!$A$6:$AZ$6,0))),'Oxford Economics'!$A$7:$A$1000,$C39,'Oxford Economics'!$B$7:$B$1000,Settings!$B$15)+SUMIFS(INDEX('Oxford Economics'!$A$7:$AZ$1000,0,IFERROR(MATCH(S$5,'Oxford Economics'!$A$6:$AZ$6,0),MATCH(S$5&amp;"",'Oxford Economics'!$A$6:$AZ$6,0))),'Oxford Economics'!$A$7:$A$1000,$C39,'Oxford Economics'!$B$7:$B$1000,Settings!$B$17)+IF(Settings!$B$19="",0,SUMIFS(INDEX('Oxford Economics'!$A$7:$AZ$1000,0,IFERROR(MATCH(S$5,'Oxford Economics'!$A$6:$AZ$6,0),MATCH(S$5&amp;"",'Oxford Economics'!$A$6:$AZ$6,0))),'Oxford Economics'!$A$7:$A$1000,$C39,'Oxford Economics'!$B$7:$B$1000,Settings!$B$19)))),""))</f>
        <v>7151.52</v>
      </c>
      <c r="T39" s="38" t="n">
        <f aca="false">IF($A39="","",IFERROR(1/(1/IF($B39="Residential",SUMIFS(INDEX('Oxford Economics'!$A$7:$AZ$1000,0,IFERROR(MATCH(T$5,'Oxford Economics'!$A$6:$AZ$6,0),MATCH(T$5&amp;"",'Oxford Economics'!$A$6:$AZ$6,0))),'Oxford Economics'!$A$7:$A$1000,$C39,'Oxford Economics'!$B$7:$B$1000,Settings!$B$13)-SUMIFS(INDEX('Oxford Economics'!$A$7:$AZ$1000,0,IFERROR(MATCH(T$5,'Oxford Economics'!$A$6:$AZ$6,0),MATCH(T$5&amp;"",'Oxford Economics'!$A$6:$AZ$6,0))),'Oxford Economics'!$A$7:$A$1000,$C39,'Oxford Economics'!$B$7:$B$1000,Settings!$B$15),SUMIFS(INDEX('Oxford Economics'!$A$7:$AZ$1000,0,IFERROR(MATCH(T$5,'Oxford Economics'!$A$6:$AZ$6,0),MATCH(T$5&amp;"",'Oxford Economics'!$A$6:$AZ$6,0))),'Oxford Economics'!$A$7:$A$1000,$C39,'Oxford Economics'!$B$7:$B$1000,Settings!$B$15)+SUMIFS(INDEX('Oxford Economics'!$A$7:$AZ$1000,0,IFERROR(MATCH(T$5,'Oxford Economics'!$A$6:$AZ$6,0),MATCH(T$5&amp;"",'Oxford Economics'!$A$6:$AZ$6,0))),'Oxford Economics'!$A$7:$A$1000,$C39,'Oxford Economics'!$B$7:$B$1000,Settings!$B$17)+IF(Settings!$B$19="",0,SUMIFS(INDEX('Oxford Economics'!$A$7:$AZ$1000,0,IFERROR(MATCH(T$5,'Oxford Economics'!$A$6:$AZ$6,0),MATCH(T$5&amp;"",'Oxford Economics'!$A$6:$AZ$6,0))),'Oxford Economics'!$A$7:$A$1000,$C39,'Oxford Economics'!$B$7:$B$1000,Settings!$B$19)))),""))</f>
        <v>7340.58</v>
      </c>
      <c r="U39" s="38" t="n">
        <f aca="false">IF($A39="","",IFERROR(1/(1/IF($B39="Residential",SUMIFS(INDEX('Oxford Economics'!$A$7:$AZ$1000,0,IFERROR(MATCH(U$5,'Oxford Economics'!$A$6:$AZ$6,0),MATCH(U$5&amp;"",'Oxford Economics'!$A$6:$AZ$6,0))),'Oxford Economics'!$A$7:$A$1000,$C39,'Oxford Economics'!$B$7:$B$1000,Settings!$B$13)-SUMIFS(INDEX('Oxford Economics'!$A$7:$AZ$1000,0,IFERROR(MATCH(U$5,'Oxford Economics'!$A$6:$AZ$6,0),MATCH(U$5&amp;"",'Oxford Economics'!$A$6:$AZ$6,0))),'Oxford Economics'!$A$7:$A$1000,$C39,'Oxford Economics'!$B$7:$B$1000,Settings!$B$15),SUMIFS(INDEX('Oxford Economics'!$A$7:$AZ$1000,0,IFERROR(MATCH(U$5,'Oxford Economics'!$A$6:$AZ$6,0),MATCH(U$5&amp;"",'Oxford Economics'!$A$6:$AZ$6,0))),'Oxford Economics'!$A$7:$A$1000,$C39,'Oxford Economics'!$B$7:$B$1000,Settings!$B$15)+SUMIFS(INDEX('Oxford Economics'!$A$7:$AZ$1000,0,IFERROR(MATCH(U$5,'Oxford Economics'!$A$6:$AZ$6,0),MATCH(U$5&amp;"",'Oxford Economics'!$A$6:$AZ$6,0))),'Oxford Economics'!$A$7:$A$1000,$C39,'Oxford Economics'!$B$7:$B$1000,Settings!$B$17)+IF(Settings!$B$19="",0,SUMIFS(INDEX('Oxford Economics'!$A$7:$AZ$1000,0,IFERROR(MATCH(U$5,'Oxford Economics'!$A$6:$AZ$6,0),MATCH(U$5&amp;"",'Oxford Economics'!$A$6:$AZ$6,0))),'Oxford Economics'!$A$7:$A$1000,$C39,'Oxford Economics'!$B$7:$B$1000,Settings!$B$19)))),""))</f>
        <v>6963.6</v>
      </c>
      <c r="V39" s="38" t="n">
        <f aca="false">IF($A39="","",IFERROR(1/(1/IF($B39="Residential",SUMIFS(INDEX('Oxford Economics'!$A$7:$AZ$1000,0,IFERROR(MATCH(V$5,'Oxford Economics'!$A$6:$AZ$6,0),MATCH(V$5&amp;"",'Oxford Economics'!$A$6:$AZ$6,0))),'Oxford Economics'!$A$7:$A$1000,$C39,'Oxford Economics'!$B$7:$B$1000,Settings!$B$13)-SUMIFS(INDEX('Oxford Economics'!$A$7:$AZ$1000,0,IFERROR(MATCH(V$5,'Oxford Economics'!$A$6:$AZ$6,0),MATCH(V$5&amp;"",'Oxford Economics'!$A$6:$AZ$6,0))),'Oxford Economics'!$A$7:$A$1000,$C39,'Oxford Economics'!$B$7:$B$1000,Settings!$B$15),SUMIFS(INDEX('Oxford Economics'!$A$7:$AZ$1000,0,IFERROR(MATCH(V$5,'Oxford Economics'!$A$6:$AZ$6,0),MATCH(V$5&amp;"",'Oxford Economics'!$A$6:$AZ$6,0))),'Oxford Economics'!$A$7:$A$1000,$C39,'Oxford Economics'!$B$7:$B$1000,Settings!$B$15)+SUMIFS(INDEX('Oxford Economics'!$A$7:$AZ$1000,0,IFERROR(MATCH(V$5,'Oxford Economics'!$A$6:$AZ$6,0),MATCH(V$5&amp;"",'Oxford Economics'!$A$6:$AZ$6,0))),'Oxford Economics'!$A$7:$A$1000,$C39,'Oxford Economics'!$B$7:$B$1000,Settings!$B$17)+IF(Settings!$B$19="",0,SUMIFS(INDEX('Oxford Economics'!$A$7:$AZ$1000,0,IFERROR(MATCH(V$5,'Oxford Economics'!$A$6:$AZ$6,0),MATCH(V$5&amp;"",'Oxford Economics'!$A$6:$AZ$6,0))),'Oxford Economics'!$A$7:$A$1000,$C39,'Oxford Economics'!$B$7:$B$1000,Settings!$B$19)))),""))</f>
        <v>6921.94</v>
      </c>
      <c r="W39" s="38" t="n">
        <f aca="false">IF($A39="","",IFERROR(1/(1/IF($B39="Residential",SUMIFS(INDEX('Oxford Economics'!$A$7:$AZ$1000,0,IFERROR(MATCH(W$5,'Oxford Economics'!$A$6:$AZ$6,0),MATCH(W$5&amp;"",'Oxford Economics'!$A$6:$AZ$6,0))),'Oxford Economics'!$A$7:$A$1000,$C39,'Oxford Economics'!$B$7:$B$1000,Settings!$B$13)-SUMIFS(INDEX('Oxford Economics'!$A$7:$AZ$1000,0,IFERROR(MATCH(W$5,'Oxford Economics'!$A$6:$AZ$6,0),MATCH(W$5&amp;"",'Oxford Economics'!$A$6:$AZ$6,0))),'Oxford Economics'!$A$7:$A$1000,$C39,'Oxford Economics'!$B$7:$B$1000,Settings!$B$15),SUMIFS(INDEX('Oxford Economics'!$A$7:$AZ$1000,0,IFERROR(MATCH(W$5,'Oxford Economics'!$A$6:$AZ$6,0),MATCH(W$5&amp;"",'Oxford Economics'!$A$6:$AZ$6,0))),'Oxford Economics'!$A$7:$A$1000,$C39,'Oxford Economics'!$B$7:$B$1000,Settings!$B$15)+SUMIFS(INDEX('Oxford Economics'!$A$7:$AZ$1000,0,IFERROR(MATCH(W$5,'Oxford Economics'!$A$6:$AZ$6,0),MATCH(W$5&amp;"",'Oxford Economics'!$A$6:$AZ$6,0))),'Oxford Economics'!$A$7:$A$1000,$C39,'Oxford Economics'!$B$7:$B$1000,Settings!$B$17)+IF(Settings!$B$19="",0,SUMIFS(INDEX('Oxford Economics'!$A$7:$AZ$1000,0,IFERROR(MATCH(W$5,'Oxford Economics'!$A$6:$AZ$6,0),MATCH(W$5&amp;"",'Oxford Economics'!$A$6:$AZ$6,0))),'Oxford Economics'!$A$7:$A$1000,$C39,'Oxford Economics'!$B$7:$B$1000,Settings!$B$19)))),""))</f>
        <v>6963.47</v>
      </c>
      <c r="X39" s="38" t="n">
        <f aca="false">IF($A39="","",IFERROR(1/(1/IF($B39="Residential",SUMIFS(INDEX('Oxford Economics'!$A$7:$AZ$1000,0,IFERROR(MATCH(X$5,'Oxford Economics'!$A$6:$AZ$6,0),MATCH(X$5&amp;"",'Oxford Economics'!$A$6:$AZ$6,0))),'Oxford Economics'!$A$7:$A$1000,$C39,'Oxford Economics'!$B$7:$B$1000,Settings!$B$13)-SUMIFS(INDEX('Oxford Economics'!$A$7:$AZ$1000,0,IFERROR(MATCH(X$5,'Oxford Economics'!$A$6:$AZ$6,0),MATCH(X$5&amp;"",'Oxford Economics'!$A$6:$AZ$6,0))),'Oxford Economics'!$A$7:$A$1000,$C39,'Oxford Economics'!$B$7:$B$1000,Settings!$B$15),SUMIFS(INDEX('Oxford Economics'!$A$7:$AZ$1000,0,IFERROR(MATCH(X$5,'Oxford Economics'!$A$6:$AZ$6,0),MATCH(X$5&amp;"",'Oxford Economics'!$A$6:$AZ$6,0))),'Oxford Economics'!$A$7:$A$1000,$C39,'Oxford Economics'!$B$7:$B$1000,Settings!$B$15)+SUMIFS(INDEX('Oxford Economics'!$A$7:$AZ$1000,0,IFERROR(MATCH(X$5,'Oxford Economics'!$A$6:$AZ$6,0),MATCH(X$5&amp;"",'Oxford Economics'!$A$6:$AZ$6,0))),'Oxford Economics'!$A$7:$A$1000,$C39,'Oxford Economics'!$B$7:$B$1000,Settings!$B$17)+IF(Settings!$B$19="",0,SUMIFS(INDEX('Oxford Economics'!$A$7:$AZ$1000,0,IFERROR(MATCH(X$5,'Oxford Economics'!$A$6:$AZ$6,0),MATCH(X$5&amp;"",'Oxford Economics'!$A$6:$AZ$6,0))),'Oxford Economics'!$A$7:$A$1000,$C39,'Oxford Economics'!$B$7:$B$1000,Settings!$B$19)))),""))</f>
        <v>7119.57</v>
      </c>
      <c r="Y39" s="38" t="n">
        <f aca="false">IF($A39="","",IFERROR(1/(1/IF($B39="Residential",SUMIFS(INDEX('Oxford Economics'!$A$7:$AZ$1000,0,IFERROR(MATCH(Y$5,'Oxford Economics'!$A$6:$AZ$6,0),MATCH(Y$5&amp;"",'Oxford Economics'!$A$6:$AZ$6,0))),'Oxford Economics'!$A$7:$A$1000,$C39,'Oxford Economics'!$B$7:$B$1000,Settings!$B$13)-SUMIFS(INDEX('Oxford Economics'!$A$7:$AZ$1000,0,IFERROR(MATCH(Y$5,'Oxford Economics'!$A$6:$AZ$6,0),MATCH(Y$5&amp;"",'Oxford Economics'!$A$6:$AZ$6,0))),'Oxford Economics'!$A$7:$A$1000,$C39,'Oxford Economics'!$B$7:$B$1000,Settings!$B$15),SUMIFS(INDEX('Oxford Economics'!$A$7:$AZ$1000,0,IFERROR(MATCH(Y$5,'Oxford Economics'!$A$6:$AZ$6,0),MATCH(Y$5&amp;"",'Oxford Economics'!$A$6:$AZ$6,0))),'Oxford Economics'!$A$7:$A$1000,$C39,'Oxford Economics'!$B$7:$B$1000,Settings!$B$15)+SUMIFS(INDEX('Oxford Economics'!$A$7:$AZ$1000,0,IFERROR(MATCH(Y$5,'Oxford Economics'!$A$6:$AZ$6,0),MATCH(Y$5&amp;"",'Oxford Economics'!$A$6:$AZ$6,0))),'Oxford Economics'!$A$7:$A$1000,$C39,'Oxford Economics'!$B$7:$B$1000,Settings!$B$17)+IF(Settings!$B$19="",0,SUMIFS(INDEX('Oxford Economics'!$A$7:$AZ$1000,0,IFERROR(MATCH(Y$5,'Oxford Economics'!$A$6:$AZ$6,0),MATCH(Y$5&amp;"",'Oxford Economics'!$A$6:$AZ$6,0))),'Oxford Economics'!$A$7:$A$1000,$C39,'Oxford Economics'!$B$7:$B$1000,Settings!$B$19)))),""))</f>
        <v>7450.86</v>
      </c>
      <c r="Z39" s="38" t="n">
        <f aca="false">IF($A39="","",IFERROR(1/(1/IF($B39="Residential",SUMIFS(INDEX('Oxford Economics'!$A$7:$AZ$1000,0,IFERROR(MATCH(Z$5,'Oxford Economics'!$A$6:$AZ$6,0),MATCH(Z$5&amp;"",'Oxford Economics'!$A$6:$AZ$6,0))),'Oxford Economics'!$A$7:$A$1000,$C39,'Oxford Economics'!$B$7:$B$1000,Settings!$B$13)-SUMIFS(INDEX('Oxford Economics'!$A$7:$AZ$1000,0,IFERROR(MATCH(Z$5,'Oxford Economics'!$A$6:$AZ$6,0),MATCH(Z$5&amp;"",'Oxford Economics'!$A$6:$AZ$6,0))),'Oxford Economics'!$A$7:$A$1000,$C39,'Oxford Economics'!$B$7:$B$1000,Settings!$B$15),SUMIFS(INDEX('Oxford Economics'!$A$7:$AZ$1000,0,IFERROR(MATCH(Z$5,'Oxford Economics'!$A$6:$AZ$6,0),MATCH(Z$5&amp;"",'Oxford Economics'!$A$6:$AZ$6,0))),'Oxford Economics'!$A$7:$A$1000,$C39,'Oxford Economics'!$B$7:$B$1000,Settings!$B$15)+SUMIFS(INDEX('Oxford Economics'!$A$7:$AZ$1000,0,IFERROR(MATCH(Z$5,'Oxford Economics'!$A$6:$AZ$6,0),MATCH(Z$5&amp;"",'Oxford Economics'!$A$6:$AZ$6,0))),'Oxford Economics'!$A$7:$A$1000,$C39,'Oxford Economics'!$B$7:$B$1000,Settings!$B$17)+IF(Settings!$B$19="",0,SUMIFS(INDEX('Oxford Economics'!$A$7:$AZ$1000,0,IFERROR(MATCH(Z$5,'Oxford Economics'!$A$6:$AZ$6,0),MATCH(Z$5&amp;"",'Oxford Economics'!$A$6:$AZ$6,0))),'Oxford Economics'!$A$7:$A$1000,$C39,'Oxford Economics'!$B$7:$B$1000,Settings!$B$19)))),""))</f>
        <v>7930.05</v>
      </c>
      <c r="AA39" s="38" t="n">
        <f aca="false">IF($A39="","",IFERROR(1/(1/IF($B39="Residential",SUMIFS(INDEX('Oxford Economics'!$A$7:$AZ$1000,0,IFERROR(MATCH(AA$5,'Oxford Economics'!$A$6:$AZ$6,0),MATCH(AA$5&amp;"",'Oxford Economics'!$A$6:$AZ$6,0))),'Oxford Economics'!$A$7:$A$1000,$C39,'Oxford Economics'!$B$7:$B$1000,Settings!$B$13)-SUMIFS(INDEX('Oxford Economics'!$A$7:$AZ$1000,0,IFERROR(MATCH(AA$5,'Oxford Economics'!$A$6:$AZ$6,0),MATCH(AA$5&amp;"",'Oxford Economics'!$A$6:$AZ$6,0))),'Oxford Economics'!$A$7:$A$1000,$C39,'Oxford Economics'!$B$7:$B$1000,Settings!$B$15),SUMIFS(INDEX('Oxford Economics'!$A$7:$AZ$1000,0,IFERROR(MATCH(AA$5,'Oxford Economics'!$A$6:$AZ$6,0),MATCH(AA$5&amp;"",'Oxford Economics'!$A$6:$AZ$6,0))),'Oxford Economics'!$A$7:$A$1000,$C39,'Oxford Economics'!$B$7:$B$1000,Settings!$B$15)+SUMIFS(INDEX('Oxford Economics'!$A$7:$AZ$1000,0,IFERROR(MATCH(AA$5,'Oxford Economics'!$A$6:$AZ$6,0),MATCH(AA$5&amp;"",'Oxford Economics'!$A$6:$AZ$6,0))),'Oxford Economics'!$A$7:$A$1000,$C39,'Oxford Economics'!$B$7:$B$1000,Settings!$B$17)+IF(Settings!$B$19="",0,SUMIFS(INDEX('Oxford Economics'!$A$7:$AZ$1000,0,IFERROR(MATCH(AA$5,'Oxford Economics'!$A$6:$AZ$6,0),MATCH(AA$5&amp;"",'Oxford Economics'!$A$6:$AZ$6,0))),'Oxford Economics'!$A$7:$A$1000,$C39,'Oxford Economics'!$B$7:$B$1000,Settings!$B$19)))),""))</f>
        <v>8078.6</v>
      </c>
      <c r="AB39" s="38" t="n">
        <f aca="false">IF($A39="","",IFERROR(1/(1/IF($B39="Residential",SUMIFS(INDEX('Oxford Economics'!$A$7:$AZ$1000,0,IFERROR(MATCH(AB$5,'Oxford Economics'!$A$6:$AZ$6,0),MATCH(AB$5&amp;"",'Oxford Economics'!$A$6:$AZ$6,0))),'Oxford Economics'!$A$7:$A$1000,$C39,'Oxford Economics'!$B$7:$B$1000,Settings!$B$12)-SUMIFS(INDEX('Oxford Economics'!$A$7:$AZ$1000,0,IFERROR(MATCH(AB$5,'Oxford Economics'!$A$6:$AZ$6,0),MATCH(AB$5&amp;"",'Oxford Economics'!$A$6:$AZ$6,0))),'Oxford Economics'!$A$7:$A$1000,$C39,'Oxford Economics'!$B$7:$B$1000,Settings!$B$14),SUMIFS(INDEX('Oxford Economics'!$A$7:$AZ$1000,0,IFERROR(MATCH(AB$5,'Oxford Economics'!$A$6:$AZ$6,0),MATCH(AB$5&amp;"",'Oxford Economics'!$A$6:$AZ$6,0))),'Oxford Economics'!$A$7:$A$1000,$C39,'Oxford Economics'!$B$7:$B$1000,Settings!$B$14)+SUMIFS(INDEX('Oxford Economics'!$A$7:$AZ$1000,0,IFERROR(MATCH(AB$5,'Oxford Economics'!$A$6:$AZ$6,0),MATCH(AB$5&amp;"",'Oxford Economics'!$A$6:$AZ$6,0))),'Oxford Economics'!$A$7:$A$1000,$C39,'Oxford Economics'!$B$7:$B$1000,Settings!$B$16)+IF(Settings!$B$18="",0,SUMIFS(INDEX('Oxford Economics'!$A$7:$AZ$1000,0,IFERROR(MATCH(AB$5,'Oxford Economics'!$A$6:$AZ$6,0),MATCH(AB$5&amp;"",'Oxford Economics'!$A$6:$AZ$6,0))),'Oxford Economics'!$A$7:$A$1000,$C39,'Oxford Economics'!$B$7:$B$1000,Settings!$B$18)))),""))</f>
        <v>6158.89</v>
      </c>
      <c r="AC39" s="38" t="n">
        <f aca="false">IF($A39="","",IFERROR(1/(1/IF($B39="Residential",SUMIFS(INDEX('Oxford Economics'!$A$7:$AZ$1000,0,IFERROR(MATCH(AC$5,'Oxford Economics'!$A$6:$AZ$6,0),MATCH(AC$5&amp;"",'Oxford Economics'!$A$6:$AZ$6,0))),'Oxford Economics'!$A$7:$A$1000,$C39,'Oxford Economics'!$B$7:$B$1000,Settings!$B$12)-SUMIFS(INDEX('Oxford Economics'!$A$7:$AZ$1000,0,IFERROR(MATCH(AC$5,'Oxford Economics'!$A$6:$AZ$6,0),MATCH(AC$5&amp;"",'Oxford Economics'!$A$6:$AZ$6,0))),'Oxford Economics'!$A$7:$A$1000,$C39,'Oxford Economics'!$B$7:$B$1000,Settings!$B$14),SUMIFS(INDEX('Oxford Economics'!$A$7:$AZ$1000,0,IFERROR(MATCH(AC$5,'Oxford Economics'!$A$6:$AZ$6,0),MATCH(AC$5&amp;"",'Oxford Economics'!$A$6:$AZ$6,0))),'Oxford Economics'!$A$7:$A$1000,$C39,'Oxford Economics'!$B$7:$B$1000,Settings!$B$14)+SUMIFS(INDEX('Oxford Economics'!$A$7:$AZ$1000,0,IFERROR(MATCH(AC$5,'Oxford Economics'!$A$6:$AZ$6,0),MATCH(AC$5&amp;"",'Oxford Economics'!$A$6:$AZ$6,0))),'Oxford Economics'!$A$7:$A$1000,$C39,'Oxford Economics'!$B$7:$B$1000,Settings!$B$16)+IF(Settings!$B$18="",0,SUMIFS(INDEX('Oxford Economics'!$A$7:$AZ$1000,0,IFERROR(MATCH(AC$5,'Oxford Economics'!$A$6:$AZ$6,0),MATCH(AC$5&amp;"",'Oxford Economics'!$A$6:$AZ$6,0))),'Oxford Economics'!$A$7:$A$1000,$C39,'Oxford Economics'!$B$7:$B$1000,Settings!$B$18)))),""))</f>
        <v>6334.33</v>
      </c>
      <c r="AD39" s="38" t="n">
        <f aca="false">IF($A39="","",IFERROR(1/(1/IF($B39="Residential",SUMIFS(INDEX('Oxford Economics'!$A$7:$AZ$1000,0,IFERROR(MATCH(AD$5,'Oxford Economics'!$A$6:$AZ$6,0),MATCH(AD$5&amp;"",'Oxford Economics'!$A$6:$AZ$6,0))),'Oxford Economics'!$A$7:$A$1000,$C39,'Oxford Economics'!$B$7:$B$1000,Settings!$B$12)-SUMIFS(INDEX('Oxford Economics'!$A$7:$AZ$1000,0,IFERROR(MATCH(AD$5,'Oxford Economics'!$A$6:$AZ$6,0),MATCH(AD$5&amp;"",'Oxford Economics'!$A$6:$AZ$6,0))),'Oxford Economics'!$A$7:$A$1000,$C39,'Oxford Economics'!$B$7:$B$1000,Settings!$B$14),SUMIFS(INDEX('Oxford Economics'!$A$7:$AZ$1000,0,IFERROR(MATCH(AD$5,'Oxford Economics'!$A$6:$AZ$6,0),MATCH(AD$5&amp;"",'Oxford Economics'!$A$6:$AZ$6,0))),'Oxford Economics'!$A$7:$A$1000,$C39,'Oxford Economics'!$B$7:$B$1000,Settings!$B$14)+SUMIFS(INDEX('Oxford Economics'!$A$7:$AZ$1000,0,IFERROR(MATCH(AD$5,'Oxford Economics'!$A$6:$AZ$6,0),MATCH(AD$5&amp;"",'Oxford Economics'!$A$6:$AZ$6,0))),'Oxford Economics'!$A$7:$A$1000,$C39,'Oxford Economics'!$B$7:$B$1000,Settings!$B$16)+IF(Settings!$B$18="",0,SUMIFS(INDEX('Oxford Economics'!$A$7:$AZ$1000,0,IFERROR(MATCH(AD$5,'Oxford Economics'!$A$6:$AZ$6,0),MATCH(AD$5&amp;"",'Oxford Economics'!$A$6:$AZ$6,0))),'Oxford Economics'!$A$7:$A$1000,$C39,'Oxford Economics'!$B$7:$B$1000,Settings!$B$18)))),""))</f>
        <v>6508.41</v>
      </c>
      <c r="AE39" s="38" t="n">
        <f aca="false">IF($A39="","",IFERROR(1/(1/IF($B39="Residential",SUMIFS(INDEX('Oxford Economics'!$A$7:$AZ$1000,0,IFERROR(MATCH(AE$5,'Oxford Economics'!$A$6:$AZ$6,0),MATCH(AE$5&amp;"",'Oxford Economics'!$A$6:$AZ$6,0))),'Oxford Economics'!$A$7:$A$1000,$C39,'Oxford Economics'!$B$7:$B$1000,Settings!$B$12)-SUMIFS(INDEX('Oxford Economics'!$A$7:$AZ$1000,0,IFERROR(MATCH(AE$5,'Oxford Economics'!$A$6:$AZ$6,0),MATCH(AE$5&amp;"",'Oxford Economics'!$A$6:$AZ$6,0))),'Oxford Economics'!$A$7:$A$1000,$C39,'Oxford Economics'!$B$7:$B$1000,Settings!$B$14),SUMIFS(INDEX('Oxford Economics'!$A$7:$AZ$1000,0,IFERROR(MATCH(AE$5,'Oxford Economics'!$A$6:$AZ$6,0),MATCH(AE$5&amp;"",'Oxford Economics'!$A$6:$AZ$6,0))),'Oxford Economics'!$A$7:$A$1000,$C39,'Oxford Economics'!$B$7:$B$1000,Settings!$B$14)+SUMIFS(INDEX('Oxford Economics'!$A$7:$AZ$1000,0,IFERROR(MATCH(AE$5,'Oxford Economics'!$A$6:$AZ$6,0),MATCH(AE$5&amp;"",'Oxford Economics'!$A$6:$AZ$6,0))),'Oxford Economics'!$A$7:$A$1000,$C39,'Oxford Economics'!$B$7:$B$1000,Settings!$B$16)+IF(Settings!$B$18="",0,SUMIFS(INDEX('Oxford Economics'!$A$7:$AZ$1000,0,IFERROR(MATCH(AE$5,'Oxford Economics'!$A$6:$AZ$6,0),MATCH(AE$5&amp;"",'Oxford Economics'!$A$6:$AZ$6,0))),'Oxford Economics'!$A$7:$A$1000,$C39,'Oxford Economics'!$B$7:$B$1000,Settings!$B$18)))),""))</f>
        <v>5828.05</v>
      </c>
      <c r="AF39" s="38" t="n">
        <f aca="false">IF($A39="","",IFERROR(1/(1/IF($B39="Residential",SUMIFS(INDEX('Oxford Economics'!$A$7:$AZ$1000,0,IFERROR(MATCH(AF$5,'Oxford Economics'!$A$6:$AZ$6,0),MATCH(AF$5&amp;"",'Oxford Economics'!$A$6:$AZ$6,0))),'Oxford Economics'!$A$7:$A$1000,$C39,'Oxford Economics'!$B$7:$B$1000,Settings!$B$12)-SUMIFS(INDEX('Oxford Economics'!$A$7:$AZ$1000,0,IFERROR(MATCH(AF$5,'Oxford Economics'!$A$6:$AZ$6,0),MATCH(AF$5&amp;"",'Oxford Economics'!$A$6:$AZ$6,0))),'Oxford Economics'!$A$7:$A$1000,$C39,'Oxford Economics'!$B$7:$B$1000,Settings!$B$14),SUMIFS(INDEX('Oxford Economics'!$A$7:$AZ$1000,0,IFERROR(MATCH(AF$5,'Oxford Economics'!$A$6:$AZ$6,0),MATCH(AF$5&amp;"",'Oxford Economics'!$A$6:$AZ$6,0))),'Oxford Economics'!$A$7:$A$1000,$C39,'Oxford Economics'!$B$7:$B$1000,Settings!$B$14)+SUMIFS(INDEX('Oxford Economics'!$A$7:$AZ$1000,0,IFERROR(MATCH(AF$5,'Oxford Economics'!$A$6:$AZ$6,0),MATCH(AF$5&amp;"",'Oxford Economics'!$A$6:$AZ$6,0))),'Oxford Economics'!$A$7:$A$1000,$C39,'Oxford Economics'!$B$7:$B$1000,Settings!$B$16)+IF(Settings!$B$18="",0,SUMIFS(INDEX('Oxford Economics'!$A$7:$AZ$1000,0,IFERROR(MATCH(AF$5,'Oxford Economics'!$A$6:$AZ$6,0),MATCH(AF$5&amp;"",'Oxford Economics'!$A$6:$AZ$6,0))),'Oxford Economics'!$A$7:$A$1000,$C39,'Oxford Economics'!$B$7:$B$1000,Settings!$B$18)))),""))</f>
        <v>4881.82</v>
      </c>
      <c r="AG39" s="38" t="n">
        <f aca="false">IF($A39="","",IFERROR(1/(1/IF($B39="Residential",SUMIFS(INDEX('Oxford Economics'!$A$7:$AZ$1000,0,IFERROR(MATCH(AG$5,'Oxford Economics'!$A$6:$AZ$6,0),MATCH(AG$5&amp;"",'Oxford Economics'!$A$6:$AZ$6,0))),'Oxford Economics'!$A$7:$A$1000,$C39,'Oxford Economics'!$B$7:$B$1000,Settings!$B$12)-SUMIFS(INDEX('Oxford Economics'!$A$7:$AZ$1000,0,IFERROR(MATCH(AG$5,'Oxford Economics'!$A$6:$AZ$6,0),MATCH(AG$5&amp;"",'Oxford Economics'!$A$6:$AZ$6,0))),'Oxford Economics'!$A$7:$A$1000,$C39,'Oxford Economics'!$B$7:$B$1000,Settings!$B$14),SUMIFS(INDEX('Oxford Economics'!$A$7:$AZ$1000,0,IFERROR(MATCH(AG$5,'Oxford Economics'!$A$6:$AZ$6,0),MATCH(AG$5&amp;"",'Oxford Economics'!$A$6:$AZ$6,0))),'Oxford Economics'!$A$7:$A$1000,$C39,'Oxford Economics'!$B$7:$B$1000,Settings!$B$14)+SUMIFS(INDEX('Oxford Economics'!$A$7:$AZ$1000,0,IFERROR(MATCH(AG$5,'Oxford Economics'!$A$6:$AZ$6,0),MATCH(AG$5&amp;"",'Oxford Economics'!$A$6:$AZ$6,0))),'Oxford Economics'!$A$7:$A$1000,$C39,'Oxford Economics'!$B$7:$B$1000,Settings!$B$16)+IF(Settings!$B$18="",0,SUMIFS(INDEX('Oxford Economics'!$A$7:$AZ$1000,0,IFERROR(MATCH(AG$5,'Oxford Economics'!$A$6:$AZ$6,0),MATCH(AG$5&amp;"",'Oxford Economics'!$A$6:$AZ$6,0))),'Oxford Economics'!$A$7:$A$1000,$C39,'Oxford Economics'!$B$7:$B$1000,Settings!$B$18)))),""))</f>
        <v>4807.2</v>
      </c>
      <c r="AH39" s="38" t="n">
        <f aca="false">IF($A39="","",IFERROR(1/(1/IF($B39="Residential",SUMIFS(INDEX('Oxford Economics'!$A$7:$AZ$1000,0,IFERROR(MATCH(AH$5,'Oxford Economics'!$A$6:$AZ$6,0),MATCH(AH$5&amp;"",'Oxford Economics'!$A$6:$AZ$6,0))),'Oxford Economics'!$A$7:$A$1000,$C39,'Oxford Economics'!$B$7:$B$1000,Settings!$B$12)-SUMIFS(INDEX('Oxford Economics'!$A$7:$AZ$1000,0,IFERROR(MATCH(AH$5,'Oxford Economics'!$A$6:$AZ$6,0),MATCH(AH$5&amp;"",'Oxford Economics'!$A$6:$AZ$6,0))),'Oxford Economics'!$A$7:$A$1000,$C39,'Oxford Economics'!$B$7:$B$1000,Settings!$B$14),SUMIFS(INDEX('Oxford Economics'!$A$7:$AZ$1000,0,IFERROR(MATCH(AH$5,'Oxford Economics'!$A$6:$AZ$6,0),MATCH(AH$5&amp;"",'Oxford Economics'!$A$6:$AZ$6,0))),'Oxford Economics'!$A$7:$A$1000,$C39,'Oxford Economics'!$B$7:$B$1000,Settings!$B$14)+SUMIFS(INDEX('Oxford Economics'!$A$7:$AZ$1000,0,IFERROR(MATCH(AH$5,'Oxford Economics'!$A$6:$AZ$6,0),MATCH(AH$5&amp;"",'Oxford Economics'!$A$6:$AZ$6,0))),'Oxford Economics'!$A$7:$A$1000,$C39,'Oxford Economics'!$B$7:$B$1000,Settings!$B$16)+IF(Settings!$B$18="",0,SUMIFS(INDEX('Oxford Economics'!$A$7:$AZ$1000,0,IFERROR(MATCH(AH$5,'Oxford Economics'!$A$6:$AZ$6,0),MATCH(AH$5&amp;"",'Oxford Economics'!$A$6:$AZ$6,0))),'Oxford Economics'!$A$7:$A$1000,$C39,'Oxford Economics'!$B$7:$B$1000,Settings!$B$18)))),""))</f>
        <v>5135.41</v>
      </c>
      <c r="AI39" s="38" t="n">
        <f aca="false">IF($A39="","",IFERROR(1/(1/IF($B39="Residential",SUMIFS(INDEX('Oxford Economics'!$A$7:$AZ$1000,0,IFERROR(MATCH(AI$5,'Oxford Economics'!$A$6:$AZ$6,0),MATCH(AI$5&amp;"",'Oxford Economics'!$A$6:$AZ$6,0))),'Oxford Economics'!$A$7:$A$1000,$C39,'Oxford Economics'!$B$7:$B$1000,Settings!$B$12)-SUMIFS(INDEX('Oxford Economics'!$A$7:$AZ$1000,0,IFERROR(MATCH(AI$5,'Oxford Economics'!$A$6:$AZ$6,0),MATCH(AI$5&amp;"",'Oxford Economics'!$A$6:$AZ$6,0))),'Oxford Economics'!$A$7:$A$1000,$C39,'Oxford Economics'!$B$7:$B$1000,Settings!$B$14),SUMIFS(INDEX('Oxford Economics'!$A$7:$AZ$1000,0,IFERROR(MATCH(AI$5,'Oxford Economics'!$A$6:$AZ$6,0),MATCH(AI$5&amp;"",'Oxford Economics'!$A$6:$AZ$6,0))),'Oxford Economics'!$A$7:$A$1000,$C39,'Oxford Economics'!$B$7:$B$1000,Settings!$B$14)+SUMIFS(INDEX('Oxford Economics'!$A$7:$AZ$1000,0,IFERROR(MATCH(AI$5,'Oxford Economics'!$A$6:$AZ$6,0),MATCH(AI$5&amp;"",'Oxford Economics'!$A$6:$AZ$6,0))),'Oxford Economics'!$A$7:$A$1000,$C39,'Oxford Economics'!$B$7:$B$1000,Settings!$B$16)+IF(Settings!$B$18="",0,SUMIFS(INDEX('Oxford Economics'!$A$7:$AZ$1000,0,IFERROR(MATCH(AI$5,'Oxford Economics'!$A$6:$AZ$6,0),MATCH(AI$5&amp;"",'Oxford Economics'!$A$6:$AZ$6,0))),'Oxford Economics'!$A$7:$A$1000,$C39,'Oxford Economics'!$B$7:$B$1000,Settings!$B$18)))),""))</f>
        <v>5048.64</v>
      </c>
      <c r="AJ39" s="38" t="n">
        <f aca="false">IF($A39="","",IFERROR(1/(1/IF($B39="Residential",SUMIFS(INDEX('Oxford Economics'!$A$7:$AZ$1000,0,IFERROR(MATCH(AJ$5,'Oxford Economics'!$A$6:$AZ$6,0),MATCH(AJ$5&amp;"",'Oxford Economics'!$A$6:$AZ$6,0))),'Oxford Economics'!$A$7:$A$1000,$C39,'Oxford Economics'!$B$7:$B$1000,Settings!$B$12)-SUMIFS(INDEX('Oxford Economics'!$A$7:$AZ$1000,0,IFERROR(MATCH(AJ$5,'Oxford Economics'!$A$6:$AZ$6,0),MATCH(AJ$5&amp;"",'Oxford Economics'!$A$6:$AZ$6,0))),'Oxford Economics'!$A$7:$A$1000,$C39,'Oxford Economics'!$B$7:$B$1000,Settings!$B$14),SUMIFS(INDEX('Oxford Economics'!$A$7:$AZ$1000,0,IFERROR(MATCH(AJ$5,'Oxford Economics'!$A$6:$AZ$6,0),MATCH(AJ$5&amp;"",'Oxford Economics'!$A$6:$AZ$6,0))),'Oxford Economics'!$A$7:$A$1000,$C39,'Oxford Economics'!$B$7:$B$1000,Settings!$B$14)+SUMIFS(INDEX('Oxford Economics'!$A$7:$AZ$1000,0,IFERROR(MATCH(AJ$5,'Oxford Economics'!$A$6:$AZ$6,0),MATCH(AJ$5&amp;"",'Oxford Economics'!$A$6:$AZ$6,0))),'Oxford Economics'!$A$7:$A$1000,$C39,'Oxford Economics'!$B$7:$B$1000,Settings!$B$16)+IF(Settings!$B$18="",0,SUMIFS(INDEX('Oxford Economics'!$A$7:$AZ$1000,0,IFERROR(MATCH(AJ$5,'Oxford Economics'!$A$6:$AZ$6,0),MATCH(AJ$5&amp;"",'Oxford Economics'!$A$6:$AZ$6,0))),'Oxford Economics'!$A$7:$A$1000,$C39,'Oxford Economics'!$B$7:$B$1000,Settings!$B$18)))),""))</f>
        <v>5092.16</v>
      </c>
      <c r="AK39" s="38" t="n">
        <f aca="false">IF($A39="","",IFERROR(1/(1/IF($B39="Residential",SUMIFS(INDEX('Oxford Economics'!$A$7:$AZ$1000,0,IFERROR(MATCH(AK$5,'Oxford Economics'!$A$6:$AZ$6,0),MATCH(AK$5&amp;"",'Oxford Economics'!$A$6:$AZ$6,0))),'Oxford Economics'!$A$7:$A$1000,$C39,'Oxford Economics'!$B$7:$B$1000,Settings!$B$12)-SUMIFS(INDEX('Oxford Economics'!$A$7:$AZ$1000,0,IFERROR(MATCH(AK$5,'Oxford Economics'!$A$6:$AZ$6,0),MATCH(AK$5&amp;"",'Oxford Economics'!$A$6:$AZ$6,0))),'Oxford Economics'!$A$7:$A$1000,$C39,'Oxford Economics'!$B$7:$B$1000,Settings!$B$14),SUMIFS(INDEX('Oxford Economics'!$A$7:$AZ$1000,0,IFERROR(MATCH(AK$5,'Oxford Economics'!$A$6:$AZ$6,0),MATCH(AK$5&amp;"",'Oxford Economics'!$A$6:$AZ$6,0))),'Oxford Economics'!$A$7:$A$1000,$C39,'Oxford Economics'!$B$7:$B$1000,Settings!$B$14)+SUMIFS(INDEX('Oxford Economics'!$A$7:$AZ$1000,0,IFERROR(MATCH(AK$5,'Oxford Economics'!$A$6:$AZ$6,0),MATCH(AK$5&amp;"",'Oxford Economics'!$A$6:$AZ$6,0))),'Oxford Economics'!$A$7:$A$1000,$C39,'Oxford Economics'!$B$7:$B$1000,Settings!$B$16)+IF(Settings!$B$18="",0,SUMIFS(INDEX('Oxford Economics'!$A$7:$AZ$1000,0,IFERROR(MATCH(AK$5,'Oxford Economics'!$A$6:$AZ$6,0),MATCH(AK$5&amp;"",'Oxford Economics'!$A$6:$AZ$6,0))),'Oxford Economics'!$A$7:$A$1000,$C39,'Oxford Economics'!$B$7:$B$1000,Settings!$B$18)))),""))</f>
        <v>5205.88</v>
      </c>
      <c r="AL39" s="38" t="n">
        <f aca="false">IF($A39="","",IFERROR(1/(1/IF($B39="Residential",SUMIFS(INDEX('Oxford Economics'!$A$7:$AZ$1000,0,IFERROR(MATCH(AL$5,'Oxford Economics'!$A$6:$AZ$6,0),MATCH(AL$5&amp;"",'Oxford Economics'!$A$6:$AZ$6,0))),'Oxford Economics'!$A$7:$A$1000,$C39,'Oxford Economics'!$B$7:$B$1000,Settings!$B$12)-SUMIFS(INDEX('Oxford Economics'!$A$7:$AZ$1000,0,IFERROR(MATCH(AL$5,'Oxford Economics'!$A$6:$AZ$6,0),MATCH(AL$5&amp;"",'Oxford Economics'!$A$6:$AZ$6,0))),'Oxford Economics'!$A$7:$A$1000,$C39,'Oxford Economics'!$B$7:$B$1000,Settings!$B$14),SUMIFS(INDEX('Oxford Economics'!$A$7:$AZ$1000,0,IFERROR(MATCH(AL$5,'Oxford Economics'!$A$6:$AZ$6,0),MATCH(AL$5&amp;"",'Oxford Economics'!$A$6:$AZ$6,0))),'Oxford Economics'!$A$7:$A$1000,$C39,'Oxford Economics'!$B$7:$B$1000,Settings!$B$14)+SUMIFS(INDEX('Oxford Economics'!$A$7:$AZ$1000,0,IFERROR(MATCH(AL$5,'Oxford Economics'!$A$6:$AZ$6,0),MATCH(AL$5&amp;"",'Oxford Economics'!$A$6:$AZ$6,0))),'Oxford Economics'!$A$7:$A$1000,$C39,'Oxford Economics'!$B$7:$B$1000,Settings!$B$16)+IF(Settings!$B$18="",0,SUMIFS(INDEX('Oxford Economics'!$A$7:$AZ$1000,0,IFERROR(MATCH(AL$5,'Oxford Economics'!$A$6:$AZ$6,0),MATCH(AL$5&amp;"",'Oxford Economics'!$A$6:$AZ$6,0))),'Oxford Economics'!$A$7:$A$1000,$C39,'Oxford Economics'!$B$7:$B$1000,Settings!$B$18)))),""))</f>
        <v>5297.58</v>
      </c>
      <c r="AM39" s="38" t="n">
        <f aca="false">IF($A39="","",IFERROR(1/(1/IF($B39="Residential",SUMIFS(INDEX('Oxford Economics'!$A$7:$AZ$1000,0,IFERROR(MATCH(AM$5,'Oxford Economics'!$A$6:$AZ$6,0),MATCH(AM$5&amp;"",'Oxford Economics'!$A$6:$AZ$6,0))),'Oxford Economics'!$A$7:$A$1000,$C39,'Oxford Economics'!$B$7:$B$1000,Settings!$B$12)-SUMIFS(INDEX('Oxford Economics'!$A$7:$AZ$1000,0,IFERROR(MATCH(AM$5,'Oxford Economics'!$A$6:$AZ$6,0),MATCH(AM$5&amp;"",'Oxford Economics'!$A$6:$AZ$6,0))),'Oxford Economics'!$A$7:$A$1000,$C39,'Oxford Economics'!$B$7:$B$1000,Settings!$B$14),SUMIFS(INDEX('Oxford Economics'!$A$7:$AZ$1000,0,IFERROR(MATCH(AM$5,'Oxford Economics'!$A$6:$AZ$6,0),MATCH(AM$5&amp;"",'Oxford Economics'!$A$6:$AZ$6,0))),'Oxford Economics'!$A$7:$A$1000,$C39,'Oxford Economics'!$B$7:$B$1000,Settings!$B$14)+SUMIFS(INDEX('Oxford Economics'!$A$7:$AZ$1000,0,IFERROR(MATCH(AM$5,'Oxford Economics'!$A$6:$AZ$6,0),MATCH(AM$5&amp;"",'Oxford Economics'!$A$6:$AZ$6,0))),'Oxford Economics'!$A$7:$A$1000,$C39,'Oxford Economics'!$B$7:$B$1000,Settings!$B$16)+IF(Settings!$B$18="",0,SUMIFS(INDEX('Oxford Economics'!$A$7:$AZ$1000,0,IFERROR(MATCH(AM$5,'Oxford Economics'!$A$6:$AZ$6,0),MATCH(AM$5&amp;"",'Oxford Economics'!$A$6:$AZ$6,0))),'Oxford Economics'!$A$7:$A$1000,$C39,'Oxford Economics'!$B$7:$B$1000,Settings!$B$18)))),""))</f>
        <v>5387.39</v>
      </c>
    </row>
    <row r="40" customFormat="false" ht="15" hidden="false" customHeight="false" outlineLevel="0" collapsed="false">
      <c r="A40" s="37" t="str">
        <f aca="false">IF('Raw data'!$A40="","",'Raw data'!$A40)</f>
        <v>Norway</v>
      </c>
      <c r="B40" s="37" t="str">
        <f aca="false">IF($A40="","",'Raw data'!$C40)</f>
        <v>Commercial</v>
      </c>
      <c r="C40" s="37" t="str">
        <f aca="false">IF($A40="","",IF('Raw data'!$E40="",$A40,'Raw data'!$E40))</f>
        <v>Norway</v>
      </c>
      <c r="D40" s="38" t="n">
        <f aca="false">IF($A40="","",IF(AND(ISNUMBER(P40),ISNUMBER(AB40)),P40+AB40,""))</f>
        <v>12613.05</v>
      </c>
      <c r="E40" s="38" t="n">
        <f aca="false">IF($A40="","",IF(AND(ISNUMBER(Q40),ISNUMBER(AC40)),Q40+AC40,""))</f>
        <v>12948.06</v>
      </c>
      <c r="F40" s="38" t="n">
        <f aca="false">IF($A40="","",IF(AND(ISNUMBER(R40),ISNUMBER(AD40)),R40+AD40,""))</f>
        <v>13412.33</v>
      </c>
      <c r="G40" s="38" t="n">
        <f aca="false">IF($A40="","",IF(AND(ISNUMBER(S40),ISNUMBER(AE40)),S40+AE40,""))</f>
        <v>12979.57</v>
      </c>
      <c r="H40" s="38" t="n">
        <f aca="false">IF($A40="","",IF(AND(ISNUMBER(T40),ISNUMBER(AF40)),T40+AF40,""))</f>
        <v>12222.4</v>
      </c>
      <c r="I40" s="38" t="n">
        <f aca="false">IF($A40="","",IF(AND(ISNUMBER(U40),ISNUMBER(AG40)),U40+AG40,""))</f>
        <v>11770.8</v>
      </c>
      <c r="J40" s="38" t="n">
        <f aca="false">IF($A40="","",IF(AND(ISNUMBER(V40),ISNUMBER(AH40)),V40+AH40,""))</f>
        <v>12057.35</v>
      </c>
      <c r="K40" s="38" t="n">
        <f aca="false">IF($A40="","",IF(AND(ISNUMBER(W40),ISNUMBER(AI40)),W40+AI40,""))</f>
        <v>12012.11</v>
      </c>
      <c r="L40" s="38" t="n">
        <f aca="false">IF($A40="","",IF(AND(ISNUMBER(X40),ISNUMBER(AJ40)),X40+AJ40,""))</f>
        <v>12211.73</v>
      </c>
      <c r="M40" s="38" t="n">
        <f aca="false">IF($A40="","",IF(AND(ISNUMBER(Y40),ISNUMBER(AK40)),Y40+AK40,""))</f>
        <v>12656.74</v>
      </c>
      <c r="N40" s="38" t="n">
        <f aca="false">IF($A40="","",IF(AND(ISNUMBER(Z40),ISNUMBER(AL40)),Z40+AL40,""))</f>
        <v>13227.63</v>
      </c>
      <c r="O40" s="38" t="n">
        <f aca="false">IF($A40="","",IF(AND(ISNUMBER(AA40),ISNUMBER(AM40)),AA40+AM40,""))</f>
        <v>13465.99</v>
      </c>
      <c r="P40" s="38" t="n">
        <f aca="false">IF($A40="","",IFERROR(1/(1/IF($B40="Residential",SUMIFS(INDEX('Oxford Economics'!$A$7:$AZ$1000,0,IFERROR(MATCH(P$5,'Oxford Economics'!$A$6:$AZ$6,0),MATCH(P$5&amp;"",'Oxford Economics'!$A$6:$AZ$6,0))),'Oxford Economics'!$A$7:$A$1000,$C40,'Oxford Economics'!$B$7:$B$1000,Settings!$B$13)-SUMIFS(INDEX('Oxford Economics'!$A$7:$AZ$1000,0,IFERROR(MATCH(P$5,'Oxford Economics'!$A$6:$AZ$6,0),MATCH(P$5&amp;"",'Oxford Economics'!$A$6:$AZ$6,0))),'Oxford Economics'!$A$7:$A$1000,$C40,'Oxford Economics'!$B$7:$B$1000,Settings!$B$15),SUMIFS(INDEX('Oxford Economics'!$A$7:$AZ$1000,0,IFERROR(MATCH(P$5,'Oxford Economics'!$A$6:$AZ$6,0),MATCH(P$5&amp;"",'Oxford Economics'!$A$6:$AZ$6,0))),'Oxford Economics'!$A$7:$A$1000,$C40,'Oxford Economics'!$B$7:$B$1000,Settings!$B$15)+SUMIFS(INDEX('Oxford Economics'!$A$7:$AZ$1000,0,IFERROR(MATCH(P$5,'Oxford Economics'!$A$6:$AZ$6,0),MATCH(P$5&amp;"",'Oxford Economics'!$A$6:$AZ$6,0))),'Oxford Economics'!$A$7:$A$1000,$C40,'Oxford Economics'!$B$7:$B$1000,Settings!$B$17)+IF(Settings!$B$19="",0,SUMIFS(INDEX('Oxford Economics'!$A$7:$AZ$1000,0,IFERROR(MATCH(P$5,'Oxford Economics'!$A$6:$AZ$6,0),MATCH(P$5&amp;"",'Oxford Economics'!$A$6:$AZ$6,0))),'Oxford Economics'!$A$7:$A$1000,$C40,'Oxford Economics'!$B$7:$B$1000,Settings!$B$19)))),""))</f>
        <v>6454.16</v>
      </c>
      <c r="Q40" s="38" t="n">
        <f aca="false">IF($A40="","",IFERROR(1/(1/IF($B40="Residential",SUMIFS(INDEX('Oxford Economics'!$A$7:$AZ$1000,0,IFERROR(MATCH(Q$5,'Oxford Economics'!$A$6:$AZ$6,0),MATCH(Q$5&amp;"",'Oxford Economics'!$A$6:$AZ$6,0))),'Oxford Economics'!$A$7:$A$1000,$C40,'Oxford Economics'!$B$7:$B$1000,Settings!$B$13)-SUMIFS(INDEX('Oxford Economics'!$A$7:$AZ$1000,0,IFERROR(MATCH(Q$5,'Oxford Economics'!$A$6:$AZ$6,0),MATCH(Q$5&amp;"",'Oxford Economics'!$A$6:$AZ$6,0))),'Oxford Economics'!$A$7:$A$1000,$C40,'Oxford Economics'!$B$7:$B$1000,Settings!$B$15),SUMIFS(INDEX('Oxford Economics'!$A$7:$AZ$1000,0,IFERROR(MATCH(Q$5,'Oxford Economics'!$A$6:$AZ$6,0),MATCH(Q$5&amp;"",'Oxford Economics'!$A$6:$AZ$6,0))),'Oxford Economics'!$A$7:$A$1000,$C40,'Oxford Economics'!$B$7:$B$1000,Settings!$B$15)+SUMIFS(INDEX('Oxford Economics'!$A$7:$AZ$1000,0,IFERROR(MATCH(Q$5,'Oxford Economics'!$A$6:$AZ$6,0),MATCH(Q$5&amp;"",'Oxford Economics'!$A$6:$AZ$6,0))),'Oxford Economics'!$A$7:$A$1000,$C40,'Oxford Economics'!$B$7:$B$1000,Settings!$B$17)+IF(Settings!$B$19="",0,SUMIFS(INDEX('Oxford Economics'!$A$7:$AZ$1000,0,IFERROR(MATCH(Q$5,'Oxford Economics'!$A$6:$AZ$6,0),MATCH(Q$5&amp;"",'Oxford Economics'!$A$6:$AZ$6,0))),'Oxford Economics'!$A$7:$A$1000,$C40,'Oxford Economics'!$B$7:$B$1000,Settings!$B$19)))),""))</f>
        <v>6613.73</v>
      </c>
      <c r="R40" s="38" t="n">
        <f aca="false">IF($A40="","",IFERROR(1/(1/IF($B40="Residential",SUMIFS(INDEX('Oxford Economics'!$A$7:$AZ$1000,0,IFERROR(MATCH(R$5,'Oxford Economics'!$A$6:$AZ$6,0),MATCH(R$5&amp;"",'Oxford Economics'!$A$6:$AZ$6,0))),'Oxford Economics'!$A$7:$A$1000,$C40,'Oxford Economics'!$B$7:$B$1000,Settings!$B$13)-SUMIFS(INDEX('Oxford Economics'!$A$7:$AZ$1000,0,IFERROR(MATCH(R$5,'Oxford Economics'!$A$6:$AZ$6,0),MATCH(R$5&amp;"",'Oxford Economics'!$A$6:$AZ$6,0))),'Oxford Economics'!$A$7:$A$1000,$C40,'Oxford Economics'!$B$7:$B$1000,Settings!$B$15),SUMIFS(INDEX('Oxford Economics'!$A$7:$AZ$1000,0,IFERROR(MATCH(R$5,'Oxford Economics'!$A$6:$AZ$6,0),MATCH(R$5&amp;"",'Oxford Economics'!$A$6:$AZ$6,0))),'Oxford Economics'!$A$7:$A$1000,$C40,'Oxford Economics'!$B$7:$B$1000,Settings!$B$15)+SUMIFS(INDEX('Oxford Economics'!$A$7:$AZ$1000,0,IFERROR(MATCH(R$5,'Oxford Economics'!$A$6:$AZ$6,0),MATCH(R$5&amp;"",'Oxford Economics'!$A$6:$AZ$6,0))),'Oxford Economics'!$A$7:$A$1000,$C40,'Oxford Economics'!$B$7:$B$1000,Settings!$B$17)+IF(Settings!$B$19="",0,SUMIFS(INDEX('Oxford Economics'!$A$7:$AZ$1000,0,IFERROR(MATCH(R$5,'Oxford Economics'!$A$6:$AZ$6,0),MATCH(R$5&amp;"",'Oxford Economics'!$A$6:$AZ$6,0))),'Oxford Economics'!$A$7:$A$1000,$C40,'Oxford Economics'!$B$7:$B$1000,Settings!$B$19)))),""))</f>
        <v>6903.92</v>
      </c>
      <c r="S40" s="38" t="n">
        <f aca="false">IF($A40="","",IFERROR(1/(1/IF($B40="Residential",SUMIFS(INDEX('Oxford Economics'!$A$7:$AZ$1000,0,IFERROR(MATCH(S$5,'Oxford Economics'!$A$6:$AZ$6,0),MATCH(S$5&amp;"",'Oxford Economics'!$A$6:$AZ$6,0))),'Oxford Economics'!$A$7:$A$1000,$C40,'Oxford Economics'!$B$7:$B$1000,Settings!$B$13)-SUMIFS(INDEX('Oxford Economics'!$A$7:$AZ$1000,0,IFERROR(MATCH(S$5,'Oxford Economics'!$A$6:$AZ$6,0),MATCH(S$5&amp;"",'Oxford Economics'!$A$6:$AZ$6,0))),'Oxford Economics'!$A$7:$A$1000,$C40,'Oxford Economics'!$B$7:$B$1000,Settings!$B$15),SUMIFS(INDEX('Oxford Economics'!$A$7:$AZ$1000,0,IFERROR(MATCH(S$5,'Oxford Economics'!$A$6:$AZ$6,0),MATCH(S$5&amp;"",'Oxford Economics'!$A$6:$AZ$6,0))),'Oxford Economics'!$A$7:$A$1000,$C40,'Oxford Economics'!$B$7:$B$1000,Settings!$B$15)+SUMIFS(INDEX('Oxford Economics'!$A$7:$AZ$1000,0,IFERROR(MATCH(S$5,'Oxford Economics'!$A$6:$AZ$6,0),MATCH(S$5&amp;"",'Oxford Economics'!$A$6:$AZ$6,0))),'Oxford Economics'!$A$7:$A$1000,$C40,'Oxford Economics'!$B$7:$B$1000,Settings!$B$17)+IF(Settings!$B$19="",0,SUMIFS(INDEX('Oxford Economics'!$A$7:$AZ$1000,0,IFERROR(MATCH(S$5,'Oxford Economics'!$A$6:$AZ$6,0),MATCH(S$5&amp;"",'Oxford Economics'!$A$6:$AZ$6,0))),'Oxford Economics'!$A$7:$A$1000,$C40,'Oxford Economics'!$B$7:$B$1000,Settings!$B$19)))),""))</f>
        <v>7151.52</v>
      </c>
      <c r="T40" s="38" t="n">
        <f aca="false">IF($A40="","",IFERROR(1/(1/IF($B40="Residential",SUMIFS(INDEX('Oxford Economics'!$A$7:$AZ$1000,0,IFERROR(MATCH(T$5,'Oxford Economics'!$A$6:$AZ$6,0),MATCH(T$5&amp;"",'Oxford Economics'!$A$6:$AZ$6,0))),'Oxford Economics'!$A$7:$A$1000,$C40,'Oxford Economics'!$B$7:$B$1000,Settings!$B$13)-SUMIFS(INDEX('Oxford Economics'!$A$7:$AZ$1000,0,IFERROR(MATCH(T$5,'Oxford Economics'!$A$6:$AZ$6,0),MATCH(T$5&amp;"",'Oxford Economics'!$A$6:$AZ$6,0))),'Oxford Economics'!$A$7:$A$1000,$C40,'Oxford Economics'!$B$7:$B$1000,Settings!$B$15),SUMIFS(INDEX('Oxford Economics'!$A$7:$AZ$1000,0,IFERROR(MATCH(T$5,'Oxford Economics'!$A$6:$AZ$6,0),MATCH(T$5&amp;"",'Oxford Economics'!$A$6:$AZ$6,0))),'Oxford Economics'!$A$7:$A$1000,$C40,'Oxford Economics'!$B$7:$B$1000,Settings!$B$15)+SUMIFS(INDEX('Oxford Economics'!$A$7:$AZ$1000,0,IFERROR(MATCH(T$5,'Oxford Economics'!$A$6:$AZ$6,0),MATCH(T$5&amp;"",'Oxford Economics'!$A$6:$AZ$6,0))),'Oxford Economics'!$A$7:$A$1000,$C40,'Oxford Economics'!$B$7:$B$1000,Settings!$B$17)+IF(Settings!$B$19="",0,SUMIFS(INDEX('Oxford Economics'!$A$7:$AZ$1000,0,IFERROR(MATCH(T$5,'Oxford Economics'!$A$6:$AZ$6,0),MATCH(T$5&amp;"",'Oxford Economics'!$A$6:$AZ$6,0))),'Oxford Economics'!$A$7:$A$1000,$C40,'Oxford Economics'!$B$7:$B$1000,Settings!$B$19)))),""))</f>
        <v>7340.58</v>
      </c>
      <c r="U40" s="38" t="n">
        <f aca="false">IF($A40="","",IFERROR(1/(1/IF($B40="Residential",SUMIFS(INDEX('Oxford Economics'!$A$7:$AZ$1000,0,IFERROR(MATCH(U$5,'Oxford Economics'!$A$6:$AZ$6,0),MATCH(U$5&amp;"",'Oxford Economics'!$A$6:$AZ$6,0))),'Oxford Economics'!$A$7:$A$1000,$C40,'Oxford Economics'!$B$7:$B$1000,Settings!$B$13)-SUMIFS(INDEX('Oxford Economics'!$A$7:$AZ$1000,0,IFERROR(MATCH(U$5,'Oxford Economics'!$A$6:$AZ$6,0),MATCH(U$5&amp;"",'Oxford Economics'!$A$6:$AZ$6,0))),'Oxford Economics'!$A$7:$A$1000,$C40,'Oxford Economics'!$B$7:$B$1000,Settings!$B$15),SUMIFS(INDEX('Oxford Economics'!$A$7:$AZ$1000,0,IFERROR(MATCH(U$5,'Oxford Economics'!$A$6:$AZ$6,0),MATCH(U$5&amp;"",'Oxford Economics'!$A$6:$AZ$6,0))),'Oxford Economics'!$A$7:$A$1000,$C40,'Oxford Economics'!$B$7:$B$1000,Settings!$B$15)+SUMIFS(INDEX('Oxford Economics'!$A$7:$AZ$1000,0,IFERROR(MATCH(U$5,'Oxford Economics'!$A$6:$AZ$6,0),MATCH(U$5&amp;"",'Oxford Economics'!$A$6:$AZ$6,0))),'Oxford Economics'!$A$7:$A$1000,$C40,'Oxford Economics'!$B$7:$B$1000,Settings!$B$17)+IF(Settings!$B$19="",0,SUMIFS(INDEX('Oxford Economics'!$A$7:$AZ$1000,0,IFERROR(MATCH(U$5,'Oxford Economics'!$A$6:$AZ$6,0),MATCH(U$5&amp;"",'Oxford Economics'!$A$6:$AZ$6,0))),'Oxford Economics'!$A$7:$A$1000,$C40,'Oxford Economics'!$B$7:$B$1000,Settings!$B$19)))),""))</f>
        <v>6963.6</v>
      </c>
      <c r="V40" s="38" t="n">
        <f aca="false">IF($A40="","",IFERROR(1/(1/IF($B40="Residential",SUMIFS(INDEX('Oxford Economics'!$A$7:$AZ$1000,0,IFERROR(MATCH(V$5,'Oxford Economics'!$A$6:$AZ$6,0),MATCH(V$5&amp;"",'Oxford Economics'!$A$6:$AZ$6,0))),'Oxford Economics'!$A$7:$A$1000,$C40,'Oxford Economics'!$B$7:$B$1000,Settings!$B$13)-SUMIFS(INDEX('Oxford Economics'!$A$7:$AZ$1000,0,IFERROR(MATCH(V$5,'Oxford Economics'!$A$6:$AZ$6,0),MATCH(V$5&amp;"",'Oxford Economics'!$A$6:$AZ$6,0))),'Oxford Economics'!$A$7:$A$1000,$C40,'Oxford Economics'!$B$7:$B$1000,Settings!$B$15),SUMIFS(INDEX('Oxford Economics'!$A$7:$AZ$1000,0,IFERROR(MATCH(V$5,'Oxford Economics'!$A$6:$AZ$6,0),MATCH(V$5&amp;"",'Oxford Economics'!$A$6:$AZ$6,0))),'Oxford Economics'!$A$7:$A$1000,$C40,'Oxford Economics'!$B$7:$B$1000,Settings!$B$15)+SUMIFS(INDEX('Oxford Economics'!$A$7:$AZ$1000,0,IFERROR(MATCH(V$5,'Oxford Economics'!$A$6:$AZ$6,0),MATCH(V$5&amp;"",'Oxford Economics'!$A$6:$AZ$6,0))),'Oxford Economics'!$A$7:$A$1000,$C40,'Oxford Economics'!$B$7:$B$1000,Settings!$B$17)+IF(Settings!$B$19="",0,SUMIFS(INDEX('Oxford Economics'!$A$7:$AZ$1000,0,IFERROR(MATCH(V$5,'Oxford Economics'!$A$6:$AZ$6,0),MATCH(V$5&amp;"",'Oxford Economics'!$A$6:$AZ$6,0))),'Oxford Economics'!$A$7:$A$1000,$C40,'Oxford Economics'!$B$7:$B$1000,Settings!$B$19)))),""))</f>
        <v>6921.94</v>
      </c>
      <c r="W40" s="38" t="n">
        <f aca="false">IF($A40="","",IFERROR(1/(1/IF($B40="Residential",SUMIFS(INDEX('Oxford Economics'!$A$7:$AZ$1000,0,IFERROR(MATCH(W$5,'Oxford Economics'!$A$6:$AZ$6,0),MATCH(W$5&amp;"",'Oxford Economics'!$A$6:$AZ$6,0))),'Oxford Economics'!$A$7:$A$1000,$C40,'Oxford Economics'!$B$7:$B$1000,Settings!$B$13)-SUMIFS(INDEX('Oxford Economics'!$A$7:$AZ$1000,0,IFERROR(MATCH(W$5,'Oxford Economics'!$A$6:$AZ$6,0),MATCH(W$5&amp;"",'Oxford Economics'!$A$6:$AZ$6,0))),'Oxford Economics'!$A$7:$A$1000,$C40,'Oxford Economics'!$B$7:$B$1000,Settings!$B$15),SUMIFS(INDEX('Oxford Economics'!$A$7:$AZ$1000,0,IFERROR(MATCH(W$5,'Oxford Economics'!$A$6:$AZ$6,0),MATCH(W$5&amp;"",'Oxford Economics'!$A$6:$AZ$6,0))),'Oxford Economics'!$A$7:$A$1000,$C40,'Oxford Economics'!$B$7:$B$1000,Settings!$B$15)+SUMIFS(INDEX('Oxford Economics'!$A$7:$AZ$1000,0,IFERROR(MATCH(W$5,'Oxford Economics'!$A$6:$AZ$6,0),MATCH(W$5&amp;"",'Oxford Economics'!$A$6:$AZ$6,0))),'Oxford Economics'!$A$7:$A$1000,$C40,'Oxford Economics'!$B$7:$B$1000,Settings!$B$17)+IF(Settings!$B$19="",0,SUMIFS(INDEX('Oxford Economics'!$A$7:$AZ$1000,0,IFERROR(MATCH(W$5,'Oxford Economics'!$A$6:$AZ$6,0),MATCH(W$5&amp;"",'Oxford Economics'!$A$6:$AZ$6,0))),'Oxford Economics'!$A$7:$A$1000,$C40,'Oxford Economics'!$B$7:$B$1000,Settings!$B$19)))),""))</f>
        <v>6963.47</v>
      </c>
      <c r="X40" s="38" t="n">
        <f aca="false">IF($A40="","",IFERROR(1/(1/IF($B40="Residential",SUMIFS(INDEX('Oxford Economics'!$A$7:$AZ$1000,0,IFERROR(MATCH(X$5,'Oxford Economics'!$A$6:$AZ$6,0),MATCH(X$5&amp;"",'Oxford Economics'!$A$6:$AZ$6,0))),'Oxford Economics'!$A$7:$A$1000,$C40,'Oxford Economics'!$B$7:$B$1000,Settings!$B$13)-SUMIFS(INDEX('Oxford Economics'!$A$7:$AZ$1000,0,IFERROR(MATCH(X$5,'Oxford Economics'!$A$6:$AZ$6,0),MATCH(X$5&amp;"",'Oxford Economics'!$A$6:$AZ$6,0))),'Oxford Economics'!$A$7:$A$1000,$C40,'Oxford Economics'!$B$7:$B$1000,Settings!$B$15),SUMIFS(INDEX('Oxford Economics'!$A$7:$AZ$1000,0,IFERROR(MATCH(X$5,'Oxford Economics'!$A$6:$AZ$6,0),MATCH(X$5&amp;"",'Oxford Economics'!$A$6:$AZ$6,0))),'Oxford Economics'!$A$7:$A$1000,$C40,'Oxford Economics'!$B$7:$B$1000,Settings!$B$15)+SUMIFS(INDEX('Oxford Economics'!$A$7:$AZ$1000,0,IFERROR(MATCH(X$5,'Oxford Economics'!$A$6:$AZ$6,0),MATCH(X$5&amp;"",'Oxford Economics'!$A$6:$AZ$6,0))),'Oxford Economics'!$A$7:$A$1000,$C40,'Oxford Economics'!$B$7:$B$1000,Settings!$B$17)+IF(Settings!$B$19="",0,SUMIFS(INDEX('Oxford Economics'!$A$7:$AZ$1000,0,IFERROR(MATCH(X$5,'Oxford Economics'!$A$6:$AZ$6,0),MATCH(X$5&amp;"",'Oxford Economics'!$A$6:$AZ$6,0))),'Oxford Economics'!$A$7:$A$1000,$C40,'Oxford Economics'!$B$7:$B$1000,Settings!$B$19)))),""))</f>
        <v>7119.57</v>
      </c>
      <c r="Y40" s="38" t="n">
        <f aca="false">IF($A40="","",IFERROR(1/(1/IF($B40="Residential",SUMIFS(INDEX('Oxford Economics'!$A$7:$AZ$1000,0,IFERROR(MATCH(Y$5,'Oxford Economics'!$A$6:$AZ$6,0),MATCH(Y$5&amp;"",'Oxford Economics'!$A$6:$AZ$6,0))),'Oxford Economics'!$A$7:$A$1000,$C40,'Oxford Economics'!$B$7:$B$1000,Settings!$B$13)-SUMIFS(INDEX('Oxford Economics'!$A$7:$AZ$1000,0,IFERROR(MATCH(Y$5,'Oxford Economics'!$A$6:$AZ$6,0),MATCH(Y$5&amp;"",'Oxford Economics'!$A$6:$AZ$6,0))),'Oxford Economics'!$A$7:$A$1000,$C40,'Oxford Economics'!$B$7:$B$1000,Settings!$B$15),SUMIFS(INDEX('Oxford Economics'!$A$7:$AZ$1000,0,IFERROR(MATCH(Y$5,'Oxford Economics'!$A$6:$AZ$6,0),MATCH(Y$5&amp;"",'Oxford Economics'!$A$6:$AZ$6,0))),'Oxford Economics'!$A$7:$A$1000,$C40,'Oxford Economics'!$B$7:$B$1000,Settings!$B$15)+SUMIFS(INDEX('Oxford Economics'!$A$7:$AZ$1000,0,IFERROR(MATCH(Y$5,'Oxford Economics'!$A$6:$AZ$6,0),MATCH(Y$5&amp;"",'Oxford Economics'!$A$6:$AZ$6,0))),'Oxford Economics'!$A$7:$A$1000,$C40,'Oxford Economics'!$B$7:$B$1000,Settings!$B$17)+IF(Settings!$B$19="",0,SUMIFS(INDEX('Oxford Economics'!$A$7:$AZ$1000,0,IFERROR(MATCH(Y$5,'Oxford Economics'!$A$6:$AZ$6,0),MATCH(Y$5&amp;"",'Oxford Economics'!$A$6:$AZ$6,0))),'Oxford Economics'!$A$7:$A$1000,$C40,'Oxford Economics'!$B$7:$B$1000,Settings!$B$19)))),""))</f>
        <v>7450.86</v>
      </c>
      <c r="Z40" s="38" t="n">
        <f aca="false">IF($A40="","",IFERROR(1/(1/IF($B40="Residential",SUMIFS(INDEX('Oxford Economics'!$A$7:$AZ$1000,0,IFERROR(MATCH(Z$5,'Oxford Economics'!$A$6:$AZ$6,0),MATCH(Z$5&amp;"",'Oxford Economics'!$A$6:$AZ$6,0))),'Oxford Economics'!$A$7:$A$1000,$C40,'Oxford Economics'!$B$7:$B$1000,Settings!$B$13)-SUMIFS(INDEX('Oxford Economics'!$A$7:$AZ$1000,0,IFERROR(MATCH(Z$5,'Oxford Economics'!$A$6:$AZ$6,0),MATCH(Z$5&amp;"",'Oxford Economics'!$A$6:$AZ$6,0))),'Oxford Economics'!$A$7:$A$1000,$C40,'Oxford Economics'!$B$7:$B$1000,Settings!$B$15),SUMIFS(INDEX('Oxford Economics'!$A$7:$AZ$1000,0,IFERROR(MATCH(Z$5,'Oxford Economics'!$A$6:$AZ$6,0),MATCH(Z$5&amp;"",'Oxford Economics'!$A$6:$AZ$6,0))),'Oxford Economics'!$A$7:$A$1000,$C40,'Oxford Economics'!$B$7:$B$1000,Settings!$B$15)+SUMIFS(INDEX('Oxford Economics'!$A$7:$AZ$1000,0,IFERROR(MATCH(Z$5,'Oxford Economics'!$A$6:$AZ$6,0),MATCH(Z$5&amp;"",'Oxford Economics'!$A$6:$AZ$6,0))),'Oxford Economics'!$A$7:$A$1000,$C40,'Oxford Economics'!$B$7:$B$1000,Settings!$B$17)+IF(Settings!$B$19="",0,SUMIFS(INDEX('Oxford Economics'!$A$7:$AZ$1000,0,IFERROR(MATCH(Z$5,'Oxford Economics'!$A$6:$AZ$6,0),MATCH(Z$5&amp;"",'Oxford Economics'!$A$6:$AZ$6,0))),'Oxford Economics'!$A$7:$A$1000,$C40,'Oxford Economics'!$B$7:$B$1000,Settings!$B$19)))),""))</f>
        <v>7930.05</v>
      </c>
      <c r="AA40" s="38" t="n">
        <f aca="false">IF($A40="","",IFERROR(1/(1/IF($B40="Residential",SUMIFS(INDEX('Oxford Economics'!$A$7:$AZ$1000,0,IFERROR(MATCH(AA$5,'Oxford Economics'!$A$6:$AZ$6,0),MATCH(AA$5&amp;"",'Oxford Economics'!$A$6:$AZ$6,0))),'Oxford Economics'!$A$7:$A$1000,$C40,'Oxford Economics'!$B$7:$B$1000,Settings!$B$13)-SUMIFS(INDEX('Oxford Economics'!$A$7:$AZ$1000,0,IFERROR(MATCH(AA$5,'Oxford Economics'!$A$6:$AZ$6,0),MATCH(AA$5&amp;"",'Oxford Economics'!$A$6:$AZ$6,0))),'Oxford Economics'!$A$7:$A$1000,$C40,'Oxford Economics'!$B$7:$B$1000,Settings!$B$15),SUMIFS(INDEX('Oxford Economics'!$A$7:$AZ$1000,0,IFERROR(MATCH(AA$5,'Oxford Economics'!$A$6:$AZ$6,0),MATCH(AA$5&amp;"",'Oxford Economics'!$A$6:$AZ$6,0))),'Oxford Economics'!$A$7:$A$1000,$C40,'Oxford Economics'!$B$7:$B$1000,Settings!$B$15)+SUMIFS(INDEX('Oxford Economics'!$A$7:$AZ$1000,0,IFERROR(MATCH(AA$5,'Oxford Economics'!$A$6:$AZ$6,0),MATCH(AA$5&amp;"",'Oxford Economics'!$A$6:$AZ$6,0))),'Oxford Economics'!$A$7:$A$1000,$C40,'Oxford Economics'!$B$7:$B$1000,Settings!$B$17)+IF(Settings!$B$19="",0,SUMIFS(INDEX('Oxford Economics'!$A$7:$AZ$1000,0,IFERROR(MATCH(AA$5,'Oxford Economics'!$A$6:$AZ$6,0),MATCH(AA$5&amp;"",'Oxford Economics'!$A$6:$AZ$6,0))),'Oxford Economics'!$A$7:$A$1000,$C40,'Oxford Economics'!$B$7:$B$1000,Settings!$B$19)))),""))</f>
        <v>8078.6</v>
      </c>
      <c r="AB40" s="38" t="n">
        <f aca="false">IF($A40="","",IFERROR(1/(1/IF($B40="Residential",SUMIFS(INDEX('Oxford Economics'!$A$7:$AZ$1000,0,IFERROR(MATCH(AB$5,'Oxford Economics'!$A$6:$AZ$6,0),MATCH(AB$5&amp;"",'Oxford Economics'!$A$6:$AZ$6,0))),'Oxford Economics'!$A$7:$A$1000,$C40,'Oxford Economics'!$B$7:$B$1000,Settings!$B$12)-SUMIFS(INDEX('Oxford Economics'!$A$7:$AZ$1000,0,IFERROR(MATCH(AB$5,'Oxford Economics'!$A$6:$AZ$6,0),MATCH(AB$5&amp;"",'Oxford Economics'!$A$6:$AZ$6,0))),'Oxford Economics'!$A$7:$A$1000,$C40,'Oxford Economics'!$B$7:$B$1000,Settings!$B$14),SUMIFS(INDEX('Oxford Economics'!$A$7:$AZ$1000,0,IFERROR(MATCH(AB$5,'Oxford Economics'!$A$6:$AZ$6,0),MATCH(AB$5&amp;"",'Oxford Economics'!$A$6:$AZ$6,0))),'Oxford Economics'!$A$7:$A$1000,$C40,'Oxford Economics'!$B$7:$B$1000,Settings!$B$14)+SUMIFS(INDEX('Oxford Economics'!$A$7:$AZ$1000,0,IFERROR(MATCH(AB$5,'Oxford Economics'!$A$6:$AZ$6,0),MATCH(AB$5&amp;"",'Oxford Economics'!$A$6:$AZ$6,0))),'Oxford Economics'!$A$7:$A$1000,$C40,'Oxford Economics'!$B$7:$B$1000,Settings!$B$16)+IF(Settings!$B$18="",0,SUMIFS(INDEX('Oxford Economics'!$A$7:$AZ$1000,0,IFERROR(MATCH(AB$5,'Oxford Economics'!$A$6:$AZ$6,0),MATCH(AB$5&amp;"",'Oxford Economics'!$A$6:$AZ$6,0))),'Oxford Economics'!$A$7:$A$1000,$C40,'Oxford Economics'!$B$7:$B$1000,Settings!$B$18)))),""))</f>
        <v>6158.89</v>
      </c>
      <c r="AC40" s="38" t="n">
        <f aca="false">IF($A40="","",IFERROR(1/(1/IF($B40="Residential",SUMIFS(INDEX('Oxford Economics'!$A$7:$AZ$1000,0,IFERROR(MATCH(AC$5,'Oxford Economics'!$A$6:$AZ$6,0),MATCH(AC$5&amp;"",'Oxford Economics'!$A$6:$AZ$6,0))),'Oxford Economics'!$A$7:$A$1000,$C40,'Oxford Economics'!$B$7:$B$1000,Settings!$B$12)-SUMIFS(INDEX('Oxford Economics'!$A$7:$AZ$1000,0,IFERROR(MATCH(AC$5,'Oxford Economics'!$A$6:$AZ$6,0),MATCH(AC$5&amp;"",'Oxford Economics'!$A$6:$AZ$6,0))),'Oxford Economics'!$A$7:$A$1000,$C40,'Oxford Economics'!$B$7:$B$1000,Settings!$B$14),SUMIFS(INDEX('Oxford Economics'!$A$7:$AZ$1000,0,IFERROR(MATCH(AC$5,'Oxford Economics'!$A$6:$AZ$6,0),MATCH(AC$5&amp;"",'Oxford Economics'!$A$6:$AZ$6,0))),'Oxford Economics'!$A$7:$A$1000,$C40,'Oxford Economics'!$B$7:$B$1000,Settings!$B$14)+SUMIFS(INDEX('Oxford Economics'!$A$7:$AZ$1000,0,IFERROR(MATCH(AC$5,'Oxford Economics'!$A$6:$AZ$6,0),MATCH(AC$5&amp;"",'Oxford Economics'!$A$6:$AZ$6,0))),'Oxford Economics'!$A$7:$A$1000,$C40,'Oxford Economics'!$B$7:$B$1000,Settings!$B$16)+IF(Settings!$B$18="",0,SUMIFS(INDEX('Oxford Economics'!$A$7:$AZ$1000,0,IFERROR(MATCH(AC$5,'Oxford Economics'!$A$6:$AZ$6,0),MATCH(AC$5&amp;"",'Oxford Economics'!$A$6:$AZ$6,0))),'Oxford Economics'!$A$7:$A$1000,$C40,'Oxford Economics'!$B$7:$B$1000,Settings!$B$18)))),""))</f>
        <v>6334.33</v>
      </c>
      <c r="AD40" s="38" t="n">
        <f aca="false">IF($A40="","",IFERROR(1/(1/IF($B40="Residential",SUMIFS(INDEX('Oxford Economics'!$A$7:$AZ$1000,0,IFERROR(MATCH(AD$5,'Oxford Economics'!$A$6:$AZ$6,0),MATCH(AD$5&amp;"",'Oxford Economics'!$A$6:$AZ$6,0))),'Oxford Economics'!$A$7:$A$1000,$C40,'Oxford Economics'!$B$7:$B$1000,Settings!$B$12)-SUMIFS(INDEX('Oxford Economics'!$A$7:$AZ$1000,0,IFERROR(MATCH(AD$5,'Oxford Economics'!$A$6:$AZ$6,0),MATCH(AD$5&amp;"",'Oxford Economics'!$A$6:$AZ$6,0))),'Oxford Economics'!$A$7:$A$1000,$C40,'Oxford Economics'!$B$7:$B$1000,Settings!$B$14),SUMIFS(INDEX('Oxford Economics'!$A$7:$AZ$1000,0,IFERROR(MATCH(AD$5,'Oxford Economics'!$A$6:$AZ$6,0),MATCH(AD$5&amp;"",'Oxford Economics'!$A$6:$AZ$6,0))),'Oxford Economics'!$A$7:$A$1000,$C40,'Oxford Economics'!$B$7:$B$1000,Settings!$B$14)+SUMIFS(INDEX('Oxford Economics'!$A$7:$AZ$1000,0,IFERROR(MATCH(AD$5,'Oxford Economics'!$A$6:$AZ$6,0),MATCH(AD$5&amp;"",'Oxford Economics'!$A$6:$AZ$6,0))),'Oxford Economics'!$A$7:$A$1000,$C40,'Oxford Economics'!$B$7:$B$1000,Settings!$B$16)+IF(Settings!$B$18="",0,SUMIFS(INDEX('Oxford Economics'!$A$7:$AZ$1000,0,IFERROR(MATCH(AD$5,'Oxford Economics'!$A$6:$AZ$6,0),MATCH(AD$5&amp;"",'Oxford Economics'!$A$6:$AZ$6,0))),'Oxford Economics'!$A$7:$A$1000,$C40,'Oxford Economics'!$B$7:$B$1000,Settings!$B$18)))),""))</f>
        <v>6508.41</v>
      </c>
      <c r="AE40" s="38" t="n">
        <f aca="false">IF($A40="","",IFERROR(1/(1/IF($B40="Residential",SUMIFS(INDEX('Oxford Economics'!$A$7:$AZ$1000,0,IFERROR(MATCH(AE$5,'Oxford Economics'!$A$6:$AZ$6,0),MATCH(AE$5&amp;"",'Oxford Economics'!$A$6:$AZ$6,0))),'Oxford Economics'!$A$7:$A$1000,$C40,'Oxford Economics'!$B$7:$B$1000,Settings!$B$12)-SUMIFS(INDEX('Oxford Economics'!$A$7:$AZ$1000,0,IFERROR(MATCH(AE$5,'Oxford Economics'!$A$6:$AZ$6,0),MATCH(AE$5&amp;"",'Oxford Economics'!$A$6:$AZ$6,0))),'Oxford Economics'!$A$7:$A$1000,$C40,'Oxford Economics'!$B$7:$B$1000,Settings!$B$14),SUMIFS(INDEX('Oxford Economics'!$A$7:$AZ$1000,0,IFERROR(MATCH(AE$5,'Oxford Economics'!$A$6:$AZ$6,0),MATCH(AE$5&amp;"",'Oxford Economics'!$A$6:$AZ$6,0))),'Oxford Economics'!$A$7:$A$1000,$C40,'Oxford Economics'!$B$7:$B$1000,Settings!$B$14)+SUMIFS(INDEX('Oxford Economics'!$A$7:$AZ$1000,0,IFERROR(MATCH(AE$5,'Oxford Economics'!$A$6:$AZ$6,0),MATCH(AE$5&amp;"",'Oxford Economics'!$A$6:$AZ$6,0))),'Oxford Economics'!$A$7:$A$1000,$C40,'Oxford Economics'!$B$7:$B$1000,Settings!$B$16)+IF(Settings!$B$18="",0,SUMIFS(INDEX('Oxford Economics'!$A$7:$AZ$1000,0,IFERROR(MATCH(AE$5,'Oxford Economics'!$A$6:$AZ$6,0),MATCH(AE$5&amp;"",'Oxford Economics'!$A$6:$AZ$6,0))),'Oxford Economics'!$A$7:$A$1000,$C40,'Oxford Economics'!$B$7:$B$1000,Settings!$B$18)))),""))</f>
        <v>5828.05</v>
      </c>
      <c r="AF40" s="38" t="n">
        <f aca="false">IF($A40="","",IFERROR(1/(1/IF($B40="Residential",SUMIFS(INDEX('Oxford Economics'!$A$7:$AZ$1000,0,IFERROR(MATCH(AF$5,'Oxford Economics'!$A$6:$AZ$6,0),MATCH(AF$5&amp;"",'Oxford Economics'!$A$6:$AZ$6,0))),'Oxford Economics'!$A$7:$A$1000,$C40,'Oxford Economics'!$B$7:$B$1000,Settings!$B$12)-SUMIFS(INDEX('Oxford Economics'!$A$7:$AZ$1000,0,IFERROR(MATCH(AF$5,'Oxford Economics'!$A$6:$AZ$6,0),MATCH(AF$5&amp;"",'Oxford Economics'!$A$6:$AZ$6,0))),'Oxford Economics'!$A$7:$A$1000,$C40,'Oxford Economics'!$B$7:$B$1000,Settings!$B$14),SUMIFS(INDEX('Oxford Economics'!$A$7:$AZ$1000,0,IFERROR(MATCH(AF$5,'Oxford Economics'!$A$6:$AZ$6,0),MATCH(AF$5&amp;"",'Oxford Economics'!$A$6:$AZ$6,0))),'Oxford Economics'!$A$7:$A$1000,$C40,'Oxford Economics'!$B$7:$B$1000,Settings!$B$14)+SUMIFS(INDEX('Oxford Economics'!$A$7:$AZ$1000,0,IFERROR(MATCH(AF$5,'Oxford Economics'!$A$6:$AZ$6,0),MATCH(AF$5&amp;"",'Oxford Economics'!$A$6:$AZ$6,0))),'Oxford Economics'!$A$7:$A$1000,$C40,'Oxford Economics'!$B$7:$B$1000,Settings!$B$16)+IF(Settings!$B$18="",0,SUMIFS(INDEX('Oxford Economics'!$A$7:$AZ$1000,0,IFERROR(MATCH(AF$5,'Oxford Economics'!$A$6:$AZ$6,0),MATCH(AF$5&amp;"",'Oxford Economics'!$A$6:$AZ$6,0))),'Oxford Economics'!$A$7:$A$1000,$C40,'Oxford Economics'!$B$7:$B$1000,Settings!$B$18)))),""))</f>
        <v>4881.82</v>
      </c>
      <c r="AG40" s="38" t="n">
        <f aca="false">IF($A40="","",IFERROR(1/(1/IF($B40="Residential",SUMIFS(INDEX('Oxford Economics'!$A$7:$AZ$1000,0,IFERROR(MATCH(AG$5,'Oxford Economics'!$A$6:$AZ$6,0),MATCH(AG$5&amp;"",'Oxford Economics'!$A$6:$AZ$6,0))),'Oxford Economics'!$A$7:$A$1000,$C40,'Oxford Economics'!$B$7:$B$1000,Settings!$B$12)-SUMIFS(INDEX('Oxford Economics'!$A$7:$AZ$1000,0,IFERROR(MATCH(AG$5,'Oxford Economics'!$A$6:$AZ$6,0),MATCH(AG$5&amp;"",'Oxford Economics'!$A$6:$AZ$6,0))),'Oxford Economics'!$A$7:$A$1000,$C40,'Oxford Economics'!$B$7:$B$1000,Settings!$B$14),SUMIFS(INDEX('Oxford Economics'!$A$7:$AZ$1000,0,IFERROR(MATCH(AG$5,'Oxford Economics'!$A$6:$AZ$6,0),MATCH(AG$5&amp;"",'Oxford Economics'!$A$6:$AZ$6,0))),'Oxford Economics'!$A$7:$A$1000,$C40,'Oxford Economics'!$B$7:$B$1000,Settings!$B$14)+SUMIFS(INDEX('Oxford Economics'!$A$7:$AZ$1000,0,IFERROR(MATCH(AG$5,'Oxford Economics'!$A$6:$AZ$6,0),MATCH(AG$5&amp;"",'Oxford Economics'!$A$6:$AZ$6,0))),'Oxford Economics'!$A$7:$A$1000,$C40,'Oxford Economics'!$B$7:$B$1000,Settings!$B$16)+IF(Settings!$B$18="",0,SUMIFS(INDEX('Oxford Economics'!$A$7:$AZ$1000,0,IFERROR(MATCH(AG$5,'Oxford Economics'!$A$6:$AZ$6,0),MATCH(AG$5&amp;"",'Oxford Economics'!$A$6:$AZ$6,0))),'Oxford Economics'!$A$7:$A$1000,$C40,'Oxford Economics'!$B$7:$B$1000,Settings!$B$18)))),""))</f>
        <v>4807.2</v>
      </c>
      <c r="AH40" s="38" t="n">
        <f aca="false">IF($A40="","",IFERROR(1/(1/IF($B40="Residential",SUMIFS(INDEX('Oxford Economics'!$A$7:$AZ$1000,0,IFERROR(MATCH(AH$5,'Oxford Economics'!$A$6:$AZ$6,0),MATCH(AH$5&amp;"",'Oxford Economics'!$A$6:$AZ$6,0))),'Oxford Economics'!$A$7:$A$1000,$C40,'Oxford Economics'!$B$7:$B$1000,Settings!$B$12)-SUMIFS(INDEX('Oxford Economics'!$A$7:$AZ$1000,0,IFERROR(MATCH(AH$5,'Oxford Economics'!$A$6:$AZ$6,0),MATCH(AH$5&amp;"",'Oxford Economics'!$A$6:$AZ$6,0))),'Oxford Economics'!$A$7:$A$1000,$C40,'Oxford Economics'!$B$7:$B$1000,Settings!$B$14),SUMIFS(INDEX('Oxford Economics'!$A$7:$AZ$1000,0,IFERROR(MATCH(AH$5,'Oxford Economics'!$A$6:$AZ$6,0),MATCH(AH$5&amp;"",'Oxford Economics'!$A$6:$AZ$6,0))),'Oxford Economics'!$A$7:$A$1000,$C40,'Oxford Economics'!$B$7:$B$1000,Settings!$B$14)+SUMIFS(INDEX('Oxford Economics'!$A$7:$AZ$1000,0,IFERROR(MATCH(AH$5,'Oxford Economics'!$A$6:$AZ$6,0),MATCH(AH$5&amp;"",'Oxford Economics'!$A$6:$AZ$6,0))),'Oxford Economics'!$A$7:$A$1000,$C40,'Oxford Economics'!$B$7:$B$1000,Settings!$B$16)+IF(Settings!$B$18="",0,SUMIFS(INDEX('Oxford Economics'!$A$7:$AZ$1000,0,IFERROR(MATCH(AH$5,'Oxford Economics'!$A$6:$AZ$6,0),MATCH(AH$5&amp;"",'Oxford Economics'!$A$6:$AZ$6,0))),'Oxford Economics'!$A$7:$A$1000,$C40,'Oxford Economics'!$B$7:$B$1000,Settings!$B$18)))),""))</f>
        <v>5135.41</v>
      </c>
      <c r="AI40" s="38" t="n">
        <f aca="false">IF($A40="","",IFERROR(1/(1/IF($B40="Residential",SUMIFS(INDEX('Oxford Economics'!$A$7:$AZ$1000,0,IFERROR(MATCH(AI$5,'Oxford Economics'!$A$6:$AZ$6,0),MATCH(AI$5&amp;"",'Oxford Economics'!$A$6:$AZ$6,0))),'Oxford Economics'!$A$7:$A$1000,$C40,'Oxford Economics'!$B$7:$B$1000,Settings!$B$12)-SUMIFS(INDEX('Oxford Economics'!$A$7:$AZ$1000,0,IFERROR(MATCH(AI$5,'Oxford Economics'!$A$6:$AZ$6,0),MATCH(AI$5&amp;"",'Oxford Economics'!$A$6:$AZ$6,0))),'Oxford Economics'!$A$7:$A$1000,$C40,'Oxford Economics'!$B$7:$B$1000,Settings!$B$14),SUMIFS(INDEX('Oxford Economics'!$A$7:$AZ$1000,0,IFERROR(MATCH(AI$5,'Oxford Economics'!$A$6:$AZ$6,0),MATCH(AI$5&amp;"",'Oxford Economics'!$A$6:$AZ$6,0))),'Oxford Economics'!$A$7:$A$1000,$C40,'Oxford Economics'!$B$7:$B$1000,Settings!$B$14)+SUMIFS(INDEX('Oxford Economics'!$A$7:$AZ$1000,0,IFERROR(MATCH(AI$5,'Oxford Economics'!$A$6:$AZ$6,0),MATCH(AI$5&amp;"",'Oxford Economics'!$A$6:$AZ$6,0))),'Oxford Economics'!$A$7:$A$1000,$C40,'Oxford Economics'!$B$7:$B$1000,Settings!$B$16)+IF(Settings!$B$18="",0,SUMIFS(INDEX('Oxford Economics'!$A$7:$AZ$1000,0,IFERROR(MATCH(AI$5,'Oxford Economics'!$A$6:$AZ$6,0),MATCH(AI$5&amp;"",'Oxford Economics'!$A$6:$AZ$6,0))),'Oxford Economics'!$A$7:$A$1000,$C40,'Oxford Economics'!$B$7:$B$1000,Settings!$B$18)))),""))</f>
        <v>5048.64</v>
      </c>
      <c r="AJ40" s="38" t="n">
        <f aca="false">IF($A40="","",IFERROR(1/(1/IF($B40="Residential",SUMIFS(INDEX('Oxford Economics'!$A$7:$AZ$1000,0,IFERROR(MATCH(AJ$5,'Oxford Economics'!$A$6:$AZ$6,0),MATCH(AJ$5&amp;"",'Oxford Economics'!$A$6:$AZ$6,0))),'Oxford Economics'!$A$7:$A$1000,$C40,'Oxford Economics'!$B$7:$B$1000,Settings!$B$12)-SUMIFS(INDEX('Oxford Economics'!$A$7:$AZ$1000,0,IFERROR(MATCH(AJ$5,'Oxford Economics'!$A$6:$AZ$6,0),MATCH(AJ$5&amp;"",'Oxford Economics'!$A$6:$AZ$6,0))),'Oxford Economics'!$A$7:$A$1000,$C40,'Oxford Economics'!$B$7:$B$1000,Settings!$B$14),SUMIFS(INDEX('Oxford Economics'!$A$7:$AZ$1000,0,IFERROR(MATCH(AJ$5,'Oxford Economics'!$A$6:$AZ$6,0),MATCH(AJ$5&amp;"",'Oxford Economics'!$A$6:$AZ$6,0))),'Oxford Economics'!$A$7:$A$1000,$C40,'Oxford Economics'!$B$7:$B$1000,Settings!$B$14)+SUMIFS(INDEX('Oxford Economics'!$A$7:$AZ$1000,0,IFERROR(MATCH(AJ$5,'Oxford Economics'!$A$6:$AZ$6,0),MATCH(AJ$5&amp;"",'Oxford Economics'!$A$6:$AZ$6,0))),'Oxford Economics'!$A$7:$A$1000,$C40,'Oxford Economics'!$B$7:$B$1000,Settings!$B$16)+IF(Settings!$B$18="",0,SUMIFS(INDEX('Oxford Economics'!$A$7:$AZ$1000,0,IFERROR(MATCH(AJ$5,'Oxford Economics'!$A$6:$AZ$6,0),MATCH(AJ$5&amp;"",'Oxford Economics'!$A$6:$AZ$6,0))),'Oxford Economics'!$A$7:$A$1000,$C40,'Oxford Economics'!$B$7:$B$1000,Settings!$B$18)))),""))</f>
        <v>5092.16</v>
      </c>
      <c r="AK40" s="38" t="n">
        <f aca="false">IF($A40="","",IFERROR(1/(1/IF($B40="Residential",SUMIFS(INDEX('Oxford Economics'!$A$7:$AZ$1000,0,IFERROR(MATCH(AK$5,'Oxford Economics'!$A$6:$AZ$6,0),MATCH(AK$5&amp;"",'Oxford Economics'!$A$6:$AZ$6,0))),'Oxford Economics'!$A$7:$A$1000,$C40,'Oxford Economics'!$B$7:$B$1000,Settings!$B$12)-SUMIFS(INDEX('Oxford Economics'!$A$7:$AZ$1000,0,IFERROR(MATCH(AK$5,'Oxford Economics'!$A$6:$AZ$6,0),MATCH(AK$5&amp;"",'Oxford Economics'!$A$6:$AZ$6,0))),'Oxford Economics'!$A$7:$A$1000,$C40,'Oxford Economics'!$B$7:$B$1000,Settings!$B$14),SUMIFS(INDEX('Oxford Economics'!$A$7:$AZ$1000,0,IFERROR(MATCH(AK$5,'Oxford Economics'!$A$6:$AZ$6,0),MATCH(AK$5&amp;"",'Oxford Economics'!$A$6:$AZ$6,0))),'Oxford Economics'!$A$7:$A$1000,$C40,'Oxford Economics'!$B$7:$B$1000,Settings!$B$14)+SUMIFS(INDEX('Oxford Economics'!$A$7:$AZ$1000,0,IFERROR(MATCH(AK$5,'Oxford Economics'!$A$6:$AZ$6,0),MATCH(AK$5&amp;"",'Oxford Economics'!$A$6:$AZ$6,0))),'Oxford Economics'!$A$7:$A$1000,$C40,'Oxford Economics'!$B$7:$B$1000,Settings!$B$16)+IF(Settings!$B$18="",0,SUMIFS(INDEX('Oxford Economics'!$A$7:$AZ$1000,0,IFERROR(MATCH(AK$5,'Oxford Economics'!$A$6:$AZ$6,0),MATCH(AK$5&amp;"",'Oxford Economics'!$A$6:$AZ$6,0))),'Oxford Economics'!$A$7:$A$1000,$C40,'Oxford Economics'!$B$7:$B$1000,Settings!$B$18)))),""))</f>
        <v>5205.88</v>
      </c>
      <c r="AL40" s="38" t="n">
        <f aca="false">IF($A40="","",IFERROR(1/(1/IF($B40="Residential",SUMIFS(INDEX('Oxford Economics'!$A$7:$AZ$1000,0,IFERROR(MATCH(AL$5,'Oxford Economics'!$A$6:$AZ$6,0),MATCH(AL$5&amp;"",'Oxford Economics'!$A$6:$AZ$6,0))),'Oxford Economics'!$A$7:$A$1000,$C40,'Oxford Economics'!$B$7:$B$1000,Settings!$B$12)-SUMIFS(INDEX('Oxford Economics'!$A$7:$AZ$1000,0,IFERROR(MATCH(AL$5,'Oxford Economics'!$A$6:$AZ$6,0),MATCH(AL$5&amp;"",'Oxford Economics'!$A$6:$AZ$6,0))),'Oxford Economics'!$A$7:$A$1000,$C40,'Oxford Economics'!$B$7:$B$1000,Settings!$B$14),SUMIFS(INDEX('Oxford Economics'!$A$7:$AZ$1000,0,IFERROR(MATCH(AL$5,'Oxford Economics'!$A$6:$AZ$6,0),MATCH(AL$5&amp;"",'Oxford Economics'!$A$6:$AZ$6,0))),'Oxford Economics'!$A$7:$A$1000,$C40,'Oxford Economics'!$B$7:$B$1000,Settings!$B$14)+SUMIFS(INDEX('Oxford Economics'!$A$7:$AZ$1000,0,IFERROR(MATCH(AL$5,'Oxford Economics'!$A$6:$AZ$6,0),MATCH(AL$5&amp;"",'Oxford Economics'!$A$6:$AZ$6,0))),'Oxford Economics'!$A$7:$A$1000,$C40,'Oxford Economics'!$B$7:$B$1000,Settings!$B$16)+IF(Settings!$B$18="",0,SUMIFS(INDEX('Oxford Economics'!$A$7:$AZ$1000,0,IFERROR(MATCH(AL$5,'Oxford Economics'!$A$6:$AZ$6,0),MATCH(AL$5&amp;"",'Oxford Economics'!$A$6:$AZ$6,0))),'Oxford Economics'!$A$7:$A$1000,$C40,'Oxford Economics'!$B$7:$B$1000,Settings!$B$18)))),""))</f>
        <v>5297.58</v>
      </c>
      <c r="AM40" s="38" t="n">
        <f aca="false">IF($A40="","",IFERROR(1/(1/IF($B40="Residential",SUMIFS(INDEX('Oxford Economics'!$A$7:$AZ$1000,0,IFERROR(MATCH(AM$5,'Oxford Economics'!$A$6:$AZ$6,0),MATCH(AM$5&amp;"",'Oxford Economics'!$A$6:$AZ$6,0))),'Oxford Economics'!$A$7:$A$1000,$C40,'Oxford Economics'!$B$7:$B$1000,Settings!$B$12)-SUMIFS(INDEX('Oxford Economics'!$A$7:$AZ$1000,0,IFERROR(MATCH(AM$5,'Oxford Economics'!$A$6:$AZ$6,0),MATCH(AM$5&amp;"",'Oxford Economics'!$A$6:$AZ$6,0))),'Oxford Economics'!$A$7:$A$1000,$C40,'Oxford Economics'!$B$7:$B$1000,Settings!$B$14),SUMIFS(INDEX('Oxford Economics'!$A$7:$AZ$1000,0,IFERROR(MATCH(AM$5,'Oxford Economics'!$A$6:$AZ$6,0),MATCH(AM$5&amp;"",'Oxford Economics'!$A$6:$AZ$6,0))),'Oxford Economics'!$A$7:$A$1000,$C40,'Oxford Economics'!$B$7:$B$1000,Settings!$B$14)+SUMIFS(INDEX('Oxford Economics'!$A$7:$AZ$1000,0,IFERROR(MATCH(AM$5,'Oxford Economics'!$A$6:$AZ$6,0),MATCH(AM$5&amp;"",'Oxford Economics'!$A$6:$AZ$6,0))),'Oxford Economics'!$A$7:$A$1000,$C40,'Oxford Economics'!$B$7:$B$1000,Settings!$B$16)+IF(Settings!$B$18="",0,SUMIFS(INDEX('Oxford Economics'!$A$7:$AZ$1000,0,IFERROR(MATCH(AM$5,'Oxford Economics'!$A$6:$AZ$6,0),MATCH(AM$5&amp;"",'Oxford Economics'!$A$6:$AZ$6,0))),'Oxford Economics'!$A$7:$A$1000,$C40,'Oxford Economics'!$B$7:$B$1000,Settings!$B$18)))),""))</f>
        <v>5387.39</v>
      </c>
    </row>
    <row r="41" customFormat="false" ht="15" hidden="false" customHeight="false" outlineLevel="0" collapsed="false">
      <c r="A41" s="37" t="str">
        <f aca="false">IF('Raw data'!$A41="","",'Raw data'!$A41)</f>
        <v>Norway</v>
      </c>
      <c r="B41" s="37" t="str">
        <f aca="false">IF($A41="","",'Raw data'!$C41)</f>
        <v>Commercial</v>
      </c>
      <c r="C41" s="37" t="str">
        <f aca="false">IF($A41="","",IF('Raw data'!$E41="",$A41,'Raw data'!$E41))</f>
        <v>Norway</v>
      </c>
      <c r="D41" s="38" t="n">
        <f aca="false">IF($A41="","",IF(AND(ISNUMBER(P41),ISNUMBER(AB41)),P41+AB41,""))</f>
        <v>12613.05</v>
      </c>
      <c r="E41" s="38" t="n">
        <f aca="false">IF($A41="","",IF(AND(ISNUMBER(Q41),ISNUMBER(AC41)),Q41+AC41,""))</f>
        <v>12948.06</v>
      </c>
      <c r="F41" s="38" t="n">
        <f aca="false">IF($A41="","",IF(AND(ISNUMBER(R41),ISNUMBER(AD41)),R41+AD41,""))</f>
        <v>13412.33</v>
      </c>
      <c r="G41" s="38" t="n">
        <f aca="false">IF($A41="","",IF(AND(ISNUMBER(S41),ISNUMBER(AE41)),S41+AE41,""))</f>
        <v>12979.57</v>
      </c>
      <c r="H41" s="38" t="n">
        <f aca="false">IF($A41="","",IF(AND(ISNUMBER(T41),ISNUMBER(AF41)),T41+AF41,""))</f>
        <v>12222.4</v>
      </c>
      <c r="I41" s="38" t="n">
        <f aca="false">IF($A41="","",IF(AND(ISNUMBER(U41),ISNUMBER(AG41)),U41+AG41,""))</f>
        <v>11770.8</v>
      </c>
      <c r="J41" s="38" t="n">
        <f aca="false">IF($A41="","",IF(AND(ISNUMBER(V41),ISNUMBER(AH41)),V41+AH41,""))</f>
        <v>12057.35</v>
      </c>
      <c r="K41" s="38" t="n">
        <f aca="false">IF($A41="","",IF(AND(ISNUMBER(W41),ISNUMBER(AI41)),W41+AI41,""))</f>
        <v>12012.11</v>
      </c>
      <c r="L41" s="38" t="n">
        <f aca="false">IF($A41="","",IF(AND(ISNUMBER(X41),ISNUMBER(AJ41)),X41+AJ41,""))</f>
        <v>12211.73</v>
      </c>
      <c r="M41" s="38" t="n">
        <f aca="false">IF($A41="","",IF(AND(ISNUMBER(Y41),ISNUMBER(AK41)),Y41+AK41,""))</f>
        <v>12656.74</v>
      </c>
      <c r="N41" s="38" t="n">
        <f aca="false">IF($A41="","",IF(AND(ISNUMBER(Z41),ISNUMBER(AL41)),Z41+AL41,""))</f>
        <v>13227.63</v>
      </c>
      <c r="O41" s="38" t="n">
        <f aca="false">IF($A41="","",IF(AND(ISNUMBER(AA41),ISNUMBER(AM41)),AA41+AM41,""))</f>
        <v>13465.99</v>
      </c>
      <c r="P41" s="38" t="n">
        <f aca="false">IF($A41="","",IFERROR(1/(1/IF($B41="Residential",SUMIFS(INDEX('Oxford Economics'!$A$7:$AZ$1000,0,IFERROR(MATCH(P$5,'Oxford Economics'!$A$6:$AZ$6,0),MATCH(P$5&amp;"",'Oxford Economics'!$A$6:$AZ$6,0))),'Oxford Economics'!$A$7:$A$1000,$C41,'Oxford Economics'!$B$7:$B$1000,Settings!$B$13)-SUMIFS(INDEX('Oxford Economics'!$A$7:$AZ$1000,0,IFERROR(MATCH(P$5,'Oxford Economics'!$A$6:$AZ$6,0),MATCH(P$5&amp;"",'Oxford Economics'!$A$6:$AZ$6,0))),'Oxford Economics'!$A$7:$A$1000,$C41,'Oxford Economics'!$B$7:$B$1000,Settings!$B$15),SUMIFS(INDEX('Oxford Economics'!$A$7:$AZ$1000,0,IFERROR(MATCH(P$5,'Oxford Economics'!$A$6:$AZ$6,0),MATCH(P$5&amp;"",'Oxford Economics'!$A$6:$AZ$6,0))),'Oxford Economics'!$A$7:$A$1000,$C41,'Oxford Economics'!$B$7:$B$1000,Settings!$B$15)+SUMIFS(INDEX('Oxford Economics'!$A$7:$AZ$1000,0,IFERROR(MATCH(P$5,'Oxford Economics'!$A$6:$AZ$6,0),MATCH(P$5&amp;"",'Oxford Economics'!$A$6:$AZ$6,0))),'Oxford Economics'!$A$7:$A$1000,$C41,'Oxford Economics'!$B$7:$B$1000,Settings!$B$17)+IF(Settings!$B$19="",0,SUMIFS(INDEX('Oxford Economics'!$A$7:$AZ$1000,0,IFERROR(MATCH(P$5,'Oxford Economics'!$A$6:$AZ$6,0),MATCH(P$5&amp;"",'Oxford Economics'!$A$6:$AZ$6,0))),'Oxford Economics'!$A$7:$A$1000,$C41,'Oxford Economics'!$B$7:$B$1000,Settings!$B$19)))),""))</f>
        <v>6454.16</v>
      </c>
      <c r="Q41" s="38" t="n">
        <f aca="false">IF($A41="","",IFERROR(1/(1/IF($B41="Residential",SUMIFS(INDEX('Oxford Economics'!$A$7:$AZ$1000,0,IFERROR(MATCH(Q$5,'Oxford Economics'!$A$6:$AZ$6,0),MATCH(Q$5&amp;"",'Oxford Economics'!$A$6:$AZ$6,0))),'Oxford Economics'!$A$7:$A$1000,$C41,'Oxford Economics'!$B$7:$B$1000,Settings!$B$13)-SUMIFS(INDEX('Oxford Economics'!$A$7:$AZ$1000,0,IFERROR(MATCH(Q$5,'Oxford Economics'!$A$6:$AZ$6,0),MATCH(Q$5&amp;"",'Oxford Economics'!$A$6:$AZ$6,0))),'Oxford Economics'!$A$7:$A$1000,$C41,'Oxford Economics'!$B$7:$B$1000,Settings!$B$15),SUMIFS(INDEX('Oxford Economics'!$A$7:$AZ$1000,0,IFERROR(MATCH(Q$5,'Oxford Economics'!$A$6:$AZ$6,0),MATCH(Q$5&amp;"",'Oxford Economics'!$A$6:$AZ$6,0))),'Oxford Economics'!$A$7:$A$1000,$C41,'Oxford Economics'!$B$7:$B$1000,Settings!$B$15)+SUMIFS(INDEX('Oxford Economics'!$A$7:$AZ$1000,0,IFERROR(MATCH(Q$5,'Oxford Economics'!$A$6:$AZ$6,0),MATCH(Q$5&amp;"",'Oxford Economics'!$A$6:$AZ$6,0))),'Oxford Economics'!$A$7:$A$1000,$C41,'Oxford Economics'!$B$7:$B$1000,Settings!$B$17)+IF(Settings!$B$19="",0,SUMIFS(INDEX('Oxford Economics'!$A$7:$AZ$1000,0,IFERROR(MATCH(Q$5,'Oxford Economics'!$A$6:$AZ$6,0),MATCH(Q$5&amp;"",'Oxford Economics'!$A$6:$AZ$6,0))),'Oxford Economics'!$A$7:$A$1000,$C41,'Oxford Economics'!$B$7:$B$1000,Settings!$B$19)))),""))</f>
        <v>6613.73</v>
      </c>
      <c r="R41" s="38" t="n">
        <f aca="false">IF($A41="","",IFERROR(1/(1/IF($B41="Residential",SUMIFS(INDEX('Oxford Economics'!$A$7:$AZ$1000,0,IFERROR(MATCH(R$5,'Oxford Economics'!$A$6:$AZ$6,0),MATCH(R$5&amp;"",'Oxford Economics'!$A$6:$AZ$6,0))),'Oxford Economics'!$A$7:$A$1000,$C41,'Oxford Economics'!$B$7:$B$1000,Settings!$B$13)-SUMIFS(INDEX('Oxford Economics'!$A$7:$AZ$1000,0,IFERROR(MATCH(R$5,'Oxford Economics'!$A$6:$AZ$6,0),MATCH(R$5&amp;"",'Oxford Economics'!$A$6:$AZ$6,0))),'Oxford Economics'!$A$7:$A$1000,$C41,'Oxford Economics'!$B$7:$B$1000,Settings!$B$15),SUMIFS(INDEX('Oxford Economics'!$A$7:$AZ$1000,0,IFERROR(MATCH(R$5,'Oxford Economics'!$A$6:$AZ$6,0),MATCH(R$5&amp;"",'Oxford Economics'!$A$6:$AZ$6,0))),'Oxford Economics'!$A$7:$A$1000,$C41,'Oxford Economics'!$B$7:$B$1000,Settings!$B$15)+SUMIFS(INDEX('Oxford Economics'!$A$7:$AZ$1000,0,IFERROR(MATCH(R$5,'Oxford Economics'!$A$6:$AZ$6,0),MATCH(R$5&amp;"",'Oxford Economics'!$A$6:$AZ$6,0))),'Oxford Economics'!$A$7:$A$1000,$C41,'Oxford Economics'!$B$7:$B$1000,Settings!$B$17)+IF(Settings!$B$19="",0,SUMIFS(INDEX('Oxford Economics'!$A$7:$AZ$1000,0,IFERROR(MATCH(R$5,'Oxford Economics'!$A$6:$AZ$6,0),MATCH(R$5&amp;"",'Oxford Economics'!$A$6:$AZ$6,0))),'Oxford Economics'!$A$7:$A$1000,$C41,'Oxford Economics'!$B$7:$B$1000,Settings!$B$19)))),""))</f>
        <v>6903.92</v>
      </c>
      <c r="S41" s="38" t="n">
        <f aca="false">IF($A41="","",IFERROR(1/(1/IF($B41="Residential",SUMIFS(INDEX('Oxford Economics'!$A$7:$AZ$1000,0,IFERROR(MATCH(S$5,'Oxford Economics'!$A$6:$AZ$6,0),MATCH(S$5&amp;"",'Oxford Economics'!$A$6:$AZ$6,0))),'Oxford Economics'!$A$7:$A$1000,$C41,'Oxford Economics'!$B$7:$B$1000,Settings!$B$13)-SUMIFS(INDEX('Oxford Economics'!$A$7:$AZ$1000,0,IFERROR(MATCH(S$5,'Oxford Economics'!$A$6:$AZ$6,0),MATCH(S$5&amp;"",'Oxford Economics'!$A$6:$AZ$6,0))),'Oxford Economics'!$A$7:$A$1000,$C41,'Oxford Economics'!$B$7:$B$1000,Settings!$B$15),SUMIFS(INDEX('Oxford Economics'!$A$7:$AZ$1000,0,IFERROR(MATCH(S$5,'Oxford Economics'!$A$6:$AZ$6,0),MATCH(S$5&amp;"",'Oxford Economics'!$A$6:$AZ$6,0))),'Oxford Economics'!$A$7:$A$1000,$C41,'Oxford Economics'!$B$7:$B$1000,Settings!$B$15)+SUMIFS(INDEX('Oxford Economics'!$A$7:$AZ$1000,0,IFERROR(MATCH(S$5,'Oxford Economics'!$A$6:$AZ$6,0),MATCH(S$5&amp;"",'Oxford Economics'!$A$6:$AZ$6,0))),'Oxford Economics'!$A$7:$A$1000,$C41,'Oxford Economics'!$B$7:$B$1000,Settings!$B$17)+IF(Settings!$B$19="",0,SUMIFS(INDEX('Oxford Economics'!$A$7:$AZ$1000,0,IFERROR(MATCH(S$5,'Oxford Economics'!$A$6:$AZ$6,0),MATCH(S$5&amp;"",'Oxford Economics'!$A$6:$AZ$6,0))),'Oxford Economics'!$A$7:$A$1000,$C41,'Oxford Economics'!$B$7:$B$1000,Settings!$B$19)))),""))</f>
        <v>7151.52</v>
      </c>
      <c r="T41" s="38" t="n">
        <f aca="false">IF($A41="","",IFERROR(1/(1/IF($B41="Residential",SUMIFS(INDEX('Oxford Economics'!$A$7:$AZ$1000,0,IFERROR(MATCH(T$5,'Oxford Economics'!$A$6:$AZ$6,0),MATCH(T$5&amp;"",'Oxford Economics'!$A$6:$AZ$6,0))),'Oxford Economics'!$A$7:$A$1000,$C41,'Oxford Economics'!$B$7:$B$1000,Settings!$B$13)-SUMIFS(INDEX('Oxford Economics'!$A$7:$AZ$1000,0,IFERROR(MATCH(T$5,'Oxford Economics'!$A$6:$AZ$6,0),MATCH(T$5&amp;"",'Oxford Economics'!$A$6:$AZ$6,0))),'Oxford Economics'!$A$7:$A$1000,$C41,'Oxford Economics'!$B$7:$B$1000,Settings!$B$15),SUMIFS(INDEX('Oxford Economics'!$A$7:$AZ$1000,0,IFERROR(MATCH(T$5,'Oxford Economics'!$A$6:$AZ$6,0),MATCH(T$5&amp;"",'Oxford Economics'!$A$6:$AZ$6,0))),'Oxford Economics'!$A$7:$A$1000,$C41,'Oxford Economics'!$B$7:$B$1000,Settings!$B$15)+SUMIFS(INDEX('Oxford Economics'!$A$7:$AZ$1000,0,IFERROR(MATCH(T$5,'Oxford Economics'!$A$6:$AZ$6,0),MATCH(T$5&amp;"",'Oxford Economics'!$A$6:$AZ$6,0))),'Oxford Economics'!$A$7:$A$1000,$C41,'Oxford Economics'!$B$7:$B$1000,Settings!$B$17)+IF(Settings!$B$19="",0,SUMIFS(INDEX('Oxford Economics'!$A$7:$AZ$1000,0,IFERROR(MATCH(T$5,'Oxford Economics'!$A$6:$AZ$6,0),MATCH(T$5&amp;"",'Oxford Economics'!$A$6:$AZ$6,0))),'Oxford Economics'!$A$7:$A$1000,$C41,'Oxford Economics'!$B$7:$B$1000,Settings!$B$19)))),""))</f>
        <v>7340.58</v>
      </c>
      <c r="U41" s="38" t="n">
        <f aca="false">IF($A41="","",IFERROR(1/(1/IF($B41="Residential",SUMIFS(INDEX('Oxford Economics'!$A$7:$AZ$1000,0,IFERROR(MATCH(U$5,'Oxford Economics'!$A$6:$AZ$6,0),MATCH(U$5&amp;"",'Oxford Economics'!$A$6:$AZ$6,0))),'Oxford Economics'!$A$7:$A$1000,$C41,'Oxford Economics'!$B$7:$B$1000,Settings!$B$13)-SUMIFS(INDEX('Oxford Economics'!$A$7:$AZ$1000,0,IFERROR(MATCH(U$5,'Oxford Economics'!$A$6:$AZ$6,0),MATCH(U$5&amp;"",'Oxford Economics'!$A$6:$AZ$6,0))),'Oxford Economics'!$A$7:$A$1000,$C41,'Oxford Economics'!$B$7:$B$1000,Settings!$B$15),SUMIFS(INDEX('Oxford Economics'!$A$7:$AZ$1000,0,IFERROR(MATCH(U$5,'Oxford Economics'!$A$6:$AZ$6,0),MATCH(U$5&amp;"",'Oxford Economics'!$A$6:$AZ$6,0))),'Oxford Economics'!$A$7:$A$1000,$C41,'Oxford Economics'!$B$7:$B$1000,Settings!$B$15)+SUMIFS(INDEX('Oxford Economics'!$A$7:$AZ$1000,0,IFERROR(MATCH(U$5,'Oxford Economics'!$A$6:$AZ$6,0),MATCH(U$5&amp;"",'Oxford Economics'!$A$6:$AZ$6,0))),'Oxford Economics'!$A$7:$A$1000,$C41,'Oxford Economics'!$B$7:$B$1000,Settings!$B$17)+IF(Settings!$B$19="",0,SUMIFS(INDEX('Oxford Economics'!$A$7:$AZ$1000,0,IFERROR(MATCH(U$5,'Oxford Economics'!$A$6:$AZ$6,0),MATCH(U$5&amp;"",'Oxford Economics'!$A$6:$AZ$6,0))),'Oxford Economics'!$A$7:$A$1000,$C41,'Oxford Economics'!$B$7:$B$1000,Settings!$B$19)))),""))</f>
        <v>6963.6</v>
      </c>
      <c r="V41" s="38" t="n">
        <f aca="false">IF($A41="","",IFERROR(1/(1/IF($B41="Residential",SUMIFS(INDEX('Oxford Economics'!$A$7:$AZ$1000,0,IFERROR(MATCH(V$5,'Oxford Economics'!$A$6:$AZ$6,0),MATCH(V$5&amp;"",'Oxford Economics'!$A$6:$AZ$6,0))),'Oxford Economics'!$A$7:$A$1000,$C41,'Oxford Economics'!$B$7:$B$1000,Settings!$B$13)-SUMIFS(INDEX('Oxford Economics'!$A$7:$AZ$1000,0,IFERROR(MATCH(V$5,'Oxford Economics'!$A$6:$AZ$6,0),MATCH(V$5&amp;"",'Oxford Economics'!$A$6:$AZ$6,0))),'Oxford Economics'!$A$7:$A$1000,$C41,'Oxford Economics'!$B$7:$B$1000,Settings!$B$15),SUMIFS(INDEX('Oxford Economics'!$A$7:$AZ$1000,0,IFERROR(MATCH(V$5,'Oxford Economics'!$A$6:$AZ$6,0),MATCH(V$5&amp;"",'Oxford Economics'!$A$6:$AZ$6,0))),'Oxford Economics'!$A$7:$A$1000,$C41,'Oxford Economics'!$B$7:$B$1000,Settings!$B$15)+SUMIFS(INDEX('Oxford Economics'!$A$7:$AZ$1000,0,IFERROR(MATCH(V$5,'Oxford Economics'!$A$6:$AZ$6,0),MATCH(V$5&amp;"",'Oxford Economics'!$A$6:$AZ$6,0))),'Oxford Economics'!$A$7:$A$1000,$C41,'Oxford Economics'!$B$7:$B$1000,Settings!$B$17)+IF(Settings!$B$19="",0,SUMIFS(INDEX('Oxford Economics'!$A$7:$AZ$1000,0,IFERROR(MATCH(V$5,'Oxford Economics'!$A$6:$AZ$6,0),MATCH(V$5&amp;"",'Oxford Economics'!$A$6:$AZ$6,0))),'Oxford Economics'!$A$7:$A$1000,$C41,'Oxford Economics'!$B$7:$B$1000,Settings!$B$19)))),""))</f>
        <v>6921.94</v>
      </c>
      <c r="W41" s="38" t="n">
        <f aca="false">IF($A41="","",IFERROR(1/(1/IF($B41="Residential",SUMIFS(INDEX('Oxford Economics'!$A$7:$AZ$1000,0,IFERROR(MATCH(W$5,'Oxford Economics'!$A$6:$AZ$6,0),MATCH(W$5&amp;"",'Oxford Economics'!$A$6:$AZ$6,0))),'Oxford Economics'!$A$7:$A$1000,$C41,'Oxford Economics'!$B$7:$B$1000,Settings!$B$13)-SUMIFS(INDEX('Oxford Economics'!$A$7:$AZ$1000,0,IFERROR(MATCH(W$5,'Oxford Economics'!$A$6:$AZ$6,0),MATCH(W$5&amp;"",'Oxford Economics'!$A$6:$AZ$6,0))),'Oxford Economics'!$A$7:$A$1000,$C41,'Oxford Economics'!$B$7:$B$1000,Settings!$B$15),SUMIFS(INDEX('Oxford Economics'!$A$7:$AZ$1000,0,IFERROR(MATCH(W$5,'Oxford Economics'!$A$6:$AZ$6,0),MATCH(W$5&amp;"",'Oxford Economics'!$A$6:$AZ$6,0))),'Oxford Economics'!$A$7:$A$1000,$C41,'Oxford Economics'!$B$7:$B$1000,Settings!$B$15)+SUMIFS(INDEX('Oxford Economics'!$A$7:$AZ$1000,0,IFERROR(MATCH(W$5,'Oxford Economics'!$A$6:$AZ$6,0),MATCH(W$5&amp;"",'Oxford Economics'!$A$6:$AZ$6,0))),'Oxford Economics'!$A$7:$A$1000,$C41,'Oxford Economics'!$B$7:$B$1000,Settings!$B$17)+IF(Settings!$B$19="",0,SUMIFS(INDEX('Oxford Economics'!$A$7:$AZ$1000,0,IFERROR(MATCH(W$5,'Oxford Economics'!$A$6:$AZ$6,0),MATCH(W$5&amp;"",'Oxford Economics'!$A$6:$AZ$6,0))),'Oxford Economics'!$A$7:$A$1000,$C41,'Oxford Economics'!$B$7:$B$1000,Settings!$B$19)))),""))</f>
        <v>6963.47</v>
      </c>
      <c r="X41" s="38" t="n">
        <f aca="false">IF($A41="","",IFERROR(1/(1/IF($B41="Residential",SUMIFS(INDEX('Oxford Economics'!$A$7:$AZ$1000,0,IFERROR(MATCH(X$5,'Oxford Economics'!$A$6:$AZ$6,0),MATCH(X$5&amp;"",'Oxford Economics'!$A$6:$AZ$6,0))),'Oxford Economics'!$A$7:$A$1000,$C41,'Oxford Economics'!$B$7:$B$1000,Settings!$B$13)-SUMIFS(INDEX('Oxford Economics'!$A$7:$AZ$1000,0,IFERROR(MATCH(X$5,'Oxford Economics'!$A$6:$AZ$6,0),MATCH(X$5&amp;"",'Oxford Economics'!$A$6:$AZ$6,0))),'Oxford Economics'!$A$7:$A$1000,$C41,'Oxford Economics'!$B$7:$B$1000,Settings!$B$15),SUMIFS(INDEX('Oxford Economics'!$A$7:$AZ$1000,0,IFERROR(MATCH(X$5,'Oxford Economics'!$A$6:$AZ$6,0),MATCH(X$5&amp;"",'Oxford Economics'!$A$6:$AZ$6,0))),'Oxford Economics'!$A$7:$A$1000,$C41,'Oxford Economics'!$B$7:$B$1000,Settings!$B$15)+SUMIFS(INDEX('Oxford Economics'!$A$7:$AZ$1000,0,IFERROR(MATCH(X$5,'Oxford Economics'!$A$6:$AZ$6,0),MATCH(X$5&amp;"",'Oxford Economics'!$A$6:$AZ$6,0))),'Oxford Economics'!$A$7:$A$1000,$C41,'Oxford Economics'!$B$7:$B$1000,Settings!$B$17)+IF(Settings!$B$19="",0,SUMIFS(INDEX('Oxford Economics'!$A$7:$AZ$1000,0,IFERROR(MATCH(X$5,'Oxford Economics'!$A$6:$AZ$6,0),MATCH(X$5&amp;"",'Oxford Economics'!$A$6:$AZ$6,0))),'Oxford Economics'!$A$7:$A$1000,$C41,'Oxford Economics'!$B$7:$B$1000,Settings!$B$19)))),""))</f>
        <v>7119.57</v>
      </c>
      <c r="Y41" s="38" t="n">
        <f aca="false">IF($A41="","",IFERROR(1/(1/IF($B41="Residential",SUMIFS(INDEX('Oxford Economics'!$A$7:$AZ$1000,0,IFERROR(MATCH(Y$5,'Oxford Economics'!$A$6:$AZ$6,0),MATCH(Y$5&amp;"",'Oxford Economics'!$A$6:$AZ$6,0))),'Oxford Economics'!$A$7:$A$1000,$C41,'Oxford Economics'!$B$7:$B$1000,Settings!$B$13)-SUMIFS(INDEX('Oxford Economics'!$A$7:$AZ$1000,0,IFERROR(MATCH(Y$5,'Oxford Economics'!$A$6:$AZ$6,0),MATCH(Y$5&amp;"",'Oxford Economics'!$A$6:$AZ$6,0))),'Oxford Economics'!$A$7:$A$1000,$C41,'Oxford Economics'!$B$7:$B$1000,Settings!$B$15),SUMIFS(INDEX('Oxford Economics'!$A$7:$AZ$1000,0,IFERROR(MATCH(Y$5,'Oxford Economics'!$A$6:$AZ$6,0),MATCH(Y$5&amp;"",'Oxford Economics'!$A$6:$AZ$6,0))),'Oxford Economics'!$A$7:$A$1000,$C41,'Oxford Economics'!$B$7:$B$1000,Settings!$B$15)+SUMIFS(INDEX('Oxford Economics'!$A$7:$AZ$1000,0,IFERROR(MATCH(Y$5,'Oxford Economics'!$A$6:$AZ$6,0),MATCH(Y$5&amp;"",'Oxford Economics'!$A$6:$AZ$6,0))),'Oxford Economics'!$A$7:$A$1000,$C41,'Oxford Economics'!$B$7:$B$1000,Settings!$B$17)+IF(Settings!$B$19="",0,SUMIFS(INDEX('Oxford Economics'!$A$7:$AZ$1000,0,IFERROR(MATCH(Y$5,'Oxford Economics'!$A$6:$AZ$6,0),MATCH(Y$5&amp;"",'Oxford Economics'!$A$6:$AZ$6,0))),'Oxford Economics'!$A$7:$A$1000,$C41,'Oxford Economics'!$B$7:$B$1000,Settings!$B$19)))),""))</f>
        <v>7450.86</v>
      </c>
      <c r="Z41" s="38" t="n">
        <f aca="false">IF($A41="","",IFERROR(1/(1/IF($B41="Residential",SUMIFS(INDEX('Oxford Economics'!$A$7:$AZ$1000,0,IFERROR(MATCH(Z$5,'Oxford Economics'!$A$6:$AZ$6,0),MATCH(Z$5&amp;"",'Oxford Economics'!$A$6:$AZ$6,0))),'Oxford Economics'!$A$7:$A$1000,$C41,'Oxford Economics'!$B$7:$B$1000,Settings!$B$13)-SUMIFS(INDEX('Oxford Economics'!$A$7:$AZ$1000,0,IFERROR(MATCH(Z$5,'Oxford Economics'!$A$6:$AZ$6,0),MATCH(Z$5&amp;"",'Oxford Economics'!$A$6:$AZ$6,0))),'Oxford Economics'!$A$7:$A$1000,$C41,'Oxford Economics'!$B$7:$B$1000,Settings!$B$15),SUMIFS(INDEX('Oxford Economics'!$A$7:$AZ$1000,0,IFERROR(MATCH(Z$5,'Oxford Economics'!$A$6:$AZ$6,0),MATCH(Z$5&amp;"",'Oxford Economics'!$A$6:$AZ$6,0))),'Oxford Economics'!$A$7:$A$1000,$C41,'Oxford Economics'!$B$7:$B$1000,Settings!$B$15)+SUMIFS(INDEX('Oxford Economics'!$A$7:$AZ$1000,0,IFERROR(MATCH(Z$5,'Oxford Economics'!$A$6:$AZ$6,0),MATCH(Z$5&amp;"",'Oxford Economics'!$A$6:$AZ$6,0))),'Oxford Economics'!$A$7:$A$1000,$C41,'Oxford Economics'!$B$7:$B$1000,Settings!$B$17)+IF(Settings!$B$19="",0,SUMIFS(INDEX('Oxford Economics'!$A$7:$AZ$1000,0,IFERROR(MATCH(Z$5,'Oxford Economics'!$A$6:$AZ$6,0),MATCH(Z$5&amp;"",'Oxford Economics'!$A$6:$AZ$6,0))),'Oxford Economics'!$A$7:$A$1000,$C41,'Oxford Economics'!$B$7:$B$1000,Settings!$B$19)))),""))</f>
        <v>7930.05</v>
      </c>
      <c r="AA41" s="38" t="n">
        <f aca="false">IF($A41="","",IFERROR(1/(1/IF($B41="Residential",SUMIFS(INDEX('Oxford Economics'!$A$7:$AZ$1000,0,IFERROR(MATCH(AA$5,'Oxford Economics'!$A$6:$AZ$6,0),MATCH(AA$5&amp;"",'Oxford Economics'!$A$6:$AZ$6,0))),'Oxford Economics'!$A$7:$A$1000,$C41,'Oxford Economics'!$B$7:$B$1000,Settings!$B$13)-SUMIFS(INDEX('Oxford Economics'!$A$7:$AZ$1000,0,IFERROR(MATCH(AA$5,'Oxford Economics'!$A$6:$AZ$6,0),MATCH(AA$5&amp;"",'Oxford Economics'!$A$6:$AZ$6,0))),'Oxford Economics'!$A$7:$A$1000,$C41,'Oxford Economics'!$B$7:$B$1000,Settings!$B$15),SUMIFS(INDEX('Oxford Economics'!$A$7:$AZ$1000,0,IFERROR(MATCH(AA$5,'Oxford Economics'!$A$6:$AZ$6,0),MATCH(AA$5&amp;"",'Oxford Economics'!$A$6:$AZ$6,0))),'Oxford Economics'!$A$7:$A$1000,$C41,'Oxford Economics'!$B$7:$B$1000,Settings!$B$15)+SUMIFS(INDEX('Oxford Economics'!$A$7:$AZ$1000,0,IFERROR(MATCH(AA$5,'Oxford Economics'!$A$6:$AZ$6,0),MATCH(AA$5&amp;"",'Oxford Economics'!$A$6:$AZ$6,0))),'Oxford Economics'!$A$7:$A$1000,$C41,'Oxford Economics'!$B$7:$B$1000,Settings!$B$17)+IF(Settings!$B$19="",0,SUMIFS(INDEX('Oxford Economics'!$A$7:$AZ$1000,0,IFERROR(MATCH(AA$5,'Oxford Economics'!$A$6:$AZ$6,0),MATCH(AA$5&amp;"",'Oxford Economics'!$A$6:$AZ$6,0))),'Oxford Economics'!$A$7:$A$1000,$C41,'Oxford Economics'!$B$7:$B$1000,Settings!$B$19)))),""))</f>
        <v>8078.6</v>
      </c>
      <c r="AB41" s="38" t="n">
        <f aca="false">IF($A41="","",IFERROR(1/(1/IF($B41="Residential",SUMIFS(INDEX('Oxford Economics'!$A$7:$AZ$1000,0,IFERROR(MATCH(AB$5,'Oxford Economics'!$A$6:$AZ$6,0),MATCH(AB$5&amp;"",'Oxford Economics'!$A$6:$AZ$6,0))),'Oxford Economics'!$A$7:$A$1000,$C41,'Oxford Economics'!$B$7:$B$1000,Settings!$B$12)-SUMIFS(INDEX('Oxford Economics'!$A$7:$AZ$1000,0,IFERROR(MATCH(AB$5,'Oxford Economics'!$A$6:$AZ$6,0),MATCH(AB$5&amp;"",'Oxford Economics'!$A$6:$AZ$6,0))),'Oxford Economics'!$A$7:$A$1000,$C41,'Oxford Economics'!$B$7:$B$1000,Settings!$B$14),SUMIFS(INDEX('Oxford Economics'!$A$7:$AZ$1000,0,IFERROR(MATCH(AB$5,'Oxford Economics'!$A$6:$AZ$6,0),MATCH(AB$5&amp;"",'Oxford Economics'!$A$6:$AZ$6,0))),'Oxford Economics'!$A$7:$A$1000,$C41,'Oxford Economics'!$B$7:$B$1000,Settings!$B$14)+SUMIFS(INDEX('Oxford Economics'!$A$7:$AZ$1000,0,IFERROR(MATCH(AB$5,'Oxford Economics'!$A$6:$AZ$6,0),MATCH(AB$5&amp;"",'Oxford Economics'!$A$6:$AZ$6,0))),'Oxford Economics'!$A$7:$A$1000,$C41,'Oxford Economics'!$B$7:$B$1000,Settings!$B$16)+IF(Settings!$B$18="",0,SUMIFS(INDEX('Oxford Economics'!$A$7:$AZ$1000,0,IFERROR(MATCH(AB$5,'Oxford Economics'!$A$6:$AZ$6,0),MATCH(AB$5&amp;"",'Oxford Economics'!$A$6:$AZ$6,0))),'Oxford Economics'!$A$7:$A$1000,$C41,'Oxford Economics'!$B$7:$B$1000,Settings!$B$18)))),""))</f>
        <v>6158.89</v>
      </c>
      <c r="AC41" s="38" t="n">
        <f aca="false">IF($A41="","",IFERROR(1/(1/IF($B41="Residential",SUMIFS(INDEX('Oxford Economics'!$A$7:$AZ$1000,0,IFERROR(MATCH(AC$5,'Oxford Economics'!$A$6:$AZ$6,0),MATCH(AC$5&amp;"",'Oxford Economics'!$A$6:$AZ$6,0))),'Oxford Economics'!$A$7:$A$1000,$C41,'Oxford Economics'!$B$7:$B$1000,Settings!$B$12)-SUMIFS(INDEX('Oxford Economics'!$A$7:$AZ$1000,0,IFERROR(MATCH(AC$5,'Oxford Economics'!$A$6:$AZ$6,0),MATCH(AC$5&amp;"",'Oxford Economics'!$A$6:$AZ$6,0))),'Oxford Economics'!$A$7:$A$1000,$C41,'Oxford Economics'!$B$7:$B$1000,Settings!$B$14),SUMIFS(INDEX('Oxford Economics'!$A$7:$AZ$1000,0,IFERROR(MATCH(AC$5,'Oxford Economics'!$A$6:$AZ$6,0),MATCH(AC$5&amp;"",'Oxford Economics'!$A$6:$AZ$6,0))),'Oxford Economics'!$A$7:$A$1000,$C41,'Oxford Economics'!$B$7:$B$1000,Settings!$B$14)+SUMIFS(INDEX('Oxford Economics'!$A$7:$AZ$1000,0,IFERROR(MATCH(AC$5,'Oxford Economics'!$A$6:$AZ$6,0),MATCH(AC$5&amp;"",'Oxford Economics'!$A$6:$AZ$6,0))),'Oxford Economics'!$A$7:$A$1000,$C41,'Oxford Economics'!$B$7:$B$1000,Settings!$B$16)+IF(Settings!$B$18="",0,SUMIFS(INDEX('Oxford Economics'!$A$7:$AZ$1000,0,IFERROR(MATCH(AC$5,'Oxford Economics'!$A$6:$AZ$6,0),MATCH(AC$5&amp;"",'Oxford Economics'!$A$6:$AZ$6,0))),'Oxford Economics'!$A$7:$A$1000,$C41,'Oxford Economics'!$B$7:$B$1000,Settings!$B$18)))),""))</f>
        <v>6334.33</v>
      </c>
      <c r="AD41" s="38" t="n">
        <f aca="false">IF($A41="","",IFERROR(1/(1/IF($B41="Residential",SUMIFS(INDEX('Oxford Economics'!$A$7:$AZ$1000,0,IFERROR(MATCH(AD$5,'Oxford Economics'!$A$6:$AZ$6,0),MATCH(AD$5&amp;"",'Oxford Economics'!$A$6:$AZ$6,0))),'Oxford Economics'!$A$7:$A$1000,$C41,'Oxford Economics'!$B$7:$B$1000,Settings!$B$12)-SUMIFS(INDEX('Oxford Economics'!$A$7:$AZ$1000,0,IFERROR(MATCH(AD$5,'Oxford Economics'!$A$6:$AZ$6,0),MATCH(AD$5&amp;"",'Oxford Economics'!$A$6:$AZ$6,0))),'Oxford Economics'!$A$7:$A$1000,$C41,'Oxford Economics'!$B$7:$B$1000,Settings!$B$14),SUMIFS(INDEX('Oxford Economics'!$A$7:$AZ$1000,0,IFERROR(MATCH(AD$5,'Oxford Economics'!$A$6:$AZ$6,0),MATCH(AD$5&amp;"",'Oxford Economics'!$A$6:$AZ$6,0))),'Oxford Economics'!$A$7:$A$1000,$C41,'Oxford Economics'!$B$7:$B$1000,Settings!$B$14)+SUMIFS(INDEX('Oxford Economics'!$A$7:$AZ$1000,0,IFERROR(MATCH(AD$5,'Oxford Economics'!$A$6:$AZ$6,0),MATCH(AD$5&amp;"",'Oxford Economics'!$A$6:$AZ$6,0))),'Oxford Economics'!$A$7:$A$1000,$C41,'Oxford Economics'!$B$7:$B$1000,Settings!$B$16)+IF(Settings!$B$18="",0,SUMIFS(INDEX('Oxford Economics'!$A$7:$AZ$1000,0,IFERROR(MATCH(AD$5,'Oxford Economics'!$A$6:$AZ$6,0),MATCH(AD$5&amp;"",'Oxford Economics'!$A$6:$AZ$6,0))),'Oxford Economics'!$A$7:$A$1000,$C41,'Oxford Economics'!$B$7:$B$1000,Settings!$B$18)))),""))</f>
        <v>6508.41</v>
      </c>
      <c r="AE41" s="38" t="n">
        <f aca="false">IF($A41="","",IFERROR(1/(1/IF($B41="Residential",SUMIFS(INDEX('Oxford Economics'!$A$7:$AZ$1000,0,IFERROR(MATCH(AE$5,'Oxford Economics'!$A$6:$AZ$6,0),MATCH(AE$5&amp;"",'Oxford Economics'!$A$6:$AZ$6,0))),'Oxford Economics'!$A$7:$A$1000,$C41,'Oxford Economics'!$B$7:$B$1000,Settings!$B$12)-SUMIFS(INDEX('Oxford Economics'!$A$7:$AZ$1000,0,IFERROR(MATCH(AE$5,'Oxford Economics'!$A$6:$AZ$6,0),MATCH(AE$5&amp;"",'Oxford Economics'!$A$6:$AZ$6,0))),'Oxford Economics'!$A$7:$A$1000,$C41,'Oxford Economics'!$B$7:$B$1000,Settings!$B$14),SUMIFS(INDEX('Oxford Economics'!$A$7:$AZ$1000,0,IFERROR(MATCH(AE$5,'Oxford Economics'!$A$6:$AZ$6,0),MATCH(AE$5&amp;"",'Oxford Economics'!$A$6:$AZ$6,0))),'Oxford Economics'!$A$7:$A$1000,$C41,'Oxford Economics'!$B$7:$B$1000,Settings!$B$14)+SUMIFS(INDEX('Oxford Economics'!$A$7:$AZ$1000,0,IFERROR(MATCH(AE$5,'Oxford Economics'!$A$6:$AZ$6,0),MATCH(AE$5&amp;"",'Oxford Economics'!$A$6:$AZ$6,0))),'Oxford Economics'!$A$7:$A$1000,$C41,'Oxford Economics'!$B$7:$B$1000,Settings!$B$16)+IF(Settings!$B$18="",0,SUMIFS(INDEX('Oxford Economics'!$A$7:$AZ$1000,0,IFERROR(MATCH(AE$5,'Oxford Economics'!$A$6:$AZ$6,0),MATCH(AE$5&amp;"",'Oxford Economics'!$A$6:$AZ$6,0))),'Oxford Economics'!$A$7:$A$1000,$C41,'Oxford Economics'!$B$7:$B$1000,Settings!$B$18)))),""))</f>
        <v>5828.05</v>
      </c>
      <c r="AF41" s="38" t="n">
        <f aca="false">IF($A41="","",IFERROR(1/(1/IF($B41="Residential",SUMIFS(INDEX('Oxford Economics'!$A$7:$AZ$1000,0,IFERROR(MATCH(AF$5,'Oxford Economics'!$A$6:$AZ$6,0),MATCH(AF$5&amp;"",'Oxford Economics'!$A$6:$AZ$6,0))),'Oxford Economics'!$A$7:$A$1000,$C41,'Oxford Economics'!$B$7:$B$1000,Settings!$B$12)-SUMIFS(INDEX('Oxford Economics'!$A$7:$AZ$1000,0,IFERROR(MATCH(AF$5,'Oxford Economics'!$A$6:$AZ$6,0),MATCH(AF$5&amp;"",'Oxford Economics'!$A$6:$AZ$6,0))),'Oxford Economics'!$A$7:$A$1000,$C41,'Oxford Economics'!$B$7:$B$1000,Settings!$B$14),SUMIFS(INDEX('Oxford Economics'!$A$7:$AZ$1000,0,IFERROR(MATCH(AF$5,'Oxford Economics'!$A$6:$AZ$6,0),MATCH(AF$5&amp;"",'Oxford Economics'!$A$6:$AZ$6,0))),'Oxford Economics'!$A$7:$A$1000,$C41,'Oxford Economics'!$B$7:$B$1000,Settings!$B$14)+SUMIFS(INDEX('Oxford Economics'!$A$7:$AZ$1000,0,IFERROR(MATCH(AF$5,'Oxford Economics'!$A$6:$AZ$6,0),MATCH(AF$5&amp;"",'Oxford Economics'!$A$6:$AZ$6,0))),'Oxford Economics'!$A$7:$A$1000,$C41,'Oxford Economics'!$B$7:$B$1000,Settings!$B$16)+IF(Settings!$B$18="",0,SUMIFS(INDEX('Oxford Economics'!$A$7:$AZ$1000,0,IFERROR(MATCH(AF$5,'Oxford Economics'!$A$6:$AZ$6,0),MATCH(AF$5&amp;"",'Oxford Economics'!$A$6:$AZ$6,0))),'Oxford Economics'!$A$7:$A$1000,$C41,'Oxford Economics'!$B$7:$B$1000,Settings!$B$18)))),""))</f>
        <v>4881.82</v>
      </c>
      <c r="AG41" s="38" t="n">
        <f aca="false">IF($A41="","",IFERROR(1/(1/IF($B41="Residential",SUMIFS(INDEX('Oxford Economics'!$A$7:$AZ$1000,0,IFERROR(MATCH(AG$5,'Oxford Economics'!$A$6:$AZ$6,0),MATCH(AG$5&amp;"",'Oxford Economics'!$A$6:$AZ$6,0))),'Oxford Economics'!$A$7:$A$1000,$C41,'Oxford Economics'!$B$7:$B$1000,Settings!$B$12)-SUMIFS(INDEX('Oxford Economics'!$A$7:$AZ$1000,0,IFERROR(MATCH(AG$5,'Oxford Economics'!$A$6:$AZ$6,0),MATCH(AG$5&amp;"",'Oxford Economics'!$A$6:$AZ$6,0))),'Oxford Economics'!$A$7:$A$1000,$C41,'Oxford Economics'!$B$7:$B$1000,Settings!$B$14),SUMIFS(INDEX('Oxford Economics'!$A$7:$AZ$1000,0,IFERROR(MATCH(AG$5,'Oxford Economics'!$A$6:$AZ$6,0),MATCH(AG$5&amp;"",'Oxford Economics'!$A$6:$AZ$6,0))),'Oxford Economics'!$A$7:$A$1000,$C41,'Oxford Economics'!$B$7:$B$1000,Settings!$B$14)+SUMIFS(INDEX('Oxford Economics'!$A$7:$AZ$1000,0,IFERROR(MATCH(AG$5,'Oxford Economics'!$A$6:$AZ$6,0),MATCH(AG$5&amp;"",'Oxford Economics'!$A$6:$AZ$6,0))),'Oxford Economics'!$A$7:$A$1000,$C41,'Oxford Economics'!$B$7:$B$1000,Settings!$B$16)+IF(Settings!$B$18="",0,SUMIFS(INDEX('Oxford Economics'!$A$7:$AZ$1000,0,IFERROR(MATCH(AG$5,'Oxford Economics'!$A$6:$AZ$6,0),MATCH(AG$5&amp;"",'Oxford Economics'!$A$6:$AZ$6,0))),'Oxford Economics'!$A$7:$A$1000,$C41,'Oxford Economics'!$B$7:$B$1000,Settings!$B$18)))),""))</f>
        <v>4807.2</v>
      </c>
      <c r="AH41" s="38" t="n">
        <f aca="false">IF($A41="","",IFERROR(1/(1/IF($B41="Residential",SUMIFS(INDEX('Oxford Economics'!$A$7:$AZ$1000,0,IFERROR(MATCH(AH$5,'Oxford Economics'!$A$6:$AZ$6,0),MATCH(AH$5&amp;"",'Oxford Economics'!$A$6:$AZ$6,0))),'Oxford Economics'!$A$7:$A$1000,$C41,'Oxford Economics'!$B$7:$B$1000,Settings!$B$12)-SUMIFS(INDEX('Oxford Economics'!$A$7:$AZ$1000,0,IFERROR(MATCH(AH$5,'Oxford Economics'!$A$6:$AZ$6,0),MATCH(AH$5&amp;"",'Oxford Economics'!$A$6:$AZ$6,0))),'Oxford Economics'!$A$7:$A$1000,$C41,'Oxford Economics'!$B$7:$B$1000,Settings!$B$14),SUMIFS(INDEX('Oxford Economics'!$A$7:$AZ$1000,0,IFERROR(MATCH(AH$5,'Oxford Economics'!$A$6:$AZ$6,0),MATCH(AH$5&amp;"",'Oxford Economics'!$A$6:$AZ$6,0))),'Oxford Economics'!$A$7:$A$1000,$C41,'Oxford Economics'!$B$7:$B$1000,Settings!$B$14)+SUMIFS(INDEX('Oxford Economics'!$A$7:$AZ$1000,0,IFERROR(MATCH(AH$5,'Oxford Economics'!$A$6:$AZ$6,0),MATCH(AH$5&amp;"",'Oxford Economics'!$A$6:$AZ$6,0))),'Oxford Economics'!$A$7:$A$1000,$C41,'Oxford Economics'!$B$7:$B$1000,Settings!$B$16)+IF(Settings!$B$18="",0,SUMIFS(INDEX('Oxford Economics'!$A$7:$AZ$1000,0,IFERROR(MATCH(AH$5,'Oxford Economics'!$A$6:$AZ$6,0),MATCH(AH$5&amp;"",'Oxford Economics'!$A$6:$AZ$6,0))),'Oxford Economics'!$A$7:$A$1000,$C41,'Oxford Economics'!$B$7:$B$1000,Settings!$B$18)))),""))</f>
        <v>5135.41</v>
      </c>
      <c r="AI41" s="38" t="n">
        <f aca="false">IF($A41="","",IFERROR(1/(1/IF($B41="Residential",SUMIFS(INDEX('Oxford Economics'!$A$7:$AZ$1000,0,IFERROR(MATCH(AI$5,'Oxford Economics'!$A$6:$AZ$6,0),MATCH(AI$5&amp;"",'Oxford Economics'!$A$6:$AZ$6,0))),'Oxford Economics'!$A$7:$A$1000,$C41,'Oxford Economics'!$B$7:$B$1000,Settings!$B$12)-SUMIFS(INDEX('Oxford Economics'!$A$7:$AZ$1000,0,IFERROR(MATCH(AI$5,'Oxford Economics'!$A$6:$AZ$6,0),MATCH(AI$5&amp;"",'Oxford Economics'!$A$6:$AZ$6,0))),'Oxford Economics'!$A$7:$A$1000,$C41,'Oxford Economics'!$B$7:$B$1000,Settings!$B$14),SUMIFS(INDEX('Oxford Economics'!$A$7:$AZ$1000,0,IFERROR(MATCH(AI$5,'Oxford Economics'!$A$6:$AZ$6,0),MATCH(AI$5&amp;"",'Oxford Economics'!$A$6:$AZ$6,0))),'Oxford Economics'!$A$7:$A$1000,$C41,'Oxford Economics'!$B$7:$B$1000,Settings!$B$14)+SUMIFS(INDEX('Oxford Economics'!$A$7:$AZ$1000,0,IFERROR(MATCH(AI$5,'Oxford Economics'!$A$6:$AZ$6,0),MATCH(AI$5&amp;"",'Oxford Economics'!$A$6:$AZ$6,0))),'Oxford Economics'!$A$7:$A$1000,$C41,'Oxford Economics'!$B$7:$B$1000,Settings!$B$16)+IF(Settings!$B$18="",0,SUMIFS(INDEX('Oxford Economics'!$A$7:$AZ$1000,0,IFERROR(MATCH(AI$5,'Oxford Economics'!$A$6:$AZ$6,0),MATCH(AI$5&amp;"",'Oxford Economics'!$A$6:$AZ$6,0))),'Oxford Economics'!$A$7:$A$1000,$C41,'Oxford Economics'!$B$7:$B$1000,Settings!$B$18)))),""))</f>
        <v>5048.64</v>
      </c>
      <c r="AJ41" s="38" t="n">
        <f aca="false">IF($A41="","",IFERROR(1/(1/IF($B41="Residential",SUMIFS(INDEX('Oxford Economics'!$A$7:$AZ$1000,0,IFERROR(MATCH(AJ$5,'Oxford Economics'!$A$6:$AZ$6,0),MATCH(AJ$5&amp;"",'Oxford Economics'!$A$6:$AZ$6,0))),'Oxford Economics'!$A$7:$A$1000,$C41,'Oxford Economics'!$B$7:$B$1000,Settings!$B$12)-SUMIFS(INDEX('Oxford Economics'!$A$7:$AZ$1000,0,IFERROR(MATCH(AJ$5,'Oxford Economics'!$A$6:$AZ$6,0),MATCH(AJ$5&amp;"",'Oxford Economics'!$A$6:$AZ$6,0))),'Oxford Economics'!$A$7:$A$1000,$C41,'Oxford Economics'!$B$7:$B$1000,Settings!$B$14),SUMIFS(INDEX('Oxford Economics'!$A$7:$AZ$1000,0,IFERROR(MATCH(AJ$5,'Oxford Economics'!$A$6:$AZ$6,0),MATCH(AJ$5&amp;"",'Oxford Economics'!$A$6:$AZ$6,0))),'Oxford Economics'!$A$7:$A$1000,$C41,'Oxford Economics'!$B$7:$B$1000,Settings!$B$14)+SUMIFS(INDEX('Oxford Economics'!$A$7:$AZ$1000,0,IFERROR(MATCH(AJ$5,'Oxford Economics'!$A$6:$AZ$6,0),MATCH(AJ$5&amp;"",'Oxford Economics'!$A$6:$AZ$6,0))),'Oxford Economics'!$A$7:$A$1000,$C41,'Oxford Economics'!$B$7:$B$1000,Settings!$B$16)+IF(Settings!$B$18="",0,SUMIFS(INDEX('Oxford Economics'!$A$7:$AZ$1000,0,IFERROR(MATCH(AJ$5,'Oxford Economics'!$A$6:$AZ$6,0),MATCH(AJ$5&amp;"",'Oxford Economics'!$A$6:$AZ$6,0))),'Oxford Economics'!$A$7:$A$1000,$C41,'Oxford Economics'!$B$7:$B$1000,Settings!$B$18)))),""))</f>
        <v>5092.16</v>
      </c>
      <c r="AK41" s="38" t="n">
        <f aca="false">IF($A41="","",IFERROR(1/(1/IF($B41="Residential",SUMIFS(INDEX('Oxford Economics'!$A$7:$AZ$1000,0,IFERROR(MATCH(AK$5,'Oxford Economics'!$A$6:$AZ$6,0),MATCH(AK$5&amp;"",'Oxford Economics'!$A$6:$AZ$6,0))),'Oxford Economics'!$A$7:$A$1000,$C41,'Oxford Economics'!$B$7:$B$1000,Settings!$B$12)-SUMIFS(INDEX('Oxford Economics'!$A$7:$AZ$1000,0,IFERROR(MATCH(AK$5,'Oxford Economics'!$A$6:$AZ$6,0),MATCH(AK$5&amp;"",'Oxford Economics'!$A$6:$AZ$6,0))),'Oxford Economics'!$A$7:$A$1000,$C41,'Oxford Economics'!$B$7:$B$1000,Settings!$B$14),SUMIFS(INDEX('Oxford Economics'!$A$7:$AZ$1000,0,IFERROR(MATCH(AK$5,'Oxford Economics'!$A$6:$AZ$6,0),MATCH(AK$5&amp;"",'Oxford Economics'!$A$6:$AZ$6,0))),'Oxford Economics'!$A$7:$A$1000,$C41,'Oxford Economics'!$B$7:$B$1000,Settings!$B$14)+SUMIFS(INDEX('Oxford Economics'!$A$7:$AZ$1000,0,IFERROR(MATCH(AK$5,'Oxford Economics'!$A$6:$AZ$6,0),MATCH(AK$5&amp;"",'Oxford Economics'!$A$6:$AZ$6,0))),'Oxford Economics'!$A$7:$A$1000,$C41,'Oxford Economics'!$B$7:$B$1000,Settings!$B$16)+IF(Settings!$B$18="",0,SUMIFS(INDEX('Oxford Economics'!$A$7:$AZ$1000,0,IFERROR(MATCH(AK$5,'Oxford Economics'!$A$6:$AZ$6,0),MATCH(AK$5&amp;"",'Oxford Economics'!$A$6:$AZ$6,0))),'Oxford Economics'!$A$7:$A$1000,$C41,'Oxford Economics'!$B$7:$B$1000,Settings!$B$18)))),""))</f>
        <v>5205.88</v>
      </c>
      <c r="AL41" s="38" t="n">
        <f aca="false">IF($A41="","",IFERROR(1/(1/IF($B41="Residential",SUMIFS(INDEX('Oxford Economics'!$A$7:$AZ$1000,0,IFERROR(MATCH(AL$5,'Oxford Economics'!$A$6:$AZ$6,0),MATCH(AL$5&amp;"",'Oxford Economics'!$A$6:$AZ$6,0))),'Oxford Economics'!$A$7:$A$1000,$C41,'Oxford Economics'!$B$7:$B$1000,Settings!$B$12)-SUMIFS(INDEX('Oxford Economics'!$A$7:$AZ$1000,0,IFERROR(MATCH(AL$5,'Oxford Economics'!$A$6:$AZ$6,0),MATCH(AL$5&amp;"",'Oxford Economics'!$A$6:$AZ$6,0))),'Oxford Economics'!$A$7:$A$1000,$C41,'Oxford Economics'!$B$7:$B$1000,Settings!$B$14),SUMIFS(INDEX('Oxford Economics'!$A$7:$AZ$1000,0,IFERROR(MATCH(AL$5,'Oxford Economics'!$A$6:$AZ$6,0),MATCH(AL$5&amp;"",'Oxford Economics'!$A$6:$AZ$6,0))),'Oxford Economics'!$A$7:$A$1000,$C41,'Oxford Economics'!$B$7:$B$1000,Settings!$B$14)+SUMIFS(INDEX('Oxford Economics'!$A$7:$AZ$1000,0,IFERROR(MATCH(AL$5,'Oxford Economics'!$A$6:$AZ$6,0),MATCH(AL$5&amp;"",'Oxford Economics'!$A$6:$AZ$6,0))),'Oxford Economics'!$A$7:$A$1000,$C41,'Oxford Economics'!$B$7:$B$1000,Settings!$B$16)+IF(Settings!$B$18="",0,SUMIFS(INDEX('Oxford Economics'!$A$7:$AZ$1000,0,IFERROR(MATCH(AL$5,'Oxford Economics'!$A$6:$AZ$6,0),MATCH(AL$5&amp;"",'Oxford Economics'!$A$6:$AZ$6,0))),'Oxford Economics'!$A$7:$A$1000,$C41,'Oxford Economics'!$B$7:$B$1000,Settings!$B$18)))),""))</f>
        <v>5297.58</v>
      </c>
      <c r="AM41" s="38" t="n">
        <f aca="false">IF($A41="","",IFERROR(1/(1/IF($B41="Residential",SUMIFS(INDEX('Oxford Economics'!$A$7:$AZ$1000,0,IFERROR(MATCH(AM$5,'Oxford Economics'!$A$6:$AZ$6,0),MATCH(AM$5&amp;"",'Oxford Economics'!$A$6:$AZ$6,0))),'Oxford Economics'!$A$7:$A$1000,$C41,'Oxford Economics'!$B$7:$B$1000,Settings!$B$12)-SUMIFS(INDEX('Oxford Economics'!$A$7:$AZ$1000,0,IFERROR(MATCH(AM$5,'Oxford Economics'!$A$6:$AZ$6,0),MATCH(AM$5&amp;"",'Oxford Economics'!$A$6:$AZ$6,0))),'Oxford Economics'!$A$7:$A$1000,$C41,'Oxford Economics'!$B$7:$B$1000,Settings!$B$14),SUMIFS(INDEX('Oxford Economics'!$A$7:$AZ$1000,0,IFERROR(MATCH(AM$5,'Oxford Economics'!$A$6:$AZ$6,0),MATCH(AM$5&amp;"",'Oxford Economics'!$A$6:$AZ$6,0))),'Oxford Economics'!$A$7:$A$1000,$C41,'Oxford Economics'!$B$7:$B$1000,Settings!$B$14)+SUMIFS(INDEX('Oxford Economics'!$A$7:$AZ$1000,0,IFERROR(MATCH(AM$5,'Oxford Economics'!$A$6:$AZ$6,0),MATCH(AM$5&amp;"",'Oxford Economics'!$A$6:$AZ$6,0))),'Oxford Economics'!$A$7:$A$1000,$C41,'Oxford Economics'!$B$7:$B$1000,Settings!$B$16)+IF(Settings!$B$18="",0,SUMIFS(INDEX('Oxford Economics'!$A$7:$AZ$1000,0,IFERROR(MATCH(AM$5,'Oxford Economics'!$A$6:$AZ$6,0),MATCH(AM$5&amp;"",'Oxford Economics'!$A$6:$AZ$6,0))),'Oxford Economics'!$A$7:$A$1000,$C41,'Oxford Economics'!$B$7:$B$1000,Settings!$B$18)))),""))</f>
        <v>5387.39</v>
      </c>
    </row>
    <row r="42" customFormat="false" ht="15" hidden="false" customHeight="false" outlineLevel="0" collapsed="false">
      <c r="A42" s="37" t="str">
        <f aca="false">IF('Raw data'!$A42="","",'Raw data'!$A42)</f>
        <v>Finland</v>
      </c>
      <c r="B42" s="37" t="str">
        <f aca="false">IF($A42="","",'Raw data'!$C42)</f>
        <v>Residential</v>
      </c>
      <c r="C42" s="37" t="str">
        <f aca="false">IF($A42="","",IF('Raw data'!$E42="",$A42,'Raw data'!$E42))</f>
        <v>Finland</v>
      </c>
      <c r="D42" s="38" t="n">
        <f aca="false">IF($A42="","",IF(AND(ISNUMBER(P42),ISNUMBER(AB42)),P42+AB42,""))</f>
        <v>2336.17</v>
      </c>
      <c r="E42" s="38" t="n">
        <f aca="false">IF($A42="","",IF(AND(ISNUMBER(Q42),ISNUMBER(AC42)),Q42+AC42,""))</f>
        <v>2387.37</v>
      </c>
      <c r="F42" s="38" t="n">
        <f aca="false">IF($A42="","",IF(AND(ISNUMBER(R42),ISNUMBER(AD42)),R42+AD42,""))</f>
        <v>2333.08</v>
      </c>
      <c r="G42" s="38" t="n">
        <f aca="false">IF($A42="","",IF(AND(ISNUMBER(S42),ISNUMBER(AE42)),S42+AE42,""))</f>
        <v>1976.85</v>
      </c>
      <c r="H42" s="38" t="n">
        <f aca="false">IF($A42="","",IF(AND(ISNUMBER(T42),ISNUMBER(AF42)),T42+AF42,""))</f>
        <v>1748.21</v>
      </c>
      <c r="I42" s="38" t="n">
        <f aca="false">IF($A42="","",IF(AND(ISNUMBER(U42),ISNUMBER(AG42)),U42+AG42,""))</f>
        <v>1692.48</v>
      </c>
      <c r="J42" s="38" t="n">
        <f aca="false">IF($A42="","",IF(AND(ISNUMBER(V42),ISNUMBER(AH42)),V42+AH42,""))</f>
        <v>1642.2</v>
      </c>
      <c r="K42" s="38" t="n">
        <f aca="false">IF($A42="","",IF(AND(ISNUMBER(W42),ISNUMBER(AI42)),W42+AI42,""))</f>
        <v>1735.21</v>
      </c>
      <c r="L42" s="38" t="n">
        <f aca="false">IF($A42="","",IF(AND(ISNUMBER(X42),ISNUMBER(AJ42)),X42+AJ42,""))</f>
        <v>1835.11</v>
      </c>
      <c r="M42" s="38" t="n">
        <f aca="false">IF($A42="","",IF(AND(ISNUMBER(Y42),ISNUMBER(AK42)),Y42+AK42,""))</f>
        <v>1896.58</v>
      </c>
      <c r="N42" s="38" t="n">
        <f aca="false">IF($A42="","",IF(AND(ISNUMBER(Z42),ISNUMBER(AL42)),Z42+AL42,""))</f>
        <v>1946.66</v>
      </c>
      <c r="O42" s="38" t="n">
        <f aca="false">IF($A42="","",IF(AND(ISNUMBER(AA42),ISNUMBER(AM42)),AA42+AM42,""))</f>
        <v>2008.13</v>
      </c>
      <c r="P42" s="38" t="n">
        <f aca="false">IF($A42="","",IFERROR(1/(1/IF($B42="Residential",SUMIFS(INDEX('Oxford Economics'!$A$7:$AZ$1000,0,IFERROR(MATCH(P$5,'Oxford Economics'!$A$6:$AZ$6,0),MATCH(P$5&amp;"",'Oxford Economics'!$A$6:$AZ$6,0))),'Oxford Economics'!$A$7:$A$1000,$C42,'Oxford Economics'!$B$7:$B$1000,Settings!$B$13)-SUMIFS(INDEX('Oxford Economics'!$A$7:$AZ$1000,0,IFERROR(MATCH(P$5,'Oxford Economics'!$A$6:$AZ$6,0),MATCH(P$5&amp;"",'Oxford Economics'!$A$6:$AZ$6,0))),'Oxford Economics'!$A$7:$A$1000,$C42,'Oxford Economics'!$B$7:$B$1000,Settings!$B$15),SUMIFS(INDEX('Oxford Economics'!$A$7:$AZ$1000,0,IFERROR(MATCH(P$5,'Oxford Economics'!$A$6:$AZ$6,0),MATCH(P$5&amp;"",'Oxford Economics'!$A$6:$AZ$6,0))),'Oxford Economics'!$A$7:$A$1000,$C42,'Oxford Economics'!$B$7:$B$1000,Settings!$B$15)+SUMIFS(INDEX('Oxford Economics'!$A$7:$AZ$1000,0,IFERROR(MATCH(P$5,'Oxford Economics'!$A$6:$AZ$6,0),MATCH(P$5&amp;"",'Oxford Economics'!$A$6:$AZ$6,0))),'Oxford Economics'!$A$7:$A$1000,$C42,'Oxford Economics'!$B$7:$B$1000,Settings!$B$17)+IF(Settings!$B$19="",0,SUMIFS(INDEX('Oxford Economics'!$A$7:$AZ$1000,0,IFERROR(MATCH(P$5,'Oxford Economics'!$A$6:$AZ$6,0),MATCH(P$5&amp;"",'Oxford Economics'!$A$6:$AZ$6,0))),'Oxford Economics'!$A$7:$A$1000,$C42,'Oxford Economics'!$B$7:$B$1000,Settings!$B$19)))),""))</f>
        <v>1662.45</v>
      </c>
      <c r="Q42" s="38" t="n">
        <f aca="false">IF($A42="","",IFERROR(1/(1/IF($B42="Residential",SUMIFS(INDEX('Oxford Economics'!$A$7:$AZ$1000,0,IFERROR(MATCH(Q$5,'Oxford Economics'!$A$6:$AZ$6,0),MATCH(Q$5&amp;"",'Oxford Economics'!$A$6:$AZ$6,0))),'Oxford Economics'!$A$7:$A$1000,$C42,'Oxford Economics'!$B$7:$B$1000,Settings!$B$13)-SUMIFS(INDEX('Oxford Economics'!$A$7:$AZ$1000,0,IFERROR(MATCH(Q$5,'Oxford Economics'!$A$6:$AZ$6,0),MATCH(Q$5&amp;"",'Oxford Economics'!$A$6:$AZ$6,0))),'Oxford Economics'!$A$7:$A$1000,$C42,'Oxford Economics'!$B$7:$B$1000,Settings!$B$15),SUMIFS(INDEX('Oxford Economics'!$A$7:$AZ$1000,0,IFERROR(MATCH(Q$5,'Oxford Economics'!$A$6:$AZ$6,0),MATCH(Q$5&amp;"",'Oxford Economics'!$A$6:$AZ$6,0))),'Oxford Economics'!$A$7:$A$1000,$C42,'Oxford Economics'!$B$7:$B$1000,Settings!$B$15)+SUMIFS(INDEX('Oxford Economics'!$A$7:$AZ$1000,0,IFERROR(MATCH(Q$5,'Oxford Economics'!$A$6:$AZ$6,0),MATCH(Q$5&amp;"",'Oxford Economics'!$A$6:$AZ$6,0))),'Oxford Economics'!$A$7:$A$1000,$C42,'Oxford Economics'!$B$7:$B$1000,Settings!$B$17)+IF(Settings!$B$19="",0,SUMIFS(INDEX('Oxford Economics'!$A$7:$AZ$1000,0,IFERROR(MATCH(Q$5,'Oxford Economics'!$A$6:$AZ$6,0),MATCH(Q$5&amp;"",'Oxford Economics'!$A$6:$AZ$6,0))),'Oxford Economics'!$A$7:$A$1000,$C42,'Oxford Economics'!$B$7:$B$1000,Settings!$B$19)))),""))</f>
        <v>1574.36</v>
      </c>
      <c r="R42" s="38" t="n">
        <f aca="false">IF($A42="","",IFERROR(1/(1/IF($B42="Residential",SUMIFS(INDEX('Oxford Economics'!$A$7:$AZ$1000,0,IFERROR(MATCH(R$5,'Oxford Economics'!$A$6:$AZ$6,0),MATCH(R$5&amp;"",'Oxford Economics'!$A$6:$AZ$6,0))),'Oxford Economics'!$A$7:$A$1000,$C42,'Oxford Economics'!$B$7:$B$1000,Settings!$B$13)-SUMIFS(INDEX('Oxford Economics'!$A$7:$AZ$1000,0,IFERROR(MATCH(R$5,'Oxford Economics'!$A$6:$AZ$6,0),MATCH(R$5&amp;"",'Oxford Economics'!$A$6:$AZ$6,0))),'Oxford Economics'!$A$7:$A$1000,$C42,'Oxford Economics'!$B$7:$B$1000,Settings!$B$15),SUMIFS(INDEX('Oxford Economics'!$A$7:$AZ$1000,0,IFERROR(MATCH(R$5,'Oxford Economics'!$A$6:$AZ$6,0),MATCH(R$5&amp;"",'Oxford Economics'!$A$6:$AZ$6,0))),'Oxford Economics'!$A$7:$A$1000,$C42,'Oxford Economics'!$B$7:$B$1000,Settings!$B$15)+SUMIFS(INDEX('Oxford Economics'!$A$7:$AZ$1000,0,IFERROR(MATCH(R$5,'Oxford Economics'!$A$6:$AZ$6,0),MATCH(R$5&amp;"",'Oxford Economics'!$A$6:$AZ$6,0))),'Oxford Economics'!$A$7:$A$1000,$C42,'Oxford Economics'!$B$7:$B$1000,Settings!$B$17)+IF(Settings!$B$19="",0,SUMIFS(INDEX('Oxford Economics'!$A$7:$AZ$1000,0,IFERROR(MATCH(R$5,'Oxford Economics'!$A$6:$AZ$6,0),MATCH(R$5&amp;"",'Oxford Economics'!$A$6:$AZ$6,0))),'Oxford Economics'!$A$7:$A$1000,$C42,'Oxford Economics'!$B$7:$B$1000,Settings!$B$19)))),""))</f>
        <v>1533.7</v>
      </c>
      <c r="S42" s="38" t="n">
        <f aca="false">IF($A42="","",IFERROR(1/(1/IF($B42="Residential",SUMIFS(INDEX('Oxford Economics'!$A$7:$AZ$1000,0,IFERROR(MATCH(S$5,'Oxford Economics'!$A$6:$AZ$6,0),MATCH(S$5&amp;"",'Oxford Economics'!$A$6:$AZ$6,0))),'Oxford Economics'!$A$7:$A$1000,$C42,'Oxford Economics'!$B$7:$B$1000,Settings!$B$13)-SUMIFS(INDEX('Oxford Economics'!$A$7:$AZ$1000,0,IFERROR(MATCH(S$5,'Oxford Economics'!$A$6:$AZ$6,0),MATCH(S$5&amp;"",'Oxford Economics'!$A$6:$AZ$6,0))),'Oxford Economics'!$A$7:$A$1000,$C42,'Oxford Economics'!$B$7:$B$1000,Settings!$B$15),SUMIFS(INDEX('Oxford Economics'!$A$7:$AZ$1000,0,IFERROR(MATCH(S$5,'Oxford Economics'!$A$6:$AZ$6,0),MATCH(S$5&amp;"",'Oxford Economics'!$A$6:$AZ$6,0))),'Oxford Economics'!$A$7:$A$1000,$C42,'Oxford Economics'!$B$7:$B$1000,Settings!$B$15)+SUMIFS(INDEX('Oxford Economics'!$A$7:$AZ$1000,0,IFERROR(MATCH(S$5,'Oxford Economics'!$A$6:$AZ$6,0),MATCH(S$5&amp;"",'Oxford Economics'!$A$6:$AZ$6,0))),'Oxford Economics'!$A$7:$A$1000,$C42,'Oxford Economics'!$B$7:$B$1000,Settings!$B$17)+IF(Settings!$B$19="",0,SUMIFS(INDEX('Oxford Economics'!$A$7:$AZ$1000,0,IFERROR(MATCH(S$5,'Oxford Economics'!$A$6:$AZ$6,0),MATCH(S$5&amp;"",'Oxford Economics'!$A$6:$AZ$6,0))),'Oxford Economics'!$A$7:$A$1000,$C42,'Oxford Economics'!$B$7:$B$1000,Settings!$B$19)))),""))</f>
        <v>1509.94</v>
      </c>
      <c r="T42" s="38" t="n">
        <f aca="false">IF($A42="","",IFERROR(1/(1/IF($B42="Residential",SUMIFS(INDEX('Oxford Economics'!$A$7:$AZ$1000,0,IFERROR(MATCH(T$5,'Oxford Economics'!$A$6:$AZ$6,0),MATCH(T$5&amp;"",'Oxford Economics'!$A$6:$AZ$6,0))),'Oxford Economics'!$A$7:$A$1000,$C42,'Oxford Economics'!$B$7:$B$1000,Settings!$B$13)-SUMIFS(INDEX('Oxford Economics'!$A$7:$AZ$1000,0,IFERROR(MATCH(T$5,'Oxford Economics'!$A$6:$AZ$6,0),MATCH(T$5&amp;"",'Oxford Economics'!$A$6:$AZ$6,0))),'Oxford Economics'!$A$7:$A$1000,$C42,'Oxford Economics'!$B$7:$B$1000,Settings!$B$15),SUMIFS(INDEX('Oxford Economics'!$A$7:$AZ$1000,0,IFERROR(MATCH(T$5,'Oxford Economics'!$A$6:$AZ$6,0),MATCH(T$5&amp;"",'Oxford Economics'!$A$6:$AZ$6,0))),'Oxford Economics'!$A$7:$A$1000,$C42,'Oxford Economics'!$B$7:$B$1000,Settings!$B$15)+SUMIFS(INDEX('Oxford Economics'!$A$7:$AZ$1000,0,IFERROR(MATCH(T$5,'Oxford Economics'!$A$6:$AZ$6,0),MATCH(T$5&amp;"",'Oxford Economics'!$A$6:$AZ$6,0))),'Oxford Economics'!$A$7:$A$1000,$C42,'Oxford Economics'!$B$7:$B$1000,Settings!$B$17)+IF(Settings!$B$19="",0,SUMIFS(INDEX('Oxford Economics'!$A$7:$AZ$1000,0,IFERROR(MATCH(T$5,'Oxford Economics'!$A$6:$AZ$6,0),MATCH(T$5&amp;"",'Oxford Economics'!$A$6:$AZ$6,0))),'Oxford Economics'!$A$7:$A$1000,$C42,'Oxford Economics'!$B$7:$B$1000,Settings!$B$19)))),""))</f>
        <v>1402.38</v>
      </c>
      <c r="U42" s="38" t="n">
        <f aca="false">IF($A42="","",IFERROR(1/(1/IF($B42="Residential",SUMIFS(INDEX('Oxford Economics'!$A$7:$AZ$1000,0,IFERROR(MATCH(U$5,'Oxford Economics'!$A$6:$AZ$6,0),MATCH(U$5&amp;"",'Oxford Economics'!$A$6:$AZ$6,0))),'Oxford Economics'!$A$7:$A$1000,$C42,'Oxford Economics'!$B$7:$B$1000,Settings!$B$13)-SUMIFS(INDEX('Oxford Economics'!$A$7:$AZ$1000,0,IFERROR(MATCH(U$5,'Oxford Economics'!$A$6:$AZ$6,0),MATCH(U$5&amp;"",'Oxford Economics'!$A$6:$AZ$6,0))),'Oxford Economics'!$A$7:$A$1000,$C42,'Oxford Economics'!$B$7:$B$1000,Settings!$B$15),SUMIFS(INDEX('Oxford Economics'!$A$7:$AZ$1000,0,IFERROR(MATCH(U$5,'Oxford Economics'!$A$6:$AZ$6,0),MATCH(U$5&amp;"",'Oxford Economics'!$A$6:$AZ$6,0))),'Oxford Economics'!$A$7:$A$1000,$C42,'Oxford Economics'!$B$7:$B$1000,Settings!$B$15)+SUMIFS(INDEX('Oxford Economics'!$A$7:$AZ$1000,0,IFERROR(MATCH(U$5,'Oxford Economics'!$A$6:$AZ$6,0),MATCH(U$5&amp;"",'Oxford Economics'!$A$6:$AZ$6,0))),'Oxford Economics'!$A$7:$A$1000,$C42,'Oxford Economics'!$B$7:$B$1000,Settings!$B$17)+IF(Settings!$B$19="",0,SUMIFS(INDEX('Oxford Economics'!$A$7:$AZ$1000,0,IFERROR(MATCH(U$5,'Oxford Economics'!$A$6:$AZ$6,0),MATCH(U$5&amp;"",'Oxford Economics'!$A$6:$AZ$6,0))),'Oxford Economics'!$A$7:$A$1000,$C42,'Oxford Economics'!$B$7:$B$1000,Settings!$B$19)))),""))</f>
        <v>1354.37</v>
      </c>
      <c r="V42" s="38" t="n">
        <f aca="false">IF($A42="","",IFERROR(1/(1/IF($B42="Residential",SUMIFS(INDEX('Oxford Economics'!$A$7:$AZ$1000,0,IFERROR(MATCH(V$5,'Oxford Economics'!$A$6:$AZ$6,0),MATCH(V$5&amp;"",'Oxford Economics'!$A$6:$AZ$6,0))),'Oxford Economics'!$A$7:$A$1000,$C42,'Oxford Economics'!$B$7:$B$1000,Settings!$B$13)-SUMIFS(INDEX('Oxford Economics'!$A$7:$AZ$1000,0,IFERROR(MATCH(V$5,'Oxford Economics'!$A$6:$AZ$6,0),MATCH(V$5&amp;"",'Oxford Economics'!$A$6:$AZ$6,0))),'Oxford Economics'!$A$7:$A$1000,$C42,'Oxford Economics'!$B$7:$B$1000,Settings!$B$15),SUMIFS(INDEX('Oxford Economics'!$A$7:$AZ$1000,0,IFERROR(MATCH(V$5,'Oxford Economics'!$A$6:$AZ$6,0),MATCH(V$5&amp;"",'Oxford Economics'!$A$6:$AZ$6,0))),'Oxford Economics'!$A$7:$A$1000,$C42,'Oxford Economics'!$B$7:$B$1000,Settings!$B$15)+SUMIFS(INDEX('Oxford Economics'!$A$7:$AZ$1000,0,IFERROR(MATCH(V$5,'Oxford Economics'!$A$6:$AZ$6,0),MATCH(V$5&amp;"",'Oxford Economics'!$A$6:$AZ$6,0))),'Oxford Economics'!$A$7:$A$1000,$C42,'Oxford Economics'!$B$7:$B$1000,Settings!$B$17)+IF(Settings!$B$19="",0,SUMIFS(INDEX('Oxford Economics'!$A$7:$AZ$1000,0,IFERROR(MATCH(V$5,'Oxford Economics'!$A$6:$AZ$6,0),MATCH(V$5&amp;"",'Oxford Economics'!$A$6:$AZ$6,0))),'Oxford Economics'!$A$7:$A$1000,$C42,'Oxford Economics'!$B$7:$B$1000,Settings!$B$19)))),""))</f>
        <v>1332.24</v>
      </c>
      <c r="W42" s="38" t="n">
        <f aca="false">IF($A42="","",IFERROR(1/(1/IF($B42="Residential",SUMIFS(INDEX('Oxford Economics'!$A$7:$AZ$1000,0,IFERROR(MATCH(W$5,'Oxford Economics'!$A$6:$AZ$6,0),MATCH(W$5&amp;"",'Oxford Economics'!$A$6:$AZ$6,0))),'Oxford Economics'!$A$7:$A$1000,$C42,'Oxford Economics'!$B$7:$B$1000,Settings!$B$13)-SUMIFS(INDEX('Oxford Economics'!$A$7:$AZ$1000,0,IFERROR(MATCH(W$5,'Oxford Economics'!$A$6:$AZ$6,0),MATCH(W$5&amp;"",'Oxford Economics'!$A$6:$AZ$6,0))),'Oxford Economics'!$A$7:$A$1000,$C42,'Oxford Economics'!$B$7:$B$1000,Settings!$B$15),SUMIFS(INDEX('Oxford Economics'!$A$7:$AZ$1000,0,IFERROR(MATCH(W$5,'Oxford Economics'!$A$6:$AZ$6,0),MATCH(W$5&amp;"",'Oxford Economics'!$A$6:$AZ$6,0))),'Oxford Economics'!$A$7:$A$1000,$C42,'Oxford Economics'!$B$7:$B$1000,Settings!$B$15)+SUMIFS(INDEX('Oxford Economics'!$A$7:$AZ$1000,0,IFERROR(MATCH(W$5,'Oxford Economics'!$A$6:$AZ$6,0),MATCH(W$5&amp;"",'Oxford Economics'!$A$6:$AZ$6,0))),'Oxford Economics'!$A$7:$A$1000,$C42,'Oxford Economics'!$B$7:$B$1000,Settings!$B$17)+IF(Settings!$B$19="",0,SUMIFS(INDEX('Oxford Economics'!$A$7:$AZ$1000,0,IFERROR(MATCH(W$5,'Oxford Economics'!$A$6:$AZ$6,0),MATCH(W$5&amp;"",'Oxford Economics'!$A$6:$AZ$6,0))),'Oxford Economics'!$A$7:$A$1000,$C42,'Oxford Economics'!$B$7:$B$1000,Settings!$B$19)))),""))</f>
        <v>1429.49</v>
      </c>
      <c r="X42" s="38" t="n">
        <f aca="false">IF($A42="","",IFERROR(1/(1/IF($B42="Residential",SUMIFS(INDEX('Oxford Economics'!$A$7:$AZ$1000,0,IFERROR(MATCH(X$5,'Oxford Economics'!$A$6:$AZ$6,0),MATCH(X$5&amp;"",'Oxford Economics'!$A$6:$AZ$6,0))),'Oxford Economics'!$A$7:$A$1000,$C42,'Oxford Economics'!$B$7:$B$1000,Settings!$B$13)-SUMIFS(INDEX('Oxford Economics'!$A$7:$AZ$1000,0,IFERROR(MATCH(X$5,'Oxford Economics'!$A$6:$AZ$6,0),MATCH(X$5&amp;"",'Oxford Economics'!$A$6:$AZ$6,0))),'Oxford Economics'!$A$7:$A$1000,$C42,'Oxford Economics'!$B$7:$B$1000,Settings!$B$15),SUMIFS(INDEX('Oxford Economics'!$A$7:$AZ$1000,0,IFERROR(MATCH(X$5,'Oxford Economics'!$A$6:$AZ$6,0),MATCH(X$5&amp;"",'Oxford Economics'!$A$6:$AZ$6,0))),'Oxford Economics'!$A$7:$A$1000,$C42,'Oxford Economics'!$B$7:$B$1000,Settings!$B$15)+SUMIFS(INDEX('Oxford Economics'!$A$7:$AZ$1000,0,IFERROR(MATCH(X$5,'Oxford Economics'!$A$6:$AZ$6,0),MATCH(X$5&amp;"",'Oxford Economics'!$A$6:$AZ$6,0))),'Oxford Economics'!$A$7:$A$1000,$C42,'Oxford Economics'!$B$7:$B$1000,Settings!$B$17)+IF(Settings!$B$19="",0,SUMIFS(INDEX('Oxford Economics'!$A$7:$AZ$1000,0,IFERROR(MATCH(X$5,'Oxford Economics'!$A$6:$AZ$6,0),MATCH(X$5&amp;"",'Oxford Economics'!$A$6:$AZ$6,0))),'Oxford Economics'!$A$7:$A$1000,$C42,'Oxford Economics'!$B$7:$B$1000,Settings!$B$19)))),""))</f>
        <v>1508.13</v>
      </c>
      <c r="Y42" s="38" t="n">
        <f aca="false">IF($A42="","",IFERROR(1/(1/IF($B42="Residential",SUMIFS(INDEX('Oxford Economics'!$A$7:$AZ$1000,0,IFERROR(MATCH(Y$5,'Oxford Economics'!$A$6:$AZ$6,0),MATCH(Y$5&amp;"",'Oxford Economics'!$A$6:$AZ$6,0))),'Oxford Economics'!$A$7:$A$1000,$C42,'Oxford Economics'!$B$7:$B$1000,Settings!$B$13)-SUMIFS(INDEX('Oxford Economics'!$A$7:$AZ$1000,0,IFERROR(MATCH(Y$5,'Oxford Economics'!$A$6:$AZ$6,0),MATCH(Y$5&amp;"",'Oxford Economics'!$A$6:$AZ$6,0))),'Oxford Economics'!$A$7:$A$1000,$C42,'Oxford Economics'!$B$7:$B$1000,Settings!$B$15),SUMIFS(INDEX('Oxford Economics'!$A$7:$AZ$1000,0,IFERROR(MATCH(Y$5,'Oxford Economics'!$A$6:$AZ$6,0),MATCH(Y$5&amp;"",'Oxford Economics'!$A$6:$AZ$6,0))),'Oxford Economics'!$A$7:$A$1000,$C42,'Oxford Economics'!$B$7:$B$1000,Settings!$B$15)+SUMIFS(INDEX('Oxford Economics'!$A$7:$AZ$1000,0,IFERROR(MATCH(Y$5,'Oxford Economics'!$A$6:$AZ$6,0),MATCH(Y$5&amp;"",'Oxford Economics'!$A$6:$AZ$6,0))),'Oxford Economics'!$A$7:$A$1000,$C42,'Oxford Economics'!$B$7:$B$1000,Settings!$B$17)+IF(Settings!$B$19="",0,SUMIFS(INDEX('Oxford Economics'!$A$7:$AZ$1000,0,IFERROR(MATCH(Y$5,'Oxford Economics'!$A$6:$AZ$6,0),MATCH(Y$5&amp;"",'Oxford Economics'!$A$6:$AZ$6,0))),'Oxford Economics'!$A$7:$A$1000,$C42,'Oxford Economics'!$B$7:$B$1000,Settings!$B$19)))),""))</f>
        <v>1547.79</v>
      </c>
      <c r="Z42" s="38" t="n">
        <f aca="false">IF($A42="","",IFERROR(1/(1/IF($B42="Residential",SUMIFS(INDEX('Oxford Economics'!$A$7:$AZ$1000,0,IFERROR(MATCH(Z$5,'Oxford Economics'!$A$6:$AZ$6,0),MATCH(Z$5&amp;"",'Oxford Economics'!$A$6:$AZ$6,0))),'Oxford Economics'!$A$7:$A$1000,$C42,'Oxford Economics'!$B$7:$B$1000,Settings!$B$13)-SUMIFS(INDEX('Oxford Economics'!$A$7:$AZ$1000,0,IFERROR(MATCH(Z$5,'Oxford Economics'!$A$6:$AZ$6,0),MATCH(Z$5&amp;"",'Oxford Economics'!$A$6:$AZ$6,0))),'Oxford Economics'!$A$7:$A$1000,$C42,'Oxford Economics'!$B$7:$B$1000,Settings!$B$15),SUMIFS(INDEX('Oxford Economics'!$A$7:$AZ$1000,0,IFERROR(MATCH(Z$5,'Oxford Economics'!$A$6:$AZ$6,0),MATCH(Z$5&amp;"",'Oxford Economics'!$A$6:$AZ$6,0))),'Oxford Economics'!$A$7:$A$1000,$C42,'Oxford Economics'!$B$7:$B$1000,Settings!$B$15)+SUMIFS(INDEX('Oxford Economics'!$A$7:$AZ$1000,0,IFERROR(MATCH(Z$5,'Oxford Economics'!$A$6:$AZ$6,0),MATCH(Z$5&amp;"",'Oxford Economics'!$A$6:$AZ$6,0))),'Oxford Economics'!$A$7:$A$1000,$C42,'Oxford Economics'!$B$7:$B$1000,Settings!$B$17)+IF(Settings!$B$19="",0,SUMIFS(INDEX('Oxford Economics'!$A$7:$AZ$1000,0,IFERROR(MATCH(Z$5,'Oxford Economics'!$A$6:$AZ$6,0),MATCH(Z$5&amp;"",'Oxford Economics'!$A$6:$AZ$6,0))),'Oxford Economics'!$A$7:$A$1000,$C42,'Oxford Economics'!$B$7:$B$1000,Settings!$B$19)))),""))</f>
        <v>1570.63</v>
      </c>
      <c r="AA42" s="38" t="n">
        <f aca="false">IF($A42="","",IFERROR(1/(1/IF($B42="Residential",SUMIFS(INDEX('Oxford Economics'!$A$7:$AZ$1000,0,IFERROR(MATCH(AA$5,'Oxford Economics'!$A$6:$AZ$6,0),MATCH(AA$5&amp;"",'Oxford Economics'!$A$6:$AZ$6,0))),'Oxford Economics'!$A$7:$A$1000,$C42,'Oxford Economics'!$B$7:$B$1000,Settings!$B$13)-SUMIFS(INDEX('Oxford Economics'!$A$7:$AZ$1000,0,IFERROR(MATCH(AA$5,'Oxford Economics'!$A$6:$AZ$6,0),MATCH(AA$5&amp;"",'Oxford Economics'!$A$6:$AZ$6,0))),'Oxford Economics'!$A$7:$A$1000,$C42,'Oxford Economics'!$B$7:$B$1000,Settings!$B$15),SUMIFS(INDEX('Oxford Economics'!$A$7:$AZ$1000,0,IFERROR(MATCH(AA$5,'Oxford Economics'!$A$6:$AZ$6,0),MATCH(AA$5&amp;"",'Oxford Economics'!$A$6:$AZ$6,0))),'Oxford Economics'!$A$7:$A$1000,$C42,'Oxford Economics'!$B$7:$B$1000,Settings!$B$15)+SUMIFS(INDEX('Oxford Economics'!$A$7:$AZ$1000,0,IFERROR(MATCH(AA$5,'Oxford Economics'!$A$6:$AZ$6,0),MATCH(AA$5&amp;"",'Oxford Economics'!$A$6:$AZ$6,0))),'Oxford Economics'!$A$7:$A$1000,$C42,'Oxford Economics'!$B$7:$B$1000,Settings!$B$17)+IF(Settings!$B$19="",0,SUMIFS(INDEX('Oxford Economics'!$A$7:$AZ$1000,0,IFERROR(MATCH(AA$5,'Oxford Economics'!$A$6:$AZ$6,0),MATCH(AA$5&amp;"",'Oxford Economics'!$A$6:$AZ$6,0))),'Oxford Economics'!$A$7:$A$1000,$C42,'Oxford Economics'!$B$7:$B$1000,Settings!$B$19)))),""))</f>
        <v>1604.81</v>
      </c>
      <c r="AB42" s="38" t="n">
        <f aca="false">IF($A42="","",IFERROR(1/(1/IF($B42="Residential",SUMIFS(INDEX('Oxford Economics'!$A$7:$AZ$1000,0,IFERROR(MATCH(AB$5,'Oxford Economics'!$A$6:$AZ$6,0),MATCH(AB$5&amp;"",'Oxford Economics'!$A$6:$AZ$6,0))),'Oxford Economics'!$A$7:$A$1000,$C42,'Oxford Economics'!$B$7:$B$1000,Settings!$B$12)-SUMIFS(INDEX('Oxford Economics'!$A$7:$AZ$1000,0,IFERROR(MATCH(AB$5,'Oxford Economics'!$A$6:$AZ$6,0),MATCH(AB$5&amp;"",'Oxford Economics'!$A$6:$AZ$6,0))),'Oxford Economics'!$A$7:$A$1000,$C42,'Oxford Economics'!$B$7:$B$1000,Settings!$B$14),SUMIFS(INDEX('Oxford Economics'!$A$7:$AZ$1000,0,IFERROR(MATCH(AB$5,'Oxford Economics'!$A$6:$AZ$6,0),MATCH(AB$5&amp;"",'Oxford Economics'!$A$6:$AZ$6,0))),'Oxford Economics'!$A$7:$A$1000,$C42,'Oxford Economics'!$B$7:$B$1000,Settings!$B$14)+SUMIFS(INDEX('Oxford Economics'!$A$7:$AZ$1000,0,IFERROR(MATCH(AB$5,'Oxford Economics'!$A$6:$AZ$6,0),MATCH(AB$5&amp;"",'Oxford Economics'!$A$6:$AZ$6,0))),'Oxford Economics'!$A$7:$A$1000,$C42,'Oxford Economics'!$B$7:$B$1000,Settings!$B$16)+IF(Settings!$B$18="",0,SUMIFS(INDEX('Oxford Economics'!$A$7:$AZ$1000,0,IFERROR(MATCH(AB$5,'Oxford Economics'!$A$6:$AZ$6,0),MATCH(AB$5&amp;"",'Oxford Economics'!$A$6:$AZ$6,0))),'Oxford Economics'!$A$7:$A$1000,$C42,'Oxford Economics'!$B$7:$B$1000,Settings!$B$18)))),""))</f>
        <v>673.72</v>
      </c>
      <c r="AC42" s="38" t="n">
        <f aca="false">IF($A42="","",IFERROR(1/(1/IF($B42="Residential",SUMIFS(INDEX('Oxford Economics'!$A$7:$AZ$1000,0,IFERROR(MATCH(AC$5,'Oxford Economics'!$A$6:$AZ$6,0),MATCH(AC$5&amp;"",'Oxford Economics'!$A$6:$AZ$6,0))),'Oxford Economics'!$A$7:$A$1000,$C42,'Oxford Economics'!$B$7:$B$1000,Settings!$B$12)-SUMIFS(INDEX('Oxford Economics'!$A$7:$AZ$1000,0,IFERROR(MATCH(AC$5,'Oxford Economics'!$A$6:$AZ$6,0),MATCH(AC$5&amp;"",'Oxford Economics'!$A$6:$AZ$6,0))),'Oxford Economics'!$A$7:$A$1000,$C42,'Oxford Economics'!$B$7:$B$1000,Settings!$B$14),SUMIFS(INDEX('Oxford Economics'!$A$7:$AZ$1000,0,IFERROR(MATCH(AC$5,'Oxford Economics'!$A$6:$AZ$6,0),MATCH(AC$5&amp;"",'Oxford Economics'!$A$6:$AZ$6,0))),'Oxford Economics'!$A$7:$A$1000,$C42,'Oxford Economics'!$B$7:$B$1000,Settings!$B$14)+SUMIFS(INDEX('Oxford Economics'!$A$7:$AZ$1000,0,IFERROR(MATCH(AC$5,'Oxford Economics'!$A$6:$AZ$6,0),MATCH(AC$5&amp;"",'Oxford Economics'!$A$6:$AZ$6,0))),'Oxford Economics'!$A$7:$A$1000,$C42,'Oxford Economics'!$B$7:$B$1000,Settings!$B$16)+IF(Settings!$B$18="",0,SUMIFS(INDEX('Oxford Economics'!$A$7:$AZ$1000,0,IFERROR(MATCH(AC$5,'Oxford Economics'!$A$6:$AZ$6,0),MATCH(AC$5&amp;"",'Oxford Economics'!$A$6:$AZ$6,0))),'Oxford Economics'!$A$7:$A$1000,$C42,'Oxford Economics'!$B$7:$B$1000,Settings!$B$18)))),""))</f>
        <v>813.01</v>
      </c>
      <c r="AD42" s="38" t="n">
        <f aca="false">IF($A42="","",IFERROR(1/(1/IF($B42="Residential",SUMIFS(INDEX('Oxford Economics'!$A$7:$AZ$1000,0,IFERROR(MATCH(AD$5,'Oxford Economics'!$A$6:$AZ$6,0),MATCH(AD$5&amp;"",'Oxford Economics'!$A$6:$AZ$6,0))),'Oxford Economics'!$A$7:$A$1000,$C42,'Oxford Economics'!$B$7:$B$1000,Settings!$B$12)-SUMIFS(INDEX('Oxford Economics'!$A$7:$AZ$1000,0,IFERROR(MATCH(AD$5,'Oxford Economics'!$A$6:$AZ$6,0),MATCH(AD$5&amp;"",'Oxford Economics'!$A$6:$AZ$6,0))),'Oxford Economics'!$A$7:$A$1000,$C42,'Oxford Economics'!$B$7:$B$1000,Settings!$B$14),SUMIFS(INDEX('Oxford Economics'!$A$7:$AZ$1000,0,IFERROR(MATCH(AD$5,'Oxford Economics'!$A$6:$AZ$6,0),MATCH(AD$5&amp;"",'Oxford Economics'!$A$6:$AZ$6,0))),'Oxford Economics'!$A$7:$A$1000,$C42,'Oxford Economics'!$B$7:$B$1000,Settings!$B$14)+SUMIFS(INDEX('Oxford Economics'!$A$7:$AZ$1000,0,IFERROR(MATCH(AD$5,'Oxford Economics'!$A$6:$AZ$6,0),MATCH(AD$5&amp;"",'Oxford Economics'!$A$6:$AZ$6,0))),'Oxford Economics'!$A$7:$A$1000,$C42,'Oxford Economics'!$B$7:$B$1000,Settings!$B$16)+IF(Settings!$B$18="",0,SUMIFS(INDEX('Oxford Economics'!$A$7:$AZ$1000,0,IFERROR(MATCH(AD$5,'Oxford Economics'!$A$6:$AZ$6,0),MATCH(AD$5&amp;"",'Oxford Economics'!$A$6:$AZ$6,0))),'Oxford Economics'!$A$7:$A$1000,$C42,'Oxford Economics'!$B$7:$B$1000,Settings!$B$18)))),""))</f>
        <v>799.38</v>
      </c>
      <c r="AE42" s="38" t="n">
        <f aca="false">IF($A42="","",IFERROR(1/(1/IF($B42="Residential",SUMIFS(INDEX('Oxford Economics'!$A$7:$AZ$1000,0,IFERROR(MATCH(AE$5,'Oxford Economics'!$A$6:$AZ$6,0),MATCH(AE$5&amp;"",'Oxford Economics'!$A$6:$AZ$6,0))),'Oxford Economics'!$A$7:$A$1000,$C42,'Oxford Economics'!$B$7:$B$1000,Settings!$B$12)-SUMIFS(INDEX('Oxford Economics'!$A$7:$AZ$1000,0,IFERROR(MATCH(AE$5,'Oxford Economics'!$A$6:$AZ$6,0),MATCH(AE$5&amp;"",'Oxford Economics'!$A$6:$AZ$6,0))),'Oxford Economics'!$A$7:$A$1000,$C42,'Oxford Economics'!$B$7:$B$1000,Settings!$B$14),SUMIFS(INDEX('Oxford Economics'!$A$7:$AZ$1000,0,IFERROR(MATCH(AE$5,'Oxford Economics'!$A$6:$AZ$6,0),MATCH(AE$5&amp;"",'Oxford Economics'!$A$6:$AZ$6,0))),'Oxford Economics'!$A$7:$A$1000,$C42,'Oxford Economics'!$B$7:$B$1000,Settings!$B$14)+SUMIFS(INDEX('Oxford Economics'!$A$7:$AZ$1000,0,IFERROR(MATCH(AE$5,'Oxford Economics'!$A$6:$AZ$6,0),MATCH(AE$5&amp;"",'Oxford Economics'!$A$6:$AZ$6,0))),'Oxford Economics'!$A$7:$A$1000,$C42,'Oxford Economics'!$B$7:$B$1000,Settings!$B$16)+IF(Settings!$B$18="",0,SUMIFS(INDEX('Oxford Economics'!$A$7:$AZ$1000,0,IFERROR(MATCH(AE$5,'Oxford Economics'!$A$6:$AZ$6,0),MATCH(AE$5&amp;"",'Oxford Economics'!$A$6:$AZ$6,0))),'Oxford Economics'!$A$7:$A$1000,$C42,'Oxford Economics'!$B$7:$B$1000,Settings!$B$18)))),""))</f>
        <v>466.91</v>
      </c>
      <c r="AF42" s="38" t="n">
        <f aca="false">IF($A42="","",IFERROR(1/(1/IF($B42="Residential",SUMIFS(INDEX('Oxford Economics'!$A$7:$AZ$1000,0,IFERROR(MATCH(AF$5,'Oxford Economics'!$A$6:$AZ$6,0),MATCH(AF$5&amp;"",'Oxford Economics'!$A$6:$AZ$6,0))),'Oxford Economics'!$A$7:$A$1000,$C42,'Oxford Economics'!$B$7:$B$1000,Settings!$B$12)-SUMIFS(INDEX('Oxford Economics'!$A$7:$AZ$1000,0,IFERROR(MATCH(AF$5,'Oxford Economics'!$A$6:$AZ$6,0),MATCH(AF$5&amp;"",'Oxford Economics'!$A$6:$AZ$6,0))),'Oxford Economics'!$A$7:$A$1000,$C42,'Oxford Economics'!$B$7:$B$1000,Settings!$B$14),SUMIFS(INDEX('Oxford Economics'!$A$7:$AZ$1000,0,IFERROR(MATCH(AF$5,'Oxford Economics'!$A$6:$AZ$6,0),MATCH(AF$5&amp;"",'Oxford Economics'!$A$6:$AZ$6,0))),'Oxford Economics'!$A$7:$A$1000,$C42,'Oxford Economics'!$B$7:$B$1000,Settings!$B$14)+SUMIFS(INDEX('Oxford Economics'!$A$7:$AZ$1000,0,IFERROR(MATCH(AF$5,'Oxford Economics'!$A$6:$AZ$6,0),MATCH(AF$5&amp;"",'Oxford Economics'!$A$6:$AZ$6,0))),'Oxford Economics'!$A$7:$A$1000,$C42,'Oxford Economics'!$B$7:$B$1000,Settings!$B$16)+IF(Settings!$B$18="",0,SUMIFS(INDEX('Oxford Economics'!$A$7:$AZ$1000,0,IFERROR(MATCH(AF$5,'Oxford Economics'!$A$6:$AZ$6,0),MATCH(AF$5&amp;"",'Oxford Economics'!$A$6:$AZ$6,0))),'Oxford Economics'!$A$7:$A$1000,$C42,'Oxford Economics'!$B$7:$B$1000,Settings!$B$18)))),""))</f>
        <v>345.83</v>
      </c>
      <c r="AG42" s="38" t="n">
        <f aca="false">IF($A42="","",IFERROR(1/(1/IF($B42="Residential",SUMIFS(INDEX('Oxford Economics'!$A$7:$AZ$1000,0,IFERROR(MATCH(AG$5,'Oxford Economics'!$A$6:$AZ$6,0),MATCH(AG$5&amp;"",'Oxford Economics'!$A$6:$AZ$6,0))),'Oxford Economics'!$A$7:$A$1000,$C42,'Oxford Economics'!$B$7:$B$1000,Settings!$B$12)-SUMIFS(INDEX('Oxford Economics'!$A$7:$AZ$1000,0,IFERROR(MATCH(AG$5,'Oxford Economics'!$A$6:$AZ$6,0),MATCH(AG$5&amp;"",'Oxford Economics'!$A$6:$AZ$6,0))),'Oxford Economics'!$A$7:$A$1000,$C42,'Oxford Economics'!$B$7:$B$1000,Settings!$B$14),SUMIFS(INDEX('Oxford Economics'!$A$7:$AZ$1000,0,IFERROR(MATCH(AG$5,'Oxford Economics'!$A$6:$AZ$6,0),MATCH(AG$5&amp;"",'Oxford Economics'!$A$6:$AZ$6,0))),'Oxford Economics'!$A$7:$A$1000,$C42,'Oxford Economics'!$B$7:$B$1000,Settings!$B$14)+SUMIFS(INDEX('Oxford Economics'!$A$7:$AZ$1000,0,IFERROR(MATCH(AG$5,'Oxford Economics'!$A$6:$AZ$6,0),MATCH(AG$5&amp;"",'Oxford Economics'!$A$6:$AZ$6,0))),'Oxford Economics'!$A$7:$A$1000,$C42,'Oxford Economics'!$B$7:$B$1000,Settings!$B$16)+IF(Settings!$B$18="",0,SUMIFS(INDEX('Oxford Economics'!$A$7:$AZ$1000,0,IFERROR(MATCH(AG$5,'Oxford Economics'!$A$6:$AZ$6,0),MATCH(AG$5&amp;"",'Oxford Economics'!$A$6:$AZ$6,0))),'Oxford Economics'!$A$7:$A$1000,$C42,'Oxford Economics'!$B$7:$B$1000,Settings!$B$18)))),""))</f>
        <v>338.11</v>
      </c>
      <c r="AH42" s="38" t="n">
        <f aca="false">IF($A42="","",IFERROR(1/(1/IF($B42="Residential",SUMIFS(INDEX('Oxford Economics'!$A$7:$AZ$1000,0,IFERROR(MATCH(AH$5,'Oxford Economics'!$A$6:$AZ$6,0),MATCH(AH$5&amp;"",'Oxford Economics'!$A$6:$AZ$6,0))),'Oxford Economics'!$A$7:$A$1000,$C42,'Oxford Economics'!$B$7:$B$1000,Settings!$B$12)-SUMIFS(INDEX('Oxford Economics'!$A$7:$AZ$1000,0,IFERROR(MATCH(AH$5,'Oxford Economics'!$A$6:$AZ$6,0),MATCH(AH$5&amp;"",'Oxford Economics'!$A$6:$AZ$6,0))),'Oxford Economics'!$A$7:$A$1000,$C42,'Oxford Economics'!$B$7:$B$1000,Settings!$B$14),SUMIFS(INDEX('Oxford Economics'!$A$7:$AZ$1000,0,IFERROR(MATCH(AH$5,'Oxford Economics'!$A$6:$AZ$6,0),MATCH(AH$5&amp;"",'Oxford Economics'!$A$6:$AZ$6,0))),'Oxford Economics'!$A$7:$A$1000,$C42,'Oxford Economics'!$B$7:$B$1000,Settings!$B$14)+SUMIFS(INDEX('Oxford Economics'!$A$7:$AZ$1000,0,IFERROR(MATCH(AH$5,'Oxford Economics'!$A$6:$AZ$6,0),MATCH(AH$5&amp;"",'Oxford Economics'!$A$6:$AZ$6,0))),'Oxford Economics'!$A$7:$A$1000,$C42,'Oxford Economics'!$B$7:$B$1000,Settings!$B$16)+IF(Settings!$B$18="",0,SUMIFS(INDEX('Oxford Economics'!$A$7:$AZ$1000,0,IFERROR(MATCH(AH$5,'Oxford Economics'!$A$6:$AZ$6,0),MATCH(AH$5&amp;"",'Oxford Economics'!$A$6:$AZ$6,0))),'Oxford Economics'!$A$7:$A$1000,$C42,'Oxford Economics'!$B$7:$B$1000,Settings!$B$18)))),""))</f>
        <v>309.96</v>
      </c>
      <c r="AI42" s="38" t="n">
        <f aca="false">IF($A42="","",IFERROR(1/(1/IF($B42="Residential",SUMIFS(INDEX('Oxford Economics'!$A$7:$AZ$1000,0,IFERROR(MATCH(AI$5,'Oxford Economics'!$A$6:$AZ$6,0),MATCH(AI$5&amp;"",'Oxford Economics'!$A$6:$AZ$6,0))),'Oxford Economics'!$A$7:$A$1000,$C42,'Oxford Economics'!$B$7:$B$1000,Settings!$B$12)-SUMIFS(INDEX('Oxford Economics'!$A$7:$AZ$1000,0,IFERROR(MATCH(AI$5,'Oxford Economics'!$A$6:$AZ$6,0),MATCH(AI$5&amp;"",'Oxford Economics'!$A$6:$AZ$6,0))),'Oxford Economics'!$A$7:$A$1000,$C42,'Oxford Economics'!$B$7:$B$1000,Settings!$B$14),SUMIFS(INDEX('Oxford Economics'!$A$7:$AZ$1000,0,IFERROR(MATCH(AI$5,'Oxford Economics'!$A$6:$AZ$6,0),MATCH(AI$5&amp;"",'Oxford Economics'!$A$6:$AZ$6,0))),'Oxford Economics'!$A$7:$A$1000,$C42,'Oxford Economics'!$B$7:$B$1000,Settings!$B$14)+SUMIFS(INDEX('Oxford Economics'!$A$7:$AZ$1000,0,IFERROR(MATCH(AI$5,'Oxford Economics'!$A$6:$AZ$6,0),MATCH(AI$5&amp;"",'Oxford Economics'!$A$6:$AZ$6,0))),'Oxford Economics'!$A$7:$A$1000,$C42,'Oxford Economics'!$B$7:$B$1000,Settings!$B$16)+IF(Settings!$B$18="",0,SUMIFS(INDEX('Oxford Economics'!$A$7:$AZ$1000,0,IFERROR(MATCH(AI$5,'Oxford Economics'!$A$6:$AZ$6,0),MATCH(AI$5&amp;"",'Oxford Economics'!$A$6:$AZ$6,0))),'Oxford Economics'!$A$7:$A$1000,$C42,'Oxford Economics'!$B$7:$B$1000,Settings!$B$18)))),""))</f>
        <v>305.72</v>
      </c>
      <c r="AJ42" s="38" t="n">
        <f aca="false">IF($A42="","",IFERROR(1/(1/IF($B42="Residential",SUMIFS(INDEX('Oxford Economics'!$A$7:$AZ$1000,0,IFERROR(MATCH(AJ$5,'Oxford Economics'!$A$6:$AZ$6,0),MATCH(AJ$5&amp;"",'Oxford Economics'!$A$6:$AZ$6,0))),'Oxford Economics'!$A$7:$A$1000,$C42,'Oxford Economics'!$B$7:$B$1000,Settings!$B$12)-SUMIFS(INDEX('Oxford Economics'!$A$7:$AZ$1000,0,IFERROR(MATCH(AJ$5,'Oxford Economics'!$A$6:$AZ$6,0),MATCH(AJ$5&amp;"",'Oxford Economics'!$A$6:$AZ$6,0))),'Oxford Economics'!$A$7:$A$1000,$C42,'Oxford Economics'!$B$7:$B$1000,Settings!$B$14),SUMIFS(INDEX('Oxford Economics'!$A$7:$AZ$1000,0,IFERROR(MATCH(AJ$5,'Oxford Economics'!$A$6:$AZ$6,0),MATCH(AJ$5&amp;"",'Oxford Economics'!$A$6:$AZ$6,0))),'Oxford Economics'!$A$7:$A$1000,$C42,'Oxford Economics'!$B$7:$B$1000,Settings!$B$14)+SUMIFS(INDEX('Oxford Economics'!$A$7:$AZ$1000,0,IFERROR(MATCH(AJ$5,'Oxford Economics'!$A$6:$AZ$6,0),MATCH(AJ$5&amp;"",'Oxford Economics'!$A$6:$AZ$6,0))),'Oxford Economics'!$A$7:$A$1000,$C42,'Oxford Economics'!$B$7:$B$1000,Settings!$B$16)+IF(Settings!$B$18="",0,SUMIFS(INDEX('Oxford Economics'!$A$7:$AZ$1000,0,IFERROR(MATCH(AJ$5,'Oxford Economics'!$A$6:$AZ$6,0),MATCH(AJ$5&amp;"",'Oxford Economics'!$A$6:$AZ$6,0))),'Oxford Economics'!$A$7:$A$1000,$C42,'Oxford Economics'!$B$7:$B$1000,Settings!$B$18)))),""))</f>
        <v>326.98</v>
      </c>
      <c r="AK42" s="38" t="n">
        <f aca="false">IF($A42="","",IFERROR(1/(1/IF($B42="Residential",SUMIFS(INDEX('Oxford Economics'!$A$7:$AZ$1000,0,IFERROR(MATCH(AK$5,'Oxford Economics'!$A$6:$AZ$6,0),MATCH(AK$5&amp;"",'Oxford Economics'!$A$6:$AZ$6,0))),'Oxford Economics'!$A$7:$A$1000,$C42,'Oxford Economics'!$B$7:$B$1000,Settings!$B$12)-SUMIFS(INDEX('Oxford Economics'!$A$7:$AZ$1000,0,IFERROR(MATCH(AK$5,'Oxford Economics'!$A$6:$AZ$6,0),MATCH(AK$5&amp;"",'Oxford Economics'!$A$6:$AZ$6,0))),'Oxford Economics'!$A$7:$A$1000,$C42,'Oxford Economics'!$B$7:$B$1000,Settings!$B$14),SUMIFS(INDEX('Oxford Economics'!$A$7:$AZ$1000,0,IFERROR(MATCH(AK$5,'Oxford Economics'!$A$6:$AZ$6,0),MATCH(AK$5&amp;"",'Oxford Economics'!$A$6:$AZ$6,0))),'Oxford Economics'!$A$7:$A$1000,$C42,'Oxford Economics'!$B$7:$B$1000,Settings!$B$14)+SUMIFS(INDEX('Oxford Economics'!$A$7:$AZ$1000,0,IFERROR(MATCH(AK$5,'Oxford Economics'!$A$6:$AZ$6,0),MATCH(AK$5&amp;"",'Oxford Economics'!$A$6:$AZ$6,0))),'Oxford Economics'!$A$7:$A$1000,$C42,'Oxford Economics'!$B$7:$B$1000,Settings!$B$16)+IF(Settings!$B$18="",0,SUMIFS(INDEX('Oxford Economics'!$A$7:$AZ$1000,0,IFERROR(MATCH(AK$5,'Oxford Economics'!$A$6:$AZ$6,0),MATCH(AK$5&amp;"",'Oxford Economics'!$A$6:$AZ$6,0))),'Oxford Economics'!$A$7:$A$1000,$C42,'Oxford Economics'!$B$7:$B$1000,Settings!$B$18)))),""))</f>
        <v>348.79</v>
      </c>
      <c r="AL42" s="38" t="n">
        <f aca="false">IF($A42="","",IFERROR(1/(1/IF($B42="Residential",SUMIFS(INDEX('Oxford Economics'!$A$7:$AZ$1000,0,IFERROR(MATCH(AL$5,'Oxford Economics'!$A$6:$AZ$6,0),MATCH(AL$5&amp;"",'Oxford Economics'!$A$6:$AZ$6,0))),'Oxford Economics'!$A$7:$A$1000,$C42,'Oxford Economics'!$B$7:$B$1000,Settings!$B$12)-SUMIFS(INDEX('Oxford Economics'!$A$7:$AZ$1000,0,IFERROR(MATCH(AL$5,'Oxford Economics'!$A$6:$AZ$6,0),MATCH(AL$5&amp;"",'Oxford Economics'!$A$6:$AZ$6,0))),'Oxford Economics'!$A$7:$A$1000,$C42,'Oxford Economics'!$B$7:$B$1000,Settings!$B$14),SUMIFS(INDEX('Oxford Economics'!$A$7:$AZ$1000,0,IFERROR(MATCH(AL$5,'Oxford Economics'!$A$6:$AZ$6,0),MATCH(AL$5&amp;"",'Oxford Economics'!$A$6:$AZ$6,0))),'Oxford Economics'!$A$7:$A$1000,$C42,'Oxford Economics'!$B$7:$B$1000,Settings!$B$14)+SUMIFS(INDEX('Oxford Economics'!$A$7:$AZ$1000,0,IFERROR(MATCH(AL$5,'Oxford Economics'!$A$6:$AZ$6,0),MATCH(AL$5&amp;"",'Oxford Economics'!$A$6:$AZ$6,0))),'Oxford Economics'!$A$7:$A$1000,$C42,'Oxford Economics'!$B$7:$B$1000,Settings!$B$16)+IF(Settings!$B$18="",0,SUMIFS(INDEX('Oxford Economics'!$A$7:$AZ$1000,0,IFERROR(MATCH(AL$5,'Oxford Economics'!$A$6:$AZ$6,0),MATCH(AL$5&amp;"",'Oxford Economics'!$A$6:$AZ$6,0))),'Oxford Economics'!$A$7:$A$1000,$C42,'Oxford Economics'!$B$7:$B$1000,Settings!$B$18)))),""))</f>
        <v>376.03</v>
      </c>
      <c r="AM42" s="38" t="n">
        <f aca="false">IF($A42="","",IFERROR(1/(1/IF($B42="Residential",SUMIFS(INDEX('Oxford Economics'!$A$7:$AZ$1000,0,IFERROR(MATCH(AM$5,'Oxford Economics'!$A$6:$AZ$6,0),MATCH(AM$5&amp;"",'Oxford Economics'!$A$6:$AZ$6,0))),'Oxford Economics'!$A$7:$A$1000,$C42,'Oxford Economics'!$B$7:$B$1000,Settings!$B$12)-SUMIFS(INDEX('Oxford Economics'!$A$7:$AZ$1000,0,IFERROR(MATCH(AM$5,'Oxford Economics'!$A$6:$AZ$6,0),MATCH(AM$5&amp;"",'Oxford Economics'!$A$6:$AZ$6,0))),'Oxford Economics'!$A$7:$A$1000,$C42,'Oxford Economics'!$B$7:$B$1000,Settings!$B$14),SUMIFS(INDEX('Oxford Economics'!$A$7:$AZ$1000,0,IFERROR(MATCH(AM$5,'Oxford Economics'!$A$6:$AZ$6,0),MATCH(AM$5&amp;"",'Oxford Economics'!$A$6:$AZ$6,0))),'Oxford Economics'!$A$7:$A$1000,$C42,'Oxford Economics'!$B$7:$B$1000,Settings!$B$14)+SUMIFS(INDEX('Oxford Economics'!$A$7:$AZ$1000,0,IFERROR(MATCH(AM$5,'Oxford Economics'!$A$6:$AZ$6,0),MATCH(AM$5&amp;"",'Oxford Economics'!$A$6:$AZ$6,0))),'Oxford Economics'!$A$7:$A$1000,$C42,'Oxford Economics'!$B$7:$B$1000,Settings!$B$16)+IF(Settings!$B$18="",0,SUMIFS(INDEX('Oxford Economics'!$A$7:$AZ$1000,0,IFERROR(MATCH(AM$5,'Oxford Economics'!$A$6:$AZ$6,0),MATCH(AM$5&amp;"",'Oxford Economics'!$A$6:$AZ$6,0))),'Oxford Economics'!$A$7:$A$1000,$C42,'Oxford Economics'!$B$7:$B$1000,Settings!$B$18)))),""))</f>
        <v>403.32</v>
      </c>
    </row>
    <row r="43" customFormat="false" ht="15" hidden="false" customHeight="false" outlineLevel="0" collapsed="false">
      <c r="A43" s="37" t="str">
        <f aca="false">IF('Raw data'!$A43="","",'Raw data'!$A43)</f>
        <v>Finland</v>
      </c>
      <c r="B43" s="37" t="str">
        <f aca="false">IF($A43="","",'Raw data'!$C43)</f>
        <v>Residential</v>
      </c>
      <c r="C43" s="37" t="str">
        <f aca="false">IF($A43="","",IF('Raw data'!$E43="",$A43,'Raw data'!$E43))</f>
        <v>Finland</v>
      </c>
      <c r="D43" s="38" t="n">
        <f aca="false">IF($A43="","",IF(AND(ISNUMBER(P43),ISNUMBER(AB43)),P43+AB43,""))</f>
        <v>2336.17</v>
      </c>
      <c r="E43" s="38" t="n">
        <f aca="false">IF($A43="","",IF(AND(ISNUMBER(Q43),ISNUMBER(AC43)),Q43+AC43,""))</f>
        <v>2387.37</v>
      </c>
      <c r="F43" s="38" t="n">
        <f aca="false">IF($A43="","",IF(AND(ISNUMBER(R43),ISNUMBER(AD43)),R43+AD43,""))</f>
        <v>2333.08</v>
      </c>
      <c r="G43" s="38" t="n">
        <f aca="false">IF($A43="","",IF(AND(ISNUMBER(S43),ISNUMBER(AE43)),S43+AE43,""))</f>
        <v>1976.85</v>
      </c>
      <c r="H43" s="38" t="n">
        <f aca="false">IF($A43="","",IF(AND(ISNUMBER(T43),ISNUMBER(AF43)),T43+AF43,""))</f>
        <v>1748.21</v>
      </c>
      <c r="I43" s="38" t="n">
        <f aca="false">IF($A43="","",IF(AND(ISNUMBER(U43),ISNUMBER(AG43)),U43+AG43,""))</f>
        <v>1692.48</v>
      </c>
      <c r="J43" s="38" t="n">
        <f aca="false">IF($A43="","",IF(AND(ISNUMBER(V43),ISNUMBER(AH43)),V43+AH43,""))</f>
        <v>1642.2</v>
      </c>
      <c r="K43" s="38" t="n">
        <f aca="false">IF($A43="","",IF(AND(ISNUMBER(W43),ISNUMBER(AI43)),W43+AI43,""))</f>
        <v>1735.21</v>
      </c>
      <c r="L43" s="38" t="n">
        <f aca="false">IF($A43="","",IF(AND(ISNUMBER(X43),ISNUMBER(AJ43)),X43+AJ43,""))</f>
        <v>1835.11</v>
      </c>
      <c r="M43" s="38" t="n">
        <f aca="false">IF($A43="","",IF(AND(ISNUMBER(Y43),ISNUMBER(AK43)),Y43+AK43,""))</f>
        <v>1896.58</v>
      </c>
      <c r="N43" s="38" t="n">
        <f aca="false">IF($A43="","",IF(AND(ISNUMBER(Z43),ISNUMBER(AL43)),Z43+AL43,""))</f>
        <v>1946.66</v>
      </c>
      <c r="O43" s="38" t="n">
        <f aca="false">IF($A43="","",IF(AND(ISNUMBER(AA43),ISNUMBER(AM43)),AA43+AM43,""))</f>
        <v>2008.13</v>
      </c>
      <c r="P43" s="38" t="n">
        <f aca="false">IF($A43="","",IFERROR(1/(1/IF($B43="Residential",SUMIFS(INDEX('Oxford Economics'!$A$7:$AZ$1000,0,IFERROR(MATCH(P$5,'Oxford Economics'!$A$6:$AZ$6,0),MATCH(P$5&amp;"",'Oxford Economics'!$A$6:$AZ$6,0))),'Oxford Economics'!$A$7:$A$1000,$C43,'Oxford Economics'!$B$7:$B$1000,Settings!$B$13)-SUMIFS(INDEX('Oxford Economics'!$A$7:$AZ$1000,0,IFERROR(MATCH(P$5,'Oxford Economics'!$A$6:$AZ$6,0),MATCH(P$5&amp;"",'Oxford Economics'!$A$6:$AZ$6,0))),'Oxford Economics'!$A$7:$A$1000,$C43,'Oxford Economics'!$B$7:$B$1000,Settings!$B$15),SUMIFS(INDEX('Oxford Economics'!$A$7:$AZ$1000,0,IFERROR(MATCH(P$5,'Oxford Economics'!$A$6:$AZ$6,0),MATCH(P$5&amp;"",'Oxford Economics'!$A$6:$AZ$6,0))),'Oxford Economics'!$A$7:$A$1000,$C43,'Oxford Economics'!$B$7:$B$1000,Settings!$B$15)+SUMIFS(INDEX('Oxford Economics'!$A$7:$AZ$1000,0,IFERROR(MATCH(P$5,'Oxford Economics'!$A$6:$AZ$6,0),MATCH(P$5&amp;"",'Oxford Economics'!$A$6:$AZ$6,0))),'Oxford Economics'!$A$7:$A$1000,$C43,'Oxford Economics'!$B$7:$B$1000,Settings!$B$17)+IF(Settings!$B$19="",0,SUMIFS(INDEX('Oxford Economics'!$A$7:$AZ$1000,0,IFERROR(MATCH(P$5,'Oxford Economics'!$A$6:$AZ$6,0),MATCH(P$5&amp;"",'Oxford Economics'!$A$6:$AZ$6,0))),'Oxford Economics'!$A$7:$A$1000,$C43,'Oxford Economics'!$B$7:$B$1000,Settings!$B$19)))),""))</f>
        <v>1662.45</v>
      </c>
      <c r="Q43" s="38" t="n">
        <f aca="false">IF($A43="","",IFERROR(1/(1/IF($B43="Residential",SUMIFS(INDEX('Oxford Economics'!$A$7:$AZ$1000,0,IFERROR(MATCH(Q$5,'Oxford Economics'!$A$6:$AZ$6,0),MATCH(Q$5&amp;"",'Oxford Economics'!$A$6:$AZ$6,0))),'Oxford Economics'!$A$7:$A$1000,$C43,'Oxford Economics'!$B$7:$B$1000,Settings!$B$13)-SUMIFS(INDEX('Oxford Economics'!$A$7:$AZ$1000,0,IFERROR(MATCH(Q$5,'Oxford Economics'!$A$6:$AZ$6,0),MATCH(Q$5&amp;"",'Oxford Economics'!$A$6:$AZ$6,0))),'Oxford Economics'!$A$7:$A$1000,$C43,'Oxford Economics'!$B$7:$B$1000,Settings!$B$15),SUMIFS(INDEX('Oxford Economics'!$A$7:$AZ$1000,0,IFERROR(MATCH(Q$5,'Oxford Economics'!$A$6:$AZ$6,0),MATCH(Q$5&amp;"",'Oxford Economics'!$A$6:$AZ$6,0))),'Oxford Economics'!$A$7:$A$1000,$C43,'Oxford Economics'!$B$7:$B$1000,Settings!$B$15)+SUMIFS(INDEX('Oxford Economics'!$A$7:$AZ$1000,0,IFERROR(MATCH(Q$5,'Oxford Economics'!$A$6:$AZ$6,0),MATCH(Q$5&amp;"",'Oxford Economics'!$A$6:$AZ$6,0))),'Oxford Economics'!$A$7:$A$1000,$C43,'Oxford Economics'!$B$7:$B$1000,Settings!$B$17)+IF(Settings!$B$19="",0,SUMIFS(INDEX('Oxford Economics'!$A$7:$AZ$1000,0,IFERROR(MATCH(Q$5,'Oxford Economics'!$A$6:$AZ$6,0),MATCH(Q$5&amp;"",'Oxford Economics'!$A$6:$AZ$6,0))),'Oxford Economics'!$A$7:$A$1000,$C43,'Oxford Economics'!$B$7:$B$1000,Settings!$B$19)))),""))</f>
        <v>1574.36</v>
      </c>
      <c r="R43" s="38" t="n">
        <f aca="false">IF($A43="","",IFERROR(1/(1/IF($B43="Residential",SUMIFS(INDEX('Oxford Economics'!$A$7:$AZ$1000,0,IFERROR(MATCH(R$5,'Oxford Economics'!$A$6:$AZ$6,0),MATCH(R$5&amp;"",'Oxford Economics'!$A$6:$AZ$6,0))),'Oxford Economics'!$A$7:$A$1000,$C43,'Oxford Economics'!$B$7:$B$1000,Settings!$B$13)-SUMIFS(INDEX('Oxford Economics'!$A$7:$AZ$1000,0,IFERROR(MATCH(R$5,'Oxford Economics'!$A$6:$AZ$6,0),MATCH(R$5&amp;"",'Oxford Economics'!$A$6:$AZ$6,0))),'Oxford Economics'!$A$7:$A$1000,$C43,'Oxford Economics'!$B$7:$B$1000,Settings!$B$15),SUMIFS(INDEX('Oxford Economics'!$A$7:$AZ$1000,0,IFERROR(MATCH(R$5,'Oxford Economics'!$A$6:$AZ$6,0),MATCH(R$5&amp;"",'Oxford Economics'!$A$6:$AZ$6,0))),'Oxford Economics'!$A$7:$A$1000,$C43,'Oxford Economics'!$B$7:$B$1000,Settings!$B$15)+SUMIFS(INDEX('Oxford Economics'!$A$7:$AZ$1000,0,IFERROR(MATCH(R$5,'Oxford Economics'!$A$6:$AZ$6,0),MATCH(R$5&amp;"",'Oxford Economics'!$A$6:$AZ$6,0))),'Oxford Economics'!$A$7:$A$1000,$C43,'Oxford Economics'!$B$7:$B$1000,Settings!$B$17)+IF(Settings!$B$19="",0,SUMIFS(INDEX('Oxford Economics'!$A$7:$AZ$1000,0,IFERROR(MATCH(R$5,'Oxford Economics'!$A$6:$AZ$6,0),MATCH(R$5&amp;"",'Oxford Economics'!$A$6:$AZ$6,0))),'Oxford Economics'!$A$7:$A$1000,$C43,'Oxford Economics'!$B$7:$B$1000,Settings!$B$19)))),""))</f>
        <v>1533.7</v>
      </c>
      <c r="S43" s="38" t="n">
        <f aca="false">IF($A43="","",IFERROR(1/(1/IF($B43="Residential",SUMIFS(INDEX('Oxford Economics'!$A$7:$AZ$1000,0,IFERROR(MATCH(S$5,'Oxford Economics'!$A$6:$AZ$6,0),MATCH(S$5&amp;"",'Oxford Economics'!$A$6:$AZ$6,0))),'Oxford Economics'!$A$7:$A$1000,$C43,'Oxford Economics'!$B$7:$B$1000,Settings!$B$13)-SUMIFS(INDEX('Oxford Economics'!$A$7:$AZ$1000,0,IFERROR(MATCH(S$5,'Oxford Economics'!$A$6:$AZ$6,0),MATCH(S$5&amp;"",'Oxford Economics'!$A$6:$AZ$6,0))),'Oxford Economics'!$A$7:$A$1000,$C43,'Oxford Economics'!$B$7:$B$1000,Settings!$B$15),SUMIFS(INDEX('Oxford Economics'!$A$7:$AZ$1000,0,IFERROR(MATCH(S$5,'Oxford Economics'!$A$6:$AZ$6,0),MATCH(S$5&amp;"",'Oxford Economics'!$A$6:$AZ$6,0))),'Oxford Economics'!$A$7:$A$1000,$C43,'Oxford Economics'!$B$7:$B$1000,Settings!$B$15)+SUMIFS(INDEX('Oxford Economics'!$A$7:$AZ$1000,0,IFERROR(MATCH(S$5,'Oxford Economics'!$A$6:$AZ$6,0),MATCH(S$5&amp;"",'Oxford Economics'!$A$6:$AZ$6,0))),'Oxford Economics'!$A$7:$A$1000,$C43,'Oxford Economics'!$B$7:$B$1000,Settings!$B$17)+IF(Settings!$B$19="",0,SUMIFS(INDEX('Oxford Economics'!$A$7:$AZ$1000,0,IFERROR(MATCH(S$5,'Oxford Economics'!$A$6:$AZ$6,0),MATCH(S$5&amp;"",'Oxford Economics'!$A$6:$AZ$6,0))),'Oxford Economics'!$A$7:$A$1000,$C43,'Oxford Economics'!$B$7:$B$1000,Settings!$B$19)))),""))</f>
        <v>1509.94</v>
      </c>
      <c r="T43" s="38" t="n">
        <f aca="false">IF($A43="","",IFERROR(1/(1/IF($B43="Residential",SUMIFS(INDEX('Oxford Economics'!$A$7:$AZ$1000,0,IFERROR(MATCH(T$5,'Oxford Economics'!$A$6:$AZ$6,0),MATCH(T$5&amp;"",'Oxford Economics'!$A$6:$AZ$6,0))),'Oxford Economics'!$A$7:$A$1000,$C43,'Oxford Economics'!$B$7:$B$1000,Settings!$B$13)-SUMIFS(INDEX('Oxford Economics'!$A$7:$AZ$1000,0,IFERROR(MATCH(T$5,'Oxford Economics'!$A$6:$AZ$6,0),MATCH(T$5&amp;"",'Oxford Economics'!$A$6:$AZ$6,0))),'Oxford Economics'!$A$7:$A$1000,$C43,'Oxford Economics'!$B$7:$B$1000,Settings!$B$15),SUMIFS(INDEX('Oxford Economics'!$A$7:$AZ$1000,0,IFERROR(MATCH(T$5,'Oxford Economics'!$A$6:$AZ$6,0),MATCH(T$5&amp;"",'Oxford Economics'!$A$6:$AZ$6,0))),'Oxford Economics'!$A$7:$A$1000,$C43,'Oxford Economics'!$B$7:$B$1000,Settings!$B$15)+SUMIFS(INDEX('Oxford Economics'!$A$7:$AZ$1000,0,IFERROR(MATCH(T$5,'Oxford Economics'!$A$6:$AZ$6,0),MATCH(T$5&amp;"",'Oxford Economics'!$A$6:$AZ$6,0))),'Oxford Economics'!$A$7:$A$1000,$C43,'Oxford Economics'!$B$7:$B$1000,Settings!$B$17)+IF(Settings!$B$19="",0,SUMIFS(INDEX('Oxford Economics'!$A$7:$AZ$1000,0,IFERROR(MATCH(T$5,'Oxford Economics'!$A$6:$AZ$6,0),MATCH(T$5&amp;"",'Oxford Economics'!$A$6:$AZ$6,0))),'Oxford Economics'!$A$7:$A$1000,$C43,'Oxford Economics'!$B$7:$B$1000,Settings!$B$19)))),""))</f>
        <v>1402.38</v>
      </c>
      <c r="U43" s="38" t="n">
        <f aca="false">IF($A43="","",IFERROR(1/(1/IF($B43="Residential",SUMIFS(INDEX('Oxford Economics'!$A$7:$AZ$1000,0,IFERROR(MATCH(U$5,'Oxford Economics'!$A$6:$AZ$6,0),MATCH(U$5&amp;"",'Oxford Economics'!$A$6:$AZ$6,0))),'Oxford Economics'!$A$7:$A$1000,$C43,'Oxford Economics'!$B$7:$B$1000,Settings!$B$13)-SUMIFS(INDEX('Oxford Economics'!$A$7:$AZ$1000,0,IFERROR(MATCH(U$5,'Oxford Economics'!$A$6:$AZ$6,0),MATCH(U$5&amp;"",'Oxford Economics'!$A$6:$AZ$6,0))),'Oxford Economics'!$A$7:$A$1000,$C43,'Oxford Economics'!$B$7:$B$1000,Settings!$B$15),SUMIFS(INDEX('Oxford Economics'!$A$7:$AZ$1000,0,IFERROR(MATCH(U$5,'Oxford Economics'!$A$6:$AZ$6,0),MATCH(U$5&amp;"",'Oxford Economics'!$A$6:$AZ$6,0))),'Oxford Economics'!$A$7:$A$1000,$C43,'Oxford Economics'!$B$7:$B$1000,Settings!$B$15)+SUMIFS(INDEX('Oxford Economics'!$A$7:$AZ$1000,0,IFERROR(MATCH(U$5,'Oxford Economics'!$A$6:$AZ$6,0),MATCH(U$5&amp;"",'Oxford Economics'!$A$6:$AZ$6,0))),'Oxford Economics'!$A$7:$A$1000,$C43,'Oxford Economics'!$B$7:$B$1000,Settings!$B$17)+IF(Settings!$B$19="",0,SUMIFS(INDEX('Oxford Economics'!$A$7:$AZ$1000,0,IFERROR(MATCH(U$5,'Oxford Economics'!$A$6:$AZ$6,0),MATCH(U$5&amp;"",'Oxford Economics'!$A$6:$AZ$6,0))),'Oxford Economics'!$A$7:$A$1000,$C43,'Oxford Economics'!$B$7:$B$1000,Settings!$B$19)))),""))</f>
        <v>1354.37</v>
      </c>
      <c r="V43" s="38" t="n">
        <f aca="false">IF($A43="","",IFERROR(1/(1/IF($B43="Residential",SUMIFS(INDEX('Oxford Economics'!$A$7:$AZ$1000,0,IFERROR(MATCH(V$5,'Oxford Economics'!$A$6:$AZ$6,0),MATCH(V$5&amp;"",'Oxford Economics'!$A$6:$AZ$6,0))),'Oxford Economics'!$A$7:$A$1000,$C43,'Oxford Economics'!$B$7:$B$1000,Settings!$B$13)-SUMIFS(INDEX('Oxford Economics'!$A$7:$AZ$1000,0,IFERROR(MATCH(V$5,'Oxford Economics'!$A$6:$AZ$6,0),MATCH(V$5&amp;"",'Oxford Economics'!$A$6:$AZ$6,0))),'Oxford Economics'!$A$7:$A$1000,$C43,'Oxford Economics'!$B$7:$B$1000,Settings!$B$15),SUMIFS(INDEX('Oxford Economics'!$A$7:$AZ$1000,0,IFERROR(MATCH(V$5,'Oxford Economics'!$A$6:$AZ$6,0),MATCH(V$5&amp;"",'Oxford Economics'!$A$6:$AZ$6,0))),'Oxford Economics'!$A$7:$A$1000,$C43,'Oxford Economics'!$B$7:$B$1000,Settings!$B$15)+SUMIFS(INDEX('Oxford Economics'!$A$7:$AZ$1000,0,IFERROR(MATCH(V$5,'Oxford Economics'!$A$6:$AZ$6,0),MATCH(V$5&amp;"",'Oxford Economics'!$A$6:$AZ$6,0))),'Oxford Economics'!$A$7:$A$1000,$C43,'Oxford Economics'!$B$7:$B$1000,Settings!$B$17)+IF(Settings!$B$19="",0,SUMIFS(INDEX('Oxford Economics'!$A$7:$AZ$1000,0,IFERROR(MATCH(V$5,'Oxford Economics'!$A$6:$AZ$6,0),MATCH(V$5&amp;"",'Oxford Economics'!$A$6:$AZ$6,0))),'Oxford Economics'!$A$7:$A$1000,$C43,'Oxford Economics'!$B$7:$B$1000,Settings!$B$19)))),""))</f>
        <v>1332.24</v>
      </c>
      <c r="W43" s="38" t="n">
        <f aca="false">IF($A43="","",IFERROR(1/(1/IF($B43="Residential",SUMIFS(INDEX('Oxford Economics'!$A$7:$AZ$1000,0,IFERROR(MATCH(W$5,'Oxford Economics'!$A$6:$AZ$6,0),MATCH(W$5&amp;"",'Oxford Economics'!$A$6:$AZ$6,0))),'Oxford Economics'!$A$7:$A$1000,$C43,'Oxford Economics'!$B$7:$B$1000,Settings!$B$13)-SUMIFS(INDEX('Oxford Economics'!$A$7:$AZ$1000,0,IFERROR(MATCH(W$5,'Oxford Economics'!$A$6:$AZ$6,0),MATCH(W$5&amp;"",'Oxford Economics'!$A$6:$AZ$6,0))),'Oxford Economics'!$A$7:$A$1000,$C43,'Oxford Economics'!$B$7:$B$1000,Settings!$B$15),SUMIFS(INDEX('Oxford Economics'!$A$7:$AZ$1000,0,IFERROR(MATCH(W$5,'Oxford Economics'!$A$6:$AZ$6,0),MATCH(W$5&amp;"",'Oxford Economics'!$A$6:$AZ$6,0))),'Oxford Economics'!$A$7:$A$1000,$C43,'Oxford Economics'!$B$7:$B$1000,Settings!$B$15)+SUMIFS(INDEX('Oxford Economics'!$A$7:$AZ$1000,0,IFERROR(MATCH(W$5,'Oxford Economics'!$A$6:$AZ$6,0),MATCH(W$5&amp;"",'Oxford Economics'!$A$6:$AZ$6,0))),'Oxford Economics'!$A$7:$A$1000,$C43,'Oxford Economics'!$B$7:$B$1000,Settings!$B$17)+IF(Settings!$B$19="",0,SUMIFS(INDEX('Oxford Economics'!$A$7:$AZ$1000,0,IFERROR(MATCH(W$5,'Oxford Economics'!$A$6:$AZ$6,0),MATCH(W$5&amp;"",'Oxford Economics'!$A$6:$AZ$6,0))),'Oxford Economics'!$A$7:$A$1000,$C43,'Oxford Economics'!$B$7:$B$1000,Settings!$B$19)))),""))</f>
        <v>1429.49</v>
      </c>
      <c r="X43" s="38" t="n">
        <f aca="false">IF($A43="","",IFERROR(1/(1/IF($B43="Residential",SUMIFS(INDEX('Oxford Economics'!$A$7:$AZ$1000,0,IFERROR(MATCH(X$5,'Oxford Economics'!$A$6:$AZ$6,0),MATCH(X$5&amp;"",'Oxford Economics'!$A$6:$AZ$6,0))),'Oxford Economics'!$A$7:$A$1000,$C43,'Oxford Economics'!$B$7:$B$1000,Settings!$B$13)-SUMIFS(INDEX('Oxford Economics'!$A$7:$AZ$1000,0,IFERROR(MATCH(X$5,'Oxford Economics'!$A$6:$AZ$6,0),MATCH(X$5&amp;"",'Oxford Economics'!$A$6:$AZ$6,0))),'Oxford Economics'!$A$7:$A$1000,$C43,'Oxford Economics'!$B$7:$B$1000,Settings!$B$15),SUMIFS(INDEX('Oxford Economics'!$A$7:$AZ$1000,0,IFERROR(MATCH(X$5,'Oxford Economics'!$A$6:$AZ$6,0),MATCH(X$5&amp;"",'Oxford Economics'!$A$6:$AZ$6,0))),'Oxford Economics'!$A$7:$A$1000,$C43,'Oxford Economics'!$B$7:$B$1000,Settings!$B$15)+SUMIFS(INDEX('Oxford Economics'!$A$7:$AZ$1000,0,IFERROR(MATCH(X$5,'Oxford Economics'!$A$6:$AZ$6,0),MATCH(X$5&amp;"",'Oxford Economics'!$A$6:$AZ$6,0))),'Oxford Economics'!$A$7:$A$1000,$C43,'Oxford Economics'!$B$7:$B$1000,Settings!$B$17)+IF(Settings!$B$19="",0,SUMIFS(INDEX('Oxford Economics'!$A$7:$AZ$1000,0,IFERROR(MATCH(X$5,'Oxford Economics'!$A$6:$AZ$6,0),MATCH(X$5&amp;"",'Oxford Economics'!$A$6:$AZ$6,0))),'Oxford Economics'!$A$7:$A$1000,$C43,'Oxford Economics'!$B$7:$B$1000,Settings!$B$19)))),""))</f>
        <v>1508.13</v>
      </c>
      <c r="Y43" s="38" t="n">
        <f aca="false">IF($A43="","",IFERROR(1/(1/IF($B43="Residential",SUMIFS(INDEX('Oxford Economics'!$A$7:$AZ$1000,0,IFERROR(MATCH(Y$5,'Oxford Economics'!$A$6:$AZ$6,0),MATCH(Y$5&amp;"",'Oxford Economics'!$A$6:$AZ$6,0))),'Oxford Economics'!$A$7:$A$1000,$C43,'Oxford Economics'!$B$7:$B$1000,Settings!$B$13)-SUMIFS(INDEX('Oxford Economics'!$A$7:$AZ$1000,0,IFERROR(MATCH(Y$5,'Oxford Economics'!$A$6:$AZ$6,0),MATCH(Y$5&amp;"",'Oxford Economics'!$A$6:$AZ$6,0))),'Oxford Economics'!$A$7:$A$1000,$C43,'Oxford Economics'!$B$7:$B$1000,Settings!$B$15),SUMIFS(INDEX('Oxford Economics'!$A$7:$AZ$1000,0,IFERROR(MATCH(Y$5,'Oxford Economics'!$A$6:$AZ$6,0),MATCH(Y$5&amp;"",'Oxford Economics'!$A$6:$AZ$6,0))),'Oxford Economics'!$A$7:$A$1000,$C43,'Oxford Economics'!$B$7:$B$1000,Settings!$B$15)+SUMIFS(INDEX('Oxford Economics'!$A$7:$AZ$1000,0,IFERROR(MATCH(Y$5,'Oxford Economics'!$A$6:$AZ$6,0),MATCH(Y$5&amp;"",'Oxford Economics'!$A$6:$AZ$6,0))),'Oxford Economics'!$A$7:$A$1000,$C43,'Oxford Economics'!$B$7:$B$1000,Settings!$B$17)+IF(Settings!$B$19="",0,SUMIFS(INDEX('Oxford Economics'!$A$7:$AZ$1000,0,IFERROR(MATCH(Y$5,'Oxford Economics'!$A$6:$AZ$6,0),MATCH(Y$5&amp;"",'Oxford Economics'!$A$6:$AZ$6,0))),'Oxford Economics'!$A$7:$A$1000,$C43,'Oxford Economics'!$B$7:$B$1000,Settings!$B$19)))),""))</f>
        <v>1547.79</v>
      </c>
      <c r="Z43" s="38" t="n">
        <f aca="false">IF($A43="","",IFERROR(1/(1/IF($B43="Residential",SUMIFS(INDEX('Oxford Economics'!$A$7:$AZ$1000,0,IFERROR(MATCH(Z$5,'Oxford Economics'!$A$6:$AZ$6,0),MATCH(Z$5&amp;"",'Oxford Economics'!$A$6:$AZ$6,0))),'Oxford Economics'!$A$7:$A$1000,$C43,'Oxford Economics'!$B$7:$B$1000,Settings!$B$13)-SUMIFS(INDEX('Oxford Economics'!$A$7:$AZ$1000,0,IFERROR(MATCH(Z$5,'Oxford Economics'!$A$6:$AZ$6,0),MATCH(Z$5&amp;"",'Oxford Economics'!$A$6:$AZ$6,0))),'Oxford Economics'!$A$7:$A$1000,$C43,'Oxford Economics'!$B$7:$B$1000,Settings!$B$15),SUMIFS(INDEX('Oxford Economics'!$A$7:$AZ$1000,0,IFERROR(MATCH(Z$5,'Oxford Economics'!$A$6:$AZ$6,0),MATCH(Z$5&amp;"",'Oxford Economics'!$A$6:$AZ$6,0))),'Oxford Economics'!$A$7:$A$1000,$C43,'Oxford Economics'!$B$7:$B$1000,Settings!$B$15)+SUMIFS(INDEX('Oxford Economics'!$A$7:$AZ$1000,0,IFERROR(MATCH(Z$5,'Oxford Economics'!$A$6:$AZ$6,0),MATCH(Z$5&amp;"",'Oxford Economics'!$A$6:$AZ$6,0))),'Oxford Economics'!$A$7:$A$1000,$C43,'Oxford Economics'!$B$7:$B$1000,Settings!$B$17)+IF(Settings!$B$19="",0,SUMIFS(INDEX('Oxford Economics'!$A$7:$AZ$1000,0,IFERROR(MATCH(Z$5,'Oxford Economics'!$A$6:$AZ$6,0),MATCH(Z$5&amp;"",'Oxford Economics'!$A$6:$AZ$6,0))),'Oxford Economics'!$A$7:$A$1000,$C43,'Oxford Economics'!$B$7:$B$1000,Settings!$B$19)))),""))</f>
        <v>1570.63</v>
      </c>
      <c r="AA43" s="38" t="n">
        <f aca="false">IF($A43="","",IFERROR(1/(1/IF($B43="Residential",SUMIFS(INDEX('Oxford Economics'!$A$7:$AZ$1000,0,IFERROR(MATCH(AA$5,'Oxford Economics'!$A$6:$AZ$6,0),MATCH(AA$5&amp;"",'Oxford Economics'!$A$6:$AZ$6,0))),'Oxford Economics'!$A$7:$A$1000,$C43,'Oxford Economics'!$B$7:$B$1000,Settings!$B$13)-SUMIFS(INDEX('Oxford Economics'!$A$7:$AZ$1000,0,IFERROR(MATCH(AA$5,'Oxford Economics'!$A$6:$AZ$6,0),MATCH(AA$5&amp;"",'Oxford Economics'!$A$6:$AZ$6,0))),'Oxford Economics'!$A$7:$A$1000,$C43,'Oxford Economics'!$B$7:$B$1000,Settings!$B$15),SUMIFS(INDEX('Oxford Economics'!$A$7:$AZ$1000,0,IFERROR(MATCH(AA$5,'Oxford Economics'!$A$6:$AZ$6,0),MATCH(AA$5&amp;"",'Oxford Economics'!$A$6:$AZ$6,0))),'Oxford Economics'!$A$7:$A$1000,$C43,'Oxford Economics'!$B$7:$B$1000,Settings!$B$15)+SUMIFS(INDEX('Oxford Economics'!$A$7:$AZ$1000,0,IFERROR(MATCH(AA$5,'Oxford Economics'!$A$6:$AZ$6,0),MATCH(AA$5&amp;"",'Oxford Economics'!$A$6:$AZ$6,0))),'Oxford Economics'!$A$7:$A$1000,$C43,'Oxford Economics'!$B$7:$B$1000,Settings!$B$17)+IF(Settings!$B$19="",0,SUMIFS(INDEX('Oxford Economics'!$A$7:$AZ$1000,0,IFERROR(MATCH(AA$5,'Oxford Economics'!$A$6:$AZ$6,0),MATCH(AA$5&amp;"",'Oxford Economics'!$A$6:$AZ$6,0))),'Oxford Economics'!$A$7:$A$1000,$C43,'Oxford Economics'!$B$7:$B$1000,Settings!$B$19)))),""))</f>
        <v>1604.81</v>
      </c>
      <c r="AB43" s="38" t="n">
        <f aca="false">IF($A43="","",IFERROR(1/(1/IF($B43="Residential",SUMIFS(INDEX('Oxford Economics'!$A$7:$AZ$1000,0,IFERROR(MATCH(AB$5,'Oxford Economics'!$A$6:$AZ$6,0),MATCH(AB$5&amp;"",'Oxford Economics'!$A$6:$AZ$6,0))),'Oxford Economics'!$A$7:$A$1000,$C43,'Oxford Economics'!$B$7:$B$1000,Settings!$B$12)-SUMIFS(INDEX('Oxford Economics'!$A$7:$AZ$1000,0,IFERROR(MATCH(AB$5,'Oxford Economics'!$A$6:$AZ$6,0),MATCH(AB$5&amp;"",'Oxford Economics'!$A$6:$AZ$6,0))),'Oxford Economics'!$A$7:$A$1000,$C43,'Oxford Economics'!$B$7:$B$1000,Settings!$B$14),SUMIFS(INDEX('Oxford Economics'!$A$7:$AZ$1000,0,IFERROR(MATCH(AB$5,'Oxford Economics'!$A$6:$AZ$6,0),MATCH(AB$5&amp;"",'Oxford Economics'!$A$6:$AZ$6,0))),'Oxford Economics'!$A$7:$A$1000,$C43,'Oxford Economics'!$B$7:$B$1000,Settings!$B$14)+SUMIFS(INDEX('Oxford Economics'!$A$7:$AZ$1000,0,IFERROR(MATCH(AB$5,'Oxford Economics'!$A$6:$AZ$6,0),MATCH(AB$5&amp;"",'Oxford Economics'!$A$6:$AZ$6,0))),'Oxford Economics'!$A$7:$A$1000,$C43,'Oxford Economics'!$B$7:$B$1000,Settings!$B$16)+IF(Settings!$B$18="",0,SUMIFS(INDEX('Oxford Economics'!$A$7:$AZ$1000,0,IFERROR(MATCH(AB$5,'Oxford Economics'!$A$6:$AZ$6,0),MATCH(AB$5&amp;"",'Oxford Economics'!$A$6:$AZ$6,0))),'Oxford Economics'!$A$7:$A$1000,$C43,'Oxford Economics'!$B$7:$B$1000,Settings!$B$18)))),""))</f>
        <v>673.72</v>
      </c>
      <c r="AC43" s="38" t="n">
        <f aca="false">IF($A43="","",IFERROR(1/(1/IF($B43="Residential",SUMIFS(INDEX('Oxford Economics'!$A$7:$AZ$1000,0,IFERROR(MATCH(AC$5,'Oxford Economics'!$A$6:$AZ$6,0),MATCH(AC$5&amp;"",'Oxford Economics'!$A$6:$AZ$6,0))),'Oxford Economics'!$A$7:$A$1000,$C43,'Oxford Economics'!$B$7:$B$1000,Settings!$B$12)-SUMIFS(INDEX('Oxford Economics'!$A$7:$AZ$1000,0,IFERROR(MATCH(AC$5,'Oxford Economics'!$A$6:$AZ$6,0),MATCH(AC$5&amp;"",'Oxford Economics'!$A$6:$AZ$6,0))),'Oxford Economics'!$A$7:$A$1000,$C43,'Oxford Economics'!$B$7:$B$1000,Settings!$B$14),SUMIFS(INDEX('Oxford Economics'!$A$7:$AZ$1000,0,IFERROR(MATCH(AC$5,'Oxford Economics'!$A$6:$AZ$6,0),MATCH(AC$5&amp;"",'Oxford Economics'!$A$6:$AZ$6,0))),'Oxford Economics'!$A$7:$A$1000,$C43,'Oxford Economics'!$B$7:$B$1000,Settings!$B$14)+SUMIFS(INDEX('Oxford Economics'!$A$7:$AZ$1000,0,IFERROR(MATCH(AC$5,'Oxford Economics'!$A$6:$AZ$6,0),MATCH(AC$5&amp;"",'Oxford Economics'!$A$6:$AZ$6,0))),'Oxford Economics'!$A$7:$A$1000,$C43,'Oxford Economics'!$B$7:$B$1000,Settings!$B$16)+IF(Settings!$B$18="",0,SUMIFS(INDEX('Oxford Economics'!$A$7:$AZ$1000,0,IFERROR(MATCH(AC$5,'Oxford Economics'!$A$6:$AZ$6,0),MATCH(AC$5&amp;"",'Oxford Economics'!$A$6:$AZ$6,0))),'Oxford Economics'!$A$7:$A$1000,$C43,'Oxford Economics'!$B$7:$B$1000,Settings!$B$18)))),""))</f>
        <v>813.01</v>
      </c>
      <c r="AD43" s="38" t="n">
        <f aca="false">IF($A43="","",IFERROR(1/(1/IF($B43="Residential",SUMIFS(INDEX('Oxford Economics'!$A$7:$AZ$1000,0,IFERROR(MATCH(AD$5,'Oxford Economics'!$A$6:$AZ$6,0),MATCH(AD$5&amp;"",'Oxford Economics'!$A$6:$AZ$6,0))),'Oxford Economics'!$A$7:$A$1000,$C43,'Oxford Economics'!$B$7:$B$1000,Settings!$B$12)-SUMIFS(INDEX('Oxford Economics'!$A$7:$AZ$1000,0,IFERROR(MATCH(AD$5,'Oxford Economics'!$A$6:$AZ$6,0),MATCH(AD$5&amp;"",'Oxford Economics'!$A$6:$AZ$6,0))),'Oxford Economics'!$A$7:$A$1000,$C43,'Oxford Economics'!$B$7:$B$1000,Settings!$B$14),SUMIFS(INDEX('Oxford Economics'!$A$7:$AZ$1000,0,IFERROR(MATCH(AD$5,'Oxford Economics'!$A$6:$AZ$6,0),MATCH(AD$5&amp;"",'Oxford Economics'!$A$6:$AZ$6,0))),'Oxford Economics'!$A$7:$A$1000,$C43,'Oxford Economics'!$B$7:$B$1000,Settings!$B$14)+SUMIFS(INDEX('Oxford Economics'!$A$7:$AZ$1000,0,IFERROR(MATCH(AD$5,'Oxford Economics'!$A$6:$AZ$6,0),MATCH(AD$5&amp;"",'Oxford Economics'!$A$6:$AZ$6,0))),'Oxford Economics'!$A$7:$A$1000,$C43,'Oxford Economics'!$B$7:$B$1000,Settings!$B$16)+IF(Settings!$B$18="",0,SUMIFS(INDEX('Oxford Economics'!$A$7:$AZ$1000,0,IFERROR(MATCH(AD$5,'Oxford Economics'!$A$6:$AZ$6,0),MATCH(AD$5&amp;"",'Oxford Economics'!$A$6:$AZ$6,0))),'Oxford Economics'!$A$7:$A$1000,$C43,'Oxford Economics'!$B$7:$B$1000,Settings!$B$18)))),""))</f>
        <v>799.38</v>
      </c>
      <c r="AE43" s="38" t="n">
        <f aca="false">IF($A43="","",IFERROR(1/(1/IF($B43="Residential",SUMIFS(INDEX('Oxford Economics'!$A$7:$AZ$1000,0,IFERROR(MATCH(AE$5,'Oxford Economics'!$A$6:$AZ$6,0),MATCH(AE$5&amp;"",'Oxford Economics'!$A$6:$AZ$6,0))),'Oxford Economics'!$A$7:$A$1000,$C43,'Oxford Economics'!$B$7:$B$1000,Settings!$B$12)-SUMIFS(INDEX('Oxford Economics'!$A$7:$AZ$1000,0,IFERROR(MATCH(AE$5,'Oxford Economics'!$A$6:$AZ$6,0),MATCH(AE$5&amp;"",'Oxford Economics'!$A$6:$AZ$6,0))),'Oxford Economics'!$A$7:$A$1000,$C43,'Oxford Economics'!$B$7:$B$1000,Settings!$B$14),SUMIFS(INDEX('Oxford Economics'!$A$7:$AZ$1000,0,IFERROR(MATCH(AE$5,'Oxford Economics'!$A$6:$AZ$6,0),MATCH(AE$5&amp;"",'Oxford Economics'!$A$6:$AZ$6,0))),'Oxford Economics'!$A$7:$A$1000,$C43,'Oxford Economics'!$B$7:$B$1000,Settings!$B$14)+SUMIFS(INDEX('Oxford Economics'!$A$7:$AZ$1000,0,IFERROR(MATCH(AE$5,'Oxford Economics'!$A$6:$AZ$6,0),MATCH(AE$5&amp;"",'Oxford Economics'!$A$6:$AZ$6,0))),'Oxford Economics'!$A$7:$A$1000,$C43,'Oxford Economics'!$B$7:$B$1000,Settings!$B$16)+IF(Settings!$B$18="",0,SUMIFS(INDEX('Oxford Economics'!$A$7:$AZ$1000,0,IFERROR(MATCH(AE$5,'Oxford Economics'!$A$6:$AZ$6,0),MATCH(AE$5&amp;"",'Oxford Economics'!$A$6:$AZ$6,0))),'Oxford Economics'!$A$7:$A$1000,$C43,'Oxford Economics'!$B$7:$B$1000,Settings!$B$18)))),""))</f>
        <v>466.91</v>
      </c>
      <c r="AF43" s="38" t="n">
        <f aca="false">IF($A43="","",IFERROR(1/(1/IF($B43="Residential",SUMIFS(INDEX('Oxford Economics'!$A$7:$AZ$1000,0,IFERROR(MATCH(AF$5,'Oxford Economics'!$A$6:$AZ$6,0),MATCH(AF$5&amp;"",'Oxford Economics'!$A$6:$AZ$6,0))),'Oxford Economics'!$A$7:$A$1000,$C43,'Oxford Economics'!$B$7:$B$1000,Settings!$B$12)-SUMIFS(INDEX('Oxford Economics'!$A$7:$AZ$1000,0,IFERROR(MATCH(AF$5,'Oxford Economics'!$A$6:$AZ$6,0),MATCH(AF$5&amp;"",'Oxford Economics'!$A$6:$AZ$6,0))),'Oxford Economics'!$A$7:$A$1000,$C43,'Oxford Economics'!$B$7:$B$1000,Settings!$B$14),SUMIFS(INDEX('Oxford Economics'!$A$7:$AZ$1000,0,IFERROR(MATCH(AF$5,'Oxford Economics'!$A$6:$AZ$6,0),MATCH(AF$5&amp;"",'Oxford Economics'!$A$6:$AZ$6,0))),'Oxford Economics'!$A$7:$A$1000,$C43,'Oxford Economics'!$B$7:$B$1000,Settings!$B$14)+SUMIFS(INDEX('Oxford Economics'!$A$7:$AZ$1000,0,IFERROR(MATCH(AF$5,'Oxford Economics'!$A$6:$AZ$6,0),MATCH(AF$5&amp;"",'Oxford Economics'!$A$6:$AZ$6,0))),'Oxford Economics'!$A$7:$A$1000,$C43,'Oxford Economics'!$B$7:$B$1000,Settings!$B$16)+IF(Settings!$B$18="",0,SUMIFS(INDEX('Oxford Economics'!$A$7:$AZ$1000,0,IFERROR(MATCH(AF$5,'Oxford Economics'!$A$6:$AZ$6,0),MATCH(AF$5&amp;"",'Oxford Economics'!$A$6:$AZ$6,0))),'Oxford Economics'!$A$7:$A$1000,$C43,'Oxford Economics'!$B$7:$B$1000,Settings!$B$18)))),""))</f>
        <v>345.83</v>
      </c>
      <c r="AG43" s="38" t="n">
        <f aca="false">IF($A43="","",IFERROR(1/(1/IF($B43="Residential",SUMIFS(INDEX('Oxford Economics'!$A$7:$AZ$1000,0,IFERROR(MATCH(AG$5,'Oxford Economics'!$A$6:$AZ$6,0),MATCH(AG$5&amp;"",'Oxford Economics'!$A$6:$AZ$6,0))),'Oxford Economics'!$A$7:$A$1000,$C43,'Oxford Economics'!$B$7:$B$1000,Settings!$B$12)-SUMIFS(INDEX('Oxford Economics'!$A$7:$AZ$1000,0,IFERROR(MATCH(AG$5,'Oxford Economics'!$A$6:$AZ$6,0),MATCH(AG$5&amp;"",'Oxford Economics'!$A$6:$AZ$6,0))),'Oxford Economics'!$A$7:$A$1000,$C43,'Oxford Economics'!$B$7:$B$1000,Settings!$B$14),SUMIFS(INDEX('Oxford Economics'!$A$7:$AZ$1000,0,IFERROR(MATCH(AG$5,'Oxford Economics'!$A$6:$AZ$6,0),MATCH(AG$5&amp;"",'Oxford Economics'!$A$6:$AZ$6,0))),'Oxford Economics'!$A$7:$A$1000,$C43,'Oxford Economics'!$B$7:$B$1000,Settings!$B$14)+SUMIFS(INDEX('Oxford Economics'!$A$7:$AZ$1000,0,IFERROR(MATCH(AG$5,'Oxford Economics'!$A$6:$AZ$6,0),MATCH(AG$5&amp;"",'Oxford Economics'!$A$6:$AZ$6,0))),'Oxford Economics'!$A$7:$A$1000,$C43,'Oxford Economics'!$B$7:$B$1000,Settings!$B$16)+IF(Settings!$B$18="",0,SUMIFS(INDEX('Oxford Economics'!$A$7:$AZ$1000,0,IFERROR(MATCH(AG$5,'Oxford Economics'!$A$6:$AZ$6,0),MATCH(AG$5&amp;"",'Oxford Economics'!$A$6:$AZ$6,0))),'Oxford Economics'!$A$7:$A$1000,$C43,'Oxford Economics'!$B$7:$B$1000,Settings!$B$18)))),""))</f>
        <v>338.11</v>
      </c>
      <c r="AH43" s="38" t="n">
        <f aca="false">IF($A43="","",IFERROR(1/(1/IF($B43="Residential",SUMIFS(INDEX('Oxford Economics'!$A$7:$AZ$1000,0,IFERROR(MATCH(AH$5,'Oxford Economics'!$A$6:$AZ$6,0),MATCH(AH$5&amp;"",'Oxford Economics'!$A$6:$AZ$6,0))),'Oxford Economics'!$A$7:$A$1000,$C43,'Oxford Economics'!$B$7:$B$1000,Settings!$B$12)-SUMIFS(INDEX('Oxford Economics'!$A$7:$AZ$1000,0,IFERROR(MATCH(AH$5,'Oxford Economics'!$A$6:$AZ$6,0),MATCH(AH$5&amp;"",'Oxford Economics'!$A$6:$AZ$6,0))),'Oxford Economics'!$A$7:$A$1000,$C43,'Oxford Economics'!$B$7:$B$1000,Settings!$B$14),SUMIFS(INDEX('Oxford Economics'!$A$7:$AZ$1000,0,IFERROR(MATCH(AH$5,'Oxford Economics'!$A$6:$AZ$6,0),MATCH(AH$5&amp;"",'Oxford Economics'!$A$6:$AZ$6,0))),'Oxford Economics'!$A$7:$A$1000,$C43,'Oxford Economics'!$B$7:$B$1000,Settings!$B$14)+SUMIFS(INDEX('Oxford Economics'!$A$7:$AZ$1000,0,IFERROR(MATCH(AH$5,'Oxford Economics'!$A$6:$AZ$6,0),MATCH(AH$5&amp;"",'Oxford Economics'!$A$6:$AZ$6,0))),'Oxford Economics'!$A$7:$A$1000,$C43,'Oxford Economics'!$B$7:$B$1000,Settings!$B$16)+IF(Settings!$B$18="",0,SUMIFS(INDEX('Oxford Economics'!$A$7:$AZ$1000,0,IFERROR(MATCH(AH$5,'Oxford Economics'!$A$6:$AZ$6,0),MATCH(AH$5&amp;"",'Oxford Economics'!$A$6:$AZ$6,0))),'Oxford Economics'!$A$7:$A$1000,$C43,'Oxford Economics'!$B$7:$B$1000,Settings!$B$18)))),""))</f>
        <v>309.96</v>
      </c>
      <c r="AI43" s="38" t="n">
        <f aca="false">IF($A43="","",IFERROR(1/(1/IF($B43="Residential",SUMIFS(INDEX('Oxford Economics'!$A$7:$AZ$1000,0,IFERROR(MATCH(AI$5,'Oxford Economics'!$A$6:$AZ$6,0),MATCH(AI$5&amp;"",'Oxford Economics'!$A$6:$AZ$6,0))),'Oxford Economics'!$A$7:$A$1000,$C43,'Oxford Economics'!$B$7:$B$1000,Settings!$B$12)-SUMIFS(INDEX('Oxford Economics'!$A$7:$AZ$1000,0,IFERROR(MATCH(AI$5,'Oxford Economics'!$A$6:$AZ$6,0),MATCH(AI$5&amp;"",'Oxford Economics'!$A$6:$AZ$6,0))),'Oxford Economics'!$A$7:$A$1000,$C43,'Oxford Economics'!$B$7:$B$1000,Settings!$B$14),SUMIFS(INDEX('Oxford Economics'!$A$7:$AZ$1000,0,IFERROR(MATCH(AI$5,'Oxford Economics'!$A$6:$AZ$6,0),MATCH(AI$5&amp;"",'Oxford Economics'!$A$6:$AZ$6,0))),'Oxford Economics'!$A$7:$A$1000,$C43,'Oxford Economics'!$B$7:$B$1000,Settings!$B$14)+SUMIFS(INDEX('Oxford Economics'!$A$7:$AZ$1000,0,IFERROR(MATCH(AI$5,'Oxford Economics'!$A$6:$AZ$6,0),MATCH(AI$5&amp;"",'Oxford Economics'!$A$6:$AZ$6,0))),'Oxford Economics'!$A$7:$A$1000,$C43,'Oxford Economics'!$B$7:$B$1000,Settings!$B$16)+IF(Settings!$B$18="",0,SUMIFS(INDEX('Oxford Economics'!$A$7:$AZ$1000,0,IFERROR(MATCH(AI$5,'Oxford Economics'!$A$6:$AZ$6,0),MATCH(AI$5&amp;"",'Oxford Economics'!$A$6:$AZ$6,0))),'Oxford Economics'!$A$7:$A$1000,$C43,'Oxford Economics'!$B$7:$B$1000,Settings!$B$18)))),""))</f>
        <v>305.72</v>
      </c>
      <c r="AJ43" s="38" t="n">
        <f aca="false">IF($A43="","",IFERROR(1/(1/IF($B43="Residential",SUMIFS(INDEX('Oxford Economics'!$A$7:$AZ$1000,0,IFERROR(MATCH(AJ$5,'Oxford Economics'!$A$6:$AZ$6,0),MATCH(AJ$5&amp;"",'Oxford Economics'!$A$6:$AZ$6,0))),'Oxford Economics'!$A$7:$A$1000,$C43,'Oxford Economics'!$B$7:$B$1000,Settings!$B$12)-SUMIFS(INDEX('Oxford Economics'!$A$7:$AZ$1000,0,IFERROR(MATCH(AJ$5,'Oxford Economics'!$A$6:$AZ$6,0),MATCH(AJ$5&amp;"",'Oxford Economics'!$A$6:$AZ$6,0))),'Oxford Economics'!$A$7:$A$1000,$C43,'Oxford Economics'!$B$7:$B$1000,Settings!$B$14),SUMIFS(INDEX('Oxford Economics'!$A$7:$AZ$1000,0,IFERROR(MATCH(AJ$5,'Oxford Economics'!$A$6:$AZ$6,0),MATCH(AJ$5&amp;"",'Oxford Economics'!$A$6:$AZ$6,0))),'Oxford Economics'!$A$7:$A$1000,$C43,'Oxford Economics'!$B$7:$B$1000,Settings!$B$14)+SUMIFS(INDEX('Oxford Economics'!$A$7:$AZ$1000,0,IFERROR(MATCH(AJ$5,'Oxford Economics'!$A$6:$AZ$6,0),MATCH(AJ$5&amp;"",'Oxford Economics'!$A$6:$AZ$6,0))),'Oxford Economics'!$A$7:$A$1000,$C43,'Oxford Economics'!$B$7:$B$1000,Settings!$B$16)+IF(Settings!$B$18="",0,SUMIFS(INDEX('Oxford Economics'!$A$7:$AZ$1000,0,IFERROR(MATCH(AJ$5,'Oxford Economics'!$A$6:$AZ$6,0),MATCH(AJ$5&amp;"",'Oxford Economics'!$A$6:$AZ$6,0))),'Oxford Economics'!$A$7:$A$1000,$C43,'Oxford Economics'!$B$7:$B$1000,Settings!$B$18)))),""))</f>
        <v>326.98</v>
      </c>
      <c r="AK43" s="38" t="n">
        <f aca="false">IF($A43="","",IFERROR(1/(1/IF($B43="Residential",SUMIFS(INDEX('Oxford Economics'!$A$7:$AZ$1000,0,IFERROR(MATCH(AK$5,'Oxford Economics'!$A$6:$AZ$6,0),MATCH(AK$5&amp;"",'Oxford Economics'!$A$6:$AZ$6,0))),'Oxford Economics'!$A$7:$A$1000,$C43,'Oxford Economics'!$B$7:$B$1000,Settings!$B$12)-SUMIFS(INDEX('Oxford Economics'!$A$7:$AZ$1000,0,IFERROR(MATCH(AK$5,'Oxford Economics'!$A$6:$AZ$6,0),MATCH(AK$5&amp;"",'Oxford Economics'!$A$6:$AZ$6,0))),'Oxford Economics'!$A$7:$A$1000,$C43,'Oxford Economics'!$B$7:$B$1000,Settings!$B$14),SUMIFS(INDEX('Oxford Economics'!$A$7:$AZ$1000,0,IFERROR(MATCH(AK$5,'Oxford Economics'!$A$6:$AZ$6,0),MATCH(AK$5&amp;"",'Oxford Economics'!$A$6:$AZ$6,0))),'Oxford Economics'!$A$7:$A$1000,$C43,'Oxford Economics'!$B$7:$B$1000,Settings!$B$14)+SUMIFS(INDEX('Oxford Economics'!$A$7:$AZ$1000,0,IFERROR(MATCH(AK$5,'Oxford Economics'!$A$6:$AZ$6,0),MATCH(AK$5&amp;"",'Oxford Economics'!$A$6:$AZ$6,0))),'Oxford Economics'!$A$7:$A$1000,$C43,'Oxford Economics'!$B$7:$B$1000,Settings!$B$16)+IF(Settings!$B$18="",0,SUMIFS(INDEX('Oxford Economics'!$A$7:$AZ$1000,0,IFERROR(MATCH(AK$5,'Oxford Economics'!$A$6:$AZ$6,0),MATCH(AK$5&amp;"",'Oxford Economics'!$A$6:$AZ$6,0))),'Oxford Economics'!$A$7:$A$1000,$C43,'Oxford Economics'!$B$7:$B$1000,Settings!$B$18)))),""))</f>
        <v>348.79</v>
      </c>
      <c r="AL43" s="38" t="n">
        <f aca="false">IF($A43="","",IFERROR(1/(1/IF($B43="Residential",SUMIFS(INDEX('Oxford Economics'!$A$7:$AZ$1000,0,IFERROR(MATCH(AL$5,'Oxford Economics'!$A$6:$AZ$6,0),MATCH(AL$5&amp;"",'Oxford Economics'!$A$6:$AZ$6,0))),'Oxford Economics'!$A$7:$A$1000,$C43,'Oxford Economics'!$B$7:$B$1000,Settings!$B$12)-SUMIFS(INDEX('Oxford Economics'!$A$7:$AZ$1000,0,IFERROR(MATCH(AL$5,'Oxford Economics'!$A$6:$AZ$6,0),MATCH(AL$5&amp;"",'Oxford Economics'!$A$6:$AZ$6,0))),'Oxford Economics'!$A$7:$A$1000,$C43,'Oxford Economics'!$B$7:$B$1000,Settings!$B$14),SUMIFS(INDEX('Oxford Economics'!$A$7:$AZ$1000,0,IFERROR(MATCH(AL$5,'Oxford Economics'!$A$6:$AZ$6,0),MATCH(AL$5&amp;"",'Oxford Economics'!$A$6:$AZ$6,0))),'Oxford Economics'!$A$7:$A$1000,$C43,'Oxford Economics'!$B$7:$B$1000,Settings!$B$14)+SUMIFS(INDEX('Oxford Economics'!$A$7:$AZ$1000,0,IFERROR(MATCH(AL$5,'Oxford Economics'!$A$6:$AZ$6,0),MATCH(AL$5&amp;"",'Oxford Economics'!$A$6:$AZ$6,0))),'Oxford Economics'!$A$7:$A$1000,$C43,'Oxford Economics'!$B$7:$B$1000,Settings!$B$16)+IF(Settings!$B$18="",0,SUMIFS(INDEX('Oxford Economics'!$A$7:$AZ$1000,0,IFERROR(MATCH(AL$5,'Oxford Economics'!$A$6:$AZ$6,0),MATCH(AL$5&amp;"",'Oxford Economics'!$A$6:$AZ$6,0))),'Oxford Economics'!$A$7:$A$1000,$C43,'Oxford Economics'!$B$7:$B$1000,Settings!$B$18)))),""))</f>
        <v>376.03</v>
      </c>
      <c r="AM43" s="38" t="n">
        <f aca="false">IF($A43="","",IFERROR(1/(1/IF($B43="Residential",SUMIFS(INDEX('Oxford Economics'!$A$7:$AZ$1000,0,IFERROR(MATCH(AM$5,'Oxford Economics'!$A$6:$AZ$6,0),MATCH(AM$5&amp;"",'Oxford Economics'!$A$6:$AZ$6,0))),'Oxford Economics'!$A$7:$A$1000,$C43,'Oxford Economics'!$B$7:$B$1000,Settings!$B$12)-SUMIFS(INDEX('Oxford Economics'!$A$7:$AZ$1000,0,IFERROR(MATCH(AM$5,'Oxford Economics'!$A$6:$AZ$6,0),MATCH(AM$5&amp;"",'Oxford Economics'!$A$6:$AZ$6,0))),'Oxford Economics'!$A$7:$A$1000,$C43,'Oxford Economics'!$B$7:$B$1000,Settings!$B$14),SUMIFS(INDEX('Oxford Economics'!$A$7:$AZ$1000,0,IFERROR(MATCH(AM$5,'Oxford Economics'!$A$6:$AZ$6,0),MATCH(AM$5&amp;"",'Oxford Economics'!$A$6:$AZ$6,0))),'Oxford Economics'!$A$7:$A$1000,$C43,'Oxford Economics'!$B$7:$B$1000,Settings!$B$14)+SUMIFS(INDEX('Oxford Economics'!$A$7:$AZ$1000,0,IFERROR(MATCH(AM$5,'Oxford Economics'!$A$6:$AZ$6,0),MATCH(AM$5&amp;"",'Oxford Economics'!$A$6:$AZ$6,0))),'Oxford Economics'!$A$7:$A$1000,$C43,'Oxford Economics'!$B$7:$B$1000,Settings!$B$16)+IF(Settings!$B$18="",0,SUMIFS(INDEX('Oxford Economics'!$A$7:$AZ$1000,0,IFERROR(MATCH(AM$5,'Oxford Economics'!$A$6:$AZ$6,0),MATCH(AM$5&amp;"",'Oxford Economics'!$A$6:$AZ$6,0))),'Oxford Economics'!$A$7:$A$1000,$C43,'Oxford Economics'!$B$7:$B$1000,Settings!$B$18)))),""))</f>
        <v>403.32</v>
      </c>
    </row>
    <row r="44" customFormat="false" ht="15" hidden="false" customHeight="false" outlineLevel="0" collapsed="false">
      <c r="A44" s="37" t="str">
        <f aca="false">IF('Raw data'!$A44="","",'Raw data'!$A44)</f>
        <v>Finland</v>
      </c>
      <c r="B44" s="37" t="str">
        <f aca="false">IF($A44="","",'Raw data'!$C44)</f>
        <v>Residential</v>
      </c>
      <c r="C44" s="37" t="str">
        <f aca="false">IF($A44="","",IF('Raw data'!$E44="",$A44,'Raw data'!$E44))</f>
        <v>Finland</v>
      </c>
      <c r="D44" s="38" t="n">
        <f aca="false">IF($A44="","",IF(AND(ISNUMBER(P44),ISNUMBER(AB44)),P44+AB44,""))</f>
        <v>2336.17</v>
      </c>
      <c r="E44" s="38" t="n">
        <f aca="false">IF($A44="","",IF(AND(ISNUMBER(Q44),ISNUMBER(AC44)),Q44+AC44,""))</f>
        <v>2387.37</v>
      </c>
      <c r="F44" s="38" t="n">
        <f aca="false">IF($A44="","",IF(AND(ISNUMBER(R44),ISNUMBER(AD44)),R44+AD44,""))</f>
        <v>2333.08</v>
      </c>
      <c r="G44" s="38" t="n">
        <f aca="false">IF($A44="","",IF(AND(ISNUMBER(S44),ISNUMBER(AE44)),S44+AE44,""))</f>
        <v>1976.85</v>
      </c>
      <c r="H44" s="38" t="n">
        <f aca="false">IF($A44="","",IF(AND(ISNUMBER(T44),ISNUMBER(AF44)),T44+AF44,""))</f>
        <v>1748.21</v>
      </c>
      <c r="I44" s="38" t="n">
        <f aca="false">IF($A44="","",IF(AND(ISNUMBER(U44),ISNUMBER(AG44)),U44+AG44,""))</f>
        <v>1692.48</v>
      </c>
      <c r="J44" s="38" t="n">
        <f aca="false">IF($A44="","",IF(AND(ISNUMBER(V44),ISNUMBER(AH44)),V44+AH44,""))</f>
        <v>1642.2</v>
      </c>
      <c r="K44" s="38" t="n">
        <f aca="false">IF($A44="","",IF(AND(ISNUMBER(W44),ISNUMBER(AI44)),W44+AI44,""))</f>
        <v>1735.21</v>
      </c>
      <c r="L44" s="38" t="n">
        <f aca="false">IF($A44="","",IF(AND(ISNUMBER(X44),ISNUMBER(AJ44)),X44+AJ44,""))</f>
        <v>1835.11</v>
      </c>
      <c r="M44" s="38" t="n">
        <f aca="false">IF($A44="","",IF(AND(ISNUMBER(Y44),ISNUMBER(AK44)),Y44+AK44,""))</f>
        <v>1896.58</v>
      </c>
      <c r="N44" s="38" t="n">
        <f aca="false">IF($A44="","",IF(AND(ISNUMBER(Z44),ISNUMBER(AL44)),Z44+AL44,""))</f>
        <v>1946.66</v>
      </c>
      <c r="O44" s="38" t="n">
        <f aca="false">IF($A44="","",IF(AND(ISNUMBER(AA44),ISNUMBER(AM44)),AA44+AM44,""))</f>
        <v>2008.13</v>
      </c>
      <c r="P44" s="38" t="n">
        <f aca="false">IF($A44="","",IFERROR(1/(1/IF($B44="Residential",SUMIFS(INDEX('Oxford Economics'!$A$7:$AZ$1000,0,IFERROR(MATCH(P$5,'Oxford Economics'!$A$6:$AZ$6,0),MATCH(P$5&amp;"",'Oxford Economics'!$A$6:$AZ$6,0))),'Oxford Economics'!$A$7:$A$1000,$C44,'Oxford Economics'!$B$7:$B$1000,Settings!$B$13)-SUMIFS(INDEX('Oxford Economics'!$A$7:$AZ$1000,0,IFERROR(MATCH(P$5,'Oxford Economics'!$A$6:$AZ$6,0),MATCH(P$5&amp;"",'Oxford Economics'!$A$6:$AZ$6,0))),'Oxford Economics'!$A$7:$A$1000,$C44,'Oxford Economics'!$B$7:$B$1000,Settings!$B$15),SUMIFS(INDEX('Oxford Economics'!$A$7:$AZ$1000,0,IFERROR(MATCH(P$5,'Oxford Economics'!$A$6:$AZ$6,0),MATCH(P$5&amp;"",'Oxford Economics'!$A$6:$AZ$6,0))),'Oxford Economics'!$A$7:$A$1000,$C44,'Oxford Economics'!$B$7:$B$1000,Settings!$B$15)+SUMIFS(INDEX('Oxford Economics'!$A$7:$AZ$1000,0,IFERROR(MATCH(P$5,'Oxford Economics'!$A$6:$AZ$6,0),MATCH(P$5&amp;"",'Oxford Economics'!$A$6:$AZ$6,0))),'Oxford Economics'!$A$7:$A$1000,$C44,'Oxford Economics'!$B$7:$B$1000,Settings!$B$17)+IF(Settings!$B$19="",0,SUMIFS(INDEX('Oxford Economics'!$A$7:$AZ$1000,0,IFERROR(MATCH(P$5,'Oxford Economics'!$A$6:$AZ$6,0),MATCH(P$5&amp;"",'Oxford Economics'!$A$6:$AZ$6,0))),'Oxford Economics'!$A$7:$A$1000,$C44,'Oxford Economics'!$B$7:$B$1000,Settings!$B$19)))),""))</f>
        <v>1662.45</v>
      </c>
      <c r="Q44" s="38" t="n">
        <f aca="false">IF($A44="","",IFERROR(1/(1/IF($B44="Residential",SUMIFS(INDEX('Oxford Economics'!$A$7:$AZ$1000,0,IFERROR(MATCH(Q$5,'Oxford Economics'!$A$6:$AZ$6,0),MATCH(Q$5&amp;"",'Oxford Economics'!$A$6:$AZ$6,0))),'Oxford Economics'!$A$7:$A$1000,$C44,'Oxford Economics'!$B$7:$B$1000,Settings!$B$13)-SUMIFS(INDEX('Oxford Economics'!$A$7:$AZ$1000,0,IFERROR(MATCH(Q$5,'Oxford Economics'!$A$6:$AZ$6,0),MATCH(Q$5&amp;"",'Oxford Economics'!$A$6:$AZ$6,0))),'Oxford Economics'!$A$7:$A$1000,$C44,'Oxford Economics'!$B$7:$B$1000,Settings!$B$15),SUMIFS(INDEX('Oxford Economics'!$A$7:$AZ$1000,0,IFERROR(MATCH(Q$5,'Oxford Economics'!$A$6:$AZ$6,0),MATCH(Q$5&amp;"",'Oxford Economics'!$A$6:$AZ$6,0))),'Oxford Economics'!$A$7:$A$1000,$C44,'Oxford Economics'!$B$7:$B$1000,Settings!$B$15)+SUMIFS(INDEX('Oxford Economics'!$A$7:$AZ$1000,0,IFERROR(MATCH(Q$5,'Oxford Economics'!$A$6:$AZ$6,0),MATCH(Q$5&amp;"",'Oxford Economics'!$A$6:$AZ$6,0))),'Oxford Economics'!$A$7:$A$1000,$C44,'Oxford Economics'!$B$7:$B$1000,Settings!$B$17)+IF(Settings!$B$19="",0,SUMIFS(INDEX('Oxford Economics'!$A$7:$AZ$1000,0,IFERROR(MATCH(Q$5,'Oxford Economics'!$A$6:$AZ$6,0),MATCH(Q$5&amp;"",'Oxford Economics'!$A$6:$AZ$6,0))),'Oxford Economics'!$A$7:$A$1000,$C44,'Oxford Economics'!$B$7:$B$1000,Settings!$B$19)))),""))</f>
        <v>1574.36</v>
      </c>
      <c r="R44" s="38" t="n">
        <f aca="false">IF($A44="","",IFERROR(1/(1/IF($B44="Residential",SUMIFS(INDEX('Oxford Economics'!$A$7:$AZ$1000,0,IFERROR(MATCH(R$5,'Oxford Economics'!$A$6:$AZ$6,0),MATCH(R$5&amp;"",'Oxford Economics'!$A$6:$AZ$6,0))),'Oxford Economics'!$A$7:$A$1000,$C44,'Oxford Economics'!$B$7:$B$1000,Settings!$B$13)-SUMIFS(INDEX('Oxford Economics'!$A$7:$AZ$1000,0,IFERROR(MATCH(R$5,'Oxford Economics'!$A$6:$AZ$6,0),MATCH(R$5&amp;"",'Oxford Economics'!$A$6:$AZ$6,0))),'Oxford Economics'!$A$7:$A$1000,$C44,'Oxford Economics'!$B$7:$B$1000,Settings!$B$15),SUMIFS(INDEX('Oxford Economics'!$A$7:$AZ$1000,0,IFERROR(MATCH(R$5,'Oxford Economics'!$A$6:$AZ$6,0),MATCH(R$5&amp;"",'Oxford Economics'!$A$6:$AZ$6,0))),'Oxford Economics'!$A$7:$A$1000,$C44,'Oxford Economics'!$B$7:$B$1000,Settings!$B$15)+SUMIFS(INDEX('Oxford Economics'!$A$7:$AZ$1000,0,IFERROR(MATCH(R$5,'Oxford Economics'!$A$6:$AZ$6,0),MATCH(R$5&amp;"",'Oxford Economics'!$A$6:$AZ$6,0))),'Oxford Economics'!$A$7:$A$1000,$C44,'Oxford Economics'!$B$7:$B$1000,Settings!$B$17)+IF(Settings!$B$19="",0,SUMIFS(INDEX('Oxford Economics'!$A$7:$AZ$1000,0,IFERROR(MATCH(R$5,'Oxford Economics'!$A$6:$AZ$6,0),MATCH(R$5&amp;"",'Oxford Economics'!$A$6:$AZ$6,0))),'Oxford Economics'!$A$7:$A$1000,$C44,'Oxford Economics'!$B$7:$B$1000,Settings!$B$19)))),""))</f>
        <v>1533.7</v>
      </c>
      <c r="S44" s="38" t="n">
        <f aca="false">IF($A44="","",IFERROR(1/(1/IF($B44="Residential",SUMIFS(INDEX('Oxford Economics'!$A$7:$AZ$1000,0,IFERROR(MATCH(S$5,'Oxford Economics'!$A$6:$AZ$6,0),MATCH(S$5&amp;"",'Oxford Economics'!$A$6:$AZ$6,0))),'Oxford Economics'!$A$7:$A$1000,$C44,'Oxford Economics'!$B$7:$B$1000,Settings!$B$13)-SUMIFS(INDEX('Oxford Economics'!$A$7:$AZ$1000,0,IFERROR(MATCH(S$5,'Oxford Economics'!$A$6:$AZ$6,0),MATCH(S$5&amp;"",'Oxford Economics'!$A$6:$AZ$6,0))),'Oxford Economics'!$A$7:$A$1000,$C44,'Oxford Economics'!$B$7:$B$1000,Settings!$B$15),SUMIFS(INDEX('Oxford Economics'!$A$7:$AZ$1000,0,IFERROR(MATCH(S$5,'Oxford Economics'!$A$6:$AZ$6,0),MATCH(S$5&amp;"",'Oxford Economics'!$A$6:$AZ$6,0))),'Oxford Economics'!$A$7:$A$1000,$C44,'Oxford Economics'!$B$7:$B$1000,Settings!$B$15)+SUMIFS(INDEX('Oxford Economics'!$A$7:$AZ$1000,0,IFERROR(MATCH(S$5,'Oxford Economics'!$A$6:$AZ$6,0),MATCH(S$5&amp;"",'Oxford Economics'!$A$6:$AZ$6,0))),'Oxford Economics'!$A$7:$A$1000,$C44,'Oxford Economics'!$B$7:$B$1000,Settings!$B$17)+IF(Settings!$B$19="",0,SUMIFS(INDEX('Oxford Economics'!$A$7:$AZ$1000,0,IFERROR(MATCH(S$5,'Oxford Economics'!$A$6:$AZ$6,0),MATCH(S$5&amp;"",'Oxford Economics'!$A$6:$AZ$6,0))),'Oxford Economics'!$A$7:$A$1000,$C44,'Oxford Economics'!$B$7:$B$1000,Settings!$B$19)))),""))</f>
        <v>1509.94</v>
      </c>
      <c r="T44" s="38" t="n">
        <f aca="false">IF($A44="","",IFERROR(1/(1/IF($B44="Residential",SUMIFS(INDEX('Oxford Economics'!$A$7:$AZ$1000,0,IFERROR(MATCH(T$5,'Oxford Economics'!$A$6:$AZ$6,0),MATCH(T$5&amp;"",'Oxford Economics'!$A$6:$AZ$6,0))),'Oxford Economics'!$A$7:$A$1000,$C44,'Oxford Economics'!$B$7:$B$1000,Settings!$B$13)-SUMIFS(INDEX('Oxford Economics'!$A$7:$AZ$1000,0,IFERROR(MATCH(T$5,'Oxford Economics'!$A$6:$AZ$6,0),MATCH(T$5&amp;"",'Oxford Economics'!$A$6:$AZ$6,0))),'Oxford Economics'!$A$7:$A$1000,$C44,'Oxford Economics'!$B$7:$B$1000,Settings!$B$15),SUMIFS(INDEX('Oxford Economics'!$A$7:$AZ$1000,0,IFERROR(MATCH(T$5,'Oxford Economics'!$A$6:$AZ$6,0),MATCH(T$5&amp;"",'Oxford Economics'!$A$6:$AZ$6,0))),'Oxford Economics'!$A$7:$A$1000,$C44,'Oxford Economics'!$B$7:$B$1000,Settings!$B$15)+SUMIFS(INDEX('Oxford Economics'!$A$7:$AZ$1000,0,IFERROR(MATCH(T$5,'Oxford Economics'!$A$6:$AZ$6,0),MATCH(T$5&amp;"",'Oxford Economics'!$A$6:$AZ$6,0))),'Oxford Economics'!$A$7:$A$1000,$C44,'Oxford Economics'!$B$7:$B$1000,Settings!$B$17)+IF(Settings!$B$19="",0,SUMIFS(INDEX('Oxford Economics'!$A$7:$AZ$1000,0,IFERROR(MATCH(T$5,'Oxford Economics'!$A$6:$AZ$6,0),MATCH(T$5&amp;"",'Oxford Economics'!$A$6:$AZ$6,0))),'Oxford Economics'!$A$7:$A$1000,$C44,'Oxford Economics'!$B$7:$B$1000,Settings!$B$19)))),""))</f>
        <v>1402.38</v>
      </c>
      <c r="U44" s="38" t="n">
        <f aca="false">IF($A44="","",IFERROR(1/(1/IF($B44="Residential",SUMIFS(INDEX('Oxford Economics'!$A$7:$AZ$1000,0,IFERROR(MATCH(U$5,'Oxford Economics'!$A$6:$AZ$6,0),MATCH(U$5&amp;"",'Oxford Economics'!$A$6:$AZ$6,0))),'Oxford Economics'!$A$7:$A$1000,$C44,'Oxford Economics'!$B$7:$B$1000,Settings!$B$13)-SUMIFS(INDEX('Oxford Economics'!$A$7:$AZ$1000,0,IFERROR(MATCH(U$5,'Oxford Economics'!$A$6:$AZ$6,0),MATCH(U$5&amp;"",'Oxford Economics'!$A$6:$AZ$6,0))),'Oxford Economics'!$A$7:$A$1000,$C44,'Oxford Economics'!$B$7:$B$1000,Settings!$B$15),SUMIFS(INDEX('Oxford Economics'!$A$7:$AZ$1000,0,IFERROR(MATCH(U$5,'Oxford Economics'!$A$6:$AZ$6,0),MATCH(U$5&amp;"",'Oxford Economics'!$A$6:$AZ$6,0))),'Oxford Economics'!$A$7:$A$1000,$C44,'Oxford Economics'!$B$7:$B$1000,Settings!$B$15)+SUMIFS(INDEX('Oxford Economics'!$A$7:$AZ$1000,0,IFERROR(MATCH(U$5,'Oxford Economics'!$A$6:$AZ$6,0),MATCH(U$5&amp;"",'Oxford Economics'!$A$6:$AZ$6,0))),'Oxford Economics'!$A$7:$A$1000,$C44,'Oxford Economics'!$B$7:$B$1000,Settings!$B$17)+IF(Settings!$B$19="",0,SUMIFS(INDEX('Oxford Economics'!$A$7:$AZ$1000,0,IFERROR(MATCH(U$5,'Oxford Economics'!$A$6:$AZ$6,0),MATCH(U$5&amp;"",'Oxford Economics'!$A$6:$AZ$6,0))),'Oxford Economics'!$A$7:$A$1000,$C44,'Oxford Economics'!$B$7:$B$1000,Settings!$B$19)))),""))</f>
        <v>1354.37</v>
      </c>
      <c r="V44" s="38" t="n">
        <f aca="false">IF($A44="","",IFERROR(1/(1/IF($B44="Residential",SUMIFS(INDEX('Oxford Economics'!$A$7:$AZ$1000,0,IFERROR(MATCH(V$5,'Oxford Economics'!$A$6:$AZ$6,0),MATCH(V$5&amp;"",'Oxford Economics'!$A$6:$AZ$6,0))),'Oxford Economics'!$A$7:$A$1000,$C44,'Oxford Economics'!$B$7:$B$1000,Settings!$B$13)-SUMIFS(INDEX('Oxford Economics'!$A$7:$AZ$1000,0,IFERROR(MATCH(V$5,'Oxford Economics'!$A$6:$AZ$6,0),MATCH(V$5&amp;"",'Oxford Economics'!$A$6:$AZ$6,0))),'Oxford Economics'!$A$7:$A$1000,$C44,'Oxford Economics'!$B$7:$B$1000,Settings!$B$15),SUMIFS(INDEX('Oxford Economics'!$A$7:$AZ$1000,0,IFERROR(MATCH(V$5,'Oxford Economics'!$A$6:$AZ$6,0),MATCH(V$5&amp;"",'Oxford Economics'!$A$6:$AZ$6,0))),'Oxford Economics'!$A$7:$A$1000,$C44,'Oxford Economics'!$B$7:$B$1000,Settings!$B$15)+SUMIFS(INDEX('Oxford Economics'!$A$7:$AZ$1000,0,IFERROR(MATCH(V$5,'Oxford Economics'!$A$6:$AZ$6,0),MATCH(V$5&amp;"",'Oxford Economics'!$A$6:$AZ$6,0))),'Oxford Economics'!$A$7:$A$1000,$C44,'Oxford Economics'!$B$7:$B$1000,Settings!$B$17)+IF(Settings!$B$19="",0,SUMIFS(INDEX('Oxford Economics'!$A$7:$AZ$1000,0,IFERROR(MATCH(V$5,'Oxford Economics'!$A$6:$AZ$6,0),MATCH(V$5&amp;"",'Oxford Economics'!$A$6:$AZ$6,0))),'Oxford Economics'!$A$7:$A$1000,$C44,'Oxford Economics'!$B$7:$B$1000,Settings!$B$19)))),""))</f>
        <v>1332.24</v>
      </c>
      <c r="W44" s="38" t="n">
        <f aca="false">IF($A44="","",IFERROR(1/(1/IF($B44="Residential",SUMIFS(INDEX('Oxford Economics'!$A$7:$AZ$1000,0,IFERROR(MATCH(W$5,'Oxford Economics'!$A$6:$AZ$6,0),MATCH(W$5&amp;"",'Oxford Economics'!$A$6:$AZ$6,0))),'Oxford Economics'!$A$7:$A$1000,$C44,'Oxford Economics'!$B$7:$B$1000,Settings!$B$13)-SUMIFS(INDEX('Oxford Economics'!$A$7:$AZ$1000,0,IFERROR(MATCH(W$5,'Oxford Economics'!$A$6:$AZ$6,0),MATCH(W$5&amp;"",'Oxford Economics'!$A$6:$AZ$6,0))),'Oxford Economics'!$A$7:$A$1000,$C44,'Oxford Economics'!$B$7:$B$1000,Settings!$B$15),SUMIFS(INDEX('Oxford Economics'!$A$7:$AZ$1000,0,IFERROR(MATCH(W$5,'Oxford Economics'!$A$6:$AZ$6,0),MATCH(W$5&amp;"",'Oxford Economics'!$A$6:$AZ$6,0))),'Oxford Economics'!$A$7:$A$1000,$C44,'Oxford Economics'!$B$7:$B$1000,Settings!$B$15)+SUMIFS(INDEX('Oxford Economics'!$A$7:$AZ$1000,0,IFERROR(MATCH(W$5,'Oxford Economics'!$A$6:$AZ$6,0),MATCH(W$5&amp;"",'Oxford Economics'!$A$6:$AZ$6,0))),'Oxford Economics'!$A$7:$A$1000,$C44,'Oxford Economics'!$B$7:$B$1000,Settings!$B$17)+IF(Settings!$B$19="",0,SUMIFS(INDEX('Oxford Economics'!$A$7:$AZ$1000,0,IFERROR(MATCH(W$5,'Oxford Economics'!$A$6:$AZ$6,0),MATCH(W$5&amp;"",'Oxford Economics'!$A$6:$AZ$6,0))),'Oxford Economics'!$A$7:$A$1000,$C44,'Oxford Economics'!$B$7:$B$1000,Settings!$B$19)))),""))</f>
        <v>1429.49</v>
      </c>
      <c r="X44" s="38" t="n">
        <f aca="false">IF($A44="","",IFERROR(1/(1/IF($B44="Residential",SUMIFS(INDEX('Oxford Economics'!$A$7:$AZ$1000,0,IFERROR(MATCH(X$5,'Oxford Economics'!$A$6:$AZ$6,0),MATCH(X$5&amp;"",'Oxford Economics'!$A$6:$AZ$6,0))),'Oxford Economics'!$A$7:$A$1000,$C44,'Oxford Economics'!$B$7:$B$1000,Settings!$B$13)-SUMIFS(INDEX('Oxford Economics'!$A$7:$AZ$1000,0,IFERROR(MATCH(X$5,'Oxford Economics'!$A$6:$AZ$6,0),MATCH(X$5&amp;"",'Oxford Economics'!$A$6:$AZ$6,0))),'Oxford Economics'!$A$7:$A$1000,$C44,'Oxford Economics'!$B$7:$B$1000,Settings!$B$15),SUMIFS(INDEX('Oxford Economics'!$A$7:$AZ$1000,0,IFERROR(MATCH(X$5,'Oxford Economics'!$A$6:$AZ$6,0),MATCH(X$5&amp;"",'Oxford Economics'!$A$6:$AZ$6,0))),'Oxford Economics'!$A$7:$A$1000,$C44,'Oxford Economics'!$B$7:$B$1000,Settings!$B$15)+SUMIFS(INDEX('Oxford Economics'!$A$7:$AZ$1000,0,IFERROR(MATCH(X$5,'Oxford Economics'!$A$6:$AZ$6,0),MATCH(X$5&amp;"",'Oxford Economics'!$A$6:$AZ$6,0))),'Oxford Economics'!$A$7:$A$1000,$C44,'Oxford Economics'!$B$7:$B$1000,Settings!$B$17)+IF(Settings!$B$19="",0,SUMIFS(INDEX('Oxford Economics'!$A$7:$AZ$1000,0,IFERROR(MATCH(X$5,'Oxford Economics'!$A$6:$AZ$6,0),MATCH(X$5&amp;"",'Oxford Economics'!$A$6:$AZ$6,0))),'Oxford Economics'!$A$7:$A$1000,$C44,'Oxford Economics'!$B$7:$B$1000,Settings!$B$19)))),""))</f>
        <v>1508.13</v>
      </c>
      <c r="Y44" s="38" t="n">
        <f aca="false">IF($A44="","",IFERROR(1/(1/IF($B44="Residential",SUMIFS(INDEX('Oxford Economics'!$A$7:$AZ$1000,0,IFERROR(MATCH(Y$5,'Oxford Economics'!$A$6:$AZ$6,0),MATCH(Y$5&amp;"",'Oxford Economics'!$A$6:$AZ$6,0))),'Oxford Economics'!$A$7:$A$1000,$C44,'Oxford Economics'!$B$7:$B$1000,Settings!$B$13)-SUMIFS(INDEX('Oxford Economics'!$A$7:$AZ$1000,0,IFERROR(MATCH(Y$5,'Oxford Economics'!$A$6:$AZ$6,0),MATCH(Y$5&amp;"",'Oxford Economics'!$A$6:$AZ$6,0))),'Oxford Economics'!$A$7:$A$1000,$C44,'Oxford Economics'!$B$7:$B$1000,Settings!$B$15),SUMIFS(INDEX('Oxford Economics'!$A$7:$AZ$1000,0,IFERROR(MATCH(Y$5,'Oxford Economics'!$A$6:$AZ$6,0),MATCH(Y$5&amp;"",'Oxford Economics'!$A$6:$AZ$6,0))),'Oxford Economics'!$A$7:$A$1000,$C44,'Oxford Economics'!$B$7:$B$1000,Settings!$B$15)+SUMIFS(INDEX('Oxford Economics'!$A$7:$AZ$1000,0,IFERROR(MATCH(Y$5,'Oxford Economics'!$A$6:$AZ$6,0),MATCH(Y$5&amp;"",'Oxford Economics'!$A$6:$AZ$6,0))),'Oxford Economics'!$A$7:$A$1000,$C44,'Oxford Economics'!$B$7:$B$1000,Settings!$B$17)+IF(Settings!$B$19="",0,SUMIFS(INDEX('Oxford Economics'!$A$7:$AZ$1000,0,IFERROR(MATCH(Y$5,'Oxford Economics'!$A$6:$AZ$6,0),MATCH(Y$5&amp;"",'Oxford Economics'!$A$6:$AZ$6,0))),'Oxford Economics'!$A$7:$A$1000,$C44,'Oxford Economics'!$B$7:$B$1000,Settings!$B$19)))),""))</f>
        <v>1547.79</v>
      </c>
      <c r="Z44" s="38" t="n">
        <f aca="false">IF($A44="","",IFERROR(1/(1/IF($B44="Residential",SUMIFS(INDEX('Oxford Economics'!$A$7:$AZ$1000,0,IFERROR(MATCH(Z$5,'Oxford Economics'!$A$6:$AZ$6,0),MATCH(Z$5&amp;"",'Oxford Economics'!$A$6:$AZ$6,0))),'Oxford Economics'!$A$7:$A$1000,$C44,'Oxford Economics'!$B$7:$B$1000,Settings!$B$13)-SUMIFS(INDEX('Oxford Economics'!$A$7:$AZ$1000,0,IFERROR(MATCH(Z$5,'Oxford Economics'!$A$6:$AZ$6,0),MATCH(Z$5&amp;"",'Oxford Economics'!$A$6:$AZ$6,0))),'Oxford Economics'!$A$7:$A$1000,$C44,'Oxford Economics'!$B$7:$B$1000,Settings!$B$15),SUMIFS(INDEX('Oxford Economics'!$A$7:$AZ$1000,0,IFERROR(MATCH(Z$5,'Oxford Economics'!$A$6:$AZ$6,0),MATCH(Z$5&amp;"",'Oxford Economics'!$A$6:$AZ$6,0))),'Oxford Economics'!$A$7:$A$1000,$C44,'Oxford Economics'!$B$7:$B$1000,Settings!$B$15)+SUMIFS(INDEX('Oxford Economics'!$A$7:$AZ$1000,0,IFERROR(MATCH(Z$5,'Oxford Economics'!$A$6:$AZ$6,0),MATCH(Z$5&amp;"",'Oxford Economics'!$A$6:$AZ$6,0))),'Oxford Economics'!$A$7:$A$1000,$C44,'Oxford Economics'!$B$7:$B$1000,Settings!$B$17)+IF(Settings!$B$19="",0,SUMIFS(INDEX('Oxford Economics'!$A$7:$AZ$1000,0,IFERROR(MATCH(Z$5,'Oxford Economics'!$A$6:$AZ$6,0),MATCH(Z$5&amp;"",'Oxford Economics'!$A$6:$AZ$6,0))),'Oxford Economics'!$A$7:$A$1000,$C44,'Oxford Economics'!$B$7:$B$1000,Settings!$B$19)))),""))</f>
        <v>1570.63</v>
      </c>
      <c r="AA44" s="38" t="n">
        <f aca="false">IF($A44="","",IFERROR(1/(1/IF($B44="Residential",SUMIFS(INDEX('Oxford Economics'!$A$7:$AZ$1000,0,IFERROR(MATCH(AA$5,'Oxford Economics'!$A$6:$AZ$6,0),MATCH(AA$5&amp;"",'Oxford Economics'!$A$6:$AZ$6,0))),'Oxford Economics'!$A$7:$A$1000,$C44,'Oxford Economics'!$B$7:$B$1000,Settings!$B$13)-SUMIFS(INDEX('Oxford Economics'!$A$7:$AZ$1000,0,IFERROR(MATCH(AA$5,'Oxford Economics'!$A$6:$AZ$6,0),MATCH(AA$5&amp;"",'Oxford Economics'!$A$6:$AZ$6,0))),'Oxford Economics'!$A$7:$A$1000,$C44,'Oxford Economics'!$B$7:$B$1000,Settings!$B$15),SUMIFS(INDEX('Oxford Economics'!$A$7:$AZ$1000,0,IFERROR(MATCH(AA$5,'Oxford Economics'!$A$6:$AZ$6,0),MATCH(AA$5&amp;"",'Oxford Economics'!$A$6:$AZ$6,0))),'Oxford Economics'!$A$7:$A$1000,$C44,'Oxford Economics'!$B$7:$B$1000,Settings!$B$15)+SUMIFS(INDEX('Oxford Economics'!$A$7:$AZ$1000,0,IFERROR(MATCH(AA$5,'Oxford Economics'!$A$6:$AZ$6,0),MATCH(AA$5&amp;"",'Oxford Economics'!$A$6:$AZ$6,0))),'Oxford Economics'!$A$7:$A$1000,$C44,'Oxford Economics'!$B$7:$B$1000,Settings!$B$17)+IF(Settings!$B$19="",0,SUMIFS(INDEX('Oxford Economics'!$A$7:$AZ$1000,0,IFERROR(MATCH(AA$5,'Oxford Economics'!$A$6:$AZ$6,0),MATCH(AA$5&amp;"",'Oxford Economics'!$A$6:$AZ$6,0))),'Oxford Economics'!$A$7:$A$1000,$C44,'Oxford Economics'!$B$7:$B$1000,Settings!$B$19)))),""))</f>
        <v>1604.81</v>
      </c>
      <c r="AB44" s="38" t="n">
        <f aca="false">IF($A44="","",IFERROR(1/(1/IF($B44="Residential",SUMIFS(INDEX('Oxford Economics'!$A$7:$AZ$1000,0,IFERROR(MATCH(AB$5,'Oxford Economics'!$A$6:$AZ$6,0),MATCH(AB$5&amp;"",'Oxford Economics'!$A$6:$AZ$6,0))),'Oxford Economics'!$A$7:$A$1000,$C44,'Oxford Economics'!$B$7:$B$1000,Settings!$B$12)-SUMIFS(INDEX('Oxford Economics'!$A$7:$AZ$1000,0,IFERROR(MATCH(AB$5,'Oxford Economics'!$A$6:$AZ$6,0),MATCH(AB$5&amp;"",'Oxford Economics'!$A$6:$AZ$6,0))),'Oxford Economics'!$A$7:$A$1000,$C44,'Oxford Economics'!$B$7:$B$1000,Settings!$B$14),SUMIFS(INDEX('Oxford Economics'!$A$7:$AZ$1000,0,IFERROR(MATCH(AB$5,'Oxford Economics'!$A$6:$AZ$6,0),MATCH(AB$5&amp;"",'Oxford Economics'!$A$6:$AZ$6,0))),'Oxford Economics'!$A$7:$A$1000,$C44,'Oxford Economics'!$B$7:$B$1000,Settings!$B$14)+SUMIFS(INDEX('Oxford Economics'!$A$7:$AZ$1000,0,IFERROR(MATCH(AB$5,'Oxford Economics'!$A$6:$AZ$6,0),MATCH(AB$5&amp;"",'Oxford Economics'!$A$6:$AZ$6,0))),'Oxford Economics'!$A$7:$A$1000,$C44,'Oxford Economics'!$B$7:$B$1000,Settings!$B$16)+IF(Settings!$B$18="",0,SUMIFS(INDEX('Oxford Economics'!$A$7:$AZ$1000,0,IFERROR(MATCH(AB$5,'Oxford Economics'!$A$6:$AZ$6,0),MATCH(AB$5&amp;"",'Oxford Economics'!$A$6:$AZ$6,0))),'Oxford Economics'!$A$7:$A$1000,$C44,'Oxford Economics'!$B$7:$B$1000,Settings!$B$18)))),""))</f>
        <v>673.72</v>
      </c>
      <c r="AC44" s="38" t="n">
        <f aca="false">IF($A44="","",IFERROR(1/(1/IF($B44="Residential",SUMIFS(INDEX('Oxford Economics'!$A$7:$AZ$1000,0,IFERROR(MATCH(AC$5,'Oxford Economics'!$A$6:$AZ$6,0),MATCH(AC$5&amp;"",'Oxford Economics'!$A$6:$AZ$6,0))),'Oxford Economics'!$A$7:$A$1000,$C44,'Oxford Economics'!$B$7:$B$1000,Settings!$B$12)-SUMIFS(INDEX('Oxford Economics'!$A$7:$AZ$1000,0,IFERROR(MATCH(AC$5,'Oxford Economics'!$A$6:$AZ$6,0),MATCH(AC$5&amp;"",'Oxford Economics'!$A$6:$AZ$6,0))),'Oxford Economics'!$A$7:$A$1000,$C44,'Oxford Economics'!$B$7:$B$1000,Settings!$B$14),SUMIFS(INDEX('Oxford Economics'!$A$7:$AZ$1000,0,IFERROR(MATCH(AC$5,'Oxford Economics'!$A$6:$AZ$6,0),MATCH(AC$5&amp;"",'Oxford Economics'!$A$6:$AZ$6,0))),'Oxford Economics'!$A$7:$A$1000,$C44,'Oxford Economics'!$B$7:$B$1000,Settings!$B$14)+SUMIFS(INDEX('Oxford Economics'!$A$7:$AZ$1000,0,IFERROR(MATCH(AC$5,'Oxford Economics'!$A$6:$AZ$6,0),MATCH(AC$5&amp;"",'Oxford Economics'!$A$6:$AZ$6,0))),'Oxford Economics'!$A$7:$A$1000,$C44,'Oxford Economics'!$B$7:$B$1000,Settings!$B$16)+IF(Settings!$B$18="",0,SUMIFS(INDEX('Oxford Economics'!$A$7:$AZ$1000,0,IFERROR(MATCH(AC$5,'Oxford Economics'!$A$6:$AZ$6,0),MATCH(AC$5&amp;"",'Oxford Economics'!$A$6:$AZ$6,0))),'Oxford Economics'!$A$7:$A$1000,$C44,'Oxford Economics'!$B$7:$B$1000,Settings!$B$18)))),""))</f>
        <v>813.01</v>
      </c>
      <c r="AD44" s="38" t="n">
        <f aca="false">IF($A44="","",IFERROR(1/(1/IF($B44="Residential",SUMIFS(INDEX('Oxford Economics'!$A$7:$AZ$1000,0,IFERROR(MATCH(AD$5,'Oxford Economics'!$A$6:$AZ$6,0),MATCH(AD$5&amp;"",'Oxford Economics'!$A$6:$AZ$6,0))),'Oxford Economics'!$A$7:$A$1000,$C44,'Oxford Economics'!$B$7:$B$1000,Settings!$B$12)-SUMIFS(INDEX('Oxford Economics'!$A$7:$AZ$1000,0,IFERROR(MATCH(AD$5,'Oxford Economics'!$A$6:$AZ$6,0),MATCH(AD$5&amp;"",'Oxford Economics'!$A$6:$AZ$6,0))),'Oxford Economics'!$A$7:$A$1000,$C44,'Oxford Economics'!$B$7:$B$1000,Settings!$B$14),SUMIFS(INDEX('Oxford Economics'!$A$7:$AZ$1000,0,IFERROR(MATCH(AD$5,'Oxford Economics'!$A$6:$AZ$6,0),MATCH(AD$5&amp;"",'Oxford Economics'!$A$6:$AZ$6,0))),'Oxford Economics'!$A$7:$A$1000,$C44,'Oxford Economics'!$B$7:$B$1000,Settings!$B$14)+SUMIFS(INDEX('Oxford Economics'!$A$7:$AZ$1000,0,IFERROR(MATCH(AD$5,'Oxford Economics'!$A$6:$AZ$6,0),MATCH(AD$5&amp;"",'Oxford Economics'!$A$6:$AZ$6,0))),'Oxford Economics'!$A$7:$A$1000,$C44,'Oxford Economics'!$B$7:$B$1000,Settings!$B$16)+IF(Settings!$B$18="",0,SUMIFS(INDEX('Oxford Economics'!$A$7:$AZ$1000,0,IFERROR(MATCH(AD$5,'Oxford Economics'!$A$6:$AZ$6,0),MATCH(AD$5&amp;"",'Oxford Economics'!$A$6:$AZ$6,0))),'Oxford Economics'!$A$7:$A$1000,$C44,'Oxford Economics'!$B$7:$B$1000,Settings!$B$18)))),""))</f>
        <v>799.38</v>
      </c>
      <c r="AE44" s="38" t="n">
        <f aca="false">IF($A44="","",IFERROR(1/(1/IF($B44="Residential",SUMIFS(INDEX('Oxford Economics'!$A$7:$AZ$1000,0,IFERROR(MATCH(AE$5,'Oxford Economics'!$A$6:$AZ$6,0),MATCH(AE$5&amp;"",'Oxford Economics'!$A$6:$AZ$6,0))),'Oxford Economics'!$A$7:$A$1000,$C44,'Oxford Economics'!$B$7:$B$1000,Settings!$B$12)-SUMIFS(INDEX('Oxford Economics'!$A$7:$AZ$1000,0,IFERROR(MATCH(AE$5,'Oxford Economics'!$A$6:$AZ$6,0),MATCH(AE$5&amp;"",'Oxford Economics'!$A$6:$AZ$6,0))),'Oxford Economics'!$A$7:$A$1000,$C44,'Oxford Economics'!$B$7:$B$1000,Settings!$B$14),SUMIFS(INDEX('Oxford Economics'!$A$7:$AZ$1000,0,IFERROR(MATCH(AE$5,'Oxford Economics'!$A$6:$AZ$6,0),MATCH(AE$5&amp;"",'Oxford Economics'!$A$6:$AZ$6,0))),'Oxford Economics'!$A$7:$A$1000,$C44,'Oxford Economics'!$B$7:$B$1000,Settings!$B$14)+SUMIFS(INDEX('Oxford Economics'!$A$7:$AZ$1000,0,IFERROR(MATCH(AE$5,'Oxford Economics'!$A$6:$AZ$6,0),MATCH(AE$5&amp;"",'Oxford Economics'!$A$6:$AZ$6,0))),'Oxford Economics'!$A$7:$A$1000,$C44,'Oxford Economics'!$B$7:$B$1000,Settings!$B$16)+IF(Settings!$B$18="",0,SUMIFS(INDEX('Oxford Economics'!$A$7:$AZ$1000,0,IFERROR(MATCH(AE$5,'Oxford Economics'!$A$6:$AZ$6,0),MATCH(AE$5&amp;"",'Oxford Economics'!$A$6:$AZ$6,0))),'Oxford Economics'!$A$7:$A$1000,$C44,'Oxford Economics'!$B$7:$B$1000,Settings!$B$18)))),""))</f>
        <v>466.91</v>
      </c>
      <c r="AF44" s="38" t="n">
        <f aca="false">IF($A44="","",IFERROR(1/(1/IF($B44="Residential",SUMIFS(INDEX('Oxford Economics'!$A$7:$AZ$1000,0,IFERROR(MATCH(AF$5,'Oxford Economics'!$A$6:$AZ$6,0),MATCH(AF$5&amp;"",'Oxford Economics'!$A$6:$AZ$6,0))),'Oxford Economics'!$A$7:$A$1000,$C44,'Oxford Economics'!$B$7:$B$1000,Settings!$B$12)-SUMIFS(INDEX('Oxford Economics'!$A$7:$AZ$1000,0,IFERROR(MATCH(AF$5,'Oxford Economics'!$A$6:$AZ$6,0),MATCH(AF$5&amp;"",'Oxford Economics'!$A$6:$AZ$6,0))),'Oxford Economics'!$A$7:$A$1000,$C44,'Oxford Economics'!$B$7:$B$1000,Settings!$B$14),SUMIFS(INDEX('Oxford Economics'!$A$7:$AZ$1000,0,IFERROR(MATCH(AF$5,'Oxford Economics'!$A$6:$AZ$6,0),MATCH(AF$5&amp;"",'Oxford Economics'!$A$6:$AZ$6,0))),'Oxford Economics'!$A$7:$A$1000,$C44,'Oxford Economics'!$B$7:$B$1000,Settings!$B$14)+SUMIFS(INDEX('Oxford Economics'!$A$7:$AZ$1000,0,IFERROR(MATCH(AF$5,'Oxford Economics'!$A$6:$AZ$6,0),MATCH(AF$5&amp;"",'Oxford Economics'!$A$6:$AZ$6,0))),'Oxford Economics'!$A$7:$A$1000,$C44,'Oxford Economics'!$B$7:$B$1000,Settings!$B$16)+IF(Settings!$B$18="",0,SUMIFS(INDEX('Oxford Economics'!$A$7:$AZ$1000,0,IFERROR(MATCH(AF$5,'Oxford Economics'!$A$6:$AZ$6,0),MATCH(AF$5&amp;"",'Oxford Economics'!$A$6:$AZ$6,0))),'Oxford Economics'!$A$7:$A$1000,$C44,'Oxford Economics'!$B$7:$B$1000,Settings!$B$18)))),""))</f>
        <v>345.83</v>
      </c>
      <c r="AG44" s="38" t="n">
        <f aca="false">IF($A44="","",IFERROR(1/(1/IF($B44="Residential",SUMIFS(INDEX('Oxford Economics'!$A$7:$AZ$1000,0,IFERROR(MATCH(AG$5,'Oxford Economics'!$A$6:$AZ$6,0),MATCH(AG$5&amp;"",'Oxford Economics'!$A$6:$AZ$6,0))),'Oxford Economics'!$A$7:$A$1000,$C44,'Oxford Economics'!$B$7:$B$1000,Settings!$B$12)-SUMIFS(INDEX('Oxford Economics'!$A$7:$AZ$1000,0,IFERROR(MATCH(AG$5,'Oxford Economics'!$A$6:$AZ$6,0),MATCH(AG$5&amp;"",'Oxford Economics'!$A$6:$AZ$6,0))),'Oxford Economics'!$A$7:$A$1000,$C44,'Oxford Economics'!$B$7:$B$1000,Settings!$B$14),SUMIFS(INDEX('Oxford Economics'!$A$7:$AZ$1000,0,IFERROR(MATCH(AG$5,'Oxford Economics'!$A$6:$AZ$6,0),MATCH(AG$5&amp;"",'Oxford Economics'!$A$6:$AZ$6,0))),'Oxford Economics'!$A$7:$A$1000,$C44,'Oxford Economics'!$B$7:$B$1000,Settings!$B$14)+SUMIFS(INDEX('Oxford Economics'!$A$7:$AZ$1000,0,IFERROR(MATCH(AG$5,'Oxford Economics'!$A$6:$AZ$6,0),MATCH(AG$5&amp;"",'Oxford Economics'!$A$6:$AZ$6,0))),'Oxford Economics'!$A$7:$A$1000,$C44,'Oxford Economics'!$B$7:$B$1000,Settings!$B$16)+IF(Settings!$B$18="",0,SUMIFS(INDEX('Oxford Economics'!$A$7:$AZ$1000,0,IFERROR(MATCH(AG$5,'Oxford Economics'!$A$6:$AZ$6,0),MATCH(AG$5&amp;"",'Oxford Economics'!$A$6:$AZ$6,0))),'Oxford Economics'!$A$7:$A$1000,$C44,'Oxford Economics'!$B$7:$B$1000,Settings!$B$18)))),""))</f>
        <v>338.11</v>
      </c>
      <c r="AH44" s="38" t="n">
        <f aca="false">IF($A44="","",IFERROR(1/(1/IF($B44="Residential",SUMIFS(INDEX('Oxford Economics'!$A$7:$AZ$1000,0,IFERROR(MATCH(AH$5,'Oxford Economics'!$A$6:$AZ$6,0),MATCH(AH$5&amp;"",'Oxford Economics'!$A$6:$AZ$6,0))),'Oxford Economics'!$A$7:$A$1000,$C44,'Oxford Economics'!$B$7:$B$1000,Settings!$B$12)-SUMIFS(INDEX('Oxford Economics'!$A$7:$AZ$1000,0,IFERROR(MATCH(AH$5,'Oxford Economics'!$A$6:$AZ$6,0),MATCH(AH$5&amp;"",'Oxford Economics'!$A$6:$AZ$6,0))),'Oxford Economics'!$A$7:$A$1000,$C44,'Oxford Economics'!$B$7:$B$1000,Settings!$B$14),SUMIFS(INDEX('Oxford Economics'!$A$7:$AZ$1000,0,IFERROR(MATCH(AH$5,'Oxford Economics'!$A$6:$AZ$6,0),MATCH(AH$5&amp;"",'Oxford Economics'!$A$6:$AZ$6,0))),'Oxford Economics'!$A$7:$A$1000,$C44,'Oxford Economics'!$B$7:$B$1000,Settings!$B$14)+SUMIFS(INDEX('Oxford Economics'!$A$7:$AZ$1000,0,IFERROR(MATCH(AH$5,'Oxford Economics'!$A$6:$AZ$6,0),MATCH(AH$5&amp;"",'Oxford Economics'!$A$6:$AZ$6,0))),'Oxford Economics'!$A$7:$A$1000,$C44,'Oxford Economics'!$B$7:$B$1000,Settings!$B$16)+IF(Settings!$B$18="",0,SUMIFS(INDEX('Oxford Economics'!$A$7:$AZ$1000,0,IFERROR(MATCH(AH$5,'Oxford Economics'!$A$6:$AZ$6,0),MATCH(AH$5&amp;"",'Oxford Economics'!$A$6:$AZ$6,0))),'Oxford Economics'!$A$7:$A$1000,$C44,'Oxford Economics'!$B$7:$B$1000,Settings!$B$18)))),""))</f>
        <v>309.96</v>
      </c>
      <c r="AI44" s="38" t="n">
        <f aca="false">IF($A44="","",IFERROR(1/(1/IF($B44="Residential",SUMIFS(INDEX('Oxford Economics'!$A$7:$AZ$1000,0,IFERROR(MATCH(AI$5,'Oxford Economics'!$A$6:$AZ$6,0),MATCH(AI$5&amp;"",'Oxford Economics'!$A$6:$AZ$6,0))),'Oxford Economics'!$A$7:$A$1000,$C44,'Oxford Economics'!$B$7:$B$1000,Settings!$B$12)-SUMIFS(INDEX('Oxford Economics'!$A$7:$AZ$1000,0,IFERROR(MATCH(AI$5,'Oxford Economics'!$A$6:$AZ$6,0),MATCH(AI$5&amp;"",'Oxford Economics'!$A$6:$AZ$6,0))),'Oxford Economics'!$A$7:$A$1000,$C44,'Oxford Economics'!$B$7:$B$1000,Settings!$B$14),SUMIFS(INDEX('Oxford Economics'!$A$7:$AZ$1000,0,IFERROR(MATCH(AI$5,'Oxford Economics'!$A$6:$AZ$6,0),MATCH(AI$5&amp;"",'Oxford Economics'!$A$6:$AZ$6,0))),'Oxford Economics'!$A$7:$A$1000,$C44,'Oxford Economics'!$B$7:$B$1000,Settings!$B$14)+SUMIFS(INDEX('Oxford Economics'!$A$7:$AZ$1000,0,IFERROR(MATCH(AI$5,'Oxford Economics'!$A$6:$AZ$6,0),MATCH(AI$5&amp;"",'Oxford Economics'!$A$6:$AZ$6,0))),'Oxford Economics'!$A$7:$A$1000,$C44,'Oxford Economics'!$B$7:$B$1000,Settings!$B$16)+IF(Settings!$B$18="",0,SUMIFS(INDEX('Oxford Economics'!$A$7:$AZ$1000,0,IFERROR(MATCH(AI$5,'Oxford Economics'!$A$6:$AZ$6,0),MATCH(AI$5&amp;"",'Oxford Economics'!$A$6:$AZ$6,0))),'Oxford Economics'!$A$7:$A$1000,$C44,'Oxford Economics'!$B$7:$B$1000,Settings!$B$18)))),""))</f>
        <v>305.72</v>
      </c>
      <c r="AJ44" s="38" t="n">
        <f aca="false">IF($A44="","",IFERROR(1/(1/IF($B44="Residential",SUMIFS(INDEX('Oxford Economics'!$A$7:$AZ$1000,0,IFERROR(MATCH(AJ$5,'Oxford Economics'!$A$6:$AZ$6,0),MATCH(AJ$5&amp;"",'Oxford Economics'!$A$6:$AZ$6,0))),'Oxford Economics'!$A$7:$A$1000,$C44,'Oxford Economics'!$B$7:$B$1000,Settings!$B$12)-SUMIFS(INDEX('Oxford Economics'!$A$7:$AZ$1000,0,IFERROR(MATCH(AJ$5,'Oxford Economics'!$A$6:$AZ$6,0),MATCH(AJ$5&amp;"",'Oxford Economics'!$A$6:$AZ$6,0))),'Oxford Economics'!$A$7:$A$1000,$C44,'Oxford Economics'!$B$7:$B$1000,Settings!$B$14),SUMIFS(INDEX('Oxford Economics'!$A$7:$AZ$1000,0,IFERROR(MATCH(AJ$5,'Oxford Economics'!$A$6:$AZ$6,0),MATCH(AJ$5&amp;"",'Oxford Economics'!$A$6:$AZ$6,0))),'Oxford Economics'!$A$7:$A$1000,$C44,'Oxford Economics'!$B$7:$B$1000,Settings!$B$14)+SUMIFS(INDEX('Oxford Economics'!$A$7:$AZ$1000,0,IFERROR(MATCH(AJ$5,'Oxford Economics'!$A$6:$AZ$6,0),MATCH(AJ$5&amp;"",'Oxford Economics'!$A$6:$AZ$6,0))),'Oxford Economics'!$A$7:$A$1000,$C44,'Oxford Economics'!$B$7:$B$1000,Settings!$B$16)+IF(Settings!$B$18="",0,SUMIFS(INDEX('Oxford Economics'!$A$7:$AZ$1000,0,IFERROR(MATCH(AJ$5,'Oxford Economics'!$A$6:$AZ$6,0),MATCH(AJ$5&amp;"",'Oxford Economics'!$A$6:$AZ$6,0))),'Oxford Economics'!$A$7:$A$1000,$C44,'Oxford Economics'!$B$7:$B$1000,Settings!$B$18)))),""))</f>
        <v>326.98</v>
      </c>
      <c r="AK44" s="38" t="n">
        <f aca="false">IF($A44="","",IFERROR(1/(1/IF($B44="Residential",SUMIFS(INDEX('Oxford Economics'!$A$7:$AZ$1000,0,IFERROR(MATCH(AK$5,'Oxford Economics'!$A$6:$AZ$6,0),MATCH(AK$5&amp;"",'Oxford Economics'!$A$6:$AZ$6,0))),'Oxford Economics'!$A$7:$A$1000,$C44,'Oxford Economics'!$B$7:$B$1000,Settings!$B$12)-SUMIFS(INDEX('Oxford Economics'!$A$7:$AZ$1000,0,IFERROR(MATCH(AK$5,'Oxford Economics'!$A$6:$AZ$6,0),MATCH(AK$5&amp;"",'Oxford Economics'!$A$6:$AZ$6,0))),'Oxford Economics'!$A$7:$A$1000,$C44,'Oxford Economics'!$B$7:$B$1000,Settings!$B$14),SUMIFS(INDEX('Oxford Economics'!$A$7:$AZ$1000,0,IFERROR(MATCH(AK$5,'Oxford Economics'!$A$6:$AZ$6,0),MATCH(AK$5&amp;"",'Oxford Economics'!$A$6:$AZ$6,0))),'Oxford Economics'!$A$7:$A$1000,$C44,'Oxford Economics'!$B$7:$B$1000,Settings!$B$14)+SUMIFS(INDEX('Oxford Economics'!$A$7:$AZ$1000,0,IFERROR(MATCH(AK$5,'Oxford Economics'!$A$6:$AZ$6,0),MATCH(AK$5&amp;"",'Oxford Economics'!$A$6:$AZ$6,0))),'Oxford Economics'!$A$7:$A$1000,$C44,'Oxford Economics'!$B$7:$B$1000,Settings!$B$16)+IF(Settings!$B$18="",0,SUMIFS(INDEX('Oxford Economics'!$A$7:$AZ$1000,0,IFERROR(MATCH(AK$5,'Oxford Economics'!$A$6:$AZ$6,0),MATCH(AK$5&amp;"",'Oxford Economics'!$A$6:$AZ$6,0))),'Oxford Economics'!$A$7:$A$1000,$C44,'Oxford Economics'!$B$7:$B$1000,Settings!$B$18)))),""))</f>
        <v>348.79</v>
      </c>
      <c r="AL44" s="38" t="n">
        <f aca="false">IF($A44="","",IFERROR(1/(1/IF($B44="Residential",SUMIFS(INDEX('Oxford Economics'!$A$7:$AZ$1000,0,IFERROR(MATCH(AL$5,'Oxford Economics'!$A$6:$AZ$6,0),MATCH(AL$5&amp;"",'Oxford Economics'!$A$6:$AZ$6,0))),'Oxford Economics'!$A$7:$A$1000,$C44,'Oxford Economics'!$B$7:$B$1000,Settings!$B$12)-SUMIFS(INDEX('Oxford Economics'!$A$7:$AZ$1000,0,IFERROR(MATCH(AL$5,'Oxford Economics'!$A$6:$AZ$6,0),MATCH(AL$5&amp;"",'Oxford Economics'!$A$6:$AZ$6,0))),'Oxford Economics'!$A$7:$A$1000,$C44,'Oxford Economics'!$B$7:$B$1000,Settings!$B$14),SUMIFS(INDEX('Oxford Economics'!$A$7:$AZ$1000,0,IFERROR(MATCH(AL$5,'Oxford Economics'!$A$6:$AZ$6,0),MATCH(AL$5&amp;"",'Oxford Economics'!$A$6:$AZ$6,0))),'Oxford Economics'!$A$7:$A$1000,$C44,'Oxford Economics'!$B$7:$B$1000,Settings!$B$14)+SUMIFS(INDEX('Oxford Economics'!$A$7:$AZ$1000,0,IFERROR(MATCH(AL$5,'Oxford Economics'!$A$6:$AZ$6,0),MATCH(AL$5&amp;"",'Oxford Economics'!$A$6:$AZ$6,0))),'Oxford Economics'!$A$7:$A$1000,$C44,'Oxford Economics'!$B$7:$B$1000,Settings!$B$16)+IF(Settings!$B$18="",0,SUMIFS(INDEX('Oxford Economics'!$A$7:$AZ$1000,0,IFERROR(MATCH(AL$5,'Oxford Economics'!$A$6:$AZ$6,0),MATCH(AL$5&amp;"",'Oxford Economics'!$A$6:$AZ$6,0))),'Oxford Economics'!$A$7:$A$1000,$C44,'Oxford Economics'!$B$7:$B$1000,Settings!$B$18)))),""))</f>
        <v>376.03</v>
      </c>
      <c r="AM44" s="38" t="n">
        <f aca="false">IF($A44="","",IFERROR(1/(1/IF($B44="Residential",SUMIFS(INDEX('Oxford Economics'!$A$7:$AZ$1000,0,IFERROR(MATCH(AM$5,'Oxford Economics'!$A$6:$AZ$6,0),MATCH(AM$5&amp;"",'Oxford Economics'!$A$6:$AZ$6,0))),'Oxford Economics'!$A$7:$A$1000,$C44,'Oxford Economics'!$B$7:$B$1000,Settings!$B$12)-SUMIFS(INDEX('Oxford Economics'!$A$7:$AZ$1000,0,IFERROR(MATCH(AM$5,'Oxford Economics'!$A$6:$AZ$6,0),MATCH(AM$5&amp;"",'Oxford Economics'!$A$6:$AZ$6,0))),'Oxford Economics'!$A$7:$A$1000,$C44,'Oxford Economics'!$B$7:$B$1000,Settings!$B$14),SUMIFS(INDEX('Oxford Economics'!$A$7:$AZ$1000,0,IFERROR(MATCH(AM$5,'Oxford Economics'!$A$6:$AZ$6,0),MATCH(AM$5&amp;"",'Oxford Economics'!$A$6:$AZ$6,0))),'Oxford Economics'!$A$7:$A$1000,$C44,'Oxford Economics'!$B$7:$B$1000,Settings!$B$14)+SUMIFS(INDEX('Oxford Economics'!$A$7:$AZ$1000,0,IFERROR(MATCH(AM$5,'Oxford Economics'!$A$6:$AZ$6,0),MATCH(AM$5&amp;"",'Oxford Economics'!$A$6:$AZ$6,0))),'Oxford Economics'!$A$7:$A$1000,$C44,'Oxford Economics'!$B$7:$B$1000,Settings!$B$16)+IF(Settings!$B$18="",0,SUMIFS(INDEX('Oxford Economics'!$A$7:$AZ$1000,0,IFERROR(MATCH(AM$5,'Oxford Economics'!$A$6:$AZ$6,0),MATCH(AM$5&amp;"",'Oxford Economics'!$A$6:$AZ$6,0))),'Oxford Economics'!$A$7:$A$1000,$C44,'Oxford Economics'!$B$7:$B$1000,Settings!$B$18)))),""))</f>
        <v>403.32</v>
      </c>
    </row>
    <row r="45" customFormat="false" ht="15" hidden="false" customHeight="false" outlineLevel="0" collapsed="false">
      <c r="A45" s="37" t="str">
        <f aca="false">IF('Raw data'!$A45="","",'Raw data'!$A45)</f>
        <v>Finland</v>
      </c>
      <c r="B45" s="37" t="str">
        <f aca="false">IF($A45="","",'Raw data'!$C45)</f>
        <v>Commercial</v>
      </c>
      <c r="C45" s="37" t="str">
        <f aca="false">IF($A45="","",IF('Raw data'!$E45="",$A45,'Raw data'!$E45))</f>
        <v>Finland</v>
      </c>
      <c r="D45" s="38" t="n">
        <f aca="false">IF($A45="","",IF(AND(ISNUMBER(P45),ISNUMBER(AB45)),P45+AB45,""))</f>
        <v>6490.63</v>
      </c>
      <c r="E45" s="38" t="n">
        <f aca="false">IF($A45="","",IF(AND(ISNUMBER(Q45),ISNUMBER(AC45)),Q45+AC45,""))</f>
        <v>6679.43</v>
      </c>
      <c r="F45" s="38" t="n">
        <f aca="false">IF($A45="","",IF(AND(ISNUMBER(R45),ISNUMBER(AD45)),R45+AD45,""))</f>
        <v>6635.91</v>
      </c>
      <c r="G45" s="38" t="n">
        <f aca="false">IF($A45="","",IF(AND(ISNUMBER(S45),ISNUMBER(AE45)),S45+AE45,""))</f>
        <v>5645.57</v>
      </c>
      <c r="H45" s="38" t="n">
        <f aca="false">IF($A45="","",IF(AND(ISNUMBER(T45),ISNUMBER(AF45)),T45+AF45,""))</f>
        <v>4821.81</v>
      </c>
      <c r="I45" s="38" t="n">
        <f aca="false">IF($A45="","",IF(AND(ISNUMBER(U45),ISNUMBER(AG45)),U45+AG45,""))</f>
        <v>4695.02</v>
      </c>
      <c r="J45" s="38" t="n">
        <f aca="false">IF($A45="","",IF(AND(ISNUMBER(V45),ISNUMBER(AH45)),V45+AH45,""))</f>
        <v>4654.98</v>
      </c>
      <c r="K45" s="38" t="n">
        <f aca="false">IF($A45="","",IF(AND(ISNUMBER(W45),ISNUMBER(AI45)),W45+AI45,""))</f>
        <v>4861.81</v>
      </c>
      <c r="L45" s="38" t="n">
        <f aca="false">IF($A45="","",IF(AND(ISNUMBER(X45),ISNUMBER(AJ45)),X45+AJ45,""))</f>
        <v>5071.37</v>
      </c>
      <c r="M45" s="38" t="n">
        <f aca="false">IF($A45="","",IF(AND(ISNUMBER(Y45),ISNUMBER(AK45)),Y45+AK45,""))</f>
        <v>5215.28</v>
      </c>
      <c r="N45" s="38" t="n">
        <f aca="false">IF($A45="","",IF(AND(ISNUMBER(Z45),ISNUMBER(AL45)),Z45+AL45,""))</f>
        <v>5342.87</v>
      </c>
      <c r="O45" s="38" t="n">
        <f aca="false">IF($A45="","",IF(AND(ISNUMBER(AA45),ISNUMBER(AM45)),AA45+AM45,""))</f>
        <v>5476.87</v>
      </c>
      <c r="P45" s="38" t="n">
        <f aca="false">IF($A45="","",IFERROR(1/(1/IF($B45="Residential",SUMIFS(INDEX('Oxford Economics'!$A$7:$AZ$1000,0,IFERROR(MATCH(P$5,'Oxford Economics'!$A$6:$AZ$6,0),MATCH(P$5&amp;"",'Oxford Economics'!$A$6:$AZ$6,0))),'Oxford Economics'!$A$7:$A$1000,$C45,'Oxford Economics'!$B$7:$B$1000,Settings!$B$13)-SUMIFS(INDEX('Oxford Economics'!$A$7:$AZ$1000,0,IFERROR(MATCH(P$5,'Oxford Economics'!$A$6:$AZ$6,0),MATCH(P$5&amp;"",'Oxford Economics'!$A$6:$AZ$6,0))),'Oxford Economics'!$A$7:$A$1000,$C45,'Oxford Economics'!$B$7:$B$1000,Settings!$B$15),SUMIFS(INDEX('Oxford Economics'!$A$7:$AZ$1000,0,IFERROR(MATCH(P$5,'Oxford Economics'!$A$6:$AZ$6,0),MATCH(P$5&amp;"",'Oxford Economics'!$A$6:$AZ$6,0))),'Oxford Economics'!$A$7:$A$1000,$C45,'Oxford Economics'!$B$7:$B$1000,Settings!$B$15)+SUMIFS(INDEX('Oxford Economics'!$A$7:$AZ$1000,0,IFERROR(MATCH(P$5,'Oxford Economics'!$A$6:$AZ$6,0),MATCH(P$5&amp;"",'Oxford Economics'!$A$6:$AZ$6,0))),'Oxford Economics'!$A$7:$A$1000,$C45,'Oxford Economics'!$B$7:$B$1000,Settings!$B$17)+IF(Settings!$B$19="",0,SUMIFS(INDEX('Oxford Economics'!$A$7:$AZ$1000,0,IFERROR(MATCH(P$5,'Oxford Economics'!$A$6:$AZ$6,0),MATCH(P$5&amp;"",'Oxford Economics'!$A$6:$AZ$6,0))),'Oxford Economics'!$A$7:$A$1000,$C45,'Oxford Economics'!$B$7:$B$1000,Settings!$B$19)))),""))</f>
        <v>3240.38</v>
      </c>
      <c r="Q45" s="38" t="n">
        <f aca="false">IF($A45="","",IFERROR(1/(1/IF($B45="Residential",SUMIFS(INDEX('Oxford Economics'!$A$7:$AZ$1000,0,IFERROR(MATCH(Q$5,'Oxford Economics'!$A$6:$AZ$6,0),MATCH(Q$5&amp;"",'Oxford Economics'!$A$6:$AZ$6,0))),'Oxford Economics'!$A$7:$A$1000,$C45,'Oxford Economics'!$B$7:$B$1000,Settings!$B$13)-SUMIFS(INDEX('Oxford Economics'!$A$7:$AZ$1000,0,IFERROR(MATCH(Q$5,'Oxford Economics'!$A$6:$AZ$6,0),MATCH(Q$5&amp;"",'Oxford Economics'!$A$6:$AZ$6,0))),'Oxford Economics'!$A$7:$A$1000,$C45,'Oxford Economics'!$B$7:$B$1000,Settings!$B$15),SUMIFS(INDEX('Oxford Economics'!$A$7:$AZ$1000,0,IFERROR(MATCH(Q$5,'Oxford Economics'!$A$6:$AZ$6,0),MATCH(Q$5&amp;"",'Oxford Economics'!$A$6:$AZ$6,0))),'Oxford Economics'!$A$7:$A$1000,$C45,'Oxford Economics'!$B$7:$B$1000,Settings!$B$15)+SUMIFS(INDEX('Oxford Economics'!$A$7:$AZ$1000,0,IFERROR(MATCH(Q$5,'Oxford Economics'!$A$6:$AZ$6,0),MATCH(Q$5&amp;"",'Oxford Economics'!$A$6:$AZ$6,0))),'Oxford Economics'!$A$7:$A$1000,$C45,'Oxford Economics'!$B$7:$B$1000,Settings!$B$17)+IF(Settings!$B$19="",0,SUMIFS(INDEX('Oxford Economics'!$A$7:$AZ$1000,0,IFERROR(MATCH(Q$5,'Oxford Economics'!$A$6:$AZ$6,0),MATCH(Q$5&amp;"",'Oxford Economics'!$A$6:$AZ$6,0))),'Oxford Economics'!$A$7:$A$1000,$C45,'Oxford Economics'!$B$7:$B$1000,Settings!$B$19)))),""))</f>
        <v>3212.13</v>
      </c>
      <c r="R45" s="38" t="n">
        <f aca="false">IF($A45="","",IFERROR(1/(1/IF($B45="Residential",SUMIFS(INDEX('Oxford Economics'!$A$7:$AZ$1000,0,IFERROR(MATCH(R$5,'Oxford Economics'!$A$6:$AZ$6,0),MATCH(R$5&amp;"",'Oxford Economics'!$A$6:$AZ$6,0))),'Oxford Economics'!$A$7:$A$1000,$C45,'Oxford Economics'!$B$7:$B$1000,Settings!$B$13)-SUMIFS(INDEX('Oxford Economics'!$A$7:$AZ$1000,0,IFERROR(MATCH(R$5,'Oxford Economics'!$A$6:$AZ$6,0),MATCH(R$5&amp;"",'Oxford Economics'!$A$6:$AZ$6,0))),'Oxford Economics'!$A$7:$A$1000,$C45,'Oxford Economics'!$B$7:$B$1000,Settings!$B$15),SUMIFS(INDEX('Oxford Economics'!$A$7:$AZ$1000,0,IFERROR(MATCH(R$5,'Oxford Economics'!$A$6:$AZ$6,0),MATCH(R$5&amp;"",'Oxford Economics'!$A$6:$AZ$6,0))),'Oxford Economics'!$A$7:$A$1000,$C45,'Oxford Economics'!$B$7:$B$1000,Settings!$B$15)+SUMIFS(INDEX('Oxford Economics'!$A$7:$AZ$1000,0,IFERROR(MATCH(R$5,'Oxford Economics'!$A$6:$AZ$6,0),MATCH(R$5&amp;"",'Oxford Economics'!$A$6:$AZ$6,0))),'Oxford Economics'!$A$7:$A$1000,$C45,'Oxford Economics'!$B$7:$B$1000,Settings!$B$17)+IF(Settings!$B$19="",0,SUMIFS(INDEX('Oxford Economics'!$A$7:$AZ$1000,0,IFERROR(MATCH(R$5,'Oxford Economics'!$A$6:$AZ$6,0),MATCH(R$5&amp;"",'Oxford Economics'!$A$6:$AZ$6,0))),'Oxford Economics'!$A$7:$A$1000,$C45,'Oxford Economics'!$B$7:$B$1000,Settings!$B$19)))),""))</f>
        <v>3147.47</v>
      </c>
      <c r="S45" s="38" t="n">
        <f aca="false">IF($A45="","",IFERROR(1/(1/IF($B45="Residential",SUMIFS(INDEX('Oxford Economics'!$A$7:$AZ$1000,0,IFERROR(MATCH(S$5,'Oxford Economics'!$A$6:$AZ$6,0),MATCH(S$5&amp;"",'Oxford Economics'!$A$6:$AZ$6,0))),'Oxford Economics'!$A$7:$A$1000,$C45,'Oxford Economics'!$B$7:$B$1000,Settings!$B$13)-SUMIFS(INDEX('Oxford Economics'!$A$7:$AZ$1000,0,IFERROR(MATCH(S$5,'Oxford Economics'!$A$6:$AZ$6,0),MATCH(S$5&amp;"",'Oxford Economics'!$A$6:$AZ$6,0))),'Oxford Economics'!$A$7:$A$1000,$C45,'Oxford Economics'!$B$7:$B$1000,Settings!$B$15),SUMIFS(INDEX('Oxford Economics'!$A$7:$AZ$1000,0,IFERROR(MATCH(S$5,'Oxford Economics'!$A$6:$AZ$6,0),MATCH(S$5&amp;"",'Oxford Economics'!$A$6:$AZ$6,0))),'Oxford Economics'!$A$7:$A$1000,$C45,'Oxford Economics'!$B$7:$B$1000,Settings!$B$15)+SUMIFS(INDEX('Oxford Economics'!$A$7:$AZ$1000,0,IFERROR(MATCH(S$5,'Oxford Economics'!$A$6:$AZ$6,0),MATCH(S$5&amp;"",'Oxford Economics'!$A$6:$AZ$6,0))),'Oxford Economics'!$A$7:$A$1000,$C45,'Oxford Economics'!$B$7:$B$1000,Settings!$B$17)+IF(Settings!$B$19="",0,SUMIFS(INDEX('Oxford Economics'!$A$7:$AZ$1000,0,IFERROR(MATCH(S$5,'Oxford Economics'!$A$6:$AZ$6,0),MATCH(S$5&amp;"",'Oxford Economics'!$A$6:$AZ$6,0))),'Oxford Economics'!$A$7:$A$1000,$C45,'Oxford Economics'!$B$7:$B$1000,Settings!$B$19)))),""))</f>
        <v>3131.19</v>
      </c>
      <c r="T45" s="38" t="n">
        <f aca="false">IF($A45="","",IFERROR(1/(1/IF($B45="Residential",SUMIFS(INDEX('Oxford Economics'!$A$7:$AZ$1000,0,IFERROR(MATCH(T$5,'Oxford Economics'!$A$6:$AZ$6,0),MATCH(T$5&amp;"",'Oxford Economics'!$A$6:$AZ$6,0))),'Oxford Economics'!$A$7:$A$1000,$C45,'Oxford Economics'!$B$7:$B$1000,Settings!$B$13)-SUMIFS(INDEX('Oxford Economics'!$A$7:$AZ$1000,0,IFERROR(MATCH(T$5,'Oxford Economics'!$A$6:$AZ$6,0),MATCH(T$5&amp;"",'Oxford Economics'!$A$6:$AZ$6,0))),'Oxford Economics'!$A$7:$A$1000,$C45,'Oxford Economics'!$B$7:$B$1000,Settings!$B$15),SUMIFS(INDEX('Oxford Economics'!$A$7:$AZ$1000,0,IFERROR(MATCH(T$5,'Oxford Economics'!$A$6:$AZ$6,0),MATCH(T$5&amp;"",'Oxford Economics'!$A$6:$AZ$6,0))),'Oxford Economics'!$A$7:$A$1000,$C45,'Oxford Economics'!$B$7:$B$1000,Settings!$B$15)+SUMIFS(INDEX('Oxford Economics'!$A$7:$AZ$1000,0,IFERROR(MATCH(T$5,'Oxford Economics'!$A$6:$AZ$6,0),MATCH(T$5&amp;"",'Oxford Economics'!$A$6:$AZ$6,0))),'Oxford Economics'!$A$7:$A$1000,$C45,'Oxford Economics'!$B$7:$B$1000,Settings!$B$17)+IF(Settings!$B$19="",0,SUMIFS(INDEX('Oxford Economics'!$A$7:$AZ$1000,0,IFERROR(MATCH(T$5,'Oxford Economics'!$A$6:$AZ$6,0),MATCH(T$5&amp;"",'Oxford Economics'!$A$6:$AZ$6,0))),'Oxford Economics'!$A$7:$A$1000,$C45,'Oxford Economics'!$B$7:$B$1000,Settings!$B$19)))),""))</f>
        <v>3000.91</v>
      </c>
      <c r="U45" s="38" t="n">
        <f aca="false">IF($A45="","",IFERROR(1/(1/IF($B45="Residential",SUMIFS(INDEX('Oxford Economics'!$A$7:$AZ$1000,0,IFERROR(MATCH(U$5,'Oxford Economics'!$A$6:$AZ$6,0),MATCH(U$5&amp;"",'Oxford Economics'!$A$6:$AZ$6,0))),'Oxford Economics'!$A$7:$A$1000,$C45,'Oxford Economics'!$B$7:$B$1000,Settings!$B$13)-SUMIFS(INDEX('Oxford Economics'!$A$7:$AZ$1000,0,IFERROR(MATCH(U$5,'Oxford Economics'!$A$6:$AZ$6,0),MATCH(U$5&amp;"",'Oxford Economics'!$A$6:$AZ$6,0))),'Oxford Economics'!$A$7:$A$1000,$C45,'Oxford Economics'!$B$7:$B$1000,Settings!$B$15),SUMIFS(INDEX('Oxford Economics'!$A$7:$AZ$1000,0,IFERROR(MATCH(U$5,'Oxford Economics'!$A$6:$AZ$6,0),MATCH(U$5&amp;"",'Oxford Economics'!$A$6:$AZ$6,0))),'Oxford Economics'!$A$7:$A$1000,$C45,'Oxford Economics'!$B$7:$B$1000,Settings!$B$15)+SUMIFS(INDEX('Oxford Economics'!$A$7:$AZ$1000,0,IFERROR(MATCH(U$5,'Oxford Economics'!$A$6:$AZ$6,0),MATCH(U$5&amp;"",'Oxford Economics'!$A$6:$AZ$6,0))),'Oxford Economics'!$A$7:$A$1000,$C45,'Oxford Economics'!$B$7:$B$1000,Settings!$B$17)+IF(Settings!$B$19="",0,SUMIFS(INDEX('Oxford Economics'!$A$7:$AZ$1000,0,IFERROR(MATCH(U$5,'Oxford Economics'!$A$6:$AZ$6,0),MATCH(U$5&amp;"",'Oxford Economics'!$A$6:$AZ$6,0))),'Oxford Economics'!$A$7:$A$1000,$C45,'Oxford Economics'!$B$7:$B$1000,Settings!$B$19)))),""))</f>
        <v>2938.33</v>
      </c>
      <c r="V45" s="38" t="n">
        <f aca="false">IF($A45="","",IFERROR(1/(1/IF($B45="Residential",SUMIFS(INDEX('Oxford Economics'!$A$7:$AZ$1000,0,IFERROR(MATCH(V$5,'Oxford Economics'!$A$6:$AZ$6,0),MATCH(V$5&amp;"",'Oxford Economics'!$A$6:$AZ$6,0))),'Oxford Economics'!$A$7:$A$1000,$C45,'Oxford Economics'!$B$7:$B$1000,Settings!$B$13)-SUMIFS(INDEX('Oxford Economics'!$A$7:$AZ$1000,0,IFERROR(MATCH(V$5,'Oxford Economics'!$A$6:$AZ$6,0),MATCH(V$5&amp;"",'Oxford Economics'!$A$6:$AZ$6,0))),'Oxford Economics'!$A$7:$A$1000,$C45,'Oxford Economics'!$B$7:$B$1000,Settings!$B$15),SUMIFS(INDEX('Oxford Economics'!$A$7:$AZ$1000,0,IFERROR(MATCH(V$5,'Oxford Economics'!$A$6:$AZ$6,0),MATCH(V$5&amp;"",'Oxford Economics'!$A$6:$AZ$6,0))),'Oxford Economics'!$A$7:$A$1000,$C45,'Oxford Economics'!$B$7:$B$1000,Settings!$B$15)+SUMIFS(INDEX('Oxford Economics'!$A$7:$AZ$1000,0,IFERROR(MATCH(V$5,'Oxford Economics'!$A$6:$AZ$6,0),MATCH(V$5&amp;"",'Oxford Economics'!$A$6:$AZ$6,0))),'Oxford Economics'!$A$7:$A$1000,$C45,'Oxford Economics'!$B$7:$B$1000,Settings!$B$17)+IF(Settings!$B$19="",0,SUMIFS(INDEX('Oxford Economics'!$A$7:$AZ$1000,0,IFERROR(MATCH(V$5,'Oxford Economics'!$A$6:$AZ$6,0),MATCH(V$5&amp;"",'Oxford Economics'!$A$6:$AZ$6,0))),'Oxford Economics'!$A$7:$A$1000,$C45,'Oxford Economics'!$B$7:$B$1000,Settings!$B$19)))),""))</f>
        <v>3025.49</v>
      </c>
      <c r="W45" s="38" t="n">
        <f aca="false">IF($A45="","",IFERROR(1/(1/IF($B45="Residential",SUMIFS(INDEX('Oxford Economics'!$A$7:$AZ$1000,0,IFERROR(MATCH(W$5,'Oxford Economics'!$A$6:$AZ$6,0),MATCH(W$5&amp;"",'Oxford Economics'!$A$6:$AZ$6,0))),'Oxford Economics'!$A$7:$A$1000,$C45,'Oxford Economics'!$B$7:$B$1000,Settings!$B$13)-SUMIFS(INDEX('Oxford Economics'!$A$7:$AZ$1000,0,IFERROR(MATCH(W$5,'Oxford Economics'!$A$6:$AZ$6,0),MATCH(W$5&amp;"",'Oxford Economics'!$A$6:$AZ$6,0))),'Oxford Economics'!$A$7:$A$1000,$C45,'Oxford Economics'!$B$7:$B$1000,Settings!$B$15),SUMIFS(INDEX('Oxford Economics'!$A$7:$AZ$1000,0,IFERROR(MATCH(W$5,'Oxford Economics'!$A$6:$AZ$6,0),MATCH(W$5&amp;"",'Oxford Economics'!$A$6:$AZ$6,0))),'Oxford Economics'!$A$7:$A$1000,$C45,'Oxford Economics'!$B$7:$B$1000,Settings!$B$15)+SUMIFS(INDEX('Oxford Economics'!$A$7:$AZ$1000,0,IFERROR(MATCH(W$5,'Oxford Economics'!$A$6:$AZ$6,0),MATCH(W$5&amp;"",'Oxford Economics'!$A$6:$AZ$6,0))),'Oxford Economics'!$A$7:$A$1000,$C45,'Oxford Economics'!$B$7:$B$1000,Settings!$B$17)+IF(Settings!$B$19="",0,SUMIFS(INDEX('Oxford Economics'!$A$7:$AZ$1000,0,IFERROR(MATCH(W$5,'Oxford Economics'!$A$6:$AZ$6,0),MATCH(W$5&amp;"",'Oxford Economics'!$A$6:$AZ$6,0))),'Oxford Economics'!$A$7:$A$1000,$C45,'Oxford Economics'!$B$7:$B$1000,Settings!$B$19)))),""))</f>
        <v>3301.31</v>
      </c>
      <c r="X45" s="38" t="n">
        <f aca="false">IF($A45="","",IFERROR(1/(1/IF($B45="Residential",SUMIFS(INDEX('Oxford Economics'!$A$7:$AZ$1000,0,IFERROR(MATCH(X$5,'Oxford Economics'!$A$6:$AZ$6,0),MATCH(X$5&amp;"",'Oxford Economics'!$A$6:$AZ$6,0))),'Oxford Economics'!$A$7:$A$1000,$C45,'Oxford Economics'!$B$7:$B$1000,Settings!$B$13)-SUMIFS(INDEX('Oxford Economics'!$A$7:$AZ$1000,0,IFERROR(MATCH(X$5,'Oxford Economics'!$A$6:$AZ$6,0),MATCH(X$5&amp;"",'Oxford Economics'!$A$6:$AZ$6,0))),'Oxford Economics'!$A$7:$A$1000,$C45,'Oxford Economics'!$B$7:$B$1000,Settings!$B$15),SUMIFS(INDEX('Oxford Economics'!$A$7:$AZ$1000,0,IFERROR(MATCH(X$5,'Oxford Economics'!$A$6:$AZ$6,0),MATCH(X$5&amp;"",'Oxford Economics'!$A$6:$AZ$6,0))),'Oxford Economics'!$A$7:$A$1000,$C45,'Oxford Economics'!$B$7:$B$1000,Settings!$B$15)+SUMIFS(INDEX('Oxford Economics'!$A$7:$AZ$1000,0,IFERROR(MATCH(X$5,'Oxford Economics'!$A$6:$AZ$6,0),MATCH(X$5&amp;"",'Oxford Economics'!$A$6:$AZ$6,0))),'Oxford Economics'!$A$7:$A$1000,$C45,'Oxford Economics'!$B$7:$B$1000,Settings!$B$17)+IF(Settings!$B$19="",0,SUMIFS(INDEX('Oxford Economics'!$A$7:$AZ$1000,0,IFERROR(MATCH(X$5,'Oxford Economics'!$A$6:$AZ$6,0),MATCH(X$5&amp;"",'Oxford Economics'!$A$6:$AZ$6,0))),'Oxford Economics'!$A$7:$A$1000,$C45,'Oxford Economics'!$B$7:$B$1000,Settings!$B$19)))),""))</f>
        <v>3437.98</v>
      </c>
      <c r="Y45" s="38" t="n">
        <f aca="false">IF($A45="","",IFERROR(1/(1/IF($B45="Residential",SUMIFS(INDEX('Oxford Economics'!$A$7:$AZ$1000,0,IFERROR(MATCH(Y$5,'Oxford Economics'!$A$6:$AZ$6,0),MATCH(Y$5&amp;"",'Oxford Economics'!$A$6:$AZ$6,0))),'Oxford Economics'!$A$7:$A$1000,$C45,'Oxford Economics'!$B$7:$B$1000,Settings!$B$13)-SUMIFS(INDEX('Oxford Economics'!$A$7:$AZ$1000,0,IFERROR(MATCH(Y$5,'Oxford Economics'!$A$6:$AZ$6,0),MATCH(Y$5&amp;"",'Oxford Economics'!$A$6:$AZ$6,0))),'Oxford Economics'!$A$7:$A$1000,$C45,'Oxford Economics'!$B$7:$B$1000,Settings!$B$15),SUMIFS(INDEX('Oxford Economics'!$A$7:$AZ$1000,0,IFERROR(MATCH(Y$5,'Oxford Economics'!$A$6:$AZ$6,0),MATCH(Y$5&amp;"",'Oxford Economics'!$A$6:$AZ$6,0))),'Oxford Economics'!$A$7:$A$1000,$C45,'Oxford Economics'!$B$7:$B$1000,Settings!$B$15)+SUMIFS(INDEX('Oxford Economics'!$A$7:$AZ$1000,0,IFERROR(MATCH(Y$5,'Oxford Economics'!$A$6:$AZ$6,0),MATCH(Y$5&amp;"",'Oxford Economics'!$A$6:$AZ$6,0))),'Oxford Economics'!$A$7:$A$1000,$C45,'Oxford Economics'!$B$7:$B$1000,Settings!$B$17)+IF(Settings!$B$19="",0,SUMIFS(INDEX('Oxford Economics'!$A$7:$AZ$1000,0,IFERROR(MATCH(Y$5,'Oxford Economics'!$A$6:$AZ$6,0),MATCH(Y$5&amp;"",'Oxford Economics'!$A$6:$AZ$6,0))),'Oxford Economics'!$A$7:$A$1000,$C45,'Oxford Economics'!$B$7:$B$1000,Settings!$B$19)))),""))</f>
        <v>3473.29</v>
      </c>
      <c r="Z45" s="38" t="n">
        <f aca="false">IF($A45="","",IFERROR(1/(1/IF($B45="Residential",SUMIFS(INDEX('Oxford Economics'!$A$7:$AZ$1000,0,IFERROR(MATCH(Z$5,'Oxford Economics'!$A$6:$AZ$6,0),MATCH(Z$5&amp;"",'Oxford Economics'!$A$6:$AZ$6,0))),'Oxford Economics'!$A$7:$A$1000,$C45,'Oxford Economics'!$B$7:$B$1000,Settings!$B$13)-SUMIFS(INDEX('Oxford Economics'!$A$7:$AZ$1000,0,IFERROR(MATCH(Z$5,'Oxford Economics'!$A$6:$AZ$6,0),MATCH(Z$5&amp;"",'Oxford Economics'!$A$6:$AZ$6,0))),'Oxford Economics'!$A$7:$A$1000,$C45,'Oxford Economics'!$B$7:$B$1000,Settings!$B$15),SUMIFS(INDEX('Oxford Economics'!$A$7:$AZ$1000,0,IFERROR(MATCH(Z$5,'Oxford Economics'!$A$6:$AZ$6,0),MATCH(Z$5&amp;"",'Oxford Economics'!$A$6:$AZ$6,0))),'Oxford Economics'!$A$7:$A$1000,$C45,'Oxford Economics'!$B$7:$B$1000,Settings!$B$15)+SUMIFS(INDEX('Oxford Economics'!$A$7:$AZ$1000,0,IFERROR(MATCH(Z$5,'Oxford Economics'!$A$6:$AZ$6,0),MATCH(Z$5&amp;"",'Oxford Economics'!$A$6:$AZ$6,0))),'Oxford Economics'!$A$7:$A$1000,$C45,'Oxford Economics'!$B$7:$B$1000,Settings!$B$17)+IF(Settings!$B$19="",0,SUMIFS(INDEX('Oxford Economics'!$A$7:$AZ$1000,0,IFERROR(MATCH(Z$5,'Oxford Economics'!$A$6:$AZ$6,0),MATCH(Z$5&amp;"",'Oxford Economics'!$A$6:$AZ$6,0))),'Oxford Economics'!$A$7:$A$1000,$C45,'Oxford Economics'!$B$7:$B$1000,Settings!$B$19)))),""))</f>
        <v>3484.06</v>
      </c>
      <c r="AA45" s="38" t="n">
        <f aca="false">IF($A45="","",IFERROR(1/(1/IF($B45="Residential",SUMIFS(INDEX('Oxford Economics'!$A$7:$AZ$1000,0,IFERROR(MATCH(AA$5,'Oxford Economics'!$A$6:$AZ$6,0),MATCH(AA$5&amp;"",'Oxford Economics'!$A$6:$AZ$6,0))),'Oxford Economics'!$A$7:$A$1000,$C45,'Oxford Economics'!$B$7:$B$1000,Settings!$B$13)-SUMIFS(INDEX('Oxford Economics'!$A$7:$AZ$1000,0,IFERROR(MATCH(AA$5,'Oxford Economics'!$A$6:$AZ$6,0),MATCH(AA$5&amp;"",'Oxford Economics'!$A$6:$AZ$6,0))),'Oxford Economics'!$A$7:$A$1000,$C45,'Oxford Economics'!$B$7:$B$1000,Settings!$B$15),SUMIFS(INDEX('Oxford Economics'!$A$7:$AZ$1000,0,IFERROR(MATCH(AA$5,'Oxford Economics'!$A$6:$AZ$6,0),MATCH(AA$5&amp;"",'Oxford Economics'!$A$6:$AZ$6,0))),'Oxford Economics'!$A$7:$A$1000,$C45,'Oxford Economics'!$B$7:$B$1000,Settings!$B$15)+SUMIFS(INDEX('Oxford Economics'!$A$7:$AZ$1000,0,IFERROR(MATCH(AA$5,'Oxford Economics'!$A$6:$AZ$6,0),MATCH(AA$5&amp;"",'Oxford Economics'!$A$6:$AZ$6,0))),'Oxford Economics'!$A$7:$A$1000,$C45,'Oxford Economics'!$B$7:$B$1000,Settings!$B$17)+IF(Settings!$B$19="",0,SUMIFS(INDEX('Oxford Economics'!$A$7:$AZ$1000,0,IFERROR(MATCH(AA$5,'Oxford Economics'!$A$6:$AZ$6,0),MATCH(AA$5&amp;"",'Oxford Economics'!$A$6:$AZ$6,0))),'Oxford Economics'!$A$7:$A$1000,$C45,'Oxford Economics'!$B$7:$B$1000,Settings!$B$19)))),""))</f>
        <v>3501.42</v>
      </c>
      <c r="AB45" s="38" t="n">
        <f aca="false">IF($A45="","",IFERROR(1/(1/IF($B45="Residential",SUMIFS(INDEX('Oxford Economics'!$A$7:$AZ$1000,0,IFERROR(MATCH(AB$5,'Oxford Economics'!$A$6:$AZ$6,0),MATCH(AB$5&amp;"",'Oxford Economics'!$A$6:$AZ$6,0))),'Oxford Economics'!$A$7:$A$1000,$C45,'Oxford Economics'!$B$7:$B$1000,Settings!$B$12)-SUMIFS(INDEX('Oxford Economics'!$A$7:$AZ$1000,0,IFERROR(MATCH(AB$5,'Oxford Economics'!$A$6:$AZ$6,0),MATCH(AB$5&amp;"",'Oxford Economics'!$A$6:$AZ$6,0))),'Oxford Economics'!$A$7:$A$1000,$C45,'Oxford Economics'!$B$7:$B$1000,Settings!$B$14),SUMIFS(INDEX('Oxford Economics'!$A$7:$AZ$1000,0,IFERROR(MATCH(AB$5,'Oxford Economics'!$A$6:$AZ$6,0),MATCH(AB$5&amp;"",'Oxford Economics'!$A$6:$AZ$6,0))),'Oxford Economics'!$A$7:$A$1000,$C45,'Oxford Economics'!$B$7:$B$1000,Settings!$B$14)+SUMIFS(INDEX('Oxford Economics'!$A$7:$AZ$1000,0,IFERROR(MATCH(AB$5,'Oxford Economics'!$A$6:$AZ$6,0),MATCH(AB$5&amp;"",'Oxford Economics'!$A$6:$AZ$6,0))),'Oxford Economics'!$A$7:$A$1000,$C45,'Oxford Economics'!$B$7:$B$1000,Settings!$B$16)+IF(Settings!$B$18="",0,SUMIFS(INDEX('Oxford Economics'!$A$7:$AZ$1000,0,IFERROR(MATCH(AB$5,'Oxford Economics'!$A$6:$AZ$6,0),MATCH(AB$5&amp;"",'Oxford Economics'!$A$6:$AZ$6,0))),'Oxford Economics'!$A$7:$A$1000,$C45,'Oxford Economics'!$B$7:$B$1000,Settings!$B$18)))),""))</f>
        <v>3250.25</v>
      </c>
      <c r="AC45" s="38" t="n">
        <f aca="false">IF($A45="","",IFERROR(1/(1/IF($B45="Residential",SUMIFS(INDEX('Oxford Economics'!$A$7:$AZ$1000,0,IFERROR(MATCH(AC$5,'Oxford Economics'!$A$6:$AZ$6,0),MATCH(AC$5&amp;"",'Oxford Economics'!$A$6:$AZ$6,0))),'Oxford Economics'!$A$7:$A$1000,$C45,'Oxford Economics'!$B$7:$B$1000,Settings!$B$12)-SUMIFS(INDEX('Oxford Economics'!$A$7:$AZ$1000,0,IFERROR(MATCH(AC$5,'Oxford Economics'!$A$6:$AZ$6,0),MATCH(AC$5&amp;"",'Oxford Economics'!$A$6:$AZ$6,0))),'Oxford Economics'!$A$7:$A$1000,$C45,'Oxford Economics'!$B$7:$B$1000,Settings!$B$14),SUMIFS(INDEX('Oxford Economics'!$A$7:$AZ$1000,0,IFERROR(MATCH(AC$5,'Oxford Economics'!$A$6:$AZ$6,0),MATCH(AC$5&amp;"",'Oxford Economics'!$A$6:$AZ$6,0))),'Oxford Economics'!$A$7:$A$1000,$C45,'Oxford Economics'!$B$7:$B$1000,Settings!$B$14)+SUMIFS(INDEX('Oxford Economics'!$A$7:$AZ$1000,0,IFERROR(MATCH(AC$5,'Oxford Economics'!$A$6:$AZ$6,0),MATCH(AC$5&amp;"",'Oxford Economics'!$A$6:$AZ$6,0))),'Oxford Economics'!$A$7:$A$1000,$C45,'Oxford Economics'!$B$7:$B$1000,Settings!$B$16)+IF(Settings!$B$18="",0,SUMIFS(INDEX('Oxford Economics'!$A$7:$AZ$1000,0,IFERROR(MATCH(AC$5,'Oxford Economics'!$A$6:$AZ$6,0),MATCH(AC$5&amp;"",'Oxford Economics'!$A$6:$AZ$6,0))),'Oxford Economics'!$A$7:$A$1000,$C45,'Oxford Economics'!$B$7:$B$1000,Settings!$B$18)))),""))</f>
        <v>3467.3</v>
      </c>
      <c r="AD45" s="38" t="n">
        <f aca="false">IF($A45="","",IFERROR(1/(1/IF($B45="Residential",SUMIFS(INDEX('Oxford Economics'!$A$7:$AZ$1000,0,IFERROR(MATCH(AD$5,'Oxford Economics'!$A$6:$AZ$6,0),MATCH(AD$5&amp;"",'Oxford Economics'!$A$6:$AZ$6,0))),'Oxford Economics'!$A$7:$A$1000,$C45,'Oxford Economics'!$B$7:$B$1000,Settings!$B$12)-SUMIFS(INDEX('Oxford Economics'!$A$7:$AZ$1000,0,IFERROR(MATCH(AD$5,'Oxford Economics'!$A$6:$AZ$6,0),MATCH(AD$5&amp;"",'Oxford Economics'!$A$6:$AZ$6,0))),'Oxford Economics'!$A$7:$A$1000,$C45,'Oxford Economics'!$B$7:$B$1000,Settings!$B$14),SUMIFS(INDEX('Oxford Economics'!$A$7:$AZ$1000,0,IFERROR(MATCH(AD$5,'Oxford Economics'!$A$6:$AZ$6,0),MATCH(AD$5&amp;"",'Oxford Economics'!$A$6:$AZ$6,0))),'Oxford Economics'!$A$7:$A$1000,$C45,'Oxford Economics'!$B$7:$B$1000,Settings!$B$14)+SUMIFS(INDEX('Oxford Economics'!$A$7:$AZ$1000,0,IFERROR(MATCH(AD$5,'Oxford Economics'!$A$6:$AZ$6,0),MATCH(AD$5&amp;"",'Oxford Economics'!$A$6:$AZ$6,0))),'Oxford Economics'!$A$7:$A$1000,$C45,'Oxford Economics'!$B$7:$B$1000,Settings!$B$16)+IF(Settings!$B$18="",0,SUMIFS(INDEX('Oxford Economics'!$A$7:$AZ$1000,0,IFERROR(MATCH(AD$5,'Oxford Economics'!$A$6:$AZ$6,0),MATCH(AD$5&amp;"",'Oxford Economics'!$A$6:$AZ$6,0))),'Oxford Economics'!$A$7:$A$1000,$C45,'Oxford Economics'!$B$7:$B$1000,Settings!$B$18)))),""))</f>
        <v>3488.44</v>
      </c>
      <c r="AE45" s="38" t="n">
        <f aca="false">IF($A45="","",IFERROR(1/(1/IF($B45="Residential",SUMIFS(INDEX('Oxford Economics'!$A$7:$AZ$1000,0,IFERROR(MATCH(AE$5,'Oxford Economics'!$A$6:$AZ$6,0),MATCH(AE$5&amp;"",'Oxford Economics'!$A$6:$AZ$6,0))),'Oxford Economics'!$A$7:$A$1000,$C45,'Oxford Economics'!$B$7:$B$1000,Settings!$B$12)-SUMIFS(INDEX('Oxford Economics'!$A$7:$AZ$1000,0,IFERROR(MATCH(AE$5,'Oxford Economics'!$A$6:$AZ$6,0),MATCH(AE$5&amp;"",'Oxford Economics'!$A$6:$AZ$6,0))),'Oxford Economics'!$A$7:$A$1000,$C45,'Oxford Economics'!$B$7:$B$1000,Settings!$B$14),SUMIFS(INDEX('Oxford Economics'!$A$7:$AZ$1000,0,IFERROR(MATCH(AE$5,'Oxford Economics'!$A$6:$AZ$6,0),MATCH(AE$5&amp;"",'Oxford Economics'!$A$6:$AZ$6,0))),'Oxford Economics'!$A$7:$A$1000,$C45,'Oxford Economics'!$B$7:$B$1000,Settings!$B$14)+SUMIFS(INDEX('Oxford Economics'!$A$7:$AZ$1000,0,IFERROR(MATCH(AE$5,'Oxford Economics'!$A$6:$AZ$6,0),MATCH(AE$5&amp;"",'Oxford Economics'!$A$6:$AZ$6,0))),'Oxford Economics'!$A$7:$A$1000,$C45,'Oxford Economics'!$B$7:$B$1000,Settings!$B$16)+IF(Settings!$B$18="",0,SUMIFS(INDEX('Oxford Economics'!$A$7:$AZ$1000,0,IFERROR(MATCH(AE$5,'Oxford Economics'!$A$6:$AZ$6,0),MATCH(AE$5&amp;"",'Oxford Economics'!$A$6:$AZ$6,0))),'Oxford Economics'!$A$7:$A$1000,$C45,'Oxford Economics'!$B$7:$B$1000,Settings!$B$18)))),""))</f>
        <v>2514.38</v>
      </c>
      <c r="AF45" s="38" t="n">
        <f aca="false">IF($A45="","",IFERROR(1/(1/IF($B45="Residential",SUMIFS(INDEX('Oxford Economics'!$A$7:$AZ$1000,0,IFERROR(MATCH(AF$5,'Oxford Economics'!$A$6:$AZ$6,0),MATCH(AF$5&amp;"",'Oxford Economics'!$A$6:$AZ$6,0))),'Oxford Economics'!$A$7:$A$1000,$C45,'Oxford Economics'!$B$7:$B$1000,Settings!$B$12)-SUMIFS(INDEX('Oxford Economics'!$A$7:$AZ$1000,0,IFERROR(MATCH(AF$5,'Oxford Economics'!$A$6:$AZ$6,0),MATCH(AF$5&amp;"",'Oxford Economics'!$A$6:$AZ$6,0))),'Oxford Economics'!$A$7:$A$1000,$C45,'Oxford Economics'!$B$7:$B$1000,Settings!$B$14),SUMIFS(INDEX('Oxford Economics'!$A$7:$AZ$1000,0,IFERROR(MATCH(AF$5,'Oxford Economics'!$A$6:$AZ$6,0),MATCH(AF$5&amp;"",'Oxford Economics'!$A$6:$AZ$6,0))),'Oxford Economics'!$A$7:$A$1000,$C45,'Oxford Economics'!$B$7:$B$1000,Settings!$B$14)+SUMIFS(INDEX('Oxford Economics'!$A$7:$AZ$1000,0,IFERROR(MATCH(AF$5,'Oxford Economics'!$A$6:$AZ$6,0),MATCH(AF$5&amp;"",'Oxford Economics'!$A$6:$AZ$6,0))),'Oxford Economics'!$A$7:$A$1000,$C45,'Oxford Economics'!$B$7:$B$1000,Settings!$B$16)+IF(Settings!$B$18="",0,SUMIFS(INDEX('Oxford Economics'!$A$7:$AZ$1000,0,IFERROR(MATCH(AF$5,'Oxford Economics'!$A$6:$AZ$6,0),MATCH(AF$5&amp;"",'Oxford Economics'!$A$6:$AZ$6,0))),'Oxford Economics'!$A$7:$A$1000,$C45,'Oxford Economics'!$B$7:$B$1000,Settings!$B$18)))),""))</f>
        <v>1820.9</v>
      </c>
      <c r="AG45" s="38" t="n">
        <f aca="false">IF($A45="","",IFERROR(1/(1/IF($B45="Residential",SUMIFS(INDEX('Oxford Economics'!$A$7:$AZ$1000,0,IFERROR(MATCH(AG$5,'Oxford Economics'!$A$6:$AZ$6,0),MATCH(AG$5&amp;"",'Oxford Economics'!$A$6:$AZ$6,0))),'Oxford Economics'!$A$7:$A$1000,$C45,'Oxford Economics'!$B$7:$B$1000,Settings!$B$12)-SUMIFS(INDEX('Oxford Economics'!$A$7:$AZ$1000,0,IFERROR(MATCH(AG$5,'Oxford Economics'!$A$6:$AZ$6,0),MATCH(AG$5&amp;"",'Oxford Economics'!$A$6:$AZ$6,0))),'Oxford Economics'!$A$7:$A$1000,$C45,'Oxford Economics'!$B$7:$B$1000,Settings!$B$14),SUMIFS(INDEX('Oxford Economics'!$A$7:$AZ$1000,0,IFERROR(MATCH(AG$5,'Oxford Economics'!$A$6:$AZ$6,0),MATCH(AG$5&amp;"",'Oxford Economics'!$A$6:$AZ$6,0))),'Oxford Economics'!$A$7:$A$1000,$C45,'Oxford Economics'!$B$7:$B$1000,Settings!$B$14)+SUMIFS(INDEX('Oxford Economics'!$A$7:$AZ$1000,0,IFERROR(MATCH(AG$5,'Oxford Economics'!$A$6:$AZ$6,0),MATCH(AG$5&amp;"",'Oxford Economics'!$A$6:$AZ$6,0))),'Oxford Economics'!$A$7:$A$1000,$C45,'Oxford Economics'!$B$7:$B$1000,Settings!$B$16)+IF(Settings!$B$18="",0,SUMIFS(INDEX('Oxford Economics'!$A$7:$AZ$1000,0,IFERROR(MATCH(AG$5,'Oxford Economics'!$A$6:$AZ$6,0),MATCH(AG$5&amp;"",'Oxford Economics'!$A$6:$AZ$6,0))),'Oxford Economics'!$A$7:$A$1000,$C45,'Oxford Economics'!$B$7:$B$1000,Settings!$B$18)))),""))</f>
        <v>1756.69</v>
      </c>
      <c r="AH45" s="38" t="n">
        <f aca="false">IF($A45="","",IFERROR(1/(1/IF($B45="Residential",SUMIFS(INDEX('Oxford Economics'!$A$7:$AZ$1000,0,IFERROR(MATCH(AH$5,'Oxford Economics'!$A$6:$AZ$6,0),MATCH(AH$5&amp;"",'Oxford Economics'!$A$6:$AZ$6,0))),'Oxford Economics'!$A$7:$A$1000,$C45,'Oxford Economics'!$B$7:$B$1000,Settings!$B$12)-SUMIFS(INDEX('Oxford Economics'!$A$7:$AZ$1000,0,IFERROR(MATCH(AH$5,'Oxford Economics'!$A$6:$AZ$6,0),MATCH(AH$5&amp;"",'Oxford Economics'!$A$6:$AZ$6,0))),'Oxford Economics'!$A$7:$A$1000,$C45,'Oxford Economics'!$B$7:$B$1000,Settings!$B$14),SUMIFS(INDEX('Oxford Economics'!$A$7:$AZ$1000,0,IFERROR(MATCH(AH$5,'Oxford Economics'!$A$6:$AZ$6,0),MATCH(AH$5&amp;"",'Oxford Economics'!$A$6:$AZ$6,0))),'Oxford Economics'!$A$7:$A$1000,$C45,'Oxford Economics'!$B$7:$B$1000,Settings!$B$14)+SUMIFS(INDEX('Oxford Economics'!$A$7:$AZ$1000,0,IFERROR(MATCH(AH$5,'Oxford Economics'!$A$6:$AZ$6,0),MATCH(AH$5&amp;"",'Oxford Economics'!$A$6:$AZ$6,0))),'Oxford Economics'!$A$7:$A$1000,$C45,'Oxford Economics'!$B$7:$B$1000,Settings!$B$16)+IF(Settings!$B$18="",0,SUMIFS(INDEX('Oxford Economics'!$A$7:$AZ$1000,0,IFERROR(MATCH(AH$5,'Oxford Economics'!$A$6:$AZ$6,0),MATCH(AH$5&amp;"",'Oxford Economics'!$A$6:$AZ$6,0))),'Oxford Economics'!$A$7:$A$1000,$C45,'Oxford Economics'!$B$7:$B$1000,Settings!$B$18)))),""))</f>
        <v>1629.49</v>
      </c>
      <c r="AI45" s="38" t="n">
        <f aca="false">IF($A45="","",IFERROR(1/(1/IF($B45="Residential",SUMIFS(INDEX('Oxford Economics'!$A$7:$AZ$1000,0,IFERROR(MATCH(AI$5,'Oxford Economics'!$A$6:$AZ$6,0),MATCH(AI$5&amp;"",'Oxford Economics'!$A$6:$AZ$6,0))),'Oxford Economics'!$A$7:$A$1000,$C45,'Oxford Economics'!$B$7:$B$1000,Settings!$B$12)-SUMIFS(INDEX('Oxford Economics'!$A$7:$AZ$1000,0,IFERROR(MATCH(AI$5,'Oxford Economics'!$A$6:$AZ$6,0),MATCH(AI$5&amp;"",'Oxford Economics'!$A$6:$AZ$6,0))),'Oxford Economics'!$A$7:$A$1000,$C45,'Oxford Economics'!$B$7:$B$1000,Settings!$B$14),SUMIFS(INDEX('Oxford Economics'!$A$7:$AZ$1000,0,IFERROR(MATCH(AI$5,'Oxford Economics'!$A$6:$AZ$6,0),MATCH(AI$5&amp;"",'Oxford Economics'!$A$6:$AZ$6,0))),'Oxford Economics'!$A$7:$A$1000,$C45,'Oxford Economics'!$B$7:$B$1000,Settings!$B$14)+SUMIFS(INDEX('Oxford Economics'!$A$7:$AZ$1000,0,IFERROR(MATCH(AI$5,'Oxford Economics'!$A$6:$AZ$6,0),MATCH(AI$5&amp;"",'Oxford Economics'!$A$6:$AZ$6,0))),'Oxford Economics'!$A$7:$A$1000,$C45,'Oxford Economics'!$B$7:$B$1000,Settings!$B$16)+IF(Settings!$B$18="",0,SUMIFS(INDEX('Oxford Economics'!$A$7:$AZ$1000,0,IFERROR(MATCH(AI$5,'Oxford Economics'!$A$6:$AZ$6,0),MATCH(AI$5&amp;"",'Oxford Economics'!$A$6:$AZ$6,0))),'Oxford Economics'!$A$7:$A$1000,$C45,'Oxford Economics'!$B$7:$B$1000,Settings!$B$18)))),""))</f>
        <v>1560.5</v>
      </c>
      <c r="AJ45" s="38" t="n">
        <f aca="false">IF($A45="","",IFERROR(1/(1/IF($B45="Residential",SUMIFS(INDEX('Oxford Economics'!$A$7:$AZ$1000,0,IFERROR(MATCH(AJ$5,'Oxford Economics'!$A$6:$AZ$6,0),MATCH(AJ$5&amp;"",'Oxford Economics'!$A$6:$AZ$6,0))),'Oxford Economics'!$A$7:$A$1000,$C45,'Oxford Economics'!$B$7:$B$1000,Settings!$B$12)-SUMIFS(INDEX('Oxford Economics'!$A$7:$AZ$1000,0,IFERROR(MATCH(AJ$5,'Oxford Economics'!$A$6:$AZ$6,0),MATCH(AJ$5&amp;"",'Oxford Economics'!$A$6:$AZ$6,0))),'Oxford Economics'!$A$7:$A$1000,$C45,'Oxford Economics'!$B$7:$B$1000,Settings!$B$14),SUMIFS(INDEX('Oxford Economics'!$A$7:$AZ$1000,0,IFERROR(MATCH(AJ$5,'Oxford Economics'!$A$6:$AZ$6,0),MATCH(AJ$5&amp;"",'Oxford Economics'!$A$6:$AZ$6,0))),'Oxford Economics'!$A$7:$A$1000,$C45,'Oxford Economics'!$B$7:$B$1000,Settings!$B$14)+SUMIFS(INDEX('Oxford Economics'!$A$7:$AZ$1000,0,IFERROR(MATCH(AJ$5,'Oxford Economics'!$A$6:$AZ$6,0),MATCH(AJ$5&amp;"",'Oxford Economics'!$A$6:$AZ$6,0))),'Oxford Economics'!$A$7:$A$1000,$C45,'Oxford Economics'!$B$7:$B$1000,Settings!$B$16)+IF(Settings!$B$18="",0,SUMIFS(INDEX('Oxford Economics'!$A$7:$AZ$1000,0,IFERROR(MATCH(AJ$5,'Oxford Economics'!$A$6:$AZ$6,0),MATCH(AJ$5&amp;"",'Oxford Economics'!$A$6:$AZ$6,0))),'Oxford Economics'!$A$7:$A$1000,$C45,'Oxford Economics'!$B$7:$B$1000,Settings!$B$18)))),""))</f>
        <v>1633.39</v>
      </c>
      <c r="AK45" s="38" t="n">
        <f aca="false">IF($A45="","",IFERROR(1/(1/IF($B45="Residential",SUMIFS(INDEX('Oxford Economics'!$A$7:$AZ$1000,0,IFERROR(MATCH(AK$5,'Oxford Economics'!$A$6:$AZ$6,0),MATCH(AK$5&amp;"",'Oxford Economics'!$A$6:$AZ$6,0))),'Oxford Economics'!$A$7:$A$1000,$C45,'Oxford Economics'!$B$7:$B$1000,Settings!$B$12)-SUMIFS(INDEX('Oxford Economics'!$A$7:$AZ$1000,0,IFERROR(MATCH(AK$5,'Oxford Economics'!$A$6:$AZ$6,0),MATCH(AK$5&amp;"",'Oxford Economics'!$A$6:$AZ$6,0))),'Oxford Economics'!$A$7:$A$1000,$C45,'Oxford Economics'!$B$7:$B$1000,Settings!$B$14),SUMIFS(INDEX('Oxford Economics'!$A$7:$AZ$1000,0,IFERROR(MATCH(AK$5,'Oxford Economics'!$A$6:$AZ$6,0),MATCH(AK$5&amp;"",'Oxford Economics'!$A$6:$AZ$6,0))),'Oxford Economics'!$A$7:$A$1000,$C45,'Oxford Economics'!$B$7:$B$1000,Settings!$B$14)+SUMIFS(INDEX('Oxford Economics'!$A$7:$AZ$1000,0,IFERROR(MATCH(AK$5,'Oxford Economics'!$A$6:$AZ$6,0),MATCH(AK$5&amp;"",'Oxford Economics'!$A$6:$AZ$6,0))),'Oxford Economics'!$A$7:$A$1000,$C45,'Oxford Economics'!$B$7:$B$1000,Settings!$B$16)+IF(Settings!$B$18="",0,SUMIFS(INDEX('Oxford Economics'!$A$7:$AZ$1000,0,IFERROR(MATCH(AK$5,'Oxford Economics'!$A$6:$AZ$6,0),MATCH(AK$5&amp;"",'Oxford Economics'!$A$6:$AZ$6,0))),'Oxford Economics'!$A$7:$A$1000,$C45,'Oxford Economics'!$B$7:$B$1000,Settings!$B$18)))),""))</f>
        <v>1741.99</v>
      </c>
      <c r="AL45" s="38" t="n">
        <f aca="false">IF($A45="","",IFERROR(1/(1/IF($B45="Residential",SUMIFS(INDEX('Oxford Economics'!$A$7:$AZ$1000,0,IFERROR(MATCH(AL$5,'Oxford Economics'!$A$6:$AZ$6,0),MATCH(AL$5&amp;"",'Oxford Economics'!$A$6:$AZ$6,0))),'Oxford Economics'!$A$7:$A$1000,$C45,'Oxford Economics'!$B$7:$B$1000,Settings!$B$12)-SUMIFS(INDEX('Oxford Economics'!$A$7:$AZ$1000,0,IFERROR(MATCH(AL$5,'Oxford Economics'!$A$6:$AZ$6,0),MATCH(AL$5&amp;"",'Oxford Economics'!$A$6:$AZ$6,0))),'Oxford Economics'!$A$7:$A$1000,$C45,'Oxford Economics'!$B$7:$B$1000,Settings!$B$14),SUMIFS(INDEX('Oxford Economics'!$A$7:$AZ$1000,0,IFERROR(MATCH(AL$5,'Oxford Economics'!$A$6:$AZ$6,0),MATCH(AL$5&amp;"",'Oxford Economics'!$A$6:$AZ$6,0))),'Oxford Economics'!$A$7:$A$1000,$C45,'Oxford Economics'!$B$7:$B$1000,Settings!$B$14)+SUMIFS(INDEX('Oxford Economics'!$A$7:$AZ$1000,0,IFERROR(MATCH(AL$5,'Oxford Economics'!$A$6:$AZ$6,0),MATCH(AL$5&amp;"",'Oxford Economics'!$A$6:$AZ$6,0))),'Oxford Economics'!$A$7:$A$1000,$C45,'Oxford Economics'!$B$7:$B$1000,Settings!$B$16)+IF(Settings!$B$18="",0,SUMIFS(INDEX('Oxford Economics'!$A$7:$AZ$1000,0,IFERROR(MATCH(AL$5,'Oxford Economics'!$A$6:$AZ$6,0),MATCH(AL$5&amp;"",'Oxford Economics'!$A$6:$AZ$6,0))),'Oxford Economics'!$A$7:$A$1000,$C45,'Oxford Economics'!$B$7:$B$1000,Settings!$B$18)))),""))</f>
        <v>1858.81</v>
      </c>
      <c r="AM45" s="38" t="n">
        <f aca="false">IF($A45="","",IFERROR(1/(1/IF($B45="Residential",SUMIFS(INDEX('Oxford Economics'!$A$7:$AZ$1000,0,IFERROR(MATCH(AM$5,'Oxford Economics'!$A$6:$AZ$6,0),MATCH(AM$5&amp;"",'Oxford Economics'!$A$6:$AZ$6,0))),'Oxford Economics'!$A$7:$A$1000,$C45,'Oxford Economics'!$B$7:$B$1000,Settings!$B$12)-SUMIFS(INDEX('Oxford Economics'!$A$7:$AZ$1000,0,IFERROR(MATCH(AM$5,'Oxford Economics'!$A$6:$AZ$6,0),MATCH(AM$5&amp;"",'Oxford Economics'!$A$6:$AZ$6,0))),'Oxford Economics'!$A$7:$A$1000,$C45,'Oxford Economics'!$B$7:$B$1000,Settings!$B$14),SUMIFS(INDEX('Oxford Economics'!$A$7:$AZ$1000,0,IFERROR(MATCH(AM$5,'Oxford Economics'!$A$6:$AZ$6,0),MATCH(AM$5&amp;"",'Oxford Economics'!$A$6:$AZ$6,0))),'Oxford Economics'!$A$7:$A$1000,$C45,'Oxford Economics'!$B$7:$B$1000,Settings!$B$14)+SUMIFS(INDEX('Oxford Economics'!$A$7:$AZ$1000,0,IFERROR(MATCH(AM$5,'Oxford Economics'!$A$6:$AZ$6,0),MATCH(AM$5&amp;"",'Oxford Economics'!$A$6:$AZ$6,0))),'Oxford Economics'!$A$7:$A$1000,$C45,'Oxford Economics'!$B$7:$B$1000,Settings!$B$16)+IF(Settings!$B$18="",0,SUMIFS(INDEX('Oxford Economics'!$A$7:$AZ$1000,0,IFERROR(MATCH(AM$5,'Oxford Economics'!$A$6:$AZ$6,0),MATCH(AM$5&amp;"",'Oxford Economics'!$A$6:$AZ$6,0))),'Oxford Economics'!$A$7:$A$1000,$C45,'Oxford Economics'!$B$7:$B$1000,Settings!$B$18)))),""))</f>
        <v>1975.45</v>
      </c>
    </row>
    <row r="46" customFormat="false" ht="15" hidden="false" customHeight="false" outlineLevel="0" collapsed="false">
      <c r="A46" s="37" t="str">
        <f aca="false">IF('Raw data'!$A46="","",'Raw data'!$A46)</f>
        <v>Finland</v>
      </c>
      <c r="B46" s="37" t="str">
        <f aca="false">IF($A46="","",'Raw data'!$C46)</f>
        <v>Commercial</v>
      </c>
      <c r="C46" s="37" t="str">
        <f aca="false">IF($A46="","",IF('Raw data'!$E46="",$A46,'Raw data'!$E46))</f>
        <v>Finland</v>
      </c>
      <c r="D46" s="38" t="n">
        <f aca="false">IF($A46="","",IF(AND(ISNUMBER(P46),ISNUMBER(AB46)),P46+AB46,""))</f>
        <v>6490.63</v>
      </c>
      <c r="E46" s="38" t="n">
        <f aca="false">IF($A46="","",IF(AND(ISNUMBER(Q46),ISNUMBER(AC46)),Q46+AC46,""))</f>
        <v>6679.43</v>
      </c>
      <c r="F46" s="38" t="n">
        <f aca="false">IF($A46="","",IF(AND(ISNUMBER(R46),ISNUMBER(AD46)),R46+AD46,""))</f>
        <v>6635.91</v>
      </c>
      <c r="G46" s="38" t="n">
        <f aca="false">IF($A46="","",IF(AND(ISNUMBER(S46),ISNUMBER(AE46)),S46+AE46,""))</f>
        <v>5645.57</v>
      </c>
      <c r="H46" s="38" t="n">
        <f aca="false">IF($A46="","",IF(AND(ISNUMBER(T46),ISNUMBER(AF46)),T46+AF46,""))</f>
        <v>4821.81</v>
      </c>
      <c r="I46" s="38" t="n">
        <f aca="false">IF($A46="","",IF(AND(ISNUMBER(U46),ISNUMBER(AG46)),U46+AG46,""))</f>
        <v>4695.02</v>
      </c>
      <c r="J46" s="38" t="n">
        <f aca="false">IF($A46="","",IF(AND(ISNUMBER(V46),ISNUMBER(AH46)),V46+AH46,""))</f>
        <v>4654.98</v>
      </c>
      <c r="K46" s="38" t="n">
        <f aca="false">IF($A46="","",IF(AND(ISNUMBER(W46),ISNUMBER(AI46)),W46+AI46,""))</f>
        <v>4861.81</v>
      </c>
      <c r="L46" s="38" t="n">
        <f aca="false">IF($A46="","",IF(AND(ISNUMBER(X46),ISNUMBER(AJ46)),X46+AJ46,""))</f>
        <v>5071.37</v>
      </c>
      <c r="M46" s="38" t="n">
        <f aca="false">IF($A46="","",IF(AND(ISNUMBER(Y46),ISNUMBER(AK46)),Y46+AK46,""))</f>
        <v>5215.28</v>
      </c>
      <c r="N46" s="38" t="n">
        <f aca="false">IF($A46="","",IF(AND(ISNUMBER(Z46),ISNUMBER(AL46)),Z46+AL46,""))</f>
        <v>5342.87</v>
      </c>
      <c r="O46" s="38" t="n">
        <f aca="false">IF($A46="","",IF(AND(ISNUMBER(AA46),ISNUMBER(AM46)),AA46+AM46,""))</f>
        <v>5476.87</v>
      </c>
      <c r="P46" s="38" t="n">
        <f aca="false">IF($A46="","",IFERROR(1/(1/IF($B46="Residential",SUMIFS(INDEX('Oxford Economics'!$A$7:$AZ$1000,0,IFERROR(MATCH(P$5,'Oxford Economics'!$A$6:$AZ$6,0),MATCH(P$5&amp;"",'Oxford Economics'!$A$6:$AZ$6,0))),'Oxford Economics'!$A$7:$A$1000,$C46,'Oxford Economics'!$B$7:$B$1000,Settings!$B$13)-SUMIFS(INDEX('Oxford Economics'!$A$7:$AZ$1000,0,IFERROR(MATCH(P$5,'Oxford Economics'!$A$6:$AZ$6,0),MATCH(P$5&amp;"",'Oxford Economics'!$A$6:$AZ$6,0))),'Oxford Economics'!$A$7:$A$1000,$C46,'Oxford Economics'!$B$7:$B$1000,Settings!$B$15),SUMIFS(INDEX('Oxford Economics'!$A$7:$AZ$1000,0,IFERROR(MATCH(P$5,'Oxford Economics'!$A$6:$AZ$6,0),MATCH(P$5&amp;"",'Oxford Economics'!$A$6:$AZ$6,0))),'Oxford Economics'!$A$7:$A$1000,$C46,'Oxford Economics'!$B$7:$B$1000,Settings!$B$15)+SUMIFS(INDEX('Oxford Economics'!$A$7:$AZ$1000,0,IFERROR(MATCH(P$5,'Oxford Economics'!$A$6:$AZ$6,0),MATCH(P$5&amp;"",'Oxford Economics'!$A$6:$AZ$6,0))),'Oxford Economics'!$A$7:$A$1000,$C46,'Oxford Economics'!$B$7:$B$1000,Settings!$B$17)+IF(Settings!$B$19="",0,SUMIFS(INDEX('Oxford Economics'!$A$7:$AZ$1000,0,IFERROR(MATCH(P$5,'Oxford Economics'!$A$6:$AZ$6,0),MATCH(P$5&amp;"",'Oxford Economics'!$A$6:$AZ$6,0))),'Oxford Economics'!$A$7:$A$1000,$C46,'Oxford Economics'!$B$7:$B$1000,Settings!$B$19)))),""))</f>
        <v>3240.38</v>
      </c>
      <c r="Q46" s="38" t="n">
        <f aca="false">IF($A46="","",IFERROR(1/(1/IF($B46="Residential",SUMIFS(INDEX('Oxford Economics'!$A$7:$AZ$1000,0,IFERROR(MATCH(Q$5,'Oxford Economics'!$A$6:$AZ$6,0),MATCH(Q$5&amp;"",'Oxford Economics'!$A$6:$AZ$6,0))),'Oxford Economics'!$A$7:$A$1000,$C46,'Oxford Economics'!$B$7:$B$1000,Settings!$B$13)-SUMIFS(INDEX('Oxford Economics'!$A$7:$AZ$1000,0,IFERROR(MATCH(Q$5,'Oxford Economics'!$A$6:$AZ$6,0),MATCH(Q$5&amp;"",'Oxford Economics'!$A$6:$AZ$6,0))),'Oxford Economics'!$A$7:$A$1000,$C46,'Oxford Economics'!$B$7:$B$1000,Settings!$B$15),SUMIFS(INDEX('Oxford Economics'!$A$7:$AZ$1000,0,IFERROR(MATCH(Q$5,'Oxford Economics'!$A$6:$AZ$6,0),MATCH(Q$5&amp;"",'Oxford Economics'!$A$6:$AZ$6,0))),'Oxford Economics'!$A$7:$A$1000,$C46,'Oxford Economics'!$B$7:$B$1000,Settings!$B$15)+SUMIFS(INDEX('Oxford Economics'!$A$7:$AZ$1000,0,IFERROR(MATCH(Q$5,'Oxford Economics'!$A$6:$AZ$6,0),MATCH(Q$5&amp;"",'Oxford Economics'!$A$6:$AZ$6,0))),'Oxford Economics'!$A$7:$A$1000,$C46,'Oxford Economics'!$B$7:$B$1000,Settings!$B$17)+IF(Settings!$B$19="",0,SUMIFS(INDEX('Oxford Economics'!$A$7:$AZ$1000,0,IFERROR(MATCH(Q$5,'Oxford Economics'!$A$6:$AZ$6,0),MATCH(Q$5&amp;"",'Oxford Economics'!$A$6:$AZ$6,0))),'Oxford Economics'!$A$7:$A$1000,$C46,'Oxford Economics'!$B$7:$B$1000,Settings!$B$19)))),""))</f>
        <v>3212.13</v>
      </c>
      <c r="R46" s="38" t="n">
        <f aca="false">IF($A46="","",IFERROR(1/(1/IF($B46="Residential",SUMIFS(INDEX('Oxford Economics'!$A$7:$AZ$1000,0,IFERROR(MATCH(R$5,'Oxford Economics'!$A$6:$AZ$6,0),MATCH(R$5&amp;"",'Oxford Economics'!$A$6:$AZ$6,0))),'Oxford Economics'!$A$7:$A$1000,$C46,'Oxford Economics'!$B$7:$B$1000,Settings!$B$13)-SUMIFS(INDEX('Oxford Economics'!$A$7:$AZ$1000,0,IFERROR(MATCH(R$5,'Oxford Economics'!$A$6:$AZ$6,0),MATCH(R$5&amp;"",'Oxford Economics'!$A$6:$AZ$6,0))),'Oxford Economics'!$A$7:$A$1000,$C46,'Oxford Economics'!$B$7:$B$1000,Settings!$B$15),SUMIFS(INDEX('Oxford Economics'!$A$7:$AZ$1000,0,IFERROR(MATCH(R$5,'Oxford Economics'!$A$6:$AZ$6,0),MATCH(R$5&amp;"",'Oxford Economics'!$A$6:$AZ$6,0))),'Oxford Economics'!$A$7:$A$1000,$C46,'Oxford Economics'!$B$7:$B$1000,Settings!$B$15)+SUMIFS(INDEX('Oxford Economics'!$A$7:$AZ$1000,0,IFERROR(MATCH(R$5,'Oxford Economics'!$A$6:$AZ$6,0),MATCH(R$5&amp;"",'Oxford Economics'!$A$6:$AZ$6,0))),'Oxford Economics'!$A$7:$A$1000,$C46,'Oxford Economics'!$B$7:$B$1000,Settings!$B$17)+IF(Settings!$B$19="",0,SUMIFS(INDEX('Oxford Economics'!$A$7:$AZ$1000,0,IFERROR(MATCH(R$5,'Oxford Economics'!$A$6:$AZ$6,0),MATCH(R$5&amp;"",'Oxford Economics'!$A$6:$AZ$6,0))),'Oxford Economics'!$A$7:$A$1000,$C46,'Oxford Economics'!$B$7:$B$1000,Settings!$B$19)))),""))</f>
        <v>3147.47</v>
      </c>
      <c r="S46" s="38" t="n">
        <f aca="false">IF($A46="","",IFERROR(1/(1/IF($B46="Residential",SUMIFS(INDEX('Oxford Economics'!$A$7:$AZ$1000,0,IFERROR(MATCH(S$5,'Oxford Economics'!$A$6:$AZ$6,0),MATCH(S$5&amp;"",'Oxford Economics'!$A$6:$AZ$6,0))),'Oxford Economics'!$A$7:$A$1000,$C46,'Oxford Economics'!$B$7:$B$1000,Settings!$B$13)-SUMIFS(INDEX('Oxford Economics'!$A$7:$AZ$1000,0,IFERROR(MATCH(S$5,'Oxford Economics'!$A$6:$AZ$6,0),MATCH(S$5&amp;"",'Oxford Economics'!$A$6:$AZ$6,0))),'Oxford Economics'!$A$7:$A$1000,$C46,'Oxford Economics'!$B$7:$B$1000,Settings!$B$15),SUMIFS(INDEX('Oxford Economics'!$A$7:$AZ$1000,0,IFERROR(MATCH(S$5,'Oxford Economics'!$A$6:$AZ$6,0),MATCH(S$5&amp;"",'Oxford Economics'!$A$6:$AZ$6,0))),'Oxford Economics'!$A$7:$A$1000,$C46,'Oxford Economics'!$B$7:$B$1000,Settings!$B$15)+SUMIFS(INDEX('Oxford Economics'!$A$7:$AZ$1000,0,IFERROR(MATCH(S$5,'Oxford Economics'!$A$6:$AZ$6,0),MATCH(S$5&amp;"",'Oxford Economics'!$A$6:$AZ$6,0))),'Oxford Economics'!$A$7:$A$1000,$C46,'Oxford Economics'!$B$7:$B$1000,Settings!$B$17)+IF(Settings!$B$19="",0,SUMIFS(INDEX('Oxford Economics'!$A$7:$AZ$1000,0,IFERROR(MATCH(S$5,'Oxford Economics'!$A$6:$AZ$6,0),MATCH(S$5&amp;"",'Oxford Economics'!$A$6:$AZ$6,0))),'Oxford Economics'!$A$7:$A$1000,$C46,'Oxford Economics'!$B$7:$B$1000,Settings!$B$19)))),""))</f>
        <v>3131.19</v>
      </c>
      <c r="T46" s="38" t="n">
        <f aca="false">IF($A46="","",IFERROR(1/(1/IF($B46="Residential",SUMIFS(INDEX('Oxford Economics'!$A$7:$AZ$1000,0,IFERROR(MATCH(T$5,'Oxford Economics'!$A$6:$AZ$6,0),MATCH(T$5&amp;"",'Oxford Economics'!$A$6:$AZ$6,0))),'Oxford Economics'!$A$7:$A$1000,$C46,'Oxford Economics'!$B$7:$B$1000,Settings!$B$13)-SUMIFS(INDEX('Oxford Economics'!$A$7:$AZ$1000,0,IFERROR(MATCH(T$5,'Oxford Economics'!$A$6:$AZ$6,0),MATCH(T$5&amp;"",'Oxford Economics'!$A$6:$AZ$6,0))),'Oxford Economics'!$A$7:$A$1000,$C46,'Oxford Economics'!$B$7:$B$1000,Settings!$B$15),SUMIFS(INDEX('Oxford Economics'!$A$7:$AZ$1000,0,IFERROR(MATCH(T$5,'Oxford Economics'!$A$6:$AZ$6,0),MATCH(T$5&amp;"",'Oxford Economics'!$A$6:$AZ$6,0))),'Oxford Economics'!$A$7:$A$1000,$C46,'Oxford Economics'!$B$7:$B$1000,Settings!$B$15)+SUMIFS(INDEX('Oxford Economics'!$A$7:$AZ$1000,0,IFERROR(MATCH(T$5,'Oxford Economics'!$A$6:$AZ$6,0),MATCH(T$5&amp;"",'Oxford Economics'!$A$6:$AZ$6,0))),'Oxford Economics'!$A$7:$A$1000,$C46,'Oxford Economics'!$B$7:$B$1000,Settings!$B$17)+IF(Settings!$B$19="",0,SUMIFS(INDEX('Oxford Economics'!$A$7:$AZ$1000,0,IFERROR(MATCH(T$5,'Oxford Economics'!$A$6:$AZ$6,0),MATCH(T$5&amp;"",'Oxford Economics'!$A$6:$AZ$6,0))),'Oxford Economics'!$A$7:$A$1000,$C46,'Oxford Economics'!$B$7:$B$1000,Settings!$B$19)))),""))</f>
        <v>3000.91</v>
      </c>
      <c r="U46" s="38" t="n">
        <f aca="false">IF($A46="","",IFERROR(1/(1/IF($B46="Residential",SUMIFS(INDEX('Oxford Economics'!$A$7:$AZ$1000,0,IFERROR(MATCH(U$5,'Oxford Economics'!$A$6:$AZ$6,0),MATCH(U$5&amp;"",'Oxford Economics'!$A$6:$AZ$6,0))),'Oxford Economics'!$A$7:$A$1000,$C46,'Oxford Economics'!$B$7:$B$1000,Settings!$B$13)-SUMIFS(INDEX('Oxford Economics'!$A$7:$AZ$1000,0,IFERROR(MATCH(U$5,'Oxford Economics'!$A$6:$AZ$6,0),MATCH(U$5&amp;"",'Oxford Economics'!$A$6:$AZ$6,0))),'Oxford Economics'!$A$7:$A$1000,$C46,'Oxford Economics'!$B$7:$B$1000,Settings!$B$15),SUMIFS(INDEX('Oxford Economics'!$A$7:$AZ$1000,0,IFERROR(MATCH(U$5,'Oxford Economics'!$A$6:$AZ$6,0),MATCH(U$5&amp;"",'Oxford Economics'!$A$6:$AZ$6,0))),'Oxford Economics'!$A$7:$A$1000,$C46,'Oxford Economics'!$B$7:$B$1000,Settings!$B$15)+SUMIFS(INDEX('Oxford Economics'!$A$7:$AZ$1000,0,IFERROR(MATCH(U$5,'Oxford Economics'!$A$6:$AZ$6,0),MATCH(U$5&amp;"",'Oxford Economics'!$A$6:$AZ$6,0))),'Oxford Economics'!$A$7:$A$1000,$C46,'Oxford Economics'!$B$7:$B$1000,Settings!$B$17)+IF(Settings!$B$19="",0,SUMIFS(INDEX('Oxford Economics'!$A$7:$AZ$1000,0,IFERROR(MATCH(U$5,'Oxford Economics'!$A$6:$AZ$6,0),MATCH(U$5&amp;"",'Oxford Economics'!$A$6:$AZ$6,0))),'Oxford Economics'!$A$7:$A$1000,$C46,'Oxford Economics'!$B$7:$B$1000,Settings!$B$19)))),""))</f>
        <v>2938.33</v>
      </c>
      <c r="V46" s="38" t="n">
        <f aca="false">IF($A46="","",IFERROR(1/(1/IF($B46="Residential",SUMIFS(INDEX('Oxford Economics'!$A$7:$AZ$1000,0,IFERROR(MATCH(V$5,'Oxford Economics'!$A$6:$AZ$6,0),MATCH(V$5&amp;"",'Oxford Economics'!$A$6:$AZ$6,0))),'Oxford Economics'!$A$7:$A$1000,$C46,'Oxford Economics'!$B$7:$B$1000,Settings!$B$13)-SUMIFS(INDEX('Oxford Economics'!$A$7:$AZ$1000,0,IFERROR(MATCH(V$5,'Oxford Economics'!$A$6:$AZ$6,0),MATCH(V$5&amp;"",'Oxford Economics'!$A$6:$AZ$6,0))),'Oxford Economics'!$A$7:$A$1000,$C46,'Oxford Economics'!$B$7:$B$1000,Settings!$B$15),SUMIFS(INDEX('Oxford Economics'!$A$7:$AZ$1000,0,IFERROR(MATCH(V$5,'Oxford Economics'!$A$6:$AZ$6,0),MATCH(V$5&amp;"",'Oxford Economics'!$A$6:$AZ$6,0))),'Oxford Economics'!$A$7:$A$1000,$C46,'Oxford Economics'!$B$7:$B$1000,Settings!$B$15)+SUMIFS(INDEX('Oxford Economics'!$A$7:$AZ$1000,0,IFERROR(MATCH(V$5,'Oxford Economics'!$A$6:$AZ$6,0),MATCH(V$5&amp;"",'Oxford Economics'!$A$6:$AZ$6,0))),'Oxford Economics'!$A$7:$A$1000,$C46,'Oxford Economics'!$B$7:$B$1000,Settings!$B$17)+IF(Settings!$B$19="",0,SUMIFS(INDEX('Oxford Economics'!$A$7:$AZ$1000,0,IFERROR(MATCH(V$5,'Oxford Economics'!$A$6:$AZ$6,0),MATCH(V$5&amp;"",'Oxford Economics'!$A$6:$AZ$6,0))),'Oxford Economics'!$A$7:$A$1000,$C46,'Oxford Economics'!$B$7:$B$1000,Settings!$B$19)))),""))</f>
        <v>3025.49</v>
      </c>
      <c r="W46" s="38" t="n">
        <f aca="false">IF($A46="","",IFERROR(1/(1/IF($B46="Residential",SUMIFS(INDEX('Oxford Economics'!$A$7:$AZ$1000,0,IFERROR(MATCH(W$5,'Oxford Economics'!$A$6:$AZ$6,0),MATCH(W$5&amp;"",'Oxford Economics'!$A$6:$AZ$6,0))),'Oxford Economics'!$A$7:$A$1000,$C46,'Oxford Economics'!$B$7:$B$1000,Settings!$B$13)-SUMIFS(INDEX('Oxford Economics'!$A$7:$AZ$1000,0,IFERROR(MATCH(W$5,'Oxford Economics'!$A$6:$AZ$6,0),MATCH(W$5&amp;"",'Oxford Economics'!$A$6:$AZ$6,0))),'Oxford Economics'!$A$7:$A$1000,$C46,'Oxford Economics'!$B$7:$B$1000,Settings!$B$15),SUMIFS(INDEX('Oxford Economics'!$A$7:$AZ$1000,0,IFERROR(MATCH(W$5,'Oxford Economics'!$A$6:$AZ$6,0),MATCH(W$5&amp;"",'Oxford Economics'!$A$6:$AZ$6,0))),'Oxford Economics'!$A$7:$A$1000,$C46,'Oxford Economics'!$B$7:$B$1000,Settings!$B$15)+SUMIFS(INDEX('Oxford Economics'!$A$7:$AZ$1000,0,IFERROR(MATCH(W$5,'Oxford Economics'!$A$6:$AZ$6,0),MATCH(W$5&amp;"",'Oxford Economics'!$A$6:$AZ$6,0))),'Oxford Economics'!$A$7:$A$1000,$C46,'Oxford Economics'!$B$7:$B$1000,Settings!$B$17)+IF(Settings!$B$19="",0,SUMIFS(INDEX('Oxford Economics'!$A$7:$AZ$1000,0,IFERROR(MATCH(W$5,'Oxford Economics'!$A$6:$AZ$6,0),MATCH(W$5&amp;"",'Oxford Economics'!$A$6:$AZ$6,0))),'Oxford Economics'!$A$7:$A$1000,$C46,'Oxford Economics'!$B$7:$B$1000,Settings!$B$19)))),""))</f>
        <v>3301.31</v>
      </c>
      <c r="X46" s="38" t="n">
        <f aca="false">IF($A46="","",IFERROR(1/(1/IF($B46="Residential",SUMIFS(INDEX('Oxford Economics'!$A$7:$AZ$1000,0,IFERROR(MATCH(X$5,'Oxford Economics'!$A$6:$AZ$6,0),MATCH(X$5&amp;"",'Oxford Economics'!$A$6:$AZ$6,0))),'Oxford Economics'!$A$7:$A$1000,$C46,'Oxford Economics'!$B$7:$B$1000,Settings!$B$13)-SUMIFS(INDEX('Oxford Economics'!$A$7:$AZ$1000,0,IFERROR(MATCH(X$5,'Oxford Economics'!$A$6:$AZ$6,0),MATCH(X$5&amp;"",'Oxford Economics'!$A$6:$AZ$6,0))),'Oxford Economics'!$A$7:$A$1000,$C46,'Oxford Economics'!$B$7:$B$1000,Settings!$B$15),SUMIFS(INDEX('Oxford Economics'!$A$7:$AZ$1000,0,IFERROR(MATCH(X$5,'Oxford Economics'!$A$6:$AZ$6,0),MATCH(X$5&amp;"",'Oxford Economics'!$A$6:$AZ$6,0))),'Oxford Economics'!$A$7:$A$1000,$C46,'Oxford Economics'!$B$7:$B$1000,Settings!$B$15)+SUMIFS(INDEX('Oxford Economics'!$A$7:$AZ$1000,0,IFERROR(MATCH(X$5,'Oxford Economics'!$A$6:$AZ$6,0),MATCH(X$5&amp;"",'Oxford Economics'!$A$6:$AZ$6,0))),'Oxford Economics'!$A$7:$A$1000,$C46,'Oxford Economics'!$B$7:$B$1000,Settings!$B$17)+IF(Settings!$B$19="",0,SUMIFS(INDEX('Oxford Economics'!$A$7:$AZ$1000,0,IFERROR(MATCH(X$5,'Oxford Economics'!$A$6:$AZ$6,0),MATCH(X$5&amp;"",'Oxford Economics'!$A$6:$AZ$6,0))),'Oxford Economics'!$A$7:$A$1000,$C46,'Oxford Economics'!$B$7:$B$1000,Settings!$B$19)))),""))</f>
        <v>3437.98</v>
      </c>
      <c r="Y46" s="38" t="n">
        <f aca="false">IF($A46="","",IFERROR(1/(1/IF($B46="Residential",SUMIFS(INDEX('Oxford Economics'!$A$7:$AZ$1000,0,IFERROR(MATCH(Y$5,'Oxford Economics'!$A$6:$AZ$6,0),MATCH(Y$5&amp;"",'Oxford Economics'!$A$6:$AZ$6,0))),'Oxford Economics'!$A$7:$A$1000,$C46,'Oxford Economics'!$B$7:$B$1000,Settings!$B$13)-SUMIFS(INDEX('Oxford Economics'!$A$7:$AZ$1000,0,IFERROR(MATCH(Y$5,'Oxford Economics'!$A$6:$AZ$6,0),MATCH(Y$5&amp;"",'Oxford Economics'!$A$6:$AZ$6,0))),'Oxford Economics'!$A$7:$A$1000,$C46,'Oxford Economics'!$B$7:$B$1000,Settings!$B$15),SUMIFS(INDEX('Oxford Economics'!$A$7:$AZ$1000,0,IFERROR(MATCH(Y$5,'Oxford Economics'!$A$6:$AZ$6,0),MATCH(Y$5&amp;"",'Oxford Economics'!$A$6:$AZ$6,0))),'Oxford Economics'!$A$7:$A$1000,$C46,'Oxford Economics'!$B$7:$B$1000,Settings!$B$15)+SUMIFS(INDEX('Oxford Economics'!$A$7:$AZ$1000,0,IFERROR(MATCH(Y$5,'Oxford Economics'!$A$6:$AZ$6,0),MATCH(Y$5&amp;"",'Oxford Economics'!$A$6:$AZ$6,0))),'Oxford Economics'!$A$7:$A$1000,$C46,'Oxford Economics'!$B$7:$B$1000,Settings!$B$17)+IF(Settings!$B$19="",0,SUMIFS(INDEX('Oxford Economics'!$A$7:$AZ$1000,0,IFERROR(MATCH(Y$5,'Oxford Economics'!$A$6:$AZ$6,0),MATCH(Y$5&amp;"",'Oxford Economics'!$A$6:$AZ$6,0))),'Oxford Economics'!$A$7:$A$1000,$C46,'Oxford Economics'!$B$7:$B$1000,Settings!$B$19)))),""))</f>
        <v>3473.29</v>
      </c>
      <c r="Z46" s="38" t="n">
        <f aca="false">IF($A46="","",IFERROR(1/(1/IF($B46="Residential",SUMIFS(INDEX('Oxford Economics'!$A$7:$AZ$1000,0,IFERROR(MATCH(Z$5,'Oxford Economics'!$A$6:$AZ$6,0),MATCH(Z$5&amp;"",'Oxford Economics'!$A$6:$AZ$6,0))),'Oxford Economics'!$A$7:$A$1000,$C46,'Oxford Economics'!$B$7:$B$1000,Settings!$B$13)-SUMIFS(INDEX('Oxford Economics'!$A$7:$AZ$1000,0,IFERROR(MATCH(Z$5,'Oxford Economics'!$A$6:$AZ$6,0),MATCH(Z$5&amp;"",'Oxford Economics'!$A$6:$AZ$6,0))),'Oxford Economics'!$A$7:$A$1000,$C46,'Oxford Economics'!$B$7:$B$1000,Settings!$B$15),SUMIFS(INDEX('Oxford Economics'!$A$7:$AZ$1000,0,IFERROR(MATCH(Z$5,'Oxford Economics'!$A$6:$AZ$6,0),MATCH(Z$5&amp;"",'Oxford Economics'!$A$6:$AZ$6,0))),'Oxford Economics'!$A$7:$A$1000,$C46,'Oxford Economics'!$B$7:$B$1000,Settings!$B$15)+SUMIFS(INDEX('Oxford Economics'!$A$7:$AZ$1000,0,IFERROR(MATCH(Z$5,'Oxford Economics'!$A$6:$AZ$6,0),MATCH(Z$5&amp;"",'Oxford Economics'!$A$6:$AZ$6,0))),'Oxford Economics'!$A$7:$A$1000,$C46,'Oxford Economics'!$B$7:$B$1000,Settings!$B$17)+IF(Settings!$B$19="",0,SUMIFS(INDEX('Oxford Economics'!$A$7:$AZ$1000,0,IFERROR(MATCH(Z$5,'Oxford Economics'!$A$6:$AZ$6,0),MATCH(Z$5&amp;"",'Oxford Economics'!$A$6:$AZ$6,0))),'Oxford Economics'!$A$7:$A$1000,$C46,'Oxford Economics'!$B$7:$B$1000,Settings!$B$19)))),""))</f>
        <v>3484.06</v>
      </c>
      <c r="AA46" s="38" t="n">
        <f aca="false">IF($A46="","",IFERROR(1/(1/IF($B46="Residential",SUMIFS(INDEX('Oxford Economics'!$A$7:$AZ$1000,0,IFERROR(MATCH(AA$5,'Oxford Economics'!$A$6:$AZ$6,0),MATCH(AA$5&amp;"",'Oxford Economics'!$A$6:$AZ$6,0))),'Oxford Economics'!$A$7:$A$1000,$C46,'Oxford Economics'!$B$7:$B$1000,Settings!$B$13)-SUMIFS(INDEX('Oxford Economics'!$A$7:$AZ$1000,0,IFERROR(MATCH(AA$5,'Oxford Economics'!$A$6:$AZ$6,0),MATCH(AA$5&amp;"",'Oxford Economics'!$A$6:$AZ$6,0))),'Oxford Economics'!$A$7:$A$1000,$C46,'Oxford Economics'!$B$7:$B$1000,Settings!$B$15),SUMIFS(INDEX('Oxford Economics'!$A$7:$AZ$1000,0,IFERROR(MATCH(AA$5,'Oxford Economics'!$A$6:$AZ$6,0),MATCH(AA$5&amp;"",'Oxford Economics'!$A$6:$AZ$6,0))),'Oxford Economics'!$A$7:$A$1000,$C46,'Oxford Economics'!$B$7:$B$1000,Settings!$B$15)+SUMIFS(INDEX('Oxford Economics'!$A$7:$AZ$1000,0,IFERROR(MATCH(AA$5,'Oxford Economics'!$A$6:$AZ$6,0),MATCH(AA$5&amp;"",'Oxford Economics'!$A$6:$AZ$6,0))),'Oxford Economics'!$A$7:$A$1000,$C46,'Oxford Economics'!$B$7:$B$1000,Settings!$B$17)+IF(Settings!$B$19="",0,SUMIFS(INDEX('Oxford Economics'!$A$7:$AZ$1000,0,IFERROR(MATCH(AA$5,'Oxford Economics'!$A$6:$AZ$6,0),MATCH(AA$5&amp;"",'Oxford Economics'!$A$6:$AZ$6,0))),'Oxford Economics'!$A$7:$A$1000,$C46,'Oxford Economics'!$B$7:$B$1000,Settings!$B$19)))),""))</f>
        <v>3501.42</v>
      </c>
      <c r="AB46" s="38" t="n">
        <f aca="false">IF($A46="","",IFERROR(1/(1/IF($B46="Residential",SUMIFS(INDEX('Oxford Economics'!$A$7:$AZ$1000,0,IFERROR(MATCH(AB$5,'Oxford Economics'!$A$6:$AZ$6,0),MATCH(AB$5&amp;"",'Oxford Economics'!$A$6:$AZ$6,0))),'Oxford Economics'!$A$7:$A$1000,$C46,'Oxford Economics'!$B$7:$B$1000,Settings!$B$12)-SUMIFS(INDEX('Oxford Economics'!$A$7:$AZ$1000,0,IFERROR(MATCH(AB$5,'Oxford Economics'!$A$6:$AZ$6,0),MATCH(AB$5&amp;"",'Oxford Economics'!$A$6:$AZ$6,0))),'Oxford Economics'!$A$7:$A$1000,$C46,'Oxford Economics'!$B$7:$B$1000,Settings!$B$14),SUMIFS(INDEX('Oxford Economics'!$A$7:$AZ$1000,0,IFERROR(MATCH(AB$5,'Oxford Economics'!$A$6:$AZ$6,0),MATCH(AB$5&amp;"",'Oxford Economics'!$A$6:$AZ$6,0))),'Oxford Economics'!$A$7:$A$1000,$C46,'Oxford Economics'!$B$7:$B$1000,Settings!$B$14)+SUMIFS(INDEX('Oxford Economics'!$A$7:$AZ$1000,0,IFERROR(MATCH(AB$5,'Oxford Economics'!$A$6:$AZ$6,0),MATCH(AB$5&amp;"",'Oxford Economics'!$A$6:$AZ$6,0))),'Oxford Economics'!$A$7:$A$1000,$C46,'Oxford Economics'!$B$7:$B$1000,Settings!$B$16)+IF(Settings!$B$18="",0,SUMIFS(INDEX('Oxford Economics'!$A$7:$AZ$1000,0,IFERROR(MATCH(AB$5,'Oxford Economics'!$A$6:$AZ$6,0),MATCH(AB$5&amp;"",'Oxford Economics'!$A$6:$AZ$6,0))),'Oxford Economics'!$A$7:$A$1000,$C46,'Oxford Economics'!$B$7:$B$1000,Settings!$B$18)))),""))</f>
        <v>3250.25</v>
      </c>
      <c r="AC46" s="38" t="n">
        <f aca="false">IF($A46="","",IFERROR(1/(1/IF($B46="Residential",SUMIFS(INDEX('Oxford Economics'!$A$7:$AZ$1000,0,IFERROR(MATCH(AC$5,'Oxford Economics'!$A$6:$AZ$6,0),MATCH(AC$5&amp;"",'Oxford Economics'!$A$6:$AZ$6,0))),'Oxford Economics'!$A$7:$A$1000,$C46,'Oxford Economics'!$B$7:$B$1000,Settings!$B$12)-SUMIFS(INDEX('Oxford Economics'!$A$7:$AZ$1000,0,IFERROR(MATCH(AC$5,'Oxford Economics'!$A$6:$AZ$6,0),MATCH(AC$5&amp;"",'Oxford Economics'!$A$6:$AZ$6,0))),'Oxford Economics'!$A$7:$A$1000,$C46,'Oxford Economics'!$B$7:$B$1000,Settings!$B$14),SUMIFS(INDEX('Oxford Economics'!$A$7:$AZ$1000,0,IFERROR(MATCH(AC$5,'Oxford Economics'!$A$6:$AZ$6,0),MATCH(AC$5&amp;"",'Oxford Economics'!$A$6:$AZ$6,0))),'Oxford Economics'!$A$7:$A$1000,$C46,'Oxford Economics'!$B$7:$B$1000,Settings!$B$14)+SUMIFS(INDEX('Oxford Economics'!$A$7:$AZ$1000,0,IFERROR(MATCH(AC$5,'Oxford Economics'!$A$6:$AZ$6,0),MATCH(AC$5&amp;"",'Oxford Economics'!$A$6:$AZ$6,0))),'Oxford Economics'!$A$7:$A$1000,$C46,'Oxford Economics'!$B$7:$B$1000,Settings!$B$16)+IF(Settings!$B$18="",0,SUMIFS(INDEX('Oxford Economics'!$A$7:$AZ$1000,0,IFERROR(MATCH(AC$5,'Oxford Economics'!$A$6:$AZ$6,0),MATCH(AC$5&amp;"",'Oxford Economics'!$A$6:$AZ$6,0))),'Oxford Economics'!$A$7:$A$1000,$C46,'Oxford Economics'!$B$7:$B$1000,Settings!$B$18)))),""))</f>
        <v>3467.3</v>
      </c>
      <c r="AD46" s="38" t="n">
        <f aca="false">IF($A46="","",IFERROR(1/(1/IF($B46="Residential",SUMIFS(INDEX('Oxford Economics'!$A$7:$AZ$1000,0,IFERROR(MATCH(AD$5,'Oxford Economics'!$A$6:$AZ$6,0),MATCH(AD$5&amp;"",'Oxford Economics'!$A$6:$AZ$6,0))),'Oxford Economics'!$A$7:$A$1000,$C46,'Oxford Economics'!$B$7:$B$1000,Settings!$B$12)-SUMIFS(INDEX('Oxford Economics'!$A$7:$AZ$1000,0,IFERROR(MATCH(AD$5,'Oxford Economics'!$A$6:$AZ$6,0),MATCH(AD$5&amp;"",'Oxford Economics'!$A$6:$AZ$6,0))),'Oxford Economics'!$A$7:$A$1000,$C46,'Oxford Economics'!$B$7:$B$1000,Settings!$B$14),SUMIFS(INDEX('Oxford Economics'!$A$7:$AZ$1000,0,IFERROR(MATCH(AD$5,'Oxford Economics'!$A$6:$AZ$6,0),MATCH(AD$5&amp;"",'Oxford Economics'!$A$6:$AZ$6,0))),'Oxford Economics'!$A$7:$A$1000,$C46,'Oxford Economics'!$B$7:$B$1000,Settings!$B$14)+SUMIFS(INDEX('Oxford Economics'!$A$7:$AZ$1000,0,IFERROR(MATCH(AD$5,'Oxford Economics'!$A$6:$AZ$6,0),MATCH(AD$5&amp;"",'Oxford Economics'!$A$6:$AZ$6,0))),'Oxford Economics'!$A$7:$A$1000,$C46,'Oxford Economics'!$B$7:$B$1000,Settings!$B$16)+IF(Settings!$B$18="",0,SUMIFS(INDEX('Oxford Economics'!$A$7:$AZ$1000,0,IFERROR(MATCH(AD$5,'Oxford Economics'!$A$6:$AZ$6,0),MATCH(AD$5&amp;"",'Oxford Economics'!$A$6:$AZ$6,0))),'Oxford Economics'!$A$7:$A$1000,$C46,'Oxford Economics'!$B$7:$B$1000,Settings!$B$18)))),""))</f>
        <v>3488.44</v>
      </c>
      <c r="AE46" s="38" t="n">
        <f aca="false">IF($A46="","",IFERROR(1/(1/IF($B46="Residential",SUMIFS(INDEX('Oxford Economics'!$A$7:$AZ$1000,0,IFERROR(MATCH(AE$5,'Oxford Economics'!$A$6:$AZ$6,0),MATCH(AE$5&amp;"",'Oxford Economics'!$A$6:$AZ$6,0))),'Oxford Economics'!$A$7:$A$1000,$C46,'Oxford Economics'!$B$7:$B$1000,Settings!$B$12)-SUMIFS(INDEX('Oxford Economics'!$A$7:$AZ$1000,0,IFERROR(MATCH(AE$5,'Oxford Economics'!$A$6:$AZ$6,0),MATCH(AE$5&amp;"",'Oxford Economics'!$A$6:$AZ$6,0))),'Oxford Economics'!$A$7:$A$1000,$C46,'Oxford Economics'!$B$7:$B$1000,Settings!$B$14),SUMIFS(INDEX('Oxford Economics'!$A$7:$AZ$1000,0,IFERROR(MATCH(AE$5,'Oxford Economics'!$A$6:$AZ$6,0),MATCH(AE$5&amp;"",'Oxford Economics'!$A$6:$AZ$6,0))),'Oxford Economics'!$A$7:$A$1000,$C46,'Oxford Economics'!$B$7:$B$1000,Settings!$B$14)+SUMIFS(INDEX('Oxford Economics'!$A$7:$AZ$1000,0,IFERROR(MATCH(AE$5,'Oxford Economics'!$A$6:$AZ$6,0),MATCH(AE$5&amp;"",'Oxford Economics'!$A$6:$AZ$6,0))),'Oxford Economics'!$A$7:$A$1000,$C46,'Oxford Economics'!$B$7:$B$1000,Settings!$B$16)+IF(Settings!$B$18="",0,SUMIFS(INDEX('Oxford Economics'!$A$7:$AZ$1000,0,IFERROR(MATCH(AE$5,'Oxford Economics'!$A$6:$AZ$6,0),MATCH(AE$5&amp;"",'Oxford Economics'!$A$6:$AZ$6,0))),'Oxford Economics'!$A$7:$A$1000,$C46,'Oxford Economics'!$B$7:$B$1000,Settings!$B$18)))),""))</f>
        <v>2514.38</v>
      </c>
      <c r="AF46" s="38" t="n">
        <f aca="false">IF($A46="","",IFERROR(1/(1/IF($B46="Residential",SUMIFS(INDEX('Oxford Economics'!$A$7:$AZ$1000,0,IFERROR(MATCH(AF$5,'Oxford Economics'!$A$6:$AZ$6,0),MATCH(AF$5&amp;"",'Oxford Economics'!$A$6:$AZ$6,0))),'Oxford Economics'!$A$7:$A$1000,$C46,'Oxford Economics'!$B$7:$B$1000,Settings!$B$12)-SUMIFS(INDEX('Oxford Economics'!$A$7:$AZ$1000,0,IFERROR(MATCH(AF$5,'Oxford Economics'!$A$6:$AZ$6,0),MATCH(AF$5&amp;"",'Oxford Economics'!$A$6:$AZ$6,0))),'Oxford Economics'!$A$7:$A$1000,$C46,'Oxford Economics'!$B$7:$B$1000,Settings!$B$14),SUMIFS(INDEX('Oxford Economics'!$A$7:$AZ$1000,0,IFERROR(MATCH(AF$5,'Oxford Economics'!$A$6:$AZ$6,0),MATCH(AF$5&amp;"",'Oxford Economics'!$A$6:$AZ$6,0))),'Oxford Economics'!$A$7:$A$1000,$C46,'Oxford Economics'!$B$7:$B$1000,Settings!$B$14)+SUMIFS(INDEX('Oxford Economics'!$A$7:$AZ$1000,0,IFERROR(MATCH(AF$5,'Oxford Economics'!$A$6:$AZ$6,0),MATCH(AF$5&amp;"",'Oxford Economics'!$A$6:$AZ$6,0))),'Oxford Economics'!$A$7:$A$1000,$C46,'Oxford Economics'!$B$7:$B$1000,Settings!$B$16)+IF(Settings!$B$18="",0,SUMIFS(INDEX('Oxford Economics'!$A$7:$AZ$1000,0,IFERROR(MATCH(AF$5,'Oxford Economics'!$A$6:$AZ$6,0),MATCH(AF$5&amp;"",'Oxford Economics'!$A$6:$AZ$6,0))),'Oxford Economics'!$A$7:$A$1000,$C46,'Oxford Economics'!$B$7:$B$1000,Settings!$B$18)))),""))</f>
        <v>1820.9</v>
      </c>
      <c r="AG46" s="38" t="n">
        <f aca="false">IF($A46="","",IFERROR(1/(1/IF($B46="Residential",SUMIFS(INDEX('Oxford Economics'!$A$7:$AZ$1000,0,IFERROR(MATCH(AG$5,'Oxford Economics'!$A$6:$AZ$6,0),MATCH(AG$5&amp;"",'Oxford Economics'!$A$6:$AZ$6,0))),'Oxford Economics'!$A$7:$A$1000,$C46,'Oxford Economics'!$B$7:$B$1000,Settings!$B$12)-SUMIFS(INDEX('Oxford Economics'!$A$7:$AZ$1000,0,IFERROR(MATCH(AG$5,'Oxford Economics'!$A$6:$AZ$6,0),MATCH(AG$5&amp;"",'Oxford Economics'!$A$6:$AZ$6,0))),'Oxford Economics'!$A$7:$A$1000,$C46,'Oxford Economics'!$B$7:$B$1000,Settings!$B$14),SUMIFS(INDEX('Oxford Economics'!$A$7:$AZ$1000,0,IFERROR(MATCH(AG$5,'Oxford Economics'!$A$6:$AZ$6,0),MATCH(AG$5&amp;"",'Oxford Economics'!$A$6:$AZ$6,0))),'Oxford Economics'!$A$7:$A$1000,$C46,'Oxford Economics'!$B$7:$B$1000,Settings!$B$14)+SUMIFS(INDEX('Oxford Economics'!$A$7:$AZ$1000,0,IFERROR(MATCH(AG$5,'Oxford Economics'!$A$6:$AZ$6,0),MATCH(AG$5&amp;"",'Oxford Economics'!$A$6:$AZ$6,0))),'Oxford Economics'!$A$7:$A$1000,$C46,'Oxford Economics'!$B$7:$B$1000,Settings!$B$16)+IF(Settings!$B$18="",0,SUMIFS(INDEX('Oxford Economics'!$A$7:$AZ$1000,0,IFERROR(MATCH(AG$5,'Oxford Economics'!$A$6:$AZ$6,0),MATCH(AG$5&amp;"",'Oxford Economics'!$A$6:$AZ$6,0))),'Oxford Economics'!$A$7:$A$1000,$C46,'Oxford Economics'!$B$7:$B$1000,Settings!$B$18)))),""))</f>
        <v>1756.69</v>
      </c>
      <c r="AH46" s="38" t="n">
        <f aca="false">IF($A46="","",IFERROR(1/(1/IF($B46="Residential",SUMIFS(INDEX('Oxford Economics'!$A$7:$AZ$1000,0,IFERROR(MATCH(AH$5,'Oxford Economics'!$A$6:$AZ$6,0),MATCH(AH$5&amp;"",'Oxford Economics'!$A$6:$AZ$6,0))),'Oxford Economics'!$A$7:$A$1000,$C46,'Oxford Economics'!$B$7:$B$1000,Settings!$B$12)-SUMIFS(INDEX('Oxford Economics'!$A$7:$AZ$1000,0,IFERROR(MATCH(AH$5,'Oxford Economics'!$A$6:$AZ$6,0),MATCH(AH$5&amp;"",'Oxford Economics'!$A$6:$AZ$6,0))),'Oxford Economics'!$A$7:$A$1000,$C46,'Oxford Economics'!$B$7:$B$1000,Settings!$B$14),SUMIFS(INDEX('Oxford Economics'!$A$7:$AZ$1000,0,IFERROR(MATCH(AH$5,'Oxford Economics'!$A$6:$AZ$6,0),MATCH(AH$5&amp;"",'Oxford Economics'!$A$6:$AZ$6,0))),'Oxford Economics'!$A$7:$A$1000,$C46,'Oxford Economics'!$B$7:$B$1000,Settings!$B$14)+SUMIFS(INDEX('Oxford Economics'!$A$7:$AZ$1000,0,IFERROR(MATCH(AH$5,'Oxford Economics'!$A$6:$AZ$6,0),MATCH(AH$5&amp;"",'Oxford Economics'!$A$6:$AZ$6,0))),'Oxford Economics'!$A$7:$A$1000,$C46,'Oxford Economics'!$B$7:$B$1000,Settings!$B$16)+IF(Settings!$B$18="",0,SUMIFS(INDEX('Oxford Economics'!$A$7:$AZ$1000,0,IFERROR(MATCH(AH$5,'Oxford Economics'!$A$6:$AZ$6,0),MATCH(AH$5&amp;"",'Oxford Economics'!$A$6:$AZ$6,0))),'Oxford Economics'!$A$7:$A$1000,$C46,'Oxford Economics'!$B$7:$B$1000,Settings!$B$18)))),""))</f>
        <v>1629.49</v>
      </c>
      <c r="AI46" s="38" t="n">
        <f aca="false">IF($A46="","",IFERROR(1/(1/IF($B46="Residential",SUMIFS(INDEX('Oxford Economics'!$A$7:$AZ$1000,0,IFERROR(MATCH(AI$5,'Oxford Economics'!$A$6:$AZ$6,0),MATCH(AI$5&amp;"",'Oxford Economics'!$A$6:$AZ$6,0))),'Oxford Economics'!$A$7:$A$1000,$C46,'Oxford Economics'!$B$7:$B$1000,Settings!$B$12)-SUMIFS(INDEX('Oxford Economics'!$A$7:$AZ$1000,0,IFERROR(MATCH(AI$5,'Oxford Economics'!$A$6:$AZ$6,0),MATCH(AI$5&amp;"",'Oxford Economics'!$A$6:$AZ$6,0))),'Oxford Economics'!$A$7:$A$1000,$C46,'Oxford Economics'!$B$7:$B$1000,Settings!$B$14),SUMIFS(INDEX('Oxford Economics'!$A$7:$AZ$1000,0,IFERROR(MATCH(AI$5,'Oxford Economics'!$A$6:$AZ$6,0),MATCH(AI$5&amp;"",'Oxford Economics'!$A$6:$AZ$6,0))),'Oxford Economics'!$A$7:$A$1000,$C46,'Oxford Economics'!$B$7:$B$1000,Settings!$B$14)+SUMIFS(INDEX('Oxford Economics'!$A$7:$AZ$1000,0,IFERROR(MATCH(AI$5,'Oxford Economics'!$A$6:$AZ$6,0),MATCH(AI$5&amp;"",'Oxford Economics'!$A$6:$AZ$6,0))),'Oxford Economics'!$A$7:$A$1000,$C46,'Oxford Economics'!$B$7:$B$1000,Settings!$B$16)+IF(Settings!$B$18="",0,SUMIFS(INDEX('Oxford Economics'!$A$7:$AZ$1000,0,IFERROR(MATCH(AI$5,'Oxford Economics'!$A$6:$AZ$6,0),MATCH(AI$5&amp;"",'Oxford Economics'!$A$6:$AZ$6,0))),'Oxford Economics'!$A$7:$A$1000,$C46,'Oxford Economics'!$B$7:$B$1000,Settings!$B$18)))),""))</f>
        <v>1560.5</v>
      </c>
      <c r="AJ46" s="38" t="n">
        <f aca="false">IF($A46="","",IFERROR(1/(1/IF($B46="Residential",SUMIFS(INDEX('Oxford Economics'!$A$7:$AZ$1000,0,IFERROR(MATCH(AJ$5,'Oxford Economics'!$A$6:$AZ$6,0),MATCH(AJ$5&amp;"",'Oxford Economics'!$A$6:$AZ$6,0))),'Oxford Economics'!$A$7:$A$1000,$C46,'Oxford Economics'!$B$7:$B$1000,Settings!$B$12)-SUMIFS(INDEX('Oxford Economics'!$A$7:$AZ$1000,0,IFERROR(MATCH(AJ$5,'Oxford Economics'!$A$6:$AZ$6,0),MATCH(AJ$5&amp;"",'Oxford Economics'!$A$6:$AZ$6,0))),'Oxford Economics'!$A$7:$A$1000,$C46,'Oxford Economics'!$B$7:$B$1000,Settings!$B$14),SUMIFS(INDEX('Oxford Economics'!$A$7:$AZ$1000,0,IFERROR(MATCH(AJ$5,'Oxford Economics'!$A$6:$AZ$6,0),MATCH(AJ$5&amp;"",'Oxford Economics'!$A$6:$AZ$6,0))),'Oxford Economics'!$A$7:$A$1000,$C46,'Oxford Economics'!$B$7:$B$1000,Settings!$B$14)+SUMIFS(INDEX('Oxford Economics'!$A$7:$AZ$1000,0,IFERROR(MATCH(AJ$5,'Oxford Economics'!$A$6:$AZ$6,0),MATCH(AJ$5&amp;"",'Oxford Economics'!$A$6:$AZ$6,0))),'Oxford Economics'!$A$7:$A$1000,$C46,'Oxford Economics'!$B$7:$B$1000,Settings!$B$16)+IF(Settings!$B$18="",0,SUMIFS(INDEX('Oxford Economics'!$A$7:$AZ$1000,0,IFERROR(MATCH(AJ$5,'Oxford Economics'!$A$6:$AZ$6,0),MATCH(AJ$5&amp;"",'Oxford Economics'!$A$6:$AZ$6,0))),'Oxford Economics'!$A$7:$A$1000,$C46,'Oxford Economics'!$B$7:$B$1000,Settings!$B$18)))),""))</f>
        <v>1633.39</v>
      </c>
      <c r="AK46" s="38" t="n">
        <f aca="false">IF($A46="","",IFERROR(1/(1/IF($B46="Residential",SUMIFS(INDEX('Oxford Economics'!$A$7:$AZ$1000,0,IFERROR(MATCH(AK$5,'Oxford Economics'!$A$6:$AZ$6,0),MATCH(AK$5&amp;"",'Oxford Economics'!$A$6:$AZ$6,0))),'Oxford Economics'!$A$7:$A$1000,$C46,'Oxford Economics'!$B$7:$B$1000,Settings!$B$12)-SUMIFS(INDEX('Oxford Economics'!$A$7:$AZ$1000,0,IFERROR(MATCH(AK$5,'Oxford Economics'!$A$6:$AZ$6,0),MATCH(AK$5&amp;"",'Oxford Economics'!$A$6:$AZ$6,0))),'Oxford Economics'!$A$7:$A$1000,$C46,'Oxford Economics'!$B$7:$B$1000,Settings!$B$14),SUMIFS(INDEX('Oxford Economics'!$A$7:$AZ$1000,0,IFERROR(MATCH(AK$5,'Oxford Economics'!$A$6:$AZ$6,0),MATCH(AK$5&amp;"",'Oxford Economics'!$A$6:$AZ$6,0))),'Oxford Economics'!$A$7:$A$1000,$C46,'Oxford Economics'!$B$7:$B$1000,Settings!$B$14)+SUMIFS(INDEX('Oxford Economics'!$A$7:$AZ$1000,0,IFERROR(MATCH(AK$5,'Oxford Economics'!$A$6:$AZ$6,0),MATCH(AK$5&amp;"",'Oxford Economics'!$A$6:$AZ$6,0))),'Oxford Economics'!$A$7:$A$1000,$C46,'Oxford Economics'!$B$7:$B$1000,Settings!$B$16)+IF(Settings!$B$18="",0,SUMIFS(INDEX('Oxford Economics'!$A$7:$AZ$1000,0,IFERROR(MATCH(AK$5,'Oxford Economics'!$A$6:$AZ$6,0),MATCH(AK$5&amp;"",'Oxford Economics'!$A$6:$AZ$6,0))),'Oxford Economics'!$A$7:$A$1000,$C46,'Oxford Economics'!$B$7:$B$1000,Settings!$B$18)))),""))</f>
        <v>1741.99</v>
      </c>
      <c r="AL46" s="38" t="n">
        <f aca="false">IF($A46="","",IFERROR(1/(1/IF($B46="Residential",SUMIFS(INDEX('Oxford Economics'!$A$7:$AZ$1000,0,IFERROR(MATCH(AL$5,'Oxford Economics'!$A$6:$AZ$6,0),MATCH(AL$5&amp;"",'Oxford Economics'!$A$6:$AZ$6,0))),'Oxford Economics'!$A$7:$A$1000,$C46,'Oxford Economics'!$B$7:$B$1000,Settings!$B$12)-SUMIFS(INDEX('Oxford Economics'!$A$7:$AZ$1000,0,IFERROR(MATCH(AL$5,'Oxford Economics'!$A$6:$AZ$6,0),MATCH(AL$5&amp;"",'Oxford Economics'!$A$6:$AZ$6,0))),'Oxford Economics'!$A$7:$A$1000,$C46,'Oxford Economics'!$B$7:$B$1000,Settings!$B$14),SUMIFS(INDEX('Oxford Economics'!$A$7:$AZ$1000,0,IFERROR(MATCH(AL$5,'Oxford Economics'!$A$6:$AZ$6,0),MATCH(AL$5&amp;"",'Oxford Economics'!$A$6:$AZ$6,0))),'Oxford Economics'!$A$7:$A$1000,$C46,'Oxford Economics'!$B$7:$B$1000,Settings!$B$14)+SUMIFS(INDEX('Oxford Economics'!$A$7:$AZ$1000,0,IFERROR(MATCH(AL$5,'Oxford Economics'!$A$6:$AZ$6,0),MATCH(AL$5&amp;"",'Oxford Economics'!$A$6:$AZ$6,0))),'Oxford Economics'!$A$7:$A$1000,$C46,'Oxford Economics'!$B$7:$B$1000,Settings!$B$16)+IF(Settings!$B$18="",0,SUMIFS(INDEX('Oxford Economics'!$A$7:$AZ$1000,0,IFERROR(MATCH(AL$5,'Oxford Economics'!$A$6:$AZ$6,0),MATCH(AL$5&amp;"",'Oxford Economics'!$A$6:$AZ$6,0))),'Oxford Economics'!$A$7:$A$1000,$C46,'Oxford Economics'!$B$7:$B$1000,Settings!$B$18)))),""))</f>
        <v>1858.81</v>
      </c>
      <c r="AM46" s="38" t="n">
        <f aca="false">IF($A46="","",IFERROR(1/(1/IF($B46="Residential",SUMIFS(INDEX('Oxford Economics'!$A$7:$AZ$1000,0,IFERROR(MATCH(AM$5,'Oxford Economics'!$A$6:$AZ$6,0),MATCH(AM$5&amp;"",'Oxford Economics'!$A$6:$AZ$6,0))),'Oxford Economics'!$A$7:$A$1000,$C46,'Oxford Economics'!$B$7:$B$1000,Settings!$B$12)-SUMIFS(INDEX('Oxford Economics'!$A$7:$AZ$1000,0,IFERROR(MATCH(AM$5,'Oxford Economics'!$A$6:$AZ$6,0),MATCH(AM$5&amp;"",'Oxford Economics'!$A$6:$AZ$6,0))),'Oxford Economics'!$A$7:$A$1000,$C46,'Oxford Economics'!$B$7:$B$1000,Settings!$B$14),SUMIFS(INDEX('Oxford Economics'!$A$7:$AZ$1000,0,IFERROR(MATCH(AM$5,'Oxford Economics'!$A$6:$AZ$6,0),MATCH(AM$5&amp;"",'Oxford Economics'!$A$6:$AZ$6,0))),'Oxford Economics'!$A$7:$A$1000,$C46,'Oxford Economics'!$B$7:$B$1000,Settings!$B$14)+SUMIFS(INDEX('Oxford Economics'!$A$7:$AZ$1000,0,IFERROR(MATCH(AM$5,'Oxford Economics'!$A$6:$AZ$6,0),MATCH(AM$5&amp;"",'Oxford Economics'!$A$6:$AZ$6,0))),'Oxford Economics'!$A$7:$A$1000,$C46,'Oxford Economics'!$B$7:$B$1000,Settings!$B$16)+IF(Settings!$B$18="",0,SUMIFS(INDEX('Oxford Economics'!$A$7:$AZ$1000,0,IFERROR(MATCH(AM$5,'Oxford Economics'!$A$6:$AZ$6,0),MATCH(AM$5&amp;"",'Oxford Economics'!$A$6:$AZ$6,0))),'Oxford Economics'!$A$7:$A$1000,$C46,'Oxford Economics'!$B$7:$B$1000,Settings!$B$18)))),""))</f>
        <v>1975.45</v>
      </c>
    </row>
    <row r="47" customFormat="false" ht="15" hidden="false" customHeight="false" outlineLevel="0" collapsed="false">
      <c r="A47" s="37" t="str">
        <f aca="false">IF('Raw data'!$A47="","",'Raw data'!$A47)</f>
        <v>Finland</v>
      </c>
      <c r="B47" s="37" t="str">
        <f aca="false">IF($A47="","",'Raw data'!$C47)</f>
        <v>Commercial</v>
      </c>
      <c r="C47" s="37" t="str">
        <f aca="false">IF($A47="","",IF('Raw data'!$E47="",$A47,'Raw data'!$E47))</f>
        <v>Finland</v>
      </c>
      <c r="D47" s="38" t="n">
        <f aca="false">IF($A47="","",IF(AND(ISNUMBER(P47),ISNUMBER(AB47)),P47+AB47,""))</f>
        <v>6490.63</v>
      </c>
      <c r="E47" s="38" t="n">
        <f aca="false">IF($A47="","",IF(AND(ISNUMBER(Q47),ISNUMBER(AC47)),Q47+AC47,""))</f>
        <v>6679.43</v>
      </c>
      <c r="F47" s="38" t="n">
        <f aca="false">IF($A47="","",IF(AND(ISNUMBER(R47),ISNUMBER(AD47)),R47+AD47,""))</f>
        <v>6635.91</v>
      </c>
      <c r="G47" s="38" t="n">
        <f aca="false">IF($A47="","",IF(AND(ISNUMBER(S47),ISNUMBER(AE47)),S47+AE47,""))</f>
        <v>5645.57</v>
      </c>
      <c r="H47" s="38" t="n">
        <f aca="false">IF($A47="","",IF(AND(ISNUMBER(T47),ISNUMBER(AF47)),T47+AF47,""))</f>
        <v>4821.81</v>
      </c>
      <c r="I47" s="38" t="n">
        <f aca="false">IF($A47="","",IF(AND(ISNUMBER(U47),ISNUMBER(AG47)),U47+AG47,""))</f>
        <v>4695.02</v>
      </c>
      <c r="J47" s="38" t="n">
        <f aca="false">IF($A47="","",IF(AND(ISNUMBER(V47),ISNUMBER(AH47)),V47+AH47,""))</f>
        <v>4654.98</v>
      </c>
      <c r="K47" s="38" t="n">
        <f aca="false">IF($A47="","",IF(AND(ISNUMBER(W47),ISNUMBER(AI47)),W47+AI47,""))</f>
        <v>4861.81</v>
      </c>
      <c r="L47" s="38" t="n">
        <f aca="false">IF($A47="","",IF(AND(ISNUMBER(X47),ISNUMBER(AJ47)),X47+AJ47,""))</f>
        <v>5071.37</v>
      </c>
      <c r="M47" s="38" t="n">
        <f aca="false">IF($A47="","",IF(AND(ISNUMBER(Y47),ISNUMBER(AK47)),Y47+AK47,""))</f>
        <v>5215.28</v>
      </c>
      <c r="N47" s="38" t="n">
        <f aca="false">IF($A47="","",IF(AND(ISNUMBER(Z47),ISNUMBER(AL47)),Z47+AL47,""))</f>
        <v>5342.87</v>
      </c>
      <c r="O47" s="38" t="n">
        <f aca="false">IF($A47="","",IF(AND(ISNUMBER(AA47),ISNUMBER(AM47)),AA47+AM47,""))</f>
        <v>5476.87</v>
      </c>
      <c r="P47" s="38" t="n">
        <f aca="false">IF($A47="","",IFERROR(1/(1/IF($B47="Residential",SUMIFS(INDEX('Oxford Economics'!$A$7:$AZ$1000,0,IFERROR(MATCH(P$5,'Oxford Economics'!$A$6:$AZ$6,0),MATCH(P$5&amp;"",'Oxford Economics'!$A$6:$AZ$6,0))),'Oxford Economics'!$A$7:$A$1000,$C47,'Oxford Economics'!$B$7:$B$1000,Settings!$B$13)-SUMIFS(INDEX('Oxford Economics'!$A$7:$AZ$1000,0,IFERROR(MATCH(P$5,'Oxford Economics'!$A$6:$AZ$6,0),MATCH(P$5&amp;"",'Oxford Economics'!$A$6:$AZ$6,0))),'Oxford Economics'!$A$7:$A$1000,$C47,'Oxford Economics'!$B$7:$B$1000,Settings!$B$15),SUMIFS(INDEX('Oxford Economics'!$A$7:$AZ$1000,0,IFERROR(MATCH(P$5,'Oxford Economics'!$A$6:$AZ$6,0),MATCH(P$5&amp;"",'Oxford Economics'!$A$6:$AZ$6,0))),'Oxford Economics'!$A$7:$A$1000,$C47,'Oxford Economics'!$B$7:$B$1000,Settings!$B$15)+SUMIFS(INDEX('Oxford Economics'!$A$7:$AZ$1000,0,IFERROR(MATCH(P$5,'Oxford Economics'!$A$6:$AZ$6,0),MATCH(P$5&amp;"",'Oxford Economics'!$A$6:$AZ$6,0))),'Oxford Economics'!$A$7:$A$1000,$C47,'Oxford Economics'!$B$7:$B$1000,Settings!$B$17)+IF(Settings!$B$19="",0,SUMIFS(INDEX('Oxford Economics'!$A$7:$AZ$1000,0,IFERROR(MATCH(P$5,'Oxford Economics'!$A$6:$AZ$6,0),MATCH(P$5&amp;"",'Oxford Economics'!$A$6:$AZ$6,0))),'Oxford Economics'!$A$7:$A$1000,$C47,'Oxford Economics'!$B$7:$B$1000,Settings!$B$19)))),""))</f>
        <v>3240.38</v>
      </c>
      <c r="Q47" s="38" t="n">
        <f aca="false">IF($A47="","",IFERROR(1/(1/IF($B47="Residential",SUMIFS(INDEX('Oxford Economics'!$A$7:$AZ$1000,0,IFERROR(MATCH(Q$5,'Oxford Economics'!$A$6:$AZ$6,0),MATCH(Q$5&amp;"",'Oxford Economics'!$A$6:$AZ$6,0))),'Oxford Economics'!$A$7:$A$1000,$C47,'Oxford Economics'!$B$7:$B$1000,Settings!$B$13)-SUMIFS(INDEX('Oxford Economics'!$A$7:$AZ$1000,0,IFERROR(MATCH(Q$5,'Oxford Economics'!$A$6:$AZ$6,0),MATCH(Q$5&amp;"",'Oxford Economics'!$A$6:$AZ$6,0))),'Oxford Economics'!$A$7:$A$1000,$C47,'Oxford Economics'!$B$7:$B$1000,Settings!$B$15),SUMIFS(INDEX('Oxford Economics'!$A$7:$AZ$1000,0,IFERROR(MATCH(Q$5,'Oxford Economics'!$A$6:$AZ$6,0),MATCH(Q$5&amp;"",'Oxford Economics'!$A$6:$AZ$6,0))),'Oxford Economics'!$A$7:$A$1000,$C47,'Oxford Economics'!$B$7:$B$1000,Settings!$B$15)+SUMIFS(INDEX('Oxford Economics'!$A$7:$AZ$1000,0,IFERROR(MATCH(Q$5,'Oxford Economics'!$A$6:$AZ$6,0),MATCH(Q$5&amp;"",'Oxford Economics'!$A$6:$AZ$6,0))),'Oxford Economics'!$A$7:$A$1000,$C47,'Oxford Economics'!$B$7:$B$1000,Settings!$B$17)+IF(Settings!$B$19="",0,SUMIFS(INDEX('Oxford Economics'!$A$7:$AZ$1000,0,IFERROR(MATCH(Q$5,'Oxford Economics'!$A$6:$AZ$6,0),MATCH(Q$5&amp;"",'Oxford Economics'!$A$6:$AZ$6,0))),'Oxford Economics'!$A$7:$A$1000,$C47,'Oxford Economics'!$B$7:$B$1000,Settings!$B$19)))),""))</f>
        <v>3212.13</v>
      </c>
      <c r="R47" s="38" t="n">
        <f aca="false">IF($A47="","",IFERROR(1/(1/IF($B47="Residential",SUMIFS(INDEX('Oxford Economics'!$A$7:$AZ$1000,0,IFERROR(MATCH(R$5,'Oxford Economics'!$A$6:$AZ$6,0),MATCH(R$5&amp;"",'Oxford Economics'!$A$6:$AZ$6,0))),'Oxford Economics'!$A$7:$A$1000,$C47,'Oxford Economics'!$B$7:$B$1000,Settings!$B$13)-SUMIFS(INDEX('Oxford Economics'!$A$7:$AZ$1000,0,IFERROR(MATCH(R$5,'Oxford Economics'!$A$6:$AZ$6,0),MATCH(R$5&amp;"",'Oxford Economics'!$A$6:$AZ$6,0))),'Oxford Economics'!$A$7:$A$1000,$C47,'Oxford Economics'!$B$7:$B$1000,Settings!$B$15),SUMIFS(INDEX('Oxford Economics'!$A$7:$AZ$1000,0,IFERROR(MATCH(R$5,'Oxford Economics'!$A$6:$AZ$6,0),MATCH(R$5&amp;"",'Oxford Economics'!$A$6:$AZ$6,0))),'Oxford Economics'!$A$7:$A$1000,$C47,'Oxford Economics'!$B$7:$B$1000,Settings!$B$15)+SUMIFS(INDEX('Oxford Economics'!$A$7:$AZ$1000,0,IFERROR(MATCH(R$5,'Oxford Economics'!$A$6:$AZ$6,0),MATCH(R$5&amp;"",'Oxford Economics'!$A$6:$AZ$6,0))),'Oxford Economics'!$A$7:$A$1000,$C47,'Oxford Economics'!$B$7:$B$1000,Settings!$B$17)+IF(Settings!$B$19="",0,SUMIFS(INDEX('Oxford Economics'!$A$7:$AZ$1000,0,IFERROR(MATCH(R$5,'Oxford Economics'!$A$6:$AZ$6,0),MATCH(R$5&amp;"",'Oxford Economics'!$A$6:$AZ$6,0))),'Oxford Economics'!$A$7:$A$1000,$C47,'Oxford Economics'!$B$7:$B$1000,Settings!$B$19)))),""))</f>
        <v>3147.47</v>
      </c>
      <c r="S47" s="38" t="n">
        <f aca="false">IF($A47="","",IFERROR(1/(1/IF($B47="Residential",SUMIFS(INDEX('Oxford Economics'!$A$7:$AZ$1000,0,IFERROR(MATCH(S$5,'Oxford Economics'!$A$6:$AZ$6,0),MATCH(S$5&amp;"",'Oxford Economics'!$A$6:$AZ$6,0))),'Oxford Economics'!$A$7:$A$1000,$C47,'Oxford Economics'!$B$7:$B$1000,Settings!$B$13)-SUMIFS(INDEX('Oxford Economics'!$A$7:$AZ$1000,0,IFERROR(MATCH(S$5,'Oxford Economics'!$A$6:$AZ$6,0),MATCH(S$5&amp;"",'Oxford Economics'!$A$6:$AZ$6,0))),'Oxford Economics'!$A$7:$A$1000,$C47,'Oxford Economics'!$B$7:$B$1000,Settings!$B$15),SUMIFS(INDEX('Oxford Economics'!$A$7:$AZ$1000,0,IFERROR(MATCH(S$5,'Oxford Economics'!$A$6:$AZ$6,0),MATCH(S$5&amp;"",'Oxford Economics'!$A$6:$AZ$6,0))),'Oxford Economics'!$A$7:$A$1000,$C47,'Oxford Economics'!$B$7:$B$1000,Settings!$B$15)+SUMIFS(INDEX('Oxford Economics'!$A$7:$AZ$1000,0,IFERROR(MATCH(S$5,'Oxford Economics'!$A$6:$AZ$6,0),MATCH(S$5&amp;"",'Oxford Economics'!$A$6:$AZ$6,0))),'Oxford Economics'!$A$7:$A$1000,$C47,'Oxford Economics'!$B$7:$B$1000,Settings!$B$17)+IF(Settings!$B$19="",0,SUMIFS(INDEX('Oxford Economics'!$A$7:$AZ$1000,0,IFERROR(MATCH(S$5,'Oxford Economics'!$A$6:$AZ$6,0),MATCH(S$5&amp;"",'Oxford Economics'!$A$6:$AZ$6,0))),'Oxford Economics'!$A$7:$A$1000,$C47,'Oxford Economics'!$B$7:$B$1000,Settings!$B$19)))),""))</f>
        <v>3131.19</v>
      </c>
      <c r="T47" s="38" t="n">
        <f aca="false">IF($A47="","",IFERROR(1/(1/IF($B47="Residential",SUMIFS(INDEX('Oxford Economics'!$A$7:$AZ$1000,0,IFERROR(MATCH(T$5,'Oxford Economics'!$A$6:$AZ$6,0),MATCH(T$5&amp;"",'Oxford Economics'!$A$6:$AZ$6,0))),'Oxford Economics'!$A$7:$A$1000,$C47,'Oxford Economics'!$B$7:$B$1000,Settings!$B$13)-SUMIFS(INDEX('Oxford Economics'!$A$7:$AZ$1000,0,IFERROR(MATCH(T$5,'Oxford Economics'!$A$6:$AZ$6,0),MATCH(T$5&amp;"",'Oxford Economics'!$A$6:$AZ$6,0))),'Oxford Economics'!$A$7:$A$1000,$C47,'Oxford Economics'!$B$7:$B$1000,Settings!$B$15),SUMIFS(INDEX('Oxford Economics'!$A$7:$AZ$1000,0,IFERROR(MATCH(T$5,'Oxford Economics'!$A$6:$AZ$6,0),MATCH(T$5&amp;"",'Oxford Economics'!$A$6:$AZ$6,0))),'Oxford Economics'!$A$7:$A$1000,$C47,'Oxford Economics'!$B$7:$B$1000,Settings!$B$15)+SUMIFS(INDEX('Oxford Economics'!$A$7:$AZ$1000,0,IFERROR(MATCH(T$5,'Oxford Economics'!$A$6:$AZ$6,0),MATCH(T$5&amp;"",'Oxford Economics'!$A$6:$AZ$6,0))),'Oxford Economics'!$A$7:$A$1000,$C47,'Oxford Economics'!$B$7:$B$1000,Settings!$B$17)+IF(Settings!$B$19="",0,SUMIFS(INDEX('Oxford Economics'!$A$7:$AZ$1000,0,IFERROR(MATCH(T$5,'Oxford Economics'!$A$6:$AZ$6,0),MATCH(T$5&amp;"",'Oxford Economics'!$A$6:$AZ$6,0))),'Oxford Economics'!$A$7:$A$1000,$C47,'Oxford Economics'!$B$7:$B$1000,Settings!$B$19)))),""))</f>
        <v>3000.91</v>
      </c>
      <c r="U47" s="38" t="n">
        <f aca="false">IF($A47="","",IFERROR(1/(1/IF($B47="Residential",SUMIFS(INDEX('Oxford Economics'!$A$7:$AZ$1000,0,IFERROR(MATCH(U$5,'Oxford Economics'!$A$6:$AZ$6,0),MATCH(U$5&amp;"",'Oxford Economics'!$A$6:$AZ$6,0))),'Oxford Economics'!$A$7:$A$1000,$C47,'Oxford Economics'!$B$7:$B$1000,Settings!$B$13)-SUMIFS(INDEX('Oxford Economics'!$A$7:$AZ$1000,0,IFERROR(MATCH(U$5,'Oxford Economics'!$A$6:$AZ$6,0),MATCH(U$5&amp;"",'Oxford Economics'!$A$6:$AZ$6,0))),'Oxford Economics'!$A$7:$A$1000,$C47,'Oxford Economics'!$B$7:$B$1000,Settings!$B$15),SUMIFS(INDEX('Oxford Economics'!$A$7:$AZ$1000,0,IFERROR(MATCH(U$5,'Oxford Economics'!$A$6:$AZ$6,0),MATCH(U$5&amp;"",'Oxford Economics'!$A$6:$AZ$6,0))),'Oxford Economics'!$A$7:$A$1000,$C47,'Oxford Economics'!$B$7:$B$1000,Settings!$B$15)+SUMIFS(INDEX('Oxford Economics'!$A$7:$AZ$1000,0,IFERROR(MATCH(U$5,'Oxford Economics'!$A$6:$AZ$6,0),MATCH(U$5&amp;"",'Oxford Economics'!$A$6:$AZ$6,0))),'Oxford Economics'!$A$7:$A$1000,$C47,'Oxford Economics'!$B$7:$B$1000,Settings!$B$17)+IF(Settings!$B$19="",0,SUMIFS(INDEX('Oxford Economics'!$A$7:$AZ$1000,0,IFERROR(MATCH(U$5,'Oxford Economics'!$A$6:$AZ$6,0),MATCH(U$5&amp;"",'Oxford Economics'!$A$6:$AZ$6,0))),'Oxford Economics'!$A$7:$A$1000,$C47,'Oxford Economics'!$B$7:$B$1000,Settings!$B$19)))),""))</f>
        <v>2938.33</v>
      </c>
      <c r="V47" s="38" t="n">
        <f aca="false">IF($A47="","",IFERROR(1/(1/IF($B47="Residential",SUMIFS(INDEX('Oxford Economics'!$A$7:$AZ$1000,0,IFERROR(MATCH(V$5,'Oxford Economics'!$A$6:$AZ$6,0),MATCH(V$5&amp;"",'Oxford Economics'!$A$6:$AZ$6,0))),'Oxford Economics'!$A$7:$A$1000,$C47,'Oxford Economics'!$B$7:$B$1000,Settings!$B$13)-SUMIFS(INDEX('Oxford Economics'!$A$7:$AZ$1000,0,IFERROR(MATCH(V$5,'Oxford Economics'!$A$6:$AZ$6,0),MATCH(V$5&amp;"",'Oxford Economics'!$A$6:$AZ$6,0))),'Oxford Economics'!$A$7:$A$1000,$C47,'Oxford Economics'!$B$7:$B$1000,Settings!$B$15),SUMIFS(INDEX('Oxford Economics'!$A$7:$AZ$1000,0,IFERROR(MATCH(V$5,'Oxford Economics'!$A$6:$AZ$6,0),MATCH(V$5&amp;"",'Oxford Economics'!$A$6:$AZ$6,0))),'Oxford Economics'!$A$7:$A$1000,$C47,'Oxford Economics'!$B$7:$B$1000,Settings!$B$15)+SUMIFS(INDEX('Oxford Economics'!$A$7:$AZ$1000,0,IFERROR(MATCH(V$5,'Oxford Economics'!$A$6:$AZ$6,0),MATCH(V$5&amp;"",'Oxford Economics'!$A$6:$AZ$6,0))),'Oxford Economics'!$A$7:$A$1000,$C47,'Oxford Economics'!$B$7:$B$1000,Settings!$B$17)+IF(Settings!$B$19="",0,SUMIFS(INDEX('Oxford Economics'!$A$7:$AZ$1000,0,IFERROR(MATCH(V$5,'Oxford Economics'!$A$6:$AZ$6,0),MATCH(V$5&amp;"",'Oxford Economics'!$A$6:$AZ$6,0))),'Oxford Economics'!$A$7:$A$1000,$C47,'Oxford Economics'!$B$7:$B$1000,Settings!$B$19)))),""))</f>
        <v>3025.49</v>
      </c>
      <c r="W47" s="38" t="n">
        <f aca="false">IF($A47="","",IFERROR(1/(1/IF($B47="Residential",SUMIFS(INDEX('Oxford Economics'!$A$7:$AZ$1000,0,IFERROR(MATCH(W$5,'Oxford Economics'!$A$6:$AZ$6,0),MATCH(W$5&amp;"",'Oxford Economics'!$A$6:$AZ$6,0))),'Oxford Economics'!$A$7:$A$1000,$C47,'Oxford Economics'!$B$7:$B$1000,Settings!$B$13)-SUMIFS(INDEX('Oxford Economics'!$A$7:$AZ$1000,0,IFERROR(MATCH(W$5,'Oxford Economics'!$A$6:$AZ$6,0),MATCH(W$5&amp;"",'Oxford Economics'!$A$6:$AZ$6,0))),'Oxford Economics'!$A$7:$A$1000,$C47,'Oxford Economics'!$B$7:$B$1000,Settings!$B$15),SUMIFS(INDEX('Oxford Economics'!$A$7:$AZ$1000,0,IFERROR(MATCH(W$5,'Oxford Economics'!$A$6:$AZ$6,0),MATCH(W$5&amp;"",'Oxford Economics'!$A$6:$AZ$6,0))),'Oxford Economics'!$A$7:$A$1000,$C47,'Oxford Economics'!$B$7:$B$1000,Settings!$B$15)+SUMIFS(INDEX('Oxford Economics'!$A$7:$AZ$1000,0,IFERROR(MATCH(W$5,'Oxford Economics'!$A$6:$AZ$6,0),MATCH(W$5&amp;"",'Oxford Economics'!$A$6:$AZ$6,0))),'Oxford Economics'!$A$7:$A$1000,$C47,'Oxford Economics'!$B$7:$B$1000,Settings!$B$17)+IF(Settings!$B$19="",0,SUMIFS(INDEX('Oxford Economics'!$A$7:$AZ$1000,0,IFERROR(MATCH(W$5,'Oxford Economics'!$A$6:$AZ$6,0),MATCH(W$5&amp;"",'Oxford Economics'!$A$6:$AZ$6,0))),'Oxford Economics'!$A$7:$A$1000,$C47,'Oxford Economics'!$B$7:$B$1000,Settings!$B$19)))),""))</f>
        <v>3301.31</v>
      </c>
      <c r="X47" s="38" t="n">
        <f aca="false">IF($A47="","",IFERROR(1/(1/IF($B47="Residential",SUMIFS(INDEX('Oxford Economics'!$A$7:$AZ$1000,0,IFERROR(MATCH(X$5,'Oxford Economics'!$A$6:$AZ$6,0),MATCH(X$5&amp;"",'Oxford Economics'!$A$6:$AZ$6,0))),'Oxford Economics'!$A$7:$A$1000,$C47,'Oxford Economics'!$B$7:$B$1000,Settings!$B$13)-SUMIFS(INDEX('Oxford Economics'!$A$7:$AZ$1000,0,IFERROR(MATCH(X$5,'Oxford Economics'!$A$6:$AZ$6,0),MATCH(X$5&amp;"",'Oxford Economics'!$A$6:$AZ$6,0))),'Oxford Economics'!$A$7:$A$1000,$C47,'Oxford Economics'!$B$7:$B$1000,Settings!$B$15),SUMIFS(INDEX('Oxford Economics'!$A$7:$AZ$1000,0,IFERROR(MATCH(X$5,'Oxford Economics'!$A$6:$AZ$6,0),MATCH(X$5&amp;"",'Oxford Economics'!$A$6:$AZ$6,0))),'Oxford Economics'!$A$7:$A$1000,$C47,'Oxford Economics'!$B$7:$B$1000,Settings!$B$15)+SUMIFS(INDEX('Oxford Economics'!$A$7:$AZ$1000,0,IFERROR(MATCH(X$5,'Oxford Economics'!$A$6:$AZ$6,0),MATCH(X$5&amp;"",'Oxford Economics'!$A$6:$AZ$6,0))),'Oxford Economics'!$A$7:$A$1000,$C47,'Oxford Economics'!$B$7:$B$1000,Settings!$B$17)+IF(Settings!$B$19="",0,SUMIFS(INDEX('Oxford Economics'!$A$7:$AZ$1000,0,IFERROR(MATCH(X$5,'Oxford Economics'!$A$6:$AZ$6,0),MATCH(X$5&amp;"",'Oxford Economics'!$A$6:$AZ$6,0))),'Oxford Economics'!$A$7:$A$1000,$C47,'Oxford Economics'!$B$7:$B$1000,Settings!$B$19)))),""))</f>
        <v>3437.98</v>
      </c>
      <c r="Y47" s="38" t="n">
        <f aca="false">IF($A47="","",IFERROR(1/(1/IF($B47="Residential",SUMIFS(INDEX('Oxford Economics'!$A$7:$AZ$1000,0,IFERROR(MATCH(Y$5,'Oxford Economics'!$A$6:$AZ$6,0),MATCH(Y$5&amp;"",'Oxford Economics'!$A$6:$AZ$6,0))),'Oxford Economics'!$A$7:$A$1000,$C47,'Oxford Economics'!$B$7:$B$1000,Settings!$B$13)-SUMIFS(INDEX('Oxford Economics'!$A$7:$AZ$1000,0,IFERROR(MATCH(Y$5,'Oxford Economics'!$A$6:$AZ$6,0),MATCH(Y$5&amp;"",'Oxford Economics'!$A$6:$AZ$6,0))),'Oxford Economics'!$A$7:$A$1000,$C47,'Oxford Economics'!$B$7:$B$1000,Settings!$B$15),SUMIFS(INDEX('Oxford Economics'!$A$7:$AZ$1000,0,IFERROR(MATCH(Y$5,'Oxford Economics'!$A$6:$AZ$6,0),MATCH(Y$5&amp;"",'Oxford Economics'!$A$6:$AZ$6,0))),'Oxford Economics'!$A$7:$A$1000,$C47,'Oxford Economics'!$B$7:$B$1000,Settings!$B$15)+SUMIFS(INDEX('Oxford Economics'!$A$7:$AZ$1000,0,IFERROR(MATCH(Y$5,'Oxford Economics'!$A$6:$AZ$6,0),MATCH(Y$5&amp;"",'Oxford Economics'!$A$6:$AZ$6,0))),'Oxford Economics'!$A$7:$A$1000,$C47,'Oxford Economics'!$B$7:$B$1000,Settings!$B$17)+IF(Settings!$B$19="",0,SUMIFS(INDEX('Oxford Economics'!$A$7:$AZ$1000,0,IFERROR(MATCH(Y$5,'Oxford Economics'!$A$6:$AZ$6,0),MATCH(Y$5&amp;"",'Oxford Economics'!$A$6:$AZ$6,0))),'Oxford Economics'!$A$7:$A$1000,$C47,'Oxford Economics'!$B$7:$B$1000,Settings!$B$19)))),""))</f>
        <v>3473.29</v>
      </c>
      <c r="Z47" s="38" t="n">
        <f aca="false">IF($A47="","",IFERROR(1/(1/IF($B47="Residential",SUMIFS(INDEX('Oxford Economics'!$A$7:$AZ$1000,0,IFERROR(MATCH(Z$5,'Oxford Economics'!$A$6:$AZ$6,0),MATCH(Z$5&amp;"",'Oxford Economics'!$A$6:$AZ$6,0))),'Oxford Economics'!$A$7:$A$1000,$C47,'Oxford Economics'!$B$7:$B$1000,Settings!$B$13)-SUMIFS(INDEX('Oxford Economics'!$A$7:$AZ$1000,0,IFERROR(MATCH(Z$5,'Oxford Economics'!$A$6:$AZ$6,0),MATCH(Z$5&amp;"",'Oxford Economics'!$A$6:$AZ$6,0))),'Oxford Economics'!$A$7:$A$1000,$C47,'Oxford Economics'!$B$7:$B$1000,Settings!$B$15),SUMIFS(INDEX('Oxford Economics'!$A$7:$AZ$1000,0,IFERROR(MATCH(Z$5,'Oxford Economics'!$A$6:$AZ$6,0),MATCH(Z$5&amp;"",'Oxford Economics'!$A$6:$AZ$6,0))),'Oxford Economics'!$A$7:$A$1000,$C47,'Oxford Economics'!$B$7:$B$1000,Settings!$B$15)+SUMIFS(INDEX('Oxford Economics'!$A$7:$AZ$1000,0,IFERROR(MATCH(Z$5,'Oxford Economics'!$A$6:$AZ$6,0),MATCH(Z$5&amp;"",'Oxford Economics'!$A$6:$AZ$6,0))),'Oxford Economics'!$A$7:$A$1000,$C47,'Oxford Economics'!$B$7:$B$1000,Settings!$B$17)+IF(Settings!$B$19="",0,SUMIFS(INDEX('Oxford Economics'!$A$7:$AZ$1000,0,IFERROR(MATCH(Z$5,'Oxford Economics'!$A$6:$AZ$6,0),MATCH(Z$5&amp;"",'Oxford Economics'!$A$6:$AZ$6,0))),'Oxford Economics'!$A$7:$A$1000,$C47,'Oxford Economics'!$B$7:$B$1000,Settings!$B$19)))),""))</f>
        <v>3484.06</v>
      </c>
      <c r="AA47" s="38" t="n">
        <f aca="false">IF($A47="","",IFERROR(1/(1/IF($B47="Residential",SUMIFS(INDEX('Oxford Economics'!$A$7:$AZ$1000,0,IFERROR(MATCH(AA$5,'Oxford Economics'!$A$6:$AZ$6,0),MATCH(AA$5&amp;"",'Oxford Economics'!$A$6:$AZ$6,0))),'Oxford Economics'!$A$7:$A$1000,$C47,'Oxford Economics'!$B$7:$B$1000,Settings!$B$13)-SUMIFS(INDEX('Oxford Economics'!$A$7:$AZ$1000,0,IFERROR(MATCH(AA$5,'Oxford Economics'!$A$6:$AZ$6,0),MATCH(AA$5&amp;"",'Oxford Economics'!$A$6:$AZ$6,0))),'Oxford Economics'!$A$7:$A$1000,$C47,'Oxford Economics'!$B$7:$B$1000,Settings!$B$15),SUMIFS(INDEX('Oxford Economics'!$A$7:$AZ$1000,0,IFERROR(MATCH(AA$5,'Oxford Economics'!$A$6:$AZ$6,0),MATCH(AA$5&amp;"",'Oxford Economics'!$A$6:$AZ$6,0))),'Oxford Economics'!$A$7:$A$1000,$C47,'Oxford Economics'!$B$7:$B$1000,Settings!$B$15)+SUMIFS(INDEX('Oxford Economics'!$A$7:$AZ$1000,0,IFERROR(MATCH(AA$5,'Oxford Economics'!$A$6:$AZ$6,0),MATCH(AA$5&amp;"",'Oxford Economics'!$A$6:$AZ$6,0))),'Oxford Economics'!$A$7:$A$1000,$C47,'Oxford Economics'!$B$7:$B$1000,Settings!$B$17)+IF(Settings!$B$19="",0,SUMIFS(INDEX('Oxford Economics'!$A$7:$AZ$1000,0,IFERROR(MATCH(AA$5,'Oxford Economics'!$A$6:$AZ$6,0),MATCH(AA$5&amp;"",'Oxford Economics'!$A$6:$AZ$6,0))),'Oxford Economics'!$A$7:$A$1000,$C47,'Oxford Economics'!$B$7:$B$1000,Settings!$B$19)))),""))</f>
        <v>3501.42</v>
      </c>
      <c r="AB47" s="38" t="n">
        <f aca="false">IF($A47="","",IFERROR(1/(1/IF($B47="Residential",SUMIFS(INDEX('Oxford Economics'!$A$7:$AZ$1000,0,IFERROR(MATCH(AB$5,'Oxford Economics'!$A$6:$AZ$6,0),MATCH(AB$5&amp;"",'Oxford Economics'!$A$6:$AZ$6,0))),'Oxford Economics'!$A$7:$A$1000,$C47,'Oxford Economics'!$B$7:$B$1000,Settings!$B$12)-SUMIFS(INDEX('Oxford Economics'!$A$7:$AZ$1000,0,IFERROR(MATCH(AB$5,'Oxford Economics'!$A$6:$AZ$6,0),MATCH(AB$5&amp;"",'Oxford Economics'!$A$6:$AZ$6,0))),'Oxford Economics'!$A$7:$A$1000,$C47,'Oxford Economics'!$B$7:$B$1000,Settings!$B$14),SUMIFS(INDEX('Oxford Economics'!$A$7:$AZ$1000,0,IFERROR(MATCH(AB$5,'Oxford Economics'!$A$6:$AZ$6,0),MATCH(AB$5&amp;"",'Oxford Economics'!$A$6:$AZ$6,0))),'Oxford Economics'!$A$7:$A$1000,$C47,'Oxford Economics'!$B$7:$B$1000,Settings!$B$14)+SUMIFS(INDEX('Oxford Economics'!$A$7:$AZ$1000,0,IFERROR(MATCH(AB$5,'Oxford Economics'!$A$6:$AZ$6,0),MATCH(AB$5&amp;"",'Oxford Economics'!$A$6:$AZ$6,0))),'Oxford Economics'!$A$7:$A$1000,$C47,'Oxford Economics'!$B$7:$B$1000,Settings!$B$16)+IF(Settings!$B$18="",0,SUMIFS(INDEX('Oxford Economics'!$A$7:$AZ$1000,0,IFERROR(MATCH(AB$5,'Oxford Economics'!$A$6:$AZ$6,0),MATCH(AB$5&amp;"",'Oxford Economics'!$A$6:$AZ$6,0))),'Oxford Economics'!$A$7:$A$1000,$C47,'Oxford Economics'!$B$7:$B$1000,Settings!$B$18)))),""))</f>
        <v>3250.25</v>
      </c>
      <c r="AC47" s="38" t="n">
        <f aca="false">IF($A47="","",IFERROR(1/(1/IF($B47="Residential",SUMIFS(INDEX('Oxford Economics'!$A$7:$AZ$1000,0,IFERROR(MATCH(AC$5,'Oxford Economics'!$A$6:$AZ$6,0),MATCH(AC$5&amp;"",'Oxford Economics'!$A$6:$AZ$6,0))),'Oxford Economics'!$A$7:$A$1000,$C47,'Oxford Economics'!$B$7:$B$1000,Settings!$B$12)-SUMIFS(INDEX('Oxford Economics'!$A$7:$AZ$1000,0,IFERROR(MATCH(AC$5,'Oxford Economics'!$A$6:$AZ$6,0),MATCH(AC$5&amp;"",'Oxford Economics'!$A$6:$AZ$6,0))),'Oxford Economics'!$A$7:$A$1000,$C47,'Oxford Economics'!$B$7:$B$1000,Settings!$B$14),SUMIFS(INDEX('Oxford Economics'!$A$7:$AZ$1000,0,IFERROR(MATCH(AC$5,'Oxford Economics'!$A$6:$AZ$6,0),MATCH(AC$5&amp;"",'Oxford Economics'!$A$6:$AZ$6,0))),'Oxford Economics'!$A$7:$A$1000,$C47,'Oxford Economics'!$B$7:$B$1000,Settings!$B$14)+SUMIFS(INDEX('Oxford Economics'!$A$7:$AZ$1000,0,IFERROR(MATCH(AC$5,'Oxford Economics'!$A$6:$AZ$6,0),MATCH(AC$5&amp;"",'Oxford Economics'!$A$6:$AZ$6,0))),'Oxford Economics'!$A$7:$A$1000,$C47,'Oxford Economics'!$B$7:$B$1000,Settings!$B$16)+IF(Settings!$B$18="",0,SUMIFS(INDEX('Oxford Economics'!$A$7:$AZ$1000,0,IFERROR(MATCH(AC$5,'Oxford Economics'!$A$6:$AZ$6,0),MATCH(AC$5&amp;"",'Oxford Economics'!$A$6:$AZ$6,0))),'Oxford Economics'!$A$7:$A$1000,$C47,'Oxford Economics'!$B$7:$B$1000,Settings!$B$18)))),""))</f>
        <v>3467.3</v>
      </c>
      <c r="AD47" s="38" t="n">
        <f aca="false">IF($A47="","",IFERROR(1/(1/IF($B47="Residential",SUMIFS(INDEX('Oxford Economics'!$A$7:$AZ$1000,0,IFERROR(MATCH(AD$5,'Oxford Economics'!$A$6:$AZ$6,0),MATCH(AD$5&amp;"",'Oxford Economics'!$A$6:$AZ$6,0))),'Oxford Economics'!$A$7:$A$1000,$C47,'Oxford Economics'!$B$7:$B$1000,Settings!$B$12)-SUMIFS(INDEX('Oxford Economics'!$A$7:$AZ$1000,0,IFERROR(MATCH(AD$5,'Oxford Economics'!$A$6:$AZ$6,0),MATCH(AD$5&amp;"",'Oxford Economics'!$A$6:$AZ$6,0))),'Oxford Economics'!$A$7:$A$1000,$C47,'Oxford Economics'!$B$7:$B$1000,Settings!$B$14),SUMIFS(INDEX('Oxford Economics'!$A$7:$AZ$1000,0,IFERROR(MATCH(AD$5,'Oxford Economics'!$A$6:$AZ$6,0),MATCH(AD$5&amp;"",'Oxford Economics'!$A$6:$AZ$6,0))),'Oxford Economics'!$A$7:$A$1000,$C47,'Oxford Economics'!$B$7:$B$1000,Settings!$B$14)+SUMIFS(INDEX('Oxford Economics'!$A$7:$AZ$1000,0,IFERROR(MATCH(AD$5,'Oxford Economics'!$A$6:$AZ$6,0),MATCH(AD$5&amp;"",'Oxford Economics'!$A$6:$AZ$6,0))),'Oxford Economics'!$A$7:$A$1000,$C47,'Oxford Economics'!$B$7:$B$1000,Settings!$B$16)+IF(Settings!$B$18="",0,SUMIFS(INDEX('Oxford Economics'!$A$7:$AZ$1000,0,IFERROR(MATCH(AD$5,'Oxford Economics'!$A$6:$AZ$6,0),MATCH(AD$5&amp;"",'Oxford Economics'!$A$6:$AZ$6,0))),'Oxford Economics'!$A$7:$A$1000,$C47,'Oxford Economics'!$B$7:$B$1000,Settings!$B$18)))),""))</f>
        <v>3488.44</v>
      </c>
      <c r="AE47" s="38" t="n">
        <f aca="false">IF($A47="","",IFERROR(1/(1/IF($B47="Residential",SUMIFS(INDEX('Oxford Economics'!$A$7:$AZ$1000,0,IFERROR(MATCH(AE$5,'Oxford Economics'!$A$6:$AZ$6,0),MATCH(AE$5&amp;"",'Oxford Economics'!$A$6:$AZ$6,0))),'Oxford Economics'!$A$7:$A$1000,$C47,'Oxford Economics'!$B$7:$B$1000,Settings!$B$12)-SUMIFS(INDEX('Oxford Economics'!$A$7:$AZ$1000,0,IFERROR(MATCH(AE$5,'Oxford Economics'!$A$6:$AZ$6,0),MATCH(AE$5&amp;"",'Oxford Economics'!$A$6:$AZ$6,0))),'Oxford Economics'!$A$7:$A$1000,$C47,'Oxford Economics'!$B$7:$B$1000,Settings!$B$14),SUMIFS(INDEX('Oxford Economics'!$A$7:$AZ$1000,0,IFERROR(MATCH(AE$5,'Oxford Economics'!$A$6:$AZ$6,0),MATCH(AE$5&amp;"",'Oxford Economics'!$A$6:$AZ$6,0))),'Oxford Economics'!$A$7:$A$1000,$C47,'Oxford Economics'!$B$7:$B$1000,Settings!$B$14)+SUMIFS(INDEX('Oxford Economics'!$A$7:$AZ$1000,0,IFERROR(MATCH(AE$5,'Oxford Economics'!$A$6:$AZ$6,0),MATCH(AE$5&amp;"",'Oxford Economics'!$A$6:$AZ$6,0))),'Oxford Economics'!$A$7:$A$1000,$C47,'Oxford Economics'!$B$7:$B$1000,Settings!$B$16)+IF(Settings!$B$18="",0,SUMIFS(INDEX('Oxford Economics'!$A$7:$AZ$1000,0,IFERROR(MATCH(AE$5,'Oxford Economics'!$A$6:$AZ$6,0),MATCH(AE$5&amp;"",'Oxford Economics'!$A$6:$AZ$6,0))),'Oxford Economics'!$A$7:$A$1000,$C47,'Oxford Economics'!$B$7:$B$1000,Settings!$B$18)))),""))</f>
        <v>2514.38</v>
      </c>
      <c r="AF47" s="38" t="n">
        <f aca="false">IF($A47="","",IFERROR(1/(1/IF($B47="Residential",SUMIFS(INDEX('Oxford Economics'!$A$7:$AZ$1000,0,IFERROR(MATCH(AF$5,'Oxford Economics'!$A$6:$AZ$6,0),MATCH(AF$5&amp;"",'Oxford Economics'!$A$6:$AZ$6,0))),'Oxford Economics'!$A$7:$A$1000,$C47,'Oxford Economics'!$B$7:$B$1000,Settings!$B$12)-SUMIFS(INDEX('Oxford Economics'!$A$7:$AZ$1000,0,IFERROR(MATCH(AF$5,'Oxford Economics'!$A$6:$AZ$6,0),MATCH(AF$5&amp;"",'Oxford Economics'!$A$6:$AZ$6,0))),'Oxford Economics'!$A$7:$A$1000,$C47,'Oxford Economics'!$B$7:$B$1000,Settings!$B$14),SUMIFS(INDEX('Oxford Economics'!$A$7:$AZ$1000,0,IFERROR(MATCH(AF$5,'Oxford Economics'!$A$6:$AZ$6,0),MATCH(AF$5&amp;"",'Oxford Economics'!$A$6:$AZ$6,0))),'Oxford Economics'!$A$7:$A$1000,$C47,'Oxford Economics'!$B$7:$B$1000,Settings!$B$14)+SUMIFS(INDEX('Oxford Economics'!$A$7:$AZ$1000,0,IFERROR(MATCH(AF$5,'Oxford Economics'!$A$6:$AZ$6,0),MATCH(AF$5&amp;"",'Oxford Economics'!$A$6:$AZ$6,0))),'Oxford Economics'!$A$7:$A$1000,$C47,'Oxford Economics'!$B$7:$B$1000,Settings!$B$16)+IF(Settings!$B$18="",0,SUMIFS(INDEX('Oxford Economics'!$A$7:$AZ$1000,0,IFERROR(MATCH(AF$5,'Oxford Economics'!$A$6:$AZ$6,0),MATCH(AF$5&amp;"",'Oxford Economics'!$A$6:$AZ$6,0))),'Oxford Economics'!$A$7:$A$1000,$C47,'Oxford Economics'!$B$7:$B$1000,Settings!$B$18)))),""))</f>
        <v>1820.9</v>
      </c>
      <c r="AG47" s="38" t="n">
        <f aca="false">IF($A47="","",IFERROR(1/(1/IF($B47="Residential",SUMIFS(INDEX('Oxford Economics'!$A$7:$AZ$1000,0,IFERROR(MATCH(AG$5,'Oxford Economics'!$A$6:$AZ$6,0),MATCH(AG$5&amp;"",'Oxford Economics'!$A$6:$AZ$6,0))),'Oxford Economics'!$A$7:$A$1000,$C47,'Oxford Economics'!$B$7:$B$1000,Settings!$B$12)-SUMIFS(INDEX('Oxford Economics'!$A$7:$AZ$1000,0,IFERROR(MATCH(AG$5,'Oxford Economics'!$A$6:$AZ$6,0),MATCH(AG$5&amp;"",'Oxford Economics'!$A$6:$AZ$6,0))),'Oxford Economics'!$A$7:$A$1000,$C47,'Oxford Economics'!$B$7:$B$1000,Settings!$B$14),SUMIFS(INDEX('Oxford Economics'!$A$7:$AZ$1000,0,IFERROR(MATCH(AG$5,'Oxford Economics'!$A$6:$AZ$6,0),MATCH(AG$5&amp;"",'Oxford Economics'!$A$6:$AZ$6,0))),'Oxford Economics'!$A$7:$A$1000,$C47,'Oxford Economics'!$B$7:$B$1000,Settings!$B$14)+SUMIFS(INDEX('Oxford Economics'!$A$7:$AZ$1000,0,IFERROR(MATCH(AG$5,'Oxford Economics'!$A$6:$AZ$6,0),MATCH(AG$5&amp;"",'Oxford Economics'!$A$6:$AZ$6,0))),'Oxford Economics'!$A$7:$A$1000,$C47,'Oxford Economics'!$B$7:$B$1000,Settings!$B$16)+IF(Settings!$B$18="",0,SUMIFS(INDEX('Oxford Economics'!$A$7:$AZ$1000,0,IFERROR(MATCH(AG$5,'Oxford Economics'!$A$6:$AZ$6,0),MATCH(AG$5&amp;"",'Oxford Economics'!$A$6:$AZ$6,0))),'Oxford Economics'!$A$7:$A$1000,$C47,'Oxford Economics'!$B$7:$B$1000,Settings!$B$18)))),""))</f>
        <v>1756.69</v>
      </c>
      <c r="AH47" s="38" t="n">
        <f aca="false">IF($A47="","",IFERROR(1/(1/IF($B47="Residential",SUMIFS(INDEX('Oxford Economics'!$A$7:$AZ$1000,0,IFERROR(MATCH(AH$5,'Oxford Economics'!$A$6:$AZ$6,0),MATCH(AH$5&amp;"",'Oxford Economics'!$A$6:$AZ$6,0))),'Oxford Economics'!$A$7:$A$1000,$C47,'Oxford Economics'!$B$7:$B$1000,Settings!$B$12)-SUMIFS(INDEX('Oxford Economics'!$A$7:$AZ$1000,0,IFERROR(MATCH(AH$5,'Oxford Economics'!$A$6:$AZ$6,0),MATCH(AH$5&amp;"",'Oxford Economics'!$A$6:$AZ$6,0))),'Oxford Economics'!$A$7:$A$1000,$C47,'Oxford Economics'!$B$7:$B$1000,Settings!$B$14),SUMIFS(INDEX('Oxford Economics'!$A$7:$AZ$1000,0,IFERROR(MATCH(AH$5,'Oxford Economics'!$A$6:$AZ$6,0),MATCH(AH$5&amp;"",'Oxford Economics'!$A$6:$AZ$6,0))),'Oxford Economics'!$A$7:$A$1000,$C47,'Oxford Economics'!$B$7:$B$1000,Settings!$B$14)+SUMIFS(INDEX('Oxford Economics'!$A$7:$AZ$1000,0,IFERROR(MATCH(AH$5,'Oxford Economics'!$A$6:$AZ$6,0),MATCH(AH$5&amp;"",'Oxford Economics'!$A$6:$AZ$6,0))),'Oxford Economics'!$A$7:$A$1000,$C47,'Oxford Economics'!$B$7:$B$1000,Settings!$B$16)+IF(Settings!$B$18="",0,SUMIFS(INDEX('Oxford Economics'!$A$7:$AZ$1000,0,IFERROR(MATCH(AH$5,'Oxford Economics'!$A$6:$AZ$6,0),MATCH(AH$5&amp;"",'Oxford Economics'!$A$6:$AZ$6,0))),'Oxford Economics'!$A$7:$A$1000,$C47,'Oxford Economics'!$B$7:$B$1000,Settings!$B$18)))),""))</f>
        <v>1629.49</v>
      </c>
      <c r="AI47" s="38" t="n">
        <f aca="false">IF($A47="","",IFERROR(1/(1/IF($B47="Residential",SUMIFS(INDEX('Oxford Economics'!$A$7:$AZ$1000,0,IFERROR(MATCH(AI$5,'Oxford Economics'!$A$6:$AZ$6,0),MATCH(AI$5&amp;"",'Oxford Economics'!$A$6:$AZ$6,0))),'Oxford Economics'!$A$7:$A$1000,$C47,'Oxford Economics'!$B$7:$B$1000,Settings!$B$12)-SUMIFS(INDEX('Oxford Economics'!$A$7:$AZ$1000,0,IFERROR(MATCH(AI$5,'Oxford Economics'!$A$6:$AZ$6,0),MATCH(AI$5&amp;"",'Oxford Economics'!$A$6:$AZ$6,0))),'Oxford Economics'!$A$7:$A$1000,$C47,'Oxford Economics'!$B$7:$B$1000,Settings!$B$14),SUMIFS(INDEX('Oxford Economics'!$A$7:$AZ$1000,0,IFERROR(MATCH(AI$5,'Oxford Economics'!$A$6:$AZ$6,0),MATCH(AI$5&amp;"",'Oxford Economics'!$A$6:$AZ$6,0))),'Oxford Economics'!$A$7:$A$1000,$C47,'Oxford Economics'!$B$7:$B$1000,Settings!$B$14)+SUMIFS(INDEX('Oxford Economics'!$A$7:$AZ$1000,0,IFERROR(MATCH(AI$5,'Oxford Economics'!$A$6:$AZ$6,0),MATCH(AI$5&amp;"",'Oxford Economics'!$A$6:$AZ$6,0))),'Oxford Economics'!$A$7:$A$1000,$C47,'Oxford Economics'!$B$7:$B$1000,Settings!$B$16)+IF(Settings!$B$18="",0,SUMIFS(INDEX('Oxford Economics'!$A$7:$AZ$1000,0,IFERROR(MATCH(AI$5,'Oxford Economics'!$A$6:$AZ$6,0),MATCH(AI$5&amp;"",'Oxford Economics'!$A$6:$AZ$6,0))),'Oxford Economics'!$A$7:$A$1000,$C47,'Oxford Economics'!$B$7:$B$1000,Settings!$B$18)))),""))</f>
        <v>1560.5</v>
      </c>
      <c r="AJ47" s="38" t="n">
        <f aca="false">IF($A47="","",IFERROR(1/(1/IF($B47="Residential",SUMIFS(INDEX('Oxford Economics'!$A$7:$AZ$1000,0,IFERROR(MATCH(AJ$5,'Oxford Economics'!$A$6:$AZ$6,0),MATCH(AJ$5&amp;"",'Oxford Economics'!$A$6:$AZ$6,0))),'Oxford Economics'!$A$7:$A$1000,$C47,'Oxford Economics'!$B$7:$B$1000,Settings!$B$12)-SUMIFS(INDEX('Oxford Economics'!$A$7:$AZ$1000,0,IFERROR(MATCH(AJ$5,'Oxford Economics'!$A$6:$AZ$6,0),MATCH(AJ$5&amp;"",'Oxford Economics'!$A$6:$AZ$6,0))),'Oxford Economics'!$A$7:$A$1000,$C47,'Oxford Economics'!$B$7:$B$1000,Settings!$B$14),SUMIFS(INDEX('Oxford Economics'!$A$7:$AZ$1000,0,IFERROR(MATCH(AJ$5,'Oxford Economics'!$A$6:$AZ$6,0),MATCH(AJ$5&amp;"",'Oxford Economics'!$A$6:$AZ$6,0))),'Oxford Economics'!$A$7:$A$1000,$C47,'Oxford Economics'!$B$7:$B$1000,Settings!$B$14)+SUMIFS(INDEX('Oxford Economics'!$A$7:$AZ$1000,0,IFERROR(MATCH(AJ$5,'Oxford Economics'!$A$6:$AZ$6,0),MATCH(AJ$5&amp;"",'Oxford Economics'!$A$6:$AZ$6,0))),'Oxford Economics'!$A$7:$A$1000,$C47,'Oxford Economics'!$B$7:$B$1000,Settings!$B$16)+IF(Settings!$B$18="",0,SUMIFS(INDEX('Oxford Economics'!$A$7:$AZ$1000,0,IFERROR(MATCH(AJ$5,'Oxford Economics'!$A$6:$AZ$6,0),MATCH(AJ$5&amp;"",'Oxford Economics'!$A$6:$AZ$6,0))),'Oxford Economics'!$A$7:$A$1000,$C47,'Oxford Economics'!$B$7:$B$1000,Settings!$B$18)))),""))</f>
        <v>1633.39</v>
      </c>
      <c r="AK47" s="38" t="n">
        <f aca="false">IF($A47="","",IFERROR(1/(1/IF($B47="Residential",SUMIFS(INDEX('Oxford Economics'!$A$7:$AZ$1000,0,IFERROR(MATCH(AK$5,'Oxford Economics'!$A$6:$AZ$6,0),MATCH(AK$5&amp;"",'Oxford Economics'!$A$6:$AZ$6,0))),'Oxford Economics'!$A$7:$A$1000,$C47,'Oxford Economics'!$B$7:$B$1000,Settings!$B$12)-SUMIFS(INDEX('Oxford Economics'!$A$7:$AZ$1000,0,IFERROR(MATCH(AK$5,'Oxford Economics'!$A$6:$AZ$6,0),MATCH(AK$5&amp;"",'Oxford Economics'!$A$6:$AZ$6,0))),'Oxford Economics'!$A$7:$A$1000,$C47,'Oxford Economics'!$B$7:$B$1000,Settings!$B$14),SUMIFS(INDEX('Oxford Economics'!$A$7:$AZ$1000,0,IFERROR(MATCH(AK$5,'Oxford Economics'!$A$6:$AZ$6,0),MATCH(AK$5&amp;"",'Oxford Economics'!$A$6:$AZ$6,0))),'Oxford Economics'!$A$7:$A$1000,$C47,'Oxford Economics'!$B$7:$B$1000,Settings!$B$14)+SUMIFS(INDEX('Oxford Economics'!$A$7:$AZ$1000,0,IFERROR(MATCH(AK$5,'Oxford Economics'!$A$6:$AZ$6,0),MATCH(AK$5&amp;"",'Oxford Economics'!$A$6:$AZ$6,0))),'Oxford Economics'!$A$7:$A$1000,$C47,'Oxford Economics'!$B$7:$B$1000,Settings!$B$16)+IF(Settings!$B$18="",0,SUMIFS(INDEX('Oxford Economics'!$A$7:$AZ$1000,0,IFERROR(MATCH(AK$5,'Oxford Economics'!$A$6:$AZ$6,0),MATCH(AK$5&amp;"",'Oxford Economics'!$A$6:$AZ$6,0))),'Oxford Economics'!$A$7:$A$1000,$C47,'Oxford Economics'!$B$7:$B$1000,Settings!$B$18)))),""))</f>
        <v>1741.99</v>
      </c>
      <c r="AL47" s="38" t="n">
        <f aca="false">IF($A47="","",IFERROR(1/(1/IF($B47="Residential",SUMIFS(INDEX('Oxford Economics'!$A$7:$AZ$1000,0,IFERROR(MATCH(AL$5,'Oxford Economics'!$A$6:$AZ$6,0),MATCH(AL$5&amp;"",'Oxford Economics'!$A$6:$AZ$6,0))),'Oxford Economics'!$A$7:$A$1000,$C47,'Oxford Economics'!$B$7:$B$1000,Settings!$B$12)-SUMIFS(INDEX('Oxford Economics'!$A$7:$AZ$1000,0,IFERROR(MATCH(AL$5,'Oxford Economics'!$A$6:$AZ$6,0),MATCH(AL$5&amp;"",'Oxford Economics'!$A$6:$AZ$6,0))),'Oxford Economics'!$A$7:$A$1000,$C47,'Oxford Economics'!$B$7:$B$1000,Settings!$B$14),SUMIFS(INDEX('Oxford Economics'!$A$7:$AZ$1000,0,IFERROR(MATCH(AL$5,'Oxford Economics'!$A$6:$AZ$6,0),MATCH(AL$5&amp;"",'Oxford Economics'!$A$6:$AZ$6,0))),'Oxford Economics'!$A$7:$A$1000,$C47,'Oxford Economics'!$B$7:$B$1000,Settings!$B$14)+SUMIFS(INDEX('Oxford Economics'!$A$7:$AZ$1000,0,IFERROR(MATCH(AL$5,'Oxford Economics'!$A$6:$AZ$6,0),MATCH(AL$5&amp;"",'Oxford Economics'!$A$6:$AZ$6,0))),'Oxford Economics'!$A$7:$A$1000,$C47,'Oxford Economics'!$B$7:$B$1000,Settings!$B$16)+IF(Settings!$B$18="",0,SUMIFS(INDEX('Oxford Economics'!$A$7:$AZ$1000,0,IFERROR(MATCH(AL$5,'Oxford Economics'!$A$6:$AZ$6,0),MATCH(AL$5&amp;"",'Oxford Economics'!$A$6:$AZ$6,0))),'Oxford Economics'!$A$7:$A$1000,$C47,'Oxford Economics'!$B$7:$B$1000,Settings!$B$18)))),""))</f>
        <v>1858.81</v>
      </c>
      <c r="AM47" s="38" t="n">
        <f aca="false">IF($A47="","",IFERROR(1/(1/IF($B47="Residential",SUMIFS(INDEX('Oxford Economics'!$A$7:$AZ$1000,0,IFERROR(MATCH(AM$5,'Oxford Economics'!$A$6:$AZ$6,0),MATCH(AM$5&amp;"",'Oxford Economics'!$A$6:$AZ$6,0))),'Oxford Economics'!$A$7:$A$1000,$C47,'Oxford Economics'!$B$7:$B$1000,Settings!$B$12)-SUMIFS(INDEX('Oxford Economics'!$A$7:$AZ$1000,0,IFERROR(MATCH(AM$5,'Oxford Economics'!$A$6:$AZ$6,0),MATCH(AM$5&amp;"",'Oxford Economics'!$A$6:$AZ$6,0))),'Oxford Economics'!$A$7:$A$1000,$C47,'Oxford Economics'!$B$7:$B$1000,Settings!$B$14),SUMIFS(INDEX('Oxford Economics'!$A$7:$AZ$1000,0,IFERROR(MATCH(AM$5,'Oxford Economics'!$A$6:$AZ$6,0),MATCH(AM$5&amp;"",'Oxford Economics'!$A$6:$AZ$6,0))),'Oxford Economics'!$A$7:$A$1000,$C47,'Oxford Economics'!$B$7:$B$1000,Settings!$B$14)+SUMIFS(INDEX('Oxford Economics'!$A$7:$AZ$1000,0,IFERROR(MATCH(AM$5,'Oxford Economics'!$A$6:$AZ$6,0),MATCH(AM$5&amp;"",'Oxford Economics'!$A$6:$AZ$6,0))),'Oxford Economics'!$A$7:$A$1000,$C47,'Oxford Economics'!$B$7:$B$1000,Settings!$B$16)+IF(Settings!$B$18="",0,SUMIFS(INDEX('Oxford Economics'!$A$7:$AZ$1000,0,IFERROR(MATCH(AM$5,'Oxford Economics'!$A$6:$AZ$6,0),MATCH(AM$5&amp;"",'Oxford Economics'!$A$6:$AZ$6,0))),'Oxford Economics'!$A$7:$A$1000,$C47,'Oxford Economics'!$B$7:$B$1000,Settings!$B$18)))),""))</f>
        <v>1975.45</v>
      </c>
    </row>
    <row r="48" customFormat="false" ht="15" hidden="false" customHeight="false" outlineLevel="0" collapsed="false">
      <c r="A48" s="37" t="str">
        <f aca="false">IF('Raw data'!$A48="","",'Raw data'!$A48)</f>
        <v>Denmark</v>
      </c>
      <c r="B48" s="37" t="str">
        <f aca="false">IF($A48="","",'Raw data'!$C48)</f>
        <v>Residential</v>
      </c>
      <c r="C48" s="37" t="str">
        <f aca="false">IF($A48="","",IF('Raw data'!$E48="",$A48,'Raw data'!$E48))</f>
        <v>Denmark</v>
      </c>
      <c r="D48" s="38" t="n">
        <f aca="false">IF($A48="","",IF(AND(ISNUMBER(P48),ISNUMBER(AB48)),P48+AB48,""))</f>
        <v>10258.15</v>
      </c>
      <c r="E48" s="38" t="n">
        <f aca="false">IF($A48="","",IF(AND(ISNUMBER(Q48),ISNUMBER(AC48)),Q48+AC48,""))</f>
        <v>11393.66</v>
      </c>
      <c r="F48" s="38" t="n">
        <f aca="false">IF($A48="","",IF(AND(ISNUMBER(R48),ISNUMBER(AD48)),R48+AD48,""))</f>
        <v>11091.08</v>
      </c>
      <c r="G48" s="38" t="n">
        <f aca="false">IF($A48="","",IF(AND(ISNUMBER(S48),ISNUMBER(AE48)),S48+AE48,""))</f>
        <v>10945.12</v>
      </c>
      <c r="H48" s="38" t="n">
        <f aca="false">IF($A48="","",IF(AND(ISNUMBER(T48),ISNUMBER(AF48)),T48+AF48,""))</f>
        <v>12310.5</v>
      </c>
      <c r="I48" s="38" t="n">
        <f aca="false">IF($A48="","",IF(AND(ISNUMBER(U48),ISNUMBER(AG48)),U48+AG48,""))</f>
        <v>12045.18</v>
      </c>
      <c r="J48" s="38" t="n">
        <f aca="false">IF($A48="","",IF(AND(ISNUMBER(V48),ISNUMBER(AH48)),V48+AH48,""))</f>
        <v>11406.58</v>
      </c>
      <c r="K48" s="38" t="n">
        <f aca="false">IF($A48="","",IF(AND(ISNUMBER(W48),ISNUMBER(AI48)),W48+AI48,""))</f>
        <v>11757.35</v>
      </c>
      <c r="L48" s="38" t="n">
        <f aca="false">IF($A48="","",IF(AND(ISNUMBER(X48),ISNUMBER(AJ48)),X48+AJ48,""))</f>
        <v>12016.43</v>
      </c>
      <c r="M48" s="38" t="n">
        <f aca="false">IF($A48="","",IF(AND(ISNUMBER(Y48),ISNUMBER(AK48)),Y48+AK48,""))</f>
        <v>12239.31</v>
      </c>
      <c r="N48" s="38" t="n">
        <f aca="false">IF($A48="","",IF(AND(ISNUMBER(Z48),ISNUMBER(AL48)),Z48+AL48,""))</f>
        <v>12388.16</v>
      </c>
      <c r="O48" s="38" t="n">
        <f aca="false">IF($A48="","",IF(AND(ISNUMBER(AA48),ISNUMBER(AM48)),AA48+AM48,""))</f>
        <v>12480.02</v>
      </c>
      <c r="P48" s="38" t="n">
        <f aca="false">IF($A48="","",IFERROR(1/(1/IF($B48="Residential",SUMIFS(INDEX('Oxford Economics'!$A$7:$AZ$1000,0,IFERROR(MATCH(P$5,'Oxford Economics'!$A$6:$AZ$6,0),MATCH(P$5&amp;"",'Oxford Economics'!$A$6:$AZ$6,0))),'Oxford Economics'!$A$7:$A$1000,$C48,'Oxford Economics'!$B$7:$B$1000,Settings!$B$13)-SUMIFS(INDEX('Oxford Economics'!$A$7:$AZ$1000,0,IFERROR(MATCH(P$5,'Oxford Economics'!$A$6:$AZ$6,0),MATCH(P$5&amp;"",'Oxford Economics'!$A$6:$AZ$6,0))),'Oxford Economics'!$A$7:$A$1000,$C48,'Oxford Economics'!$B$7:$B$1000,Settings!$B$15),SUMIFS(INDEX('Oxford Economics'!$A$7:$AZ$1000,0,IFERROR(MATCH(P$5,'Oxford Economics'!$A$6:$AZ$6,0),MATCH(P$5&amp;"",'Oxford Economics'!$A$6:$AZ$6,0))),'Oxford Economics'!$A$7:$A$1000,$C48,'Oxford Economics'!$B$7:$B$1000,Settings!$B$15)+SUMIFS(INDEX('Oxford Economics'!$A$7:$AZ$1000,0,IFERROR(MATCH(P$5,'Oxford Economics'!$A$6:$AZ$6,0),MATCH(P$5&amp;"",'Oxford Economics'!$A$6:$AZ$6,0))),'Oxford Economics'!$A$7:$A$1000,$C48,'Oxford Economics'!$B$7:$B$1000,Settings!$B$17)+IF(Settings!$B$19="",0,SUMIFS(INDEX('Oxford Economics'!$A$7:$AZ$1000,0,IFERROR(MATCH(P$5,'Oxford Economics'!$A$6:$AZ$6,0),MATCH(P$5&amp;"",'Oxford Economics'!$A$6:$AZ$6,0))),'Oxford Economics'!$A$7:$A$1000,$C48,'Oxford Economics'!$B$7:$B$1000,Settings!$B$19)))),""))</f>
        <v>7413.64</v>
      </c>
      <c r="Q48" s="38" t="n">
        <f aca="false">IF($A48="","",IFERROR(1/(1/IF($B48="Residential",SUMIFS(INDEX('Oxford Economics'!$A$7:$AZ$1000,0,IFERROR(MATCH(Q$5,'Oxford Economics'!$A$6:$AZ$6,0),MATCH(Q$5&amp;"",'Oxford Economics'!$A$6:$AZ$6,0))),'Oxford Economics'!$A$7:$A$1000,$C48,'Oxford Economics'!$B$7:$B$1000,Settings!$B$13)-SUMIFS(INDEX('Oxford Economics'!$A$7:$AZ$1000,0,IFERROR(MATCH(Q$5,'Oxford Economics'!$A$6:$AZ$6,0),MATCH(Q$5&amp;"",'Oxford Economics'!$A$6:$AZ$6,0))),'Oxford Economics'!$A$7:$A$1000,$C48,'Oxford Economics'!$B$7:$B$1000,Settings!$B$15),SUMIFS(INDEX('Oxford Economics'!$A$7:$AZ$1000,0,IFERROR(MATCH(Q$5,'Oxford Economics'!$A$6:$AZ$6,0),MATCH(Q$5&amp;"",'Oxford Economics'!$A$6:$AZ$6,0))),'Oxford Economics'!$A$7:$A$1000,$C48,'Oxford Economics'!$B$7:$B$1000,Settings!$B$15)+SUMIFS(INDEX('Oxford Economics'!$A$7:$AZ$1000,0,IFERROR(MATCH(Q$5,'Oxford Economics'!$A$6:$AZ$6,0),MATCH(Q$5&amp;"",'Oxford Economics'!$A$6:$AZ$6,0))),'Oxford Economics'!$A$7:$A$1000,$C48,'Oxford Economics'!$B$7:$B$1000,Settings!$B$17)+IF(Settings!$B$19="",0,SUMIFS(INDEX('Oxford Economics'!$A$7:$AZ$1000,0,IFERROR(MATCH(Q$5,'Oxford Economics'!$A$6:$AZ$6,0),MATCH(Q$5&amp;"",'Oxford Economics'!$A$6:$AZ$6,0))),'Oxford Economics'!$A$7:$A$1000,$C48,'Oxford Economics'!$B$7:$B$1000,Settings!$B$19)))),""))</f>
        <v>8287.25</v>
      </c>
      <c r="R48" s="38" t="n">
        <f aca="false">IF($A48="","",IFERROR(1/(1/IF($B48="Residential",SUMIFS(INDEX('Oxford Economics'!$A$7:$AZ$1000,0,IFERROR(MATCH(R$5,'Oxford Economics'!$A$6:$AZ$6,0),MATCH(R$5&amp;"",'Oxford Economics'!$A$6:$AZ$6,0))),'Oxford Economics'!$A$7:$A$1000,$C48,'Oxford Economics'!$B$7:$B$1000,Settings!$B$13)-SUMIFS(INDEX('Oxford Economics'!$A$7:$AZ$1000,0,IFERROR(MATCH(R$5,'Oxford Economics'!$A$6:$AZ$6,0),MATCH(R$5&amp;"",'Oxford Economics'!$A$6:$AZ$6,0))),'Oxford Economics'!$A$7:$A$1000,$C48,'Oxford Economics'!$B$7:$B$1000,Settings!$B$15),SUMIFS(INDEX('Oxford Economics'!$A$7:$AZ$1000,0,IFERROR(MATCH(R$5,'Oxford Economics'!$A$6:$AZ$6,0),MATCH(R$5&amp;"",'Oxford Economics'!$A$6:$AZ$6,0))),'Oxford Economics'!$A$7:$A$1000,$C48,'Oxford Economics'!$B$7:$B$1000,Settings!$B$15)+SUMIFS(INDEX('Oxford Economics'!$A$7:$AZ$1000,0,IFERROR(MATCH(R$5,'Oxford Economics'!$A$6:$AZ$6,0),MATCH(R$5&amp;"",'Oxford Economics'!$A$6:$AZ$6,0))),'Oxford Economics'!$A$7:$A$1000,$C48,'Oxford Economics'!$B$7:$B$1000,Settings!$B$17)+IF(Settings!$B$19="",0,SUMIFS(INDEX('Oxford Economics'!$A$7:$AZ$1000,0,IFERROR(MATCH(R$5,'Oxford Economics'!$A$6:$AZ$6,0),MATCH(R$5&amp;"",'Oxford Economics'!$A$6:$AZ$6,0))),'Oxford Economics'!$A$7:$A$1000,$C48,'Oxford Economics'!$B$7:$B$1000,Settings!$B$19)))),""))</f>
        <v>8191.36</v>
      </c>
      <c r="S48" s="38" t="n">
        <f aca="false">IF($A48="","",IFERROR(1/(1/IF($B48="Residential",SUMIFS(INDEX('Oxford Economics'!$A$7:$AZ$1000,0,IFERROR(MATCH(S$5,'Oxford Economics'!$A$6:$AZ$6,0),MATCH(S$5&amp;"",'Oxford Economics'!$A$6:$AZ$6,0))),'Oxford Economics'!$A$7:$A$1000,$C48,'Oxford Economics'!$B$7:$B$1000,Settings!$B$13)-SUMIFS(INDEX('Oxford Economics'!$A$7:$AZ$1000,0,IFERROR(MATCH(S$5,'Oxford Economics'!$A$6:$AZ$6,0),MATCH(S$5&amp;"",'Oxford Economics'!$A$6:$AZ$6,0))),'Oxford Economics'!$A$7:$A$1000,$C48,'Oxford Economics'!$B$7:$B$1000,Settings!$B$15),SUMIFS(INDEX('Oxford Economics'!$A$7:$AZ$1000,0,IFERROR(MATCH(S$5,'Oxford Economics'!$A$6:$AZ$6,0),MATCH(S$5&amp;"",'Oxford Economics'!$A$6:$AZ$6,0))),'Oxford Economics'!$A$7:$A$1000,$C48,'Oxford Economics'!$B$7:$B$1000,Settings!$B$15)+SUMIFS(INDEX('Oxford Economics'!$A$7:$AZ$1000,0,IFERROR(MATCH(S$5,'Oxford Economics'!$A$6:$AZ$6,0),MATCH(S$5&amp;"",'Oxford Economics'!$A$6:$AZ$6,0))),'Oxford Economics'!$A$7:$A$1000,$C48,'Oxford Economics'!$B$7:$B$1000,Settings!$B$17)+IF(Settings!$B$19="",0,SUMIFS(INDEX('Oxford Economics'!$A$7:$AZ$1000,0,IFERROR(MATCH(S$5,'Oxford Economics'!$A$6:$AZ$6,0),MATCH(S$5&amp;"",'Oxford Economics'!$A$6:$AZ$6,0))),'Oxford Economics'!$A$7:$A$1000,$C48,'Oxford Economics'!$B$7:$B$1000,Settings!$B$19)))),""))</f>
        <v>8845.66</v>
      </c>
      <c r="T48" s="38" t="n">
        <f aca="false">IF($A48="","",IFERROR(1/(1/IF($B48="Residential",SUMIFS(INDEX('Oxford Economics'!$A$7:$AZ$1000,0,IFERROR(MATCH(T$5,'Oxford Economics'!$A$6:$AZ$6,0),MATCH(T$5&amp;"",'Oxford Economics'!$A$6:$AZ$6,0))),'Oxford Economics'!$A$7:$A$1000,$C48,'Oxford Economics'!$B$7:$B$1000,Settings!$B$13)-SUMIFS(INDEX('Oxford Economics'!$A$7:$AZ$1000,0,IFERROR(MATCH(T$5,'Oxford Economics'!$A$6:$AZ$6,0),MATCH(T$5&amp;"",'Oxford Economics'!$A$6:$AZ$6,0))),'Oxford Economics'!$A$7:$A$1000,$C48,'Oxford Economics'!$B$7:$B$1000,Settings!$B$15),SUMIFS(INDEX('Oxford Economics'!$A$7:$AZ$1000,0,IFERROR(MATCH(T$5,'Oxford Economics'!$A$6:$AZ$6,0),MATCH(T$5&amp;"",'Oxford Economics'!$A$6:$AZ$6,0))),'Oxford Economics'!$A$7:$A$1000,$C48,'Oxford Economics'!$B$7:$B$1000,Settings!$B$15)+SUMIFS(INDEX('Oxford Economics'!$A$7:$AZ$1000,0,IFERROR(MATCH(T$5,'Oxford Economics'!$A$6:$AZ$6,0),MATCH(T$5&amp;"",'Oxford Economics'!$A$6:$AZ$6,0))),'Oxford Economics'!$A$7:$A$1000,$C48,'Oxford Economics'!$B$7:$B$1000,Settings!$B$17)+IF(Settings!$B$19="",0,SUMIFS(INDEX('Oxford Economics'!$A$7:$AZ$1000,0,IFERROR(MATCH(T$5,'Oxford Economics'!$A$6:$AZ$6,0),MATCH(T$5&amp;"",'Oxford Economics'!$A$6:$AZ$6,0))),'Oxford Economics'!$A$7:$A$1000,$C48,'Oxford Economics'!$B$7:$B$1000,Settings!$B$19)))),""))</f>
        <v>10156.21</v>
      </c>
      <c r="U48" s="38" t="n">
        <f aca="false">IF($A48="","",IFERROR(1/(1/IF($B48="Residential",SUMIFS(INDEX('Oxford Economics'!$A$7:$AZ$1000,0,IFERROR(MATCH(U$5,'Oxford Economics'!$A$6:$AZ$6,0),MATCH(U$5&amp;"",'Oxford Economics'!$A$6:$AZ$6,0))),'Oxford Economics'!$A$7:$A$1000,$C48,'Oxford Economics'!$B$7:$B$1000,Settings!$B$13)-SUMIFS(INDEX('Oxford Economics'!$A$7:$AZ$1000,0,IFERROR(MATCH(U$5,'Oxford Economics'!$A$6:$AZ$6,0),MATCH(U$5&amp;"",'Oxford Economics'!$A$6:$AZ$6,0))),'Oxford Economics'!$A$7:$A$1000,$C48,'Oxford Economics'!$B$7:$B$1000,Settings!$B$15),SUMIFS(INDEX('Oxford Economics'!$A$7:$AZ$1000,0,IFERROR(MATCH(U$5,'Oxford Economics'!$A$6:$AZ$6,0),MATCH(U$5&amp;"",'Oxford Economics'!$A$6:$AZ$6,0))),'Oxford Economics'!$A$7:$A$1000,$C48,'Oxford Economics'!$B$7:$B$1000,Settings!$B$15)+SUMIFS(INDEX('Oxford Economics'!$A$7:$AZ$1000,0,IFERROR(MATCH(U$5,'Oxford Economics'!$A$6:$AZ$6,0),MATCH(U$5&amp;"",'Oxford Economics'!$A$6:$AZ$6,0))),'Oxford Economics'!$A$7:$A$1000,$C48,'Oxford Economics'!$B$7:$B$1000,Settings!$B$17)+IF(Settings!$B$19="",0,SUMIFS(INDEX('Oxford Economics'!$A$7:$AZ$1000,0,IFERROR(MATCH(U$5,'Oxford Economics'!$A$6:$AZ$6,0),MATCH(U$5&amp;"",'Oxford Economics'!$A$6:$AZ$6,0))),'Oxford Economics'!$A$7:$A$1000,$C48,'Oxford Economics'!$B$7:$B$1000,Settings!$B$19)))),""))</f>
        <v>9839.11</v>
      </c>
      <c r="V48" s="38" t="n">
        <f aca="false">IF($A48="","",IFERROR(1/(1/IF($B48="Residential",SUMIFS(INDEX('Oxford Economics'!$A$7:$AZ$1000,0,IFERROR(MATCH(V$5,'Oxford Economics'!$A$6:$AZ$6,0),MATCH(V$5&amp;"",'Oxford Economics'!$A$6:$AZ$6,0))),'Oxford Economics'!$A$7:$A$1000,$C48,'Oxford Economics'!$B$7:$B$1000,Settings!$B$13)-SUMIFS(INDEX('Oxford Economics'!$A$7:$AZ$1000,0,IFERROR(MATCH(V$5,'Oxford Economics'!$A$6:$AZ$6,0),MATCH(V$5&amp;"",'Oxford Economics'!$A$6:$AZ$6,0))),'Oxford Economics'!$A$7:$A$1000,$C48,'Oxford Economics'!$B$7:$B$1000,Settings!$B$15),SUMIFS(INDEX('Oxford Economics'!$A$7:$AZ$1000,0,IFERROR(MATCH(V$5,'Oxford Economics'!$A$6:$AZ$6,0),MATCH(V$5&amp;"",'Oxford Economics'!$A$6:$AZ$6,0))),'Oxford Economics'!$A$7:$A$1000,$C48,'Oxford Economics'!$B$7:$B$1000,Settings!$B$15)+SUMIFS(INDEX('Oxford Economics'!$A$7:$AZ$1000,0,IFERROR(MATCH(V$5,'Oxford Economics'!$A$6:$AZ$6,0),MATCH(V$5&amp;"",'Oxford Economics'!$A$6:$AZ$6,0))),'Oxford Economics'!$A$7:$A$1000,$C48,'Oxford Economics'!$B$7:$B$1000,Settings!$B$17)+IF(Settings!$B$19="",0,SUMIFS(INDEX('Oxford Economics'!$A$7:$AZ$1000,0,IFERROR(MATCH(V$5,'Oxford Economics'!$A$6:$AZ$6,0),MATCH(V$5&amp;"",'Oxford Economics'!$A$6:$AZ$6,0))),'Oxford Economics'!$A$7:$A$1000,$C48,'Oxford Economics'!$B$7:$B$1000,Settings!$B$19)))),""))</f>
        <v>9341.1</v>
      </c>
      <c r="W48" s="38" t="n">
        <f aca="false">IF($A48="","",IFERROR(1/(1/IF($B48="Residential",SUMIFS(INDEX('Oxford Economics'!$A$7:$AZ$1000,0,IFERROR(MATCH(W$5,'Oxford Economics'!$A$6:$AZ$6,0),MATCH(W$5&amp;"",'Oxford Economics'!$A$6:$AZ$6,0))),'Oxford Economics'!$A$7:$A$1000,$C48,'Oxford Economics'!$B$7:$B$1000,Settings!$B$13)-SUMIFS(INDEX('Oxford Economics'!$A$7:$AZ$1000,0,IFERROR(MATCH(W$5,'Oxford Economics'!$A$6:$AZ$6,0),MATCH(W$5&amp;"",'Oxford Economics'!$A$6:$AZ$6,0))),'Oxford Economics'!$A$7:$A$1000,$C48,'Oxford Economics'!$B$7:$B$1000,Settings!$B$15),SUMIFS(INDEX('Oxford Economics'!$A$7:$AZ$1000,0,IFERROR(MATCH(W$5,'Oxford Economics'!$A$6:$AZ$6,0),MATCH(W$5&amp;"",'Oxford Economics'!$A$6:$AZ$6,0))),'Oxford Economics'!$A$7:$A$1000,$C48,'Oxford Economics'!$B$7:$B$1000,Settings!$B$15)+SUMIFS(INDEX('Oxford Economics'!$A$7:$AZ$1000,0,IFERROR(MATCH(W$5,'Oxford Economics'!$A$6:$AZ$6,0),MATCH(W$5&amp;"",'Oxford Economics'!$A$6:$AZ$6,0))),'Oxford Economics'!$A$7:$A$1000,$C48,'Oxford Economics'!$B$7:$B$1000,Settings!$B$17)+IF(Settings!$B$19="",0,SUMIFS(INDEX('Oxford Economics'!$A$7:$AZ$1000,0,IFERROR(MATCH(W$5,'Oxford Economics'!$A$6:$AZ$6,0),MATCH(W$5&amp;"",'Oxford Economics'!$A$6:$AZ$6,0))),'Oxford Economics'!$A$7:$A$1000,$C48,'Oxford Economics'!$B$7:$B$1000,Settings!$B$19)))),""))</f>
        <v>9919.69</v>
      </c>
      <c r="X48" s="38" t="n">
        <f aca="false">IF($A48="","",IFERROR(1/(1/IF($B48="Residential",SUMIFS(INDEX('Oxford Economics'!$A$7:$AZ$1000,0,IFERROR(MATCH(X$5,'Oxford Economics'!$A$6:$AZ$6,0),MATCH(X$5&amp;"",'Oxford Economics'!$A$6:$AZ$6,0))),'Oxford Economics'!$A$7:$A$1000,$C48,'Oxford Economics'!$B$7:$B$1000,Settings!$B$13)-SUMIFS(INDEX('Oxford Economics'!$A$7:$AZ$1000,0,IFERROR(MATCH(X$5,'Oxford Economics'!$A$6:$AZ$6,0),MATCH(X$5&amp;"",'Oxford Economics'!$A$6:$AZ$6,0))),'Oxford Economics'!$A$7:$A$1000,$C48,'Oxford Economics'!$B$7:$B$1000,Settings!$B$15),SUMIFS(INDEX('Oxford Economics'!$A$7:$AZ$1000,0,IFERROR(MATCH(X$5,'Oxford Economics'!$A$6:$AZ$6,0),MATCH(X$5&amp;"",'Oxford Economics'!$A$6:$AZ$6,0))),'Oxford Economics'!$A$7:$A$1000,$C48,'Oxford Economics'!$B$7:$B$1000,Settings!$B$15)+SUMIFS(INDEX('Oxford Economics'!$A$7:$AZ$1000,0,IFERROR(MATCH(X$5,'Oxford Economics'!$A$6:$AZ$6,0),MATCH(X$5&amp;"",'Oxford Economics'!$A$6:$AZ$6,0))),'Oxford Economics'!$A$7:$A$1000,$C48,'Oxford Economics'!$B$7:$B$1000,Settings!$B$17)+IF(Settings!$B$19="",0,SUMIFS(INDEX('Oxford Economics'!$A$7:$AZ$1000,0,IFERROR(MATCH(X$5,'Oxford Economics'!$A$6:$AZ$6,0),MATCH(X$5&amp;"",'Oxford Economics'!$A$6:$AZ$6,0))),'Oxford Economics'!$A$7:$A$1000,$C48,'Oxford Economics'!$B$7:$B$1000,Settings!$B$19)))),""))</f>
        <v>10244.87</v>
      </c>
      <c r="Y48" s="38" t="n">
        <f aca="false">IF($A48="","",IFERROR(1/(1/IF($B48="Residential",SUMIFS(INDEX('Oxford Economics'!$A$7:$AZ$1000,0,IFERROR(MATCH(Y$5,'Oxford Economics'!$A$6:$AZ$6,0),MATCH(Y$5&amp;"",'Oxford Economics'!$A$6:$AZ$6,0))),'Oxford Economics'!$A$7:$A$1000,$C48,'Oxford Economics'!$B$7:$B$1000,Settings!$B$13)-SUMIFS(INDEX('Oxford Economics'!$A$7:$AZ$1000,0,IFERROR(MATCH(Y$5,'Oxford Economics'!$A$6:$AZ$6,0),MATCH(Y$5&amp;"",'Oxford Economics'!$A$6:$AZ$6,0))),'Oxford Economics'!$A$7:$A$1000,$C48,'Oxford Economics'!$B$7:$B$1000,Settings!$B$15),SUMIFS(INDEX('Oxford Economics'!$A$7:$AZ$1000,0,IFERROR(MATCH(Y$5,'Oxford Economics'!$A$6:$AZ$6,0),MATCH(Y$5&amp;"",'Oxford Economics'!$A$6:$AZ$6,0))),'Oxford Economics'!$A$7:$A$1000,$C48,'Oxford Economics'!$B$7:$B$1000,Settings!$B$15)+SUMIFS(INDEX('Oxford Economics'!$A$7:$AZ$1000,0,IFERROR(MATCH(Y$5,'Oxford Economics'!$A$6:$AZ$6,0),MATCH(Y$5&amp;"",'Oxford Economics'!$A$6:$AZ$6,0))),'Oxford Economics'!$A$7:$A$1000,$C48,'Oxford Economics'!$B$7:$B$1000,Settings!$B$17)+IF(Settings!$B$19="",0,SUMIFS(INDEX('Oxford Economics'!$A$7:$AZ$1000,0,IFERROR(MATCH(Y$5,'Oxford Economics'!$A$6:$AZ$6,0),MATCH(Y$5&amp;"",'Oxford Economics'!$A$6:$AZ$6,0))),'Oxford Economics'!$A$7:$A$1000,$C48,'Oxford Economics'!$B$7:$B$1000,Settings!$B$19)))),""))</f>
        <v>10484.1</v>
      </c>
      <c r="Z48" s="38" t="n">
        <f aca="false">IF($A48="","",IFERROR(1/(1/IF($B48="Residential",SUMIFS(INDEX('Oxford Economics'!$A$7:$AZ$1000,0,IFERROR(MATCH(Z$5,'Oxford Economics'!$A$6:$AZ$6,0),MATCH(Z$5&amp;"",'Oxford Economics'!$A$6:$AZ$6,0))),'Oxford Economics'!$A$7:$A$1000,$C48,'Oxford Economics'!$B$7:$B$1000,Settings!$B$13)-SUMIFS(INDEX('Oxford Economics'!$A$7:$AZ$1000,0,IFERROR(MATCH(Z$5,'Oxford Economics'!$A$6:$AZ$6,0),MATCH(Z$5&amp;"",'Oxford Economics'!$A$6:$AZ$6,0))),'Oxford Economics'!$A$7:$A$1000,$C48,'Oxford Economics'!$B$7:$B$1000,Settings!$B$15),SUMIFS(INDEX('Oxford Economics'!$A$7:$AZ$1000,0,IFERROR(MATCH(Z$5,'Oxford Economics'!$A$6:$AZ$6,0),MATCH(Z$5&amp;"",'Oxford Economics'!$A$6:$AZ$6,0))),'Oxford Economics'!$A$7:$A$1000,$C48,'Oxford Economics'!$B$7:$B$1000,Settings!$B$15)+SUMIFS(INDEX('Oxford Economics'!$A$7:$AZ$1000,0,IFERROR(MATCH(Z$5,'Oxford Economics'!$A$6:$AZ$6,0),MATCH(Z$5&amp;"",'Oxford Economics'!$A$6:$AZ$6,0))),'Oxford Economics'!$A$7:$A$1000,$C48,'Oxford Economics'!$B$7:$B$1000,Settings!$B$17)+IF(Settings!$B$19="",0,SUMIFS(INDEX('Oxford Economics'!$A$7:$AZ$1000,0,IFERROR(MATCH(Z$5,'Oxford Economics'!$A$6:$AZ$6,0),MATCH(Z$5&amp;"",'Oxford Economics'!$A$6:$AZ$6,0))),'Oxford Economics'!$A$7:$A$1000,$C48,'Oxford Economics'!$B$7:$B$1000,Settings!$B$19)))),""))</f>
        <v>10640.23</v>
      </c>
      <c r="AA48" s="38" t="n">
        <f aca="false">IF($A48="","",IFERROR(1/(1/IF($B48="Residential",SUMIFS(INDEX('Oxford Economics'!$A$7:$AZ$1000,0,IFERROR(MATCH(AA$5,'Oxford Economics'!$A$6:$AZ$6,0),MATCH(AA$5&amp;"",'Oxford Economics'!$A$6:$AZ$6,0))),'Oxford Economics'!$A$7:$A$1000,$C48,'Oxford Economics'!$B$7:$B$1000,Settings!$B$13)-SUMIFS(INDEX('Oxford Economics'!$A$7:$AZ$1000,0,IFERROR(MATCH(AA$5,'Oxford Economics'!$A$6:$AZ$6,0),MATCH(AA$5&amp;"",'Oxford Economics'!$A$6:$AZ$6,0))),'Oxford Economics'!$A$7:$A$1000,$C48,'Oxford Economics'!$B$7:$B$1000,Settings!$B$15),SUMIFS(INDEX('Oxford Economics'!$A$7:$AZ$1000,0,IFERROR(MATCH(AA$5,'Oxford Economics'!$A$6:$AZ$6,0),MATCH(AA$5&amp;"",'Oxford Economics'!$A$6:$AZ$6,0))),'Oxford Economics'!$A$7:$A$1000,$C48,'Oxford Economics'!$B$7:$B$1000,Settings!$B$15)+SUMIFS(INDEX('Oxford Economics'!$A$7:$AZ$1000,0,IFERROR(MATCH(AA$5,'Oxford Economics'!$A$6:$AZ$6,0),MATCH(AA$5&amp;"",'Oxford Economics'!$A$6:$AZ$6,0))),'Oxford Economics'!$A$7:$A$1000,$C48,'Oxford Economics'!$B$7:$B$1000,Settings!$B$17)+IF(Settings!$B$19="",0,SUMIFS(INDEX('Oxford Economics'!$A$7:$AZ$1000,0,IFERROR(MATCH(AA$5,'Oxford Economics'!$A$6:$AZ$6,0),MATCH(AA$5&amp;"",'Oxford Economics'!$A$6:$AZ$6,0))),'Oxford Economics'!$A$7:$A$1000,$C48,'Oxford Economics'!$B$7:$B$1000,Settings!$B$19)))),""))</f>
        <v>10732.64</v>
      </c>
      <c r="AB48" s="38" t="n">
        <f aca="false">IF($A48="","",IFERROR(1/(1/IF($B48="Residential",SUMIFS(INDEX('Oxford Economics'!$A$7:$AZ$1000,0,IFERROR(MATCH(AB$5,'Oxford Economics'!$A$6:$AZ$6,0),MATCH(AB$5&amp;"",'Oxford Economics'!$A$6:$AZ$6,0))),'Oxford Economics'!$A$7:$A$1000,$C48,'Oxford Economics'!$B$7:$B$1000,Settings!$B$12)-SUMIFS(INDEX('Oxford Economics'!$A$7:$AZ$1000,0,IFERROR(MATCH(AB$5,'Oxford Economics'!$A$6:$AZ$6,0),MATCH(AB$5&amp;"",'Oxford Economics'!$A$6:$AZ$6,0))),'Oxford Economics'!$A$7:$A$1000,$C48,'Oxford Economics'!$B$7:$B$1000,Settings!$B$14),SUMIFS(INDEX('Oxford Economics'!$A$7:$AZ$1000,0,IFERROR(MATCH(AB$5,'Oxford Economics'!$A$6:$AZ$6,0),MATCH(AB$5&amp;"",'Oxford Economics'!$A$6:$AZ$6,0))),'Oxford Economics'!$A$7:$A$1000,$C48,'Oxford Economics'!$B$7:$B$1000,Settings!$B$14)+SUMIFS(INDEX('Oxford Economics'!$A$7:$AZ$1000,0,IFERROR(MATCH(AB$5,'Oxford Economics'!$A$6:$AZ$6,0),MATCH(AB$5&amp;"",'Oxford Economics'!$A$6:$AZ$6,0))),'Oxford Economics'!$A$7:$A$1000,$C48,'Oxford Economics'!$B$7:$B$1000,Settings!$B$16)+IF(Settings!$B$18="",0,SUMIFS(INDEX('Oxford Economics'!$A$7:$AZ$1000,0,IFERROR(MATCH(AB$5,'Oxford Economics'!$A$6:$AZ$6,0),MATCH(AB$5&amp;"",'Oxford Economics'!$A$6:$AZ$6,0))),'Oxford Economics'!$A$7:$A$1000,$C48,'Oxford Economics'!$B$7:$B$1000,Settings!$B$18)))),""))</f>
        <v>2844.51</v>
      </c>
      <c r="AC48" s="38" t="n">
        <f aca="false">IF($A48="","",IFERROR(1/(1/IF($B48="Residential",SUMIFS(INDEX('Oxford Economics'!$A$7:$AZ$1000,0,IFERROR(MATCH(AC$5,'Oxford Economics'!$A$6:$AZ$6,0),MATCH(AC$5&amp;"",'Oxford Economics'!$A$6:$AZ$6,0))),'Oxford Economics'!$A$7:$A$1000,$C48,'Oxford Economics'!$B$7:$B$1000,Settings!$B$12)-SUMIFS(INDEX('Oxford Economics'!$A$7:$AZ$1000,0,IFERROR(MATCH(AC$5,'Oxford Economics'!$A$6:$AZ$6,0),MATCH(AC$5&amp;"",'Oxford Economics'!$A$6:$AZ$6,0))),'Oxford Economics'!$A$7:$A$1000,$C48,'Oxford Economics'!$B$7:$B$1000,Settings!$B$14),SUMIFS(INDEX('Oxford Economics'!$A$7:$AZ$1000,0,IFERROR(MATCH(AC$5,'Oxford Economics'!$A$6:$AZ$6,0),MATCH(AC$5&amp;"",'Oxford Economics'!$A$6:$AZ$6,0))),'Oxford Economics'!$A$7:$A$1000,$C48,'Oxford Economics'!$B$7:$B$1000,Settings!$B$14)+SUMIFS(INDEX('Oxford Economics'!$A$7:$AZ$1000,0,IFERROR(MATCH(AC$5,'Oxford Economics'!$A$6:$AZ$6,0),MATCH(AC$5&amp;"",'Oxford Economics'!$A$6:$AZ$6,0))),'Oxford Economics'!$A$7:$A$1000,$C48,'Oxford Economics'!$B$7:$B$1000,Settings!$B$16)+IF(Settings!$B$18="",0,SUMIFS(INDEX('Oxford Economics'!$A$7:$AZ$1000,0,IFERROR(MATCH(AC$5,'Oxford Economics'!$A$6:$AZ$6,0),MATCH(AC$5&amp;"",'Oxford Economics'!$A$6:$AZ$6,0))),'Oxford Economics'!$A$7:$A$1000,$C48,'Oxford Economics'!$B$7:$B$1000,Settings!$B$18)))),""))</f>
        <v>3106.41</v>
      </c>
      <c r="AD48" s="38" t="n">
        <f aca="false">IF($A48="","",IFERROR(1/(1/IF($B48="Residential",SUMIFS(INDEX('Oxford Economics'!$A$7:$AZ$1000,0,IFERROR(MATCH(AD$5,'Oxford Economics'!$A$6:$AZ$6,0),MATCH(AD$5&amp;"",'Oxford Economics'!$A$6:$AZ$6,0))),'Oxford Economics'!$A$7:$A$1000,$C48,'Oxford Economics'!$B$7:$B$1000,Settings!$B$12)-SUMIFS(INDEX('Oxford Economics'!$A$7:$AZ$1000,0,IFERROR(MATCH(AD$5,'Oxford Economics'!$A$6:$AZ$6,0),MATCH(AD$5&amp;"",'Oxford Economics'!$A$6:$AZ$6,0))),'Oxford Economics'!$A$7:$A$1000,$C48,'Oxford Economics'!$B$7:$B$1000,Settings!$B$14),SUMIFS(INDEX('Oxford Economics'!$A$7:$AZ$1000,0,IFERROR(MATCH(AD$5,'Oxford Economics'!$A$6:$AZ$6,0),MATCH(AD$5&amp;"",'Oxford Economics'!$A$6:$AZ$6,0))),'Oxford Economics'!$A$7:$A$1000,$C48,'Oxford Economics'!$B$7:$B$1000,Settings!$B$14)+SUMIFS(INDEX('Oxford Economics'!$A$7:$AZ$1000,0,IFERROR(MATCH(AD$5,'Oxford Economics'!$A$6:$AZ$6,0),MATCH(AD$5&amp;"",'Oxford Economics'!$A$6:$AZ$6,0))),'Oxford Economics'!$A$7:$A$1000,$C48,'Oxford Economics'!$B$7:$B$1000,Settings!$B$16)+IF(Settings!$B$18="",0,SUMIFS(INDEX('Oxford Economics'!$A$7:$AZ$1000,0,IFERROR(MATCH(AD$5,'Oxford Economics'!$A$6:$AZ$6,0),MATCH(AD$5&amp;"",'Oxford Economics'!$A$6:$AZ$6,0))),'Oxford Economics'!$A$7:$A$1000,$C48,'Oxford Economics'!$B$7:$B$1000,Settings!$B$18)))),""))</f>
        <v>2899.72</v>
      </c>
      <c r="AE48" s="38" t="n">
        <f aca="false">IF($A48="","",IFERROR(1/(1/IF($B48="Residential",SUMIFS(INDEX('Oxford Economics'!$A$7:$AZ$1000,0,IFERROR(MATCH(AE$5,'Oxford Economics'!$A$6:$AZ$6,0),MATCH(AE$5&amp;"",'Oxford Economics'!$A$6:$AZ$6,0))),'Oxford Economics'!$A$7:$A$1000,$C48,'Oxford Economics'!$B$7:$B$1000,Settings!$B$12)-SUMIFS(INDEX('Oxford Economics'!$A$7:$AZ$1000,0,IFERROR(MATCH(AE$5,'Oxford Economics'!$A$6:$AZ$6,0),MATCH(AE$5&amp;"",'Oxford Economics'!$A$6:$AZ$6,0))),'Oxford Economics'!$A$7:$A$1000,$C48,'Oxford Economics'!$B$7:$B$1000,Settings!$B$14),SUMIFS(INDEX('Oxford Economics'!$A$7:$AZ$1000,0,IFERROR(MATCH(AE$5,'Oxford Economics'!$A$6:$AZ$6,0),MATCH(AE$5&amp;"",'Oxford Economics'!$A$6:$AZ$6,0))),'Oxford Economics'!$A$7:$A$1000,$C48,'Oxford Economics'!$B$7:$B$1000,Settings!$B$14)+SUMIFS(INDEX('Oxford Economics'!$A$7:$AZ$1000,0,IFERROR(MATCH(AE$5,'Oxford Economics'!$A$6:$AZ$6,0),MATCH(AE$5&amp;"",'Oxford Economics'!$A$6:$AZ$6,0))),'Oxford Economics'!$A$7:$A$1000,$C48,'Oxford Economics'!$B$7:$B$1000,Settings!$B$16)+IF(Settings!$B$18="",0,SUMIFS(INDEX('Oxford Economics'!$A$7:$AZ$1000,0,IFERROR(MATCH(AE$5,'Oxford Economics'!$A$6:$AZ$6,0),MATCH(AE$5&amp;"",'Oxford Economics'!$A$6:$AZ$6,0))),'Oxford Economics'!$A$7:$A$1000,$C48,'Oxford Economics'!$B$7:$B$1000,Settings!$B$18)))),""))</f>
        <v>2099.46</v>
      </c>
      <c r="AF48" s="38" t="n">
        <f aca="false">IF($A48="","",IFERROR(1/(1/IF($B48="Residential",SUMIFS(INDEX('Oxford Economics'!$A$7:$AZ$1000,0,IFERROR(MATCH(AF$5,'Oxford Economics'!$A$6:$AZ$6,0),MATCH(AF$5&amp;"",'Oxford Economics'!$A$6:$AZ$6,0))),'Oxford Economics'!$A$7:$A$1000,$C48,'Oxford Economics'!$B$7:$B$1000,Settings!$B$12)-SUMIFS(INDEX('Oxford Economics'!$A$7:$AZ$1000,0,IFERROR(MATCH(AF$5,'Oxford Economics'!$A$6:$AZ$6,0),MATCH(AF$5&amp;"",'Oxford Economics'!$A$6:$AZ$6,0))),'Oxford Economics'!$A$7:$A$1000,$C48,'Oxford Economics'!$B$7:$B$1000,Settings!$B$14),SUMIFS(INDEX('Oxford Economics'!$A$7:$AZ$1000,0,IFERROR(MATCH(AF$5,'Oxford Economics'!$A$6:$AZ$6,0),MATCH(AF$5&amp;"",'Oxford Economics'!$A$6:$AZ$6,0))),'Oxford Economics'!$A$7:$A$1000,$C48,'Oxford Economics'!$B$7:$B$1000,Settings!$B$14)+SUMIFS(INDEX('Oxford Economics'!$A$7:$AZ$1000,0,IFERROR(MATCH(AF$5,'Oxford Economics'!$A$6:$AZ$6,0),MATCH(AF$5&amp;"",'Oxford Economics'!$A$6:$AZ$6,0))),'Oxford Economics'!$A$7:$A$1000,$C48,'Oxford Economics'!$B$7:$B$1000,Settings!$B$16)+IF(Settings!$B$18="",0,SUMIFS(INDEX('Oxford Economics'!$A$7:$AZ$1000,0,IFERROR(MATCH(AF$5,'Oxford Economics'!$A$6:$AZ$6,0),MATCH(AF$5&amp;"",'Oxford Economics'!$A$6:$AZ$6,0))),'Oxford Economics'!$A$7:$A$1000,$C48,'Oxford Economics'!$B$7:$B$1000,Settings!$B$18)))),""))</f>
        <v>2154.29</v>
      </c>
      <c r="AG48" s="38" t="n">
        <f aca="false">IF($A48="","",IFERROR(1/(1/IF($B48="Residential",SUMIFS(INDEX('Oxford Economics'!$A$7:$AZ$1000,0,IFERROR(MATCH(AG$5,'Oxford Economics'!$A$6:$AZ$6,0),MATCH(AG$5&amp;"",'Oxford Economics'!$A$6:$AZ$6,0))),'Oxford Economics'!$A$7:$A$1000,$C48,'Oxford Economics'!$B$7:$B$1000,Settings!$B$12)-SUMIFS(INDEX('Oxford Economics'!$A$7:$AZ$1000,0,IFERROR(MATCH(AG$5,'Oxford Economics'!$A$6:$AZ$6,0),MATCH(AG$5&amp;"",'Oxford Economics'!$A$6:$AZ$6,0))),'Oxford Economics'!$A$7:$A$1000,$C48,'Oxford Economics'!$B$7:$B$1000,Settings!$B$14),SUMIFS(INDEX('Oxford Economics'!$A$7:$AZ$1000,0,IFERROR(MATCH(AG$5,'Oxford Economics'!$A$6:$AZ$6,0),MATCH(AG$5&amp;"",'Oxford Economics'!$A$6:$AZ$6,0))),'Oxford Economics'!$A$7:$A$1000,$C48,'Oxford Economics'!$B$7:$B$1000,Settings!$B$14)+SUMIFS(INDEX('Oxford Economics'!$A$7:$AZ$1000,0,IFERROR(MATCH(AG$5,'Oxford Economics'!$A$6:$AZ$6,0),MATCH(AG$5&amp;"",'Oxford Economics'!$A$6:$AZ$6,0))),'Oxford Economics'!$A$7:$A$1000,$C48,'Oxford Economics'!$B$7:$B$1000,Settings!$B$16)+IF(Settings!$B$18="",0,SUMIFS(INDEX('Oxford Economics'!$A$7:$AZ$1000,0,IFERROR(MATCH(AG$5,'Oxford Economics'!$A$6:$AZ$6,0),MATCH(AG$5&amp;"",'Oxford Economics'!$A$6:$AZ$6,0))),'Oxford Economics'!$A$7:$A$1000,$C48,'Oxford Economics'!$B$7:$B$1000,Settings!$B$18)))),""))</f>
        <v>2206.07</v>
      </c>
      <c r="AH48" s="38" t="n">
        <f aca="false">IF($A48="","",IFERROR(1/(1/IF($B48="Residential",SUMIFS(INDEX('Oxford Economics'!$A$7:$AZ$1000,0,IFERROR(MATCH(AH$5,'Oxford Economics'!$A$6:$AZ$6,0),MATCH(AH$5&amp;"",'Oxford Economics'!$A$6:$AZ$6,0))),'Oxford Economics'!$A$7:$A$1000,$C48,'Oxford Economics'!$B$7:$B$1000,Settings!$B$12)-SUMIFS(INDEX('Oxford Economics'!$A$7:$AZ$1000,0,IFERROR(MATCH(AH$5,'Oxford Economics'!$A$6:$AZ$6,0),MATCH(AH$5&amp;"",'Oxford Economics'!$A$6:$AZ$6,0))),'Oxford Economics'!$A$7:$A$1000,$C48,'Oxford Economics'!$B$7:$B$1000,Settings!$B$14),SUMIFS(INDEX('Oxford Economics'!$A$7:$AZ$1000,0,IFERROR(MATCH(AH$5,'Oxford Economics'!$A$6:$AZ$6,0),MATCH(AH$5&amp;"",'Oxford Economics'!$A$6:$AZ$6,0))),'Oxford Economics'!$A$7:$A$1000,$C48,'Oxford Economics'!$B$7:$B$1000,Settings!$B$14)+SUMIFS(INDEX('Oxford Economics'!$A$7:$AZ$1000,0,IFERROR(MATCH(AH$5,'Oxford Economics'!$A$6:$AZ$6,0),MATCH(AH$5&amp;"",'Oxford Economics'!$A$6:$AZ$6,0))),'Oxford Economics'!$A$7:$A$1000,$C48,'Oxford Economics'!$B$7:$B$1000,Settings!$B$16)+IF(Settings!$B$18="",0,SUMIFS(INDEX('Oxford Economics'!$A$7:$AZ$1000,0,IFERROR(MATCH(AH$5,'Oxford Economics'!$A$6:$AZ$6,0),MATCH(AH$5&amp;"",'Oxford Economics'!$A$6:$AZ$6,0))),'Oxford Economics'!$A$7:$A$1000,$C48,'Oxford Economics'!$B$7:$B$1000,Settings!$B$18)))),""))</f>
        <v>2065.48</v>
      </c>
      <c r="AI48" s="38" t="n">
        <f aca="false">IF($A48="","",IFERROR(1/(1/IF($B48="Residential",SUMIFS(INDEX('Oxford Economics'!$A$7:$AZ$1000,0,IFERROR(MATCH(AI$5,'Oxford Economics'!$A$6:$AZ$6,0),MATCH(AI$5&amp;"",'Oxford Economics'!$A$6:$AZ$6,0))),'Oxford Economics'!$A$7:$A$1000,$C48,'Oxford Economics'!$B$7:$B$1000,Settings!$B$12)-SUMIFS(INDEX('Oxford Economics'!$A$7:$AZ$1000,0,IFERROR(MATCH(AI$5,'Oxford Economics'!$A$6:$AZ$6,0),MATCH(AI$5&amp;"",'Oxford Economics'!$A$6:$AZ$6,0))),'Oxford Economics'!$A$7:$A$1000,$C48,'Oxford Economics'!$B$7:$B$1000,Settings!$B$14),SUMIFS(INDEX('Oxford Economics'!$A$7:$AZ$1000,0,IFERROR(MATCH(AI$5,'Oxford Economics'!$A$6:$AZ$6,0),MATCH(AI$5&amp;"",'Oxford Economics'!$A$6:$AZ$6,0))),'Oxford Economics'!$A$7:$A$1000,$C48,'Oxford Economics'!$B$7:$B$1000,Settings!$B$14)+SUMIFS(INDEX('Oxford Economics'!$A$7:$AZ$1000,0,IFERROR(MATCH(AI$5,'Oxford Economics'!$A$6:$AZ$6,0),MATCH(AI$5&amp;"",'Oxford Economics'!$A$6:$AZ$6,0))),'Oxford Economics'!$A$7:$A$1000,$C48,'Oxford Economics'!$B$7:$B$1000,Settings!$B$16)+IF(Settings!$B$18="",0,SUMIFS(INDEX('Oxford Economics'!$A$7:$AZ$1000,0,IFERROR(MATCH(AI$5,'Oxford Economics'!$A$6:$AZ$6,0),MATCH(AI$5&amp;"",'Oxford Economics'!$A$6:$AZ$6,0))),'Oxford Economics'!$A$7:$A$1000,$C48,'Oxford Economics'!$B$7:$B$1000,Settings!$B$18)))),""))</f>
        <v>1837.66</v>
      </c>
      <c r="AJ48" s="38" t="n">
        <f aca="false">IF($A48="","",IFERROR(1/(1/IF($B48="Residential",SUMIFS(INDEX('Oxford Economics'!$A$7:$AZ$1000,0,IFERROR(MATCH(AJ$5,'Oxford Economics'!$A$6:$AZ$6,0),MATCH(AJ$5&amp;"",'Oxford Economics'!$A$6:$AZ$6,0))),'Oxford Economics'!$A$7:$A$1000,$C48,'Oxford Economics'!$B$7:$B$1000,Settings!$B$12)-SUMIFS(INDEX('Oxford Economics'!$A$7:$AZ$1000,0,IFERROR(MATCH(AJ$5,'Oxford Economics'!$A$6:$AZ$6,0),MATCH(AJ$5&amp;"",'Oxford Economics'!$A$6:$AZ$6,0))),'Oxford Economics'!$A$7:$A$1000,$C48,'Oxford Economics'!$B$7:$B$1000,Settings!$B$14),SUMIFS(INDEX('Oxford Economics'!$A$7:$AZ$1000,0,IFERROR(MATCH(AJ$5,'Oxford Economics'!$A$6:$AZ$6,0),MATCH(AJ$5&amp;"",'Oxford Economics'!$A$6:$AZ$6,0))),'Oxford Economics'!$A$7:$A$1000,$C48,'Oxford Economics'!$B$7:$B$1000,Settings!$B$14)+SUMIFS(INDEX('Oxford Economics'!$A$7:$AZ$1000,0,IFERROR(MATCH(AJ$5,'Oxford Economics'!$A$6:$AZ$6,0),MATCH(AJ$5&amp;"",'Oxford Economics'!$A$6:$AZ$6,0))),'Oxford Economics'!$A$7:$A$1000,$C48,'Oxford Economics'!$B$7:$B$1000,Settings!$B$16)+IF(Settings!$B$18="",0,SUMIFS(INDEX('Oxford Economics'!$A$7:$AZ$1000,0,IFERROR(MATCH(AJ$5,'Oxford Economics'!$A$6:$AZ$6,0),MATCH(AJ$5&amp;"",'Oxford Economics'!$A$6:$AZ$6,0))),'Oxford Economics'!$A$7:$A$1000,$C48,'Oxford Economics'!$B$7:$B$1000,Settings!$B$18)))),""))</f>
        <v>1771.56</v>
      </c>
      <c r="AK48" s="38" t="n">
        <f aca="false">IF($A48="","",IFERROR(1/(1/IF($B48="Residential",SUMIFS(INDEX('Oxford Economics'!$A$7:$AZ$1000,0,IFERROR(MATCH(AK$5,'Oxford Economics'!$A$6:$AZ$6,0),MATCH(AK$5&amp;"",'Oxford Economics'!$A$6:$AZ$6,0))),'Oxford Economics'!$A$7:$A$1000,$C48,'Oxford Economics'!$B$7:$B$1000,Settings!$B$12)-SUMIFS(INDEX('Oxford Economics'!$A$7:$AZ$1000,0,IFERROR(MATCH(AK$5,'Oxford Economics'!$A$6:$AZ$6,0),MATCH(AK$5&amp;"",'Oxford Economics'!$A$6:$AZ$6,0))),'Oxford Economics'!$A$7:$A$1000,$C48,'Oxford Economics'!$B$7:$B$1000,Settings!$B$14),SUMIFS(INDEX('Oxford Economics'!$A$7:$AZ$1000,0,IFERROR(MATCH(AK$5,'Oxford Economics'!$A$6:$AZ$6,0),MATCH(AK$5&amp;"",'Oxford Economics'!$A$6:$AZ$6,0))),'Oxford Economics'!$A$7:$A$1000,$C48,'Oxford Economics'!$B$7:$B$1000,Settings!$B$14)+SUMIFS(INDEX('Oxford Economics'!$A$7:$AZ$1000,0,IFERROR(MATCH(AK$5,'Oxford Economics'!$A$6:$AZ$6,0),MATCH(AK$5&amp;"",'Oxford Economics'!$A$6:$AZ$6,0))),'Oxford Economics'!$A$7:$A$1000,$C48,'Oxford Economics'!$B$7:$B$1000,Settings!$B$16)+IF(Settings!$B$18="",0,SUMIFS(INDEX('Oxford Economics'!$A$7:$AZ$1000,0,IFERROR(MATCH(AK$5,'Oxford Economics'!$A$6:$AZ$6,0),MATCH(AK$5&amp;"",'Oxford Economics'!$A$6:$AZ$6,0))),'Oxford Economics'!$A$7:$A$1000,$C48,'Oxford Economics'!$B$7:$B$1000,Settings!$B$18)))),""))</f>
        <v>1755.21</v>
      </c>
      <c r="AL48" s="38" t="n">
        <f aca="false">IF($A48="","",IFERROR(1/(1/IF($B48="Residential",SUMIFS(INDEX('Oxford Economics'!$A$7:$AZ$1000,0,IFERROR(MATCH(AL$5,'Oxford Economics'!$A$6:$AZ$6,0),MATCH(AL$5&amp;"",'Oxford Economics'!$A$6:$AZ$6,0))),'Oxford Economics'!$A$7:$A$1000,$C48,'Oxford Economics'!$B$7:$B$1000,Settings!$B$12)-SUMIFS(INDEX('Oxford Economics'!$A$7:$AZ$1000,0,IFERROR(MATCH(AL$5,'Oxford Economics'!$A$6:$AZ$6,0),MATCH(AL$5&amp;"",'Oxford Economics'!$A$6:$AZ$6,0))),'Oxford Economics'!$A$7:$A$1000,$C48,'Oxford Economics'!$B$7:$B$1000,Settings!$B$14),SUMIFS(INDEX('Oxford Economics'!$A$7:$AZ$1000,0,IFERROR(MATCH(AL$5,'Oxford Economics'!$A$6:$AZ$6,0),MATCH(AL$5&amp;"",'Oxford Economics'!$A$6:$AZ$6,0))),'Oxford Economics'!$A$7:$A$1000,$C48,'Oxford Economics'!$B$7:$B$1000,Settings!$B$14)+SUMIFS(INDEX('Oxford Economics'!$A$7:$AZ$1000,0,IFERROR(MATCH(AL$5,'Oxford Economics'!$A$6:$AZ$6,0),MATCH(AL$5&amp;"",'Oxford Economics'!$A$6:$AZ$6,0))),'Oxford Economics'!$A$7:$A$1000,$C48,'Oxford Economics'!$B$7:$B$1000,Settings!$B$16)+IF(Settings!$B$18="",0,SUMIFS(INDEX('Oxford Economics'!$A$7:$AZ$1000,0,IFERROR(MATCH(AL$5,'Oxford Economics'!$A$6:$AZ$6,0),MATCH(AL$5&amp;"",'Oxford Economics'!$A$6:$AZ$6,0))),'Oxford Economics'!$A$7:$A$1000,$C48,'Oxford Economics'!$B$7:$B$1000,Settings!$B$18)))),""))</f>
        <v>1747.93</v>
      </c>
      <c r="AM48" s="38" t="n">
        <f aca="false">IF($A48="","",IFERROR(1/(1/IF($B48="Residential",SUMIFS(INDEX('Oxford Economics'!$A$7:$AZ$1000,0,IFERROR(MATCH(AM$5,'Oxford Economics'!$A$6:$AZ$6,0),MATCH(AM$5&amp;"",'Oxford Economics'!$A$6:$AZ$6,0))),'Oxford Economics'!$A$7:$A$1000,$C48,'Oxford Economics'!$B$7:$B$1000,Settings!$B$12)-SUMIFS(INDEX('Oxford Economics'!$A$7:$AZ$1000,0,IFERROR(MATCH(AM$5,'Oxford Economics'!$A$6:$AZ$6,0),MATCH(AM$5&amp;"",'Oxford Economics'!$A$6:$AZ$6,0))),'Oxford Economics'!$A$7:$A$1000,$C48,'Oxford Economics'!$B$7:$B$1000,Settings!$B$14),SUMIFS(INDEX('Oxford Economics'!$A$7:$AZ$1000,0,IFERROR(MATCH(AM$5,'Oxford Economics'!$A$6:$AZ$6,0),MATCH(AM$5&amp;"",'Oxford Economics'!$A$6:$AZ$6,0))),'Oxford Economics'!$A$7:$A$1000,$C48,'Oxford Economics'!$B$7:$B$1000,Settings!$B$14)+SUMIFS(INDEX('Oxford Economics'!$A$7:$AZ$1000,0,IFERROR(MATCH(AM$5,'Oxford Economics'!$A$6:$AZ$6,0),MATCH(AM$5&amp;"",'Oxford Economics'!$A$6:$AZ$6,0))),'Oxford Economics'!$A$7:$A$1000,$C48,'Oxford Economics'!$B$7:$B$1000,Settings!$B$16)+IF(Settings!$B$18="",0,SUMIFS(INDEX('Oxford Economics'!$A$7:$AZ$1000,0,IFERROR(MATCH(AM$5,'Oxford Economics'!$A$6:$AZ$6,0),MATCH(AM$5&amp;"",'Oxford Economics'!$A$6:$AZ$6,0))),'Oxford Economics'!$A$7:$A$1000,$C48,'Oxford Economics'!$B$7:$B$1000,Settings!$B$18)))),""))</f>
        <v>1747.38</v>
      </c>
    </row>
    <row r="49" customFormat="false" ht="15" hidden="false" customHeight="false" outlineLevel="0" collapsed="false">
      <c r="A49" s="37" t="str">
        <f aca="false">IF('Raw data'!$A49="","",'Raw data'!$A49)</f>
        <v>Denmark</v>
      </c>
      <c r="B49" s="37" t="str">
        <f aca="false">IF($A49="","",'Raw data'!$C49)</f>
        <v>Residential</v>
      </c>
      <c r="C49" s="37" t="str">
        <f aca="false">IF($A49="","",IF('Raw data'!$E49="",$A49,'Raw data'!$E49))</f>
        <v>Denmark</v>
      </c>
      <c r="D49" s="38" t="n">
        <f aca="false">IF($A49="","",IF(AND(ISNUMBER(P49),ISNUMBER(AB49)),P49+AB49,""))</f>
        <v>10258.15</v>
      </c>
      <c r="E49" s="38" t="n">
        <f aca="false">IF($A49="","",IF(AND(ISNUMBER(Q49),ISNUMBER(AC49)),Q49+AC49,""))</f>
        <v>11393.66</v>
      </c>
      <c r="F49" s="38" t="n">
        <f aca="false">IF($A49="","",IF(AND(ISNUMBER(R49),ISNUMBER(AD49)),R49+AD49,""))</f>
        <v>11091.08</v>
      </c>
      <c r="G49" s="38" t="n">
        <f aca="false">IF($A49="","",IF(AND(ISNUMBER(S49),ISNUMBER(AE49)),S49+AE49,""))</f>
        <v>10945.12</v>
      </c>
      <c r="H49" s="38" t="n">
        <f aca="false">IF($A49="","",IF(AND(ISNUMBER(T49),ISNUMBER(AF49)),T49+AF49,""))</f>
        <v>12310.5</v>
      </c>
      <c r="I49" s="38" t="n">
        <f aca="false">IF($A49="","",IF(AND(ISNUMBER(U49),ISNUMBER(AG49)),U49+AG49,""))</f>
        <v>12045.18</v>
      </c>
      <c r="J49" s="38" t="n">
        <f aca="false">IF($A49="","",IF(AND(ISNUMBER(V49),ISNUMBER(AH49)),V49+AH49,""))</f>
        <v>11406.58</v>
      </c>
      <c r="K49" s="38" t="n">
        <f aca="false">IF($A49="","",IF(AND(ISNUMBER(W49),ISNUMBER(AI49)),W49+AI49,""))</f>
        <v>11757.35</v>
      </c>
      <c r="L49" s="38" t="n">
        <f aca="false">IF($A49="","",IF(AND(ISNUMBER(X49),ISNUMBER(AJ49)),X49+AJ49,""))</f>
        <v>12016.43</v>
      </c>
      <c r="M49" s="38" t="n">
        <f aca="false">IF($A49="","",IF(AND(ISNUMBER(Y49),ISNUMBER(AK49)),Y49+AK49,""))</f>
        <v>12239.31</v>
      </c>
      <c r="N49" s="38" t="n">
        <f aca="false">IF($A49="","",IF(AND(ISNUMBER(Z49),ISNUMBER(AL49)),Z49+AL49,""))</f>
        <v>12388.16</v>
      </c>
      <c r="O49" s="38" t="n">
        <f aca="false">IF($A49="","",IF(AND(ISNUMBER(AA49),ISNUMBER(AM49)),AA49+AM49,""))</f>
        <v>12480.02</v>
      </c>
      <c r="P49" s="38" t="n">
        <f aca="false">IF($A49="","",IFERROR(1/(1/IF($B49="Residential",SUMIFS(INDEX('Oxford Economics'!$A$7:$AZ$1000,0,IFERROR(MATCH(P$5,'Oxford Economics'!$A$6:$AZ$6,0),MATCH(P$5&amp;"",'Oxford Economics'!$A$6:$AZ$6,0))),'Oxford Economics'!$A$7:$A$1000,$C49,'Oxford Economics'!$B$7:$B$1000,Settings!$B$13)-SUMIFS(INDEX('Oxford Economics'!$A$7:$AZ$1000,0,IFERROR(MATCH(P$5,'Oxford Economics'!$A$6:$AZ$6,0),MATCH(P$5&amp;"",'Oxford Economics'!$A$6:$AZ$6,0))),'Oxford Economics'!$A$7:$A$1000,$C49,'Oxford Economics'!$B$7:$B$1000,Settings!$B$15),SUMIFS(INDEX('Oxford Economics'!$A$7:$AZ$1000,0,IFERROR(MATCH(P$5,'Oxford Economics'!$A$6:$AZ$6,0),MATCH(P$5&amp;"",'Oxford Economics'!$A$6:$AZ$6,0))),'Oxford Economics'!$A$7:$A$1000,$C49,'Oxford Economics'!$B$7:$B$1000,Settings!$B$15)+SUMIFS(INDEX('Oxford Economics'!$A$7:$AZ$1000,0,IFERROR(MATCH(P$5,'Oxford Economics'!$A$6:$AZ$6,0),MATCH(P$5&amp;"",'Oxford Economics'!$A$6:$AZ$6,0))),'Oxford Economics'!$A$7:$A$1000,$C49,'Oxford Economics'!$B$7:$B$1000,Settings!$B$17)+IF(Settings!$B$19="",0,SUMIFS(INDEX('Oxford Economics'!$A$7:$AZ$1000,0,IFERROR(MATCH(P$5,'Oxford Economics'!$A$6:$AZ$6,0),MATCH(P$5&amp;"",'Oxford Economics'!$A$6:$AZ$6,0))),'Oxford Economics'!$A$7:$A$1000,$C49,'Oxford Economics'!$B$7:$B$1000,Settings!$B$19)))),""))</f>
        <v>7413.64</v>
      </c>
      <c r="Q49" s="38" t="n">
        <f aca="false">IF($A49="","",IFERROR(1/(1/IF($B49="Residential",SUMIFS(INDEX('Oxford Economics'!$A$7:$AZ$1000,0,IFERROR(MATCH(Q$5,'Oxford Economics'!$A$6:$AZ$6,0),MATCH(Q$5&amp;"",'Oxford Economics'!$A$6:$AZ$6,0))),'Oxford Economics'!$A$7:$A$1000,$C49,'Oxford Economics'!$B$7:$B$1000,Settings!$B$13)-SUMIFS(INDEX('Oxford Economics'!$A$7:$AZ$1000,0,IFERROR(MATCH(Q$5,'Oxford Economics'!$A$6:$AZ$6,0),MATCH(Q$5&amp;"",'Oxford Economics'!$A$6:$AZ$6,0))),'Oxford Economics'!$A$7:$A$1000,$C49,'Oxford Economics'!$B$7:$B$1000,Settings!$B$15),SUMIFS(INDEX('Oxford Economics'!$A$7:$AZ$1000,0,IFERROR(MATCH(Q$5,'Oxford Economics'!$A$6:$AZ$6,0),MATCH(Q$5&amp;"",'Oxford Economics'!$A$6:$AZ$6,0))),'Oxford Economics'!$A$7:$A$1000,$C49,'Oxford Economics'!$B$7:$B$1000,Settings!$B$15)+SUMIFS(INDEX('Oxford Economics'!$A$7:$AZ$1000,0,IFERROR(MATCH(Q$5,'Oxford Economics'!$A$6:$AZ$6,0),MATCH(Q$5&amp;"",'Oxford Economics'!$A$6:$AZ$6,0))),'Oxford Economics'!$A$7:$A$1000,$C49,'Oxford Economics'!$B$7:$B$1000,Settings!$B$17)+IF(Settings!$B$19="",0,SUMIFS(INDEX('Oxford Economics'!$A$7:$AZ$1000,0,IFERROR(MATCH(Q$5,'Oxford Economics'!$A$6:$AZ$6,0),MATCH(Q$5&amp;"",'Oxford Economics'!$A$6:$AZ$6,0))),'Oxford Economics'!$A$7:$A$1000,$C49,'Oxford Economics'!$B$7:$B$1000,Settings!$B$19)))),""))</f>
        <v>8287.25</v>
      </c>
      <c r="R49" s="38" t="n">
        <f aca="false">IF($A49="","",IFERROR(1/(1/IF($B49="Residential",SUMIFS(INDEX('Oxford Economics'!$A$7:$AZ$1000,0,IFERROR(MATCH(R$5,'Oxford Economics'!$A$6:$AZ$6,0),MATCH(R$5&amp;"",'Oxford Economics'!$A$6:$AZ$6,0))),'Oxford Economics'!$A$7:$A$1000,$C49,'Oxford Economics'!$B$7:$B$1000,Settings!$B$13)-SUMIFS(INDEX('Oxford Economics'!$A$7:$AZ$1000,0,IFERROR(MATCH(R$5,'Oxford Economics'!$A$6:$AZ$6,0),MATCH(R$5&amp;"",'Oxford Economics'!$A$6:$AZ$6,0))),'Oxford Economics'!$A$7:$A$1000,$C49,'Oxford Economics'!$B$7:$B$1000,Settings!$B$15),SUMIFS(INDEX('Oxford Economics'!$A$7:$AZ$1000,0,IFERROR(MATCH(R$5,'Oxford Economics'!$A$6:$AZ$6,0),MATCH(R$5&amp;"",'Oxford Economics'!$A$6:$AZ$6,0))),'Oxford Economics'!$A$7:$A$1000,$C49,'Oxford Economics'!$B$7:$B$1000,Settings!$B$15)+SUMIFS(INDEX('Oxford Economics'!$A$7:$AZ$1000,0,IFERROR(MATCH(R$5,'Oxford Economics'!$A$6:$AZ$6,0),MATCH(R$5&amp;"",'Oxford Economics'!$A$6:$AZ$6,0))),'Oxford Economics'!$A$7:$A$1000,$C49,'Oxford Economics'!$B$7:$B$1000,Settings!$B$17)+IF(Settings!$B$19="",0,SUMIFS(INDEX('Oxford Economics'!$A$7:$AZ$1000,0,IFERROR(MATCH(R$5,'Oxford Economics'!$A$6:$AZ$6,0),MATCH(R$5&amp;"",'Oxford Economics'!$A$6:$AZ$6,0))),'Oxford Economics'!$A$7:$A$1000,$C49,'Oxford Economics'!$B$7:$B$1000,Settings!$B$19)))),""))</f>
        <v>8191.36</v>
      </c>
      <c r="S49" s="38" t="n">
        <f aca="false">IF($A49="","",IFERROR(1/(1/IF($B49="Residential",SUMIFS(INDEX('Oxford Economics'!$A$7:$AZ$1000,0,IFERROR(MATCH(S$5,'Oxford Economics'!$A$6:$AZ$6,0),MATCH(S$5&amp;"",'Oxford Economics'!$A$6:$AZ$6,0))),'Oxford Economics'!$A$7:$A$1000,$C49,'Oxford Economics'!$B$7:$B$1000,Settings!$B$13)-SUMIFS(INDEX('Oxford Economics'!$A$7:$AZ$1000,0,IFERROR(MATCH(S$5,'Oxford Economics'!$A$6:$AZ$6,0),MATCH(S$5&amp;"",'Oxford Economics'!$A$6:$AZ$6,0))),'Oxford Economics'!$A$7:$A$1000,$C49,'Oxford Economics'!$B$7:$B$1000,Settings!$B$15),SUMIFS(INDEX('Oxford Economics'!$A$7:$AZ$1000,0,IFERROR(MATCH(S$5,'Oxford Economics'!$A$6:$AZ$6,0),MATCH(S$5&amp;"",'Oxford Economics'!$A$6:$AZ$6,0))),'Oxford Economics'!$A$7:$A$1000,$C49,'Oxford Economics'!$B$7:$B$1000,Settings!$B$15)+SUMIFS(INDEX('Oxford Economics'!$A$7:$AZ$1000,0,IFERROR(MATCH(S$5,'Oxford Economics'!$A$6:$AZ$6,0),MATCH(S$5&amp;"",'Oxford Economics'!$A$6:$AZ$6,0))),'Oxford Economics'!$A$7:$A$1000,$C49,'Oxford Economics'!$B$7:$B$1000,Settings!$B$17)+IF(Settings!$B$19="",0,SUMIFS(INDEX('Oxford Economics'!$A$7:$AZ$1000,0,IFERROR(MATCH(S$5,'Oxford Economics'!$A$6:$AZ$6,0),MATCH(S$5&amp;"",'Oxford Economics'!$A$6:$AZ$6,0))),'Oxford Economics'!$A$7:$A$1000,$C49,'Oxford Economics'!$B$7:$B$1000,Settings!$B$19)))),""))</f>
        <v>8845.66</v>
      </c>
      <c r="T49" s="38" t="n">
        <f aca="false">IF($A49="","",IFERROR(1/(1/IF($B49="Residential",SUMIFS(INDEX('Oxford Economics'!$A$7:$AZ$1000,0,IFERROR(MATCH(T$5,'Oxford Economics'!$A$6:$AZ$6,0),MATCH(T$5&amp;"",'Oxford Economics'!$A$6:$AZ$6,0))),'Oxford Economics'!$A$7:$A$1000,$C49,'Oxford Economics'!$B$7:$B$1000,Settings!$B$13)-SUMIFS(INDEX('Oxford Economics'!$A$7:$AZ$1000,0,IFERROR(MATCH(T$5,'Oxford Economics'!$A$6:$AZ$6,0),MATCH(T$5&amp;"",'Oxford Economics'!$A$6:$AZ$6,0))),'Oxford Economics'!$A$7:$A$1000,$C49,'Oxford Economics'!$B$7:$B$1000,Settings!$B$15),SUMIFS(INDEX('Oxford Economics'!$A$7:$AZ$1000,0,IFERROR(MATCH(T$5,'Oxford Economics'!$A$6:$AZ$6,0),MATCH(T$5&amp;"",'Oxford Economics'!$A$6:$AZ$6,0))),'Oxford Economics'!$A$7:$A$1000,$C49,'Oxford Economics'!$B$7:$B$1000,Settings!$B$15)+SUMIFS(INDEX('Oxford Economics'!$A$7:$AZ$1000,0,IFERROR(MATCH(T$5,'Oxford Economics'!$A$6:$AZ$6,0),MATCH(T$5&amp;"",'Oxford Economics'!$A$6:$AZ$6,0))),'Oxford Economics'!$A$7:$A$1000,$C49,'Oxford Economics'!$B$7:$B$1000,Settings!$B$17)+IF(Settings!$B$19="",0,SUMIFS(INDEX('Oxford Economics'!$A$7:$AZ$1000,0,IFERROR(MATCH(T$5,'Oxford Economics'!$A$6:$AZ$6,0),MATCH(T$5&amp;"",'Oxford Economics'!$A$6:$AZ$6,0))),'Oxford Economics'!$A$7:$A$1000,$C49,'Oxford Economics'!$B$7:$B$1000,Settings!$B$19)))),""))</f>
        <v>10156.21</v>
      </c>
      <c r="U49" s="38" t="n">
        <f aca="false">IF($A49="","",IFERROR(1/(1/IF($B49="Residential",SUMIFS(INDEX('Oxford Economics'!$A$7:$AZ$1000,0,IFERROR(MATCH(U$5,'Oxford Economics'!$A$6:$AZ$6,0),MATCH(U$5&amp;"",'Oxford Economics'!$A$6:$AZ$6,0))),'Oxford Economics'!$A$7:$A$1000,$C49,'Oxford Economics'!$B$7:$B$1000,Settings!$B$13)-SUMIFS(INDEX('Oxford Economics'!$A$7:$AZ$1000,0,IFERROR(MATCH(U$5,'Oxford Economics'!$A$6:$AZ$6,0),MATCH(U$5&amp;"",'Oxford Economics'!$A$6:$AZ$6,0))),'Oxford Economics'!$A$7:$A$1000,$C49,'Oxford Economics'!$B$7:$B$1000,Settings!$B$15),SUMIFS(INDEX('Oxford Economics'!$A$7:$AZ$1000,0,IFERROR(MATCH(U$5,'Oxford Economics'!$A$6:$AZ$6,0),MATCH(U$5&amp;"",'Oxford Economics'!$A$6:$AZ$6,0))),'Oxford Economics'!$A$7:$A$1000,$C49,'Oxford Economics'!$B$7:$B$1000,Settings!$B$15)+SUMIFS(INDEX('Oxford Economics'!$A$7:$AZ$1000,0,IFERROR(MATCH(U$5,'Oxford Economics'!$A$6:$AZ$6,0),MATCH(U$5&amp;"",'Oxford Economics'!$A$6:$AZ$6,0))),'Oxford Economics'!$A$7:$A$1000,$C49,'Oxford Economics'!$B$7:$B$1000,Settings!$B$17)+IF(Settings!$B$19="",0,SUMIFS(INDEX('Oxford Economics'!$A$7:$AZ$1000,0,IFERROR(MATCH(U$5,'Oxford Economics'!$A$6:$AZ$6,0),MATCH(U$5&amp;"",'Oxford Economics'!$A$6:$AZ$6,0))),'Oxford Economics'!$A$7:$A$1000,$C49,'Oxford Economics'!$B$7:$B$1000,Settings!$B$19)))),""))</f>
        <v>9839.11</v>
      </c>
      <c r="V49" s="38" t="n">
        <f aca="false">IF($A49="","",IFERROR(1/(1/IF($B49="Residential",SUMIFS(INDEX('Oxford Economics'!$A$7:$AZ$1000,0,IFERROR(MATCH(V$5,'Oxford Economics'!$A$6:$AZ$6,0),MATCH(V$5&amp;"",'Oxford Economics'!$A$6:$AZ$6,0))),'Oxford Economics'!$A$7:$A$1000,$C49,'Oxford Economics'!$B$7:$B$1000,Settings!$B$13)-SUMIFS(INDEX('Oxford Economics'!$A$7:$AZ$1000,0,IFERROR(MATCH(V$5,'Oxford Economics'!$A$6:$AZ$6,0),MATCH(V$5&amp;"",'Oxford Economics'!$A$6:$AZ$6,0))),'Oxford Economics'!$A$7:$A$1000,$C49,'Oxford Economics'!$B$7:$B$1000,Settings!$B$15),SUMIFS(INDEX('Oxford Economics'!$A$7:$AZ$1000,0,IFERROR(MATCH(V$5,'Oxford Economics'!$A$6:$AZ$6,0),MATCH(V$5&amp;"",'Oxford Economics'!$A$6:$AZ$6,0))),'Oxford Economics'!$A$7:$A$1000,$C49,'Oxford Economics'!$B$7:$B$1000,Settings!$B$15)+SUMIFS(INDEX('Oxford Economics'!$A$7:$AZ$1000,0,IFERROR(MATCH(V$5,'Oxford Economics'!$A$6:$AZ$6,0),MATCH(V$5&amp;"",'Oxford Economics'!$A$6:$AZ$6,0))),'Oxford Economics'!$A$7:$A$1000,$C49,'Oxford Economics'!$B$7:$B$1000,Settings!$B$17)+IF(Settings!$B$19="",0,SUMIFS(INDEX('Oxford Economics'!$A$7:$AZ$1000,0,IFERROR(MATCH(V$5,'Oxford Economics'!$A$6:$AZ$6,0),MATCH(V$5&amp;"",'Oxford Economics'!$A$6:$AZ$6,0))),'Oxford Economics'!$A$7:$A$1000,$C49,'Oxford Economics'!$B$7:$B$1000,Settings!$B$19)))),""))</f>
        <v>9341.1</v>
      </c>
      <c r="W49" s="38" t="n">
        <f aca="false">IF($A49="","",IFERROR(1/(1/IF($B49="Residential",SUMIFS(INDEX('Oxford Economics'!$A$7:$AZ$1000,0,IFERROR(MATCH(W$5,'Oxford Economics'!$A$6:$AZ$6,0),MATCH(W$5&amp;"",'Oxford Economics'!$A$6:$AZ$6,0))),'Oxford Economics'!$A$7:$A$1000,$C49,'Oxford Economics'!$B$7:$B$1000,Settings!$B$13)-SUMIFS(INDEX('Oxford Economics'!$A$7:$AZ$1000,0,IFERROR(MATCH(W$5,'Oxford Economics'!$A$6:$AZ$6,0),MATCH(W$5&amp;"",'Oxford Economics'!$A$6:$AZ$6,0))),'Oxford Economics'!$A$7:$A$1000,$C49,'Oxford Economics'!$B$7:$B$1000,Settings!$B$15),SUMIFS(INDEX('Oxford Economics'!$A$7:$AZ$1000,0,IFERROR(MATCH(W$5,'Oxford Economics'!$A$6:$AZ$6,0),MATCH(W$5&amp;"",'Oxford Economics'!$A$6:$AZ$6,0))),'Oxford Economics'!$A$7:$A$1000,$C49,'Oxford Economics'!$B$7:$B$1000,Settings!$B$15)+SUMIFS(INDEX('Oxford Economics'!$A$7:$AZ$1000,0,IFERROR(MATCH(W$5,'Oxford Economics'!$A$6:$AZ$6,0),MATCH(W$5&amp;"",'Oxford Economics'!$A$6:$AZ$6,0))),'Oxford Economics'!$A$7:$A$1000,$C49,'Oxford Economics'!$B$7:$B$1000,Settings!$B$17)+IF(Settings!$B$19="",0,SUMIFS(INDEX('Oxford Economics'!$A$7:$AZ$1000,0,IFERROR(MATCH(W$5,'Oxford Economics'!$A$6:$AZ$6,0),MATCH(W$5&amp;"",'Oxford Economics'!$A$6:$AZ$6,0))),'Oxford Economics'!$A$7:$A$1000,$C49,'Oxford Economics'!$B$7:$B$1000,Settings!$B$19)))),""))</f>
        <v>9919.69</v>
      </c>
      <c r="X49" s="38" t="n">
        <f aca="false">IF($A49="","",IFERROR(1/(1/IF($B49="Residential",SUMIFS(INDEX('Oxford Economics'!$A$7:$AZ$1000,0,IFERROR(MATCH(X$5,'Oxford Economics'!$A$6:$AZ$6,0),MATCH(X$5&amp;"",'Oxford Economics'!$A$6:$AZ$6,0))),'Oxford Economics'!$A$7:$A$1000,$C49,'Oxford Economics'!$B$7:$B$1000,Settings!$B$13)-SUMIFS(INDEX('Oxford Economics'!$A$7:$AZ$1000,0,IFERROR(MATCH(X$5,'Oxford Economics'!$A$6:$AZ$6,0),MATCH(X$5&amp;"",'Oxford Economics'!$A$6:$AZ$6,0))),'Oxford Economics'!$A$7:$A$1000,$C49,'Oxford Economics'!$B$7:$B$1000,Settings!$B$15),SUMIFS(INDEX('Oxford Economics'!$A$7:$AZ$1000,0,IFERROR(MATCH(X$5,'Oxford Economics'!$A$6:$AZ$6,0),MATCH(X$5&amp;"",'Oxford Economics'!$A$6:$AZ$6,0))),'Oxford Economics'!$A$7:$A$1000,$C49,'Oxford Economics'!$B$7:$B$1000,Settings!$B$15)+SUMIFS(INDEX('Oxford Economics'!$A$7:$AZ$1000,0,IFERROR(MATCH(X$5,'Oxford Economics'!$A$6:$AZ$6,0),MATCH(X$5&amp;"",'Oxford Economics'!$A$6:$AZ$6,0))),'Oxford Economics'!$A$7:$A$1000,$C49,'Oxford Economics'!$B$7:$B$1000,Settings!$B$17)+IF(Settings!$B$19="",0,SUMIFS(INDEX('Oxford Economics'!$A$7:$AZ$1000,0,IFERROR(MATCH(X$5,'Oxford Economics'!$A$6:$AZ$6,0),MATCH(X$5&amp;"",'Oxford Economics'!$A$6:$AZ$6,0))),'Oxford Economics'!$A$7:$A$1000,$C49,'Oxford Economics'!$B$7:$B$1000,Settings!$B$19)))),""))</f>
        <v>10244.87</v>
      </c>
      <c r="Y49" s="38" t="n">
        <f aca="false">IF($A49="","",IFERROR(1/(1/IF($B49="Residential",SUMIFS(INDEX('Oxford Economics'!$A$7:$AZ$1000,0,IFERROR(MATCH(Y$5,'Oxford Economics'!$A$6:$AZ$6,0),MATCH(Y$5&amp;"",'Oxford Economics'!$A$6:$AZ$6,0))),'Oxford Economics'!$A$7:$A$1000,$C49,'Oxford Economics'!$B$7:$B$1000,Settings!$B$13)-SUMIFS(INDEX('Oxford Economics'!$A$7:$AZ$1000,0,IFERROR(MATCH(Y$5,'Oxford Economics'!$A$6:$AZ$6,0),MATCH(Y$5&amp;"",'Oxford Economics'!$A$6:$AZ$6,0))),'Oxford Economics'!$A$7:$A$1000,$C49,'Oxford Economics'!$B$7:$B$1000,Settings!$B$15),SUMIFS(INDEX('Oxford Economics'!$A$7:$AZ$1000,0,IFERROR(MATCH(Y$5,'Oxford Economics'!$A$6:$AZ$6,0),MATCH(Y$5&amp;"",'Oxford Economics'!$A$6:$AZ$6,0))),'Oxford Economics'!$A$7:$A$1000,$C49,'Oxford Economics'!$B$7:$B$1000,Settings!$B$15)+SUMIFS(INDEX('Oxford Economics'!$A$7:$AZ$1000,0,IFERROR(MATCH(Y$5,'Oxford Economics'!$A$6:$AZ$6,0),MATCH(Y$5&amp;"",'Oxford Economics'!$A$6:$AZ$6,0))),'Oxford Economics'!$A$7:$A$1000,$C49,'Oxford Economics'!$B$7:$B$1000,Settings!$B$17)+IF(Settings!$B$19="",0,SUMIFS(INDEX('Oxford Economics'!$A$7:$AZ$1000,0,IFERROR(MATCH(Y$5,'Oxford Economics'!$A$6:$AZ$6,0),MATCH(Y$5&amp;"",'Oxford Economics'!$A$6:$AZ$6,0))),'Oxford Economics'!$A$7:$A$1000,$C49,'Oxford Economics'!$B$7:$B$1000,Settings!$B$19)))),""))</f>
        <v>10484.1</v>
      </c>
      <c r="Z49" s="38" t="n">
        <f aca="false">IF($A49="","",IFERROR(1/(1/IF($B49="Residential",SUMIFS(INDEX('Oxford Economics'!$A$7:$AZ$1000,0,IFERROR(MATCH(Z$5,'Oxford Economics'!$A$6:$AZ$6,0),MATCH(Z$5&amp;"",'Oxford Economics'!$A$6:$AZ$6,0))),'Oxford Economics'!$A$7:$A$1000,$C49,'Oxford Economics'!$B$7:$B$1000,Settings!$B$13)-SUMIFS(INDEX('Oxford Economics'!$A$7:$AZ$1000,0,IFERROR(MATCH(Z$5,'Oxford Economics'!$A$6:$AZ$6,0),MATCH(Z$5&amp;"",'Oxford Economics'!$A$6:$AZ$6,0))),'Oxford Economics'!$A$7:$A$1000,$C49,'Oxford Economics'!$B$7:$B$1000,Settings!$B$15),SUMIFS(INDEX('Oxford Economics'!$A$7:$AZ$1000,0,IFERROR(MATCH(Z$5,'Oxford Economics'!$A$6:$AZ$6,0),MATCH(Z$5&amp;"",'Oxford Economics'!$A$6:$AZ$6,0))),'Oxford Economics'!$A$7:$A$1000,$C49,'Oxford Economics'!$B$7:$B$1000,Settings!$B$15)+SUMIFS(INDEX('Oxford Economics'!$A$7:$AZ$1000,0,IFERROR(MATCH(Z$5,'Oxford Economics'!$A$6:$AZ$6,0),MATCH(Z$5&amp;"",'Oxford Economics'!$A$6:$AZ$6,0))),'Oxford Economics'!$A$7:$A$1000,$C49,'Oxford Economics'!$B$7:$B$1000,Settings!$B$17)+IF(Settings!$B$19="",0,SUMIFS(INDEX('Oxford Economics'!$A$7:$AZ$1000,0,IFERROR(MATCH(Z$5,'Oxford Economics'!$A$6:$AZ$6,0),MATCH(Z$5&amp;"",'Oxford Economics'!$A$6:$AZ$6,0))),'Oxford Economics'!$A$7:$A$1000,$C49,'Oxford Economics'!$B$7:$B$1000,Settings!$B$19)))),""))</f>
        <v>10640.23</v>
      </c>
      <c r="AA49" s="38" t="n">
        <f aca="false">IF($A49="","",IFERROR(1/(1/IF($B49="Residential",SUMIFS(INDEX('Oxford Economics'!$A$7:$AZ$1000,0,IFERROR(MATCH(AA$5,'Oxford Economics'!$A$6:$AZ$6,0),MATCH(AA$5&amp;"",'Oxford Economics'!$A$6:$AZ$6,0))),'Oxford Economics'!$A$7:$A$1000,$C49,'Oxford Economics'!$B$7:$B$1000,Settings!$B$13)-SUMIFS(INDEX('Oxford Economics'!$A$7:$AZ$1000,0,IFERROR(MATCH(AA$5,'Oxford Economics'!$A$6:$AZ$6,0),MATCH(AA$5&amp;"",'Oxford Economics'!$A$6:$AZ$6,0))),'Oxford Economics'!$A$7:$A$1000,$C49,'Oxford Economics'!$B$7:$B$1000,Settings!$B$15),SUMIFS(INDEX('Oxford Economics'!$A$7:$AZ$1000,0,IFERROR(MATCH(AA$5,'Oxford Economics'!$A$6:$AZ$6,0),MATCH(AA$5&amp;"",'Oxford Economics'!$A$6:$AZ$6,0))),'Oxford Economics'!$A$7:$A$1000,$C49,'Oxford Economics'!$B$7:$B$1000,Settings!$B$15)+SUMIFS(INDEX('Oxford Economics'!$A$7:$AZ$1000,0,IFERROR(MATCH(AA$5,'Oxford Economics'!$A$6:$AZ$6,0),MATCH(AA$5&amp;"",'Oxford Economics'!$A$6:$AZ$6,0))),'Oxford Economics'!$A$7:$A$1000,$C49,'Oxford Economics'!$B$7:$B$1000,Settings!$B$17)+IF(Settings!$B$19="",0,SUMIFS(INDEX('Oxford Economics'!$A$7:$AZ$1000,0,IFERROR(MATCH(AA$5,'Oxford Economics'!$A$6:$AZ$6,0),MATCH(AA$5&amp;"",'Oxford Economics'!$A$6:$AZ$6,0))),'Oxford Economics'!$A$7:$A$1000,$C49,'Oxford Economics'!$B$7:$B$1000,Settings!$B$19)))),""))</f>
        <v>10732.64</v>
      </c>
      <c r="AB49" s="38" t="n">
        <f aca="false">IF($A49="","",IFERROR(1/(1/IF($B49="Residential",SUMIFS(INDEX('Oxford Economics'!$A$7:$AZ$1000,0,IFERROR(MATCH(AB$5,'Oxford Economics'!$A$6:$AZ$6,0),MATCH(AB$5&amp;"",'Oxford Economics'!$A$6:$AZ$6,0))),'Oxford Economics'!$A$7:$A$1000,$C49,'Oxford Economics'!$B$7:$B$1000,Settings!$B$12)-SUMIFS(INDEX('Oxford Economics'!$A$7:$AZ$1000,0,IFERROR(MATCH(AB$5,'Oxford Economics'!$A$6:$AZ$6,0),MATCH(AB$5&amp;"",'Oxford Economics'!$A$6:$AZ$6,0))),'Oxford Economics'!$A$7:$A$1000,$C49,'Oxford Economics'!$B$7:$B$1000,Settings!$B$14),SUMIFS(INDEX('Oxford Economics'!$A$7:$AZ$1000,0,IFERROR(MATCH(AB$5,'Oxford Economics'!$A$6:$AZ$6,0),MATCH(AB$5&amp;"",'Oxford Economics'!$A$6:$AZ$6,0))),'Oxford Economics'!$A$7:$A$1000,$C49,'Oxford Economics'!$B$7:$B$1000,Settings!$B$14)+SUMIFS(INDEX('Oxford Economics'!$A$7:$AZ$1000,0,IFERROR(MATCH(AB$5,'Oxford Economics'!$A$6:$AZ$6,0),MATCH(AB$5&amp;"",'Oxford Economics'!$A$6:$AZ$6,0))),'Oxford Economics'!$A$7:$A$1000,$C49,'Oxford Economics'!$B$7:$B$1000,Settings!$B$16)+IF(Settings!$B$18="",0,SUMIFS(INDEX('Oxford Economics'!$A$7:$AZ$1000,0,IFERROR(MATCH(AB$5,'Oxford Economics'!$A$6:$AZ$6,0),MATCH(AB$5&amp;"",'Oxford Economics'!$A$6:$AZ$6,0))),'Oxford Economics'!$A$7:$A$1000,$C49,'Oxford Economics'!$B$7:$B$1000,Settings!$B$18)))),""))</f>
        <v>2844.51</v>
      </c>
      <c r="AC49" s="38" t="n">
        <f aca="false">IF($A49="","",IFERROR(1/(1/IF($B49="Residential",SUMIFS(INDEX('Oxford Economics'!$A$7:$AZ$1000,0,IFERROR(MATCH(AC$5,'Oxford Economics'!$A$6:$AZ$6,0),MATCH(AC$5&amp;"",'Oxford Economics'!$A$6:$AZ$6,0))),'Oxford Economics'!$A$7:$A$1000,$C49,'Oxford Economics'!$B$7:$B$1000,Settings!$B$12)-SUMIFS(INDEX('Oxford Economics'!$A$7:$AZ$1000,0,IFERROR(MATCH(AC$5,'Oxford Economics'!$A$6:$AZ$6,0),MATCH(AC$5&amp;"",'Oxford Economics'!$A$6:$AZ$6,0))),'Oxford Economics'!$A$7:$A$1000,$C49,'Oxford Economics'!$B$7:$B$1000,Settings!$B$14),SUMIFS(INDEX('Oxford Economics'!$A$7:$AZ$1000,0,IFERROR(MATCH(AC$5,'Oxford Economics'!$A$6:$AZ$6,0),MATCH(AC$5&amp;"",'Oxford Economics'!$A$6:$AZ$6,0))),'Oxford Economics'!$A$7:$A$1000,$C49,'Oxford Economics'!$B$7:$B$1000,Settings!$B$14)+SUMIFS(INDEX('Oxford Economics'!$A$7:$AZ$1000,0,IFERROR(MATCH(AC$5,'Oxford Economics'!$A$6:$AZ$6,0),MATCH(AC$5&amp;"",'Oxford Economics'!$A$6:$AZ$6,0))),'Oxford Economics'!$A$7:$A$1000,$C49,'Oxford Economics'!$B$7:$B$1000,Settings!$B$16)+IF(Settings!$B$18="",0,SUMIFS(INDEX('Oxford Economics'!$A$7:$AZ$1000,0,IFERROR(MATCH(AC$5,'Oxford Economics'!$A$6:$AZ$6,0),MATCH(AC$5&amp;"",'Oxford Economics'!$A$6:$AZ$6,0))),'Oxford Economics'!$A$7:$A$1000,$C49,'Oxford Economics'!$B$7:$B$1000,Settings!$B$18)))),""))</f>
        <v>3106.41</v>
      </c>
      <c r="AD49" s="38" t="n">
        <f aca="false">IF($A49="","",IFERROR(1/(1/IF($B49="Residential",SUMIFS(INDEX('Oxford Economics'!$A$7:$AZ$1000,0,IFERROR(MATCH(AD$5,'Oxford Economics'!$A$6:$AZ$6,0),MATCH(AD$5&amp;"",'Oxford Economics'!$A$6:$AZ$6,0))),'Oxford Economics'!$A$7:$A$1000,$C49,'Oxford Economics'!$B$7:$B$1000,Settings!$B$12)-SUMIFS(INDEX('Oxford Economics'!$A$7:$AZ$1000,0,IFERROR(MATCH(AD$5,'Oxford Economics'!$A$6:$AZ$6,0),MATCH(AD$5&amp;"",'Oxford Economics'!$A$6:$AZ$6,0))),'Oxford Economics'!$A$7:$A$1000,$C49,'Oxford Economics'!$B$7:$B$1000,Settings!$B$14),SUMIFS(INDEX('Oxford Economics'!$A$7:$AZ$1000,0,IFERROR(MATCH(AD$5,'Oxford Economics'!$A$6:$AZ$6,0),MATCH(AD$5&amp;"",'Oxford Economics'!$A$6:$AZ$6,0))),'Oxford Economics'!$A$7:$A$1000,$C49,'Oxford Economics'!$B$7:$B$1000,Settings!$B$14)+SUMIFS(INDEX('Oxford Economics'!$A$7:$AZ$1000,0,IFERROR(MATCH(AD$5,'Oxford Economics'!$A$6:$AZ$6,0),MATCH(AD$5&amp;"",'Oxford Economics'!$A$6:$AZ$6,0))),'Oxford Economics'!$A$7:$A$1000,$C49,'Oxford Economics'!$B$7:$B$1000,Settings!$B$16)+IF(Settings!$B$18="",0,SUMIFS(INDEX('Oxford Economics'!$A$7:$AZ$1000,0,IFERROR(MATCH(AD$5,'Oxford Economics'!$A$6:$AZ$6,0),MATCH(AD$5&amp;"",'Oxford Economics'!$A$6:$AZ$6,0))),'Oxford Economics'!$A$7:$A$1000,$C49,'Oxford Economics'!$B$7:$B$1000,Settings!$B$18)))),""))</f>
        <v>2899.72</v>
      </c>
      <c r="AE49" s="38" t="n">
        <f aca="false">IF($A49="","",IFERROR(1/(1/IF($B49="Residential",SUMIFS(INDEX('Oxford Economics'!$A$7:$AZ$1000,0,IFERROR(MATCH(AE$5,'Oxford Economics'!$A$6:$AZ$6,0),MATCH(AE$5&amp;"",'Oxford Economics'!$A$6:$AZ$6,0))),'Oxford Economics'!$A$7:$A$1000,$C49,'Oxford Economics'!$B$7:$B$1000,Settings!$B$12)-SUMIFS(INDEX('Oxford Economics'!$A$7:$AZ$1000,0,IFERROR(MATCH(AE$5,'Oxford Economics'!$A$6:$AZ$6,0),MATCH(AE$5&amp;"",'Oxford Economics'!$A$6:$AZ$6,0))),'Oxford Economics'!$A$7:$A$1000,$C49,'Oxford Economics'!$B$7:$B$1000,Settings!$B$14),SUMIFS(INDEX('Oxford Economics'!$A$7:$AZ$1000,0,IFERROR(MATCH(AE$5,'Oxford Economics'!$A$6:$AZ$6,0),MATCH(AE$5&amp;"",'Oxford Economics'!$A$6:$AZ$6,0))),'Oxford Economics'!$A$7:$A$1000,$C49,'Oxford Economics'!$B$7:$B$1000,Settings!$B$14)+SUMIFS(INDEX('Oxford Economics'!$A$7:$AZ$1000,0,IFERROR(MATCH(AE$5,'Oxford Economics'!$A$6:$AZ$6,0),MATCH(AE$5&amp;"",'Oxford Economics'!$A$6:$AZ$6,0))),'Oxford Economics'!$A$7:$A$1000,$C49,'Oxford Economics'!$B$7:$B$1000,Settings!$B$16)+IF(Settings!$B$18="",0,SUMIFS(INDEX('Oxford Economics'!$A$7:$AZ$1000,0,IFERROR(MATCH(AE$5,'Oxford Economics'!$A$6:$AZ$6,0),MATCH(AE$5&amp;"",'Oxford Economics'!$A$6:$AZ$6,0))),'Oxford Economics'!$A$7:$A$1000,$C49,'Oxford Economics'!$B$7:$B$1000,Settings!$B$18)))),""))</f>
        <v>2099.46</v>
      </c>
      <c r="AF49" s="38" t="n">
        <f aca="false">IF($A49="","",IFERROR(1/(1/IF($B49="Residential",SUMIFS(INDEX('Oxford Economics'!$A$7:$AZ$1000,0,IFERROR(MATCH(AF$5,'Oxford Economics'!$A$6:$AZ$6,0),MATCH(AF$5&amp;"",'Oxford Economics'!$A$6:$AZ$6,0))),'Oxford Economics'!$A$7:$A$1000,$C49,'Oxford Economics'!$B$7:$B$1000,Settings!$B$12)-SUMIFS(INDEX('Oxford Economics'!$A$7:$AZ$1000,0,IFERROR(MATCH(AF$5,'Oxford Economics'!$A$6:$AZ$6,0),MATCH(AF$5&amp;"",'Oxford Economics'!$A$6:$AZ$6,0))),'Oxford Economics'!$A$7:$A$1000,$C49,'Oxford Economics'!$B$7:$B$1000,Settings!$B$14),SUMIFS(INDEX('Oxford Economics'!$A$7:$AZ$1000,0,IFERROR(MATCH(AF$5,'Oxford Economics'!$A$6:$AZ$6,0),MATCH(AF$5&amp;"",'Oxford Economics'!$A$6:$AZ$6,0))),'Oxford Economics'!$A$7:$A$1000,$C49,'Oxford Economics'!$B$7:$B$1000,Settings!$B$14)+SUMIFS(INDEX('Oxford Economics'!$A$7:$AZ$1000,0,IFERROR(MATCH(AF$5,'Oxford Economics'!$A$6:$AZ$6,0),MATCH(AF$5&amp;"",'Oxford Economics'!$A$6:$AZ$6,0))),'Oxford Economics'!$A$7:$A$1000,$C49,'Oxford Economics'!$B$7:$B$1000,Settings!$B$16)+IF(Settings!$B$18="",0,SUMIFS(INDEX('Oxford Economics'!$A$7:$AZ$1000,0,IFERROR(MATCH(AF$5,'Oxford Economics'!$A$6:$AZ$6,0),MATCH(AF$5&amp;"",'Oxford Economics'!$A$6:$AZ$6,0))),'Oxford Economics'!$A$7:$A$1000,$C49,'Oxford Economics'!$B$7:$B$1000,Settings!$B$18)))),""))</f>
        <v>2154.29</v>
      </c>
      <c r="AG49" s="38" t="n">
        <f aca="false">IF($A49="","",IFERROR(1/(1/IF($B49="Residential",SUMIFS(INDEX('Oxford Economics'!$A$7:$AZ$1000,0,IFERROR(MATCH(AG$5,'Oxford Economics'!$A$6:$AZ$6,0),MATCH(AG$5&amp;"",'Oxford Economics'!$A$6:$AZ$6,0))),'Oxford Economics'!$A$7:$A$1000,$C49,'Oxford Economics'!$B$7:$B$1000,Settings!$B$12)-SUMIFS(INDEX('Oxford Economics'!$A$7:$AZ$1000,0,IFERROR(MATCH(AG$5,'Oxford Economics'!$A$6:$AZ$6,0),MATCH(AG$5&amp;"",'Oxford Economics'!$A$6:$AZ$6,0))),'Oxford Economics'!$A$7:$A$1000,$C49,'Oxford Economics'!$B$7:$B$1000,Settings!$B$14),SUMIFS(INDEX('Oxford Economics'!$A$7:$AZ$1000,0,IFERROR(MATCH(AG$5,'Oxford Economics'!$A$6:$AZ$6,0),MATCH(AG$5&amp;"",'Oxford Economics'!$A$6:$AZ$6,0))),'Oxford Economics'!$A$7:$A$1000,$C49,'Oxford Economics'!$B$7:$B$1000,Settings!$B$14)+SUMIFS(INDEX('Oxford Economics'!$A$7:$AZ$1000,0,IFERROR(MATCH(AG$5,'Oxford Economics'!$A$6:$AZ$6,0),MATCH(AG$5&amp;"",'Oxford Economics'!$A$6:$AZ$6,0))),'Oxford Economics'!$A$7:$A$1000,$C49,'Oxford Economics'!$B$7:$B$1000,Settings!$B$16)+IF(Settings!$B$18="",0,SUMIFS(INDEX('Oxford Economics'!$A$7:$AZ$1000,0,IFERROR(MATCH(AG$5,'Oxford Economics'!$A$6:$AZ$6,0),MATCH(AG$5&amp;"",'Oxford Economics'!$A$6:$AZ$6,0))),'Oxford Economics'!$A$7:$A$1000,$C49,'Oxford Economics'!$B$7:$B$1000,Settings!$B$18)))),""))</f>
        <v>2206.07</v>
      </c>
      <c r="AH49" s="38" t="n">
        <f aca="false">IF($A49="","",IFERROR(1/(1/IF($B49="Residential",SUMIFS(INDEX('Oxford Economics'!$A$7:$AZ$1000,0,IFERROR(MATCH(AH$5,'Oxford Economics'!$A$6:$AZ$6,0),MATCH(AH$5&amp;"",'Oxford Economics'!$A$6:$AZ$6,0))),'Oxford Economics'!$A$7:$A$1000,$C49,'Oxford Economics'!$B$7:$B$1000,Settings!$B$12)-SUMIFS(INDEX('Oxford Economics'!$A$7:$AZ$1000,0,IFERROR(MATCH(AH$5,'Oxford Economics'!$A$6:$AZ$6,0),MATCH(AH$5&amp;"",'Oxford Economics'!$A$6:$AZ$6,0))),'Oxford Economics'!$A$7:$A$1000,$C49,'Oxford Economics'!$B$7:$B$1000,Settings!$B$14),SUMIFS(INDEX('Oxford Economics'!$A$7:$AZ$1000,0,IFERROR(MATCH(AH$5,'Oxford Economics'!$A$6:$AZ$6,0),MATCH(AH$5&amp;"",'Oxford Economics'!$A$6:$AZ$6,0))),'Oxford Economics'!$A$7:$A$1000,$C49,'Oxford Economics'!$B$7:$B$1000,Settings!$B$14)+SUMIFS(INDEX('Oxford Economics'!$A$7:$AZ$1000,0,IFERROR(MATCH(AH$5,'Oxford Economics'!$A$6:$AZ$6,0),MATCH(AH$5&amp;"",'Oxford Economics'!$A$6:$AZ$6,0))),'Oxford Economics'!$A$7:$A$1000,$C49,'Oxford Economics'!$B$7:$B$1000,Settings!$B$16)+IF(Settings!$B$18="",0,SUMIFS(INDEX('Oxford Economics'!$A$7:$AZ$1000,0,IFERROR(MATCH(AH$5,'Oxford Economics'!$A$6:$AZ$6,0),MATCH(AH$5&amp;"",'Oxford Economics'!$A$6:$AZ$6,0))),'Oxford Economics'!$A$7:$A$1000,$C49,'Oxford Economics'!$B$7:$B$1000,Settings!$B$18)))),""))</f>
        <v>2065.48</v>
      </c>
      <c r="AI49" s="38" t="n">
        <f aca="false">IF($A49="","",IFERROR(1/(1/IF($B49="Residential",SUMIFS(INDEX('Oxford Economics'!$A$7:$AZ$1000,0,IFERROR(MATCH(AI$5,'Oxford Economics'!$A$6:$AZ$6,0),MATCH(AI$5&amp;"",'Oxford Economics'!$A$6:$AZ$6,0))),'Oxford Economics'!$A$7:$A$1000,$C49,'Oxford Economics'!$B$7:$B$1000,Settings!$B$12)-SUMIFS(INDEX('Oxford Economics'!$A$7:$AZ$1000,0,IFERROR(MATCH(AI$5,'Oxford Economics'!$A$6:$AZ$6,0),MATCH(AI$5&amp;"",'Oxford Economics'!$A$6:$AZ$6,0))),'Oxford Economics'!$A$7:$A$1000,$C49,'Oxford Economics'!$B$7:$B$1000,Settings!$B$14),SUMIFS(INDEX('Oxford Economics'!$A$7:$AZ$1000,0,IFERROR(MATCH(AI$5,'Oxford Economics'!$A$6:$AZ$6,0),MATCH(AI$5&amp;"",'Oxford Economics'!$A$6:$AZ$6,0))),'Oxford Economics'!$A$7:$A$1000,$C49,'Oxford Economics'!$B$7:$B$1000,Settings!$B$14)+SUMIFS(INDEX('Oxford Economics'!$A$7:$AZ$1000,0,IFERROR(MATCH(AI$5,'Oxford Economics'!$A$6:$AZ$6,0),MATCH(AI$5&amp;"",'Oxford Economics'!$A$6:$AZ$6,0))),'Oxford Economics'!$A$7:$A$1000,$C49,'Oxford Economics'!$B$7:$B$1000,Settings!$B$16)+IF(Settings!$B$18="",0,SUMIFS(INDEX('Oxford Economics'!$A$7:$AZ$1000,0,IFERROR(MATCH(AI$5,'Oxford Economics'!$A$6:$AZ$6,0),MATCH(AI$5&amp;"",'Oxford Economics'!$A$6:$AZ$6,0))),'Oxford Economics'!$A$7:$A$1000,$C49,'Oxford Economics'!$B$7:$B$1000,Settings!$B$18)))),""))</f>
        <v>1837.66</v>
      </c>
      <c r="AJ49" s="38" t="n">
        <f aca="false">IF($A49="","",IFERROR(1/(1/IF($B49="Residential",SUMIFS(INDEX('Oxford Economics'!$A$7:$AZ$1000,0,IFERROR(MATCH(AJ$5,'Oxford Economics'!$A$6:$AZ$6,0),MATCH(AJ$5&amp;"",'Oxford Economics'!$A$6:$AZ$6,0))),'Oxford Economics'!$A$7:$A$1000,$C49,'Oxford Economics'!$B$7:$B$1000,Settings!$B$12)-SUMIFS(INDEX('Oxford Economics'!$A$7:$AZ$1000,0,IFERROR(MATCH(AJ$5,'Oxford Economics'!$A$6:$AZ$6,0),MATCH(AJ$5&amp;"",'Oxford Economics'!$A$6:$AZ$6,0))),'Oxford Economics'!$A$7:$A$1000,$C49,'Oxford Economics'!$B$7:$B$1000,Settings!$B$14),SUMIFS(INDEX('Oxford Economics'!$A$7:$AZ$1000,0,IFERROR(MATCH(AJ$5,'Oxford Economics'!$A$6:$AZ$6,0),MATCH(AJ$5&amp;"",'Oxford Economics'!$A$6:$AZ$6,0))),'Oxford Economics'!$A$7:$A$1000,$C49,'Oxford Economics'!$B$7:$B$1000,Settings!$B$14)+SUMIFS(INDEX('Oxford Economics'!$A$7:$AZ$1000,0,IFERROR(MATCH(AJ$5,'Oxford Economics'!$A$6:$AZ$6,0),MATCH(AJ$5&amp;"",'Oxford Economics'!$A$6:$AZ$6,0))),'Oxford Economics'!$A$7:$A$1000,$C49,'Oxford Economics'!$B$7:$B$1000,Settings!$B$16)+IF(Settings!$B$18="",0,SUMIFS(INDEX('Oxford Economics'!$A$7:$AZ$1000,0,IFERROR(MATCH(AJ$5,'Oxford Economics'!$A$6:$AZ$6,0),MATCH(AJ$5&amp;"",'Oxford Economics'!$A$6:$AZ$6,0))),'Oxford Economics'!$A$7:$A$1000,$C49,'Oxford Economics'!$B$7:$B$1000,Settings!$B$18)))),""))</f>
        <v>1771.56</v>
      </c>
      <c r="AK49" s="38" t="n">
        <f aca="false">IF($A49="","",IFERROR(1/(1/IF($B49="Residential",SUMIFS(INDEX('Oxford Economics'!$A$7:$AZ$1000,0,IFERROR(MATCH(AK$5,'Oxford Economics'!$A$6:$AZ$6,0),MATCH(AK$5&amp;"",'Oxford Economics'!$A$6:$AZ$6,0))),'Oxford Economics'!$A$7:$A$1000,$C49,'Oxford Economics'!$B$7:$B$1000,Settings!$B$12)-SUMIFS(INDEX('Oxford Economics'!$A$7:$AZ$1000,0,IFERROR(MATCH(AK$5,'Oxford Economics'!$A$6:$AZ$6,0),MATCH(AK$5&amp;"",'Oxford Economics'!$A$6:$AZ$6,0))),'Oxford Economics'!$A$7:$A$1000,$C49,'Oxford Economics'!$B$7:$B$1000,Settings!$B$14),SUMIFS(INDEX('Oxford Economics'!$A$7:$AZ$1000,0,IFERROR(MATCH(AK$5,'Oxford Economics'!$A$6:$AZ$6,0),MATCH(AK$5&amp;"",'Oxford Economics'!$A$6:$AZ$6,0))),'Oxford Economics'!$A$7:$A$1000,$C49,'Oxford Economics'!$B$7:$B$1000,Settings!$B$14)+SUMIFS(INDEX('Oxford Economics'!$A$7:$AZ$1000,0,IFERROR(MATCH(AK$5,'Oxford Economics'!$A$6:$AZ$6,0),MATCH(AK$5&amp;"",'Oxford Economics'!$A$6:$AZ$6,0))),'Oxford Economics'!$A$7:$A$1000,$C49,'Oxford Economics'!$B$7:$B$1000,Settings!$B$16)+IF(Settings!$B$18="",0,SUMIFS(INDEX('Oxford Economics'!$A$7:$AZ$1000,0,IFERROR(MATCH(AK$5,'Oxford Economics'!$A$6:$AZ$6,0),MATCH(AK$5&amp;"",'Oxford Economics'!$A$6:$AZ$6,0))),'Oxford Economics'!$A$7:$A$1000,$C49,'Oxford Economics'!$B$7:$B$1000,Settings!$B$18)))),""))</f>
        <v>1755.21</v>
      </c>
      <c r="AL49" s="38" t="n">
        <f aca="false">IF($A49="","",IFERROR(1/(1/IF($B49="Residential",SUMIFS(INDEX('Oxford Economics'!$A$7:$AZ$1000,0,IFERROR(MATCH(AL$5,'Oxford Economics'!$A$6:$AZ$6,0),MATCH(AL$5&amp;"",'Oxford Economics'!$A$6:$AZ$6,0))),'Oxford Economics'!$A$7:$A$1000,$C49,'Oxford Economics'!$B$7:$B$1000,Settings!$B$12)-SUMIFS(INDEX('Oxford Economics'!$A$7:$AZ$1000,0,IFERROR(MATCH(AL$5,'Oxford Economics'!$A$6:$AZ$6,0),MATCH(AL$5&amp;"",'Oxford Economics'!$A$6:$AZ$6,0))),'Oxford Economics'!$A$7:$A$1000,$C49,'Oxford Economics'!$B$7:$B$1000,Settings!$B$14),SUMIFS(INDEX('Oxford Economics'!$A$7:$AZ$1000,0,IFERROR(MATCH(AL$5,'Oxford Economics'!$A$6:$AZ$6,0),MATCH(AL$5&amp;"",'Oxford Economics'!$A$6:$AZ$6,0))),'Oxford Economics'!$A$7:$A$1000,$C49,'Oxford Economics'!$B$7:$B$1000,Settings!$B$14)+SUMIFS(INDEX('Oxford Economics'!$A$7:$AZ$1000,0,IFERROR(MATCH(AL$5,'Oxford Economics'!$A$6:$AZ$6,0),MATCH(AL$5&amp;"",'Oxford Economics'!$A$6:$AZ$6,0))),'Oxford Economics'!$A$7:$A$1000,$C49,'Oxford Economics'!$B$7:$B$1000,Settings!$B$16)+IF(Settings!$B$18="",0,SUMIFS(INDEX('Oxford Economics'!$A$7:$AZ$1000,0,IFERROR(MATCH(AL$5,'Oxford Economics'!$A$6:$AZ$6,0),MATCH(AL$5&amp;"",'Oxford Economics'!$A$6:$AZ$6,0))),'Oxford Economics'!$A$7:$A$1000,$C49,'Oxford Economics'!$B$7:$B$1000,Settings!$B$18)))),""))</f>
        <v>1747.93</v>
      </c>
      <c r="AM49" s="38" t="n">
        <f aca="false">IF($A49="","",IFERROR(1/(1/IF($B49="Residential",SUMIFS(INDEX('Oxford Economics'!$A$7:$AZ$1000,0,IFERROR(MATCH(AM$5,'Oxford Economics'!$A$6:$AZ$6,0),MATCH(AM$5&amp;"",'Oxford Economics'!$A$6:$AZ$6,0))),'Oxford Economics'!$A$7:$A$1000,$C49,'Oxford Economics'!$B$7:$B$1000,Settings!$B$12)-SUMIFS(INDEX('Oxford Economics'!$A$7:$AZ$1000,0,IFERROR(MATCH(AM$5,'Oxford Economics'!$A$6:$AZ$6,0),MATCH(AM$5&amp;"",'Oxford Economics'!$A$6:$AZ$6,0))),'Oxford Economics'!$A$7:$A$1000,$C49,'Oxford Economics'!$B$7:$B$1000,Settings!$B$14),SUMIFS(INDEX('Oxford Economics'!$A$7:$AZ$1000,0,IFERROR(MATCH(AM$5,'Oxford Economics'!$A$6:$AZ$6,0),MATCH(AM$5&amp;"",'Oxford Economics'!$A$6:$AZ$6,0))),'Oxford Economics'!$A$7:$A$1000,$C49,'Oxford Economics'!$B$7:$B$1000,Settings!$B$14)+SUMIFS(INDEX('Oxford Economics'!$A$7:$AZ$1000,0,IFERROR(MATCH(AM$5,'Oxford Economics'!$A$6:$AZ$6,0),MATCH(AM$5&amp;"",'Oxford Economics'!$A$6:$AZ$6,0))),'Oxford Economics'!$A$7:$A$1000,$C49,'Oxford Economics'!$B$7:$B$1000,Settings!$B$16)+IF(Settings!$B$18="",0,SUMIFS(INDEX('Oxford Economics'!$A$7:$AZ$1000,0,IFERROR(MATCH(AM$5,'Oxford Economics'!$A$6:$AZ$6,0),MATCH(AM$5&amp;"",'Oxford Economics'!$A$6:$AZ$6,0))),'Oxford Economics'!$A$7:$A$1000,$C49,'Oxford Economics'!$B$7:$B$1000,Settings!$B$18)))),""))</f>
        <v>1747.38</v>
      </c>
    </row>
    <row r="50" customFormat="false" ht="15" hidden="false" customHeight="false" outlineLevel="0" collapsed="false">
      <c r="A50" s="37" t="str">
        <f aca="false">IF('Raw data'!$A50="","",'Raw data'!$A50)</f>
        <v>Denmark</v>
      </c>
      <c r="B50" s="37" t="str">
        <f aca="false">IF($A50="","",'Raw data'!$C50)</f>
        <v>Residential</v>
      </c>
      <c r="C50" s="37" t="str">
        <f aca="false">IF($A50="","",IF('Raw data'!$E50="",$A50,'Raw data'!$E50))</f>
        <v>Denmark</v>
      </c>
      <c r="D50" s="38" t="n">
        <f aca="false">IF($A50="","",IF(AND(ISNUMBER(P50),ISNUMBER(AB50)),P50+AB50,""))</f>
        <v>10258.15</v>
      </c>
      <c r="E50" s="38" t="n">
        <f aca="false">IF($A50="","",IF(AND(ISNUMBER(Q50),ISNUMBER(AC50)),Q50+AC50,""))</f>
        <v>11393.66</v>
      </c>
      <c r="F50" s="38" t="n">
        <f aca="false">IF($A50="","",IF(AND(ISNUMBER(R50),ISNUMBER(AD50)),R50+AD50,""))</f>
        <v>11091.08</v>
      </c>
      <c r="G50" s="38" t="n">
        <f aca="false">IF($A50="","",IF(AND(ISNUMBER(S50),ISNUMBER(AE50)),S50+AE50,""))</f>
        <v>10945.12</v>
      </c>
      <c r="H50" s="38" t="n">
        <f aca="false">IF($A50="","",IF(AND(ISNUMBER(T50),ISNUMBER(AF50)),T50+AF50,""))</f>
        <v>12310.5</v>
      </c>
      <c r="I50" s="38" t="n">
        <f aca="false">IF($A50="","",IF(AND(ISNUMBER(U50),ISNUMBER(AG50)),U50+AG50,""))</f>
        <v>12045.18</v>
      </c>
      <c r="J50" s="38" t="n">
        <f aca="false">IF($A50="","",IF(AND(ISNUMBER(V50),ISNUMBER(AH50)),V50+AH50,""))</f>
        <v>11406.58</v>
      </c>
      <c r="K50" s="38" t="n">
        <f aca="false">IF($A50="","",IF(AND(ISNUMBER(W50),ISNUMBER(AI50)),W50+AI50,""))</f>
        <v>11757.35</v>
      </c>
      <c r="L50" s="38" t="n">
        <f aca="false">IF($A50="","",IF(AND(ISNUMBER(X50),ISNUMBER(AJ50)),X50+AJ50,""))</f>
        <v>12016.43</v>
      </c>
      <c r="M50" s="38" t="n">
        <f aca="false">IF($A50="","",IF(AND(ISNUMBER(Y50),ISNUMBER(AK50)),Y50+AK50,""))</f>
        <v>12239.31</v>
      </c>
      <c r="N50" s="38" t="n">
        <f aca="false">IF($A50="","",IF(AND(ISNUMBER(Z50),ISNUMBER(AL50)),Z50+AL50,""))</f>
        <v>12388.16</v>
      </c>
      <c r="O50" s="38" t="n">
        <f aca="false">IF($A50="","",IF(AND(ISNUMBER(AA50),ISNUMBER(AM50)),AA50+AM50,""))</f>
        <v>12480.02</v>
      </c>
      <c r="P50" s="38" t="n">
        <f aca="false">IF($A50="","",IFERROR(1/(1/IF($B50="Residential",SUMIFS(INDEX('Oxford Economics'!$A$7:$AZ$1000,0,IFERROR(MATCH(P$5,'Oxford Economics'!$A$6:$AZ$6,0),MATCH(P$5&amp;"",'Oxford Economics'!$A$6:$AZ$6,0))),'Oxford Economics'!$A$7:$A$1000,$C50,'Oxford Economics'!$B$7:$B$1000,Settings!$B$13)-SUMIFS(INDEX('Oxford Economics'!$A$7:$AZ$1000,0,IFERROR(MATCH(P$5,'Oxford Economics'!$A$6:$AZ$6,0),MATCH(P$5&amp;"",'Oxford Economics'!$A$6:$AZ$6,0))),'Oxford Economics'!$A$7:$A$1000,$C50,'Oxford Economics'!$B$7:$B$1000,Settings!$B$15),SUMIFS(INDEX('Oxford Economics'!$A$7:$AZ$1000,0,IFERROR(MATCH(P$5,'Oxford Economics'!$A$6:$AZ$6,0),MATCH(P$5&amp;"",'Oxford Economics'!$A$6:$AZ$6,0))),'Oxford Economics'!$A$7:$A$1000,$C50,'Oxford Economics'!$B$7:$B$1000,Settings!$B$15)+SUMIFS(INDEX('Oxford Economics'!$A$7:$AZ$1000,0,IFERROR(MATCH(P$5,'Oxford Economics'!$A$6:$AZ$6,0),MATCH(P$5&amp;"",'Oxford Economics'!$A$6:$AZ$6,0))),'Oxford Economics'!$A$7:$A$1000,$C50,'Oxford Economics'!$B$7:$B$1000,Settings!$B$17)+IF(Settings!$B$19="",0,SUMIFS(INDEX('Oxford Economics'!$A$7:$AZ$1000,0,IFERROR(MATCH(P$5,'Oxford Economics'!$A$6:$AZ$6,0),MATCH(P$5&amp;"",'Oxford Economics'!$A$6:$AZ$6,0))),'Oxford Economics'!$A$7:$A$1000,$C50,'Oxford Economics'!$B$7:$B$1000,Settings!$B$19)))),""))</f>
        <v>7413.64</v>
      </c>
      <c r="Q50" s="38" t="n">
        <f aca="false">IF($A50="","",IFERROR(1/(1/IF($B50="Residential",SUMIFS(INDEX('Oxford Economics'!$A$7:$AZ$1000,0,IFERROR(MATCH(Q$5,'Oxford Economics'!$A$6:$AZ$6,0),MATCH(Q$5&amp;"",'Oxford Economics'!$A$6:$AZ$6,0))),'Oxford Economics'!$A$7:$A$1000,$C50,'Oxford Economics'!$B$7:$B$1000,Settings!$B$13)-SUMIFS(INDEX('Oxford Economics'!$A$7:$AZ$1000,0,IFERROR(MATCH(Q$5,'Oxford Economics'!$A$6:$AZ$6,0),MATCH(Q$5&amp;"",'Oxford Economics'!$A$6:$AZ$6,0))),'Oxford Economics'!$A$7:$A$1000,$C50,'Oxford Economics'!$B$7:$B$1000,Settings!$B$15),SUMIFS(INDEX('Oxford Economics'!$A$7:$AZ$1000,0,IFERROR(MATCH(Q$5,'Oxford Economics'!$A$6:$AZ$6,0),MATCH(Q$5&amp;"",'Oxford Economics'!$A$6:$AZ$6,0))),'Oxford Economics'!$A$7:$A$1000,$C50,'Oxford Economics'!$B$7:$B$1000,Settings!$B$15)+SUMIFS(INDEX('Oxford Economics'!$A$7:$AZ$1000,0,IFERROR(MATCH(Q$5,'Oxford Economics'!$A$6:$AZ$6,0),MATCH(Q$5&amp;"",'Oxford Economics'!$A$6:$AZ$6,0))),'Oxford Economics'!$A$7:$A$1000,$C50,'Oxford Economics'!$B$7:$B$1000,Settings!$B$17)+IF(Settings!$B$19="",0,SUMIFS(INDEX('Oxford Economics'!$A$7:$AZ$1000,0,IFERROR(MATCH(Q$5,'Oxford Economics'!$A$6:$AZ$6,0),MATCH(Q$5&amp;"",'Oxford Economics'!$A$6:$AZ$6,0))),'Oxford Economics'!$A$7:$A$1000,$C50,'Oxford Economics'!$B$7:$B$1000,Settings!$B$19)))),""))</f>
        <v>8287.25</v>
      </c>
      <c r="R50" s="38" t="n">
        <f aca="false">IF($A50="","",IFERROR(1/(1/IF($B50="Residential",SUMIFS(INDEX('Oxford Economics'!$A$7:$AZ$1000,0,IFERROR(MATCH(R$5,'Oxford Economics'!$A$6:$AZ$6,0),MATCH(R$5&amp;"",'Oxford Economics'!$A$6:$AZ$6,0))),'Oxford Economics'!$A$7:$A$1000,$C50,'Oxford Economics'!$B$7:$B$1000,Settings!$B$13)-SUMIFS(INDEX('Oxford Economics'!$A$7:$AZ$1000,0,IFERROR(MATCH(R$5,'Oxford Economics'!$A$6:$AZ$6,0),MATCH(R$5&amp;"",'Oxford Economics'!$A$6:$AZ$6,0))),'Oxford Economics'!$A$7:$A$1000,$C50,'Oxford Economics'!$B$7:$B$1000,Settings!$B$15),SUMIFS(INDEX('Oxford Economics'!$A$7:$AZ$1000,0,IFERROR(MATCH(R$5,'Oxford Economics'!$A$6:$AZ$6,0),MATCH(R$5&amp;"",'Oxford Economics'!$A$6:$AZ$6,0))),'Oxford Economics'!$A$7:$A$1000,$C50,'Oxford Economics'!$B$7:$B$1000,Settings!$B$15)+SUMIFS(INDEX('Oxford Economics'!$A$7:$AZ$1000,0,IFERROR(MATCH(R$5,'Oxford Economics'!$A$6:$AZ$6,0),MATCH(R$5&amp;"",'Oxford Economics'!$A$6:$AZ$6,0))),'Oxford Economics'!$A$7:$A$1000,$C50,'Oxford Economics'!$B$7:$B$1000,Settings!$B$17)+IF(Settings!$B$19="",0,SUMIFS(INDEX('Oxford Economics'!$A$7:$AZ$1000,0,IFERROR(MATCH(R$5,'Oxford Economics'!$A$6:$AZ$6,0),MATCH(R$5&amp;"",'Oxford Economics'!$A$6:$AZ$6,0))),'Oxford Economics'!$A$7:$A$1000,$C50,'Oxford Economics'!$B$7:$B$1000,Settings!$B$19)))),""))</f>
        <v>8191.36</v>
      </c>
      <c r="S50" s="38" t="n">
        <f aca="false">IF($A50="","",IFERROR(1/(1/IF($B50="Residential",SUMIFS(INDEX('Oxford Economics'!$A$7:$AZ$1000,0,IFERROR(MATCH(S$5,'Oxford Economics'!$A$6:$AZ$6,0),MATCH(S$5&amp;"",'Oxford Economics'!$A$6:$AZ$6,0))),'Oxford Economics'!$A$7:$A$1000,$C50,'Oxford Economics'!$B$7:$B$1000,Settings!$B$13)-SUMIFS(INDEX('Oxford Economics'!$A$7:$AZ$1000,0,IFERROR(MATCH(S$5,'Oxford Economics'!$A$6:$AZ$6,0),MATCH(S$5&amp;"",'Oxford Economics'!$A$6:$AZ$6,0))),'Oxford Economics'!$A$7:$A$1000,$C50,'Oxford Economics'!$B$7:$B$1000,Settings!$B$15),SUMIFS(INDEX('Oxford Economics'!$A$7:$AZ$1000,0,IFERROR(MATCH(S$5,'Oxford Economics'!$A$6:$AZ$6,0),MATCH(S$5&amp;"",'Oxford Economics'!$A$6:$AZ$6,0))),'Oxford Economics'!$A$7:$A$1000,$C50,'Oxford Economics'!$B$7:$B$1000,Settings!$B$15)+SUMIFS(INDEX('Oxford Economics'!$A$7:$AZ$1000,0,IFERROR(MATCH(S$5,'Oxford Economics'!$A$6:$AZ$6,0),MATCH(S$5&amp;"",'Oxford Economics'!$A$6:$AZ$6,0))),'Oxford Economics'!$A$7:$A$1000,$C50,'Oxford Economics'!$B$7:$B$1000,Settings!$B$17)+IF(Settings!$B$19="",0,SUMIFS(INDEX('Oxford Economics'!$A$7:$AZ$1000,0,IFERROR(MATCH(S$5,'Oxford Economics'!$A$6:$AZ$6,0),MATCH(S$5&amp;"",'Oxford Economics'!$A$6:$AZ$6,0))),'Oxford Economics'!$A$7:$A$1000,$C50,'Oxford Economics'!$B$7:$B$1000,Settings!$B$19)))),""))</f>
        <v>8845.66</v>
      </c>
      <c r="T50" s="38" t="n">
        <f aca="false">IF($A50="","",IFERROR(1/(1/IF($B50="Residential",SUMIFS(INDEX('Oxford Economics'!$A$7:$AZ$1000,0,IFERROR(MATCH(T$5,'Oxford Economics'!$A$6:$AZ$6,0),MATCH(T$5&amp;"",'Oxford Economics'!$A$6:$AZ$6,0))),'Oxford Economics'!$A$7:$A$1000,$C50,'Oxford Economics'!$B$7:$B$1000,Settings!$B$13)-SUMIFS(INDEX('Oxford Economics'!$A$7:$AZ$1000,0,IFERROR(MATCH(T$5,'Oxford Economics'!$A$6:$AZ$6,0),MATCH(T$5&amp;"",'Oxford Economics'!$A$6:$AZ$6,0))),'Oxford Economics'!$A$7:$A$1000,$C50,'Oxford Economics'!$B$7:$B$1000,Settings!$B$15),SUMIFS(INDEX('Oxford Economics'!$A$7:$AZ$1000,0,IFERROR(MATCH(T$5,'Oxford Economics'!$A$6:$AZ$6,0),MATCH(T$5&amp;"",'Oxford Economics'!$A$6:$AZ$6,0))),'Oxford Economics'!$A$7:$A$1000,$C50,'Oxford Economics'!$B$7:$B$1000,Settings!$B$15)+SUMIFS(INDEX('Oxford Economics'!$A$7:$AZ$1000,0,IFERROR(MATCH(T$5,'Oxford Economics'!$A$6:$AZ$6,0),MATCH(T$5&amp;"",'Oxford Economics'!$A$6:$AZ$6,0))),'Oxford Economics'!$A$7:$A$1000,$C50,'Oxford Economics'!$B$7:$B$1000,Settings!$B$17)+IF(Settings!$B$19="",0,SUMIFS(INDEX('Oxford Economics'!$A$7:$AZ$1000,0,IFERROR(MATCH(T$5,'Oxford Economics'!$A$6:$AZ$6,0),MATCH(T$5&amp;"",'Oxford Economics'!$A$6:$AZ$6,0))),'Oxford Economics'!$A$7:$A$1000,$C50,'Oxford Economics'!$B$7:$B$1000,Settings!$B$19)))),""))</f>
        <v>10156.21</v>
      </c>
      <c r="U50" s="38" t="n">
        <f aca="false">IF($A50="","",IFERROR(1/(1/IF($B50="Residential",SUMIFS(INDEX('Oxford Economics'!$A$7:$AZ$1000,0,IFERROR(MATCH(U$5,'Oxford Economics'!$A$6:$AZ$6,0),MATCH(U$5&amp;"",'Oxford Economics'!$A$6:$AZ$6,0))),'Oxford Economics'!$A$7:$A$1000,$C50,'Oxford Economics'!$B$7:$B$1000,Settings!$B$13)-SUMIFS(INDEX('Oxford Economics'!$A$7:$AZ$1000,0,IFERROR(MATCH(U$5,'Oxford Economics'!$A$6:$AZ$6,0),MATCH(U$5&amp;"",'Oxford Economics'!$A$6:$AZ$6,0))),'Oxford Economics'!$A$7:$A$1000,$C50,'Oxford Economics'!$B$7:$B$1000,Settings!$B$15),SUMIFS(INDEX('Oxford Economics'!$A$7:$AZ$1000,0,IFERROR(MATCH(U$5,'Oxford Economics'!$A$6:$AZ$6,0),MATCH(U$5&amp;"",'Oxford Economics'!$A$6:$AZ$6,0))),'Oxford Economics'!$A$7:$A$1000,$C50,'Oxford Economics'!$B$7:$B$1000,Settings!$B$15)+SUMIFS(INDEX('Oxford Economics'!$A$7:$AZ$1000,0,IFERROR(MATCH(U$5,'Oxford Economics'!$A$6:$AZ$6,0),MATCH(U$5&amp;"",'Oxford Economics'!$A$6:$AZ$6,0))),'Oxford Economics'!$A$7:$A$1000,$C50,'Oxford Economics'!$B$7:$B$1000,Settings!$B$17)+IF(Settings!$B$19="",0,SUMIFS(INDEX('Oxford Economics'!$A$7:$AZ$1000,0,IFERROR(MATCH(U$5,'Oxford Economics'!$A$6:$AZ$6,0),MATCH(U$5&amp;"",'Oxford Economics'!$A$6:$AZ$6,0))),'Oxford Economics'!$A$7:$A$1000,$C50,'Oxford Economics'!$B$7:$B$1000,Settings!$B$19)))),""))</f>
        <v>9839.11</v>
      </c>
      <c r="V50" s="38" t="n">
        <f aca="false">IF($A50="","",IFERROR(1/(1/IF($B50="Residential",SUMIFS(INDEX('Oxford Economics'!$A$7:$AZ$1000,0,IFERROR(MATCH(V$5,'Oxford Economics'!$A$6:$AZ$6,0),MATCH(V$5&amp;"",'Oxford Economics'!$A$6:$AZ$6,0))),'Oxford Economics'!$A$7:$A$1000,$C50,'Oxford Economics'!$B$7:$B$1000,Settings!$B$13)-SUMIFS(INDEX('Oxford Economics'!$A$7:$AZ$1000,0,IFERROR(MATCH(V$5,'Oxford Economics'!$A$6:$AZ$6,0),MATCH(V$5&amp;"",'Oxford Economics'!$A$6:$AZ$6,0))),'Oxford Economics'!$A$7:$A$1000,$C50,'Oxford Economics'!$B$7:$B$1000,Settings!$B$15),SUMIFS(INDEX('Oxford Economics'!$A$7:$AZ$1000,0,IFERROR(MATCH(V$5,'Oxford Economics'!$A$6:$AZ$6,0),MATCH(V$5&amp;"",'Oxford Economics'!$A$6:$AZ$6,0))),'Oxford Economics'!$A$7:$A$1000,$C50,'Oxford Economics'!$B$7:$B$1000,Settings!$B$15)+SUMIFS(INDEX('Oxford Economics'!$A$7:$AZ$1000,0,IFERROR(MATCH(V$5,'Oxford Economics'!$A$6:$AZ$6,0),MATCH(V$5&amp;"",'Oxford Economics'!$A$6:$AZ$6,0))),'Oxford Economics'!$A$7:$A$1000,$C50,'Oxford Economics'!$B$7:$B$1000,Settings!$B$17)+IF(Settings!$B$19="",0,SUMIFS(INDEX('Oxford Economics'!$A$7:$AZ$1000,0,IFERROR(MATCH(V$5,'Oxford Economics'!$A$6:$AZ$6,0),MATCH(V$5&amp;"",'Oxford Economics'!$A$6:$AZ$6,0))),'Oxford Economics'!$A$7:$A$1000,$C50,'Oxford Economics'!$B$7:$B$1000,Settings!$B$19)))),""))</f>
        <v>9341.1</v>
      </c>
      <c r="W50" s="38" t="n">
        <f aca="false">IF($A50="","",IFERROR(1/(1/IF($B50="Residential",SUMIFS(INDEX('Oxford Economics'!$A$7:$AZ$1000,0,IFERROR(MATCH(W$5,'Oxford Economics'!$A$6:$AZ$6,0),MATCH(W$5&amp;"",'Oxford Economics'!$A$6:$AZ$6,0))),'Oxford Economics'!$A$7:$A$1000,$C50,'Oxford Economics'!$B$7:$B$1000,Settings!$B$13)-SUMIFS(INDEX('Oxford Economics'!$A$7:$AZ$1000,0,IFERROR(MATCH(W$5,'Oxford Economics'!$A$6:$AZ$6,0),MATCH(W$5&amp;"",'Oxford Economics'!$A$6:$AZ$6,0))),'Oxford Economics'!$A$7:$A$1000,$C50,'Oxford Economics'!$B$7:$B$1000,Settings!$B$15),SUMIFS(INDEX('Oxford Economics'!$A$7:$AZ$1000,0,IFERROR(MATCH(W$5,'Oxford Economics'!$A$6:$AZ$6,0),MATCH(W$5&amp;"",'Oxford Economics'!$A$6:$AZ$6,0))),'Oxford Economics'!$A$7:$A$1000,$C50,'Oxford Economics'!$B$7:$B$1000,Settings!$B$15)+SUMIFS(INDEX('Oxford Economics'!$A$7:$AZ$1000,0,IFERROR(MATCH(W$5,'Oxford Economics'!$A$6:$AZ$6,0),MATCH(W$5&amp;"",'Oxford Economics'!$A$6:$AZ$6,0))),'Oxford Economics'!$A$7:$A$1000,$C50,'Oxford Economics'!$B$7:$B$1000,Settings!$B$17)+IF(Settings!$B$19="",0,SUMIFS(INDEX('Oxford Economics'!$A$7:$AZ$1000,0,IFERROR(MATCH(W$5,'Oxford Economics'!$A$6:$AZ$6,0),MATCH(W$5&amp;"",'Oxford Economics'!$A$6:$AZ$6,0))),'Oxford Economics'!$A$7:$A$1000,$C50,'Oxford Economics'!$B$7:$B$1000,Settings!$B$19)))),""))</f>
        <v>9919.69</v>
      </c>
      <c r="X50" s="38" t="n">
        <f aca="false">IF($A50="","",IFERROR(1/(1/IF($B50="Residential",SUMIFS(INDEX('Oxford Economics'!$A$7:$AZ$1000,0,IFERROR(MATCH(X$5,'Oxford Economics'!$A$6:$AZ$6,0),MATCH(X$5&amp;"",'Oxford Economics'!$A$6:$AZ$6,0))),'Oxford Economics'!$A$7:$A$1000,$C50,'Oxford Economics'!$B$7:$B$1000,Settings!$B$13)-SUMIFS(INDEX('Oxford Economics'!$A$7:$AZ$1000,0,IFERROR(MATCH(X$5,'Oxford Economics'!$A$6:$AZ$6,0),MATCH(X$5&amp;"",'Oxford Economics'!$A$6:$AZ$6,0))),'Oxford Economics'!$A$7:$A$1000,$C50,'Oxford Economics'!$B$7:$B$1000,Settings!$B$15),SUMIFS(INDEX('Oxford Economics'!$A$7:$AZ$1000,0,IFERROR(MATCH(X$5,'Oxford Economics'!$A$6:$AZ$6,0),MATCH(X$5&amp;"",'Oxford Economics'!$A$6:$AZ$6,0))),'Oxford Economics'!$A$7:$A$1000,$C50,'Oxford Economics'!$B$7:$B$1000,Settings!$B$15)+SUMIFS(INDEX('Oxford Economics'!$A$7:$AZ$1000,0,IFERROR(MATCH(X$5,'Oxford Economics'!$A$6:$AZ$6,0),MATCH(X$5&amp;"",'Oxford Economics'!$A$6:$AZ$6,0))),'Oxford Economics'!$A$7:$A$1000,$C50,'Oxford Economics'!$B$7:$B$1000,Settings!$B$17)+IF(Settings!$B$19="",0,SUMIFS(INDEX('Oxford Economics'!$A$7:$AZ$1000,0,IFERROR(MATCH(X$5,'Oxford Economics'!$A$6:$AZ$6,0),MATCH(X$5&amp;"",'Oxford Economics'!$A$6:$AZ$6,0))),'Oxford Economics'!$A$7:$A$1000,$C50,'Oxford Economics'!$B$7:$B$1000,Settings!$B$19)))),""))</f>
        <v>10244.87</v>
      </c>
      <c r="Y50" s="38" t="n">
        <f aca="false">IF($A50="","",IFERROR(1/(1/IF($B50="Residential",SUMIFS(INDEX('Oxford Economics'!$A$7:$AZ$1000,0,IFERROR(MATCH(Y$5,'Oxford Economics'!$A$6:$AZ$6,0),MATCH(Y$5&amp;"",'Oxford Economics'!$A$6:$AZ$6,0))),'Oxford Economics'!$A$7:$A$1000,$C50,'Oxford Economics'!$B$7:$B$1000,Settings!$B$13)-SUMIFS(INDEX('Oxford Economics'!$A$7:$AZ$1000,0,IFERROR(MATCH(Y$5,'Oxford Economics'!$A$6:$AZ$6,0),MATCH(Y$5&amp;"",'Oxford Economics'!$A$6:$AZ$6,0))),'Oxford Economics'!$A$7:$A$1000,$C50,'Oxford Economics'!$B$7:$B$1000,Settings!$B$15),SUMIFS(INDEX('Oxford Economics'!$A$7:$AZ$1000,0,IFERROR(MATCH(Y$5,'Oxford Economics'!$A$6:$AZ$6,0),MATCH(Y$5&amp;"",'Oxford Economics'!$A$6:$AZ$6,0))),'Oxford Economics'!$A$7:$A$1000,$C50,'Oxford Economics'!$B$7:$B$1000,Settings!$B$15)+SUMIFS(INDEX('Oxford Economics'!$A$7:$AZ$1000,0,IFERROR(MATCH(Y$5,'Oxford Economics'!$A$6:$AZ$6,0),MATCH(Y$5&amp;"",'Oxford Economics'!$A$6:$AZ$6,0))),'Oxford Economics'!$A$7:$A$1000,$C50,'Oxford Economics'!$B$7:$B$1000,Settings!$B$17)+IF(Settings!$B$19="",0,SUMIFS(INDEX('Oxford Economics'!$A$7:$AZ$1000,0,IFERROR(MATCH(Y$5,'Oxford Economics'!$A$6:$AZ$6,0),MATCH(Y$5&amp;"",'Oxford Economics'!$A$6:$AZ$6,0))),'Oxford Economics'!$A$7:$A$1000,$C50,'Oxford Economics'!$B$7:$B$1000,Settings!$B$19)))),""))</f>
        <v>10484.1</v>
      </c>
      <c r="Z50" s="38" t="n">
        <f aca="false">IF($A50="","",IFERROR(1/(1/IF($B50="Residential",SUMIFS(INDEX('Oxford Economics'!$A$7:$AZ$1000,0,IFERROR(MATCH(Z$5,'Oxford Economics'!$A$6:$AZ$6,0),MATCH(Z$5&amp;"",'Oxford Economics'!$A$6:$AZ$6,0))),'Oxford Economics'!$A$7:$A$1000,$C50,'Oxford Economics'!$B$7:$B$1000,Settings!$B$13)-SUMIFS(INDEX('Oxford Economics'!$A$7:$AZ$1000,0,IFERROR(MATCH(Z$5,'Oxford Economics'!$A$6:$AZ$6,0),MATCH(Z$5&amp;"",'Oxford Economics'!$A$6:$AZ$6,0))),'Oxford Economics'!$A$7:$A$1000,$C50,'Oxford Economics'!$B$7:$B$1000,Settings!$B$15),SUMIFS(INDEX('Oxford Economics'!$A$7:$AZ$1000,0,IFERROR(MATCH(Z$5,'Oxford Economics'!$A$6:$AZ$6,0),MATCH(Z$5&amp;"",'Oxford Economics'!$A$6:$AZ$6,0))),'Oxford Economics'!$A$7:$A$1000,$C50,'Oxford Economics'!$B$7:$B$1000,Settings!$B$15)+SUMIFS(INDEX('Oxford Economics'!$A$7:$AZ$1000,0,IFERROR(MATCH(Z$5,'Oxford Economics'!$A$6:$AZ$6,0),MATCH(Z$5&amp;"",'Oxford Economics'!$A$6:$AZ$6,0))),'Oxford Economics'!$A$7:$A$1000,$C50,'Oxford Economics'!$B$7:$B$1000,Settings!$B$17)+IF(Settings!$B$19="",0,SUMIFS(INDEX('Oxford Economics'!$A$7:$AZ$1000,0,IFERROR(MATCH(Z$5,'Oxford Economics'!$A$6:$AZ$6,0),MATCH(Z$5&amp;"",'Oxford Economics'!$A$6:$AZ$6,0))),'Oxford Economics'!$A$7:$A$1000,$C50,'Oxford Economics'!$B$7:$B$1000,Settings!$B$19)))),""))</f>
        <v>10640.23</v>
      </c>
      <c r="AA50" s="38" t="n">
        <f aca="false">IF($A50="","",IFERROR(1/(1/IF($B50="Residential",SUMIFS(INDEX('Oxford Economics'!$A$7:$AZ$1000,0,IFERROR(MATCH(AA$5,'Oxford Economics'!$A$6:$AZ$6,0),MATCH(AA$5&amp;"",'Oxford Economics'!$A$6:$AZ$6,0))),'Oxford Economics'!$A$7:$A$1000,$C50,'Oxford Economics'!$B$7:$B$1000,Settings!$B$13)-SUMIFS(INDEX('Oxford Economics'!$A$7:$AZ$1000,0,IFERROR(MATCH(AA$5,'Oxford Economics'!$A$6:$AZ$6,0),MATCH(AA$5&amp;"",'Oxford Economics'!$A$6:$AZ$6,0))),'Oxford Economics'!$A$7:$A$1000,$C50,'Oxford Economics'!$B$7:$B$1000,Settings!$B$15),SUMIFS(INDEX('Oxford Economics'!$A$7:$AZ$1000,0,IFERROR(MATCH(AA$5,'Oxford Economics'!$A$6:$AZ$6,0),MATCH(AA$5&amp;"",'Oxford Economics'!$A$6:$AZ$6,0))),'Oxford Economics'!$A$7:$A$1000,$C50,'Oxford Economics'!$B$7:$B$1000,Settings!$B$15)+SUMIFS(INDEX('Oxford Economics'!$A$7:$AZ$1000,0,IFERROR(MATCH(AA$5,'Oxford Economics'!$A$6:$AZ$6,0),MATCH(AA$5&amp;"",'Oxford Economics'!$A$6:$AZ$6,0))),'Oxford Economics'!$A$7:$A$1000,$C50,'Oxford Economics'!$B$7:$B$1000,Settings!$B$17)+IF(Settings!$B$19="",0,SUMIFS(INDEX('Oxford Economics'!$A$7:$AZ$1000,0,IFERROR(MATCH(AA$5,'Oxford Economics'!$A$6:$AZ$6,0),MATCH(AA$5&amp;"",'Oxford Economics'!$A$6:$AZ$6,0))),'Oxford Economics'!$A$7:$A$1000,$C50,'Oxford Economics'!$B$7:$B$1000,Settings!$B$19)))),""))</f>
        <v>10732.64</v>
      </c>
      <c r="AB50" s="38" t="n">
        <f aca="false">IF($A50="","",IFERROR(1/(1/IF($B50="Residential",SUMIFS(INDEX('Oxford Economics'!$A$7:$AZ$1000,0,IFERROR(MATCH(AB$5,'Oxford Economics'!$A$6:$AZ$6,0),MATCH(AB$5&amp;"",'Oxford Economics'!$A$6:$AZ$6,0))),'Oxford Economics'!$A$7:$A$1000,$C50,'Oxford Economics'!$B$7:$B$1000,Settings!$B$12)-SUMIFS(INDEX('Oxford Economics'!$A$7:$AZ$1000,0,IFERROR(MATCH(AB$5,'Oxford Economics'!$A$6:$AZ$6,0),MATCH(AB$5&amp;"",'Oxford Economics'!$A$6:$AZ$6,0))),'Oxford Economics'!$A$7:$A$1000,$C50,'Oxford Economics'!$B$7:$B$1000,Settings!$B$14),SUMIFS(INDEX('Oxford Economics'!$A$7:$AZ$1000,0,IFERROR(MATCH(AB$5,'Oxford Economics'!$A$6:$AZ$6,0),MATCH(AB$5&amp;"",'Oxford Economics'!$A$6:$AZ$6,0))),'Oxford Economics'!$A$7:$A$1000,$C50,'Oxford Economics'!$B$7:$B$1000,Settings!$B$14)+SUMIFS(INDEX('Oxford Economics'!$A$7:$AZ$1000,0,IFERROR(MATCH(AB$5,'Oxford Economics'!$A$6:$AZ$6,0),MATCH(AB$5&amp;"",'Oxford Economics'!$A$6:$AZ$6,0))),'Oxford Economics'!$A$7:$A$1000,$C50,'Oxford Economics'!$B$7:$B$1000,Settings!$B$16)+IF(Settings!$B$18="",0,SUMIFS(INDEX('Oxford Economics'!$A$7:$AZ$1000,0,IFERROR(MATCH(AB$5,'Oxford Economics'!$A$6:$AZ$6,0),MATCH(AB$5&amp;"",'Oxford Economics'!$A$6:$AZ$6,0))),'Oxford Economics'!$A$7:$A$1000,$C50,'Oxford Economics'!$B$7:$B$1000,Settings!$B$18)))),""))</f>
        <v>2844.51</v>
      </c>
      <c r="AC50" s="38" t="n">
        <f aca="false">IF($A50="","",IFERROR(1/(1/IF($B50="Residential",SUMIFS(INDEX('Oxford Economics'!$A$7:$AZ$1000,0,IFERROR(MATCH(AC$5,'Oxford Economics'!$A$6:$AZ$6,0),MATCH(AC$5&amp;"",'Oxford Economics'!$A$6:$AZ$6,0))),'Oxford Economics'!$A$7:$A$1000,$C50,'Oxford Economics'!$B$7:$B$1000,Settings!$B$12)-SUMIFS(INDEX('Oxford Economics'!$A$7:$AZ$1000,0,IFERROR(MATCH(AC$5,'Oxford Economics'!$A$6:$AZ$6,0),MATCH(AC$5&amp;"",'Oxford Economics'!$A$6:$AZ$6,0))),'Oxford Economics'!$A$7:$A$1000,$C50,'Oxford Economics'!$B$7:$B$1000,Settings!$B$14),SUMIFS(INDEX('Oxford Economics'!$A$7:$AZ$1000,0,IFERROR(MATCH(AC$5,'Oxford Economics'!$A$6:$AZ$6,0),MATCH(AC$5&amp;"",'Oxford Economics'!$A$6:$AZ$6,0))),'Oxford Economics'!$A$7:$A$1000,$C50,'Oxford Economics'!$B$7:$B$1000,Settings!$B$14)+SUMIFS(INDEX('Oxford Economics'!$A$7:$AZ$1000,0,IFERROR(MATCH(AC$5,'Oxford Economics'!$A$6:$AZ$6,0),MATCH(AC$5&amp;"",'Oxford Economics'!$A$6:$AZ$6,0))),'Oxford Economics'!$A$7:$A$1000,$C50,'Oxford Economics'!$B$7:$B$1000,Settings!$B$16)+IF(Settings!$B$18="",0,SUMIFS(INDEX('Oxford Economics'!$A$7:$AZ$1000,0,IFERROR(MATCH(AC$5,'Oxford Economics'!$A$6:$AZ$6,0),MATCH(AC$5&amp;"",'Oxford Economics'!$A$6:$AZ$6,0))),'Oxford Economics'!$A$7:$A$1000,$C50,'Oxford Economics'!$B$7:$B$1000,Settings!$B$18)))),""))</f>
        <v>3106.41</v>
      </c>
      <c r="AD50" s="38" t="n">
        <f aca="false">IF($A50="","",IFERROR(1/(1/IF($B50="Residential",SUMIFS(INDEX('Oxford Economics'!$A$7:$AZ$1000,0,IFERROR(MATCH(AD$5,'Oxford Economics'!$A$6:$AZ$6,0),MATCH(AD$5&amp;"",'Oxford Economics'!$A$6:$AZ$6,0))),'Oxford Economics'!$A$7:$A$1000,$C50,'Oxford Economics'!$B$7:$B$1000,Settings!$B$12)-SUMIFS(INDEX('Oxford Economics'!$A$7:$AZ$1000,0,IFERROR(MATCH(AD$5,'Oxford Economics'!$A$6:$AZ$6,0),MATCH(AD$5&amp;"",'Oxford Economics'!$A$6:$AZ$6,0))),'Oxford Economics'!$A$7:$A$1000,$C50,'Oxford Economics'!$B$7:$B$1000,Settings!$B$14),SUMIFS(INDEX('Oxford Economics'!$A$7:$AZ$1000,0,IFERROR(MATCH(AD$5,'Oxford Economics'!$A$6:$AZ$6,0),MATCH(AD$5&amp;"",'Oxford Economics'!$A$6:$AZ$6,0))),'Oxford Economics'!$A$7:$A$1000,$C50,'Oxford Economics'!$B$7:$B$1000,Settings!$B$14)+SUMIFS(INDEX('Oxford Economics'!$A$7:$AZ$1000,0,IFERROR(MATCH(AD$5,'Oxford Economics'!$A$6:$AZ$6,0),MATCH(AD$5&amp;"",'Oxford Economics'!$A$6:$AZ$6,0))),'Oxford Economics'!$A$7:$A$1000,$C50,'Oxford Economics'!$B$7:$B$1000,Settings!$B$16)+IF(Settings!$B$18="",0,SUMIFS(INDEX('Oxford Economics'!$A$7:$AZ$1000,0,IFERROR(MATCH(AD$5,'Oxford Economics'!$A$6:$AZ$6,0),MATCH(AD$5&amp;"",'Oxford Economics'!$A$6:$AZ$6,0))),'Oxford Economics'!$A$7:$A$1000,$C50,'Oxford Economics'!$B$7:$B$1000,Settings!$B$18)))),""))</f>
        <v>2899.72</v>
      </c>
      <c r="AE50" s="38" t="n">
        <f aca="false">IF($A50="","",IFERROR(1/(1/IF($B50="Residential",SUMIFS(INDEX('Oxford Economics'!$A$7:$AZ$1000,0,IFERROR(MATCH(AE$5,'Oxford Economics'!$A$6:$AZ$6,0),MATCH(AE$5&amp;"",'Oxford Economics'!$A$6:$AZ$6,0))),'Oxford Economics'!$A$7:$A$1000,$C50,'Oxford Economics'!$B$7:$B$1000,Settings!$B$12)-SUMIFS(INDEX('Oxford Economics'!$A$7:$AZ$1000,0,IFERROR(MATCH(AE$5,'Oxford Economics'!$A$6:$AZ$6,0),MATCH(AE$5&amp;"",'Oxford Economics'!$A$6:$AZ$6,0))),'Oxford Economics'!$A$7:$A$1000,$C50,'Oxford Economics'!$B$7:$B$1000,Settings!$B$14),SUMIFS(INDEX('Oxford Economics'!$A$7:$AZ$1000,0,IFERROR(MATCH(AE$5,'Oxford Economics'!$A$6:$AZ$6,0),MATCH(AE$5&amp;"",'Oxford Economics'!$A$6:$AZ$6,0))),'Oxford Economics'!$A$7:$A$1000,$C50,'Oxford Economics'!$B$7:$B$1000,Settings!$B$14)+SUMIFS(INDEX('Oxford Economics'!$A$7:$AZ$1000,0,IFERROR(MATCH(AE$5,'Oxford Economics'!$A$6:$AZ$6,0),MATCH(AE$5&amp;"",'Oxford Economics'!$A$6:$AZ$6,0))),'Oxford Economics'!$A$7:$A$1000,$C50,'Oxford Economics'!$B$7:$B$1000,Settings!$B$16)+IF(Settings!$B$18="",0,SUMIFS(INDEX('Oxford Economics'!$A$7:$AZ$1000,0,IFERROR(MATCH(AE$5,'Oxford Economics'!$A$6:$AZ$6,0),MATCH(AE$5&amp;"",'Oxford Economics'!$A$6:$AZ$6,0))),'Oxford Economics'!$A$7:$A$1000,$C50,'Oxford Economics'!$B$7:$B$1000,Settings!$B$18)))),""))</f>
        <v>2099.46</v>
      </c>
      <c r="AF50" s="38" t="n">
        <f aca="false">IF($A50="","",IFERROR(1/(1/IF($B50="Residential",SUMIFS(INDEX('Oxford Economics'!$A$7:$AZ$1000,0,IFERROR(MATCH(AF$5,'Oxford Economics'!$A$6:$AZ$6,0),MATCH(AF$5&amp;"",'Oxford Economics'!$A$6:$AZ$6,0))),'Oxford Economics'!$A$7:$A$1000,$C50,'Oxford Economics'!$B$7:$B$1000,Settings!$B$12)-SUMIFS(INDEX('Oxford Economics'!$A$7:$AZ$1000,0,IFERROR(MATCH(AF$5,'Oxford Economics'!$A$6:$AZ$6,0),MATCH(AF$5&amp;"",'Oxford Economics'!$A$6:$AZ$6,0))),'Oxford Economics'!$A$7:$A$1000,$C50,'Oxford Economics'!$B$7:$B$1000,Settings!$B$14),SUMIFS(INDEX('Oxford Economics'!$A$7:$AZ$1000,0,IFERROR(MATCH(AF$5,'Oxford Economics'!$A$6:$AZ$6,0),MATCH(AF$5&amp;"",'Oxford Economics'!$A$6:$AZ$6,0))),'Oxford Economics'!$A$7:$A$1000,$C50,'Oxford Economics'!$B$7:$B$1000,Settings!$B$14)+SUMIFS(INDEX('Oxford Economics'!$A$7:$AZ$1000,0,IFERROR(MATCH(AF$5,'Oxford Economics'!$A$6:$AZ$6,0),MATCH(AF$5&amp;"",'Oxford Economics'!$A$6:$AZ$6,0))),'Oxford Economics'!$A$7:$A$1000,$C50,'Oxford Economics'!$B$7:$B$1000,Settings!$B$16)+IF(Settings!$B$18="",0,SUMIFS(INDEX('Oxford Economics'!$A$7:$AZ$1000,0,IFERROR(MATCH(AF$5,'Oxford Economics'!$A$6:$AZ$6,0),MATCH(AF$5&amp;"",'Oxford Economics'!$A$6:$AZ$6,0))),'Oxford Economics'!$A$7:$A$1000,$C50,'Oxford Economics'!$B$7:$B$1000,Settings!$B$18)))),""))</f>
        <v>2154.29</v>
      </c>
      <c r="AG50" s="38" t="n">
        <f aca="false">IF($A50="","",IFERROR(1/(1/IF($B50="Residential",SUMIFS(INDEX('Oxford Economics'!$A$7:$AZ$1000,0,IFERROR(MATCH(AG$5,'Oxford Economics'!$A$6:$AZ$6,0),MATCH(AG$5&amp;"",'Oxford Economics'!$A$6:$AZ$6,0))),'Oxford Economics'!$A$7:$A$1000,$C50,'Oxford Economics'!$B$7:$B$1000,Settings!$B$12)-SUMIFS(INDEX('Oxford Economics'!$A$7:$AZ$1000,0,IFERROR(MATCH(AG$5,'Oxford Economics'!$A$6:$AZ$6,0),MATCH(AG$5&amp;"",'Oxford Economics'!$A$6:$AZ$6,0))),'Oxford Economics'!$A$7:$A$1000,$C50,'Oxford Economics'!$B$7:$B$1000,Settings!$B$14),SUMIFS(INDEX('Oxford Economics'!$A$7:$AZ$1000,0,IFERROR(MATCH(AG$5,'Oxford Economics'!$A$6:$AZ$6,0),MATCH(AG$5&amp;"",'Oxford Economics'!$A$6:$AZ$6,0))),'Oxford Economics'!$A$7:$A$1000,$C50,'Oxford Economics'!$B$7:$B$1000,Settings!$B$14)+SUMIFS(INDEX('Oxford Economics'!$A$7:$AZ$1000,0,IFERROR(MATCH(AG$5,'Oxford Economics'!$A$6:$AZ$6,0),MATCH(AG$5&amp;"",'Oxford Economics'!$A$6:$AZ$6,0))),'Oxford Economics'!$A$7:$A$1000,$C50,'Oxford Economics'!$B$7:$B$1000,Settings!$B$16)+IF(Settings!$B$18="",0,SUMIFS(INDEX('Oxford Economics'!$A$7:$AZ$1000,0,IFERROR(MATCH(AG$5,'Oxford Economics'!$A$6:$AZ$6,0),MATCH(AG$5&amp;"",'Oxford Economics'!$A$6:$AZ$6,0))),'Oxford Economics'!$A$7:$A$1000,$C50,'Oxford Economics'!$B$7:$B$1000,Settings!$B$18)))),""))</f>
        <v>2206.07</v>
      </c>
      <c r="AH50" s="38" t="n">
        <f aca="false">IF($A50="","",IFERROR(1/(1/IF($B50="Residential",SUMIFS(INDEX('Oxford Economics'!$A$7:$AZ$1000,0,IFERROR(MATCH(AH$5,'Oxford Economics'!$A$6:$AZ$6,0),MATCH(AH$5&amp;"",'Oxford Economics'!$A$6:$AZ$6,0))),'Oxford Economics'!$A$7:$A$1000,$C50,'Oxford Economics'!$B$7:$B$1000,Settings!$B$12)-SUMIFS(INDEX('Oxford Economics'!$A$7:$AZ$1000,0,IFERROR(MATCH(AH$5,'Oxford Economics'!$A$6:$AZ$6,0),MATCH(AH$5&amp;"",'Oxford Economics'!$A$6:$AZ$6,0))),'Oxford Economics'!$A$7:$A$1000,$C50,'Oxford Economics'!$B$7:$B$1000,Settings!$B$14),SUMIFS(INDEX('Oxford Economics'!$A$7:$AZ$1000,0,IFERROR(MATCH(AH$5,'Oxford Economics'!$A$6:$AZ$6,0),MATCH(AH$5&amp;"",'Oxford Economics'!$A$6:$AZ$6,0))),'Oxford Economics'!$A$7:$A$1000,$C50,'Oxford Economics'!$B$7:$B$1000,Settings!$B$14)+SUMIFS(INDEX('Oxford Economics'!$A$7:$AZ$1000,0,IFERROR(MATCH(AH$5,'Oxford Economics'!$A$6:$AZ$6,0),MATCH(AH$5&amp;"",'Oxford Economics'!$A$6:$AZ$6,0))),'Oxford Economics'!$A$7:$A$1000,$C50,'Oxford Economics'!$B$7:$B$1000,Settings!$B$16)+IF(Settings!$B$18="",0,SUMIFS(INDEX('Oxford Economics'!$A$7:$AZ$1000,0,IFERROR(MATCH(AH$5,'Oxford Economics'!$A$6:$AZ$6,0),MATCH(AH$5&amp;"",'Oxford Economics'!$A$6:$AZ$6,0))),'Oxford Economics'!$A$7:$A$1000,$C50,'Oxford Economics'!$B$7:$B$1000,Settings!$B$18)))),""))</f>
        <v>2065.48</v>
      </c>
      <c r="AI50" s="38" t="n">
        <f aca="false">IF($A50="","",IFERROR(1/(1/IF($B50="Residential",SUMIFS(INDEX('Oxford Economics'!$A$7:$AZ$1000,0,IFERROR(MATCH(AI$5,'Oxford Economics'!$A$6:$AZ$6,0),MATCH(AI$5&amp;"",'Oxford Economics'!$A$6:$AZ$6,0))),'Oxford Economics'!$A$7:$A$1000,$C50,'Oxford Economics'!$B$7:$B$1000,Settings!$B$12)-SUMIFS(INDEX('Oxford Economics'!$A$7:$AZ$1000,0,IFERROR(MATCH(AI$5,'Oxford Economics'!$A$6:$AZ$6,0),MATCH(AI$5&amp;"",'Oxford Economics'!$A$6:$AZ$6,0))),'Oxford Economics'!$A$7:$A$1000,$C50,'Oxford Economics'!$B$7:$B$1000,Settings!$B$14),SUMIFS(INDEX('Oxford Economics'!$A$7:$AZ$1000,0,IFERROR(MATCH(AI$5,'Oxford Economics'!$A$6:$AZ$6,0),MATCH(AI$5&amp;"",'Oxford Economics'!$A$6:$AZ$6,0))),'Oxford Economics'!$A$7:$A$1000,$C50,'Oxford Economics'!$B$7:$B$1000,Settings!$B$14)+SUMIFS(INDEX('Oxford Economics'!$A$7:$AZ$1000,0,IFERROR(MATCH(AI$5,'Oxford Economics'!$A$6:$AZ$6,0),MATCH(AI$5&amp;"",'Oxford Economics'!$A$6:$AZ$6,0))),'Oxford Economics'!$A$7:$A$1000,$C50,'Oxford Economics'!$B$7:$B$1000,Settings!$B$16)+IF(Settings!$B$18="",0,SUMIFS(INDEX('Oxford Economics'!$A$7:$AZ$1000,0,IFERROR(MATCH(AI$5,'Oxford Economics'!$A$6:$AZ$6,0),MATCH(AI$5&amp;"",'Oxford Economics'!$A$6:$AZ$6,0))),'Oxford Economics'!$A$7:$A$1000,$C50,'Oxford Economics'!$B$7:$B$1000,Settings!$B$18)))),""))</f>
        <v>1837.66</v>
      </c>
      <c r="AJ50" s="38" t="n">
        <f aca="false">IF($A50="","",IFERROR(1/(1/IF($B50="Residential",SUMIFS(INDEX('Oxford Economics'!$A$7:$AZ$1000,0,IFERROR(MATCH(AJ$5,'Oxford Economics'!$A$6:$AZ$6,0),MATCH(AJ$5&amp;"",'Oxford Economics'!$A$6:$AZ$6,0))),'Oxford Economics'!$A$7:$A$1000,$C50,'Oxford Economics'!$B$7:$B$1000,Settings!$B$12)-SUMIFS(INDEX('Oxford Economics'!$A$7:$AZ$1000,0,IFERROR(MATCH(AJ$5,'Oxford Economics'!$A$6:$AZ$6,0),MATCH(AJ$5&amp;"",'Oxford Economics'!$A$6:$AZ$6,0))),'Oxford Economics'!$A$7:$A$1000,$C50,'Oxford Economics'!$B$7:$B$1000,Settings!$B$14),SUMIFS(INDEX('Oxford Economics'!$A$7:$AZ$1000,0,IFERROR(MATCH(AJ$5,'Oxford Economics'!$A$6:$AZ$6,0),MATCH(AJ$5&amp;"",'Oxford Economics'!$A$6:$AZ$6,0))),'Oxford Economics'!$A$7:$A$1000,$C50,'Oxford Economics'!$B$7:$B$1000,Settings!$B$14)+SUMIFS(INDEX('Oxford Economics'!$A$7:$AZ$1000,0,IFERROR(MATCH(AJ$5,'Oxford Economics'!$A$6:$AZ$6,0),MATCH(AJ$5&amp;"",'Oxford Economics'!$A$6:$AZ$6,0))),'Oxford Economics'!$A$7:$A$1000,$C50,'Oxford Economics'!$B$7:$B$1000,Settings!$B$16)+IF(Settings!$B$18="",0,SUMIFS(INDEX('Oxford Economics'!$A$7:$AZ$1000,0,IFERROR(MATCH(AJ$5,'Oxford Economics'!$A$6:$AZ$6,0),MATCH(AJ$5&amp;"",'Oxford Economics'!$A$6:$AZ$6,0))),'Oxford Economics'!$A$7:$A$1000,$C50,'Oxford Economics'!$B$7:$B$1000,Settings!$B$18)))),""))</f>
        <v>1771.56</v>
      </c>
      <c r="AK50" s="38" t="n">
        <f aca="false">IF($A50="","",IFERROR(1/(1/IF($B50="Residential",SUMIFS(INDEX('Oxford Economics'!$A$7:$AZ$1000,0,IFERROR(MATCH(AK$5,'Oxford Economics'!$A$6:$AZ$6,0),MATCH(AK$5&amp;"",'Oxford Economics'!$A$6:$AZ$6,0))),'Oxford Economics'!$A$7:$A$1000,$C50,'Oxford Economics'!$B$7:$B$1000,Settings!$B$12)-SUMIFS(INDEX('Oxford Economics'!$A$7:$AZ$1000,0,IFERROR(MATCH(AK$5,'Oxford Economics'!$A$6:$AZ$6,0),MATCH(AK$5&amp;"",'Oxford Economics'!$A$6:$AZ$6,0))),'Oxford Economics'!$A$7:$A$1000,$C50,'Oxford Economics'!$B$7:$B$1000,Settings!$B$14),SUMIFS(INDEX('Oxford Economics'!$A$7:$AZ$1000,0,IFERROR(MATCH(AK$5,'Oxford Economics'!$A$6:$AZ$6,0),MATCH(AK$5&amp;"",'Oxford Economics'!$A$6:$AZ$6,0))),'Oxford Economics'!$A$7:$A$1000,$C50,'Oxford Economics'!$B$7:$B$1000,Settings!$B$14)+SUMIFS(INDEX('Oxford Economics'!$A$7:$AZ$1000,0,IFERROR(MATCH(AK$5,'Oxford Economics'!$A$6:$AZ$6,0),MATCH(AK$5&amp;"",'Oxford Economics'!$A$6:$AZ$6,0))),'Oxford Economics'!$A$7:$A$1000,$C50,'Oxford Economics'!$B$7:$B$1000,Settings!$B$16)+IF(Settings!$B$18="",0,SUMIFS(INDEX('Oxford Economics'!$A$7:$AZ$1000,0,IFERROR(MATCH(AK$5,'Oxford Economics'!$A$6:$AZ$6,0),MATCH(AK$5&amp;"",'Oxford Economics'!$A$6:$AZ$6,0))),'Oxford Economics'!$A$7:$A$1000,$C50,'Oxford Economics'!$B$7:$B$1000,Settings!$B$18)))),""))</f>
        <v>1755.21</v>
      </c>
      <c r="AL50" s="38" t="n">
        <f aca="false">IF($A50="","",IFERROR(1/(1/IF($B50="Residential",SUMIFS(INDEX('Oxford Economics'!$A$7:$AZ$1000,0,IFERROR(MATCH(AL$5,'Oxford Economics'!$A$6:$AZ$6,0),MATCH(AL$5&amp;"",'Oxford Economics'!$A$6:$AZ$6,0))),'Oxford Economics'!$A$7:$A$1000,$C50,'Oxford Economics'!$B$7:$B$1000,Settings!$B$12)-SUMIFS(INDEX('Oxford Economics'!$A$7:$AZ$1000,0,IFERROR(MATCH(AL$5,'Oxford Economics'!$A$6:$AZ$6,0),MATCH(AL$5&amp;"",'Oxford Economics'!$A$6:$AZ$6,0))),'Oxford Economics'!$A$7:$A$1000,$C50,'Oxford Economics'!$B$7:$B$1000,Settings!$B$14),SUMIFS(INDEX('Oxford Economics'!$A$7:$AZ$1000,0,IFERROR(MATCH(AL$5,'Oxford Economics'!$A$6:$AZ$6,0),MATCH(AL$5&amp;"",'Oxford Economics'!$A$6:$AZ$6,0))),'Oxford Economics'!$A$7:$A$1000,$C50,'Oxford Economics'!$B$7:$B$1000,Settings!$B$14)+SUMIFS(INDEX('Oxford Economics'!$A$7:$AZ$1000,0,IFERROR(MATCH(AL$5,'Oxford Economics'!$A$6:$AZ$6,0),MATCH(AL$5&amp;"",'Oxford Economics'!$A$6:$AZ$6,0))),'Oxford Economics'!$A$7:$A$1000,$C50,'Oxford Economics'!$B$7:$B$1000,Settings!$B$16)+IF(Settings!$B$18="",0,SUMIFS(INDEX('Oxford Economics'!$A$7:$AZ$1000,0,IFERROR(MATCH(AL$5,'Oxford Economics'!$A$6:$AZ$6,0),MATCH(AL$5&amp;"",'Oxford Economics'!$A$6:$AZ$6,0))),'Oxford Economics'!$A$7:$A$1000,$C50,'Oxford Economics'!$B$7:$B$1000,Settings!$B$18)))),""))</f>
        <v>1747.93</v>
      </c>
      <c r="AM50" s="38" t="n">
        <f aca="false">IF($A50="","",IFERROR(1/(1/IF($B50="Residential",SUMIFS(INDEX('Oxford Economics'!$A$7:$AZ$1000,0,IFERROR(MATCH(AM$5,'Oxford Economics'!$A$6:$AZ$6,0),MATCH(AM$5&amp;"",'Oxford Economics'!$A$6:$AZ$6,0))),'Oxford Economics'!$A$7:$A$1000,$C50,'Oxford Economics'!$B$7:$B$1000,Settings!$B$12)-SUMIFS(INDEX('Oxford Economics'!$A$7:$AZ$1000,0,IFERROR(MATCH(AM$5,'Oxford Economics'!$A$6:$AZ$6,0),MATCH(AM$5&amp;"",'Oxford Economics'!$A$6:$AZ$6,0))),'Oxford Economics'!$A$7:$A$1000,$C50,'Oxford Economics'!$B$7:$B$1000,Settings!$B$14),SUMIFS(INDEX('Oxford Economics'!$A$7:$AZ$1000,0,IFERROR(MATCH(AM$5,'Oxford Economics'!$A$6:$AZ$6,0),MATCH(AM$5&amp;"",'Oxford Economics'!$A$6:$AZ$6,0))),'Oxford Economics'!$A$7:$A$1000,$C50,'Oxford Economics'!$B$7:$B$1000,Settings!$B$14)+SUMIFS(INDEX('Oxford Economics'!$A$7:$AZ$1000,0,IFERROR(MATCH(AM$5,'Oxford Economics'!$A$6:$AZ$6,0),MATCH(AM$5&amp;"",'Oxford Economics'!$A$6:$AZ$6,0))),'Oxford Economics'!$A$7:$A$1000,$C50,'Oxford Economics'!$B$7:$B$1000,Settings!$B$16)+IF(Settings!$B$18="",0,SUMIFS(INDEX('Oxford Economics'!$A$7:$AZ$1000,0,IFERROR(MATCH(AM$5,'Oxford Economics'!$A$6:$AZ$6,0),MATCH(AM$5&amp;"",'Oxford Economics'!$A$6:$AZ$6,0))),'Oxford Economics'!$A$7:$A$1000,$C50,'Oxford Economics'!$B$7:$B$1000,Settings!$B$18)))),""))</f>
        <v>1747.38</v>
      </c>
    </row>
    <row r="51" customFormat="false" ht="15" hidden="false" customHeight="false" outlineLevel="0" collapsed="false">
      <c r="A51" s="37" t="str">
        <f aca="false">IF('Raw data'!$A51="","",'Raw data'!$A51)</f>
        <v>Denmark</v>
      </c>
      <c r="B51" s="37" t="str">
        <f aca="false">IF($A51="","",'Raw data'!$C51)</f>
        <v>Commercial</v>
      </c>
      <c r="C51" s="37" t="str">
        <f aca="false">IF($A51="","",IF('Raw data'!$E51="",$A51,'Raw data'!$E51))</f>
        <v>Denmark</v>
      </c>
      <c r="D51" s="38" t="n">
        <f aca="false">IF($A51="","",IF(AND(ISNUMBER(P51),ISNUMBER(AB51)),P51+AB51,""))</f>
        <v>6757.25</v>
      </c>
      <c r="E51" s="38" t="n">
        <f aca="false">IF($A51="","",IF(AND(ISNUMBER(Q51),ISNUMBER(AC51)),Q51+AC51,""))</f>
        <v>7423.11</v>
      </c>
      <c r="F51" s="38" t="n">
        <f aca="false">IF($A51="","",IF(AND(ISNUMBER(R51),ISNUMBER(AD51)),R51+AD51,""))</f>
        <v>7458.6</v>
      </c>
      <c r="G51" s="38" t="n">
        <f aca="false">IF($A51="","",IF(AND(ISNUMBER(S51),ISNUMBER(AE51)),S51+AE51,""))</f>
        <v>7750.14</v>
      </c>
      <c r="H51" s="38" t="n">
        <f aca="false">IF($A51="","",IF(AND(ISNUMBER(T51),ISNUMBER(AF51)),T51+AF51,""))</f>
        <v>8162.82</v>
      </c>
      <c r="I51" s="38" t="n">
        <f aca="false">IF($A51="","",IF(AND(ISNUMBER(U51),ISNUMBER(AG51)),U51+AG51,""))</f>
        <v>8042.48</v>
      </c>
      <c r="J51" s="38" t="n">
        <f aca="false">IF($A51="","",IF(AND(ISNUMBER(V51),ISNUMBER(AH51)),V51+AH51,""))</f>
        <v>7714.49</v>
      </c>
      <c r="K51" s="38" t="n">
        <f aca="false">IF($A51="","",IF(AND(ISNUMBER(W51),ISNUMBER(AI51)),W51+AI51,""))</f>
        <v>7688.32</v>
      </c>
      <c r="L51" s="38" t="n">
        <f aca="false">IF($A51="","",IF(AND(ISNUMBER(X51),ISNUMBER(AJ51)),X51+AJ51,""))</f>
        <v>8125.45</v>
      </c>
      <c r="M51" s="38" t="n">
        <f aca="false">IF($A51="","",IF(AND(ISNUMBER(Y51),ISNUMBER(AK51)),Y51+AK51,""))</f>
        <v>8332.04</v>
      </c>
      <c r="N51" s="38" t="n">
        <f aca="false">IF($A51="","",IF(AND(ISNUMBER(Z51),ISNUMBER(AL51)),Z51+AL51,""))</f>
        <v>8479.3</v>
      </c>
      <c r="O51" s="38" t="n">
        <f aca="false">IF($A51="","",IF(AND(ISNUMBER(AA51),ISNUMBER(AM51)),AA51+AM51,""))</f>
        <v>8583.16</v>
      </c>
      <c r="P51" s="38" t="n">
        <f aca="false">IF($A51="","",IFERROR(1/(1/IF($B51="Residential",SUMIFS(INDEX('Oxford Economics'!$A$7:$AZ$1000,0,IFERROR(MATCH(P$5,'Oxford Economics'!$A$6:$AZ$6,0),MATCH(P$5&amp;"",'Oxford Economics'!$A$6:$AZ$6,0))),'Oxford Economics'!$A$7:$A$1000,$C51,'Oxford Economics'!$B$7:$B$1000,Settings!$B$13)-SUMIFS(INDEX('Oxford Economics'!$A$7:$AZ$1000,0,IFERROR(MATCH(P$5,'Oxford Economics'!$A$6:$AZ$6,0),MATCH(P$5&amp;"",'Oxford Economics'!$A$6:$AZ$6,0))),'Oxford Economics'!$A$7:$A$1000,$C51,'Oxford Economics'!$B$7:$B$1000,Settings!$B$15),SUMIFS(INDEX('Oxford Economics'!$A$7:$AZ$1000,0,IFERROR(MATCH(P$5,'Oxford Economics'!$A$6:$AZ$6,0),MATCH(P$5&amp;"",'Oxford Economics'!$A$6:$AZ$6,0))),'Oxford Economics'!$A$7:$A$1000,$C51,'Oxford Economics'!$B$7:$B$1000,Settings!$B$15)+SUMIFS(INDEX('Oxford Economics'!$A$7:$AZ$1000,0,IFERROR(MATCH(P$5,'Oxford Economics'!$A$6:$AZ$6,0),MATCH(P$5&amp;"",'Oxford Economics'!$A$6:$AZ$6,0))),'Oxford Economics'!$A$7:$A$1000,$C51,'Oxford Economics'!$B$7:$B$1000,Settings!$B$17)+IF(Settings!$B$19="",0,SUMIFS(INDEX('Oxford Economics'!$A$7:$AZ$1000,0,IFERROR(MATCH(P$5,'Oxford Economics'!$A$6:$AZ$6,0),MATCH(P$5&amp;"",'Oxford Economics'!$A$6:$AZ$6,0))),'Oxford Economics'!$A$7:$A$1000,$C51,'Oxford Economics'!$B$7:$B$1000,Settings!$B$19)))),""))</f>
        <v>2605.88</v>
      </c>
      <c r="Q51" s="38" t="n">
        <f aca="false">IF($A51="","",IFERROR(1/(1/IF($B51="Residential",SUMIFS(INDEX('Oxford Economics'!$A$7:$AZ$1000,0,IFERROR(MATCH(Q$5,'Oxford Economics'!$A$6:$AZ$6,0),MATCH(Q$5&amp;"",'Oxford Economics'!$A$6:$AZ$6,0))),'Oxford Economics'!$A$7:$A$1000,$C51,'Oxford Economics'!$B$7:$B$1000,Settings!$B$13)-SUMIFS(INDEX('Oxford Economics'!$A$7:$AZ$1000,0,IFERROR(MATCH(Q$5,'Oxford Economics'!$A$6:$AZ$6,0),MATCH(Q$5&amp;"",'Oxford Economics'!$A$6:$AZ$6,0))),'Oxford Economics'!$A$7:$A$1000,$C51,'Oxford Economics'!$B$7:$B$1000,Settings!$B$15),SUMIFS(INDEX('Oxford Economics'!$A$7:$AZ$1000,0,IFERROR(MATCH(Q$5,'Oxford Economics'!$A$6:$AZ$6,0),MATCH(Q$5&amp;"",'Oxford Economics'!$A$6:$AZ$6,0))),'Oxford Economics'!$A$7:$A$1000,$C51,'Oxford Economics'!$B$7:$B$1000,Settings!$B$15)+SUMIFS(INDEX('Oxford Economics'!$A$7:$AZ$1000,0,IFERROR(MATCH(Q$5,'Oxford Economics'!$A$6:$AZ$6,0),MATCH(Q$5&amp;"",'Oxford Economics'!$A$6:$AZ$6,0))),'Oxford Economics'!$A$7:$A$1000,$C51,'Oxford Economics'!$B$7:$B$1000,Settings!$B$17)+IF(Settings!$B$19="",0,SUMIFS(INDEX('Oxford Economics'!$A$7:$AZ$1000,0,IFERROR(MATCH(Q$5,'Oxford Economics'!$A$6:$AZ$6,0),MATCH(Q$5&amp;"",'Oxford Economics'!$A$6:$AZ$6,0))),'Oxford Economics'!$A$7:$A$1000,$C51,'Oxford Economics'!$B$7:$B$1000,Settings!$B$19)))),""))</f>
        <v>2992.52</v>
      </c>
      <c r="R51" s="38" t="n">
        <f aca="false">IF($A51="","",IFERROR(1/(1/IF($B51="Residential",SUMIFS(INDEX('Oxford Economics'!$A$7:$AZ$1000,0,IFERROR(MATCH(R$5,'Oxford Economics'!$A$6:$AZ$6,0),MATCH(R$5&amp;"",'Oxford Economics'!$A$6:$AZ$6,0))),'Oxford Economics'!$A$7:$A$1000,$C51,'Oxford Economics'!$B$7:$B$1000,Settings!$B$13)-SUMIFS(INDEX('Oxford Economics'!$A$7:$AZ$1000,0,IFERROR(MATCH(R$5,'Oxford Economics'!$A$6:$AZ$6,0),MATCH(R$5&amp;"",'Oxford Economics'!$A$6:$AZ$6,0))),'Oxford Economics'!$A$7:$A$1000,$C51,'Oxford Economics'!$B$7:$B$1000,Settings!$B$15),SUMIFS(INDEX('Oxford Economics'!$A$7:$AZ$1000,0,IFERROR(MATCH(R$5,'Oxford Economics'!$A$6:$AZ$6,0),MATCH(R$5&amp;"",'Oxford Economics'!$A$6:$AZ$6,0))),'Oxford Economics'!$A$7:$A$1000,$C51,'Oxford Economics'!$B$7:$B$1000,Settings!$B$15)+SUMIFS(INDEX('Oxford Economics'!$A$7:$AZ$1000,0,IFERROR(MATCH(R$5,'Oxford Economics'!$A$6:$AZ$6,0),MATCH(R$5&amp;"",'Oxford Economics'!$A$6:$AZ$6,0))),'Oxford Economics'!$A$7:$A$1000,$C51,'Oxford Economics'!$B$7:$B$1000,Settings!$B$17)+IF(Settings!$B$19="",0,SUMIFS(INDEX('Oxford Economics'!$A$7:$AZ$1000,0,IFERROR(MATCH(R$5,'Oxford Economics'!$A$6:$AZ$6,0),MATCH(R$5&amp;"",'Oxford Economics'!$A$6:$AZ$6,0))),'Oxford Economics'!$A$7:$A$1000,$C51,'Oxford Economics'!$B$7:$B$1000,Settings!$B$19)))),""))</f>
        <v>2935.29</v>
      </c>
      <c r="S51" s="38" t="n">
        <f aca="false">IF($A51="","",IFERROR(1/(1/IF($B51="Residential",SUMIFS(INDEX('Oxford Economics'!$A$7:$AZ$1000,0,IFERROR(MATCH(S$5,'Oxford Economics'!$A$6:$AZ$6,0),MATCH(S$5&amp;"",'Oxford Economics'!$A$6:$AZ$6,0))),'Oxford Economics'!$A$7:$A$1000,$C51,'Oxford Economics'!$B$7:$B$1000,Settings!$B$13)-SUMIFS(INDEX('Oxford Economics'!$A$7:$AZ$1000,0,IFERROR(MATCH(S$5,'Oxford Economics'!$A$6:$AZ$6,0),MATCH(S$5&amp;"",'Oxford Economics'!$A$6:$AZ$6,0))),'Oxford Economics'!$A$7:$A$1000,$C51,'Oxford Economics'!$B$7:$B$1000,Settings!$B$15),SUMIFS(INDEX('Oxford Economics'!$A$7:$AZ$1000,0,IFERROR(MATCH(S$5,'Oxford Economics'!$A$6:$AZ$6,0),MATCH(S$5&amp;"",'Oxford Economics'!$A$6:$AZ$6,0))),'Oxford Economics'!$A$7:$A$1000,$C51,'Oxford Economics'!$B$7:$B$1000,Settings!$B$15)+SUMIFS(INDEX('Oxford Economics'!$A$7:$AZ$1000,0,IFERROR(MATCH(S$5,'Oxford Economics'!$A$6:$AZ$6,0),MATCH(S$5&amp;"",'Oxford Economics'!$A$6:$AZ$6,0))),'Oxford Economics'!$A$7:$A$1000,$C51,'Oxford Economics'!$B$7:$B$1000,Settings!$B$17)+IF(Settings!$B$19="",0,SUMIFS(INDEX('Oxford Economics'!$A$7:$AZ$1000,0,IFERROR(MATCH(S$5,'Oxford Economics'!$A$6:$AZ$6,0),MATCH(S$5&amp;"",'Oxford Economics'!$A$6:$AZ$6,0))),'Oxford Economics'!$A$7:$A$1000,$C51,'Oxford Economics'!$B$7:$B$1000,Settings!$B$19)))),""))</f>
        <v>3176.42</v>
      </c>
      <c r="T51" s="38" t="n">
        <f aca="false">IF($A51="","",IFERROR(1/(1/IF($B51="Residential",SUMIFS(INDEX('Oxford Economics'!$A$7:$AZ$1000,0,IFERROR(MATCH(T$5,'Oxford Economics'!$A$6:$AZ$6,0),MATCH(T$5&amp;"",'Oxford Economics'!$A$6:$AZ$6,0))),'Oxford Economics'!$A$7:$A$1000,$C51,'Oxford Economics'!$B$7:$B$1000,Settings!$B$13)-SUMIFS(INDEX('Oxford Economics'!$A$7:$AZ$1000,0,IFERROR(MATCH(T$5,'Oxford Economics'!$A$6:$AZ$6,0),MATCH(T$5&amp;"",'Oxford Economics'!$A$6:$AZ$6,0))),'Oxford Economics'!$A$7:$A$1000,$C51,'Oxford Economics'!$B$7:$B$1000,Settings!$B$15),SUMIFS(INDEX('Oxford Economics'!$A$7:$AZ$1000,0,IFERROR(MATCH(T$5,'Oxford Economics'!$A$6:$AZ$6,0),MATCH(T$5&amp;"",'Oxford Economics'!$A$6:$AZ$6,0))),'Oxford Economics'!$A$7:$A$1000,$C51,'Oxford Economics'!$B$7:$B$1000,Settings!$B$15)+SUMIFS(INDEX('Oxford Economics'!$A$7:$AZ$1000,0,IFERROR(MATCH(T$5,'Oxford Economics'!$A$6:$AZ$6,0),MATCH(T$5&amp;"",'Oxford Economics'!$A$6:$AZ$6,0))),'Oxford Economics'!$A$7:$A$1000,$C51,'Oxford Economics'!$B$7:$B$1000,Settings!$B$17)+IF(Settings!$B$19="",0,SUMIFS(INDEX('Oxford Economics'!$A$7:$AZ$1000,0,IFERROR(MATCH(T$5,'Oxford Economics'!$A$6:$AZ$6,0),MATCH(T$5&amp;"",'Oxford Economics'!$A$6:$AZ$6,0))),'Oxford Economics'!$A$7:$A$1000,$C51,'Oxford Economics'!$B$7:$B$1000,Settings!$B$19)))),""))</f>
        <v>3649.88</v>
      </c>
      <c r="U51" s="38" t="n">
        <f aca="false">IF($A51="","",IFERROR(1/(1/IF($B51="Residential",SUMIFS(INDEX('Oxford Economics'!$A$7:$AZ$1000,0,IFERROR(MATCH(U$5,'Oxford Economics'!$A$6:$AZ$6,0),MATCH(U$5&amp;"",'Oxford Economics'!$A$6:$AZ$6,0))),'Oxford Economics'!$A$7:$A$1000,$C51,'Oxford Economics'!$B$7:$B$1000,Settings!$B$13)-SUMIFS(INDEX('Oxford Economics'!$A$7:$AZ$1000,0,IFERROR(MATCH(U$5,'Oxford Economics'!$A$6:$AZ$6,0),MATCH(U$5&amp;"",'Oxford Economics'!$A$6:$AZ$6,0))),'Oxford Economics'!$A$7:$A$1000,$C51,'Oxford Economics'!$B$7:$B$1000,Settings!$B$15),SUMIFS(INDEX('Oxford Economics'!$A$7:$AZ$1000,0,IFERROR(MATCH(U$5,'Oxford Economics'!$A$6:$AZ$6,0),MATCH(U$5&amp;"",'Oxford Economics'!$A$6:$AZ$6,0))),'Oxford Economics'!$A$7:$A$1000,$C51,'Oxford Economics'!$B$7:$B$1000,Settings!$B$15)+SUMIFS(INDEX('Oxford Economics'!$A$7:$AZ$1000,0,IFERROR(MATCH(U$5,'Oxford Economics'!$A$6:$AZ$6,0),MATCH(U$5&amp;"",'Oxford Economics'!$A$6:$AZ$6,0))),'Oxford Economics'!$A$7:$A$1000,$C51,'Oxford Economics'!$B$7:$B$1000,Settings!$B$17)+IF(Settings!$B$19="",0,SUMIFS(INDEX('Oxford Economics'!$A$7:$AZ$1000,0,IFERROR(MATCH(U$5,'Oxford Economics'!$A$6:$AZ$6,0),MATCH(U$5&amp;"",'Oxford Economics'!$A$6:$AZ$6,0))),'Oxford Economics'!$A$7:$A$1000,$C51,'Oxford Economics'!$B$7:$B$1000,Settings!$B$19)))),""))</f>
        <v>3624.83</v>
      </c>
      <c r="V51" s="38" t="n">
        <f aca="false">IF($A51="","",IFERROR(1/(1/IF($B51="Residential",SUMIFS(INDEX('Oxford Economics'!$A$7:$AZ$1000,0,IFERROR(MATCH(V$5,'Oxford Economics'!$A$6:$AZ$6,0),MATCH(V$5&amp;"",'Oxford Economics'!$A$6:$AZ$6,0))),'Oxford Economics'!$A$7:$A$1000,$C51,'Oxford Economics'!$B$7:$B$1000,Settings!$B$13)-SUMIFS(INDEX('Oxford Economics'!$A$7:$AZ$1000,0,IFERROR(MATCH(V$5,'Oxford Economics'!$A$6:$AZ$6,0),MATCH(V$5&amp;"",'Oxford Economics'!$A$6:$AZ$6,0))),'Oxford Economics'!$A$7:$A$1000,$C51,'Oxford Economics'!$B$7:$B$1000,Settings!$B$15),SUMIFS(INDEX('Oxford Economics'!$A$7:$AZ$1000,0,IFERROR(MATCH(V$5,'Oxford Economics'!$A$6:$AZ$6,0),MATCH(V$5&amp;"",'Oxford Economics'!$A$6:$AZ$6,0))),'Oxford Economics'!$A$7:$A$1000,$C51,'Oxford Economics'!$B$7:$B$1000,Settings!$B$15)+SUMIFS(INDEX('Oxford Economics'!$A$7:$AZ$1000,0,IFERROR(MATCH(V$5,'Oxford Economics'!$A$6:$AZ$6,0),MATCH(V$5&amp;"",'Oxford Economics'!$A$6:$AZ$6,0))),'Oxford Economics'!$A$7:$A$1000,$C51,'Oxford Economics'!$B$7:$B$1000,Settings!$B$17)+IF(Settings!$B$19="",0,SUMIFS(INDEX('Oxford Economics'!$A$7:$AZ$1000,0,IFERROR(MATCH(V$5,'Oxford Economics'!$A$6:$AZ$6,0),MATCH(V$5&amp;"",'Oxford Economics'!$A$6:$AZ$6,0))),'Oxford Economics'!$A$7:$A$1000,$C51,'Oxford Economics'!$B$7:$B$1000,Settings!$B$19)))),""))</f>
        <v>3497.72</v>
      </c>
      <c r="W51" s="38" t="n">
        <f aca="false">IF($A51="","",IFERROR(1/(1/IF($B51="Residential",SUMIFS(INDEX('Oxford Economics'!$A$7:$AZ$1000,0,IFERROR(MATCH(W$5,'Oxford Economics'!$A$6:$AZ$6,0),MATCH(W$5&amp;"",'Oxford Economics'!$A$6:$AZ$6,0))),'Oxford Economics'!$A$7:$A$1000,$C51,'Oxford Economics'!$B$7:$B$1000,Settings!$B$13)-SUMIFS(INDEX('Oxford Economics'!$A$7:$AZ$1000,0,IFERROR(MATCH(W$5,'Oxford Economics'!$A$6:$AZ$6,0),MATCH(W$5&amp;"",'Oxford Economics'!$A$6:$AZ$6,0))),'Oxford Economics'!$A$7:$A$1000,$C51,'Oxford Economics'!$B$7:$B$1000,Settings!$B$15),SUMIFS(INDEX('Oxford Economics'!$A$7:$AZ$1000,0,IFERROR(MATCH(W$5,'Oxford Economics'!$A$6:$AZ$6,0),MATCH(W$5&amp;"",'Oxford Economics'!$A$6:$AZ$6,0))),'Oxford Economics'!$A$7:$A$1000,$C51,'Oxford Economics'!$B$7:$B$1000,Settings!$B$15)+SUMIFS(INDEX('Oxford Economics'!$A$7:$AZ$1000,0,IFERROR(MATCH(W$5,'Oxford Economics'!$A$6:$AZ$6,0),MATCH(W$5&amp;"",'Oxford Economics'!$A$6:$AZ$6,0))),'Oxford Economics'!$A$7:$A$1000,$C51,'Oxford Economics'!$B$7:$B$1000,Settings!$B$17)+IF(Settings!$B$19="",0,SUMIFS(INDEX('Oxford Economics'!$A$7:$AZ$1000,0,IFERROR(MATCH(W$5,'Oxford Economics'!$A$6:$AZ$6,0),MATCH(W$5&amp;"",'Oxford Economics'!$A$6:$AZ$6,0))),'Oxford Economics'!$A$7:$A$1000,$C51,'Oxford Economics'!$B$7:$B$1000,Settings!$B$19)))),""))</f>
        <v>3531.72</v>
      </c>
      <c r="X51" s="38" t="n">
        <f aca="false">IF($A51="","",IFERROR(1/(1/IF($B51="Residential",SUMIFS(INDEX('Oxford Economics'!$A$7:$AZ$1000,0,IFERROR(MATCH(X$5,'Oxford Economics'!$A$6:$AZ$6,0),MATCH(X$5&amp;"",'Oxford Economics'!$A$6:$AZ$6,0))),'Oxford Economics'!$A$7:$A$1000,$C51,'Oxford Economics'!$B$7:$B$1000,Settings!$B$13)-SUMIFS(INDEX('Oxford Economics'!$A$7:$AZ$1000,0,IFERROR(MATCH(X$5,'Oxford Economics'!$A$6:$AZ$6,0),MATCH(X$5&amp;"",'Oxford Economics'!$A$6:$AZ$6,0))),'Oxford Economics'!$A$7:$A$1000,$C51,'Oxford Economics'!$B$7:$B$1000,Settings!$B$15),SUMIFS(INDEX('Oxford Economics'!$A$7:$AZ$1000,0,IFERROR(MATCH(X$5,'Oxford Economics'!$A$6:$AZ$6,0),MATCH(X$5&amp;"",'Oxford Economics'!$A$6:$AZ$6,0))),'Oxford Economics'!$A$7:$A$1000,$C51,'Oxford Economics'!$B$7:$B$1000,Settings!$B$15)+SUMIFS(INDEX('Oxford Economics'!$A$7:$AZ$1000,0,IFERROR(MATCH(X$5,'Oxford Economics'!$A$6:$AZ$6,0),MATCH(X$5&amp;"",'Oxford Economics'!$A$6:$AZ$6,0))),'Oxford Economics'!$A$7:$A$1000,$C51,'Oxford Economics'!$B$7:$B$1000,Settings!$B$17)+IF(Settings!$B$19="",0,SUMIFS(INDEX('Oxford Economics'!$A$7:$AZ$1000,0,IFERROR(MATCH(X$5,'Oxford Economics'!$A$6:$AZ$6,0),MATCH(X$5&amp;"",'Oxford Economics'!$A$6:$AZ$6,0))),'Oxford Economics'!$A$7:$A$1000,$C51,'Oxford Economics'!$B$7:$B$1000,Settings!$B$19)))),""))</f>
        <v>3742.78</v>
      </c>
      <c r="Y51" s="38" t="n">
        <f aca="false">IF($A51="","",IFERROR(1/(1/IF($B51="Residential",SUMIFS(INDEX('Oxford Economics'!$A$7:$AZ$1000,0,IFERROR(MATCH(Y$5,'Oxford Economics'!$A$6:$AZ$6,0),MATCH(Y$5&amp;"",'Oxford Economics'!$A$6:$AZ$6,0))),'Oxford Economics'!$A$7:$A$1000,$C51,'Oxford Economics'!$B$7:$B$1000,Settings!$B$13)-SUMIFS(INDEX('Oxford Economics'!$A$7:$AZ$1000,0,IFERROR(MATCH(Y$5,'Oxford Economics'!$A$6:$AZ$6,0),MATCH(Y$5&amp;"",'Oxford Economics'!$A$6:$AZ$6,0))),'Oxford Economics'!$A$7:$A$1000,$C51,'Oxford Economics'!$B$7:$B$1000,Settings!$B$15),SUMIFS(INDEX('Oxford Economics'!$A$7:$AZ$1000,0,IFERROR(MATCH(Y$5,'Oxford Economics'!$A$6:$AZ$6,0),MATCH(Y$5&amp;"",'Oxford Economics'!$A$6:$AZ$6,0))),'Oxford Economics'!$A$7:$A$1000,$C51,'Oxford Economics'!$B$7:$B$1000,Settings!$B$15)+SUMIFS(INDEX('Oxford Economics'!$A$7:$AZ$1000,0,IFERROR(MATCH(Y$5,'Oxford Economics'!$A$6:$AZ$6,0),MATCH(Y$5&amp;"",'Oxford Economics'!$A$6:$AZ$6,0))),'Oxford Economics'!$A$7:$A$1000,$C51,'Oxford Economics'!$B$7:$B$1000,Settings!$B$17)+IF(Settings!$B$19="",0,SUMIFS(INDEX('Oxford Economics'!$A$7:$AZ$1000,0,IFERROR(MATCH(Y$5,'Oxford Economics'!$A$6:$AZ$6,0),MATCH(Y$5&amp;"",'Oxford Economics'!$A$6:$AZ$6,0))),'Oxford Economics'!$A$7:$A$1000,$C51,'Oxford Economics'!$B$7:$B$1000,Settings!$B$19)))),""))</f>
        <v>3856.06</v>
      </c>
      <c r="Z51" s="38" t="n">
        <f aca="false">IF($A51="","",IFERROR(1/(1/IF($B51="Residential",SUMIFS(INDEX('Oxford Economics'!$A$7:$AZ$1000,0,IFERROR(MATCH(Z$5,'Oxford Economics'!$A$6:$AZ$6,0),MATCH(Z$5&amp;"",'Oxford Economics'!$A$6:$AZ$6,0))),'Oxford Economics'!$A$7:$A$1000,$C51,'Oxford Economics'!$B$7:$B$1000,Settings!$B$13)-SUMIFS(INDEX('Oxford Economics'!$A$7:$AZ$1000,0,IFERROR(MATCH(Z$5,'Oxford Economics'!$A$6:$AZ$6,0),MATCH(Z$5&amp;"",'Oxford Economics'!$A$6:$AZ$6,0))),'Oxford Economics'!$A$7:$A$1000,$C51,'Oxford Economics'!$B$7:$B$1000,Settings!$B$15),SUMIFS(INDEX('Oxford Economics'!$A$7:$AZ$1000,0,IFERROR(MATCH(Z$5,'Oxford Economics'!$A$6:$AZ$6,0),MATCH(Z$5&amp;"",'Oxford Economics'!$A$6:$AZ$6,0))),'Oxford Economics'!$A$7:$A$1000,$C51,'Oxford Economics'!$B$7:$B$1000,Settings!$B$15)+SUMIFS(INDEX('Oxford Economics'!$A$7:$AZ$1000,0,IFERROR(MATCH(Z$5,'Oxford Economics'!$A$6:$AZ$6,0),MATCH(Z$5&amp;"",'Oxford Economics'!$A$6:$AZ$6,0))),'Oxford Economics'!$A$7:$A$1000,$C51,'Oxford Economics'!$B$7:$B$1000,Settings!$B$17)+IF(Settings!$B$19="",0,SUMIFS(INDEX('Oxford Economics'!$A$7:$AZ$1000,0,IFERROR(MATCH(Z$5,'Oxford Economics'!$A$6:$AZ$6,0),MATCH(Z$5&amp;"",'Oxford Economics'!$A$6:$AZ$6,0))),'Oxford Economics'!$A$7:$A$1000,$C51,'Oxford Economics'!$B$7:$B$1000,Settings!$B$19)))),""))</f>
        <v>3967.35</v>
      </c>
      <c r="AA51" s="38" t="n">
        <f aca="false">IF($A51="","",IFERROR(1/(1/IF($B51="Residential",SUMIFS(INDEX('Oxford Economics'!$A$7:$AZ$1000,0,IFERROR(MATCH(AA$5,'Oxford Economics'!$A$6:$AZ$6,0),MATCH(AA$5&amp;"",'Oxford Economics'!$A$6:$AZ$6,0))),'Oxford Economics'!$A$7:$A$1000,$C51,'Oxford Economics'!$B$7:$B$1000,Settings!$B$13)-SUMIFS(INDEX('Oxford Economics'!$A$7:$AZ$1000,0,IFERROR(MATCH(AA$5,'Oxford Economics'!$A$6:$AZ$6,0),MATCH(AA$5&amp;"",'Oxford Economics'!$A$6:$AZ$6,0))),'Oxford Economics'!$A$7:$A$1000,$C51,'Oxford Economics'!$B$7:$B$1000,Settings!$B$15),SUMIFS(INDEX('Oxford Economics'!$A$7:$AZ$1000,0,IFERROR(MATCH(AA$5,'Oxford Economics'!$A$6:$AZ$6,0),MATCH(AA$5&amp;"",'Oxford Economics'!$A$6:$AZ$6,0))),'Oxford Economics'!$A$7:$A$1000,$C51,'Oxford Economics'!$B$7:$B$1000,Settings!$B$15)+SUMIFS(INDEX('Oxford Economics'!$A$7:$AZ$1000,0,IFERROR(MATCH(AA$5,'Oxford Economics'!$A$6:$AZ$6,0),MATCH(AA$5&amp;"",'Oxford Economics'!$A$6:$AZ$6,0))),'Oxford Economics'!$A$7:$A$1000,$C51,'Oxford Economics'!$B$7:$B$1000,Settings!$B$17)+IF(Settings!$B$19="",0,SUMIFS(INDEX('Oxford Economics'!$A$7:$AZ$1000,0,IFERROR(MATCH(AA$5,'Oxford Economics'!$A$6:$AZ$6,0),MATCH(AA$5&amp;"",'Oxford Economics'!$A$6:$AZ$6,0))),'Oxford Economics'!$A$7:$A$1000,$C51,'Oxford Economics'!$B$7:$B$1000,Settings!$B$19)))),""))</f>
        <v>4029.73</v>
      </c>
      <c r="AB51" s="38" t="n">
        <f aca="false">IF($A51="","",IFERROR(1/(1/IF($B51="Residential",SUMIFS(INDEX('Oxford Economics'!$A$7:$AZ$1000,0,IFERROR(MATCH(AB$5,'Oxford Economics'!$A$6:$AZ$6,0),MATCH(AB$5&amp;"",'Oxford Economics'!$A$6:$AZ$6,0))),'Oxford Economics'!$A$7:$A$1000,$C51,'Oxford Economics'!$B$7:$B$1000,Settings!$B$12)-SUMIFS(INDEX('Oxford Economics'!$A$7:$AZ$1000,0,IFERROR(MATCH(AB$5,'Oxford Economics'!$A$6:$AZ$6,0),MATCH(AB$5&amp;"",'Oxford Economics'!$A$6:$AZ$6,0))),'Oxford Economics'!$A$7:$A$1000,$C51,'Oxford Economics'!$B$7:$B$1000,Settings!$B$14),SUMIFS(INDEX('Oxford Economics'!$A$7:$AZ$1000,0,IFERROR(MATCH(AB$5,'Oxford Economics'!$A$6:$AZ$6,0),MATCH(AB$5&amp;"",'Oxford Economics'!$A$6:$AZ$6,0))),'Oxford Economics'!$A$7:$A$1000,$C51,'Oxford Economics'!$B$7:$B$1000,Settings!$B$14)+SUMIFS(INDEX('Oxford Economics'!$A$7:$AZ$1000,0,IFERROR(MATCH(AB$5,'Oxford Economics'!$A$6:$AZ$6,0),MATCH(AB$5&amp;"",'Oxford Economics'!$A$6:$AZ$6,0))),'Oxford Economics'!$A$7:$A$1000,$C51,'Oxford Economics'!$B$7:$B$1000,Settings!$B$16)+IF(Settings!$B$18="",0,SUMIFS(INDEX('Oxford Economics'!$A$7:$AZ$1000,0,IFERROR(MATCH(AB$5,'Oxford Economics'!$A$6:$AZ$6,0),MATCH(AB$5&amp;"",'Oxford Economics'!$A$6:$AZ$6,0))),'Oxford Economics'!$A$7:$A$1000,$C51,'Oxford Economics'!$B$7:$B$1000,Settings!$B$18)))),""))</f>
        <v>4151.37</v>
      </c>
      <c r="AC51" s="38" t="n">
        <f aca="false">IF($A51="","",IFERROR(1/(1/IF($B51="Residential",SUMIFS(INDEX('Oxford Economics'!$A$7:$AZ$1000,0,IFERROR(MATCH(AC$5,'Oxford Economics'!$A$6:$AZ$6,0),MATCH(AC$5&amp;"",'Oxford Economics'!$A$6:$AZ$6,0))),'Oxford Economics'!$A$7:$A$1000,$C51,'Oxford Economics'!$B$7:$B$1000,Settings!$B$12)-SUMIFS(INDEX('Oxford Economics'!$A$7:$AZ$1000,0,IFERROR(MATCH(AC$5,'Oxford Economics'!$A$6:$AZ$6,0),MATCH(AC$5&amp;"",'Oxford Economics'!$A$6:$AZ$6,0))),'Oxford Economics'!$A$7:$A$1000,$C51,'Oxford Economics'!$B$7:$B$1000,Settings!$B$14),SUMIFS(INDEX('Oxford Economics'!$A$7:$AZ$1000,0,IFERROR(MATCH(AC$5,'Oxford Economics'!$A$6:$AZ$6,0),MATCH(AC$5&amp;"",'Oxford Economics'!$A$6:$AZ$6,0))),'Oxford Economics'!$A$7:$A$1000,$C51,'Oxford Economics'!$B$7:$B$1000,Settings!$B$14)+SUMIFS(INDEX('Oxford Economics'!$A$7:$AZ$1000,0,IFERROR(MATCH(AC$5,'Oxford Economics'!$A$6:$AZ$6,0),MATCH(AC$5&amp;"",'Oxford Economics'!$A$6:$AZ$6,0))),'Oxford Economics'!$A$7:$A$1000,$C51,'Oxford Economics'!$B$7:$B$1000,Settings!$B$16)+IF(Settings!$B$18="",0,SUMIFS(INDEX('Oxford Economics'!$A$7:$AZ$1000,0,IFERROR(MATCH(AC$5,'Oxford Economics'!$A$6:$AZ$6,0),MATCH(AC$5&amp;"",'Oxford Economics'!$A$6:$AZ$6,0))),'Oxford Economics'!$A$7:$A$1000,$C51,'Oxford Economics'!$B$7:$B$1000,Settings!$B$18)))),""))</f>
        <v>4430.59</v>
      </c>
      <c r="AD51" s="38" t="n">
        <f aca="false">IF($A51="","",IFERROR(1/(1/IF($B51="Residential",SUMIFS(INDEX('Oxford Economics'!$A$7:$AZ$1000,0,IFERROR(MATCH(AD$5,'Oxford Economics'!$A$6:$AZ$6,0),MATCH(AD$5&amp;"",'Oxford Economics'!$A$6:$AZ$6,0))),'Oxford Economics'!$A$7:$A$1000,$C51,'Oxford Economics'!$B$7:$B$1000,Settings!$B$12)-SUMIFS(INDEX('Oxford Economics'!$A$7:$AZ$1000,0,IFERROR(MATCH(AD$5,'Oxford Economics'!$A$6:$AZ$6,0),MATCH(AD$5&amp;"",'Oxford Economics'!$A$6:$AZ$6,0))),'Oxford Economics'!$A$7:$A$1000,$C51,'Oxford Economics'!$B$7:$B$1000,Settings!$B$14),SUMIFS(INDEX('Oxford Economics'!$A$7:$AZ$1000,0,IFERROR(MATCH(AD$5,'Oxford Economics'!$A$6:$AZ$6,0),MATCH(AD$5&amp;"",'Oxford Economics'!$A$6:$AZ$6,0))),'Oxford Economics'!$A$7:$A$1000,$C51,'Oxford Economics'!$B$7:$B$1000,Settings!$B$14)+SUMIFS(INDEX('Oxford Economics'!$A$7:$AZ$1000,0,IFERROR(MATCH(AD$5,'Oxford Economics'!$A$6:$AZ$6,0),MATCH(AD$5&amp;"",'Oxford Economics'!$A$6:$AZ$6,0))),'Oxford Economics'!$A$7:$A$1000,$C51,'Oxford Economics'!$B$7:$B$1000,Settings!$B$16)+IF(Settings!$B$18="",0,SUMIFS(INDEX('Oxford Economics'!$A$7:$AZ$1000,0,IFERROR(MATCH(AD$5,'Oxford Economics'!$A$6:$AZ$6,0),MATCH(AD$5&amp;"",'Oxford Economics'!$A$6:$AZ$6,0))),'Oxford Economics'!$A$7:$A$1000,$C51,'Oxford Economics'!$B$7:$B$1000,Settings!$B$18)))),""))</f>
        <v>4523.31</v>
      </c>
      <c r="AE51" s="38" t="n">
        <f aca="false">IF($A51="","",IFERROR(1/(1/IF($B51="Residential",SUMIFS(INDEX('Oxford Economics'!$A$7:$AZ$1000,0,IFERROR(MATCH(AE$5,'Oxford Economics'!$A$6:$AZ$6,0),MATCH(AE$5&amp;"",'Oxford Economics'!$A$6:$AZ$6,0))),'Oxford Economics'!$A$7:$A$1000,$C51,'Oxford Economics'!$B$7:$B$1000,Settings!$B$12)-SUMIFS(INDEX('Oxford Economics'!$A$7:$AZ$1000,0,IFERROR(MATCH(AE$5,'Oxford Economics'!$A$6:$AZ$6,0),MATCH(AE$5&amp;"",'Oxford Economics'!$A$6:$AZ$6,0))),'Oxford Economics'!$A$7:$A$1000,$C51,'Oxford Economics'!$B$7:$B$1000,Settings!$B$14),SUMIFS(INDEX('Oxford Economics'!$A$7:$AZ$1000,0,IFERROR(MATCH(AE$5,'Oxford Economics'!$A$6:$AZ$6,0),MATCH(AE$5&amp;"",'Oxford Economics'!$A$6:$AZ$6,0))),'Oxford Economics'!$A$7:$A$1000,$C51,'Oxford Economics'!$B$7:$B$1000,Settings!$B$14)+SUMIFS(INDEX('Oxford Economics'!$A$7:$AZ$1000,0,IFERROR(MATCH(AE$5,'Oxford Economics'!$A$6:$AZ$6,0),MATCH(AE$5&amp;"",'Oxford Economics'!$A$6:$AZ$6,0))),'Oxford Economics'!$A$7:$A$1000,$C51,'Oxford Economics'!$B$7:$B$1000,Settings!$B$16)+IF(Settings!$B$18="",0,SUMIFS(INDEX('Oxford Economics'!$A$7:$AZ$1000,0,IFERROR(MATCH(AE$5,'Oxford Economics'!$A$6:$AZ$6,0),MATCH(AE$5&amp;"",'Oxford Economics'!$A$6:$AZ$6,0))),'Oxford Economics'!$A$7:$A$1000,$C51,'Oxford Economics'!$B$7:$B$1000,Settings!$B$18)))),""))</f>
        <v>4573.72</v>
      </c>
      <c r="AF51" s="38" t="n">
        <f aca="false">IF($A51="","",IFERROR(1/(1/IF($B51="Residential",SUMIFS(INDEX('Oxford Economics'!$A$7:$AZ$1000,0,IFERROR(MATCH(AF$5,'Oxford Economics'!$A$6:$AZ$6,0),MATCH(AF$5&amp;"",'Oxford Economics'!$A$6:$AZ$6,0))),'Oxford Economics'!$A$7:$A$1000,$C51,'Oxford Economics'!$B$7:$B$1000,Settings!$B$12)-SUMIFS(INDEX('Oxford Economics'!$A$7:$AZ$1000,0,IFERROR(MATCH(AF$5,'Oxford Economics'!$A$6:$AZ$6,0),MATCH(AF$5&amp;"",'Oxford Economics'!$A$6:$AZ$6,0))),'Oxford Economics'!$A$7:$A$1000,$C51,'Oxford Economics'!$B$7:$B$1000,Settings!$B$14),SUMIFS(INDEX('Oxford Economics'!$A$7:$AZ$1000,0,IFERROR(MATCH(AF$5,'Oxford Economics'!$A$6:$AZ$6,0),MATCH(AF$5&amp;"",'Oxford Economics'!$A$6:$AZ$6,0))),'Oxford Economics'!$A$7:$A$1000,$C51,'Oxford Economics'!$B$7:$B$1000,Settings!$B$14)+SUMIFS(INDEX('Oxford Economics'!$A$7:$AZ$1000,0,IFERROR(MATCH(AF$5,'Oxford Economics'!$A$6:$AZ$6,0),MATCH(AF$5&amp;"",'Oxford Economics'!$A$6:$AZ$6,0))),'Oxford Economics'!$A$7:$A$1000,$C51,'Oxford Economics'!$B$7:$B$1000,Settings!$B$16)+IF(Settings!$B$18="",0,SUMIFS(INDEX('Oxford Economics'!$A$7:$AZ$1000,0,IFERROR(MATCH(AF$5,'Oxford Economics'!$A$6:$AZ$6,0),MATCH(AF$5&amp;"",'Oxford Economics'!$A$6:$AZ$6,0))),'Oxford Economics'!$A$7:$A$1000,$C51,'Oxford Economics'!$B$7:$B$1000,Settings!$B$18)))),""))</f>
        <v>4512.94</v>
      </c>
      <c r="AG51" s="38" t="n">
        <f aca="false">IF($A51="","",IFERROR(1/(1/IF($B51="Residential",SUMIFS(INDEX('Oxford Economics'!$A$7:$AZ$1000,0,IFERROR(MATCH(AG$5,'Oxford Economics'!$A$6:$AZ$6,0),MATCH(AG$5&amp;"",'Oxford Economics'!$A$6:$AZ$6,0))),'Oxford Economics'!$A$7:$A$1000,$C51,'Oxford Economics'!$B$7:$B$1000,Settings!$B$12)-SUMIFS(INDEX('Oxford Economics'!$A$7:$AZ$1000,0,IFERROR(MATCH(AG$5,'Oxford Economics'!$A$6:$AZ$6,0),MATCH(AG$5&amp;"",'Oxford Economics'!$A$6:$AZ$6,0))),'Oxford Economics'!$A$7:$A$1000,$C51,'Oxford Economics'!$B$7:$B$1000,Settings!$B$14),SUMIFS(INDEX('Oxford Economics'!$A$7:$AZ$1000,0,IFERROR(MATCH(AG$5,'Oxford Economics'!$A$6:$AZ$6,0),MATCH(AG$5&amp;"",'Oxford Economics'!$A$6:$AZ$6,0))),'Oxford Economics'!$A$7:$A$1000,$C51,'Oxford Economics'!$B$7:$B$1000,Settings!$B$14)+SUMIFS(INDEX('Oxford Economics'!$A$7:$AZ$1000,0,IFERROR(MATCH(AG$5,'Oxford Economics'!$A$6:$AZ$6,0),MATCH(AG$5&amp;"",'Oxford Economics'!$A$6:$AZ$6,0))),'Oxford Economics'!$A$7:$A$1000,$C51,'Oxford Economics'!$B$7:$B$1000,Settings!$B$16)+IF(Settings!$B$18="",0,SUMIFS(INDEX('Oxford Economics'!$A$7:$AZ$1000,0,IFERROR(MATCH(AG$5,'Oxford Economics'!$A$6:$AZ$6,0),MATCH(AG$5&amp;"",'Oxford Economics'!$A$6:$AZ$6,0))),'Oxford Economics'!$A$7:$A$1000,$C51,'Oxford Economics'!$B$7:$B$1000,Settings!$B$18)))),""))</f>
        <v>4417.65</v>
      </c>
      <c r="AH51" s="38" t="n">
        <f aca="false">IF($A51="","",IFERROR(1/(1/IF($B51="Residential",SUMIFS(INDEX('Oxford Economics'!$A$7:$AZ$1000,0,IFERROR(MATCH(AH$5,'Oxford Economics'!$A$6:$AZ$6,0),MATCH(AH$5&amp;"",'Oxford Economics'!$A$6:$AZ$6,0))),'Oxford Economics'!$A$7:$A$1000,$C51,'Oxford Economics'!$B$7:$B$1000,Settings!$B$12)-SUMIFS(INDEX('Oxford Economics'!$A$7:$AZ$1000,0,IFERROR(MATCH(AH$5,'Oxford Economics'!$A$6:$AZ$6,0),MATCH(AH$5&amp;"",'Oxford Economics'!$A$6:$AZ$6,0))),'Oxford Economics'!$A$7:$A$1000,$C51,'Oxford Economics'!$B$7:$B$1000,Settings!$B$14),SUMIFS(INDEX('Oxford Economics'!$A$7:$AZ$1000,0,IFERROR(MATCH(AH$5,'Oxford Economics'!$A$6:$AZ$6,0),MATCH(AH$5&amp;"",'Oxford Economics'!$A$6:$AZ$6,0))),'Oxford Economics'!$A$7:$A$1000,$C51,'Oxford Economics'!$B$7:$B$1000,Settings!$B$14)+SUMIFS(INDEX('Oxford Economics'!$A$7:$AZ$1000,0,IFERROR(MATCH(AH$5,'Oxford Economics'!$A$6:$AZ$6,0),MATCH(AH$5&amp;"",'Oxford Economics'!$A$6:$AZ$6,0))),'Oxford Economics'!$A$7:$A$1000,$C51,'Oxford Economics'!$B$7:$B$1000,Settings!$B$16)+IF(Settings!$B$18="",0,SUMIFS(INDEX('Oxford Economics'!$A$7:$AZ$1000,0,IFERROR(MATCH(AH$5,'Oxford Economics'!$A$6:$AZ$6,0),MATCH(AH$5&amp;"",'Oxford Economics'!$A$6:$AZ$6,0))),'Oxford Economics'!$A$7:$A$1000,$C51,'Oxford Economics'!$B$7:$B$1000,Settings!$B$18)))),""))</f>
        <v>4216.77</v>
      </c>
      <c r="AI51" s="38" t="n">
        <f aca="false">IF($A51="","",IFERROR(1/(1/IF($B51="Residential",SUMIFS(INDEX('Oxford Economics'!$A$7:$AZ$1000,0,IFERROR(MATCH(AI$5,'Oxford Economics'!$A$6:$AZ$6,0),MATCH(AI$5&amp;"",'Oxford Economics'!$A$6:$AZ$6,0))),'Oxford Economics'!$A$7:$A$1000,$C51,'Oxford Economics'!$B$7:$B$1000,Settings!$B$12)-SUMIFS(INDEX('Oxford Economics'!$A$7:$AZ$1000,0,IFERROR(MATCH(AI$5,'Oxford Economics'!$A$6:$AZ$6,0),MATCH(AI$5&amp;"",'Oxford Economics'!$A$6:$AZ$6,0))),'Oxford Economics'!$A$7:$A$1000,$C51,'Oxford Economics'!$B$7:$B$1000,Settings!$B$14),SUMIFS(INDEX('Oxford Economics'!$A$7:$AZ$1000,0,IFERROR(MATCH(AI$5,'Oxford Economics'!$A$6:$AZ$6,0),MATCH(AI$5&amp;"",'Oxford Economics'!$A$6:$AZ$6,0))),'Oxford Economics'!$A$7:$A$1000,$C51,'Oxford Economics'!$B$7:$B$1000,Settings!$B$14)+SUMIFS(INDEX('Oxford Economics'!$A$7:$AZ$1000,0,IFERROR(MATCH(AI$5,'Oxford Economics'!$A$6:$AZ$6,0),MATCH(AI$5&amp;"",'Oxford Economics'!$A$6:$AZ$6,0))),'Oxford Economics'!$A$7:$A$1000,$C51,'Oxford Economics'!$B$7:$B$1000,Settings!$B$16)+IF(Settings!$B$18="",0,SUMIFS(INDEX('Oxford Economics'!$A$7:$AZ$1000,0,IFERROR(MATCH(AI$5,'Oxford Economics'!$A$6:$AZ$6,0),MATCH(AI$5&amp;"",'Oxford Economics'!$A$6:$AZ$6,0))),'Oxford Economics'!$A$7:$A$1000,$C51,'Oxford Economics'!$B$7:$B$1000,Settings!$B$18)))),""))</f>
        <v>4156.6</v>
      </c>
      <c r="AJ51" s="38" t="n">
        <f aca="false">IF($A51="","",IFERROR(1/(1/IF($B51="Residential",SUMIFS(INDEX('Oxford Economics'!$A$7:$AZ$1000,0,IFERROR(MATCH(AJ$5,'Oxford Economics'!$A$6:$AZ$6,0),MATCH(AJ$5&amp;"",'Oxford Economics'!$A$6:$AZ$6,0))),'Oxford Economics'!$A$7:$A$1000,$C51,'Oxford Economics'!$B$7:$B$1000,Settings!$B$12)-SUMIFS(INDEX('Oxford Economics'!$A$7:$AZ$1000,0,IFERROR(MATCH(AJ$5,'Oxford Economics'!$A$6:$AZ$6,0),MATCH(AJ$5&amp;"",'Oxford Economics'!$A$6:$AZ$6,0))),'Oxford Economics'!$A$7:$A$1000,$C51,'Oxford Economics'!$B$7:$B$1000,Settings!$B$14),SUMIFS(INDEX('Oxford Economics'!$A$7:$AZ$1000,0,IFERROR(MATCH(AJ$5,'Oxford Economics'!$A$6:$AZ$6,0),MATCH(AJ$5&amp;"",'Oxford Economics'!$A$6:$AZ$6,0))),'Oxford Economics'!$A$7:$A$1000,$C51,'Oxford Economics'!$B$7:$B$1000,Settings!$B$14)+SUMIFS(INDEX('Oxford Economics'!$A$7:$AZ$1000,0,IFERROR(MATCH(AJ$5,'Oxford Economics'!$A$6:$AZ$6,0),MATCH(AJ$5&amp;"",'Oxford Economics'!$A$6:$AZ$6,0))),'Oxford Economics'!$A$7:$A$1000,$C51,'Oxford Economics'!$B$7:$B$1000,Settings!$B$16)+IF(Settings!$B$18="",0,SUMIFS(INDEX('Oxford Economics'!$A$7:$AZ$1000,0,IFERROR(MATCH(AJ$5,'Oxford Economics'!$A$6:$AZ$6,0),MATCH(AJ$5&amp;"",'Oxford Economics'!$A$6:$AZ$6,0))),'Oxford Economics'!$A$7:$A$1000,$C51,'Oxford Economics'!$B$7:$B$1000,Settings!$B$18)))),""))</f>
        <v>4382.67</v>
      </c>
      <c r="AK51" s="38" t="n">
        <f aca="false">IF($A51="","",IFERROR(1/(1/IF($B51="Residential",SUMIFS(INDEX('Oxford Economics'!$A$7:$AZ$1000,0,IFERROR(MATCH(AK$5,'Oxford Economics'!$A$6:$AZ$6,0),MATCH(AK$5&amp;"",'Oxford Economics'!$A$6:$AZ$6,0))),'Oxford Economics'!$A$7:$A$1000,$C51,'Oxford Economics'!$B$7:$B$1000,Settings!$B$12)-SUMIFS(INDEX('Oxford Economics'!$A$7:$AZ$1000,0,IFERROR(MATCH(AK$5,'Oxford Economics'!$A$6:$AZ$6,0),MATCH(AK$5&amp;"",'Oxford Economics'!$A$6:$AZ$6,0))),'Oxford Economics'!$A$7:$A$1000,$C51,'Oxford Economics'!$B$7:$B$1000,Settings!$B$14),SUMIFS(INDEX('Oxford Economics'!$A$7:$AZ$1000,0,IFERROR(MATCH(AK$5,'Oxford Economics'!$A$6:$AZ$6,0),MATCH(AK$5&amp;"",'Oxford Economics'!$A$6:$AZ$6,0))),'Oxford Economics'!$A$7:$A$1000,$C51,'Oxford Economics'!$B$7:$B$1000,Settings!$B$14)+SUMIFS(INDEX('Oxford Economics'!$A$7:$AZ$1000,0,IFERROR(MATCH(AK$5,'Oxford Economics'!$A$6:$AZ$6,0),MATCH(AK$5&amp;"",'Oxford Economics'!$A$6:$AZ$6,0))),'Oxford Economics'!$A$7:$A$1000,$C51,'Oxford Economics'!$B$7:$B$1000,Settings!$B$16)+IF(Settings!$B$18="",0,SUMIFS(INDEX('Oxford Economics'!$A$7:$AZ$1000,0,IFERROR(MATCH(AK$5,'Oxford Economics'!$A$6:$AZ$6,0),MATCH(AK$5&amp;"",'Oxford Economics'!$A$6:$AZ$6,0))),'Oxford Economics'!$A$7:$A$1000,$C51,'Oxford Economics'!$B$7:$B$1000,Settings!$B$18)))),""))</f>
        <v>4475.98</v>
      </c>
      <c r="AL51" s="38" t="n">
        <f aca="false">IF($A51="","",IFERROR(1/(1/IF($B51="Residential",SUMIFS(INDEX('Oxford Economics'!$A$7:$AZ$1000,0,IFERROR(MATCH(AL$5,'Oxford Economics'!$A$6:$AZ$6,0),MATCH(AL$5&amp;"",'Oxford Economics'!$A$6:$AZ$6,0))),'Oxford Economics'!$A$7:$A$1000,$C51,'Oxford Economics'!$B$7:$B$1000,Settings!$B$12)-SUMIFS(INDEX('Oxford Economics'!$A$7:$AZ$1000,0,IFERROR(MATCH(AL$5,'Oxford Economics'!$A$6:$AZ$6,0),MATCH(AL$5&amp;"",'Oxford Economics'!$A$6:$AZ$6,0))),'Oxford Economics'!$A$7:$A$1000,$C51,'Oxford Economics'!$B$7:$B$1000,Settings!$B$14),SUMIFS(INDEX('Oxford Economics'!$A$7:$AZ$1000,0,IFERROR(MATCH(AL$5,'Oxford Economics'!$A$6:$AZ$6,0),MATCH(AL$5&amp;"",'Oxford Economics'!$A$6:$AZ$6,0))),'Oxford Economics'!$A$7:$A$1000,$C51,'Oxford Economics'!$B$7:$B$1000,Settings!$B$14)+SUMIFS(INDEX('Oxford Economics'!$A$7:$AZ$1000,0,IFERROR(MATCH(AL$5,'Oxford Economics'!$A$6:$AZ$6,0),MATCH(AL$5&amp;"",'Oxford Economics'!$A$6:$AZ$6,0))),'Oxford Economics'!$A$7:$A$1000,$C51,'Oxford Economics'!$B$7:$B$1000,Settings!$B$16)+IF(Settings!$B$18="",0,SUMIFS(INDEX('Oxford Economics'!$A$7:$AZ$1000,0,IFERROR(MATCH(AL$5,'Oxford Economics'!$A$6:$AZ$6,0),MATCH(AL$5&amp;"",'Oxford Economics'!$A$6:$AZ$6,0))),'Oxford Economics'!$A$7:$A$1000,$C51,'Oxford Economics'!$B$7:$B$1000,Settings!$B$18)))),""))</f>
        <v>4511.95</v>
      </c>
      <c r="AM51" s="38" t="n">
        <f aca="false">IF($A51="","",IFERROR(1/(1/IF($B51="Residential",SUMIFS(INDEX('Oxford Economics'!$A$7:$AZ$1000,0,IFERROR(MATCH(AM$5,'Oxford Economics'!$A$6:$AZ$6,0),MATCH(AM$5&amp;"",'Oxford Economics'!$A$6:$AZ$6,0))),'Oxford Economics'!$A$7:$A$1000,$C51,'Oxford Economics'!$B$7:$B$1000,Settings!$B$12)-SUMIFS(INDEX('Oxford Economics'!$A$7:$AZ$1000,0,IFERROR(MATCH(AM$5,'Oxford Economics'!$A$6:$AZ$6,0),MATCH(AM$5&amp;"",'Oxford Economics'!$A$6:$AZ$6,0))),'Oxford Economics'!$A$7:$A$1000,$C51,'Oxford Economics'!$B$7:$B$1000,Settings!$B$14),SUMIFS(INDEX('Oxford Economics'!$A$7:$AZ$1000,0,IFERROR(MATCH(AM$5,'Oxford Economics'!$A$6:$AZ$6,0),MATCH(AM$5&amp;"",'Oxford Economics'!$A$6:$AZ$6,0))),'Oxford Economics'!$A$7:$A$1000,$C51,'Oxford Economics'!$B$7:$B$1000,Settings!$B$14)+SUMIFS(INDEX('Oxford Economics'!$A$7:$AZ$1000,0,IFERROR(MATCH(AM$5,'Oxford Economics'!$A$6:$AZ$6,0),MATCH(AM$5&amp;"",'Oxford Economics'!$A$6:$AZ$6,0))),'Oxford Economics'!$A$7:$A$1000,$C51,'Oxford Economics'!$B$7:$B$1000,Settings!$B$16)+IF(Settings!$B$18="",0,SUMIFS(INDEX('Oxford Economics'!$A$7:$AZ$1000,0,IFERROR(MATCH(AM$5,'Oxford Economics'!$A$6:$AZ$6,0),MATCH(AM$5&amp;"",'Oxford Economics'!$A$6:$AZ$6,0))),'Oxford Economics'!$A$7:$A$1000,$C51,'Oxford Economics'!$B$7:$B$1000,Settings!$B$18)))),""))</f>
        <v>4553.43</v>
      </c>
    </row>
    <row r="52" customFormat="false" ht="15" hidden="false" customHeight="false" outlineLevel="0" collapsed="false">
      <c r="A52" s="37" t="str">
        <f aca="false">IF('Raw data'!$A52="","",'Raw data'!$A52)</f>
        <v>Denmark</v>
      </c>
      <c r="B52" s="37" t="str">
        <f aca="false">IF($A52="","",'Raw data'!$C52)</f>
        <v>Commercial</v>
      </c>
      <c r="C52" s="37" t="str">
        <f aca="false">IF($A52="","",IF('Raw data'!$E52="",$A52,'Raw data'!$E52))</f>
        <v>Denmark</v>
      </c>
      <c r="D52" s="38" t="n">
        <f aca="false">IF($A52="","",IF(AND(ISNUMBER(P52),ISNUMBER(AB52)),P52+AB52,""))</f>
        <v>6757.25</v>
      </c>
      <c r="E52" s="38" t="n">
        <f aca="false">IF($A52="","",IF(AND(ISNUMBER(Q52),ISNUMBER(AC52)),Q52+AC52,""))</f>
        <v>7423.11</v>
      </c>
      <c r="F52" s="38" t="n">
        <f aca="false">IF($A52="","",IF(AND(ISNUMBER(R52),ISNUMBER(AD52)),R52+AD52,""))</f>
        <v>7458.6</v>
      </c>
      <c r="G52" s="38" t="n">
        <f aca="false">IF($A52="","",IF(AND(ISNUMBER(S52),ISNUMBER(AE52)),S52+AE52,""))</f>
        <v>7750.14</v>
      </c>
      <c r="H52" s="38" t="n">
        <f aca="false">IF($A52="","",IF(AND(ISNUMBER(T52),ISNUMBER(AF52)),T52+AF52,""))</f>
        <v>8162.82</v>
      </c>
      <c r="I52" s="38" t="n">
        <f aca="false">IF($A52="","",IF(AND(ISNUMBER(U52),ISNUMBER(AG52)),U52+AG52,""))</f>
        <v>8042.48</v>
      </c>
      <c r="J52" s="38" t="n">
        <f aca="false">IF($A52="","",IF(AND(ISNUMBER(V52),ISNUMBER(AH52)),V52+AH52,""))</f>
        <v>7714.49</v>
      </c>
      <c r="K52" s="38" t="n">
        <f aca="false">IF($A52="","",IF(AND(ISNUMBER(W52),ISNUMBER(AI52)),W52+AI52,""))</f>
        <v>7688.32</v>
      </c>
      <c r="L52" s="38" t="n">
        <f aca="false">IF($A52="","",IF(AND(ISNUMBER(X52),ISNUMBER(AJ52)),X52+AJ52,""))</f>
        <v>8125.45</v>
      </c>
      <c r="M52" s="38" t="n">
        <f aca="false">IF($A52="","",IF(AND(ISNUMBER(Y52),ISNUMBER(AK52)),Y52+AK52,""))</f>
        <v>8332.04</v>
      </c>
      <c r="N52" s="38" t="n">
        <f aca="false">IF($A52="","",IF(AND(ISNUMBER(Z52),ISNUMBER(AL52)),Z52+AL52,""))</f>
        <v>8479.3</v>
      </c>
      <c r="O52" s="38" t="n">
        <f aca="false">IF($A52="","",IF(AND(ISNUMBER(AA52),ISNUMBER(AM52)),AA52+AM52,""))</f>
        <v>8583.16</v>
      </c>
      <c r="P52" s="38" t="n">
        <f aca="false">IF($A52="","",IFERROR(1/(1/IF($B52="Residential",SUMIFS(INDEX('Oxford Economics'!$A$7:$AZ$1000,0,IFERROR(MATCH(P$5,'Oxford Economics'!$A$6:$AZ$6,0),MATCH(P$5&amp;"",'Oxford Economics'!$A$6:$AZ$6,0))),'Oxford Economics'!$A$7:$A$1000,$C52,'Oxford Economics'!$B$7:$B$1000,Settings!$B$13)-SUMIFS(INDEX('Oxford Economics'!$A$7:$AZ$1000,0,IFERROR(MATCH(P$5,'Oxford Economics'!$A$6:$AZ$6,0),MATCH(P$5&amp;"",'Oxford Economics'!$A$6:$AZ$6,0))),'Oxford Economics'!$A$7:$A$1000,$C52,'Oxford Economics'!$B$7:$B$1000,Settings!$B$15),SUMIFS(INDEX('Oxford Economics'!$A$7:$AZ$1000,0,IFERROR(MATCH(P$5,'Oxford Economics'!$A$6:$AZ$6,0),MATCH(P$5&amp;"",'Oxford Economics'!$A$6:$AZ$6,0))),'Oxford Economics'!$A$7:$A$1000,$C52,'Oxford Economics'!$B$7:$B$1000,Settings!$B$15)+SUMIFS(INDEX('Oxford Economics'!$A$7:$AZ$1000,0,IFERROR(MATCH(P$5,'Oxford Economics'!$A$6:$AZ$6,0),MATCH(P$5&amp;"",'Oxford Economics'!$A$6:$AZ$6,0))),'Oxford Economics'!$A$7:$A$1000,$C52,'Oxford Economics'!$B$7:$B$1000,Settings!$B$17)+IF(Settings!$B$19="",0,SUMIFS(INDEX('Oxford Economics'!$A$7:$AZ$1000,0,IFERROR(MATCH(P$5,'Oxford Economics'!$A$6:$AZ$6,0),MATCH(P$5&amp;"",'Oxford Economics'!$A$6:$AZ$6,0))),'Oxford Economics'!$A$7:$A$1000,$C52,'Oxford Economics'!$B$7:$B$1000,Settings!$B$19)))),""))</f>
        <v>2605.88</v>
      </c>
      <c r="Q52" s="38" t="n">
        <f aca="false">IF($A52="","",IFERROR(1/(1/IF($B52="Residential",SUMIFS(INDEX('Oxford Economics'!$A$7:$AZ$1000,0,IFERROR(MATCH(Q$5,'Oxford Economics'!$A$6:$AZ$6,0),MATCH(Q$5&amp;"",'Oxford Economics'!$A$6:$AZ$6,0))),'Oxford Economics'!$A$7:$A$1000,$C52,'Oxford Economics'!$B$7:$B$1000,Settings!$B$13)-SUMIFS(INDEX('Oxford Economics'!$A$7:$AZ$1000,0,IFERROR(MATCH(Q$5,'Oxford Economics'!$A$6:$AZ$6,0),MATCH(Q$5&amp;"",'Oxford Economics'!$A$6:$AZ$6,0))),'Oxford Economics'!$A$7:$A$1000,$C52,'Oxford Economics'!$B$7:$B$1000,Settings!$B$15),SUMIFS(INDEX('Oxford Economics'!$A$7:$AZ$1000,0,IFERROR(MATCH(Q$5,'Oxford Economics'!$A$6:$AZ$6,0),MATCH(Q$5&amp;"",'Oxford Economics'!$A$6:$AZ$6,0))),'Oxford Economics'!$A$7:$A$1000,$C52,'Oxford Economics'!$B$7:$B$1000,Settings!$B$15)+SUMIFS(INDEX('Oxford Economics'!$A$7:$AZ$1000,0,IFERROR(MATCH(Q$5,'Oxford Economics'!$A$6:$AZ$6,0),MATCH(Q$5&amp;"",'Oxford Economics'!$A$6:$AZ$6,0))),'Oxford Economics'!$A$7:$A$1000,$C52,'Oxford Economics'!$B$7:$B$1000,Settings!$B$17)+IF(Settings!$B$19="",0,SUMIFS(INDEX('Oxford Economics'!$A$7:$AZ$1000,0,IFERROR(MATCH(Q$5,'Oxford Economics'!$A$6:$AZ$6,0),MATCH(Q$5&amp;"",'Oxford Economics'!$A$6:$AZ$6,0))),'Oxford Economics'!$A$7:$A$1000,$C52,'Oxford Economics'!$B$7:$B$1000,Settings!$B$19)))),""))</f>
        <v>2992.52</v>
      </c>
      <c r="R52" s="38" t="n">
        <f aca="false">IF($A52="","",IFERROR(1/(1/IF($B52="Residential",SUMIFS(INDEX('Oxford Economics'!$A$7:$AZ$1000,0,IFERROR(MATCH(R$5,'Oxford Economics'!$A$6:$AZ$6,0),MATCH(R$5&amp;"",'Oxford Economics'!$A$6:$AZ$6,0))),'Oxford Economics'!$A$7:$A$1000,$C52,'Oxford Economics'!$B$7:$B$1000,Settings!$B$13)-SUMIFS(INDEX('Oxford Economics'!$A$7:$AZ$1000,0,IFERROR(MATCH(R$5,'Oxford Economics'!$A$6:$AZ$6,0),MATCH(R$5&amp;"",'Oxford Economics'!$A$6:$AZ$6,0))),'Oxford Economics'!$A$7:$A$1000,$C52,'Oxford Economics'!$B$7:$B$1000,Settings!$B$15),SUMIFS(INDEX('Oxford Economics'!$A$7:$AZ$1000,0,IFERROR(MATCH(R$5,'Oxford Economics'!$A$6:$AZ$6,0),MATCH(R$5&amp;"",'Oxford Economics'!$A$6:$AZ$6,0))),'Oxford Economics'!$A$7:$A$1000,$C52,'Oxford Economics'!$B$7:$B$1000,Settings!$B$15)+SUMIFS(INDEX('Oxford Economics'!$A$7:$AZ$1000,0,IFERROR(MATCH(R$5,'Oxford Economics'!$A$6:$AZ$6,0),MATCH(R$5&amp;"",'Oxford Economics'!$A$6:$AZ$6,0))),'Oxford Economics'!$A$7:$A$1000,$C52,'Oxford Economics'!$B$7:$B$1000,Settings!$B$17)+IF(Settings!$B$19="",0,SUMIFS(INDEX('Oxford Economics'!$A$7:$AZ$1000,0,IFERROR(MATCH(R$5,'Oxford Economics'!$A$6:$AZ$6,0),MATCH(R$5&amp;"",'Oxford Economics'!$A$6:$AZ$6,0))),'Oxford Economics'!$A$7:$A$1000,$C52,'Oxford Economics'!$B$7:$B$1000,Settings!$B$19)))),""))</f>
        <v>2935.29</v>
      </c>
      <c r="S52" s="38" t="n">
        <f aca="false">IF($A52="","",IFERROR(1/(1/IF($B52="Residential",SUMIFS(INDEX('Oxford Economics'!$A$7:$AZ$1000,0,IFERROR(MATCH(S$5,'Oxford Economics'!$A$6:$AZ$6,0),MATCH(S$5&amp;"",'Oxford Economics'!$A$6:$AZ$6,0))),'Oxford Economics'!$A$7:$A$1000,$C52,'Oxford Economics'!$B$7:$B$1000,Settings!$B$13)-SUMIFS(INDEX('Oxford Economics'!$A$7:$AZ$1000,0,IFERROR(MATCH(S$5,'Oxford Economics'!$A$6:$AZ$6,0),MATCH(S$5&amp;"",'Oxford Economics'!$A$6:$AZ$6,0))),'Oxford Economics'!$A$7:$A$1000,$C52,'Oxford Economics'!$B$7:$B$1000,Settings!$B$15),SUMIFS(INDEX('Oxford Economics'!$A$7:$AZ$1000,0,IFERROR(MATCH(S$5,'Oxford Economics'!$A$6:$AZ$6,0),MATCH(S$5&amp;"",'Oxford Economics'!$A$6:$AZ$6,0))),'Oxford Economics'!$A$7:$A$1000,$C52,'Oxford Economics'!$B$7:$B$1000,Settings!$B$15)+SUMIFS(INDEX('Oxford Economics'!$A$7:$AZ$1000,0,IFERROR(MATCH(S$5,'Oxford Economics'!$A$6:$AZ$6,0),MATCH(S$5&amp;"",'Oxford Economics'!$A$6:$AZ$6,0))),'Oxford Economics'!$A$7:$A$1000,$C52,'Oxford Economics'!$B$7:$B$1000,Settings!$B$17)+IF(Settings!$B$19="",0,SUMIFS(INDEX('Oxford Economics'!$A$7:$AZ$1000,0,IFERROR(MATCH(S$5,'Oxford Economics'!$A$6:$AZ$6,0),MATCH(S$5&amp;"",'Oxford Economics'!$A$6:$AZ$6,0))),'Oxford Economics'!$A$7:$A$1000,$C52,'Oxford Economics'!$B$7:$B$1000,Settings!$B$19)))),""))</f>
        <v>3176.42</v>
      </c>
      <c r="T52" s="38" t="n">
        <f aca="false">IF($A52="","",IFERROR(1/(1/IF($B52="Residential",SUMIFS(INDEX('Oxford Economics'!$A$7:$AZ$1000,0,IFERROR(MATCH(T$5,'Oxford Economics'!$A$6:$AZ$6,0),MATCH(T$5&amp;"",'Oxford Economics'!$A$6:$AZ$6,0))),'Oxford Economics'!$A$7:$A$1000,$C52,'Oxford Economics'!$B$7:$B$1000,Settings!$B$13)-SUMIFS(INDEX('Oxford Economics'!$A$7:$AZ$1000,0,IFERROR(MATCH(T$5,'Oxford Economics'!$A$6:$AZ$6,0),MATCH(T$5&amp;"",'Oxford Economics'!$A$6:$AZ$6,0))),'Oxford Economics'!$A$7:$A$1000,$C52,'Oxford Economics'!$B$7:$B$1000,Settings!$B$15),SUMIFS(INDEX('Oxford Economics'!$A$7:$AZ$1000,0,IFERROR(MATCH(T$5,'Oxford Economics'!$A$6:$AZ$6,0),MATCH(T$5&amp;"",'Oxford Economics'!$A$6:$AZ$6,0))),'Oxford Economics'!$A$7:$A$1000,$C52,'Oxford Economics'!$B$7:$B$1000,Settings!$B$15)+SUMIFS(INDEX('Oxford Economics'!$A$7:$AZ$1000,0,IFERROR(MATCH(T$5,'Oxford Economics'!$A$6:$AZ$6,0),MATCH(T$5&amp;"",'Oxford Economics'!$A$6:$AZ$6,0))),'Oxford Economics'!$A$7:$A$1000,$C52,'Oxford Economics'!$B$7:$B$1000,Settings!$B$17)+IF(Settings!$B$19="",0,SUMIFS(INDEX('Oxford Economics'!$A$7:$AZ$1000,0,IFERROR(MATCH(T$5,'Oxford Economics'!$A$6:$AZ$6,0),MATCH(T$5&amp;"",'Oxford Economics'!$A$6:$AZ$6,0))),'Oxford Economics'!$A$7:$A$1000,$C52,'Oxford Economics'!$B$7:$B$1000,Settings!$B$19)))),""))</f>
        <v>3649.88</v>
      </c>
      <c r="U52" s="38" t="n">
        <f aca="false">IF($A52="","",IFERROR(1/(1/IF($B52="Residential",SUMIFS(INDEX('Oxford Economics'!$A$7:$AZ$1000,0,IFERROR(MATCH(U$5,'Oxford Economics'!$A$6:$AZ$6,0),MATCH(U$5&amp;"",'Oxford Economics'!$A$6:$AZ$6,0))),'Oxford Economics'!$A$7:$A$1000,$C52,'Oxford Economics'!$B$7:$B$1000,Settings!$B$13)-SUMIFS(INDEX('Oxford Economics'!$A$7:$AZ$1000,0,IFERROR(MATCH(U$5,'Oxford Economics'!$A$6:$AZ$6,0),MATCH(U$5&amp;"",'Oxford Economics'!$A$6:$AZ$6,0))),'Oxford Economics'!$A$7:$A$1000,$C52,'Oxford Economics'!$B$7:$B$1000,Settings!$B$15),SUMIFS(INDEX('Oxford Economics'!$A$7:$AZ$1000,0,IFERROR(MATCH(U$5,'Oxford Economics'!$A$6:$AZ$6,0),MATCH(U$5&amp;"",'Oxford Economics'!$A$6:$AZ$6,0))),'Oxford Economics'!$A$7:$A$1000,$C52,'Oxford Economics'!$B$7:$B$1000,Settings!$B$15)+SUMIFS(INDEX('Oxford Economics'!$A$7:$AZ$1000,0,IFERROR(MATCH(U$5,'Oxford Economics'!$A$6:$AZ$6,0),MATCH(U$5&amp;"",'Oxford Economics'!$A$6:$AZ$6,0))),'Oxford Economics'!$A$7:$A$1000,$C52,'Oxford Economics'!$B$7:$B$1000,Settings!$B$17)+IF(Settings!$B$19="",0,SUMIFS(INDEX('Oxford Economics'!$A$7:$AZ$1000,0,IFERROR(MATCH(U$5,'Oxford Economics'!$A$6:$AZ$6,0),MATCH(U$5&amp;"",'Oxford Economics'!$A$6:$AZ$6,0))),'Oxford Economics'!$A$7:$A$1000,$C52,'Oxford Economics'!$B$7:$B$1000,Settings!$B$19)))),""))</f>
        <v>3624.83</v>
      </c>
      <c r="V52" s="38" t="n">
        <f aca="false">IF($A52="","",IFERROR(1/(1/IF($B52="Residential",SUMIFS(INDEX('Oxford Economics'!$A$7:$AZ$1000,0,IFERROR(MATCH(V$5,'Oxford Economics'!$A$6:$AZ$6,0),MATCH(V$5&amp;"",'Oxford Economics'!$A$6:$AZ$6,0))),'Oxford Economics'!$A$7:$A$1000,$C52,'Oxford Economics'!$B$7:$B$1000,Settings!$B$13)-SUMIFS(INDEX('Oxford Economics'!$A$7:$AZ$1000,0,IFERROR(MATCH(V$5,'Oxford Economics'!$A$6:$AZ$6,0),MATCH(V$5&amp;"",'Oxford Economics'!$A$6:$AZ$6,0))),'Oxford Economics'!$A$7:$A$1000,$C52,'Oxford Economics'!$B$7:$B$1000,Settings!$B$15),SUMIFS(INDEX('Oxford Economics'!$A$7:$AZ$1000,0,IFERROR(MATCH(V$5,'Oxford Economics'!$A$6:$AZ$6,0),MATCH(V$5&amp;"",'Oxford Economics'!$A$6:$AZ$6,0))),'Oxford Economics'!$A$7:$A$1000,$C52,'Oxford Economics'!$B$7:$B$1000,Settings!$B$15)+SUMIFS(INDEX('Oxford Economics'!$A$7:$AZ$1000,0,IFERROR(MATCH(V$5,'Oxford Economics'!$A$6:$AZ$6,0),MATCH(V$5&amp;"",'Oxford Economics'!$A$6:$AZ$6,0))),'Oxford Economics'!$A$7:$A$1000,$C52,'Oxford Economics'!$B$7:$B$1000,Settings!$B$17)+IF(Settings!$B$19="",0,SUMIFS(INDEX('Oxford Economics'!$A$7:$AZ$1000,0,IFERROR(MATCH(V$5,'Oxford Economics'!$A$6:$AZ$6,0),MATCH(V$5&amp;"",'Oxford Economics'!$A$6:$AZ$6,0))),'Oxford Economics'!$A$7:$A$1000,$C52,'Oxford Economics'!$B$7:$B$1000,Settings!$B$19)))),""))</f>
        <v>3497.72</v>
      </c>
      <c r="W52" s="38" t="n">
        <f aca="false">IF($A52="","",IFERROR(1/(1/IF($B52="Residential",SUMIFS(INDEX('Oxford Economics'!$A$7:$AZ$1000,0,IFERROR(MATCH(W$5,'Oxford Economics'!$A$6:$AZ$6,0),MATCH(W$5&amp;"",'Oxford Economics'!$A$6:$AZ$6,0))),'Oxford Economics'!$A$7:$A$1000,$C52,'Oxford Economics'!$B$7:$B$1000,Settings!$B$13)-SUMIFS(INDEX('Oxford Economics'!$A$7:$AZ$1000,0,IFERROR(MATCH(W$5,'Oxford Economics'!$A$6:$AZ$6,0),MATCH(W$5&amp;"",'Oxford Economics'!$A$6:$AZ$6,0))),'Oxford Economics'!$A$7:$A$1000,$C52,'Oxford Economics'!$B$7:$B$1000,Settings!$B$15),SUMIFS(INDEX('Oxford Economics'!$A$7:$AZ$1000,0,IFERROR(MATCH(W$5,'Oxford Economics'!$A$6:$AZ$6,0),MATCH(W$5&amp;"",'Oxford Economics'!$A$6:$AZ$6,0))),'Oxford Economics'!$A$7:$A$1000,$C52,'Oxford Economics'!$B$7:$B$1000,Settings!$B$15)+SUMIFS(INDEX('Oxford Economics'!$A$7:$AZ$1000,0,IFERROR(MATCH(W$5,'Oxford Economics'!$A$6:$AZ$6,0),MATCH(W$5&amp;"",'Oxford Economics'!$A$6:$AZ$6,0))),'Oxford Economics'!$A$7:$A$1000,$C52,'Oxford Economics'!$B$7:$B$1000,Settings!$B$17)+IF(Settings!$B$19="",0,SUMIFS(INDEX('Oxford Economics'!$A$7:$AZ$1000,0,IFERROR(MATCH(W$5,'Oxford Economics'!$A$6:$AZ$6,0),MATCH(W$5&amp;"",'Oxford Economics'!$A$6:$AZ$6,0))),'Oxford Economics'!$A$7:$A$1000,$C52,'Oxford Economics'!$B$7:$B$1000,Settings!$B$19)))),""))</f>
        <v>3531.72</v>
      </c>
      <c r="X52" s="38" t="n">
        <f aca="false">IF($A52="","",IFERROR(1/(1/IF($B52="Residential",SUMIFS(INDEX('Oxford Economics'!$A$7:$AZ$1000,0,IFERROR(MATCH(X$5,'Oxford Economics'!$A$6:$AZ$6,0),MATCH(X$5&amp;"",'Oxford Economics'!$A$6:$AZ$6,0))),'Oxford Economics'!$A$7:$A$1000,$C52,'Oxford Economics'!$B$7:$B$1000,Settings!$B$13)-SUMIFS(INDEX('Oxford Economics'!$A$7:$AZ$1000,0,IFERROR(MATCH(X$5,'Oxford Economics'!$A$6:$AZ$6,0),MATCH(X$5&amp;"",'Oxford Economics'!$A$6:$AZ$6,0))),'Oxford Economics'!$A$7:$A$1000,$C52,'Oxford Economics'!$B$7:$B$1000,Settings!$B$15),SUMIFS(INDEX('Oxford Economics'!$A$7:$AZ$1000,0,IFERROR(MATCH(X$5,'Oxford Economics'!$A$6:$AZ$6,0),MATCH(X$5&amp;"",'Oxford Economics'!$A$6:$AZ$6,0))),'Oxford Economics'!$A$7:$A$1000,$C52,'Oxford Economics'!$B$7:$B$1000,Settings!$B$15)+SUMIFS(INDEX('Oxford Economics'!$A$7:$AZ$1000,0,IFERROR(MATCH(X$5,'Oxford Economics'!$A$6:$AZ$6,0),MATCH(X$5&amp;"",'Oxford Economics'!$A$6:$AZ$6,0))),'Oxford Economics'!$A$7:$A$1000,$C52,'Oxford Economics'!$B$7:$B$1000,Settings!$B$17)+IF(Settings!$B$19="",0,SUMIFS(INDEX('Oxford Economics'!$A$7:$AZ$1000,0,IFERROR(MATCH(X$5,'Oxford Economics'!$A$6:$AZ$6,0),MATCH(X$5&amp;"",'Oxford Economics'!$A$6:$AZ$6,0))),'Oxford Economics'!$A$7:$A$1000,$C52,'Oxford Economics'!$B$7:$B$1000,Settings!$B$19)))),""))</f>
        <v>3742.78</v>
      </c>
      <c r="Y52" s="38" t="n">
        <f aca="false">IF($A52="","",IFERROR(1/(1/IF($B52="Residential",SUMIFS(INDEX('Oxford Economics'!$A$7:$AZ$1000,0,IFERROR(MATCH(Y$5,'Oxford Economics'!$A$6:$AZ$6,0),MATCH(Y$5&amp;"",'Oxford Economics'!$A$6:$AZ$6,0))),'Oxford Economics'!$A$7:$A$1000,$C52,'Oxford Economics'!$B$7:$B$1000,Settings!$B$13)-SUMIFS(INDEX('Oxford Economics'!$A$7:$AZ$1000,0,IFERROR(MATCH(Y$5,'Oxford Economics'!$A$6:$AZ$6,0),MATCH(Y$5&amp;"",'Oxford Economics'!$A$6:$AZ$6,0))),'Oxford Economics'!$A$7:$A$1000,$C52,'Oxford Economics'!$B$7:$B$1000,Settings!$B$15),SUMIFS(INDEX('Oxford Economics'!$A$7:$AZ$1000,0,IFERROR(MATCH(Y$5,'Oxford Economics'!$A$6:$AZ$6,0),MATCH(Y$5&amp;"",'Oxford Economics'!$A$6:$AZ$6,0))),'Oxford Economics'!$A$7:$A$1000,$C52,'Oxford Economics'!$B$7:$B$1000,Settings!$B$15)+SUMIFS(INDEX('Oxford Economics'!$A$7:$AZ$1000,0,IFERROR(MATCH(Y$5,'Oxford Economics'!$A$6:$AZ$6,0),MATCH(Y$5&amp;"",'Oxford Economics'!$A$6:$AZ$6,0))),'Oxford Economics'!$A$7:$A$1000,$C52,'Oxford Economics'!$B$7:$B$1000,Settings!$B$17)+IF(Settings!$B$19="",0,SUMIFS(INDEX('Oxford Economics'!$A$7:$AZ$1000,0,IFERROR(MATCH(Y$5,'Oxford Economics'!$A$6:$AZ$6,0),MATCH(Y$5&amp;"",'Oxford Economics'!$A$6:$AZ$6,0))),'Oxford Economics'!$A$7:$A$1000,$C52,'Oxford Economics'!$B$7:$B$1000,Settings!$B$19)))),""))</f>
        <v>3856.06</v>
      </c>
      <c r="Z52" s="38" t="n">
        <f aca="false">IF($A52="","",IFERROR(1/(1/IF($B52="Residential",SUMIFS(INDEX('Oxford Economics'!$A$7:$AZ$1000,0,IFERROR(MATCH(Z$5,'Oxford Economics'!$A$6:$AZ$6,0),MATCH(Z$5&amp;"",'Oxford Economics'!$A$6:$AZ$6,0))),'Oxford Economics'!$A$7:$A$1000,$C52,'Oxford Economics'!$B$7:$B$1000,Settings!$B$13)-SUMIFS(INDEX('Oxford Economics'!$A$7:$AZ$1000,0,IFERROR(MATCH(Z$5,'Oxford Economics'!$A$6:$AZ$6,0),MATCH(Z$5&amp;"",'Oxford Economics'!$A$6:$AZ$6,0))),'Oxford Economics'!$A$7:$A$1000,$C52,'Oxford Economics'!$B$7:$B$1000,Settings!$B$15),SUMIFS(INDEX('Oxford Economics'!$A$7:$AZ$1000,0,IFERROR(MATCH(Z$5,'Oxford Economics'!$A$6:$AZ$6,0),MATCH(Z$5&amp;"",'Oxford Economics'!$A$6:$AZ$6,0))),'Oxford Economics'!$A$7:$A$1000,$C52,'Oxford Economics'!$B$7:$B$1000,Settings!$B$15)+SUMIFS(INDEX('Oxford Economics'!$A$7:$AZ$1000,0,IFERROR(MATCH(Z$5,'Oxford Economics'!$A$6:$AZ$6,0),MATCH(Z$5&amp;"",'Oxford Economics'!$A$6:$AZ$6,0))),'Oxford Economics'!$A$7:$A$1000,$C52,'Oxford Economics'!$B$7:$B$1000,Settings!$B$17)+IF(Settings!$B$19="",0,SUMIFS(INDEX('Oxford Economics'!$A$7:$AZ$1000,0,IFERROR(MATCH(Z$5,'Oxford Economics'!$A$6:$AZ$6,0),MATCH(Z$5&amp;"",'Oxford Economics'!$A$6:$AZ$6,0))),'Oxford Economics'!$A$7:$A$1000,$C52,'Oxford Economics'!$B$7:$B$1000,Settings!$B$19)))),""))</f>
        <v>3967.35</v>
      </c>
      <c r="AA52" s="38" t="n">
        <f aca="false">IF($A52="","",IFERROR(1/(1/IF($B52="Residential",SUMIFS(INDEX('Oxford Economics'!$A$7:$AZ$1000,0,IFERROR(MATCH(AA$5,'Oxford Economics'!$A$6:$AZ$6,0),MATCH(AA$5&amp;"",'Oxford Economics'!$A$6:$AZ$6,0))),'Oxford Economics'!$A$7:$A$1000,$C52,'Oxford Economics'!$B$7:$B$1000,Settings!$B$13)-SUMIFS(INDEX('Oxford Economics'!$A$7:$AZ$1000,0,IFERROR(MATCH(AA$5,'Oxford Economics'!$A$6:$AZ$6,0),MATCH(AA$5&amp;"",'Oxford Economics'!$A$6:$AZ$6,0))),'Oxford Economics'!$A$7:$A$1000,$C52,'Oxford Economics'!$B$7:$B$1000,Settings!$B$15),SUMIFS(INDEX('Oxford Economics'!$A$7:$AZ$1000,0,IFERROR(MATCH(AA$5,'Oxford Economics'!$A$6:$AZ$6,0),MATCH(AA$5&amp;"",'Oxford Economics'!$A$6:$AZ$6,0))),'Oxford Economics'!$A$7:$A$1000,$C52,'Oxford Economics'!$B$7:$B$1000,Settings!$B$15)+SUMIFS(INDEX('Oxford Economics'!$A$7:$AZ$1000,0,IFERROR(MATCH(AA$5,'Oxford Economics'!$A$6:$AZ$6,0),MATCH(AA$5&amp;"",'Oxford Economics'!$A$6:$AZ$6,0))),'Oxford Economics'!$A$7:$A$1000,$C52,'Oxford Economics'!$B$7:$B$1000,Settings!$B$17)+IF(Settings!$B$19="",0,SUMIFS(INDEX('Oxford Economics'!$A$7:$AZ$1000,0,IFERROR(MATCH(AA$5,'Oxford Economics'!$A$6:$AZ$6,0),MATCH(AA$5&amp;"",'Oxford Economics'!$A$6:$AZ$6,0))),'Oxford Economics'!$A$7:$A$1000,$C52,'Oxford Economics'!$B$7:$B$1000,Settings!$B$19)))),""))</f>
        <v>4029.73</v>
      </c>
      <c r="AB52" s="38" t="n">
        <f aca="false">IF($A52="","",IFERROR(1/(1/IF($B52="Residential",SUMIFS(INDEX('Oxford Economics'!$A$7:$AZ$1000,0,IFERROR(MATCH(AB$5,'Oxford Economics'!$A$6:$AZ$6,0),MATCH(AB$5&amp;"",'Oxford Economics'!$A$6:$AZ$6,0))),'Oxford Economics'!$A$7:$A$1000,$C52,'Oxford Economics'!$B$7:$B$1000,Settings!$B$12)-SUMIFS(INDEX('Oxford Economics'!$A$7:$AZ$1000,0,IFERROR(MATCH(AB$5,'Oxford Economics'!$A$6:$AZ$6,0),MATCH(AB$5&amp;"",'Oxford Economics'!$A$6:$AZ$6,0))),'Oxford Economics'!$A$7:$A$1000,$C52,'Oxford Economics'!$B$7:$B$1000,Settings!$B$14),SUMIFS(INDEX('Oxford Economics'!$A$7:$AZ$1000,0,IFERROR(MATCH(AB$5,'Oxford Economics'!$A$6:$AZ$6,0),MATCH(AB$5&amp;"",'Oxford Economics'!$A$6:$AZ$6,0))),'Oxford Economics'!$A$7:$A$1000,$C52,'Oxford Economics'!$B$7:$B$1000,Settings!$B$14)+SUMIFS(INDEX('Oxford Economics'!$A$7:$AZ$1000,0,IFERROR(MATCH(AB$5,'Oxford Economics'!$A$6:$AZ$6,0),MATCH(AB$5&amp;"",'Oxford Economics'!$A$6:$AZ$6,0))),'Oxford Economics'!$A$7:$A$1000,$C52,'Oxford Economics'!$B$7:$B$1000,Settings!$B$16)+IF(Settings!$B$18="",0,SUMIFS(INDEX('Oxford Economics'!$A$7:$AZ$1000,0,IFERROR(MATCH(AB$5,'Oxford Economics'!$A$6:$AZ$6,0),MATCH(AB$5&amp;"",'Oxford Economics'!$A$6:$AZ$6,0))),'Oxford Economics'!$A$7:$A$1000,$C52,'Oxford Economics'!$B$7:$B$1000,Settings!$B$18)))),""))</f>
        <v>4151.37</v>
      </c>
      <c r="AC52" s="38" t="n">
        <f aca="false">IF($A52="","",IFERROR(1/(1/IF($B52="Residential",SUMIFS(INDEX('Oxford Economics'!$A$7:$AZ$1000,0,IFERROR(MATCH(AC$5,'Oxford Economics'!$A$6:$AZ$6,0),MATCH(AC$5&amp;"",'Oxford Economics'!$A$6:$AZ$6,0))),'Oxford Economics'!$A$7:$A$1000,$C52,'Oxford Economics'!$B$7:$B$1000,Settings!$B$12)-SUMIFS(INDEX('Oxford Economics'!$A$7:$AZ$1000,0,IFERROR(MATCH(AC$5,'Oxford Economics'!$A$6:$AZ$6,0),MATCH(AC$5&amp;"",'Oxford Economics'!$A$6:$AZ$6,0))),'Oxford Economics'!$A$7:$A$1000,$C52,'Oxford Economics'!$B$7:$B$1000,Settings!$B$14),SUMIFS(INDEX('Oxford Economics'!$A$7:$AZ$1000,0,IFERROR(MATCH(AC$5,'Oxford Economics'!$A$6:$AZ$6,0),MATCH(AC$5&amp;"",'Oxford Economics'!$A$6:$AZ$6,0))),'Oxford Economics'!$A$7:$A$1000,$C52,'Oxford Economics'!$B$7:$B$1000,Settings!$B$14)+SUMIFS(INDEX('Oxford Economics'!$A$7:$AZ$1000,0,IFERROR(MATCH(AC$5,'Oxford Economics'!$A$6:$AZ$6,0),MATCH(AC$5&amp;"",'Oxford Economics'!$A$6:$AZ$6,0))),'Oxford Economics'!$A$7:$A$1000,$C52,'Oxford Economics'!$B$7:$B$1000,Settings!$B$16)+IF(Settings!$B$18="",0,SUMIFS(INDEX('Oxford Economics'!$A$7:$AZ$1000,0,IFERROR(MATCH(AC$5,'Oxford Economics'!$A$6:$AZ$6,0),MATCH(AC$5&amp;"",'Oxford Economics'!$A$6:$AZ$6,0))),'Oxford Economics'!$A$7:$A$1000,$C52,'Oxford Economics'!$B$7:$B$1000,Settings!$B$18)))),""))</f>
        <v>4430.59</v>
      </c>
      <c r="AD52" s="38" t="n">
        <f aca="false">IF($A52="","",IFERROR(1/(1/IF($B52="Residential",SUMIFS(INDEX('Oxford Economics'!$A$7:$AZ$1000,0,IFERROR(MATCH(AD$5,'Oxford Economics'!$A$6:$AZ$6,0),MATCH(AD$5&amp;"",'Oxford Economics'!$A$6:$AZ$6,0))),'Oxford Economics'!$A$7:$A$1000,$C52,'Oxford Economics'!$B$7:$B$1000,Settings!$B$12)-SUMIFS(INDEX('Oxford Economics'!$A$7:$AZ$1000,0,IFERROR(MATCH(AD$5,'Oxford Economics'!$A$6:$AZ$6,0),MATCH(AD$5&amp;"",'Oxford Economics'!$A$6:$AZ$6,0))),'Oxford Economics'!$A$7:$A$1000,$C52,'Oxford Economics'!$B$7:$B$1000,Settings!$B$14),SUMIFS(INDEX('Oxford Economics'!$A$7:$AZ$1000,0,IFERROR(MATCH(AD$5,'Oxford Economics'!$A$6:$AZ$6,0),MATCH(AD$5&amp;"",'Oxford Economics'!$A$6:$AZ$6,0))),'Oxford Economics'!$A$7:$A$1000,$C52,'Oxford Economics'!$B$7:$B$1000,Settings!$B$14)+SUMIFS(INDEX('Oxford Economics'!$A$7:$AZ$1000,0,IFERROR(MATCH(AD$5,'Oxford Economics'!$A$6:$AZ$6,0),MATCH(AD$5&amp;"",'Oxford Economics'!$A$6:$AZ$6,0))),'Oxford Economics'!$A$7:$A$1000,$C52,'Oxford Economics'!$B$7:$B$1000,Settings!$B$16)+IF(Settings!$B$18="",0,SUMIFS(INDEX('Oxford Economics'!$A$7:$AZ$1000,0,IFERROR(MATCH(AD$5,'Oxford Economics'!$A$6:$AZ$6,0),MATCH(AD$5&amp;"",'Oxford Economics'!$A$6:$AZ$6,0))),'Oxford Economics'!$A$7:$A$1000,$C52,'Oxford Economics'!$B$7:$B$1000,Settings!$B$18)))),""))</f>
        <v>4523.31</v>
      </c>
      <c r="AE52" s="38" t="n">
        <f aca="false">IF($A52="","",IFERROR(1/(1/IF($B52="Residential",SUMIFS(INDEX('Oxford Economics'!$A$7:$AZ$1000,0,IFERROR(MATCH(AE$5,'Oxford Economics'!$A$6:$AZ$6,0),MATCH(AE$5&amp;"",'Oxford Economics'!$A$6:$AZ$6,0))),'Oxford Economics'!$A$7:$A$1000,$C52,'Oxford Economics'!$B$7:$B$1000,Settings!$B$12)-SUMIFS(INDEX('Oxford Economics'!$A$7:$AZ$1000,0,IFERROR(MATCH(AE$5,'Oxford Economics'!$A$6:$AZ$6,0),MATCH(AE$5&amp;"",'Oxford Economics'!$A$6:$AZ$6,0))),'Oxford Economics'!$A$7:$A$1000,$C52,'Oxford Economics'!$B$7:$B$1000,Settings!$B$14),SUMIFS(INDEX('Oxford Economics'!$A$7:$AZ$1000,0,IFERROR(MATCH(AE$5,'Oxford Economics'!$A$6:$AZ$6,0),MATCH(AE$5&amp;"",'Oxford Economics'!$A$6:$AZ$6,0))),'Oxford Economics'!$A$7:$A$1000,$C52,'Oxford Economics'!$B$7:$B$1000,Settings!$B$14)+SUMIFS(INDEX('Oxford Economics'!$A$7:$AZ$1000,0,IFERROR(MATCH(AE$5,'Oxford Economics'!$A$6:$AZ$6,0),MATCH(AE$5&amp;"",'Oxford Economics'!$A$6:$AZ$6,0))),'Oxford Economics'!$A$7:$A$1000,$C52,'Oxford Economics'!$B$7:$B$1000,Settings!$B$16)+IF(Settings!$B$18="",0,SUMIFS(INDEX('Oxford Economics'!$A$7:$AZ$1000,0,IFERROR(MATCH(AE$5,'Oxford Economics'!$A$6:$AZ$6,0),MATCH(AE$5&amp;"",'Oxford Economics'!$A$6:$AZ$6,0))),'Oxford Economics'!$A$7:$A$1000,$C52,'Oxford Economics'!$B$7:$B$1000,Settings!$B$18)))),""))</f>
        <v>4573.72</v>
      </c>
      <c r="AF52" s="38" t="n">
        <f aca="false">IF($A52="","",IFERROR(1/(1/IF($B52="Residential",SUMIFS(INDEX('Oxford Economics'!$A$7:$AZ$1000,0,IFERROR(MATCH(AF$5,'Oxford Economics'!$A$6:$AZ$6,0),MATCH(AF$5&amp;"",'Oxford Economics'!$A$6:$AZ$6,0))),'Oxford Economics'!$A$7:$A$1000,$C52,'Oxford Economics'!$B$7:$B$1000,Settings!$B$12)-SUMIFS(INDEX('Oxford Economics'!$A$7:$AZ$1000,0,IFERROR(MATCH(AF$5,'Oxford Economics'!$A$6:$AZ$6,0),MATCH(AF$5&amp;"",'Oxford Economics'!$A$6:$AZ$6,0))),'Oxford Economics'!$A$7:$A$1000,$C52,'Oxford Economics'!$B$7:$B$1000,Settings!$B$14),SUMIFS(INDEX('Oxford Economics'!$A$7:$AZ$1000,0,IFERROR(MATCH(AF$5,'Oxford Economics'!$A$6:$AZ$6,0),MATCH(AF$5&amp;"",'Oxford Economics'!$A$6:$AZ$6,0))),'Oxford Economics'!$A$7:$A$1000,$C52,'Oxford Economics'!$B$7:$B$1000,Settings!$B$14)+SUMIFS(INDEX('Oxford Economics'!$A$7:$AZ$1000,0,IFERROR(MATCH(AF$5,'Oxford Economics'!$A$6:$AZ$6,0),MATCH(AF$5&amp;"",'Oxford Economics'!$A$6:$AZ$6,0))),'Oxford Economics'!$A$7:$A$1000,$C52,'Oxford Economics'!$B$7:$B$1000,Settings!$B$16)+IF(Settings!$B$18="",0,SUMIFS(INDEX('Oxford Economics'!$A$7:$AZ$1000,0,IFERROR(MATCH(AF$5,'Oxford Economics'!$A$6:$AZ$6,0),MATCH(AF$5&amp;"",'Oxford Economics'!$A$6:$AZ$6,0))),'Oxford Economics'!$A$7:$A$1000,$C52,'Oxford Economics'!$B$7:$B$1000,Settings!$B$18)))),""))</f>
        <v>4512.94</v>
      </c>
      <c r="AG52" s="38" t="n">
        <f aca="false">IF($A52="","",IFERROR(1/(1/IF($B52="Residential",SUMIFS(INDEX('Oxford Economics'!$A$7:$AZ$1000,0,IFERROR(MATCH(AG$5,'Oxford Economics'!$A$6:$AZ$6,0),MATCH(AG$5&amp;"",'Oxford Economics'!$A$6:$AZ$6,0))),'Oxford Economics'!$A$7:$A$1000,$C52,'Oxford Economics'!$B$7:$B$1000,Settings!$B$12)-SUMIFS(INDEX('Oxford Economics'!$A$7:$AZ$1000,0,IFERROR(MATCH(AG$5,'Oxford Economics'!$A$6:$AZ$6,0),MATCH(AG$5&amp;"",'Oxford Economics'!$A$6:$AZ$6,0))),'Oxford Economics'!$A$7:$A$1000,$C52,'Oxford Economics'!$B$7:$B$1000,Settings!$B$14),SUMIFS(INDEX('Oxford Economics'!$A$7:$AZ$1000,0,IFERROR(MATCH(AG$5,'Oxford Economics'!$A$6:$AZ$6,0),MATCH(AG$5&amp;"",'Oxford Economics'!$A$6:$AZ$6,0))),'Oxford Economics'!$A$7:$A$1000,$C52,'Oxford Economics'!$B$7:$B$1000,Settings!$B$14)+SUMIFS(INDEX('Oxford Economics'!$A$7:$AZ$1000,0,IFERROR(MATCH(AG$5,'Oxford Economics'!$A$6:$AZ$6,0),MATCH(AG$5&amp;"",'Oxford Economics'!$A$6:$AZ$6,0))),'Oxford Economics'!$A$7:$A$1000,$C52,'Oxford Economics'!$B$7:$B$1000,Settings!$B$16)+IF(Settings!$B$18="",0,SUMIFS(INDEX('Oxford Economics'!$A$7:$AZ$1000,0,IFERROR(MATCH(AG$5,'Oxford Economics'!$A$6:$AZ$6,0),MATCH(AG$5&amp;"",'Oxford Economics'!$A$6:$AZ$6,0))),'Oxford Economics'!$A$7:$A$1000,$C52,'Oxford Economics'!$B$7:$B$1000,Settings!$B$18)))),""))</f>
        <v>4417.65</v>
      </c>
      <c r="AH52" s="38" t="n">
        <f aca="false">IF($A52="","",IFERROR(1/(1/IF($B52="Residential",SUMIFS(INDEX('Oxford Economics'!$A$7:$AZ$1000,0,IFERROR(MATCH(AH$5,'Oxford Economics'!$A$6:$AZ$6,0),MATCH(AH$5&amp;"",'Oxford Economics'!$A$6:$AZ$6,0))),'Oxford Economics'!$A$7:$A$1000,$C52,'Oxford Economics'!$B$7:$B$1000,Settings!$B$12)-SUMIFS(INDEX('Oxford Economics'!$A$7:$AZ$1000,0,IFERROR(MATCH(AH$5,'Oxford Economics'!$A$6:$AZ$6,0),MATCH(AH$5&amp;"",'Oxford Economics'!$A$6:$AZ$6,0))),'Oxford Economics'!$A$7:$A$1000,$C52,'Oxford Economics'!$B$7:$B$1000,Settings!$B$14),SUMIFS(INDEX('Oxford Economics'!$A$7:$AZ$1000,0,IFERROR(MATCH(AH$5,'Oxford Economics'!$A$6:$AZ$6,0),MATCH(AH$5&amp;"",'Oxford Economics'!$A$6:$AZ$6,0))),'Oxford Economics'!$A$7:$A$1000,$C52,'Oxford Economics'!$B$7:$B$1000,Settings!$B$14)+SUMIFS(INDEX('Oxford Economics'!$A$7:$AZ$1000,0,IFERROR(MATCH(AH$5,'Oxford Economics'!$A$6:$AZ$6,0),MATCH(AH$5&amp;"",'Oxford Economics'!$A$6:$AZ$6,0))),'Oxford Economics'!$A$7:$A$1000,$C52,'Oxford Economics'!$B$7:$B$1000,Settings!$B$16)+IF(Settings!$B$18="",0,SUMIFS(INDEX('Oxford Economics'!$A$7:$AZ$1000,0,IFERROR(MATCH(AH$5,'Oxford Economics'!$A$6:$AZ$6,0),MATCH(AH$5&amp;"",'Oxford Economics'!$A$6:$AZ$6,0))),'Oxford Economics'!$A$7:$A$1000,$C52,'Oxford Economics'!$B$7:$B$1000,Settings!$B$18)))),""))</f>
        <v>4216.77</v>
      </c>
      <c r="AI52" s="38" t="n">
        <f aca="false">IF($A52="","",IFERROR(1/(1/IF($B52="Residential",SUMIFS(INDEX('Oxford Economics'!$A$7:$AZ$1000,0,IFERROR(MATCH(AI$5,'Oxford Economics'!$A$6:$AZ$6,0),MATCH(AI$5&amp;"",'Oxford Economics'!$A$6:$AZ$6,0))),'Oxford Economics'!$A$7:$A$1000,$C52,'Oxford Economics'!$B$7:$B$1000,Settings!$B$12)-SUMIFS(INDEX('Oxford Economics'!$A$7:$AZ$1000,0,IFERROR(MATCH(AI$5,'Oxford Economics'!$A$6:$AZ$6,0),MATCH(AI$5&amp;"",'Oxford Economics'!$A$6:$AZ$6,0))),'Oxford Economics'!$A$7:$A$1000,$C52,'Oxford Economics'!$B$7:$B$1000,Settings!$B$14),SUMIFS(INDEX('Oxford Economics'!$A$7:$AZ$1000,0,IFERROR(MATCH(AI$5,'Oxford Economics'!$A$6:$AZ$6,0),MATCH(AI$5&amp;"",'Oxford Economics'!$A$6:$AZ$6,0))),'Oxford Economics'!$A$7:$A$1000,$C52,'Oxford Economics'!$B$7:$B$1000,Settings!$B$14)+SUMIFS(INDEX('Oxford Economics'!$A$7:$AZ$1000,0,IFERROR(MATCH(AI$5,'Oxford Economics'!$A$6:$AZ$6,0),MATCH(AI$5&amp;"",'Oxford Economics'!$A$6:$AZ$6,0))),'Oxford Economics'!$A$7:$A$1000,$C52,'Oxford Economics'!$B$7:$B$1000,Settings!$B$16)+IF(Settings!$B$18="",0,SUMIFS(INDEX('Oxford Economics'!$A$7:$AZ$1000,0,IFERROR(MATCH(AI$5,'Oxford Economics'!$A$6:$AZ$6,0),MATCH(AI$5&amp;"",'Oxford Economics'!$A$6:$AZ$6,0))),'Oxford Economics'!$A$7:$A$1000,$C52,'Oxford Economics'!$B$7:$B$1000,Settings!$B$18)))),""))</f>
        <v>4156.6</v>
      </c>
      <c r="AJ52" s="38" t="n">
        <f aca="false">IF($A52="","",IFERROR(1/(1/IF($B52="Residential",SUMIFS(INDEX('Oxford Economics'!$A$7:$AZ$1000,0,IFERROR(MATCH(AJ$5,'Oxford Economics'!$A$6:$AZ$6,0),MATCH(AJ$5&amp;"",'Oxford Economics'!$A$6:$AZ$6,0))),'Oxford Economics'!$A$7:$A$1000,$C52,'Oxford Economics'!$B$7:$B$1000,Settings!$B$12)-SUMIFS(INDEX('Oxford Economics'!$A$7:$AZ$1000,0,IFERROR(MATCH(AJ$5,'Oxford Economics'!$A$6:$AZ$6,0),MATCH(AJ$5&amp;"",'Oxford Economics'!$A$6:$AZ$6,0))),'Oxford Economics'!$A$7:$A$1000,$C52,'Oxford Economics'!$B$7:$B$1000,Settings!$B$14),SUMIFS(INDEX('Oxford Economics'!$A$7:$AZ$1000,0,IFERROR(MATCH(AJ$5,'Oxford Economics'!$A$6:$AZ$6,0),MATCH(AJ$5&amp;"",'Oxford Economics'!$A$6:$AZ$6,0))),'Oxford Economics'!$A$7:$A$1000,$C52,'Oxford Economics'!$B$7:$B$1000,Settings!$B$14)+SUMIFS(INDEX('Oxford Economics'!$A$7:$AZ$1000,0,IFERROR(MATCH(AJ$5,'Oxford Economics'!$A$6:$AZ$6,0),MATCH(AJ$5&amp;"",'Oxford Economics'!$A$6:$AZ$6,0))),'Oxford Economics'!$A$7:$A$1000,$C52,'Oxford Economics'!$B$7:$B$1000,Settings!$B$16)+IF(Settings!$B$18="",0,SUMIFS(INDEX('Oxford Economics'!$A$7:$AZ$1000,0,IFERROR(MATCH(AJ$5,'Oxford Economics'!$A$6:$AZ$6,0),MATCH(AJ$5&amp;"",'Oxford Economics'!$A$6:$AZ$6,0))),'Oxford Economics'!$A$7:$A$1000,$C52,'Oxford Economics'!$B$7:$B$1000,Settings!$B$18)))),""))</f>
        <v>4382.67</v>
      </c>
      <c r="AK52" s="38" t="n">
        <f aca="false">IF($A52="","",IFERROR(1/(1/IF($B52="Residential",SUMIFS(INDEX('Oxford Economics'!$A$7:$AZ$1000,0,IFERROR(MATCH(AK$5,'Oxford Economics'!$A$6:$AZ$6,0),MATCH(AK$5&amp;"",'Oxford Economics'!$A$6:$AZ$6,0))),'Oxford Economics'!$A$7:$A$1000,$C52,'Oxford Economics'!$B$7:$B$1000,Settings!$B$12)-SUMIFS(INDEX('Oxford Economics'!$A$7:$AZ$1000,0,IFERROR(MATCH(AK$5,'Oxford Economics'!$A$6:$AZ$6,0),MATCH(AK$5&amp;"",'Oxford Economics'!$A$6:$AZ$6,0))),'Oxford Economics'!$A$7:$A$1000,$C52,'Oxford Economics'!$B$7:$B$1000,Settings!$B$14),SUMIFS(INDEX('Oxford Economics'!$A$7:$AZ$1000,0,IFERROR(MATCH(AK$5,'Oxford Economics'!$A$6:$AZ$6,0),MATCH(AK$5&amp;"",'Oxford Economics'!$A$6:$AZ$6,0))),'Oxford Economics'!$A$7:$A$1000,$C52,'Oxford Economics'!$B$7:$B$1000,Settings!$B$14)+SUMIFS(INDEX('Oxford Economics'!$A$7:$AZ$1000,0,IFERROR(MATCH(AK$5,'Oxford Economics'!$A$6:$AZ$6,0),MATCH(AK$5&amp;"",'Oxford Economics'!$A$6:$AZ$6,0))),'Oxford Economics'!$A$7:$A$1000,$C52,'Oxford Economics'!$B$7:$B$1000,Settings!$B$16)+IF(Settings!$B$18="",0,SUMIFS(INDEX('Oxford Economics'!$A$7:$AZ$1000,0,IFERROR(MATCH(AK$5,'Oxford Economics'!$A$6:$AZ$6,0),MATCH(AK$5&amp;"",'Oxford Economics'!$A$6:$AZ$6,0))),'Oxford Economics'!$A$7:$A$1000,$C52,'Oxford Economics'!$B$7:$B$1000,Settings!$B$18)))),""))</f>
        <v>4475.98</v>
      </c>
      <c r="AL52" s="38" t="n">
        <f aca="false">IF($A52="","",IFERROR(1/(1/IF($B52="Residential",SUMIFS(INDEX('Oxford Economics'!$A$7:$AZ$1000,0,IFERROR(MATCH(AL$5,'Oxford Economics'!$A$6:$AZ$6,0),MATCH(AL$5&amp;"",'Oxford Economics'!$A$6:$AZ$6,0))),'Oxford Economics'!$A$7:$A$1000,$C52,'Oxford Economics'!$B$7:$B$1000,Settings!$B$12)-SUMIFS(INDEX('Oxford Economics'!$A$7:$AZ$1000,0,IFERROR(MATCH(AL$5,'Oxford Economics'!$A$6:$AZ$6,0),MATCH(AL$5&amp;"",'Oxford Economics'!$A$6:$AZ$6,0))),'Oxford Economics'!$A$7:$A$1000,$C52,'Oxford Economics'!$B$7:$B$1000,Settings!$B$14),SUMIFS(INDEX('Oxford Economics'!$A$7:$AZ$1000,0,IFERROR(MATCH(AL$5,'Oxford Economics'!$A$6:$AZ$6,0),MATCH(AL$5&amp;"",'Oxford Economics'!$A$6:$AZ$6,0))),'Oxford Economics'!$A$7:$A$1000,$C52,'Oxford Economics'!$B$7:$B$1000,Settings!$B$14)+SUMIFS(INDEX('Oxford Economics'!$A$7:$AZ$1000,0,IFERROR(MATCH(AL$5,'Oxford Economics'!$A$6:$AZ$6,0),MATCH(AL$5&amp;"",'Oxford Economics'!$A$6:$AZ$6,0))),'Oxford Economics'!$A$7:$A$1000,$C52,'Oxford Economics'!$B$7:$B$1000,Settings!$B$16)+IF(Settings!$B$18="",0,SUMIFS(INDEX('Oxford Economics'!$A$7:$AZ$1000,0,IFERROR(MATCH(AL$5,'Oxford Economics'!$A$6:$AZ$6,0),MATCH(AL$5&amp;"",'Oxford Economics'!$A$6:$AZ$6,0))),'Oxford Economics'!$A$7:$A$1000,$C52,'Oxford Economics'!$B$7:$B$1000,Settings!$B$18)))),""))</f>
        <v>4511.95</v>
      </c>
      <c r="AM52" s="38" t="n">
        <f aca="false">IF($A52="","",IFERROR(1/(1/IF($B52="Residential",SUMIFS(INDEX('Oxford Economics'!$A$7:$AZ$1000,0,IFERROR(MATCH(AM$5,'Oxford Economics'!$A$6:$AZ$6,0),MATCH(AM$5&amp;"",'Oxford Economics'!$A$6:$AZ$6,0))),'Oxford Economics'!$A$7:$A$1000,$C52,'Oxford Economics'!$B$7:$B$1000,Settings!$B$12)-SUMIFS(INDEX('Oxford Economics'!$A$7:$AZ$1000,0,IFERROR(MATCH(AM$5,'Oxford Economics'!$A$6:$AZ$6,0),MATCH(AM$5&amp;"",'Oxford Economics'!$A$6:$AZ$6,0))),'Oxford Economics'!$A$7:$A$1000,$C52,'Oxford Economics'!$B$7:$B$1000,Settings!$B$14),SUMIFS(INDEX('Oxford Economics'!$A$7:$AZ$1000,0,IFERROR(MATCH(AM$5,'Oxford Economics'!$A$6:$AZ$6,0),MATCH(AM$5&amp;"",'Oxford Economics'!$A$6:$AZ$6,0))),'Oxford Economics'!$A$7:$A$1000,$C52,'Oxford Economics'!$B$7:$B$1000,Settings!$B$14)+SUMIFS(INDEX('Oxford Economics'!$A$7:$AZ$1000,0,IFERROR(MATCH(AM$5,'Oxford Economics'!$A$6:$AZ$6,0),MATCH(AM$5&amp;"",'Oxford Economics'!$A$6:$AZ$6,0))),'Oxford Economics'!$A$7:$A$1000,$C52,'Oxford Economics'!$B$7:$B$1000,Settings!$B$16)+IF(Settings!$B$18="",0,SUMIFS(INDEX('Oxford Economics'!$A$7:$AZ$1000,0,IFERROR(MATCH(AM$5,'Oxford Economics'!$A$6:$AZ$6,0),MATCH(AM$5&amp;"",'Oxford Economics'!$A$6:$AZ$6,0))),'Oxford Economics'!$A$7:$A$1000,$C52,'Oxford Economics'!$B$7:$B$1000,Settings!$B$18)))),""))</f>
        <v>4553.43</v>
      </c>
    </row>
    <row r="53" customFormat="false" ht="15" hidden="false" customHeight="false" outlineLevel="0" collapsed="false">
      <c r="A53" s="37" t="str">
        <f aca="false">IF('Raw data'!$A53="","",'Raw data'!$A53)</f>
        <v>Denmark</v>
      </c>
      <c r="B53" s="37" t="str">
        <f aca="false">IF($A53="","",'Raw data'!$C53)</f>
        <v>Commercial</v>
      </c>
      <c r="C53" s="37" t="str">
        <f aca="false">IF($A53="","",IF('Raw data'!$E53="",$A53,'Raw data'!$E53))</f>
        <v>Denmark</v>
      </c>
      <c r="D53" s="38" t="n">
        <f aca="false">IF($A53="","",IF(AND(ISNUMBER(P53),ISNUMBER(AB53)),P53+AB53,""))</f>
        <v>6757.25</v>
      </c>
      <c r="E53" s="38" t="n">
        <f aca="false">IF($A53="","",IF(AND(ISNUMBER(Q53),ISNUMBER(AC53)),Q53+AC53,""))</f>
        <v>7423.11</v>
      </c>
      <c r="F53" s="38" t="n">
        <f aca="false">IF($A53="","",IF(AND(ISNUMBER(R53),ISNUMBER(AD53)),R53+AD53,""))</f>
        <v>7458.6</v>
      </c>
      <c r="G53" s="38" t="n">
        <f aca="false">IF($A53="","",IF(AND(ISNUMBER(S53),ISNUMBER(AE53)),S53+AE53,""))</f>
        <v>7750.14</v>
      </c>
      <c r="H53" s="38" t="n">
        <f aca="false">IF($A53="","",IF(AND(ISNUMBER(T53),ISNUMBER(AF53)),T53+AF53,""))</f>
        <v>8162.82</v>
      </c>
      <c r="I53" s="38" t="n">
        <f aca="false">IF($A53="","",IF(AND(ISNUMBER(U53),ISNUMBER(AG53)),U53+AG53,""))</f>
        <v>8042.48</v>
      </c>
      <c r="J53" s="38" t="n">
        <f aca="false">IF($A53="","",IF(AND(ISNUMBER(V53),ISNUMBER(AH53)),V53+AH53,""))</f>
        <v>7714.49</v>
      </c>
      <c r="K53" s="38" t="n">
        <f aca="false">IF($A53="","",IF(AND(ISNUMBER(W53),ISNUMBER(AI53)),W53+AI53,""))</f>
        <v>7688.32</v>
      </c>
      <c r="L53" s="38" t="n">
        <f aca="false">IF($A53="","",IF(AND(ISNUMBER(X53),ISNUMBER(AJ53)),X53+AJ53,""))</f>
        <v>8125.45</v>
      </c>
      <c r="M53" s="38" t="n">
        <f aca="false">IF($A53="","",IF(AND(ISNUMBER(Y53),ISNUMBER(AK53)),Y53+AK53,""))</f>
        <v>8332.04</v>
      </c>
      <c r="N53" s="38" t="n">
        <f aca="false">IF($A53="","",IF(AND(ISNUMBER(Z53),ISNUMBER(AL53)),Z53+AL53,""))</f>
        <v>8479.3</v>
      </c>
      <c r="O53" s="38" t="n">
        <f aca="false">IF($A53="","",IF(AND(ISNUMBER(AA53),ISNUMBER(AM53)),AA53+AM53,""))</f>
        <v>8583.16</v>
      </c>
      <c r="P53" s="38" t="n">
        <f aca="false">IF($A53="","",IFERROR(1/(1/IF($B53="Residential",SUMIFS(INDEX('Oxford Economics'!$A$7:$AZ$1000,0,IFERROR(MATCH(P$5,'Oxford Economics'!$A$6:$AZ$6,0),MATCH(P$5&amp;"",'Oxford Economics'!$A$6:$AZ$6,0))),'Oxford Economics'!$A$7:$A$1000,$C53,'Oxford Economics'!$B$7:$B$1000,Settings!$B$13)-SUMIFS(INDEX('Oxford Economics'!$A$7:$AZ$1000,0,IFERROR(MATCH(P$5,'Oxford Economics'!$A$6:$AZ$6,0),MATCH(P$5&amp;"",'Oxford Economics'!$A$6:$AZ$6,0))),'Oxford Economics'!$A$7:$A$1000,$C53,'Oxford Economics'!$B$7:$B$1000,Settings!$B$15),SUMIFS(INDEX('Oxford Economics'!$A$7:$AZ$1000,0,IFERROR(MATCH(P$5,'Oxford Economics'!$A$6:$AZ$6,0),MATCH(P$5&amp;"",'Oxford Economics'!$A$6:$AZ$6,0))),'Oxford Economics'!$A$7:$A$1000,$C53,'Oxford Economics'!$B$7:$B$1000,Settings!$B$15)+SUMIFS(INDEX('Oxford Economics'!$A$7:$AZ$1000,0,IFERROR(MATCH(P$5,'Oxford Economics'!$A$6:$AZ$6,0),MATCH(P$5&amp;"",'Oxford Economics'!$A$6:$AZ$6,0))),'Oxford Economics'!$A$7:$A$1000,$C53,'Oxford Economics'!$B$7:$B$1000,Settings!$B$17)+IF(Settings!$B$19="",0,SUMIFS(INDEX('Oxford Economics'!$A$7:$AZ$1000,0,IFERROR(MATCH(P$5,'Oxford Economics'!$A$6:$AZ$6,0),MATCH(P$5&amp;"",'Oxford Economics'!$A$6:$AZ$6,0))),'Oxford Economics'!$A$7:$A$1000,$C53,'Oxford Economics'!$B$7:$B$1000,Settings!$B$19)))),""))</f>
        <v>2605.88</v>
      </c>
      <c r="Q53" s="38" t="n">
        <f aca="false">IF($A53="","",IFERROR(1/(1/IF($B53="Residential",SUMIFS(INDEX('Oxford Economics'!$A$7:$AZ$1000,0,IFERROR(MATCH(Q$5,'Oxford Economics'!$A$6:$AZ$6,0),MATCH(Q$5&amp;"",'Oxford Economics'!$A$6:$AZ$6,0))),'Oxford Economics'!$A$7:$A$1000,$C53,'Oxford Economics'!$B$7:$B$1000,Settings!$B$13)-SUMIFS(INDEX('Oxford Economics'!$A$7:$AZ$1000,0,IFERROR(MATCH(Q$5,'Oxford Economics'!$A$6:$AZ$6,0),MATCH(Q$5&amp;"",'Oxford Economics'!$A$6:$AZ$6,0))),'Oxford Economics'!$A$7:$A$1000,$C53,'Oxford Economics'!$B$7:$B$1000,Settings!$B$15),SUMIFS(INDEX('Oxford Economics'!$A$7:$AZ$1000,0,IFERROR(MATCH(Q$5,'Oxford Economics'!$A$6:$AZ$6,0),MATCH(Q$5&amp;"",'Oxford Economics'!$A$6:$AZ$6,0))),'Oxford Economics'!$A$7:$A$1000,$C53,'Oxford Economics'!$B$7:$B$1000,Settings!$B$15)+SUMIFS(INDEX('Oxford Economics'!$A$7:$AZ$1000,0,IFERROR(MATCH(Q$5,'Oxford Economics'!$A$6:$AZ$6,0),MATCH(Q$5&amp;"",'Oxford Economics'!$A$6:$AZ$6,0))),'Oxford Economics'!$A$7:$A$1000,$C53,'Oxford Economics'!$B$7:$B$1000,Settings!$B$17)+IF(Settings!$B$19="",0,SUMIFS(INDEX('Oxford Economics'!$A$7:$AZ$1000,0,IFERROR(MATCH(Q$5,'Oxford Economics'!$A$6:$AZ$6,0),MATCH(Q$5&amp;"",'Oxford Economics'!$A$6:$AZ$6,0))),'Oxford Economics'!$A$7:$A$1000,$C53,'Oxford Economics'!$B$7:$B$1000,Settings!$B$19)))),""))</f>
        <v>2992.52</v>
      </c>
      <c r="R53" s="38" t="n">
        <f aca="false">IF($A53="","",IFERROR(1/(1/IF($B53="Residential",SUMIFS(INDEX('Oxford Economics'!$A$7:$AZ$1000,0,IFERROR(MATCH(R$5,'Oxford Economics'!$A$6:$AZ$6,0),MATCH(R$5&amp;"",'Oxford Economics'!$A$6:$AZ$6,0))),'Oxford Economics'!$A$7:$A$1000,$C53,'Oxford Economics'!$B$7:$B$1000,Settings!$B$13)-SUMIFS(INDEX('Oxford Economics'!$A$7:$AZ$1000,0,IFERROR(MATCH(R$5,'Oxford Economics'!$A$6:$AZ$6,0),MATCH(R$5&amp;"",'Oxford Economics'!$A$6:$AZ$6,0))),'Oxford Economics'!$A$7:$A$1000,$C53,'Oxford Economics'!$B$7:$B$1000,Settings!$B$15),SUMIFS(INDEX('Oxford Economics'!$A$7:$AZ$1000,0,IFERROR(MATCH(R$5,'Oxford Economics'!$A$6:$AZ$6,0),MATCH(R$5&amp;"",'Oxford Economics'!$A$6:$AZ$6,0))),'Oxford Economics'!$A$7:$A$1000,$C53,'Oxford Economics'!$B$7:$B$1000,Settings!$B$15)+SUMIFS(INDEX('Oxford Economics'!$A$7:$AZ$1000,0,IFERROR(MATCH(R$5,'Oxford Economics'!$A$6:$AZ$6,0),MATCH(R$5&amp;"",'Oxford Economics'!$A$6:$AZ$6,0))),'Oxford Economics'!$A$7:$A$1000,$C53,'Oxford Economics'!$B$7:$B$1000,Settings!$B$17)+IF(Settings!$B$19="",0,SUMIFS(INDEX('Oxford Economics'!$A$7:$AZ$1000,0,IFERROR(MATCH(R$5,'Oxford Economics'!$A$6:$AZ$6,0),MATCH(R$5&amp;"",'Oxford Economics'!$A$6:$AZ$6,0))),'Oxford Economics'!$A$7:$A$1000,$C53,'Oxford Economics'!$B$7:$B$1000,Settings!$B$19)))),""))</f>
        <v>2935.29</v>
      </c>
      <c r="S53" s="38" t="n">
        <f aca="false">IF($A53="","",IFERROR(1/(1/IF($B53="Residential",SUMIFS(INDEX('Oxford Economics'!$A$7:$AZ$1000,0,IFERROR(MATCH(S$5,'Oxford Economics'!$A$6:$AZ$6,0),MATCH(S$5&amp;"",'Oxford Economics'!$A$6:$AZ$6,0))),'Oxford Economics'!$A$7:$A$1000,$C53,'Oxford Economics'!$B$7:$B$1000,Settings!$B$13)-SUMIFS(INDEX('Oxford Economics'!$A$7:$AZ$1000,0,IFERROR(MATCH(S$5,'Oxford Economics'!$A$6:$AZ$6,0),MATCH(S$5&amp;"",'Oxford Economics'!$A$6:$AZ$6,0))),'Oxford Economics'!$A$7:$A$1000,$C53,'Oxford Economics'!$B$7:$B$1000,Settings!$B$15),SUMIFS(INDEX('Oxford Economics'!$A$7:$AZ$1000,0,IFERROR(MATCH(S$5,'Oxford Economics'!$A$6:$AZ$6,0),MATCH(S$5&amp;"",'Oxford Economics'!$A$6:$AZ$6,0))),'Oxford Economics'!$A$7:$A$1000,$C53,'Oxford Economics'!$B$7:$B$1000,Settings!$B$15)+SUMIFS(INDEX('Oxford Economics'!$A$7:$AZ$1000,0,IFERROR(MATCH(S$5,'Oxford Economics'!$A$6:$AZ$6,0),MATCH(S$5&amp;"",'Oxford Economics'!$A$6:$AZ$6,0))),'Oxford Economics'!$A$7:$A$1000,$C53,'Oxford Economics'!$B$7:$B$1000,Settings!$B$17)+IF(Settings!$B$19="",0,SUMIFS(INDEX('Oxford Economics'!$A$7:$AZ$1000,0,IFERROR(MATCH(S$5,'Oxford Economics'!$A$6:$AZ$6,0),MATCH(S$5&amp;"",'Oxford Economics'!$A$6:$AZ$6,0))),'Oxford Economics'!$A$7:$A$1000,$C53,'Oxford Economics'!$B$7:$B$1000,Settings!$B$19)))),""))</f>
        <v>3176.42</v>
      </c>
      <c r="T53" s="38" t="n">
        <f aca="false">IF($A53="","",IFERROR(1/(1/IF($B53="Residential",SUMIFS(INDEX('Oxford Economics'!$A$7:$AZ$1000,0,IFERROR(MATCH(T$5,'Oxford Economics'!$A$6:$AZ$6,0),MATCH(T$5&amp;"",'Oxford Economics'!$A$6:$AZ$6,0))),'Oxford Economics'!$A$7:$A$1000,$C53,'Oxford Economics'!$B$7:$B$1000,Settings!$B$13)-SUMIFS(INDEX('Oxford Economics'!$A$7:$AZ$1000,0,IFERROR(MATCH(T$5,'Oxford Economics'!$A$6:$AZ$6,0),MATCH(T$5&amp;"",'Oxford Economics'!$A$6:$AZ$6,0))),'Oxford Economics'!$A$7:$A$1000,$C53,'Oxford Economics'!$B$7:$B$1000,Settings!$B$15),SUMIFS(INDEX('Oxford Economics'!$A$7:$AZ$1000,0,IFERROR(MATCH(T$5,'Oxford Economics'!$A$6:$AZ$6,0),MATCH(T$5&amp;"",'Oxford Economics'!$A$6:$AZ$6,0))),'Oxford Economics'!$A$7:$A$1000,$C53,'Oxford Economics'!$B$7:$B$1000,Settings!$B$15)+SUMIFS(INDEX('Oxford Economics'!$A$7:$AZ$1000,0,IFERROR(MATCH(T$5,'Oxford Economics'!$A$6:$AZ$6,0),MATCH(T$5&amp;"",'Oxford Economics'!$A$6:$AZ$6,0))),'Oxford Economics'!$A$7:$A$1000,$C53,'Oxford Economics'!$B$7:$B$1000,Settings!$B$17)+IF(Settings!$B$19="",0,SUMIFS(INDEX('Oxford Economics'!$A$7:$AZ$1000,0,IFERROR(MATCH(T$5,'Oxford Economics'!$A$6:$AZ$6,0),MATCH(T$5&amp;"",'Oxford Economics'!$A$6:$AZ$6,0))),'Oxford Economics'!$A$7:$A$1000,$C53,'Oxford Economics'!$B$7:$B$1000,Settings!$B$19)))),""))</f>
        <v>3649.88</v>
      </c>
      <c r="U53" s="38" t="n">
        <f aca="false">IF($A53="","",IFERROR(1/(1/IF($B53="Residential",SUMIFS(INDEX('Oxford Economics'!$A$7:$AZ$1000,0,IFERROR(MATCH(U$5,'Oxford Economics'!$A$6:$AZ$6,0),MATCH(U$5&amp;"",'Oxford Economics'!$A$6:$AZ$6,0))),'Oxford Economics'!$A$7:$A$1000,$C53,'Oxford Economics'!$B$7:$B$1000,Settings!$B$13)-SUMIFS(INDEX('Oxford Economics'!$A$7:$AZ$1000,0,IFERROR(MATCH(U$5,'Oxford Economics'!$A$6:$AZ$6,0),MATCH(U$5&amp;"",'Oxford Economics'!$A$6:$AZ$6,0))),'Oxford Economics'!$A$7:$A$1000,$C53,'Oxford Economics'!$B$7:$B$1000,Settings!$B$15),SUMIFS(INDEX('Oxford Economics'!$A$7:$AZ$1000,0,IFERROR(MATCH(U$5,'Oxford Economics'!$A$6:$AZ$6,0),MATCH(U$5&amp;"",'Oxford Economics'!$A$6:$AZ$6,0))),'Oxford Economics'!$A$7:$A$1000,$C53,'Oxford Economics'!$B$7:$B$1000,Settings!$B$15)+SUMIFS(INDEX('Oxford Economics'!$A$7:$AZ$1000,0,IFERROR(MATCH(U$5,'Oxford Economics'!$A$6:$AZ$6,0),MATCH(U$5&amp;"",'Oxford Economics'!$A$6:$AZ$6,0))),'Oxford Economics'!$A$7:$A$1000,$C53,'Oxford Economics'!$B$7:$B$1000,Settings!$B$17)+IF(Settings!$B$19="",0,SUMIFS(INDEX('Oxford Economics'!$A$7:$AZ$1000,0,IFERROR(MATCH(U$5,'Oxford Economics'!$A$6:$AZ$6,0),MATCH(U$5&amp;"",'Oxford Economics'!$A$6:$AZ$6,0))),'Oxford Economics'!$A$7:$A$1000,$C53,'Oxford Economics'!$B$7:$B$1000,Settings!$B$19)))),""))</f>
        <v>3624.83</v>
      </c>
      <c r="V53" s="38" t="n">
        <f aca="false">IF($A53="","",IFERROR(1/(1/IF($B53="Residential",SUMIFS(INDEX('Oxford Economics'!$A$7:$AZ$1000,0,IFERROR(MATCH(V$5,'Oxford Economics'!$A$6:$AZ$6,0),MATCH(V$5&amp;"",'Oxford Economics'!$A$6:$AZ$6,0))),'Oxford Economics'!$A$7:$A$1000,$C53,'Oxford Economics'!$B$7:$B$1000,Settings!$B$13)-SUMIFS(INDEX('Oxford Economics'!$A$7:$AZ$1000,0,IFERROR(MATCH(V$5,'Oxford Economics'!$A$6:$AZ$6,0),MATCH(V$5&amp;"",'Oxford Economics'!$A$6:$AZ$6,0))),'Oxford Economics'!$A$7:$A$1000,$C53,'Oxford Economics'!$B$7:$B$1000,Settings!$B$15),SUMIFS(INDEX('Oxford Economics'!$A$7:$AZ$1000,0,IFERROR(MATCH(V$5,'Oxford Economics'!$A$6:$AZ$6,0),MATCH(V$5&amp;"",'Oxford Economics'!$A$6:$AZ$6,0))),'Oxford Economics'!$A$7:$A$1000,$C53,'Oxford Economics'!$B$7:$B$1000,Settings!$B$15)+SUMIFS(INDEX('Oxford Economics'!$A$7:$AZ$1000,0,IFERROR(MATCH(V$5,'Oxford Economics'!$A$6:$AZ$6,0),MATCH(V$5&amp;"",'Oxford Economics'!$A$6:$AZ$6,0))),'Oxford Economics'!$A$7:$A$1000,$C53,'Oxford Economics'!$B$7:$B$1000,Settings!$B$17)+IF(Settings!$B$19="",0,SUMIFS(INDEX('Oxford Economics'!$A$7:$AZ$1000,0,IFERROR(MATCH(V$5,'Oxford Economics'!$A$6:$AZ$6,0),MATCH(V$5&amp;"",'Oxford Economics'!$A$6:$AZ$6,0))),'Oxford Economics'!$A$7:$A$1000,$C53,'Oxford Economics'!$B$7:$B$1000,Settings!$B$19)))),""))</f>
        <v>3497.72</v>
      </c>
      <c r="W53" s="38" t="n">
        <f aca="false">IF($A53="","",IFERROR(1/(1/IF($B53="Residential",SUMIFS(INDEX('Oxford Economics'!$A$7:$AZ$1000,0,IFERROR(MATCH(W$5,'Oxford Economics'!$A$6:$AZ$6,0),MATCH(W$5&amp;"",'Oxford Economics'!$A$6:$AZ$6,0))),'Oxford Economics'!$A$7:$A$1000,$C53,'Oxford Economics'!$B$7:$B$1000,Settings!$B$13)-SUMIFS(INDEX('Oxford Economics'!$A$7:$AZ$1000,0,IFERROR(MATCH(W$5,'Oxford Economics'!$A$6:$AZ$6,0),MATCH(W$5&amp;"",'Oxford Economics'!$A$6:$AZ$6,0))),'Oxford Economics'!$A$7:$A$1000,$C53,'Oxford Economics'!$B$7:$B$1000,Settings!$B$15),SUMIFS(INDEX('Oxford Economics'!$A$7:$AZ$1000,0,IFERROR(MATCH(W$5,'Oxford Economics'!$A$6:$AZ$6,0),MATCH(W$5&amp;"",'Oxford Economics'!$A$6:$AZ$6,0))),'Oxford Economics'!$A$7:$A$1000,$C53,'Oxford Economics'!$B$7:$B$1000,Settings!$B$15)+SUMIFS(INDEX('Oxford Economics'!$A$7:$AZ$1000,0,IFERROR(MATCH(W$5,'Oxford Economics'!$A$6:$AZ$6,0),MATCH(W$5&amp;"",'Oxford Economics'!$A$6:$AZ$6,0))),'Oxford Economics'!$A$7:$A$1000,$C53,'Oxford Economics'!$B$7:$B$1000,Settings!$B$17)+IF(Settings!$B$19="",0,SUMIFS(INDEX('Oxford Economics'!$A$7:$AZ$1000,0,IFERROR(MATCH(W$5,'Oxford Economics'!$A$6:$AZ$6,0),MATCH(W$5&amp;"",'Oxford Economics'!$A$6:$AZ$6,0))),'Oxford Economics'!$A$7:$A$1000,$C53,'Oxford Economics'!$B$7:$B$1000,Settings!$B$19)))),""))</f>
        <v>3531.72</v>
      </c>
      <c r="X53" s="38" t="n">
        <f aca="false">IF($A53="","",IFERROR(1/(1/IF($B53="Residential",SUMIFS(INDEX('Oxford Economics'!$A$7:$AZ$1000,0,IFERROR(MATCH(X$5,'Oxford Economics'!$A$6:$AZ$6,0),MATCH(X$5&amp;"",'Oxford Economics'!$A$6:$AZ$6,0))),'Oxford Economics'!$A$7:$A$1000,$C53,'Oxford Economics'!$B$7:$B$1000,Settings!$B$13)-SUMIFS(INDEX('Oxford Economics'!$A$7:$AZ$1000,0,IFERROR(MATCH(X$5,'Oxford Economics'!$A$6:$AZ$6,0),MATCH(X$5&amp;"",'Oxford Economics'!$A$6:$AZ$6,0))),'Oxford Economics'!$A$7:$A$1000,$C53,'Oxford Economics'!$B$7:$B$1000,Settings!$B$15),SUMIFS(INDEX('Oxford Economics'!$A$7:$AZ$1000,0,IFERROR(MATCH(X$5,'Oxford Economics'!$A$6:$AZ$6,0),MATCH(X$5&amp;"",'Oxford Economics'!$A$6:$AZ$6,0))),'Oxford Economics'!$A$7:$A$1000,$C53,'Oxford Economics'!$B$7:$B$1000,Settings!$B$15)+SUMIFS(INDEX('Oxford Economics'!$A$7:$AZ$1000,0,IFERROR(MATCH(X$5,'Oxford Economics'!$A$6:$AZ$6,0),MATCH(X$5&amp;"",'Oxford Economics'!$A$6:$AZ$6,0))),'Oxford Economics'!$A$7:$A$1000,$C53,'Oxford Economics'!$B$7:$B$1000,Settings!$B$17)+IF(Settings!$B$19="",0,SUMIFS(INDEX('Oxford Economics'!$A$7:$AZ$1000,0,IFERROR(MATCH(X$5,'Oxford Economics'!$A$6:$AZ$6,0),MATCH(X$5&amp;"",'Oxford Economics'!$A$6:$AZ$6,0))),'Oxford Economics'!$A$7:$A$1000,$C53,'Oxford Economics'!$B$7:$B$1000,Settings!$B$19)))),""))</f>
        <v>3742.78</v>
      </c>
      <c r="Y53" s="38" t="n">
        <f aca="false">IF($A53="","",IFERROR(1/(1/IF($B53="Residential",SUMIFS(INDEX('Oxford Economics'!$A$7:$AZ$1000,0,IFERROR(MATCH(Y$5,'Oxford Economics'!$A$6:$AZ$6,0),MATCH(Y$5&amp;"",'Oxford Economics'!$A$6:$AZ$6,0))),'Oxford Economics'!$A$7:$A$1000,$C53,'Oxford Economics'!$B$7:$B$1000,Settings!$B$13)-SUMIFS(INDEX('Oxford Economics'!$A$7:$AZ$1000,0,IFERROR(MATCH(Y$5,'Oxford Economics'!$A$6:$AZ$6,0),MATCH(Y$5&amp;"",'Oxford Economics'!$A$6:$AZ$6,0))),'Oxford Economics'!$A$7:$A$1000,$C53,'Oxford Economics'!$B$7:$B$1000,Settings!$B$15),SUMIFS(INDEX('Oxford Economics'!$A$7:$AZ$1000,0,IFERROR(MATCH(Y$5,'Oxford Economics'!$A$6:$AZ$6,0),MATCH(Y$5&amp;"",'Oxford Economics'!$A$6:$AZ$6,0))),'Oxford Economics'!$A$7:$A$1000,$C53,'Oxford Economics'!$B$7:$B$1000,Settings!$B$15)+SUMIFS(INDEX('Oxford Economics'!$A$7:$AZ$1000,0,IFERROR(MATCH(Y$5,'Oxford Economics'!$A$6:$AZ$6,0),MATCH(Y$5&amp;"",'Oxford Economics'!$A$6:$AZ$6,0))),'Oxford Economics'!$A$7:$A$1000,$C53,'Oxford Economics'!$B$7:$B$1000,Settings!$B$17)+IF(Settings!$B$19="",0,SUMIFS(INDEX('Oxford Economics'!$A$7:$AZ$1000,0,IFERROR(MATCH(Y$5,'Oxford Economics'!$A$6:$AZ$6,0),MATCH(Y$5&amp;"",'Oxford Economics'!$A$6:$AZ$6,0))),'Oxford Economics'!$A$7:$A$1000,$C53,'Oxford Economics'!$B$7:$B$1000,Settings!$B$19)))),""))</f>
        <v>3856.06</v>
      </c>
      <c r="Z53" s="38" t="n">
        <f aca="false">IF($A53="","",IFERROR(1/(1/IF($B53="Residential",SUMIFS(INDEX('Oxford Economics'!$A$7:$AZ$1000,0,IFERROR(MATCH(Z$5,'Oxford Economics'!$A$6:$AZ$6,0),MATCH(Z$5&amp;"",'Oxford Economics'!$A$6:$AZ$6,0))),'Oxford Economics'!$A$7:$A$1000,$C53,'Oxford Economics'!$B$7:$B$1000,Settings!$B$13)-SUMIFS(INDEX('Oxford Economics'!$A$7:$AZ$1000,0,IFERROR(MATCH(Z$5,'Oxford Economics'!$A$6:$AZ$6,0),MATCH(Z$5&amp;"",'Oxford Economics'!$A$6:$AZ$6,0))),'Oxford Economics'!$A$7:$A$1000,$C53,'Oxford Economics'!$B$7:$B$1000,Settings!$B$15),SUMIFS(INDEX('Oxford Economics'!$A$7:$AZ$1000,0,IFERROR(MATCH(Z$5,'Oxford Economics'!$A$6:$AZ$6,0),MATCH(Z$5&amp;"",'Oxford Economics'!$A$6:$AZ$6,0))),'Oxford Economics'!$A$7:$A$1000,$C53,'Oxford Economics'!$B$7:$B$1000,Settings!$B$15)+SUMIFS(INDEX('Oxford Economics'!$A$7:$AZ$1000,0,IFERROR(MATCH(Z$5,'Oxford Economics'!$A$6:$AZ$6,0),MATCH(Z$5&amp;"",'Oxford Economics'!$A$6:$AZ$6,0))),'Oxford Economics'!$A$7:$A$1000,$C53,'Oxford Economics'!$B$7:$B$1000,Settings!$B$17)+IF(Settings!$B$19="",0,SUMIFS(INDEX('Oxford Economics'!$A$7:$AZ$1000,0,IFERROR(MATCH(Z$5,'Oxford Economics'!$A$6:$AZ$6,0),MATCH(Z$5&amp;"",'Oxford Economics'!$A$6:$AZ$6,0))),'Oxford Economics'!$A$7:$A$1000,$C53,'Oxford Economics'!$B$7:$B$1000,Settings!$B$19)))),""))</f>
        <v>3967.35</v>
      </c>
      <c r="AA53" s="38" t="n">
        <f aca="false">IF($A53="","",IFERROR(1/(1/IF($B53="Residential",SUMIFS(INDEX('Oxford Economics'!$A$7:$AZ$1000,0,IFERROR(MATCH(AA$5,'Oxford Economics'!$A$6:$AZ$6,0),MATCH(AA$5&amp;"",'Oxford Economics'!$A$6:$AZ$6,0))),'Oxford Economics'!$A$7:$A$1000,$C53,'Oxford Economics'!$B$7:$B$1000,Settings!$B$13)-SUMIFS(INDEX('Oxford Economics'!$A$7:$AZ$1000,0,IFERROR(MATCH(AA$5,'Oxford Economics'!$A$6:$AZ$6,0),MATCH(AA$5&amp;"",'Oxford Economics'!$A$6:$AZ$6,0))),'Oxford Economics'!$A$7:$A$1000,$C53,'Oxford Economics'!$B$7:$B$1000,Settings!$B$15),SUMIFS(INDEX('Oxford Economics'!$A$7:$AZ$1000,0,IFERROR(MATCH(AA$5,'Oxford Economics'!$A$6:$AZ$6,0),MATCH(AA$5&amp;"",'Oxford Economics'!$A$6:$AZ$6,0))),'Oxford Economics'!$A$7:$A$1000,$C53,'Oxford Economics'!$B$7:$B$1000,Settings!$B$15)+SUMIFS(INDEX('Oxford Economics'!$A$7:$AZ$1000,0,IFERROR(MATCH(AA$5,'Oxford Economics'!$A$6:$AZ$6,0),MATCH(AA$5&amp;"",'Oxford Economics'!$A$6:$AZ$6,0))),'Oxford Economics'!$A$7:$A$1000,$C53,'Oxford Economics'!$B$7:$B$1000,Settings!$B$17)+IF(Settings!$B$19="",0,SUMIFS(INDEX('Oxford Economics'!$A$7:$AZ$1000,0,IFERROR(MATCH(AA$5,'Oxford Economics'!$A$6:$AZ$6,0),MATCH(AA$5&amp;"",'Oxford Economics'!$A$6:$AZ$6,0))),'Oxford Economics'!$A$7:$A$1000,$C53,'Oxford Economics'!$B$7:$B$1000,Settings!$B$19)))),""))</f>
        <v>4029.73</v>
      </c>
      <c r="AB53" s="38" t="n">
        <f aca="false">IF($A53="","",IFERROR(1/(1/IF($B53="Residential",SUMIFS(INDEX('Oxford Economics'!$A$7:$AZ$1000,0,IFERROR(MATCH(AB$5,'Oxford Economics'!$A$6:$AZ$6,0),MATCH(AB$5&amp;"",'Oxford Economics'!$A$6:$AZ$6,0))),'Oxford Economics'!$A$7:$A$1000,$C53,'Oxford Economics'!$B$7:$B$1000,Settings!$B$12)-SUMIFS(INDEX('Oxford Economics'!$A$7:$AZ$1000,0,IFERROR(MATCH(AB$5,'Oxford Economics'!$A$6:$AZ$6,0),MATCH(AB$5&amp;"",'Oxford Economics'!$A$6:$AZ$6,0))),'Oxford Economics'!$A$7:$A$1000,$C53,'Oxford Economics'!$B$7:$B$1000,Settings!$B$14),SUMIFS(INDEX('Oxford Economics'!$A$7:$AZ$1000,0,IFERROR(MATCH(AB$5,'Oxford Economics'!$A$6:$AZ$6,0),MATCH(AB$5&amp;"",'Oxford Economics'!$A$6:$AZ$6,0))),'Oxford Economics'!$A$7:$A$1000,$C53,'Oxford Economics'!$B$7:$B$1000,Settings!$B$14)+SUMIFS(INDEX('Oxford Economics'!$A$7:$AZ$1000,0,IFERROR(MATCH(AB$5,'Oxford Economics'!$A$6:$AZ$6,0),MATCH(AB$5&amp;"",'Oxford Economics'!$A$6:$AZ$6,0))),'Oxford Economics'!$A$7:$A$1000,$C53,'Oxford Economics'!$B$7:$B$1000,Settings!$B$16)+IF(Settings!$B$18="",0,SUMIFS(INDEX('Oxford Economics'!$A$7:$AZ$1000,0,IFERROR(MATCH(AB$5,'Oxford Economics'!$A$6:$AZ$6,0),MATCH(AB$5&amp;"",'Oxford Economics'!$A$6:$AZ$6,0))),'Oxford Economics'!$A$7:$A$1000,$C53,'Oxford Economics'!$B$7:$B$1000,Settings!$B$18)))),""))</f>
        <v>4151.37</v>
      </c>
      <c r="AC53" s="38" t="n">
        <f aca="false">IF($A53="","",IFERROR(1/(1/IF($B53="Residential",SUMIFS(INDEX('Oxford Economics'!$A$7:$AZ$1000,0,IFERROR(MATCH(AC$5,'Oxford Economics'!$A$6:$AZ$6,0),MATCH(AC$5&amp;"",'Oxford Economics'!$A$6:$AZ$6,0))),'Oxford Economics'!$A$7:$A$1000,$C53,'Oxford Economics'!$B$7:$B$1000,Settings!$B$12)-SUMIFS(INDEX('Oxford Economics'!$A$7:$AZ$1000,0,IFERROR(MATCH(AC$5,'Oxford Economics'!$A$6:$AZ$6,0),MATCH(AC$5&amp;"",'Oxford Economics'!$A$6:$AZ$6,0))),'Oxford Economics'!$A$7:$A$1000,$C53,'Oxford Economics'!$B$7:$B$1000,Settings!$B$14),SUMIFS(INDEX('Oxford Economics'!$A$7:$AZ$1000,0,IFERROR(MATCH(AC$5,'Oxford Economics'!$A$6:$AZ$6,0),MATCH(AC$5&amp;"",'Oxford Economics'!$A$6:$AZ$6,0))),'Oxford Economics'!$A$7:$A$1000,$C53,'Oxford Economics'!$B$7:$B$1000,Settings!$B$14)+SUMIFS(INDEX('Oxford Economics'!$A$7:$AZ$1000,0,IFERROR(MATCH(AC$5,'Oxford Economics'!$A$6:$AZ$6,0),MATCH(AC$5&amp;"",'Oxford Economics'!$A$6:$AZ$6,0))),'Oxford Economics'!$A$7:$A$1000,$C53,'Oxford Economics'!$B$7:$B$1000,Settings!$B$16)+IF(Settings!$B$18="",0,SUMIFS(INDEX('Oxford Economics'!$A$7:$AZ$1000,0,IFERROR(MATCH(AC$5,'Oxford Economics'!$A$6:$AZ$6,0),MATCH(AC$5&amp;"",'Oxford Economics'!$A$6:$AZ$6,0))),'Oxford Economics'!$A$7:$A$1000,$C53,'Oxford Economics'!$B$7:$B$1000,Settings!$B$18)))),""))</f>
        <v>4430.59</v>
      </c>
      <c r="AD53" s="38" t="n">
        <f aca="false">IF($A53="","",IFERROR(1/(1/IF($B53="Residential",SUMIFS(INDEX('Oxford Economics'!$A$7:$AZ$1000,0,IFERROR(MATCH(AD$5,'Oxford Economics'!$A$6:$AZ$6,0),MATCH(AD$5&amp;"",'Oxford Economics'!$A$6:$AZ$6,0))),'Oxford Economics'!$A$7:$A$1000,$C53,'Oxford Economics'!$B$7:$B$1000,Settings!$B$12)-SUMIFS(INDEX('Oxford Economics'!$A$7:$AZ$1000,0,IFERROR(MATCH(AD$5,'Oxford Economics'!$A$6:$AZ$6,0),MATCH(AD$5&amp;"",'Oxford Economics'!$A$6:$AZ$6,0))),'Oxford Economics'!$A$7:$A$1000,$C53,'Oxford Economics'!$B$7:$B$1000,Settings!$B$14),SUMIFS(INDEX('Oxford Economics'!$A$7:$AZ$1000,0,IFERROR(MATCH(AD$5,'Oxford Economics'!$A$6:$AZ$6,0),MATCH(AD$5&amp;"",'Oxford Economics'!$A$6:$AZ$6,0))),'Oxford Economics'!$A$7:$A$1000,$C53,'Oxford Economics'!$B$7:$B$1000,Settings!$B$14)+SUMIFS(INDEX('Oxford Economics'!$A$7:$AZ$1000,0,IFERROR(MATCH(AD$5,'Oxford Economics'!$A$6:$AZ$6,0),MATCH(AD$5&amp;"",'Oxford Economics'!$A$6:$AZ$6,0))),'Oxford Economics'!$A$7:$A$1000,$C53,'Oxford Economics'!$B$7:$B$1000,Settings!$B$16)+IF(Settings!$B$18="",0,SUMIFS(INDEX('Oxford Economics'!$A$7:$AZ$1000,0,IFERROR(MATCH(AD$5,'Oxford Economics'!$A$6:$AZ$6,0),MATCH(AD$5&amp;"",'Oxford Economics'!$A$6:$AZ$6,0))),'Oxford Economics'!$A$7:$A$1000,$C53,'Oxford Economics'!$B$7:$B$1000,Settings!$B$18)))),""))</f>
        <v>4523.31</v>
      </c>
      <c r="AE53" s="38" t="n">
        <f aca="false">IF($A53="","",IFERROR(1/(1/IF($B53="Residential",SUMIFS(INDEX('Oxford Economics'!$A$7:$AZ$1000,0,IFERROR(MATCH(AE$5,'Oxford Economics'!$A$6:$AZ$6,0),MATCH(AE$5&amp;"",'Oxford Economics'!$A$6:$AZ$6,0))),'Oxford Economics'!$A$7:$A$1000,$C53,'Oxford Economics'!$B$7:$B$1000,Settings!$B$12)-SUMIFS(INDEX('Oxford Economics'!$A$7:$AZ$1000,0,IFERROR(MATCH(AE$5,'Oxford Economics'!$A$6:$AZ$6,0),MATCH(AE$5&amp;"",'Oxford Economics'!$A$6:$AZ$6,0))),'Oxford Economics'!$A$7:$A$1000,$C53,'Oxford Economics'!$B$7:$B$1000,Settings!$B$14),SUMIFS(INDEX('Oxford Economics'!$A$7:$AZ$1000,0,IFERROR(MATCH(AE$5,'Oxford Economics'!$A$6:$AZ$6,0),MATCH(AE$5&amp;"",'Oxford Economics'!$A$6:$AZ$6,0))),'Oxford Economics'!$A$7:$A$1000,$C53,'Oxford Economics'!$B$7:$B$1000,Settings!$B$14)+SUMIFS(INDEX('Oxford Economics'!$A$7:$AZ$1000,0,IFERROR(MATCH(AE$5,'Oxford Economics'!$A$6:$AZ$6,0),MATCH(AE$5&amp;"",'Oxford Economics'!$A$6:$AZ$6,0))),'Oxford Economics'!$A$7:$A$1000,$C53,'Oxford Economics'!$B$7:$B$1000,Settings!$B$16)+IF(Settings!$B$18="",0,SUMIFS(INDEX('Oxford Economics'!$A$7:$AZ$1000,0,IFERROR(MATCH(AE$5,'Oxford Economics'!$A$6:$AZ$6,0),MATCH(AE$5&amp;"",'Oxford Economics'!$A$6:$AZ$6,0))),'Oxford Economics'!$A$7:$A$1000,$C53,'Oxford Economics'!$B$7:$B$1000,Settings!$B$18)))),""))</f>
        <v>4573.72</v>
      </c>
      <c r="AF53" s="38" t="n">
        <f aca="false">IF($A53="","",IFERROR(1/(1/IF($B53="Residential",SUMIFS(INDEX('Oxford Economics'!$A$7:$AZ$1000,0,IFERROR(MATCH(AF$5,'Oxford Economics'!$A$6:$AZ$6,0),MATCH(AF$5&amp;"",'Oxford Economics'!$A$6:$AZ$6,0))),'Oxford Economics'!$A$7:$A$1000,$C53,'Oxford Economics'!$B$7:$B$1000,Settings!$B$12)-SUMIFS(INDEX('Oxford Economics'!$A$7:$AZ$1000,0,IFERROR(MATCH(AF$5,'Oxford Economics'!$A$6:$AZ$6,0),MATCH(AF$5&amp;"",'Oxford Economics'!$A$6:$AZ$6,0))),'Oxford Economics'!$A$7:$A$1000,$C53,'Oxford Economics'!$B$7:$B$1000,Settings!$B$14),SUMIFS(INDEX('Oxford Economics'!$A$7:$AZ$1000,0,IFERROR(MATCH(AF$5,'Oxford Economics'!$A$6:$AZ$6,0),MATCH(AF$5&amp;"",'Oxford Economics'!$A$6:$AZ$6,0))),'Oxford Economics'!$A$7:$A$1000,$C53,'Oxford Economics'!$B$7:$B$1000,Settings!$B$14)+SUMIFS(INDEX('Oxford Economics'!$A$7:$AZ$1000,0,IFERROR(MATCH(AF$5,'Oxford Economics'!$A$6:$AZ$6,0),MATCH(AF$5&amp;"",'Oxford Economics'!$A$6:$AZ$6,0))),'Oxford Economics'!$A$7:$A$1000,$C53,'Oxford Economics'!$B$7:$B$1000,Settings!$B$16)+IF(Settings!$B$18="",0,SUMIFS(INDEX('Oxford Economics'!$A$7:$AZ$1000,0,IFERROR(MATCH(AF$5,'Oxford Economics'!$A$6:$AZ$6,0),MATCH(AF$5&amp;"",'Oxford Economics'!$A$6:$AZ$6,0))),'Oxford Economics'!$A$7:$A$1000,$C53,'Oxford Economics'!$B$7:$B$1000,Settings!$B$18)))),""))</f>
        <v>4512.94</v>
      </c>
      <c r="AG53" s="38" t="n">
        <f aca="false">IF($A53="","",IFERROR(1/(1/IF($B53="Residential",SUMIFS(INDEX('Oxford Economics'!$A$7:$AZ$1000,0,IFERROR(MATCH(AG$5,'Oxford Economics'!$A$6:$AZ$6,0),MATCH(AG$5&amp;"",'Oxford Economics'!$A$6:$AZ$6,0))),'Oxford Economics'!$A$7:$A$1000,$C53,'Oxford Economics'!$B$7:$B$1000,Settings!$B$12)-SUMIFS(INDEX('Oxford Economics'!$A$7:$AZ$1000,0,IFERROR(MATCH(AG$5,'Oxford Economics'!$A$6:$AZ$6,0),MATCH(AG$5&amp;"",'Oxford Economics'!$A$6:$AZ$6,0))),'Oxford Economics'!$A$7:$A$1000,$C53,'Oxford Economics'!$B$7:$B$1000,Settings!$B$14),SUMIFS(INDEX('Oxford Economics'!$A$7:$AZ$1000,0,IFERROR(MATCH(AG$5,'Oxford Economics'!$A$6:$AZ$6,0),MATCH(AG$5&amp;"",'Oxford Economics'!$A$6:$AZ$6,0))),'Oxford Economics'!$A$7:$A$1000,$C53,'Oxford Economics'!$B$7:$B$1000,Settings!$B$14)+SUMIFS(INDEX('Oxford Economics'!$A$7:$AZ$1000,0,IFERROR(MATCH(AG$5,'Oxford Economics'!$A$6:$AZ$6,0),MATCH(AG$5&amp;"",'Oxford Economics'!$A$6:$AZ$6,0))),'Oxford Economics'!$A$7:$A$1000,$C53,'Oxford Economics'!$B$7:$B$1000,Settings!$B$16)+IF(Settings!$B$18="",0,SUMIFS(INDEX('Oxford Economics'!$A$7:$AZ$1000,0,IFERROR(MATCH(AG$5,'Oxford Economics'!$A$6:$AZ$6,0),MATCH(AG$5&amp;"",'Oxford Economics'!$A$6:$AZ$6,0))),'Oxford Economics'!$A$7:$A$1000,$C53,'Oxford Economics'!$B$7:$B$1000,Settings!$B$18)))),""))</f>
        <v>4417.65</v>
      </c>
      <c r="AH53" s="38" t="n">
        <f aca="false">IF($A53="","",IFERROR(1/(1/IF($B53="Residential",SUMIFS(INDEX('Oxford Economics'!$A$7:$AZ$1000,0,IFERROR(MATCH(AH$5,'Oxford Economics'!$A$6:$AZ$6,0),MATCH(AH$5&amp;"",'Oxford Economics'!$A$6:$AZ$6,0))),'Oxford Economics'!$A$7:$A$1000,$C53,'Oxford Economics'!$B$7:$B$1000,Settings!$B$12)-SUMIFS(INDEX('Oxford Economics'!$A$7:$AZ$1000,0,IFERROR(MATCH(AH$5,'Oxford Economics'!$A$6:$AZ$6,0),MATCH(AH$5&amp;"",'Oxford Economics'!$A$6:$AZ$6,0))),'Oxford Economics'!$A$7:$A$1000,$C53,'Oxford Economics'!$B$7:$B$1000,Settings!$B$14),SUMIFS(INDEX('Oxford Economics'!$A$7:$AZ$1000,0,IFERROR(MATCH(AH$5,'Oxford Economics'!$A$6:$AZ$6,0),MATCH(AH$5&amp;"",'Oxford Economics'!$A$6:$AZ$6,0))),'Oxford Economics'!$A$7:$A$1000,$C53,'Oxford Economics'!$B$7:$B$1000,Settings!$B$14)+SUMIFS(INDEX('Oxford Economics'!$A$7:$AZ$1000,0,IFERROR(MATCH(AH$5,'Oxford Economics'!$A$6:$AZ$6,0),MATCH(AH$5&amp;"",'Oxford Economics'!$A$6:$AZ$6,0))),'Oxford Economics'!$A$7:$A$1000,$C53,'Oxford Economics'!$B$7:$B$1000,Settings!$B$16)+IF(Settings!$B$18="",0,SUMIFS(INDEX('Oxford Economics'!$A$7:$AZ$1000,0,IFERROR(MATCH(AH$5,'Oxford Economics'!$A$6:$AZ$6,0),MATCH(AH$5&amp;"",'Oxford Economics'!$A$6:$AZ$6,0))),'Oxford Economics'!$A$7:$A$1000,$C53,'Oxford Economics'!$B$7:$B$1000,Settings!$B$18)))),""))</f>
        <v>4216.77</v>
      </c>
      <c r="AI53" s="38" t="n">
        <f aca="false">IF($A53="","",IFERROR(1/(1/IF($B53="Residential",SUMIFS(INDEX('Oxford Economics'!$A$7:$AZ$1000,0,IFERROR(MATCH(AI$5,'Oxford Economics'!$A$6:$AZ$6,0),MATCH(AI$5&amp;"",'Oxford Economics'!$A$6:$AZ$6,0))),'Oxford Economics'!$A$7:$A$1000,$C53,'Oxford Economics'!$B$7:$B$1000,Settings!$B$12)-SUMIFS(INDEX('Oxford Economics'!$A$7:$AZ$1000,0,IFERROR(MATCH(AI$5,'Oxford Economics'!$A$6:$AZ$6,0),MATCH(AI$5&amp;"",'Oxford Economics'!$A$6:$AZ$6,0))),'Oxford Economics'!$A$7:$A$1000,$C53,'Oxford Economics'!$B$7:$B$1000,Settings!$B$14),SUMIFS(INDEX('Oxford Economics'!$A$7:$AZ$1000,0,IFERROR(MATCH(AI$5,'Oxford Economics'!$A$6:$AZ$6,0),MATCH(AI$5&amp;"",'Oxford Economics'!$A$6:$AZ$6,0))),'Oxford Economics'!$A$7:$A$1000,$C53,'Oxford Economics'!$B$7:$B$1000,Settings!$B$14)+SUMIFS(INDEX('Oxford Economics'!$A$7:$AZ$1000,0,IFERROR(MATCH(AI$5,'Oxford Economics'!$A$6:$AZ$6,0),MATCH(AI$5&amp;"",'Oxford Economics'!$A$6:$AZ$6,0))),'Oxford Economics'!$A$7:$A$1000,$C53,'Oxford Economics'!$B$7:$B$1000,Settings!$B$16)+IF(Settings!$B$18="",0,SUMIFS(INDEX('Oxford Economics'!$A$7:$AZ$1000,0,IFERROR(MATCH(AI$5,'Oxford Economics'!$A$6:$AZ$6,0),MATCH(AI$5&amp;"",'Oxford Economics'!$A$6:$AZ$6,0))),'Oxford Economics'!$A$7:$A$1000,$C53,'Oxford Economics'!$B$7:$B$1000,Settings!$B$18)))),""))</f>
        <v>4156.6</v>
      </c>
      <c r="AJ53" s="38" t="n">
        <f aca="false">IF($A53="","",IFERROR(1/(1/IF($B53="Residential",SUMIFS(INDEX('Oxford Economics'!$A$7:$AZ$1000,0,IFERROR(MATCH(AJ$5,'Oxford Economics'!$A$6:$AZ$6,0),MATCH(AJ$5&amp;"",'Oxford Economics'!$A$6:$AZ$6,0))),'Oxford Economics'!$A$7:$A$1000,$C53,'Oxford Economics'!$B$7:$B$1000,Settings!$B$12)-SUMIFS(INDEX('Oxford Economics'!$A$7:$AZ$1000,0,IFERROR(MATCH(AJ$5,'Oxford Economics'!$A$6:$AZ$6,0),MATCH(AJ$5&amp;"",'Oxford Economics'!$A$6:$AZ$6,0))),'Oxford Economics'!$A$7:$A$1000,$C53,'Oxford Economics'!$B$7:$B$1000,Settings!$B$14),SUMIFS(INDEX('Oxford Economics'!$A$7:$AZ$1000,0,IFERROR(MATCH(AJ$5,'Oxford Economics'!$A$6:$AZ$6,0),MATCH(AJ$5&amp;"",'Oxford Economics'!$A$6:$AZ$6,0))),'Oxford Economics'!$A$7:$A$1000,$C53,'Oxford Economics'!$B$7:$B$1000,Settings!$B$14)+SUMIFS(INDEX('Oxford Economics'!$A$7:$AZ$1000,0,IFERROR(MATCH(AJ$5,'Oxford Economics'!$A$6:$AZ$6,0),MATCH(AJ$5&amp;"",'Oxford Economics'!$A$6:$AZ$6,0))),'Oxford Economics'!$A$7:$A$1000,$C53,'Oxford Economics'!$B$7:$B$1000,Settings!$B$16)+IF(Settings!$B$18="",0,SUMIFS(INDEX('Oxford Economics'!$A$7:$AZ$1000,0,IFERROR(MATCH(AJ$5,'Oxford Economics'!$A$6:$AZ$6,0),MATCH(AJ$5&amp;"",'Oxford Economics'!$A$6:$AZ$6,0))),'Oxford Economics'!$A$7:$A$1000,$C53,'Oxford Economics'!$B$7:$B$1000,Settings!$B$18)))),""))</f>
        <v>4382.67</v>
      </c>
      <c r="AK53" s="38" t="n">
        <f aca="false">IF($A53="","",IFERROR(1/(1/IF($B53="Residential",SUMIFS(INDEX('Oxford Economics'!$A$7:$AZ$1000,0,IFERROR(MATCH(AK$5,'Oxford Economics'!$A$6:$AZ$6,0),MATCH(AK$5&amp;"",'Oxford Economics'!$A$6:$AZ$6,0))),'Oxford Economics'!$A$7:$A$1000,$C53,'Oxford Economics'!$B$7:$B$1000,Settings!$B$12)-SUMIFS(INDEX('Oxford Economics'!$A$7:$AZ$1000,0,IFERROR(MATCH(AK$5,'Oxford Economics'!$A$6:$AZ$6,0),MATCH(AK$5&amp;"",'Oxford Economics'!$A$6:$AZ$6,0))),'Oxford Economics'!$A$7:$A$1000,$C53,'Oxford Economics'!$B$7:$B$1000,Settings!$B$14),SUMIFS(INDEX('Oxford Economics'!$A$7:$AZ$1000,0,IFERROR(MATCH(AK$5,'Oxford Economics'!$A$6:$AZ$6,0),MATCH(AK$5&amp;"",'Oxford Economics'!$A$6:$AZ$6,0))),'Oxford Economics'!$A$7:$A$1000,$C53,'Oxford Economics'!$B$7:$B$1000,Settings!$B$14)+SUMIFS(INDEX('Oxford Economics'!$A$7:$AZ$1000,0,IFERROR(MATCH(AK$5,'Oxford Economics'!$A$6:$AZ$6,0),MATCH(AK$5&amp;"",'Oxford Economics'!$A$6:$AZ$6,0))),'Oxford Economics'!$A$7:$A$1000,$C53,'Oxford Economics'!$B$7:$B$1000,Settings!$B$16)+IF(Settings!$B$18="",0,SUMIFS(INDEX('Oxford Economics'!$A$7:$AZ$1000,0,IFERROR(MATCH(AK$5,'Oxford Economics'!$A$6:$AZ$6,0),MATCH(AK$5&amp;"",'Oxford Economics'!$A$6:$AZ$6,0))),'Oxford Economics'!$A$7:$A$1000,$C53,'Oxford Economics'!$B$7:$B$1000,Settings!$B$18)))),""))</f>
        <v>4475.98</v>
      </c>
      <c r="AL53" s="38" t="n">
        <f aca="false">IF($A53="","",IFERROR(1/(1/IF($B53="Residential",SUMIFS(INDEX('Oxford Economics'!$A$7:$AZ$1000,0,IFERROR(MATCH(AL$5,'Oxford Economics'!$A$6:$AZ$6,0),MATCH(AL$5&amp;"",'Oxford Economics'!$A$6:$AZ$6,0))),'Oxford Economics'!$A$7:$A$1000,$C53,'Oxford Economics'!$B$7:$B$1000,Settings!$B$12)-SUMIFS(INDEX('Oxford Economics'!$A$7:$AZ$1000,0,IFERROR(MATCH(AL$5,'Oxford Economics'!$A$6:$AZ$6,0),MATCH(AL$5&amp;"",'Oxford Economics'!$A$6:$AZ$6,0))),'Oxford Economics'!$A$7:$A$1000,$C53,'Oxford Economics'!$B$7:$B$1000,Settings!$B$14),SUMIFS(INDEX('Oxford Economics'!$A$7:$AZ$1000,0,IFERROR(MATCH(AL$5,'Oxford Economics'!$A$6:$AZ$6,0),MATCH(AL$5&amp;"",'Oxford Economics'!$A$6:$AZ$6,0))),'Oxford Economics'!$A$7:$A$1000,$C53,'Oxford Economics'!$B$7:$B$1000,Settings!$B$14)+SUMIFS(INDEX('Oxford Economics'!$A$7:$AZ$1000,0,IFERROR(MATCH(AL$5,'Oxford Economics'!$A$6:$AZ$6,0),MATCH(AL$5&amp;"",'Oxford Economics'!$A$6:$AZ$6,0))),'Oxford Economics'!$A$7:$A$1000,$C53,'Oxford Economics'!$B$7:$B$1000,Settings!$B$16)+IF(Settings!$B$18="",0,SUMIFS(INDEX('Oxford Economics'!$A$7:$AZ$1000,0,IFERROR(MATCH(AL$5,'Oxford Economics'!$A$6:$AZ$6,0),MATCH(AL$5&amp;"",'Oxford Economics'!$A$6:$AZ$6,0))),'Oxford Economics'!$A$7:$A$1000,$C53,'Oxford Economics'!$B$7:$B$1000,Settings!$B$18)))),""))</f>
        <v>4511.95</v>
      </c>
      <c r="AM53" s="38" t="n">
        <f aca="false">IF($A53="","",IFERROR(1/(1/IF($B53="Residential",SUMIFS(INDEX('Oxford Economics'!$A$7:$AZ$1000,0,IFERROR(MATCH(AM$5,'Oxford Economics'!$A$6:$AZ$6,0),MATCH(AM$5&amp;"",'Oxford Economics'!$A$6:$AZ$6,0))),'Oxford Economics'!$A$7:$A$1000,$C53,'Oxford Economics'!$B$7:$B$1000,Settings!$B$12)-SUMIFS(INDEX('Oxford Economics'!$A$7:$AZ$1000,0,IFERROR(MATCH(AM$5,'Oxford Economics'!$A$6:$AZ$6,0),MATCH(AM$5&amp;"",'Oxford Economics'!$A$6:$AZ$6,0))),'Oxford Economics'!$A$7:$A$1000,$C53,'Oxford Economics'!$B$7:$B$1000,Settings!$B$14),SUMIFS(INDEX('Oxford Economics'!$A$7:$AZ$1000,0,IFERROR(MATCH(AM$5,'Oxford Economics'!$A$6:$AZ$6,0),MATCH(AM$5&amp;"",'Oxford Economics'!$A$6:$AZ$6,0))),'Oxford Economics'!$A$7:$A$1000,$C53,'Oxford Economics'!$B$7:$B$1000,Settings!$B$14)+SUMIFS(INDEX('Oxford Economics'!$A$7:$AZ$1000,0,IFERROR(MATCH(AM$5,'Oxford Economics'!$A$6:$AZ$6,0),MATCH(AM$5&amp;"",'Oxford Economics'!$A$6:$AZ$6,0))),'Oxford Economics'!$A$7:$A$1000,$C53,'Oxford Economics'!$B$7:$B$1000,Settings!$B$16)+IF(Settings!$B$18="",0,SUMIFS(INDEX('Oxford Economics'!$A$7:$AZ$1000,0,IFERROR(MATCH(AM$5,'Oxford Economics'!$A$6:$AZ$6,0),MATCH(AM$5&amp;"",'Oxford Economics'!$A$6:$AZ$6,0))),'Oxford Economics'!$A$7:$A$1000,$C53,'Oxford Economics'!$B$7:$B$1000,Settings!$B$18)))),""))</f>
        <v>4553.43</v>
      </c>
    </row>
    <row r="54" customFormat="false" ht="15" hidden="false" customHeight="false" outlineLevel="0" collapsed="false">
      <c r="A54" s="37" t="str">
        <f aca="false">IF('Raw data'!$A54="","",'Raw data'!$A54)</f>
        <v>Germany</v>
      </c>
      <c r="B54" s="37" t="str">
        <f aca="false">IF($A54="","",'Raw data'!$C54)</f>
        <v>Residential</v>
      </c>
      <c r="C54" s="37" t="str">
        <f aca="false">IF($A54="","",IF('Raw data'!$E54="",$A54,'Raw data'!$E54))</f>
        <v>Germany</v>
      </c>
      <c r="D54" s="38" t="n">
        <f aca="false">IF($A54="","",IF(AND(ISNUMBER(P54),ISNUMBER(AB54)),P54+AB54,""))</f>
        <v>126335.4</v>
      </c>
      <c r="E54" s="38" t="n">
        <f aca="false">IF($A54="","",IF(AND(ISNUMBER(Q54),ISNUMBER(AC54)),Q54+AC54,""))</f>
        <v>121724.63</v>
      </c>
      <c r="F54" s="38" t="n">
        <f aca="false">IF($A54="","",IF(AND(ISNUMBER(R54),ISNUMBER(AD54)),R54+AD54,""))</f>
        <v>108333.75</v>
      </c>
      <c r="G54" s="38" t="n">
        <f aca="false">IF($A54="","",IF(AND(ISNUMBER(S54),ISNUMBER(AE54)),S54+AE54,""))</f>
        <v>105203.78</v>
      </c>
      <c r="H54" s="38" t="n">
        <f aca="false">IF($A54="","",IF(AND(ISNUMBER(T54),ISNUMBER(AF54)),T54+AF54,""))</f>
        <v>100808.61</v>
      </c>
      <c r="I54" s="38" t="n">
        <f aca="false">IF($A54="","",IF(AND(ISNUMBER(U54),ISNUMBER(AG54)),U54+AG54,""))</f>
        <v>96006.35</v>
      </c>
      <c r="J54" s="38" t="n">
        <f aca="false">IF($A54="","",IF(AND(ISNUMBER(V54),ISNUMBER(AH54)),V54+AH54,""))</f>
        <v>95462.69</v>
      </c>
      <c r="K54" s="38" t="n">
        <f aca="false">IF($A54="","",IF(AND(ISNUMBER(W54),ISNUMBER(AI54)),W54+AI54,""))</f>
        <v>96579.65</v>
      </c>
      <c r="L54" s="38" t="n">
        <f aca="false">IF($A54="","",IF(AND(ISNUMBER(X54),ISNUMBER(AJ54)),X54+AJ54,""))</f>
        <v>100077.98</v>
      </c>
      <c r="M54" s="38" t="n">
        <f aca="false">IF($A54="","",IF(AND(ISNUMBER(Y54),ISNUMBER(AK54)),Y54+AK54,""))</f>
        <v>103905.91</v>
      </c>
      <c r="N54" s="38" t="n">
        <f aca="false">IF($A54="","",IF(AND(ISNUMBER(Z54),ISNUMBER(AL54)),Z54+AL54,""))</f>
        <v>108154.42</v>
      </c>
      <c r="O54" s="38" t="n">
        <f aca="false">IF($A54="","",IF(AND(ISNUMBER(AA54),ISNUMBER(AM54)),AA54+AM54,""))</f>
        <v>109985.6</v>
      </c>
      <c r="P54" s="38" t="n">
        <f aca="false">IF($A54="","",IFERROR(1/(1/IF($B54="Residential",SUMIFS(INDEX('Oxford Economics'!$A$7:$AZ$1000,0,IFERROR(MATCH(P$5,'Oxford Economics'!$A$6:$AZ$6,0),MATCH(P$5&amp;"",'Oxford Economics'!$A$6:$AZ$6,0))),'Oxford Economics'!$A$7:$A$1000,$C54,'Oxford Economics'!$B$7:$B$1000,Settings!$B$13)-SUMIFS(INDEX('Oxford Economics'!$A$7:$AZ$1000,0,IFERROR(MATCH(P$5,'Oxford Economics'!$A$6:$AZ$6,0),MATCH(P$5&amp;"",'Oxford Economics'!$A$6:$AZ$6,0))),'Oxford Economics'!$A$7:$A$1000,$C54,'Oxford Economics'!$B$7:$B$1000,Settings!$B$15),SUMIFS(INDEX('Oxford Economics'!$A$7:$AZ$1000,0,IFERROR(MATCH(P$5,'Oxford Economics'!$A$6:$AZ$6,0),MATCH(P$5&amp;"",'Oxford Economics'!$A$6:$AZ$6,0))),'Oxford Economics'!$A$7:$A$1000,$C54,'Oxford Economics'!$B$7:$B$1000,Settings!$B$15)+SUMIFS(INDEX('Oxford Economics'!$A$7:$AZ$1000,0,IFERROR(MATCH(P$5,'Oxford Economics'!$A$6:$AZ$6,0),MATCH(P$5&amp;"",'Oxford Economics'!$A$6:$AZ$6,0))),'Oxford Economics'!$A$7:$A$1000,$C54,'Oxford Economics'!$B$7:$B$1000,Settings!$B$17)+IF(Settings!$B$19="",0,SUMIFS(INDEX('Oxford Economics'!$A$7:$AZ$1000,0,IFERROR(MATCH(P$5,'Oxford Economics'!$A$6:$AZ$6,0),MATCH(P$5&amp;"",'Oxford Economics'!$A$6:$AZ$6,0))),'Oxford Economics'!$A$7:$A$1000,$C54,'Oxford Economics'!$B$7:$B$1000,Settings!$B$19)))),""))</f>
        <v>92604.17</v>
      </c>
      <c r="Q54" s="38" t="n">
        <f aca="false">IF($A54="","",IFERROR(1/(1/IF($B54="Residential",SUMIFS(INDEX('Oxford Economics'!$A$7:$AZ$1000,0,IFERROR(MATCH(Q$5,'Oxford Economics'!$A$6:$AZ$6,0),MATCH(Q$5&amp;"",'Oxford Economics'!$A$6:$AZ$6,0))),'Oxford Economics'!$A$7:$A$1000,$C54,'Oxford Economics'!$B$7:$B$1000,Settings!$B$13)-SUMIFS(INDEX('Oxford Economics'!$A$7:$AZ$1000,0,IFERROR(MATCH(Q$5,'Oxford Economics'!$A$6:$AZ$6,0),MATCH(Q$5&amp;"",'Oxford Economics'!$A$6:$AZ$6,0))),'Oxford Economics'!$A$7:$A$1000,$C54,'Oxford Economics'!$B$7:$B$1000,Settings!$B$15),SUMIFS(INDEX('Oxford Economics'!$A$7:$AZ$1000,0,IFERROR(MATCH(Q$5,'Oxford Economics'!$A$6:$AZ$6,0),MATCH(Q$5&amp;"",'Oxford Economics'!$A$6:$AZ$6,0))),'Oxford Economics'!$A$7:$A$1000,$C54,'Oxford Economics'!$B$7:$B$1000,Settings!$B$15)+SUMIFS(INDEX('Oxford Economics'!$A$7:$AZ$1000,0,IFERROR(MATCH(Q$5,'Oxford Economics'!$A$6:$AZ$6,0),MATCH(Q$5&amp;"",'Oxford Economics'!$A$6:$AZ$6,0))),'Oxford Economics'!$A$7:$A$1000,$C54,'Oxford Economics'!$B$7:$B$1000,Settings!$B$17)+IF(Settings!$B$19="",0,SUMIFS(INDEX('Oxford Economics'!$A$7:$AZ$1000,0,IFERROR(MATCH(Q$5,'Oxford Economics'!$A$6:$AZ$6,0),MATCH(Q$5&amp;"",'Oxford Economics'!$A$6:$AZ$6,0))),'Oxford Economics'!$A$7:$A$1000,$C54,'Oxford Economics'!$B$7:$B$1000,Settings!$B$19)))),""))</f>
        <v>88470.63</v>
      </c>
      <c r="R54" s="38" t="n">
        <f aca="false">IF($A54="","",IFERROR(1/(1/IF($B54="Residential",SUMIFS(INDEX('Oxford Economics'!$A$7:$AZ$1000,0,IFERROR(MATCH(R$5,'Oxford Economics'!$A$6:$AZ$6,0),MATCH(R$5&amp;"",'Oxford Economics'!$A$6:$AZ$6,0))),'Oxford Economics'!$A$7:$A$1000,$C54,'Oxford Economics'!$B$7:$B$1000,Settings!$B$13)-SUMIFS(INDEX('Oxford Economics'!$A$7:$AZ$1000,0,IFERROR(MATCH(R$5,'Oxford Economics'!$A$6:$AZ$6,0),MATCH(R$5&amp;"",'Oxford Economics'!$A$6:$AZ$6,0))),'Oxford Economics'!$A$7:$A$1000,$C54,'Oxford Economics'!$B$7:$B$1000,Settings!$B$15),SUMIFS(INDEX('Oxford Economics'!$A$7:$AZ$1000,0,IFERROR(MATCH(R$5,'Oxford Economics'!$A$6:$AZ$6,0),MATCH(R$5&amp;"",'Oxford Economics'!$A$6:$AZ$6,0))),'Oxford Economics'!$A$7:$A$1000,$C54,'Oxford Economics'!$B$7:$B$1000,Settings!$B$15)+SUMIFS(INDEX('Oxford Economics'!$A$7:$AZ$1000,0,IFERROR(MATCH(R$5,'Oxford Economics'!$A$6:$AZ$6,0),MATCH(R$5&amp;"",'Oxford Economics'!$A$6:$AZ$6,0))),'Oxford Economics'!$A$7:$A$1000,$C54,'Oxford Economics'!$B$7:$B$1000,Settings!$B$17)+IF(Settings!$B$19="",0,SUMIFS(INDEX('Oxford Economics'!$A$7:$AZ$1000,0,IFERROR(MATCH(R$5,'Oxford Economics'!$A$6:$AZ$6,0),MATCH(R$5&amp;"",'Oxford Economics'!$A$6:$AZ$6,0))),'Oxford Economics'!$A$7:$A$1000,$C54,'Oxford Economics'!$B$7:$B$1000,Settings!$B$19)))),""))</f>
        <v>80855.95</v>
      </c>
      <c r="S54" s="38" t="n">
        <f aca="false">IF($A54="","",IFERROR(1/(1/IF($B54="Residential",SUMIFS(INDEX('Oxford Economics'!$A$7:$AZ$1000,0,IFERROR(MATCH(S$5,'Oxford Economics'!$A$6:$AZ$6,0),MATCH(S$5&amp;"",'Oxford Economics'!$A$6:$AZ$6,0))),'Oxford Economics'!$A$7:$A$1000,$C54,'Oxford Economics'!$B$7:$B$1000,Settings!$B$13)-SUMIFS(INDEX('Oxford Economics'!$A$7:$AZ$1000,0,IFERROR(MATCH(S$5,'Oxford Economics'!$A$6:$AZ$6,0),MATCH(S$5&amp;"",'Oxford Economics'!$A$6:$AZ$6,0))),'Oxford Economics'!$A$7:$A$1000,$C54,'Oxford Economics'!$B$7:$B$1000,Settings!$B$15),SUMIFS(INDEX('Oxford Economics'!$A$7:$AZ$1000,0,IFERROR(MATCH(S$5,'Oxford Economics'!$A$6:$AZ$6,0),MATCH(S$5&amp;"",'Oxford Economics'!$A$6:$AZ$6,0))),'Oxford Economics'!$A$7:$A$1000,$C54,'Oxford Economics'!$B$7:$B$1000,Settings!$B$15)+SUMIFS(INDEX('Oxford Economics'!$A$7:$AZ$1000,0,IFERROR(MATCH(S$5,'Oxford Economics'!$A$6:$AZ$6,0),MATCH(S$5&amp;"",'Oxford Economics'!$A$6:$AZ$6,0))),'Oxford Economics'!$A$7:$A$1000,$C54,'Oxford Economics'!$B$7:$B$1000,Settings!$B$17)+IF(Settings!$B$19="",0,SUMIFS(INDEX('Oxford Economics'!$A$7:$AZ$1000,0,IFERROR(MATCH(S$5,'Oxford Economics'!$A$6:$AZ$6,0),MATCH(S$5&amp;"",'Oxford Economics'!$A$6:$AZ$6,0))),'Oxford Economics'!$A$7:$A$1000,$C54,'Oxford Economics'!$B$7:$B$1000,Settings!$B$19)))),""))</f>
        <v>82781.23</v>
      </c>
      <c r="T54" s="38" t="n">
        <f aca="false">IF($A54="","",IFERROR(1/(1/IF($B54="Residential",SUMIFS(INDEX('Oxford Economics'!$A$7:$AZ$1000,0,IFERROR(MATCH(T$5,'Oxford Economics'!$A$6:$AZ$6,0),MATCH(T$5&amp;"",'Oxford Economics'!$A$6:$AZ$6,0))),'Oxford Economics'!$A$7:$A$1000,$C54,'Oxford Economics'!$B$7:$B$1000,Settings!$B$13)-SUMIFS(INDEX('Oxford Economics'!$A$7:$AZ$1000,0,IFERROR(MATCH(T$5,'Oxford Economics'!$A$6:$AZ$6,0),MATCH(T$5&amp;"",'Oxford Economics'!$A$6:$AZ$6,0))),'Oxford Economics'!$A$7:$A$1000,$C54,'Oxford Economics'!$B$7:$B$1000,Settings!$B$15),SUMIFS(INDEX('Oxford Economics'!$A$7:$AZ$1000,0,IFERROR(MATCH(T$5,'Oxford Economics'!$A$6:$AZ$6,0),MATCH(T$5&amp;"",'Oxford Economics'!$A$6:$AZ$6,0))),'Oxford Economics'!$A$7:$A$1000,$C54,'Oxford Economics'!$B$7:$B$1000,Settings!$B$15)+SUMIFS(INDEX('Oxford Economics'!$A$7:$AZ$1000,0,IFERROR(MATCH(T$5,'Oxford Economics'!$A$6:$AZ$6,0),MATCH(T$5&amp;"",'Oxford Economics'!$A$6:$AZ$6,0))),'Oxford Economics'!$A$7:$A$1000,$C54,'Oxford Economics'!$B$7:$B$1000,Settings!$B$17)+IF(Settings!$B$19="",0,SUMIFS(INDEX('Oxford Economics'!$A$7:$AZ$1000,0,IFERROR(MATCH(T$5,'Oxford Economics'!$A$6:$AZ$6,0),MATCH(T$5&amp;"",'Oxford Economics'!$A$6:$AZ$6,0))),'Oxford Economics'!$A$7:$A$1000,$C54,'Oxford Economics'!$B$7:$B$1000,Settings!$B$19)))),""))</f>
        <v>83354.14</v>
      </c>
      <c r="U54" s="38" t="n">
        <f aca="false">IF($A54="","",IFERROR(1/(1/IF($B54="Residential",SUMIFS(INDEX('Oxford Economics'!$A$7:$AZ$1000,0,IFERROR(MATCH(U$5,'Oxford Economics'!$A$6:$AZ$6,0),MATCH(U$5&amp;"",'Oxford Economics'!$A$6:$AZ$6,0))),'Oxford Economics'!$A$7:$A$1000,$C54,'Oxford Economics'!$B$7:$B$1000,Settings!$B$13)-SUMIFS(INDEX('Oxford Economics'!$A$7:$AZ$1000,0,IFERROR(MATCH(U$5,'Oxford Economics'!$A$6:$AZ$6,0),MATCH(U$5&amp;"",'Oxford Economics'!$A$6:$AZ$6,0))),'Oxford Economics'!$A$7:$A$1000,$C54,'Oxford Economics'!$B$7:$B$1000,Settings!$B$15),SUMIFS(INDEX('Oxford Economics'!$A$7:$AZ$1000,0,IFERROR(MATCH(U$5,'Oxford Economics'!$A$6:$AZ$6,0),MATCH(U$5&amp;"",'Oxford Economics'!$A$6:$AZ$6,0))),'Oxford Economics'!$A$7:$A$1000,$C54,'Oxford Economics'!$B$7:$B$1000,Settings!$B$15)+SUMIFS(INDEX('Oxford Economics'!$A$7:$AZ$1000,0,IFERROR(MATCH(U$5,'Oxford Economics'!$A$6:$AZ$6,0),MATCH(U$5&amp;"",'Oxford Economics'!$A$6:$AZ$6,0))),'Oxford Economics'!$A$7:$A$1000,$C54,'Oxford Economics'!$B$7:$B$1000,Settings!$B$17)+IF(Settings!$B$19="",0,SUMIFS(INDEX('Oxford Economics'!$A$7:$AZ$1000,0,IFERROR(MATCH(U$5,'Oxford Economics'!$A$6:$AZ$6,0),MATCH(U$5&amp;"",'Oxford Economics'!$A$6:$AZ$6,0))),'Oxford Economics'!$A$7:$A$1000,$C54,'Oxford Economics'!$B$7:$B$1000,Settings!$B$19)))),""))</f>
        <v>79176.16</v>
      </c>
      <c r="V54" s="38" t="n">
        <f aca="false">IF($A54="","",IFERROR(1/(1/IF($B54="Residential",SUMIFS(INDEX('Oxford Economics'!$A$7:$AZ$1000,0,IFERROR(MATCH(V$5,'Oxford Economics'!$A$6:$AZ$6,0),MATCH(V$5&amp;"",'Oxford Economics'!$A$6:$AZ$6,0))),'Oxford Economics'!$A$7:$A$1000,$C54,'Oxford Economics'!$B$7:$B$1000,Settings!$B$13)-SUMIFS(INDEX('Oxford Economics'!$A$7:$AZ$1000,0,IFERROR(MATCH(V$5,'Oxford Economics'!$A$6:$AZ$6,0),MATCH(V$5&amp;"",'Oxford Economics'!$A$6:$AZ$6,0))),'Oxford Economics'!$A$7:$A$1000,$C54,'Oxford Economics'!$B$7:$B$1000,Settings!$B$15),SUMIFS(INDEX('Oxford Economics'!$A$7:$AZ$1000,0,IFERROR(MATCH(V$5,'Oxford Economics'!$A$6:$AZ$6,0),MATCH(V$5&amp;"",'Oxford Economics'!$A$6:$AZ$6,0))),'Oxford Economics'!$A$7:$A$1000,$C54,'Oxford Economics'!$B$7:$B$1000,Settings!$B$15)+SUMIFS(INDEX('Oxford Economics'!$A$7:$AZ$1000,0,IFERROR(MATCH(V$5,'Oxford Economics'!$A$6:$AZ$6,0),MATCH(V$5&amp;"",'Oxford Economics'!$A$6:$AZ$6,0))),'Oxford Economics'!$A$7:$A$1000,$C54,'Oxford Economics'!$B$7:$B$1000,Settings!$B$17)+IF(Settings!$B$19="",0,SUMIFS(INDEX('Oxford Economics'!$A$7:$AZ$1000,0,IFERROR(MATCH(V$5,'Oxford Economics'!$A$6:$AZ$6,0),MATCH(V$5&amp;"",'Oxford Economics'!$A$6:$AZ$6,0))),'Oxford Economics'!$A$7:$A$1000,$C54,'Oxford Economics'!$B$7:$B$1000,Settings!$B$19)))),""))</f>
        <v>77358.03</v>
      </c>
      <c r="W54" s="38" t="n">
        <f aca="false">IF($A54="","",IFERROR(1/(1/IF($B54="Residential",SUMIFS(INDEX('Oxford Economics'!$A$7:$AZ$1000,0,IFERROR(MATCH(W$5,'Oxford Economics'!$A$6:$AZ$6,0),MATCH(W$5&amp;"",'Oxford Economics'!$A$6:$AZ$6,0))),'Oxford Economics'!$A$7:$A$1000,$C54,'Oxford Economics'!$B$7:$B$1000,Settings!$B$13)-SUMIFS(INDEX('Oxford Economics'!$A$7:$AZ$1000,0,IFERROR(MATCH(W$5,'Oxford Economics'!$A$6:$AZ$6,0),MATCH(W$5&amp;"",'Oxford Economics'!$A$6:$AZ$6,0))),'Oxford Economics'!$A$7:$A$1000,$C54,'Oxford Economics'!$B$7:$B$1000,Settings!$B$15),SUMIFS(INDEX('Oxford Economics'!$A$7:$AZ$1000,0,IFERROR(MATCH(W$5,'Oxford Economics'!$A$6:$AZ$6,0),MATCH(W$5&amp;"",'Oxford Economics'!$A$6:$AZ$6,0))),'Oxford Economics'!$A$7:$A$1000,$C54,'Oxford Economics'!$B$7:$B$1000,Settings!$B$15)+SUMIFS(INDEX('Oxford Economics'!$A$7:$AZ$1000,0,IFERROR(MATCH(W$5,'Oxford Economics'!$A$6:$AZ$6,0),MATCH(W$5&amp;"",'Oxford Economics'!$A$6:$AZ$6,0))),'Oxford Economics'!$A$7:$A$1000,$C54,'Oxford Economics'!$B$7:$B$1000,Settings!$B$17)+IF(Settings!$B$19="",0,SUMIFS(INDEX('Oxford Economics'!$A$7:$AZ$1000,0,IFERROR(MATCH(W$5,'Oxford Economics'!$A$6:$AZ$6,0),MATCH(W$5&amp;"",'Oxford Economics'!$A$6:$AZ$6,0))),'Oxford Economics'!$A$7:$A$1000,$C54,'Oxford Economics'!$B$7:$B$1000,Settings!$B$19)))),""))</f>
        <v>77890.57</v>
      </c>
      <c r="X54" s="38" t="n">
        <f aca="false">IF($A54="","",IFERROR(1/(1/IF($B54="Residential",SUMIFS(INDEX('Oxford Economics'!$A$7:$AZ$1000,0,IFERROR(MATCH(X$5,'Oxford Economics'!$A$6:$AZ$6,0),MATCH(X$5&amp;"",'Oxford Economics'!$A$6:$AZ$6,0))),'Oxford Economics'!$A$7:$A$1000,$C54,'Oxford Economics'!$B$7:$B$1000,Settings!$B$13)-SUMIFS(INDEX('Oxford Economics'!$A$7:$AZ$1000,0,IFERROR(MATCH(X$5,'Oxford Economics'!$A$6:$AZ$6,0),MATCH(X$5&amp;"",'Oxford Economics'!$A$6:$AZ$6,0))),'Oxford Economics'!$A$7:$A$1000,$C54,'Oxford Economics'!$B$7:$B$1000,Settings!$B$15),SUMIFS(INDEX('Oxford Economics'!$A$7:$AZ$1000,0,IFERROR(MATCH(X$5,'Oxford Economics'!$A$6:$AZ$6,0),MATCH(X$5&amp;"",'Oxford Economics'!$A$6:$AZ$6,0))),'Oxford Economics'!$A$7:$A$1000,$C54,'Oxford Economics'!$B$7:$B$1000,Settings!$B$15)+SUMIFS(INDEX('Oxford Economics'!$A$7:$AZ$1000,0,IFERROR(MATCH(X$5,'Oxford Economics'!$A$6:$AZ$6,0),MATCH(X$5&amp;"",'Oxford Economics'!$A$6:$AZ$6,0))),'Oxford Economics'!$A$7:$A$1000,$C54,'Oxford Economics'!$B$7:$B$1000,Settings!$B$17)+IF(Settings!$B$19="",0,SUMIFS(INDEX('Oxford Economics'!$A$7:$AZ$1000,0,IFERROR(MATCH(X$5,'Oxford Economics'!$A$6:$AZ$6,0),MATCH(X$5&amp;"",'Oxford Economics'!$A$6:$AZ$6,0))),'Oxford Economics'!$A$7:$A$1000,$C54,'Oxford Economics'!$B$7:$B$1000,Settings!$B$19)))),""))</f>
        <v>80942.99</v>
      </c>
      <c r="Y54" s="38" t="n">
        <f aca="false">IF($A54="","",IFERROR(1/(1/IF($B54="Residential",SUMIFS(INDEX('Oxford Economics'!$A$7:$AZ$1000,0,IFERROR(MATCH(Y$5,'Oxford Economics'!$A$6:$AZ$6,0),MATCH(Y$5&amp;"",'Oxford Economics'!$A$6:$AZ$6,0))),'Oxford Economics'!$A$7:$A$1000,$C54,'Oxford Economics'!$B$7:$B$1000,Settings!$B$13)-SUMIFS(INDEX('Oxford Economics'!$A$7:$AZ$1000,0,IFERROR(MATCH(Y$5,'Oxford Economics'!$A$6:$AZ$6,0),MATCH(Y$5&amp;"",'Oxford Economics'!$A$6:$AZ$6,0))),'Oxford Economics'!$A$7:$A$1000,$C54,'Oxford Economics'!$B$7:$B$1000,Settings!$B$15),SUMIFS(INDEX('Oxford Economics'!$A$7:$AZ$1000,0,IFERROR(MATCH(Y$5,'Oxford Economics'!$A$6:$AZ$6,0),MATCH(Y$5&amp;"",'Oxford Economics'!$A$6:$AZ$6,0))),'Oxford Economics'!$A$7:$A$1000,$C54,'Oxford Economics'!$B$7:$B$1000,Settings!$B$15)+SUMIFS(INDEX('Oxford Economics'!$A$7:$AZ$1000,0,IFERROR(MATCH(Y$5,'Oxford Economics'!$A$6:$AZ$6,0),MATCH(Y$5&amp;"",'Oxford Economics'!$A$6:$AZ$6,0))),'Oxford Economics'!$A$7:$A$1000,$C54,'Oxford Economics'!$B$7:$B$1000,Settings!$B$17)+IF(Settings!$B$19="",0,SUMIFS(INDEX('Oxford Economics'!$A$7:$AZ$1000,0,IFERROR(MATCH(Y$5,'Oxford Economics'!$A$6:$AZ$6,0),MATCH(Y$5&amp;"",'Oxford Economics'!$A$6:$AZ$6,0))),'Oxford Economics'!$A$7:$A$1000,$C54,'Oxford Economics'!$B$7:$B$1000,Settings!$B$19)))),""))</f>
        <v>84182.4</v>
      </c>
      <c r="Z54" s="38" t="n">
        <f aca="false">IF($A54="","",IFERROR(1/(1/IF($B54="Residential",SUMIFS(INDEX('Oxford Economics'!$A$7:$AZ$1000,0,IFERROR(MATCH(Z$5,'Oxford Economics'!$A$6:$AZ$6,0),MATCH(Z$5&amp;"",'Oxford Economics'!$A$6:$AZ$6,0))),'Oxford Economics'!$A$7:$A$1000,$C54,'Oxford Economics'!$B$7:$B$1000,Settings!$B$13)-SUMIFS(INDEX('Oxford Economics'!$A$7:$AZ$1000,0,IFERROR(MATCH(Z$5,'Oxford Economics'!$A$6:$AZ$6,0),MATCH(Z$5&amp;"",'Oxford Economics'!$A$6:$AZ$6,0))),'Oxford Economics'!$A$7:$A$1000,$C54,'Oxford Economics'!$B$7:$B$1000,Settings!$B$15),SUMIFS(INDEX('Oxford Economics'!$A$7:$AZ$1000,0,IFERROR(MATCH(Z$5,'Oxford Economics'!$A$6:$AZ$6,0),MATCH(Z$5&amp;"",'Oxford Economics'!$A$6:$AZ$6,0))),'Oxford Economics'!$A$7:$A$1000,$C54,'Oxford Economics'!$B$7:$B$1000,Settings!$B$15)+SUMIFS(INDEX('Oxford Economics'!$A$7:$AZ$1000,0,IFERROR(MATCH(Z$5,'Oxford Economics'!$A$6:$AZ$6,0),MATCH(Z$5&amp;"",'Oxford Economics'!$A$6:$AZ$6,0))),'Oxford Economics'!$A$7:$A$1000,$C54,'Oxford Economics'!$B$7:$B$1000,Settings!$B$17)+IF(Settings!$B$19="",0,SUMIFS(INDEX('Oxford Economics'!$A$7:$AZ$1000,0,IFERROR(MATCH(Z$5,'Oxford Economics'!$A$6:$AZ$6,0),MATCH(Z$5&amp;"",'Oxford Economics'!$A$6:$AZ$6,0))),'Oxford Economics'!$A$7:$A$1000,$C54,'Oxford Economics'!$B$7:$B$1000,Settings!$B$19)))),""))</f>
        <v>88007.92</v>
      </c>
      <c r="AA54" s="38" t="n">
        <f aca="false">IF($A54="","",IFERROR(1/(1/IF($B54="Residential",SUMIFS(INDEX('Oxford Economics'!$A$7:$AZ$1000,0,IFERROR(MATCH(AA$5,'Oxford Economics'!$A$6:$AZ$6,0),MATCH(AA$5&amp;"",'Oxford Economics'!$A$6:$AZ$6,0))),'Oxford Economics'!$A$7:$A$1000,$C54,'Oxford Economics'!$B$7:$B$1000,Settings!$B$13)-SUMIFS(INDEX('Oxford Economics'!$A$7:$AZ$1000,0,IFERROR(MATCH(AA$5,'Oxford Economics'!$A$6:$AZ$6,0),MATCH(AA$5&amp;"",'Oxford Economics'!$A$6:$AZ$6,0))),'Oxford Economics'!$A$7:$A$1000,$C54,'Oxford Economics'!$B$7:$B$1000,Settings!$B$15),SUMIFS(INDEX('Oxford Economics'!$A$7:$AZ$1000,0,IFERROR(MATCH(AA$5,'Oxford Economics'!$A$6:$AZ$6,0),MATCH(AA$5&amp;"",'Oxford Economics'!$A$6:$AZ$6,0))),'Oxford Economics'!$A$7:$A$1000,$C54,'Oxford Economics'!$B$7:$B$1000,Settings!$B$15)+SUMIFS(INDEX('Oxford Economics'!$A$7:$AZ$1000,0,IFERROR(MATCH(AA$5,'Oxford Economics'!$A$6:$AZ$6,0),MATCH(AA$5&amp;"",'Oxford Economics'!$A$6:$AZ$6,0))),'Oxford Economics'!$A$7:$A$1000,$C54,'Oxford Economics'!$B$7:$B$1000,Settings!$B$17)+IF(Settings!$B$19="",0,SUMIFS(INDEX('Oxford Economics'!$A$7:$AZ$1000,0,IFERROR(MATCH(AA$5,'Oxford Economics'!$A$6:$AZ$6,0),MATCH(AA$5&amp;"",'Oxford Economics'!$A$6:$AZ$6,0))),'Oxford Economics'!$A$7:$A$1000,$C54,'Oxford Economics'!$B$7:$B$1000,Settings!$B$19)))),""))</f>
        <v>89561.24</v>
      </c>
      <c r="AB54" s="38" t="n">
        <f aca="false">IF($A54="","",IFERROR(1/(1/IF($B54="Residential",SUMIFS(INDEX('Oxford Economics'!$A$7:$AZ$1000,0,IFERROR(MATCH(AB$5,'Oxford Economics'!$A$6:$AZ$6,0),MATCH(AB$5&amp;"",'Oxford Economics'!$A$6:$AZ$6,0))),'Oxford Economics'!$A$7:$A$1000,$C54,'Oxford Economics'!$B$7:$B$1000,Settings!$B$12)-SUMIFS(INDEX('Oxford Economics'!$A$7:$AZ$1000,0,IFERROR(MATCH(AB$5,'Oxford Economics'!$A$6:$AZ$6,0),MATCH(AB$5&amp;"",'Oxford Economics'!$A$6:$AZ$6,0))),'Oxford Economics'!$A$7:$A$1000,$C54,'Oxford Economics'!$B$7:$B$1000,Settings!$B$14),SUMIFS(INDEX('Oxford Economics'!$A$7:$AZ$1000,0,IFERROR(MATCH(AB$5,'Oxford Economics'!$A$6:$AZ$6,0),MATCH(AB$5&amp;"",'Oxford Economics'!$A$6:$AZ$6,0))),'Oxford Economics'!$A$7:$A$1000,$C54,'Oxford Economics'!$B$7:$B$1000,Settings!$B$14)+SUMIFS(INDEX('Oxford Economics'!$A$7:$AZ$1000,0,IFERROR(MATCH(AB$5,'Oxford Economics'!$A$6:$AZ$6,0),MATCH(AB$5&amp;"",'Oxford Economics'!$A$6:$AZ$6,0))),'Oxford Economics'!$A$7:$A$1000,$C54,'Oxford Economics'!$B$7:$B$1000,Settings!$B$16)+IF(Settings!$B$18="",0,SUMIFS(INDEX('Oxford Economics'!$A$7:$AZ$1000,0,IFERROR(MATCH(AB$5,'Oxford Economics'!$A$6:$AZ$6,0),MATCH(AB$5&amp;"",'Oxford Economics'!$A$6:$AZ$6,0))),'Oxford Economics'!$A$7:$A$1000,$C54,'Oxford Economics'!$B$7:$B$1000,Settings!$B$18)))),""))</f>
        <v>33731.23</v>
      </c>
      <c r="AC54" s="38" t="n">
        <f aca="false">IF($A54="","",IFERROR(1/(1/IF($B54="Residential",SUMIFS(INDEX('Oxford Economics'!$A$7:$AZ$1000,0,IFERROR(MATCH(AC$5,'Oxford Economics'!$A$6:$AZ$6,0),MATCH(AC$5&amp;"",'Oxford Economics'!$A$6:$AZ$6,0))),'Oxford Economics'!$A$7:$A$1000,$C54,'Oxford Economics'!$B$7:$B$1000,Settings!$B$12)-SUMIFS(INDEX('Oxford Economics'!$A$7:$AZ$1000,0,IFERROR(MATCH(AC$5,'Oxford Economics'!$A$6:$AZ$6,0),MATCH(AC$5&amp;"",'Oxford Economics'!$A$6:$AZ$6,0))),'Oxford Economics'!$A$7:$A$1000,$C54,'Oxford Economics'!$B$7:$B$1000,Settings!$B$14),SUMIFS(INDEX('Oxford Economics'!$A$7:$AZ$1000,0,IFERROR(MATCH(AC$5,'Oxford Economics'!$A$6:$AZ$6,0),MATCH(AC$5&amp;"",'Oxford Economics'!$A$6:$AZ$6,0))),'Oxford Economics'!$A$7:$A$1000,$C54,'Oxford Economics'!$B$7:$B$1000,Settings!$B$14)+SUMIFS(INDEX('Oxford Economics'!$A$7:$AZ$1000,0,IFERROR(MATCH(AC$5,'Oxford Economics'!$A$6:$AZ$6,0),MATCH(AC$5&amp;"",'Oxford Economics'!$A$6:$AZ$6,0))),'Oxford Economics'!$A$7:$A$1000,$C54,'Oxford Economics'!$B$7:$B$1000,Settings!$B$16)+IF(Settings!$B$18="",0,SUMIFS(INDEX('Oxford Economics'!$A$7:$AZ$1000,0,IFERROR(MATCH(AC$5,'Oxford Economics'!$A$6:$AZ$6,0),MATCH(AC$5&amp;"",'Oxford Economics'!$A$6:$AZ$6,0))),'Oxford Economics'!$A$7:$A$1000,$C54,'Oxford Economics'!$B$7:$B$1000,Settings!$B$18)))),""))</f>
        <v>33254</v>
      </c>
      <c r="AD54" s="38" t="n">
        <f aca="false">IF($A54="","",IFERROR(1/(1/IF($B54="Residential",SUMIFS(INDEX('Oxford Economics'!$A$7:$AZ$1000,0,IFERROR(MATCH(AD$5,'Oxford Economics'!$A$6:$AZ$6,0),MATCH(AD$5&amp;"",'Oxford Economics'!$A$6:$AZ$6,0))),'Oxford Economics'!$A$7:$A$1000,$C54,'Oxford Economics'!$B$7:$B$1000,Settings!$B$12)-SUMIFS(INDEX('Oxford Economics'!$A$7:$AZ$1000,0,IFERROR(MATCH(AD$5,'Oxford Economics'!$A$6:$AZ$6,0),MATCH(AD$5&amp;"",'Oxford Economics'!$A$6:$AZ$6,0))),'Oxford Economics'!$A$7:$A$1000,$C54,'Oxford Economics'!$B$7:$B$1000,Settings!$B$14),SUMIFS(INDEX('Oxford Economics'!$A$7:$AZ$1000,0,IFERROR(MATCH(AD$5,'Oxford Economics'!$A$6:$AZ$6,0),MATCH(AD$5&amp;"",'Oxford Economics'!$A$6:$AZ$6,0))),'Oxford Economics'!$A$7:$A$1000,$C54,'Oxford Economics'!$B$7:$B$1000,Settings!$B$14)+SUMIFS(INDEX('Oxford Economics'!$A$7:$AZ$1000,0,IFERROR(MATCH(AD$5,'Oxford Economics'!$A$6:$AZ$6,0),MATCH(AD$5&amp;"",'Oxford Economics'!$A$6:$AZ$6,0))),'Oxford Economics'!$A$7:$A$1000,$C54,'Oxford Economics'!$B$7:$B$1000,Settings!$B$16)+IF(Settings!$B$18="",0,SUMIFS(INDEX('Oxford Economics'!$A$7:$AZ$1000,0,IFERROR(MATCH(AD$5,'Oxford Economics'!$A$6:$AZ$6,0),MATCH(AD$5&amp;"",'Oxford Economics'!$A$6:$AZ$6,0))),'Oxford Economics'!$A$7:$A$1000,$C54,'Oxford Economics'!$B$7:$B$1000,Settings!$B$18)))),""))</f>
        <v>27477.8</v>
      </c>
      <c r="AE54" s="38" t="n">
        <f aca="false">IF($A54="","",IFERROR(1/(1/IF($B54="Residential",SUMIFS(INDEX('Oxford Economics'!$A$7:$AZ$1000,0,IFERROR(MATCH(AE$5,'Oxford Economics'!$A$6:$AZ$6,0),MATCH(AE$5&amp;"",'Oxford Economics'!$A$6:$AZ$6,0))),'Oxford Economics'!$A$7:$A$1000,$C54,'Oxford Economics'!$B$7:$B$1000,Settings!$B$12)-SUMIFS(INDEX('Oxford Economics'!$A$7:$AZ$1000,0,IFERROR(MATCH(AE$5,'Oxford Economics'!$A$6:$AZ$6,0),MATCH(AE$5&amp;"",'Oxford Economics'!$A$6:$AZ$6,0))),'Oxford Economics'!$A$7:$A$1000,$C54,'Oxford Economics'!$B$7:$B$1000,Settings!$B$14),SUMIFS(INDEX('Oxford Economics'!$A$7:$AZ$1000,0,IFERROR(MATCH(AE$5,'Oxford Economics'!$A$6:$AZ$6,0),MATCH(AE$5&amp;"",'Oxford Economics'!$A$6:$AZ$6,0))),'Oxford Economics'!$A$7:$A$1000,$C54,'Oxford Economics'!$B$7:$B$1000,Settings!$B$14)+SUMIFS(INDEX('Oxford Economics'!$A$7:$AZ$1000,0,IFERROR(MATCH(AE$5,'Oxford Economics'!$A$6:$AZ$6,0),MATCH(AE$5&amp;"",'Oxford Economics'!$A$6:$AZ$6,0))),'Oxford Economics'!$A$7:$A$1000,$C54,'Oxford Economics'!$B$7:$B$1000,Settings!$B$16)+IF(Settings!$B$18="",0,SUMIFS(INDEX('Oxford Economics'!$A$7:$AZ$1000,0,IFERROR(MATCH(AE$5,'Oxford Economics'!$A$6:$AZ$6,0),MATCH(AE$5&amp;"",'Oxford Economics'!$A$6:$AZ$6,0))),'Oxford Economics'!$A$7:$A$1000,$C54,'Oxford Economics'!$B$7:$B$1000,Settings!$B$18)))),""))</f>
        <v>22422.55</v>
      </c>
      <c r="AF54" s="38" t="n">
        <f aca="false">IF($A54="","",IFERROR(1/(1/IF($B54="Residential",SUMIFS(INDEX('Oxford Economics'!$A$7:$AZ$1000,0,IFERROR(MATCH(AF$5,'Oxford Economics'!$A$6:$AZ$6,0),MATCH(AF$5&amp;"",'Oxford Economics'!$A$6:$AZ$6,0))),'Oxford Economics'!$A$7:$A$1000,$C54,'Oxford Economics'!$B$7:$B$1000,Settings!$B$12)-SUMIFS(INDEX('Oxford Economics'!$A$7:$AZ$1000,0,IFERROR(MATCH(AF$5,'Oxford Economics'!$A$6:$AZ$6,0),MATCH(AF$5&amp;"",'Oxford Economics'!$A$6:$AZ$6,0))),'Oxford Economics'!$A$7:$A$1000,$C54,'Oxford Economics'!$B$7:$B$1000,Settings!$B$14),SUMIFS(INDEX('Oxford Economics'!$A$7:$AZ$1000,0,IFERROR(MATCH(AF$5,'Oxford Economics'!$A$6:$AZ$6,0),MATCH(AF$5&amp;"",'Oxford Economics'!$A$6:$AZ$6,0))),'Oxford Economics'!$A$7:$A$1000,$C54,'Oxford Economics'!$B$7:$B$1000,Settings!$B$14)+SUMIFS(INDEX('Oxford Economics'!$A$7:$AZ$1000,0,IFERROR(MATCH(AF$5,'Oxford Economics'!$A$6:$AZ$6,0),MATCH(AF$5&amp;"",'Oxford Economics'!$A$6:$AZ$6,0))),'Oxford Economics'!$A$7:$A$1000,$C54,'Oxford Economics'!$B$7:$B$1000,Settings!$B$16)+IF(Settings!$B$18="",0,SUMIFS(INDEX('Oxford Economics'!$A$7:$AZ$1000,0,IFERROR(MATCH(AF$5,'Oxford Economics'!$A$6:$AZ$6,0),MATCH(AF$5&amp;"",'Oxford Economics'!$A$6:$AZ$6,0))),'Oxford Economics'!$A$7:$A$1000,$C54,'Oxford Economics'!$B$7:$B$1000,Settings!$B$18)))),""))</f>
        <v>17454.47</v>
      </c>
      <c r="AG54" s="38" t="n">
        <f aca="false">IF($A54="","",IFERROR(1/(1/IF($B54="Residential",SUMIFS(INDEX('Oxford Economics'!$A$7:$AZ$1000,0,IFERROR(MATCH(AG$5,'Oxford Economics'!$A$6:$AZ$6,0),MATCH(AG$5&amp;"",'Oxford Economics'!$A$6:$AZ$6,0))),'Oxford Economics'!$A$7:$A$1000,$C54,'Oxford Economics'!$B$7:$B$1000,Settings!$B$12)-SUMIFS(INDEX('Oxford Economics'!$A$7:$AZ$1000,0,IFERROR(MATCH(AG$5,'Oxford Economics'!$A$6:$AZ$6,0),MATCH(AG$5&amp;"",'Oxford Economics'!$A$6:$AZ$6,0))),'Oxford Economics'!$A$7:$A$1000,$C54,'Oxford Economics'!$B$7:$B$1000,Settings!$B$14),SUMIFS(INDEX('Oxford Economics'!$A$7:$AZ$1000,0,IFERROR(MATCH(AG$5,'Oxford Economics'!$A$6:$AZ$6,0),MATCH(AG$5&amp;"",'Oxford Economics'!$A$6:$AZ$6,0))),'Oxford Economics'!$A$7:$A$1000,$C54,'Oxford Economics'!$B$7:$B$1000,Settings!$B$14)+SUMIFS(INDEX('Oxford Economics'!$A$7:$AZ$1000,0,IFERROR(MATCH(AG$5,'Oxford Economics'!$A$6:$AZ$6,0),MATCH(AG$5&amp;"",'Oxford Economics'!$A$6:$AZ$6,0))),'Oxford Economics'!$A$7:$A$1000,$C54,'Oxford Economics'!$B$7:$B$1000,Settings!$B$16)+IF(Settings!$B$18="",0,SUMIFS(INDEX('Oxford Economics'!$A$7:$AZ$1000,0,IFERROR(MATCH(AG$5,'Oxford Economics'!$A$6:$AZ$6,0),MATCH(AG$5&amp;"",'Oxford Economics'!$A$6:$AZ$6,0))),'Oxford Economics'!$A$7:$A$1000,$C54,'Oxford Economics'!$B$7:$B$1000,Settings!$B$18)))),""))</f>
        <v>16830.19</v>
      </c>
      <c r="AH54" s="38" t="n">
        <f aca="false">IF($A54="","",IFERROR(1/(1/IF($B54="Residential",SUMIFS(INDEX('Oxford Economics'!$A$7:$AZ$1000,0,IFERROR(MATCH(AH$5,'Oxford Economics'!$A$6:$AZ$6,0),MATCH(AH$5&amp;"",'Oxford Economics'!$A$6:$AZ$6,0))),'Oxford Economics'!$A$7:$A$1000,$C54,'Oxford Economics'!$B$7:$B$1000,Settings!$B$12)-SUMIFS(INDEX('Oxford Economics'!$A$7:$AZ$1000,0,IFERROR(MATCH(AH$5,'Oxford Economics'!$A$6:$AZ$6,0),MATCH(AH$5&amp;"",'Oxford Economics'!$A$6:$AZ$6,0))),'Oxford Economics'!$A$7:$A$1000,$C54,'Oxford Economics'!$B$7:$B$1000,Settings!$B$14),SUMIFS(INDEX('Oxford Economics'!$A$7:$AZ$1000,0,IFERROR(MATCH(AH$5,'Oxford Economics'!$A$6:$AZ$6,0),MATCH(AH$5&amp;"",'Oxford Economics'!$A$6:$AZ$6,0))),'Oxford Economics'!$A$7:$A$1000,$C54,'Oxford Economics'!$B$7:$B$1000,Settings!$B$14)+SUMIFS(INDEX('Oxford Economics'!$A$7:$AZ$1000,0,IFERROR(MATCH(AH$5,'Oxford Economics'!$A$6:$AZ$6,0),MATCH(AH$5&amp;"",'Oxford Economics'!$A$6:$AZ$6,0))),'Oxford Economics'!$A$7:$A$1000,$C54,'Oxford Economics'!$B$7:$B$1000,Settings!$B$16)+IF(Settings!$B$18="",0,SUMIFS(INDEX('Oxford Economics'!$A$7:$AZ$1000,0,IFERROR(MATCH(AH$5,'Oxford Economics'!$A$6:$AZ$6,0),MATCH(AH$5&amp;"",'Oxford Economics'!$A$6:$AZ$6,0))),'Oxford Economics'!$A$7:$A$1000,$C54,'Oxford Economics'!$B$7:$B$1000,Settings!$B$18)))),""))</f>
        <v>18104.66</v>
      </c>
      <c r="AI54" s="38" t="n">
        <f aca="false">IF($A54="","",IFERROR(1/(1/IF($B54="Residential",SUMIFS(INDEX('Oxford Economics'!$A$7:$AZ$1000,0,IFERROR(MATCH(AI$5,'Oxford Economics'!$A$6:$AZ$6,0),MATCH(AI$5&amp;"",'Oxford Economics'!$A$6:$AZ$6,0))),'Oxford Economics'!$A$7:$A$1000,$C54,'Oxford Economics'!$B$7:$B$1000,Settings!$B$12)-SUMIFS(INDEX('Oxford Economics'!$A$7:$AZ$1000,0,IFERROR(MATCH(AI$5,'Oxford Economics'!$A$6:$AZ$6,0),MATCH(AI$5&amp;"",'Oxford Economics'!$A$6:$AZ$6,0))),'Oxford Economics'!$A$7:$A$1000,$C54,'Oxford Economics'!$B$7:$B$1000,Settings!$B$14),SUMIFS(INDEX('Oxford Economics'!$A$7:$AZ$1000,0,IFERROR(MATCH(AI$5,'Oxford Economics'!$A$6:$AZ$6,0),MATCH(AI$5&amp;"",'Oxford Economics'!$A$6:$AZ$6,0))),'Oxford Economics'!$A$7:$A$1000,$C54,'Oxford Economics'!$B$7:$B$1000,Settings!$B$14)+SUMIFS(INDEX('Oxford Economics'!$A$7:$AZ$1000,0,IFERROR(MATCH(AI$5,'Oxford Economics'!$A$6:$AZ$6,0),MATCH(AI$5&amp;"",'Oxford Economics'!$A$6:$AZ$6,0))),'Oxford Economics'!$A$7:$A$1000,$C54,'Oxford Economics'!$B$7:$B$1000,Settings!$B$16)+IF(Settings!$B$18="",0,SUMIFS(INDEX('Oxford Economics'!$A$7:$AZ$1000,0,IFERROR(MATCH(AI$5,'Oxford Economics'!$A$6:$AZ$6,0),MATCH(AI$5&amp;"",'Oxford Economics'!$A$6:$AZ$6,0))),'Oxford Economics'!$A$7:$A$1000,$C54,'Oxford Economics'!$B$7:$B$1000,Settings!$B$18)))),""))</f>
        <v>18689.08</v>
      </c>
      <c r="AJ54" s="38" t="n">
        <f aca="false">IF($A54="","",IFERROR(1/(1/IF($B54="Residential",SUMIFS(INDEX('Oxford Economics'!$A$7:$AZ$1000,0,IFERROR(MATCH(AJ$5,'Oxford Economics'!$A$6:$AZ$6,0),MATCH(AJ$5&amp;"",'Oxford Economics'!$A$6:$AZ$6,0))),'Oxford Economics'!$A$7:$A$1000,$C54,'Oxford Economics'!$B$7:$B$1000,Settings!$B$12)-SUMIFS(INDEX('Oxford Economics'!$A$7:$AZ$1000,0,IFERROR(MATCH(AJ$5,'Oxford Economics'!$A$6:$AZ$6,0),MATCH(AJ$5&amp;"",'Oxford Economics'!$A$6:$AZ$6,0))),'Oxford Economics'!$A$7:$A$1000,$C54,'Oxford Economics'!$B$7:$B$1000,Settings!$B$14),SUMIFS(INDEX('Oxford Economics'!$A$7:$AZ$1000,0,IFERROR(MATCH(AJ$5,'Oxford Economics'!$A$6:$AZ$6,0),MATCH(AJ$5&amp;"",'Oxford Economics'!$A$6:$AZ$6,0))),'Oxford Economics'!$A$7:$A$1000,$C54,'Oxford Economics'!$B$7:$B$1000,Settings!$B$14)+SUMIFS(INDEX('Oxford Economics'!$A$7:$AZ$1000,0,IFERROR(MATCH(AJ$5,'Oxford Economics'!$A$6:$AZ$6,0),MATCH(AJ$5&amp;"",'Oxford Economics'!$A$6:$AZ$6,0))),'Oxford Economics'!$A$7:$A$1000,$C54,'Oxford Economics'!$B$7:$B$1000,Settings!$B$16)+IF(Settings!$B$18="",0,SUMIFS(INDEX('Oxford Economics'!$A$7:$AZ$1000,0,IFERROR(MATCH(AJ$5,'Oxford Economics'!$A$6:$AZ$6,0),MATCH(AJ$5&amp;"",'Oxford Economics'!$A$6:$AZ$6,0))),'Oxford Economics'!$A$7:$A$1000,$C54,'Oxford Economics'!$B$7:$B$1000,Settings!$B$18)))),""))</f>
        <v>19134.99</v>
      </c>
      <c r="AK54" s="38" t="n">
        <f aca="false">IF($A54="","",IFERROR(1/(1/IF($B54="Residential",SUMIFS(INDEX('Oxford Economics'!$A$7:$AZ$1000,0,IFERROR(MATCH(AK$5,'Oxford Economics'!$A$6:$AZ$6,0),MATCH(AK$5&amp;"",'Oxford Economics'!$A$6:$AZ$6,0))),'Oxford Economics'!$A$7:$A$1000,$C54,'Oxford Economics'!$B$7:$B$1000,Settings!$B$12)-SUMIFS(INDEX('Oxford Economics'!$A$7:$AZ$1000,0,IFERROR(MATCH(AK$5,'Oxford Economics'!$A$6:$AZ$6,0),MATCH(AK$5&amp;"",'Oxford Economics'!$A$6:$AZ$6,0))),'Oxford Economics'!$A$7:$A$1000,$C54,'Oxford Economics'!$B$7:$B$1000,Settings!$B$14),SUMIFS(INDEX('Oxford Economics'!$A$7:$AZ$1000,0,IFERROR(MATCH(AK$5,'Oxford Economics'!$A$6:$AZ$6,0),MATCH(AK$5&amp;"",'Oxford Economics'!$A$6:$AZ$6,0))),'Oxford Economics'!$A$7:$A$1000,$C54,'Oxford Economics'!$B$7:$B$1000,Settings!$B$14)+SUMIFS(INDEX('Oxford Economics'!$A$7:$AZ$1000,0,IFERROR(MATCH(AK$5,'Oxford Economics'!$A$6:$AZ$6,0),MATCH(AK$5&amp;"",'Oxford Economics'!$A$6:$AZ$6,0))),'Oxford Economics'!$A$7:$A$1000,$C54,'Oxford Economics'!$B$7:$B$1000,Settings!$B$16)+IF(Settings!$B$18="",0,SUMIFS(INDEX('Oxford Economics'!$A$7:$AZ$1000,0,IFERROR(MATCH(AK$5,'Oxford Economics'!$A$6:$AZ$6,0),MATCH(AK$5&amp;"",'Oxford Economics'!$A$6:$AZ$6,0))),'Oxford Economics'!$A$7:$A$1000,$C54,'Oxford Economics'!$B$7:$B$1000,Settings!$B$18)))),""))</f>
        <v>19723.51</v>
      </c>
      <c r="AL54" s="38" t="n">
        <f aca="false">IF($A54="","",IFERROR(1/(1/IF($B54="Residential",SUMIFS(INDEX('Oxford Economics'!$A$7:$AZ$1000,0,IFERROR(MATCH(AL$5,'Oxford Economics'!$A$6:$AZ$6,0),MATCH(AL$5&amp;"",'Oxford Economics'!$A$6:$AZ$6,0))),'Oxford Economics'!$A$7:$A$1000,$C54,'Oxford Economics'!$B$7:$B$1000,Settings!$B$12)-SUMIFS(INDEX('Oxford Economics'!$A$7:$AZ$1000,0,IFERROR(MATCH(AL$5,'Oxford Economics'!$A$6:$AZ$6,0),MATCH(AL$5&amp;"",'Oxford Economics'!$A$6:$AZ$6,0))),'Oxford Economics'!$A$7:$A$1000,$C54,'Oxford Economics'!$B$7:$B$1000,Settings!$B$14),SUMIFS(INDEX('Oxford Economics'!$A$7:$AZ$1000,0,IFERROR(MATCH(AL$5,'Oxford Economics'!$A$6:$AZ$6,0),MATCH(AL$5&amp;"",'Oxford Economics'!$A$6:$AZ$6,0))),'Oxford Economics'!$A$7:$A$1000,$C54,'Oxford Economics'!$B$7:$B$1000,Settings!$B$14)+SUMIFS(INDEX('Oxford Economics'!$A$7:$AZ$1000,0,IFERROR(MATCH(AL$5,'Oxford Economics'!$A$6:$AZ$6,0),MATCH(AL$5&amp;"",'Oxford Economics'!$A$6:$AZ$6,0))),'Oxford Economics'!$A$7:$A$1000,$C54,'Oxford Economics'!$B$7:$B$1000,Settings!$B$16)+IF(Settings!$B$18="",0,SUMIFS(INDEX('Oxford Economics'!$A$7:$AZ$1000,0,IFERROR(MATCH(AL$5,'Oxford Economics'!$A$6:$AZ$6,0),MATCH(AL$5&amp;"",'Oxford Economics'!$A$6:$AZ$6,0))),'Oxford Economics'!$A$7:$A$1000,$C54,'Oxford Economics'!$B$7:$B$1000,Settings!$B$18)))),""))</f>
        <v>20146.5</v>
      </c>
      <c r="AM54" s="38" t="n">
        <f aca="false">IF($A54="","",IFERROR(1/(1/IF($B54="Residential",SUMIFS(INDEX('Oxford Economics'!$A$7:$AZ$1000,0,IFERROR(MATCH(AM$5,'Oxford Economics'!$A$6:$AZ$6,0),MATCH(AM$5&amp;"",'Oxford Economics'!$A$6:$AZ$6,0))),'Oxford Economics'!$A$7:$A$1000,$C54,'Oxford Economics'!$B$7:$B$1000,Settings!$B$12)-SUMIFS(INDEX('Oxford Economics'!$A$7:$AZ$1000,0,IFERROR(MATCH(AM$5,'Oxford Economics'!$A$6:$AZ$6,0),MATCH(AM$5&amp;"",'Oxford Economics'!$A$6:$AZ$6,0))),'Oxford Economics'!$A$7:$A$1000,$C54,'Oxford Economics'!$B$7:$B$1000,Settings!$B$14),SUMIFS(INDEX('Oxford Economics'!$A$7:$AZ$1000,0,IFERROR(MATCH(AM$5,'Oxford Economics'!$A$6:$AZ$6,0),MATCH(AM$5&amp;"",'Oxford Economics'!$A$6:$AZ$6,0))),'Oxford Economics'!$A$7:$A$1000,$C54,'Oxford Economics'!$B$7:$B$1000,Settings!$B$14)+SUMIFS(INDEX('Oxford Economics'!$A$7:$AZ$1000,0,IFERROR(MATCH(AM$5,'Oxford Economics'!$A$6:$AZ$6,0),MATCH(AM$5&amp;"",'Oxford Economics'!$A$6:$AZ$6,0))),'Oxford Economics'!$A$7:$A$1000,$C54,'Oxford Economics'!$B$7:$B$1000,Settings!$B$16)+IF(Settings!$B$18="",0,SUMIFS(INDEX('Oxford Economics'!$A$7:$AZ$1000,0,IFERROR(MATCH(AM$5,'Oxford Economics'!$A$6:$AZ$6,0),MATCH(AM$5&amp;"",'Oxford Economics'!$A$6:$AZ$6,0))),'Oxford Economics'!$A$7:$A$1000,$C54,'Oxford Economics'!$B$7:$B$1000,Settings!$B$18)))),""))</f>
        <v>20424.36</v>
      </c>
    </row>
    <row r="55" customFormat="false" ht="15" hidden="false" customHeight="false" outlineLevel="0" collapsed="false">
      <c r="A55" s="37" t="str">
        <f aca="false">IF('Raw data'!$A55="","",'Raw data'!$A55)</f>
        <v>Germany</v>
      </c>
      <c r="B55" s="37" t="str">
        <f aca="false">IF($A55="","",'Raw data'!$C55)</f>
        <v>Residential</v>
      </c>
      <c r="C55" s="37" t="str">
        <f aca="false">IF($A55="","",IF('Raw data'!$E55="",$A55,'Raw data'!$E55))</f>
        <v>Germany</v>
      </c>
      <c r="D55" s="38" t="n">
        <f aca="false">IF($A55="","",IF(AND(ISNUMBER(P55),ISNUMBER(AB55)),P55+AB55,""))</f>
        <v>126335.4</v>
      </c>
      <c r="E55" s="38" t="n">
        <f aca="false">IF($A55="","",IF(AND(ISNUMBER(Q55),ISNUMBER(AC55)),Q55+AC55,""))</f>
        <v>121724.63</v>
      </c>
      <c r="F55" s="38" t="n">
        <f aca="false">IF($A55="","",IF(AND(ISNUMBER(R55),ISNUMBER(AD55)),R55+AD55,""))</f>
        <v>108333.75</v>
      </c>
      <c r="G55" s="38" t="n">
        <f aca="false">IF($A55="","",IF(AND(ISNUMBER(S55),ISNUMBER(AE55)),S55+AE55,""))</f>
        <v>105203.78</v>
      </c>
      <c r="H55" s="38" t="n">
        <f aca="false">IF($A55="","",IF(AND(ISNUMBER(T55),ISNUMBER(AF55)),T55+AF55,""))</f>
        <v>100808.61</v>
      </c>
      <c r="I55" s="38" t="n">
        <f aca="false">IF($A55="","",IF(AND(ISNUMBER(U55),ISNUMBER(AG55)),U55+AG55,""))</f>
        <v>96006.35</v>
      </c>
      <c r="J55" s="38" t="n">
        <f aca="false">IF($A55="","",IF(AND(ISNUMBER(V55),ISNUMBER(AH55)),V55+AH55,""))</f>
        <v>95462.69</v>
      </c>
      <c r="K55" s="38" t="n">
        <f aca="false">IF($A55="","",IF(AND(ISNUMBER(W55),ISNUMBER(AI55)),W55+AI55,""))</f>
        <v>96579.65</v>
      </c>
      <c r="L55" s="38" t="n">
        <f aca="false">IF($A55="","",IF(AND(ISNUMBER(X55),ISNUMBER(AJ55)),X55+AJ55,""))</f>
        <v>100077.98</v>
      </c>
      <c r="M55" s="38" t="n">
        <f aca="false">IF($A55="","",IF(AND(ISNUMBER(Y55),ISNUMBER(AK55)),Y55+AK55,""))</f>
        <v>103905.91</v>
      </c>
      <c r="N55" s="38" t="n">
        <f aca="false">IF($A55="","",IF(AND(ISNUMBER(Z55),ISNUMBER(AL55)),Z55+AL55,""))</f>
        <v>108154.42</v>
      </c>
      <c r="O55" s="38" t="n">
        <f aca="false">IF($A55="","",IF(AND(ISNUMBER(AA55),ISNUMBER(AM55)),AA55+AM55,""))</f>
        <v>109985.6</v>
      </c>
      <c r="P55" s="38" t="n">
        <f aca="false">IF($A55="","",IFERROR(1/(1/IF($B55="Residential",SUMIFS(INDEX('Oxford Economics'!$A$7:$AZ$1000,0,IFERROR(MATCH(P$5,'Oxford Economics'!$A$6:$AZ$6,0),MATCH(P$5&amp;"",'Oxford Economics'!$A$6:$AZ$6,0))),'Oxford Economics'!$A$7:$A$1000,$C55,'Oxford Economics'!$B$7:$B$1000,Settings!$B$13)-SUMIFS(INDEX('Oxford Economics'!$A$7:$AZ$1000,0,IFERROR(MATCH(P$5,'Oxford Economics'!$A$6:$AZ$6,0),MATCH(P$5&amp;"",'Oxford Economics'!$A$6:$AZ$6,0))),'Oxford Economics'!$A$7:$A$1000,$C55,'Oxford Economics'!$B$7:$B$1000,Settings!$B$15),SUMIFS(INDEX('Oxford Economics'!$A$7:$AZ$1000,0,IFERROR(MATCH(P$5,'Oxford Economics'!$A$6:$AZ$6,0),MATCH(P$5&amp;"",'Oxford Economics'!$A$6:$AZ$6,0))),'Oxford Economics'!$A$7:$A$1000,$C55,'Oxford Economics'!$B$7:$B$1000,Settings!$B$15)+SUMIFS(INDEX('Oxford Economics'!$A$7:$AZ$1000,0,IFERROR(MATCH(P$5,'Oxford Economics'!$A$6:$AZ$6,0),MATCH(P$5&amp;"",'Oxford Economics'!$A$6:$AZ$6,0))),'Oxford Economics'!$A$7:$A$1000,$C55,'Oxford Economics'!$B$7:$B$1000,Settings!$B$17)+IF(Settings!$B$19="",0,SUMIFS(INDEX('Oxford Economics'!$A$7:$AZ$1000,0,IFERROR(MATCH(P$5,'Oxford Economics'!$A$6:$AZ$6,0),MATCH(P$5&amp;"",'Oxford Economics'!$A$6:$AZ$6,0))),'Oxford Economics'!$A$7:$A$1000,$C55,'Oxford Economics'!$B$7:$B$1000,Settings!$B$19)))),""))</f>
        <v>92604.17</v>
      </c>
      <c r="Q55" s="38" t="n">
        <f aca="false">IF($A55="","",IFERROR(1/(1/IF($B55="Residential",SUMIFS(INDEX('Oxford Economics'!$A$7:$AZ$1000,0,IFERROR(MATCH(Q$5,'Oxford Economics'!$A$6:$AZ$6,0),MATCH(Q$5&amp;"",'Oxford Economics'!$A$6:$AZ$6,0))),'Oxford Economics'!$A$7:$A$1000,$C55,'Oxford Economics'!$B$7:$B$1000,Settings!$B$13)-SUMIFS(INDEX('Oxford Economics'!$A$7:$AZ$1000,0,IFERROR(MATCH(Q$5,'Oxford Economics'!$A$6:$AZ$6,0),MATCH(Q$5&amp;"",'Oxford Economics'!$A$6:$AZ$6,0))),'Oxford Economics'!$A$7:$A$1000,$C55,'Oxford Economics'!$B$7:$B$1000,Settings!$B$15),SUMIFS(INDEX('Oxford Economics'!$A$7:$AZ$1000,0,IFERROR(MATCH(Q$5,'Oxford Economics'!$A$6:$AZ$6,0),MATCH(Q$5&amp;"",'Oxford Economics'!$A$6:$AZ$6,0))),'Oxford Economics'!$A$7:$A$1000,$C55,'Oxford Economics'!$B$7:$B$1000,Settings!$B$15)+SUMIFS(INDEX('Oxford Economics'!$A$7:$AZ$1000,0,IFERROR(MATCH(Q$5,'Oxford Economics'!$A$6:$AZ$6,0),MATCH(Q$5&amp;"",'Oxford Economics'!$A$6:$AZ$6,0))),'Oxford Economics'!$A$7:$A$1000,$C55,'Oxford Economics'!$B$7:$B$1000,Settings!$B$17)+IF(Settings!$B$19="",0,SUMIFS(INDEX('Oxford Economics'!$A$7:$AZ$1000,0,IFERROR(MATCH(Q$5,'Oxford Economics'!$A$6:$AZ$6,0),MATCH(Q$5&amp;"",'Oxford Economics'!$A$6:$AZ$6,0))),'Oxford Economics'!$A$7:$A$1000,$C55,'Oxford Economics'!$B$7:$B$1000,Settings!$B$19)))),""))</f>
        <v>88470.63</v>
      </c>
      <c r="R55" s="38" t="n">
        <f aca="false">IF($A55="","",IFERROR(1/(1/IF($B55="Residential",SUMIFS(INDEX('Oxford Economics'!$A$7:$AZ$1000,0,IFERROR(MATCH(R$5,'Oxford Economics'!$A$6:$AZ$6,0),MATCH(R$5&amp;"",'Oxford Economics'!$A$6:$AZ$6,0))),'Oxford Economics'!$A$7:$A$1000,$C55,'Oxford Economics'!$B$7:$B$1000,Settings!$B$13)-SUMIFS(INDEX('Oxford Economics'!$A$7:$AZ$1000,0,IFERROR(MATCH(R$5,'Oxford Economics'!$A$6:$AZ$6,0),MATCH(R$5&amp;"",'Oxford Economics'!$A$6:$AZ$6,0))),'Oxford Economics'!$A$7:$A$1000,$C55,'Oxford Economics'!$B$7:$B$1000,Settings!$B$15),SUMIFS(INDEX('Oxford Economics'!$A$7:$AZ$1000,0,IFERROR(MATCH(R$5,'Oxford Economics'!$A$6:$AZ$6,0),MATCH(R$5&amp;"",'Oxford Economics'!$A$6:$AZ$6,0))),'Oxford Economics'!$A$7:$A$1000,$C55,'Oxford Economics'!$B$7:$B$1000,Settings!$B$15)+SUMIFS(INDEX('Oxford Economics'!$A$7:$AZ$1000,0,IFERROR(MATCH(R$5,'Oxford Economics'!$A$6:$AZ$6,0),MATCH(R$5&amp;"",'Oxford Economics'!$A$6:$AZ$6,0))),'Oxford Economics'!$A$7:$A$1000,$C55,'Oxford Economics'!$B$7:$B$1000,Settings!$B$17)+IF(Settings!$B$19="",0,SUMIFS(INDEX('Oxford Economics'!$A$7:$AZ$1000,0,IFERROR(MATCH(R$5,'Oxford Economics'!$A$6:$AZ$6,0),MATCH(R$5&amp;"",'Oxford Economics'!$A$6:$AZ$6,0))),'Oxford Economics'!$A$7:$A$1000,$C55,'Oxford Economics'!$B$7:$B$1000,Settings!$B$19)))),""))</f>
        <v>80855.95</v>
      </c>
      <c r="S55" s="38" t="n">
        <f aca="false">IF($A55="","",IFERROR(1/(1/IF($B55="Residential",SUMIFS(INDEX('Oxford Economics'!$A$7:$AZ$1000,0,IFERROR(MATCH(S$5,'Oxford Economics'!$A$6:$AZ$6,0),MATCH(S$5&amp;"",'Oxford Economics'!$A$6:$AZ$6,0))),'Oxford Economics'!$A$7:$A$1000,$C55,'Oxford Economics'!$B$7:$B$1000,Settings!$B$13)-SUMIFS(INDEX('Oxford Economics'!$A$7:$AZ$1000,0,IFERROR(MATCH(S$5,'Oxford Economics'!$A$6:$AZ$6,0),MATCH(S$5&amp;"",'Oxford Economics'!$A$6:$AZ$6,0))),'Oxford Economics'!$A$7:$A$1000,$C55,'Oxford Economics'!$B$7:$B$1000,Settings!$B$15),SUMIFS(INDEX('Oxford Economics'!$A$7:$AZ$1000,0,IFERROR(MATCH(S$5,'Oxford Economics'!$A$6:$AZ$6,0),MATCH(S$5&amp;"",'Oxford Economics'!$A$6:$AZ$6,0))),'Oxford Economics'!$A$7:$A$1000,$C55,'Oxford Economics'!$B$7:$B$1000,Settings!$B$15)+SUMIFS(INDEX('Oxford Economics'!$A$7:$AZ$1000,0,IFERROR(MATCH(S$5,'Oxford Economics'!$A$6:$AZ$6,0),MATCH(S$5&amp;"",'Oxford Economics'!$A$6:$AZ$6,0))),'Oxford Economics'!$A$7:$A$1000,$C55,'Oxford Economics'!$B$7:$B$1000,Settings!$B$17)+IF(Settings!$B$19="",0,SUMIFS(INDEX('Oxford Economics'!$A$7:$AZ$1000,0,IFERROR(MATCH(S$5,'Oxford Economics'!$A$6:$AZ$6,0),MATCH(S$5&amp;"",'Oxford Economics'!$A$6:$AZ$6,0))),'Oxford Economics'!$A$7:$A$1000,$C55,'Oxford Economics'!$B$7:$B$1000,Settings!$B$19)))),""))</f>
        <v>82781.23</v>
      </c>
      <c r="T55" s="38" t="n">
        <f aca="false">IF($A55="","",IFERROR(1/(1/IF($B55="Residential",SUMIFS(INDEX('Oxford Economics'!$A$7:$AZ$1000,0,IFERROR(MATCH(T$5,'Oxford Economics'!$A$6:$AZ$6,0),MATCH(T$5&amp;"",'Oxford Economics'!$A$6:$AZ$6,0))),'Oxford Economics'!$A$7:$A$1000,$C55,'Oxford Economics'!$B$7:$B$1000,Settings!$B$13)-SUMIFS(INDEX('Oxford Economics'!$A$7:$AZ$1000,0,IFERROR(MATCH(T$5,'Oxford Economics'!$A$6:$AZ$6,0),MATCH(T$5&amp;"",'Oxford Economics'!$A$6:$AZ$6,0))),'Oxford Economics'!$A$7:$A$1000,$C55,'Oxford Economics'!$B$7:$B$1000,Settings!$B$15),SUMIFS(INDEX('Oxford Economics'!$A$7:$AZ$1000,0,IFERROR(MATCH(T$5,'Oxford Economics'!$A$6:$AZ$6,0),MATCH(T$5&amp;"",'Oxford Economics'!$A$6:$AZ$6,0))),'Oxford Economics'!$A$7:$A$1000,$C55,'Oxford Economics'!$B$7:$B$1000,Settings!$B$15)+SUMIFS(INDEX('Oxford Economics'!$A$7:$AZ$1000,0,IFERROR(MATCH(T$5,'Oxford Economics'!$A$6:$AZ$6,0),MATCH(T$5&amp;"",'Oxford Economics'!$A$6:$AZ$6,0))),'Oxford Economics'!$A$7:$A$1000,$C55,'Oxford Economics'!$B$7:$B$1000,Settings!$B$17)+IF(Settings!$B$19="",0,SUMIFS(INDEX('Oxford Economics'!$A$7:$AZ$1000,0,IFERROR(MATCH(T$5,'Oxford Economics'!$A$6:$AZ$6,0),MATCH(T$5&amp;"",'Oxford Economics'!$A$6:$AZ$6,0))),'Oxford Economics'!$A$7:$A$1000,$C55,'Oxford Economics'!$B$7:$B$1000,Settings!$B$19)))),""))</f>
        <v>83354.14</v>
      </c>
      <c r="U55" s="38" t="n">
        <f aca="false">IF($A55="","",IFERROR(1/(1/IF($B55="Residential",SUMIFS(INDEX('Oxford Economics'!$A$7:$AZ$1000,0,IFERROR(MATCH(U$5,'Oxford Economics'!$A$6:$AZ$6,0),MATCH(U$5&amp;"",'Oxford Economics'!$A$6:$AZ$6,0))),'Oxford Economics'!$A$7:$A$1000,$C55,'Oxford Economics'!$B$7:$B$1000,Settings!$B$13)-SUMIFS(INDEX('Oxford Economics'!$A$7:$AZ$1000,0,IFERROR(MATCH(U$5,'Oxford Economics'!$A$6:$AZ$6,0),MATCH(U$5&amp;"",'Oxford Economics'!$A$6:$AZ$6,0))),'Oxford Economics'!$A$7:$A$1000,$C55,'Oxford Economics'!$B$7:$B$1000,Settings!$B$15),SUMIFS(INDEX('Oxford Economics'!$A$7:$AZ$1000,0,IFERROR(MATCH(U$5,'Oxford Economics'!$A$6:$AZ$6,0),MATCH(U$5&amp;"",'Oxford Economics'!$A$6:$AZ$6,0))),'Oxford Economics'!$A$7:$A$1000,$C55,'Oxford Economics'!$B$7:$B$1000,Settings!$B$15)+SUMIFS(INDEX('Oxford Economics'!$A$7:$AZ$1000,0,IFERROR(MATCH(U$5,'Oxford Economics'!$A$6:$AZ$6,0),MATCH(U$5&amp;"",'Oxford Economics'!$A$6:$AZ$6,0))),'Oxford Economics'!$A$7:$A$1000,$C55,'Oxford Economics'!$B$7:$B$1000,Settings!$B$17)+IF(Settings!$B$19="",0,SUMIFS(INDEX('Oxford Economics'!$A$7:$AZ$1000,0,IFERROR(MATCH(U$5,'Oxford Economics'!$A$6:$AZ$6,0),MATCH(U$5&amp;"",'Oxford Economics'!$A$6:$AZ$6,0))),'Oxford Economics'!$A$7:$A$1000,$C55,'Oxford Economics'!$B$7:$B$1000,Settings!$B$19)))),""))</f>
        <v>79176.16</v>
      </c>
      <c r="V55" s="38" t="n">
        <f aca="false">IF($A55="","",IFERROR(1/(1/IF($B55="Residential",SUMIFS(INDEX('Oxford Economics'!$A$7:$AZ$1000,0,IFERROR(MATCH(V$5,'Oxford Economics'!$A$6:$AZ$6,0),MATCH(V$5&amp;"",'Oxford Economics'!$A$6:$AZ$6,0))),'Oxford Economics'!$A$7:$A$1000,$C55,'Oxford Economics'!$B$7:$B$1000,Settings!$B$13)-SUMIFS(INDEX('Oxford Economics'!$A$7:$AZ$1000,0,IFERROR(MATCH(V$5,'Oxford Economics'!$A$6:$AZ$6,0),MATCH(V$5&amp;"",'Oxford Economics'!$A$6:$AZ$6,0))),'Oxford Economics'!$A$7:$A$1000,$C55,'Oxford Economics'!$B$7:$B$1000,Settings!$B$15),SUMIFS(INDEX('Oxford Economics'!$A$7:$AZ$1000,0,IFERROR(MATCH(V$5,'Oxford Economics'!$A$6:$AZ$6,0),MATCH(V$5&amp;"",'Oxford Economics'!$A$6:$AZ$6,0))),'Oxford Economics'!$A$7:$A$1000,$C55,'Oxford Economics'!$B$7:$B$1000,Settings!$B$15)+SUMIFS(INDEX('Oxford Economics'!$A$7:$AZ$1000,0,IFERROR(MATCH(V$5,'Oxford Economics'!$A$6:$AZ$6,0),MATCH(V$5&amp;"",'Oxford Economics'!$A$6:$AZ$6,0))),'Oxford Economics'!$A$7:$A$1000,$C55,'Oxford Economics'!$B$7:$B$1000,Settings!$B$17)+IF(Settings!$B$19="",0,SUMIFS(INDEX('Oxford Economics'!$A$7:$AZ$1000,0,IFERROR(MATCH(V$5,'Oxford Economics'!$A$6:$AZ$6,0),MATCH(V$5&amp;"",'Oxford Economics'!$A$6:$AZ$6,0))),'Oxford Economics'!$A$7:$A$1000,$C55,'Oxford Economics'!$B$7:$B$1000,Settings!$B$19)))),""))</f>
        <v>77358.03</v>
      </c>
      <c r="W55" s="38" t="n">
        <f aca="false">IF($A55="","",IFERROR(1/(1/IF($B55="Residential",SUMIFS(INDEX('Oxford Economics'!$A$7:$AZ$1000,0,IFERROR(MATCH(W$5,'Oxford Economics'!$A$6:$AZ$6,0),MATCH(W$5&amp;"",'Oxford Economics'!$A$6:$AZ$6,0))),'Oxford Economics'!$A$7:$A$1000,$C55,'Oxford Economics'!$B$7:$B$1000,Settings!$B$13)-SUMIFS(INDEX('Oxford Economics'!$A$7:$AZ$1000,0,IFERROR(MATCH(W$5,'Oxford Economics'!$A$6:$AZ$6,0),MATCH(W$5&amp;"",'Oxford Economics'!$A$6:$AZ$6,0))),'Oxford Economics'!$A$7:$A$1000,$C55,'Oxford Economics'!$B$7:$B$1000,Settings!$B$15),SUMIFS(INDEX('Oxford Economics'!$A$7:$AZ$1000,0,IFERROR(MATCH(W$5,'Oxford Economics'!$A$6:$AZ$6,0),MATCH(W$5&amp;"",'Oxford Economics'!$A$6:$AZ$6,0))),'Oxford Economics'!$A$7:$A$1000,$C55,'Oxford Economics'!$B$7:$B$1000,Settings!$B$15)+SUMIFS(INDEX('Oxford Economics'!$A$7:$AZ$1000,0,IFERROR(MATCH(W$5,'Oxford Economics'!$A$6:$AZ$6,0),MATCH(W$5&amp;"",'Oxford Economics'!$A$6:$AZ$6,0))),'Oxford Economics'!$A$7:$A$1000,$C55,'Oxford Economics'!$B$7:$B$1000,Settings!$B$17)+IF(Settings!$B$19="",0,SUMIFS(INDEX('Oxford Economics'!$A$7:$AZ$1000,0,IFERROR(MATCH(W$5,'Oxford Economics'!$A$6:$AZ$6,0),MATCH(W$5&amp;"",'Oxford Economics'!$A$6:$AZ$6,0))),'Oxford Economics'!$A$7:$A$1000,$C55,'Oxford Economics'!$B$7:$B$1000,Settings!$B$19)))),""))</f>
        <v>77890.57</v>
      </c>
      <c r="X55" s="38" t="n">
        <f aca="false">IF($A55="","",IFERROR(1/(1/IF($B55="Residential",SUMIFS(INDEX('Oxford Economics'!$A$7:$AZ$1000,0,IFERROR(MATCH(X$5,'Oxford Economics'!$A$6:$AZ$6,0),MATCH(X$5&amp;"",'Oxford Economics'!$A$6:$AZ$6,0))),'Oxford Economics'!$A$7:$A$1000,$C55,'Oxford Economics'!$B$7:$B$1000,Settings!$B$13)-SUMIFS(INDEX('Oxford Economics'!$A$7:$AZ$1000,0,IFERROR(MATCH(X$5,'Oxford Economics'!$A$6:$AZ$6,0),MATCH(X$5&amp;"",'Oxford Economics'!$A$6:$AZ$6,0))),'Oxford Economics'!$A$7:$A$1000,$C55,'Oxford Economics'!$B$7:$B$1000,Settings!$B$15),SUMIFS(INDEX('Oxford Economics'!$A$7:$AZ$1000,0,IFERROR(MATCH(X$5,'Oxford Economics'!$A$6:$AZ$6,0),MATCH(X$5&amp;"",'Oxford Economics'!$A$6:$AZ$6,0))),'Oxford Economics'!$A$7:$A$1000,$C55,'Oxford Economics'!$B$7:$B$1000,Settings!$B$15)+SUMIFS(INDEX('Oxford Economics'!$A$7:$AZ$1000,0,IFERROR(MATCH(X$5,'Oxford Economics'!$A$6:$AZ$6,0),MATCH(X$5&amp;"",'Oxford Economics'!$A$6:$AZ$6,0))),'Oxford Economics'!$A$7:$A$1000,$C55,'Oxford Economics'!$B$7:$B$1000,Settings!$B$17)+IF(Settings!$B$19="",0,SUMIFS(INDEX('Oxford Economics'!$A$7:$AZ$1000,0,IFERROR(MATCH(X$5,'Oxford Economics'!$A$6:$AZ$6,0),MATCH(X$5&amp;"",'Oxford Economics'!$A$6:$AZ$6,0))),'Oxford Economics'!$A$7:$A$1000,$C55,'Oxford Economics'!$B$7:$B$1000,Settings!$B$19)))),""))</f>
        <v>80942.99</v>
      </c>
      <c r="Y55" s="38" t="n">
        <f aca="false">IF($A55="","",IFERROR(1/(1/IF($B55="Residential",SUMIFS(INDEX('Oxford Economics'!$A$7:$AZ$1000,0,IFERROR(MATCH(Y$5,'Oxford Economics'!$A$6:$AZ$6,0),MATCH(Y$5&amp;"",'Oxford Economics'!$A$6:$AZ$6,0))),'Oxford Economics'!$A$7:$A$1000,$C55,'Oxford Economics'!$B$7:$B$1000,Settings!$B$13)-SUMIFS(INDEX('Oxford Economics'!$A$7:$AZ$1000,0,IFERROR(MATCH(Y$5,'Oxford Economics'!$A$6:$AZ$6,0),MATCH(Y$5&amp;"",'Oxford Economics'!$A$6:$AZ$6,0))),'Oxford Economics'!$A$7:$A$1000,$C55,'Oxford Economics'!$B$7:$B$1000,Settings!$B$15),SUMIFS(INDEX('Oxford Economics'!$A$7:$AZ$1000,0,IFERROR(MATCH(Y$5,'Oxford Economics'!$A$6:$AZ$6,0),MATCH(Y$5&amp;"",'Oxford Economics'!$A$6:$AZ$6,0))),'Oxford Economics'!$A$7:$A$1000,$C55,'Oxford Economics'!$B$7:$B$1000,Settings!$B$15)+SUMIFS(INDEX('Oxford Economics'!$A$7:$AZ$1000,0,IFERROR(MATCH(Y$5,'Oxford Economics'!$A$6:$AZ$6,0),MATCH(Y$5&amp;"",'Oxford Economics'!$A$6:$AZ$6,0))),'Oxford Economics'!$A$7:$A$1000,$C55,'Oxford Economics'!$B$7:$B$1000,Settings!$B$17)+IF(Settings!$B$19="",0,SUMIFS(INDEX('Oxford Economics'!$A$7:$AZ$1000,0,IFERROR(MATCH(Y$5,'Oxford Economics'!$A$6:$AZ$6,0),MATCH(Y$5&amp;"",'Oxford Economics'!$A$6:$AZ$6,0))),'Oxford Economics'!$A$7:$A$1000,$C55,'Oxford Economics'!$B$7:$B$1000,Settings!$B$19)))),""))</f>
        <v>84182.4</v>
      </c>
      <c r="Z55" s="38" t="n">
        <f aca="false">IF($A55="","",IFERROR(1/(1/IF($B55="Residential",SUMIFS(INDEX('Oxford Economics'!$A$7:$AZ$1000,0,IFERROR(MATCH(Z$5,'Oxford Economics'!$A$6:$AZ$6,0),MATCH(Z$5&amp;"",'Oxford Economics'!$A$6:$AZ$6,0))),'Oxford Economics'!$A$7:$A$1000,$C55,'Oxford Economics'!$B$7:$B$1000,Settings!$B$13)-SUMIFS(INDEX('Oxford Economics'!$A$7:$AZ$1000,0,IFERROR(MATCH(Z$5,'Oxford Economics'!$A$6:$AZ$6,0),MATCH(Z$5&amp;"",'Oxford Economics'!$A$6:$AZ$6,0))),'Oxford Economics'!$A$7:$A$1000,$C55,'Oxford Economics'!$B$7:$B$1000,Settings!$B$15),SUMIFS(INDEX('Oxford Economics'!$A$7:$AZ$1000,0,IFERROR(MATCH(Z$5,'Oxford Economics'!$A$6:$AZ$6,0),MATCH(Z$5&amp;"",'Oxford Economics'!$A$6:$AZ$6,0))),'Oxford Economics'!$A$7:$A$1000,$C55,'Oxford Economics'!$B$7:$B$1000,Settings!$B$15)+SUMIFS(INDEX('Oxford Economics'!$A$7:$AZ$1000,0,IFERROR(MATCH(Z$5,'Oxford Economics'!$A$6:$AZ$6,0),MATCH(Z$5&amp;"",'Oxford Economics'!$A$6:$AZ$6,0))),'Oxford Economics'!$A$7:$A$1000,$C55,'Oxford Economics'!$B$7:$B$1000,Settings!$B$17)+IF(Settings!$B$19="",0,SUMIFS(INDEX('Oxford Economics'!$A$7:$AZ$1000,0,IFERROR(MATCH(Z$5,'Oxford Economics'!$A$6:$AZ$6,0),MATCH(Z$5&amp;"",'Oxford Economics'!$A$6:$AZ$6,0))),'Oxford Economics'!$A$7:$A$1000,$C55,'Oxford Economics'!$B$7:$B$1000,Settings!$B$19)))),""))</f>
        <v>88007.92</v>
      </c>
      <c r="AA55" s="38" t="n">
        <f aca="false">IF($A55="","",IFERROR(1/(1/IF($B55="Residential",SUMIFS(INDEX('Oxford Economics'!$A$7:$AZ$1000,0,IFERROR(MATCH(AA$5,'Oxford Economics'!$A$6:$AZ$6,0),MATCH(AA$5&amp;"",'Oxford Economics'!$A$6:$AZ$6,0))),'Oxford Economics'!$A$7:$A$1000,$C55,'Oxford Economics'!$B$7:$B$1000,Settings!$B$13)-SUMIFS(INDEX('Oxford Economics'!$A$7:$AZ$1000,0,IFERROR(MATCH(AA$5,'Oxford Economics'!$A$6:$AZ$6,0),MATCH(AA$5&amp;"",'Oxford Economics'!$A$6:$AZ$6,0))),'Oxford Economics'!$A$7:$A$1000,$C55,'Oxford Economics'!$B$7:$B$1000,Settings!$B$15),SUMIFS(INDEX('Oxford Economics'!$A$7:$AZ$1000,0,IFERROR(MATCH(AA$5,'Oxford Economics'!$A$6:$AZ$6,0),MATCH(AA$5&amp;"",'Oxford Economics'!$A$6:$AZ$6,0))),'Oxford Economics'!$A$7:$A$1000,$C55,'Oxford Economics'!$B$7:$B$1000,Settings!$B$15)+SUMIFS(INDEX('Oxford Economics'!$A$7:$AZ$1000,0,IFERROR(MATCH(AA$5,'Oxford Economics'!$A$6:$AZ$6,0),MATCH(AA$5&amp;"",'Oxford Economics'!$A$6:$AZ$6,0))),'Oxford Economics'!$A$7:$A$1000,$C55,'Oxford Economics'!$B$7:$B$1000,Settings!$B$17)+IF(Settings!$B$19="",0,SUMIFS(INDEX('Oxford Economics'!$A$7:$AZ$1000,0,IFERROR(MATCH(AA$5,'Oxford Economics'!$A$6:$AZ$6,0),MATCH(AA$5&amp;"",'Oxford Economics'!$A$6:$AZ$6,0))),'Oxford Economics'!$A$7:$A$1000,$C55,'Oxford Economics'!$B$7:$B$1000,Settings!$B$19)))),""))</f>
        <v>89561.24</v>
      </c>
      <c r="AB55" s="38" t="n">
        <f aca="false">IF($A55="","",IFERROR(1/(1/IF($B55="Residential",SUMIFS(INDEX('Oxford Economics'!$A$7:$AZ$1000,0,IFERROR(MATCH(AB$5,'Oxford Economics'!$A$6:$AZ$6,0),MATCH(AB$5&amp;"",'Oxford Economics'!$A$6:$AZ$6,0))),'Oxford Economics'!$A$7:$A$1000,$C55,'Oxford Economics'!$B$7:$B$1000,Settings!$B$12)-SUMIFS(INDEX('Oxford Economics'!$A$7:$AZ$1000,0,IFERROR(MATCH(AB$5,'Oxford Economics'!$A$6:$AZ$6,0),MATCH(AB$5&amp;"",'Oxford Economics'!$A$6:$AZ$6,0))),'Oxford Economics'!$A$7:$A$1000,$C55,'Oxford Economics'!$B$7:$B$1000,Settings!$B$14),SUMIFS(INDEX('Oxford Economics'!$A$7:$AZ$1000,0,IFERROR(MATCH(AB$5,'Oxford Economics'!$A$6:$AZ$6,0),MATCH(AB$5&amp;"",'Oxford Economics'!$A$6:$AZ$6,0))),'Oxford Economics'!$A$7:$A$1000,$C55,'Oxford Economics'!$B$7:$B$1000,Settings!$B$14)+SUMIFS(INDEX('Oxford Economics'!$A$7:$AZ$1000,0,IFERROR(MATCH(AB$5,'Oxford Economics'!$A$6:$AZ$6,0),MATCH(AB$5&amp;"",'Oxford Economics'!$A$6:$AZ$6,0))),'Oxford Economics'!$A$7:$A$1000,$C55,'Oxford Economics'!$B$7:$B$1000,Settings!$B$16)+IF(Settings!$B$18="",0,SUMIFS(INDEX('Oxford Economics'!$A$7:$AZ$1000,0,IFERROR(MATCH(AB$5,'Oxford Economics'!$A$6:$AZ$6,0),MATCH(AB$5&amp;"",'Oxford Economics'!$A$6:$AZ$6,0))),'Oxford Economics'!$A$7:$A$1000,$C55,'Oxford Economics'!$B$7:$B$1000,Settings!$B$18)))),""))</f>
        <v>33731.23</v>
      </c>
      <c r="AC55" s="38" t="n">
        <f aca="false">IF($A55="","",IFERROR(1/(1/IF($B55="Residential",SUMIFS(INDEX('Oxford Economics'!$A$7:$AZ$1000,0,IFERROR(MATCH(AC$5,'Oxford Economics'!$A$6:$AZ$6,0),MATCH(AC$5&amp;"",'Oxford Economics'!$A$6:$AZ$6,0))),'Oxford Economics'!$A$7:$A$1000,$C55,'Oxford Economics'!$B$7:$B$1000,Settings!$B$12)-SUMIFS(INDEX('Oxford Economics'!$A$7:$AZ$1000,0,IFERROR(MATCH(AC$5,'Oxford Economics'!$A$6:$AZ$6,0),MATCH(AC$5&amp;"",'Oxford Economics'!$A$6:$AZ$6,0))),'Oxford Economics'!$A$7:$A$1000,$C55,'Oxford Economics'!$B$7:$B$1000,Settings!$B$14),SUMIFS(INDEX('Oxford Economics'!$A$7:$AZ$1000,0,IFERROR(MATCH(AC$5,'Oxford Economics'!$A$6:$AZ$6,0),MATCH(AC$5&amp;"",'Oxford Economics'!$A$6:$AZ$6,0))),'Oxford Economics'!$A$7:$A$1000,$C55,'Oxford Economics'!$B$7:$B$1000,Settings!$B$14)+SUMIFS(INDEX('Oxford Economics'!$A$7:$AZ$1000,0,IFERROR(MATCH(AC$5,'Oxford Economics'!$A$6:$AZ$6,0),MATCH(AC$5&amp;"",'Oxford Economics'!$A$6:$AZ$6,0))),'Oxford Economics'!$A$7:$A$1000,$C55,'Oxford Economics'!$B$7:$B$1000,Settings!$B$16)+IF(Settings!$B$18="",0,SUMIFS(INDEX('Oxford Economics'!$A$7:$AZ$1000,0,IFERROR(MATCH(AC$5,'Oxford Economics'!$A$6:$AZ$6,0),MATCH(AC$5&amp;"",'Oxford Economics'!$A$6:$AZ$6,0))),'Oxford Economics'!$A$7:$A$1000,$C55,'Oxford Economics'!$B$7:$B$1000,Settings!$B$18)))),""))</f>
        <v>33254</v>
      </c>
      <c r="AD55" s="38" t="n">
        <f aca="false">IF($A55="","",IFERROR(1/(1/IF($B55="Residential",SUMIFS(INDEX('Oxford Economics'!$A$7:$AZ$1000,0,IFERROR(MATCH(AD$5,'Oxford Economics'!$A$6:$AZ$6,0),MATCH(AD$5&amp;"",'Oxford Economics'!$A$6:$AZ$6,0))),'Oxford Economics'!$A$7:$A$1000,$C55,'Oxford Economics'!$B$7:$B$1000,Settings!$B$12)-SUMIFS(INDEX('Oxford Economics'!$A$7:$AZ$1000,0,IFERROR(MATCH(AD$5,'Oxford Economics'!$A$6:$AZ$6,0),MATCH(AD$5&amp;"",'Oxford Economics'!$A$6:$AZ$6,0))),'Oxford Economics'!$A$7:$A$1000,$C55,'Oxford Economics'!$B$7:$B$1000,Settings!$B$14),SUMIFS(INDEX('Oxford Economics'!$A$7:$AZ$1000,0,IFERROR(MATCH(AD$5,'Oxford Economics'!$A$6:$AZ$6,0),MATCH(AD$5&amp;"",'Oxford Economics'!$A$6:$AZ$6,0))),'Oxford Economics'!$A$7:$A$1000,$C55,'Oxford Economics'!$B$7:$B$1000,Settings!$B$14)+SUMIFS(INDEX('Oxford Economics'!$A$7:$AZ$1000,0,IFERROR(MATCH(AD$5,'Oxford Economics'!$A$6:$AZ$6,0),MATCH(AD$5&amp;"",'Oxford Economics'!$A$6:$AZ$6,0))),'Oxford Economics'!$A$7:$A$1000,$C55,'Oxford Economics'!$B$7:$B$1000,Settings!$B$16)+IF(Settings!$B$18="",0,SUMIFS(INDEX('Oxford Economics'!$A$7:$AZ$1000,0,IFERROR(MATCH(AD$5,'Oxford Economics'!$A$6:$AZ$6,0),MATCH(AD$5&amp;"",'Oxford Economics'!$A$6:$AZ$6,0))),'Oxford Economics'!$A$7:$A$1000,$C55,'Oxford Economics'!$B$7:$B$1000,Settings!$B$18)))),""))</f>
        <v>27477.8</v>
      </c>
      <c r="AE55" s="38" t="n">
        <f aca="false">IF($A55="","",IFERROR(1/(1/IF($B55="Residential",SUMIFS(INDEX('Oxford Economics'!$A$7:$AZ$1000,0,IFERROR(MATCH(AE$5,'Oxford Economics'!$A$6:$AZ$6,0),MATCH(AE$5&amp;"",'Oxford Economics'!$A$6:$AZ$6,0))),'Oxford Economics'!$A$7:$A$1000,$C55,'Oxford Economics'!$B$7:$B$1000,Settings!$B$12)-SUMIFS(INDEX('Oxford Economics'!$A$7:$AZ$1000,0,IFERROR(MATCH(AE$5,'Oxford Economics'!$A$6:$AZ$6,0),MATCH(AE$5&amp;"",'Oxford Economics'!$A$6:$AZ$6,0))),'Oxford Economics'!$A$7:$A$1000,$C55,'Oxford Economics'!$B$7:$B$1000,Settings!$B$14),SUMIFS(INDEX('Oxford Economics'!$A$7:$AZ$1000,0,IFERROR(MATCH(AE$5,'Oxford Economics'!$A$6:$AZ$6,0),MATCH(AE$5&amp;"",'Oxford Economics'!$A$6:$AZ$6,0))),'Oxford Economics'!$A$7:$A$1000,$C55,'Oxford Economics'!$B$7:$B$1000,Settings!$B$14)+SUMIFS(INDEX('Oxford Economics'!$A$7:$AZ$1000,0,IFERROR(MATCH(AE$5,'Oxford Economics'!$A$6:$AZ$6,0),MATCH(AE$5&amp;"",'Oxford Economics'!$A$6:$AZ$6,0))),'Oxford Economics'!$A$7:$A$1000,$C55,'Oxford Economics'!$B$7:$B$1000,Settings!$B$16)+IF(Settings!$B$18="",0,SUMIFS(INDEX('Oxford Economics'!$A$7:$AZ$1000,0,IFERROR(MATCH(AE$5,'Oxford Economics'!$A$6:$AZ$6,0),MATCH(AE$5&amp;"",'Oxford Economics'!$A$6:$AZ$6,0))),'Oxford Economics'!$A$7:$A$1000,$C55,'Oxford Economics'!$B$7:$B$1000,Settings!$B$18)))),""))</f>
        <v>22422.55</v>
      </c>
      <c r="AF55" s="38" t="n">
        <f aca="false">IF($A55="","",IFERROR(1/(1/IF($B55="Residential",SUMIFS(INDEX('Oxford Economics'!$A$7:$AZ$1000,0,IFERROR(MATCH(AF$5,'Oxford Economics'!$A$6:$AZ$6,0),MATCH(AF$5&amp;"",'Oxford Economics'!$A$6:$AZ$6,0))),'Oxford Economics'!$A$7:$A$1000,$C55,'Oxford Economics'!$B$7:$B$1000,Settings!$B$12)-SUMIFS(INDEX('Oxford Economics'!$A$7:$AZ$1000,0,IFERROR(MATCH(AF$5,'Oxford Economics'!$A$6:$AZ$6,0),MATCH(AF$5&amp;"",'Oxford Economics'!$A$6:$AZ$6,0))),'Oxford Economics'!$A$7:$A$1000,$C55,'Oxford Economics'!$B$7:$B$1000,Settings!$B$14),SUMIFS(INDEX('Oxford Economics'!$A$7:$AZ$1000,0,IFERROR(MATCH(AF$5,'Oxford Economics'!$A$6:$AZ$6,0),MATCH(AF$5&amp;"",'Oxford Economics'!$A$6:$AZ$6,0))),'Oxford Economics'!$A$7:$A$1000,$C55,'Oxford Economics'!$B$7:$B$1000,Settings!$B$14)+SUMIFS(INDEX('Oxford Economics'!$A$7:$AZ$1000,0,IFERROR(MATCH(AF$5,'Oxford Economics'!$A$6:$AZ$6,0),MATCH(AF$5&amp;"",'Oxford Economics'!$A$6:$AZ$6,0))),'Oxford Economics'!$A$7:$A$1000,$C55,'Oxford Economics'!$B$7:$B$1000,Settings!$B$16)+IF(Settings!$B$18="",0,SUMIFS(INDEX('Oxford Economics'!$A$7:$AZ$1000,0,IFERROR(MATCH(AF$5,'Oxford Economics'!$A$6:$AZ$6,0),MATCH(AF$5&amp;"",'Oxford Economics'!$A$6:$AZ$6,0))),'Oxford Economics'!$A$7:$A$1000,$C55,'Oxford Economics'!$B$7:$B$1000,Settings!$B$18)))),""))</f>
        <v>17454.47</v>
      </c>
      <c r="AG55" s="38" t="n">
        <f aca="false">IF($A55="","",IFERROR(1/(1/IF($B55="Residential",SUMIFS(INDEX('Oxford Economics'!$A$7:$AZ$1000,0,IFERROR(MATCH(AG$5,'Oxford Economics'!$A$6:$AZ$6,0),MATCH(AG$5&amp;"",'Oxford Economics'!$A$6:$AZ$6,0))),'Oxford Economics'!$A$7:$A$1000,$C55,'Oxford Economics'!$B$7:$B$1000,Settings!$B$12)-SUMIFS(INDEX('Oxford Economics'!$A$7:$AZ$1000,0,IFERROR(MATCH(AG$5,'Oxford Economics'!$A$6:$AZ$6,0),MATCH(AG$5&amp;"",'Oxford Economics'!$A$6:$AZ$6,0))),'Oxford Economics'!$A$7:$A$1000,$C55,'Oxford Economics'!$B$7:$B$1000,Settings!$B$14),SUMIFS(INDEX('Oxford Economics'!$A$7:$AZ$1000,0,IFERROR(MATCH(AG$5,'Oxford Economics'!$A$6:$AZ$6,0),MATCH(AG$5&amp;"",'Oxford Economics'!$A$6:$AZ$6,0))),'Oxford Economics'!$A$7:$A$1000,$C55,'Oxford Economics'!$B$7:$B$1000,Settings!$B$14)+SUMIFS(INDEX('Oxford Economics'!$A$7:$AZ$1000,0,IFERROR(MATCH(AG$5,'Oxford Economics'!$A$6:$AZ$6,0),MATCH(AG$5&amp;"",'Oxford Economics'!$A$6:$AZ$6,0))),'Oxford Economics'!$A$7:$A$1000,$C55,'Oxford Economics'!$B$7:$B$1000,Settings!$B$16)+IF(Settings!$B$18="",0,SUMIFS(INDEX('Oxford Economics'!$A$7:$AZ$1000,0,IFERROR(MATCH(AG$5,'Oxford Economics'!$A$6:$AZ$6,0),MATCH(AG$5&amp;"",'Oxford Economics'!$A$6:$AZ$6,0))),'Oxford Economics'!$A$7:$A$1000,$C55,'Oxford Economics'!$B$7:$B$1000,Settings!$B$18)))),""))</f>
        <v>16830.19</v>
      </c>
      <c r="AH55" s="38" t="n">
        <f aca="false">IF($A55="","",IFERROR(1/(1/IF($B55="Residential",SUMIFS(INDEX('Oxford Economics'!$A$7:$AZ$1000,0,IFERROR(MATCH(AH$5,'Oxford Economics'!$A$6:$AZ$6,0),MATCH(AH$5&amp;"",'Oxford Economics'!$A$6:$AZ$6,0))),'Oxford Economics'!$A$7:$A$1000,$C55,'Oxford Economics'!$B$7:$B$1000,Settings!$B$12)-SUMIFS(INDEX('Oxford Economics'!$A$7:$AZ$1000,0,IFERROR(MATCH(AH$5,'Oxford Economics'!$A$6:$AZ$6,0),MATCH(AH$5&amp;"",'Oxford Economics'!$A$6:$AZ$6,0))),'Oxford Economics'!$A$7:$A$1000,$C55,'Oxford Economics'!$B$7:$B$1000,Settings!$B$14),SUMIFS(INDEX('Oxford Economics'!$A$7:$AZ$1000,0,IFERROR(MATCH(AH$5,'Oxford Economics'!$A$6:$AZ$6,0),MATCH(AH$5&amp;"",'Oxford Economics'!$A$6:$AZ$6,0))),'Oxford Economics'!$A$7:$A$1000,$C55,'Oxford Economics'!$B$7:$B$1000,Settings!$B$14)+SUMIFS(INDEX('Oxford Economics'!$A$7:$AZ$1000,0,IFERROR(MATCH(AH$5,'Oxford Economics'!$A$6:$AZ$6,0),MATCH(AH$5&amp;"",'Oxford Economics'!$A$6:$AZ$6,0))),'Oxford Economics'!$A$7:$A$1000,$C55,'Oxford Economics'!$B$7:$B$1000,Settings!$B$16)+IF(Settings!$B$18="",0,SUMIFS(INDEX('Oxford Economics'!$A$7:$AZ$1000,0,IFERROR(MATCH(AH$5,'Oxford Economics'!$A$6:$AZ$6,0),MATCH(AH$5&amp;"",'Oxford Economics'!$A$6:$AZ$6,0))),'Oxford Economics'!$A$7:$A$1000,$C55,'Oxford Economics'!$B$7:$B$1000,Settings!$B$18)))),""))</f>
        <v>18104.66</v>
      </c>
      <c r="AI55" s="38" t="n">
        <f aca="false">IF($A55="","",IFERROR(1/(1/IF($B55="Residential",SUMIFS(INDEX('Oxford Economics'!$A$7:$AZ$1000,0,IFERROR(MATCH(AI$5,'Oxford Economics'!$A$6:$AZ$6,0),MATCH(AI$5&amp;"",'Oxford Economics'!$A$6:$AZ$6,0))),'Oxford Economics'!$A$7:$A$1000,$C55,'Oxford Economics'!$B$7:$B$1000,Settings!$B$12)-SUMIFS(INDEX('Oxford Economics'!$A$7:$AZ$1000,0,IFERROR(MATCH(AI$5,'Oxford Economics'!$A$6:$AZ$6,0),MATCH(AI$5&amp;"",'Oxford Economics'!$A$6:$AZ$6,0))),'Oxford Economics'!$A$7:$A$1000,$C55,'Oxford Economics'!$B$7:$B$1000,Settings!$B$14),SUMIFS(INDEX('Oxford Economics'!$A$7:$AZ$1000,0,IFERROR(MATCH(AI$5,'Oxford Economics'!$A$6:$AZ$6,0),MATCH(AI$5&amp;"",'Oxford Economics'!$A$6:$AZ$6,0))),'Oxford Economics'!$A$7:$A$1000,$C55,'Oxford Economics'!$B$7:$B$1000,Settings!$B$14)+SUMIFS(INDEX('Oxford Economics'!$A$7:$AZ$1000,0,IFERROR(MATCH(AI$5,'Oxford Economics'!$A$6:$AZ$6,0),MATCH(AI$5&amp;"",'Oxford Economics'!$A$6:$AZ$6,0))),'Oxford Economics'!$A$7:$A$1000,$C55,'Oxford Economics'!$B$7:$B$1000,Settings!$B$16)+IF(Settings!$B$18="",0,SUMIFS(INDEX('Oxford Economics'!$A$7:$AZ$1000,0,IFERROR(MATCH(AI$5,'Oxford Economics'!$A$6:$AZ$6,0),MATCH(AI$5&amp;"",'Oxford Economics'!$A$6:$AZ$6,0))),'Oxford Economics'!$A$7:$A$1000,$C55,'Oxford Economics'!$B$7:$B$1000,Settings!$B$18)))),""))</f>
        <v>18689.08</v>
      </c>
      <c r="AJ55" s="38" t="n">
        <f aca="false">IF($A55="","",IFERROR(1/(1/IF($B55="Residential",SUMIFS(INDEX('Oxford Economics'!$A$7:$AZ$1000,0,IFERROR(MATCH(AJ$5,'Oxford Economics'!$A$6:$AZ$6,0),MATCH(AJ$5&amp;"",'Oxford Economics'!$A$6:$AZ$6,0))),'Oxford Economics'!$A$7:$A$1000,$C55,'Oxford Economics'!$B$7:$B$1000,Settings!$B$12)-SUMIFS(INDEX('Oxford Economics'!$A$7:$AZ$1000,0,IFERROR(MATCH(AJ$5,'Oxford Economics'!$A$6:$AZ$6,0),MATCH(AJ$5&amp;"",'Oxford Economics'!$A$6:$AZ$6,0))),'Oxford Economics'!$A$7:$A$1000,$C55,'Oxford Economics'!$B$7:$B$1000,Settings!$B$14),SUMIFS(INDEX('Oxford Economics'!$A$7:$AZ$1000,0,IFERROR(MATCH(AJ$5,'Oxford Economics'!$A$6:$AZ$6,0),MATCH(AJ$5&amp;"",'Oxford Economics'!$A$6:$AZ$6,0))),'Oxford Economics'!$A$7:$A$1000,$C55,'Oxford Economics'!$B$7:$B$1000,Settings!$B$14)+SUMIFS(INDEX('Oxford Economics'!$A$7:$AZ$1000,0,IFERROR(MATCH(AJ$5,'Oxford Economics'!$A$6:$AZ$6,0),MATCH(AJ$5&amp;"",'Oxford Economics'!$A$6:$AZ$6,0))),'Oxford Economics'!$A$7:$A$1000,$C55,'Oxford Economics'!$B$7:$B$1000,Settings!$B$16)+IF(Settings!$B$18="",0,SUMIFS(INDEX('Oxford Economics'!$A$7:$AZ$1000,0,IFERROR(MATCH(AJ$5,'Oxford Economics'!$A$6:$AZ$6,0),MATCH(AJ$5&amp;"",'Oxford Economics'!$A$6:$AZ$6,0))),'Oxford Economics'!$A$7:$A$1000,$C55,'Oxford Economics'!$B$7:$B$1000,Settings!$B$18)))),""))</f>
        <v>19134.99</v>
      </c>
      <c r="AK55" s="38" t="n">
        <f aca="false">IF($A55="","",IFERROR(1/(1/IF($B55="Residential",SUMIFS(INDEX('Oxford Economics'!$A$7:$AZ$1000,0,IFERROR(MATCH(AK$5,'Oxford Economics'!$A$6:$AZ$6,0),MATCH(AK$5&amp;"",'Oxford Economics'!$A$6:$AZ$6,0))),'Oxford Economics'!$A$7:$A$1000,$C55,'Oxford Economics'!$B$7:$B$1000,Settings!$B$12)-SUMIFS(INDEX('Oxford Economics'!$A$7:$AZ$1000,0,IFERROR(MATCH(AK$5,'Oxford Economics'!$A$6:$AZ$6,0),MATCH(AK$5&amp;"",'Oxford Economics'!$A$6:$AZ$6,0))),'Oxford Economics'!$A$7:$A$1000,$C55,'Oxford Economics'!$B$7:$B$1000,Settings!$B$14),SUMIFS(INDEX('Oxford Economics'!$A$7:$AZ$1000,0,IFERROR(MATCH(AK$5,'Oxford Economics'!$A$6:$AZ$6,0),MATCH(AK$5&amp;"",'Oxford Economics'!$A$6:$AZ$6,0))),'Oxford Economics'!$A$7:$A$1000,$C55,'Oxford Economics'!$B$7:$B$1000,Settings!$B$14)+SUMIFS(INDEX('Oxford Economics'!$A$7:$AZ$1000,0,IFERROR(MATCH(AK$5,'Oxford Economics'!$A$6:$AZ$6,0),MATCH(AK$5&amp;"",'Oxford Economics'!$A$6:$AZ$6,0))),'Oxford Economics'!$A$7:$A$1000,$C55,'Oxford Economics'!$B$7:$B$1000,Settings!$B$16)+IF(Settings!$B$18="",0,SUMIFS(INDEX('Oxford Economics'!$A$7:$AZ$1000,0,IFERROR(MATCH(AK$5,'Oxford Economics'!$A$6:$AZ$6,0),MATCH(AK$5&amp;"",'Oxford Economics'!$A$6:$AZ$6,0))),'Oxford Economics'!$A$7:$A$1000,$C55,'Oxford Economics'!$B$7:$B$1000,Settings!$B$18)))),""))</f>
        <v>19723.51</v>
      </c>
      <c r="AL55" s="38" t="n">
        <f aca="false">IF($A55="","",IFERROR(1/(1/IF($B55="Residential",SUMIFS(INDEX('Oxford Economics'!$A$7:$AZ$1000,0,IFERROR(MATCH(AL$5,'Oxford Economics'!$A$6:$AZ$6,0),MATCH(AL$5&amp;"",'Oxford Economics'!$A$6:$AZ$6,0))),'Oxford Economics'!$A$7:$A$1000,$C55,'Oxford Economics'!$B$7:$B$1000,Settings!$B$12)-SUMIFS(INDEX('Oxford Economics'!$A$7:$AZ$1000,0,IFERROR(MATCH(AL$5,'Oxford Economics'!$A$6:$AZ$6,0),MATCH(AL$5&amp;"",'Oxford Economics'!$A$6:$AZ$6,0))),'Oxford Economics'!$A$7:$A$1000,$C55,'Oxford Economics'!$B$7:$B$1000,Settings!$B$14),SUMIFS(INDEX('Oxford Economics'!$A$7:$AZ$1000,0,IFERROR(MATCH(AL$5,'Oxford Economics'!$A$6:$AZ$6,0),MATCH(AL$5&amp;"",'Oxford Economics'!$A$6:$AZ$6,0))),'Oxford Economics'!$A$7:$A$1000,$C55,'Oxford Economics'!$B$7:$B$1000,Settings!$B$14)+SUMIFS(INDEX('Oxford Economics'!$A$7:$AZ$1000,0,IFERROR(MATCH(AL$5,'Oxford Economics'!$A$6:$AZ$6,0),MATCH(AL$5&amp;"",'Oxford Economics'!$A$6:$AZ$6,0))),'Oxford Economics'!$A$7:$A$1000,$C55,'Oxford Economics'!$B$7:$B$1000,Settings!$B$16)+IF(Settings!$B$18="",0,SUMIFS(INDEX('Oxford Economics'!$A$7:$AZ$1000,0,IFERROR(MATCH(AL$5,'Oxford Economics'!$A$6:$AZ$6,0),MATCH(AL$5&amp;"",'Oxford Economics'!$A$6:$AZ$6,0))),'Oxford Economics'!$A$7:$A$1000,$C55,'Oxford Economics'!$B$7:$B$1000,Settings!$B$18)))),""))</f>
        <v>20146.5</v>
      </c>
      <c r="AM55" s="38" t="n">
        <f aca="false">IF($A55="","",IFERROR(1/(1/IF($B55="Residential",SUMIFS(INDEX('Oxford Economics'!$A$7:$AZ$1000,0,IFERROR(MATCH(AM$5,'Oxford Economics'!$A$6:$AZ$6,0),MATCH(AM$5&amp;"",'Oxford Economics'!$A$6:$AZ$6,0))),'Oxford Economics'!$A$7:$A$1000,$C55,'Oxford Economics'!$B$7:$B$1000,Settings!$B$12)-SUMIFS(INDEX('Oxford Economics'!$A$7:$AZ$1000,0,IFERROR(MATCH(AM$5,'Oxford Economics'!$A$6:$AZ$6,0),MATCH(AM$5&amp;"",'Oxford Economics'!$A$6:$AZ$6,0))),'Oxford Economics'!$A$7:$A$1000,$C55,'Oxford Economics'!$B$7:$B$1000,Settings!$B$14),SUMIFS(INDEX('Oxford Economics'!$A$7:$AZ$1000,0,IFERROR(MATCH(AM$5,'Oxford Economics'!$A$6:$AZ$6,0),MATCH(AM$5&amp;"",'Oxford Economics'!$A$6:$AZ$6,0))),'Oxford Economics'!$A$7:$A$1000,$C55,'Oxford Economics'!$B$7:$B$1000,Settings!$B$14)+SUMIFS(INDEX('Oxford Economics'!$A$7:$AZ$1000,0,IFERROR(MATCH(AM$5,'Oxford Economics'!$A$6:$AZ$6,0),MATCH(AM$5&amp;"",'Oxford Economics'!$A$6:$AZ$6,0))),'Oxford Economics'!$A$7:$A$1000,$C55,'Oxford Economics'!$B$7:$B$1000,Settings!$B$16)+IF(Settings!$B$18="",0,SUMIFS(INDEX('Oxford Economics'!$A$7:$AZ$1000,0,IFERROR(MATCH(AM$5,'Oxford Economics'!$A$6:$AZ$6,0),MATCH(AM$5&amp;"",'Oxford Economics'!$A$6:$AZ$6,0))),'Oxford Economics'!$A$7:$A$1000,$C55,'Oxford Economics'!$B$7:$B$1000,Settings!$B$18)))),""))</f>
        <v>20424.36</v>
      </c>
    </row>
    <row r="56" customFormat="false" ht="15" hidden="false" customHeight="false" outlineLevel="0" collapsed="false">
      <c r="A56" s="37" t="str">
        <f aca="false">IF('Raw data'!$A56="","",'Raw data'!$A56)</f>
        <v>Germany</v>
      </c>
      <c r="B56" s="37" t="str">
        <f aca="false">IF($A56="","",'Raw data'!$C56)</f>
        <v>Residential</v>
      </c>
      <c r="C56" s="37" t="str">
        <f aca="false">IF($A56="","",IF('Raw data'!$E56="",$A56,'Raw data'!$E56))</f>
        <v>Germany</v>
      </c>
      <c r="D56" s="38" t="n">
        <f aca="false">IF($A56="","",IF(AND(ISNUMBER(P56),ISNUMBER(AB56)),P56+AB56,""))</f>
        <v>126335.4</v>
      </c>
      <c r="E56" s="38" t="n">
        <f aca="false">IF($A56="","",IF(AND(ISNUMBER(Q56),ISNUMBER(AC56)),Q56+AC56,""))</f>
        <v>121724.63</v>
      </c>
      <c r="F56" s="38" t="n">
        <f aca="false">IF($A56="","",IF(AND(ISNUMBER(R56),ISNUMBER(AD56)),R56+AD56,""))</f>
        <v>108333.75</v>
      </c>
      <c r="G56" s="38" t="n">
        <f aca="false">IF($A56="","",IF(AND(ISNUMBER(S56),ISNUMBER(AE56)),S56+AE56,""))</f>
        <v>105203.78</v>
      </c>
      <c r="H56" s="38" t="n">
        <f aca="false">IF($A56="","",IF(AND(ISNUMBER(T56),ISNUMBER(AF56)),T56+AF56,""))</f>
        <v>100808.61</v>
      </c>
      <c r="I56" s="38" t="n">
        <f aca="false">IF($A56="","",IF(AND(ISNUMBER(U56),ISNUMBER(AG56)),U56+AG56,""))</f>
        <v>96006.35</v>
      </c>
      <c r="J56" s="38" t="n">
        <f aca="false">IF($A56="","",IF(AND(ISNUMBER(V56),ISNUMBER(AH56)),V56+AH56,""))</f>
        <v>95462.69</v>
      </c>
      <c r="K56" s="38" t="n">
        <f aca="false">IF($A56="","",IF(AND(ISNUMBER(W56),ISNUMBER(AI56)),W56+AI56,""))</f>
        <v>96579.65</v>
      </c>
      <c r="L56" s="38" t="n">
        <f aca="false">IF($A56="","",IF(AND(ISNUMBER(X56),ISNUMBER(AJ56)),X56+AJ56,""))</f>
        <v>100077.98</v>
      </c>
      <c r="M56" s="38" t="n">
        <f aca="false">IF($A56="","",IF(AND(ISNUMBER(Y56),ISNUMBER(AK56)),Y56+AK56,""))</f>
        <v>103905.91</v>
      </c>
      <c r="N56" s="38" t="n">
        <f aca="false">IF($A56="","",IF(AND(ISNUMBER(Z56),ISNUMBER(AL56)),Z56+AL56,""))</f>
        <v>108154.42</v>
      </c>
      <c r="O56" s="38" t="n">
        <f aca="false">IF($A56="","",IF(AND(ISNUMBER(AA56),ISNUMBER(AM56)),AA56+AM56,""))</f>
        <v>109985.6</v>
      </c>
      <c r="P56" s="38" t="n">
        <f aca="false">IF($A56="","",IFERROR(1/(1/IF($B56="Residential",SUMIFS(INDEX('Oxford Economics'!$A$7:$AZ$1000,0,IFERROR(MATCH(P$5,'Oxford Economics'!$A$6:$AZ$6,0),MATCH(P$5&amp;"",'Oxford Economics'!$A$6:$AZ$6,0))),'Oxford Economics'!$A$7:$A$1000,$C56,'Oxford Economics'!$B$7:$B$1000,Settings!$B$13)-SUMIFS(INDEX('Oxford Economics'!$A$7:$AZ$1000,0,IFERROR(MATCH(P$5,'Oxford Economics'!$A$6:$AZ$6,0),MATCH(P$5&amp;"",'Oxford Economics'!$A$6:$AZ$6,0))),'Oxford Economics'!$A$7:$A$1000,$C56,'Oxford Economics'!$B$7:$B$1000,Settings!$B$15),SUMIFS(INDEX('Oxford Economics'!$A$7:$AZ$1000,0,IFERROR(MATCH(P$5,'Oxford Economics'!$A$6:$AZ$6,0),MATCH(P$5&amp;"",'Oxford Economics'!$A$6:$AZ$6,0))),'Oxford Economics'!$A$7:$A$1000,$C56,'Oxford Economics'!$B$7:$B$1000,Settings!$B$15)+SUMIFS(INDEX('Oxford Economics'!$A$7:$AZ$1000,0,IFERROR(MATCH(P$5,'Oxford Economics'!$A$6:$AZ$6,0),MATCH(P$5&amp;"",'Oxford Economics'!$A$6:$AZ$6,0))),'Oxford Economics'!$A$7:$A$1000,$C56,'Oxford Economics'!$B$7:$B$1000,Settings!$B$17)+IF(Settings!$B$19="",0,SUMIFS(INDEX('Oxford Economics'!$A$7:$AZ$1000,0,IFERROR(MATCH(P$5,'Oxford Economics'!$A$6:$AZ$6,0),MATCH(P$5&amp;"",'Oxford Economics'!$A$6:$AZ$6,0))),'Oxford Economics'!$A$7:$A$1000,$C56,'Oxford Economics'!$B$7:$B$1000,Settings!$B$19)))),""))</f>
        <v>92604.17</v>
      </c>
      <c r="Q56" s="38" t="n">
        <f aca="false">IF($A56="","",IFERROR(1/(1/IF($B56="Residential",SUMIFS(INDEX('Oxford Economics'!$A$7:$AZ$1000,0,IFERROR(MATCH(Q$5,'Oxford Economics'!$A$6:$AZ$6,0),MATCH(Q$5&amp;"",'Oxford Economics'!$A$6:$AZ$6,0))),'Oxford Economics'!$A$7:$A$1000,$C56,'Oxford Economics'!$B$7:$B$1000,Settings!$B$13)-SUMIFS(INDEX('Oxford Economics'!$A$7:$AZ$1000,0,IFERROR(MATCH(Q$5,'Oxford Economics'!$A$6:$AZ$6,0),MATCH(Q$5&amp;"",'Oxford Economics'!$A$6:$AZ$6,0))),'Oxford Economics'!$A$7:$A$1000,$C56,'Oxford Economics'!$B$7:$B$1000,Settings!$B$15),SUMIFS(INDEX('Oxford Economics'!$A$7:$AZ$1000,0,IFERROR(MATCH(Q$5,'Oxford Economics'!$A$6:$AZ$6,0),MATCH(Q$5&amp;"",'Oxford Economics'!$A$6:$AZ$6,0))),'Oxford Economics'!$A$7:$A$1000,$C56,'Oxford Economics'!$B$7:$B$1000,Settings!$B$15)+SUMIFS(INDEX('Oxford Economics'!$A$7:$AZ$1000,0,IFERROR(MATCH(Q$5,'Oxford Economics'!$A$6:$AZ$6,0),MATCH(Q$5&amp;"",'Oxford Economics'!$A$6:$AZ$6,0))),'Oxford Economics'!$A$7:$A$1000,$C56,'Oxford Economics'!$B$7:$B$1000,Settings!$B$17)+IF(Settings!$B$19="",0,SUMIFS(INDEX('Oxford Economics'!$A$7:$AZ$1000,0,IFERROR(MATCH(Q$5,'Oxford Economics'!$A$6:$AZ$6,0),MATCH(Q$5&amp;"",'Oxford Economics'!$A$6:$AZ$6,0))),'Oxford Economics'!$A$7:$A$1000,$C56,'Oxford Economics'!$B$7:$B$1000,Settings!$B$19)))),""))</f>
        <v>88470.63</v>
      </c>
      <c r="R56" s="38" t="n">
        <f aca="false">IF($A56="","",IFERROR(1/(1/IF($B56="Residential",SUMIFS(INDEX('Oxford Economics'!$A$7:$AZ$1000,0,IFERROR(MATCH(R$5,'Oxford Economics'!$A$6:$AZ$6,0),MATCH(R$5&amp;"",'Oxford Economics'!$A$6:$AZ$6,0))),'Oxford Economics'!$A$7:$A$1000,$C56,'Oxford Economics'!$B$7:$B$1000,Settings!$B$13)-SUMIFS(INDEX('Oxford Economics'!$A$7:$AZ$1000,0,IFERROR(MATCH(R$5,'Oxford Economics'!$A$6:$AZ$6,0),MATCH(R$5&amp;"",'Oxford Economics'!$A$6:$AZ$6,0))),'Oxford Economics'!$A$7:$A$1000,$C56,'Oxford Economics'!$B$7:$B$1000,Settings!$B$15),SUMIFS(INDEX('Oxford Economics'!$A$7:$AZ$1000,0,IFERROR(MATCH(R$5,'Oxford Economics'!$A$6:$AZ$6,0),MATCH(R$5&amp;"",'Oxford Economics'!$A$6:$AZ$6,0))),'Oxford Economics'!$A$7:$A$1000,$C56,'Oxford Economics'!$B$7:$B$1000,Settings!$B$15)+SUMIFS(INDEX('Oxford Economics'!$A$7:$AZ$1000,0,IFERROR(MATCH(R$5,'Oxford Economics'!$A$6:$AZ$6,0),MATCH(R$5&amp;"",'Oxford Economics'!$A$6:$AZ$6,0))),'Oxford Economics'!$A$7:$A$1000,$C56,'Oxford Economics'!$B$7:$B$1000,Settings!$B$17)+IF(Settings!$B$19="",0,SUMIFS(INDEX('Oxford Economics'!$A$7:$AZ$1000,0,IFERROR(MATCH(R$5,'Oxford Economics'!$A$6:$AZ$6,0),MATCH(R$5&amp;"",'Oxford Economics'!$A$6:$AZ$6,0))),'Oxford Economics'!$A$7:$A$1000,$C56,'Oxford Economics'!$B$7:$B$1000,Settings!$B$19)))),""))</f>
        <v>80855.95</v>
      </c>
      <c r="S56" s="38" t="n">
        <f aca="false">IF($A56="","",IFERROR(1/(1/IF($B56="Residential",SUMIFS(INDEX('Oxford Economics'!$A$7:$AZ$1000,0,IFERROR(MATCH(S$5,'Oxford Economics'!$A$6:$AZ$6,0),MATCH(S$5&amp;"",'Oxford Economics'!$A$6:$AZ$6,0))),'Oxford Economics'!$A$7:$A$1000,$C56,'Oxford Economics'!$B$7:$B$1000,Settings!$B$13)-SUMIFS(INDEX('Oxford Economics'!$A$7:$AZ$1000,0,IFERROR(MATCH(S$5,'Oxford Economics'!$A$6:$AZ$6,0),MATCH(S$5&amp;"",'Oxford Economics'!$A$6:$AZ$6,0))),'Oxford Economics'!$A$7:$A$1000,$C56,'Oxford Economics'!$B$7:$B$1000,Settings!$B$15),SUMIFS(INDEX('Oxford Economics'!$A$7:$AZ$1000,0,IFERROR(MATCH(S$5,'Oxford Economics'!$A$6:$AZ$6,0),MATCH(S$5&amp;"",'Oxford Economics'!$A$6:$AZ$6,0))),'Oxford Economics'!$A$7:$A$1000,$C56,'Oxford Economics'!$B$7:$B$1000,Settings!$B$15)+SUMIFS(INDEX('Oxford Economics'!$A$7:$AZ$1000,0,IFERROR(MATCH(S$5,'Oxford Economics'!$A$6:$AZ$6,0),MATCH(S$5&amp;"",'Oxford Economics'!$A$6:$AZ$6,0))),'Oxford Economics'!$A$7:$A$1000,$C56,'Oxford Economics'!$B$7:$B$1000,Settings!$B$17)+IF(Settings!$B$19="",0,SUMIFS(INDEX('Oxford Economics'!$A$7:$AZ$1000,0,IFERROR(MATCH(S$5,'Oxford Economics'!$A$6:$AZ$6,0),MATCH(S$5&amp;"",'Oxford Economics'!$A$6:$AZ$6,0))),'Oxford Economics'!$A$7:$A$1000,$C56,'Oxford Economics'!$B$7:$B$1000,Settings!$B$19)))),""))</f>
        <v>82781.23</v>
      </c>
      <c r="T56" s="38" t="n">
        <f aca="false">IF($A56="","",IFERROR(1/(1/IF($B56="Residential",SUMIFS(INDEX('Oxford Economics'!$A$7:$AZ$1000,0,IFERROR(MATCH(T$5,'Oxford Economics'!$A$6:$AZ$6,0),MATCH(T$5&amp;"",'Oxford Economics'!$A$6:$AZ$6,0))),'Oxford Economics'!$A$7:$A$1000,$C56,'Oxford Economics'!$B$7:$B$1000,Settings!$B$13)-SUMIFS(INDEX('Oxford Economics'!$A$7:$AZ$1000,0,IFERROR(MATCH(T$5,'Oxford Economics'!$A$6:$AZ$6,0),MATCH(T$5&amp;"",'Oxford Economics'!$A$6:$AZ$6,0))),'Oxford Economics'!$A$7:$A$1000,$C56,'Oxford Economics'!$B$7:$B$1000,Settings!$B$15),SUMIFS(INDEX('Oxford Economics'!$A$7:$AZ$1000,0,IFERROR(MATCH(T$5,'Oxford Economics'!$A$6:$AZ$6,0),MATCH(T$5&amp;"",'Oxford Economics'!$A$6:$AZ$6,0))),'Oxford Economics'!$A$7:$A$1000,$C56,'Oxford Economics'!$B$7:$B$1000,Settings!$B$15)+SUMIFS(INDEX('Oxford Economics'!$A$7:$AZ$1000,0,IFERROR(MATCH(T$5,'Oxford Economics'!$A$6:$AZ$6,0),MATCH(T$5&amp;"",'Oxford Economics'!$A$6:$AZ$6,0))),'Oxford Economics'!$A$7:$A$1000,$C56,'Oxford Economics'!$B$7:$B$1000,Settings!$B$17)+IF(Settings!$B$19="",0,SUMIFS(INDEX('Oxford Economics'!$A$7:$AZ$1000,0,IFERROR(MATCH(T$5,'Oxford Economics'!$A$6:$AZ$6,0),MATCH(T$5&amp;"",'Oxford Economics'!$A$6:$AZ$6,0))),'Oxford Economics'!$A$7:$A$1000,$C56,'Oxford Economics'!$B$7:$B$1000,Settings!$B$19)))),""))</f>
        <v>83354.14</v>
      </c>
      <c r="U56" s="38" t="n">
        <f aca="false">IF($A56="","",IFERROR(1/(1/IF($B56="Residential",SUMIFS(INDEX('Oxford Economics'!$A$7:$AZ$1000,0,IFERROR(MATCH(U$5,'Oxford Economics'!$A$6:$AZ$6,0),MATCH(U$5&amp;"",'Oxford Economics'!$A$6:$AZ$6,0))),'Oxford Economics'!$A$7:$A$1000,$C56,'Oxford Economics'!$B$7:$B$1000,Settings!$B$13)-SUMIFS(INDEX('Oxford Economics'!$A$7:$AZ$1000,0,IFERROR(MATCH(U$5,'Oxford Economics'!$A$6:$AZ$6,0),MATCH(U$5&amp;"",'Oxford Economics'!$A$6:$AZ$6,0))),'Oxford Economics'!$A$7:$A$1000,$C56,'Oxford Economics'!$B$7:$B$1000,Settings!$B$15),SUMIFS(INDEX('Oxford Economics'!$A$7:$AZ$1000,0,IFERROR(MATCH(U$5,'Oxford Economics'!$A$6:$AZ$6,0),MATCH(U$5&amp;"",'Oxford Economics'!$A$6:$AZ$6,0))),'Oxford Economics'!$A$7:$A$1000,$C56,'Oxford Economics'!$B$7:$B$1000,Settings!$B$15)+SUMIFS(INDEX('Oxford Economics'!$A$7:$AZ$1000,0,IFERROR(MATCH(U$5,'Oxford Economics'!$A$6:$AZ$6,0),MATCH(U$5&amp;"",'Oxford Economics'!$A$6:$AZ$6,0))),'Oxford Economics'!$A$7:$A$1000,$C56,'Oxford Economics'!$B$7:$B$1000,Settings!$B$17)+IF(Settings!$B$19="",0,SUMIFS(INDEX('Oxford Economics'!$A$7:$AZ$1000,0,IFERROR(MATCH(U$5,'Oxford Economics'!$A$6:$AZ$6,0),MATCH(U$5&amp;"",'Oxford Economics'!$A$6:$AZ$6,0))),'Oxford Economics'!$A$7:$A$1000,$C56,'Oxford Economics'!$B$7:$B$1000,Settings!$B$19)))),""))</f>
        <v>79176.16</v>
      </c>
      <c r="V56" s="38" t="n">
        <f aca="false">IF($A56="","",IFERROR(1/(1/IF($B56="Residential",SUMIFS(INDEX('Oxford Economics'!$A$7:$AZ$1000,0,IFERROR(MATCH(V$5,'Oxford Economics'!$A$6:$AZ$6,0),MATCH(V$5&amp;"",'Oxford Economics'!$A$6:$AZ$6,0))),'Oxford Economics'!$A$7:$A$1000,$C56,'Oxford Economics'!$B$7:$B$1000,Settings!$B$13)-SUMIFS(INDEX('Oxford Economics'!$A$7:$AZ$1000,0,IFERROR(MATCH(V$5,'Oxford Economics'!$A$6:$AZ$6,0),MATCH(V$5&amp;"",'Oxford Economics'!$A$6:$AZ$6,0))),'Oxford Economics'!$A$7:$A$1000,$C56,'Oxford Economics'!$B$7:$B$1000,Settings!$B$15),SUMIFS(INDEX('Oxford Economics'!$A$7:$AZ$1000,0,IFERROR(MATCH(V$5,'Oxford Economics'!$A$6:$AZ$6,0),MATCH(V$5&amp;"",'Oxford Economics'!$A$6:$AZ$6,0))),'Oxford Economics'!$A$7:$A$1000,$C56,'Oxford Economics'!$B$7:$B$1000,Settings!$B$15)+SUMIFS(INDEX('Oxford Economics'!$A$7:$AZ$1000,0,IFERROR(MATCH(V$5,'Oxford Economics'!$A$6:$AZ$6,0),MATCH(V$5&amp;"",'Oxford Economics'!$A$6:$AZ$6,0))),'Oxford Economics'!$A$7:$A$1000,$C56,'Oxford Economics'!$B$7:$B$1000,Settings!$B$17)+IF(Settings!$B$19="",0,SUMIFS(INDEX('Oxford Economics'!$A$7:$AZ$1000,0,IFERROR(MATCH(V$5,'Oxford Economics'!$A$6:$AZ$6,0),MATCH(V$5&amp;"",'Oxford Economics'!$A$6:$AZ$6,0))),'Oxford Economics'!$A$7:$A$1000,$C56,'Oxford Economics'!$B$7:$B$1000,Settings!$B$19)))),""))</f>
        <v>77358.03</v>
      </c>
      <c r="W56" s="38" t="n">
        <f aca="false">IF($A56="","",IFERROR(1/(1/IF($B56="Residential",SUMIFS(INDEX('Oxford Economics'!$A$7:$AZ$1000,0,IFERROR(MATCH(W$5,'Oxford Economics'!$A$6:$AZ$6,0),MATCH(W$5&amp;"",'Oxford Economics'!$A$6:$AZ$6,0))),'Oxford Economics'!$A$7:$A$1000,$C56,'Oxford Economics'!$B$7:$B$1000,Settings!$B$13)-SUMIFS(INDEX('Oxford Economics'!$A$7:$AZ$1000,0,IFERROR(MATCH(W$5,'Oxford Economics'!$A$6:$AZ$6,0),MATCH(W$5&amp;"",'Oxford Economics'!$A$6:$AZ$6,0))),'Oxford Economics'!$A$7:$A$1000,$C56,'Oxford Economics'!$B$7:$B$1000,Settings!$B$15),SUMIFS(INDEX('Oxford Economics'!$A$7:$AZ$1000,0,IFERROR(MATCH(W$5,'Oxford Economics'!$A$6:$AZ$6,0),MATCH(W$5&amp;"",'Oxford Economics'!$A$6:$AZ$6,0))),'Oxford Economics'!$A$7:$A$1000,$C56,'Oxford Economics'!$B$7:$B$1000,Settings!$B$15)+SUMIFS(INDEX('Oxford Economics'!$A$7:$AZ$1000,0,IFERROR(MATCH(W$5,'Oxford Economics'!$A$6:$AZ$6,0),MATCH(W$5&amp;"",'Oxford Economics'!$A$6:$AZ$6,0))),'Oxford Economics'!$A$7:$A$1000,$C56,'Oxford Economics'!$B$7:$B$1000,Settings!$B$17)+IF(Settings!$B$19="",0,SUMIFS(INDEX('Oxford Economics'!$A$7:$AZ$1000,0,IFERROR(MATCH(W$5,'Oxford Economics'!$A$6:$AZ$6,0),MATCH(W$5&amp;"",'Oxford Economics'!$A$6:$AZ$6,0))),'Oxford Economics'!$A$7:$A$1000,$C56,'Oxford Economics'!$B$7:$B$1000,Settings!$B$19)))),""))</f>
        <v>77890.57</v>
      </c>
      <c r="X56" s="38" t="n">
        <f aca="false">IF($A56="","",IFERROR(1/(1/IF($B56="Residential",SUMIFS(INDEX('Oxford Economics'!$A$7:$AZ$1000,0,IFERROR(MATCH(X$5,'Oxford Economics'!$A$6:$AZ$6,0),MATCH(X$5&amp;"",'Oxford Economics'!$A$6:$AZ$6,0))),'Oxford Economics'!$A$7:$A$1000,$C56,'Oxford Economics'!$B$7:$B$1000,Settings!$B$13)-SUMIFS(INDEX('Oxford Economics'!$A$7:$AZ$1000,0,IFERROR(MATCH(X$5,'Oxford Economics'!$A$6:$AZ$6,0),MATCH(X$5&amp;"",'Oxford Economics'!$A$6:$AZ$6,0))),'Oxford Economics'!$A$7:$A$1000,$C56,'Oxford Economics'!$B$7:$B$1000,Settings!$B$15),SUMIFS(INDEX('Oxford Economics'!$A$7:$AZ$1000,0,IFERROR(MATCH(X$5,'Oxford Economics'!$A$6:$AZ$6,0),MATCH(X$5&amp;"",'Oxford Economics'!$A$6:$AZ$6,0))),'Oxford Economics'!$A$7:$A$1000,$C56,'Oxford Economics'!$B$7:$B$1000,Settings!$B$15)+SUMIFS(INDEX('Oxford Economics'!$A$7:$AZ$1000,0,IFERROR(MATCH(X$5,'Oxford Economics'!$A$6:$AZ$6,0),MATCH(X$5&amp;"",'Oxford Economics'!$A$6:$AZ$6,0))),'Oxford Economics'!$A$7:$A$1000,$C56,'Oxford Economics'!$B$7:$B$1000,Settings!$B$17)+IF(Settings!$B$19="",0,SUMIFS(INDEX('Oxford Economics'!$A$7:$AZ$1000,0,IFERROR(MATCH(X$5,'Oxford Economics'!$A$6:$AZ$6,0),MATCH(X$5&amp;"",'Oxford Economics'!$A$6:$AZ$6,0))),'Oxford Economics'!$A$7:$A$1000,$C56,'Oxford Economics'!$B$7:$B$1000,Settings!$B$19)))),""))</f>
        <v>80942.99</v>
      </c>
      <c r="Y56" s="38" t="n">
        <f aca="false">IF($A56="","",IFERROR(1/(1/IF($B56="Residential",SUMIFS(INDEX('Oxford Economics'!$A$7:$AZ$1000,0,IFERROR(MATCH(Y$5,'Oxford Economics'!$A$6:$AZ$6,0),MATCH(Y$5&amp;"",'Oxford Economics'!$A$6:$AZ$6,0))),'Oxford Economics'!$A$7:$A$1000,$C56,'Oxford Economics'!$B$7:$B$1000,Settings!$B$13)-SUMIFS(INDEX('Oxford Economics'!$A$7:$AZ$1000,0,IFERROR(MATCH(Y$5,'Oxford Economics'!$A$6:$AZ$6,0),MATCH(Y$5&amp;"",'Oxford Economics'!$A$6:$AZ$6,0))),'Oxford Economics'!$A$7:$A$1000,$C56,'Oxford Economics'!$B$7:$B$1000,Settings!$B$15),SUMIFS(INDEX('Oxford Economics'!$A$7:$AZ$1000,0,IFERROR(MATCH(Y$5,'Oxford Economics'!$A$6:$AZ$6,0),MATCH(Y$5&amp;"",'Oxford Economics'!$A$6:$AZ$6,0))),'Oxford Economics'!$A$7:$A$1000,$C56,'Oxford Economics'!$B$7:$B$1000,Settings!$B$15)+SUMIFS(INDEX('Oxford Economics'!$A$7:$AZ$1000,0,IFERROR(MATCH(Y$5,'Oxford Economics'!$A$6:$AZ$6,0),MATCH(Y$5&amp;"",'Oxford Economics'!$A$6:$AZ$6,0))),'Oxford Economics'!$A$7:$A$1000,$C56,'Oxford Economics'!$B$7:$B$1000,Settings!$B$17)+IF(Settings!$B$19="",0,SUMIFS(INDEX('Oxford Economics'!$A$7:$AZ$1000,0,IFERROR(MATCH(Y$5,'Oxford Economics'!$A$6:$AZ$6,0),MATCH(Y$5&amp;"",'Oxford Economics'!$A$6:$AZ$6,0))),'Oxford Economics'!$A$7:$A$1000,$C56,'Oxford Economics'!$B$7:$B$1000,Settings!$B$19)))),""))</f>
        <v>84182.4</v>
      </c>
      <c r="Z56" s="38" t="n">
        <f aca="false">IF($A56="","",IFERROR(1/(1/IF($B56="Residential",SUMIFS(INDEX('Oxford Economics'!$A$7:$AZ$1000,0,IFERROR(MATCH(Z$5,'Oxford Economics'!$A$6:$AZ$6,0),MATCH(Z$5&amp;"",'Oxford Economics'!$A$6:$AZ$6,0))),'Oxford Economics'!$A$7:$A$1000,$C56,'Oxford Economics'!$B$7:$B$1000,Settings!$B$13)-SUMIFS(INDEX('Oxford Economics'!$A$7:$AZ$1000,0,IFERROR(MATCH(Z$5,'Oxford Economics'!$A$6:$AZ$6,0),MATCH(Z$5&amp;"",'Oxford Economics'!$A$6:$AZ$6,0))),'Oxford Economics'!$A$7:$A$1000,$C56,'Oxford Economics'!$B$7:$B$1000,Settings!$B$15),SUMIFS(INDEX('Oxford Economics'!$A$7:$AZ$1000,0,IFERROR(MATCH(Z$5,'Oxford Economics'!$A$6:$AZ$6,0),MATCH(Z$5&amp;"",'Oxford Economics'!$A$6:$AZ$6,0))),'Oxford Economics'!$A$7:$A$1000,$C56,'Oxford Economics'!$B$7:$B$1000,Settings!$B$15)+SUMIFS(INDEX('Oxford Economics'!$A$7:$AZ$1000,0,IFERROR(MATCH(Z$5,'Oxford Economics'!$A$6:$AZ$6,0),MATCH(Z$5&amp;"",'Oxford Economics'!$A$6:$AZ$6,0))),'Oxford Economics'!$A$7:$A$1000,$C56,'Oxford Economics'!$B$7:$B$1000,Settings!$B$17)+IF(Settings!$B$19="",0,SUMIFS(INDEX('Oxford Economics'!$A$7:$AZ$1000,0,IFERROR(MATCH(Z$5,'Oxford Economics'!$A$6:$AZ$6,0),MATCH(Z$5&amp;"",'Oxford Economics'!$A$6:$AZ$6,0))),'Oxford Economics'!$A$7:$A$1000,$C56,'Oxford Economics'!$B$7:$B$1000,Settings!$B$19)))),""))</f>
        <v>88007.92</v>
      </c>
      <c r="AA56" s="38" t="n">
        <f aca="false">IF($A56="","",IFERROR(1/(1/IF($B56="Residential",SUMIFS(INDEX('Oxford Economics'!$A$7:$AZ$1000,0,IFERROR(MATCH(AA$5,'Oxford Economics'!$A$6:$AZ$6,0),MATCH(AA$5&amp;"",'Oxford Economics'!$A$6:$AZ$6,0))),'Oxford Economics'!$A$7:$A$1000,$C56,'Oxford Economics'!$B$7:$B$1000,Settings!$B$13)-SUMIFS(INDEX('Oxford Economics'!$A$7:$AZ$1000,0,IFERROR(MATCH(AA$5,'Oxford Economics'!$A$6:$AZ$6,0),MATCH(AA$5&amp;"",'Oxford Economics'!$A$6:$AZ$6,0))),'Oxford Economics'!$A$7:$A$1000,$C56,'Oxford Economics'!$B$7:$B$1000,Settings!$B$15),SUMIFS(INDEX('Oxford Economics'!$A$7:$AZ$1000,0,IFERROR(MATCH(AA$5,'Oxford Economics'!$A$6:$AZ$6,0),MATCH(AA$5&amp;"",'Oxford Economics'!$A$6:$AZ$6,0))),'Oxford Economics'!$A$7:$A$1000,$C56,'Oxford Economics'!$B$7:$B$1000,Settings!$B$15)+SUMIFS(INDEX('Oxford Economics'!$A$7:$AZ$1000,0,IFERROR(MATCH(AA$5,'Oxford Economics'!$A$6:$AZ$6,0),MATCH(AA$5&amp;"",'Oxford Economics'!$A$6:$AZ$6,0))),'Oxford Economics'!$A$7:$A$1000,$C56,'Oxford Economics'!$B$7:$B$1000,Settings!$B$17)+IF(Settings!$B$19="",0,SUMIFS(INDEX('Oxford Economics'!$A$7:$AZ$1000,0,IFERROR(MATCH(AA$5,'Oxford Economics'!$A$6:$AZ$6,0),MATCH(AA$5&amp;"",'Oxford Economics'!$A$6:$AZ$6,0))),'Oxford Economics'!$A$7:$A$1000,$C56,'Oxford Economics'!$B$7:$B$1000,Settings!$B$19)))),""))</f>
        <v>89561.24</v>
      </c>
      <c r="AB56" s="38" t="n">
        <f aca="false">IF($A56="","",IFERROR(1/(1/IF($B56="Residential",SUMIFS(INDEX('Oxford Economics'!$A$7:$AZ$1000,0,IFERROR(MATCH(AB$5,'Oxford Economics'!$A$6:$AZ$6,0),MATCH(AB$5&amp;"",'Oxford Economics'!$A$6:$AZ$6,0))),'Oxford Economics'!$A$7:$A$1000,$C56,'Oxford Economics'!$B$7:$B$1000,Settings!$B$12)-SUMIFS(INDEX('Oxford Economics'!$A$7:$AZ$1000,0,IFERROR(MATCH(AB$5,'Oxford Economics'!$A$6:$AZ$6,0),MATCH(AB$5&amp;"",'Oxford Economics'!$A$6:$AZ$6,0))),'Oxford Economics'!$A$7:$A$1000,$C56,'Oxford Economics'!$B$7:$B$1000,Settings!$B$14),SUMIFS(INDEX('Oxford Economics'!$A$7:$AZ$1000,0,IFERROR(MATCH(AB$5,'Oxford Economics'!$A$6:$AZ$6,0),MATCH(AB$5&amp;"",'Oxford Economics'!$A$6:$AZ$6,0))),'Oxford Economics'!$A$7:$A$1000,$C56,'Oxford Economics'!$B$7:$B$1000,Settings!$B$14)+SUMIFS(INDEX('Oxford Economics'!$A$7:$AZ$1000,0,IFERROR(MATCH(AB$5,'Oxford Economics'!$A$6:$AZ$6,0),MATCH(AB$5&amp;"",'Oxford Economics'!$A$6:$AZ$6,0))),'Oxford Economics'!$A$7:$A$1000,$C56,'Oxford Economics'!$B$7:$B$1000,Settings!$B$16)+IF(Settings!$B$18="",0,SUMIFS(INDEX('Oxford Economics'!$A$7:$AZ$1000,0,IFERROR(MATCH(AB$5,'Oxford Economics'!$A$6:$AZ$6,0),MATCH(AB$5&amp;"",'Oxford Economics'!$A$6:$AZ$6,0))),'Oxford Economics'!$A$7:$A$1000,$C56,'Oxford Economics'!$B$7:$B$1000,Settings!$B$18)))),""))</f>
        <v>33731.23</v>
      </c>
      <c r="AC56" s="38" t="n">
        <f aca="false">IF($A56="","",IFERROR(1/(1/IF($B56="Residential",SUMIFS(INDEX('Oxford Economics'!$A$7:$AZ$1000,0,IFERROR(MATCH(AC$5,'Oxford Economics'!$A$6:$AZ$6,0),MATCH(AC$5&amp;"",'Oxford Economics'!$A$6:$AZ$6,0))),'Oxford Economics'!$A$7:$A$1000,$C56,'Oxford Economics'!$B$7:$B$1000,Settings!$B$12)-SUMIFS(INDEX('Oxford Economics'!$A$7:$AZ$1000,0,IFERROR(MATCH(AC$5,'Oxford Economics'!$A$6:$AZ$6,0),MATCH(AC$5&amp;"",'Oxford Economics'!$A$6:$AZ$6,0))),'Oxford Economics'!$A$7:$A$1000,$C56,'Oxford Economics'!$B$7:$B$1000,Settings!$B$14),SUMIFS(INDEX('Oxford Economics'!$A$7:$AZ$1000,0,IFERROR(MATCH(AC$5,'Oxford Economics'!$A$6:$AZ$6,0),MATCH(AC$5&amp;"",'Oxford Economics'!$A$6:$AZ$6,0))),'Oxford Economics'!$A$7:$A$1000,$C56,'Oxford Economics'!$B$7:$B$1000,Settings!$B$14)+SUMIFS(INDEX('Oxford Economics'!$A$7:$AZ$1000,0,IFERROR(MATCH(AC$5,'Oxford Economics'!$A$6:$AZ$6,0),MATCH(AC$5&amp;"",'Oxford Economics'!$A$6:$AZ$6,0))),'Oxford Economics'!$A$7:$A$1000,$C56,'Oxford Economics'!$B$7:$B$1000,Settings!$B$16)+IF(Settings!$B$18="",0,SUMIFS(INDEX('Oxford Economics'!$A$7:$AZ$1000,0,IFERROR(MATCH(AC$5,'Oxford Economics'!$A$6:$AZ$6,0),MATCH(AC$5&amp;"",'Oxford Economics'!$A$6:$AZ$6,0))),'Oxford Economics'!$A$7:$A$1000,$C56,'Oxford Economics'!$B$7:$B$1000,Settings!$B$18)))),""))</f>
        <v>33254</v>
      </c>
      <c r="AD56" s="38" t="n">
        <f aca="false">IF($A56="","",IFERROR(1/(1/IF($B56="Residential",SUMIFS(INDEX('Oxford Economics'!$A$7:$AZ$1000,0,IFERROR(MATCH(AD$5,'Oxford Economics'!$A$6:$AZ$6,0),MATCH(AD$5&amp;"",'Oxford Economics'!$A$6:$AZ$6,0))),'Oxford Economics'!$A$7:$A$1000,$C56,'Oxford Economics'!$B$7:$B$1000,Settings!$B$12)-SUMIFS(INDEX('Oxford Economics'!$A$7:$AZ$1000,0,IFERROR(MATCH(AD$5,'Oxford Economics'!$A$6:$AZ$6,0),MATCH(AD$5&amp;"",'Oxford Economics'!$A$6:$AZ$6,0))),'Oxford Economics'!$A$7:$A$1000,$C56,'Oxford Economics'!$B$7:$B$1000,Settings!$B$14),SUMIFS(INDEX('Oxford Economics'!$A$7:$AZ$1000,0,IFERROR(MATCH(AD$5,'Oxford Economics'!$A$6:$AZ$6,0),MATCH(AD$5&amp;"",'Oxford Economics'!$A$6:$AZ$6,0))),'Oxford Economics'!$A$7:$A$1000,$C56,'Oxford Economics'!$B$7:$B$1000,Settings!$B$14)+SUMIFS(INDEX('Oxford Economics'!$A$7:$AZ$1000,0,IFERROR(MATCH(AD$5,'Oxford Economics'!$A$6:$AZ$6,0),MATCH(AD$5&amp;"",'Oxford Economics'!$A$6:$AZ$6,0))),'Oxford Economics'!$A$7:$A$1000,$C56,'Oxford Economics'!$B$7:$B$1000,Settings!$B$16)+IF(Settings!$B$18="",0,SUMIFS(INDEX('Oxford Economics'!$A$7:$AZ$1000,0,IFERROR(MATCH(AD$5,'Oxford Economics'!$A$6:$AZ$6,0),MATCH(AD$5&amp;"",'Oxford Economics'!$A$6:$AZ$6,0))),'Oxford Economics'!$A$7:$A$1000,$C56,'Oxford Economics'!$B$7:$B$1000,Settings!$B$18)))),""))</f>
        <v>27477.8</v>
      </c>
      <c r="AE56" s="38" t="n">
        <f aca="false">IF($A56="","",IFERROR(1/(1/IF($B56="Residential",SUMIFS(INDEX('Oxford Economics'!$A$7:$AZ$1000,0,IFERROR(MATCH(AE$5,'Oxford Economics'!$A$6:$AZ$6,0),MATCH(AE$5&amp;"",'Oxford Economics'!$A$6:$AZ$6,0))),'Oxford Economics'!$A$7:$A$1000,$C56,'Oxford Economics'!$B$7:$B$1000,Settings!$B$12)-SUMIFS(INDEX('Oxford Economics'!$A$7:$AZ$1000,0,IFERROR(MATCH(AE$5,'Oxford Economics'!$A$6:$AZ$6,0),MATCH(AE$5&amp;"",'Oxford Economics'!$A$6:$AZ$6,0))),'Oxford Economics'!$A$7:$A$1000,$C56,'Oxford Economics'!$B$7:$B$1000,Settings!$B$14),SUMIFS(INDEX('Oxford Economics'!$A$7:$AZ$1000,0,IFERROR(MATCH(AE$5,'Oxford Economics'!$A$6:$AZ$6,0),MATCH(AE$5&amp;"",'Oxford Economics'!$A$6:$AZ$6,0))),'Oxford Economics'!$A$7:$A$1000,$C56,'Oxford Economics'!$B$7:$B$1000,Settings!$B$14)+SUMIFS(INDEX('Oxford Economics'!$A$7:$AZ$1000,0,IFERROR(MATCH(AE$5,'Oxford Economics'!$A$6:$AZ$6,0),MATCH(AE$5&amp;"",'Oxford Economics'!$A$6:$AZ$6,0))),'Oxford Economics'!$A$7:$A$1000,$C56,'Oxford Economics'!$B$7:$B$1000,Settings!$B$16)+IF(Settings!$B$18="",0,SUMIFS(INDEX('Oxford Economics'!$A$7:$AZ$1000,0,IFERROR(MATCH(AE$5,'Oxford Economics'!$A$6:$AZ$6,0),MATCH(AE$5&amp;"",'Oxford Economics'!$A$6:$AZ$6,0))),'Oxford Economics'!$A$7:$A$1000,$C56,'Oxford Economics'!$B$7:$B$1000,Settings!$B$18)))),""))</f>
        <v>22422.55</v>
      </c>
      <c r="AF56" s="38" t="n">
        <f aca="false">IF($A56="","",IFERROR(1/(1/IF($B56="Residential",SUMIFS(INDEX('Oxford Economics'!$A$7:$AZ$1000,0,IFERROR(MATCH(AF$5,'Oxford Economics'!$A$6:$AZ$6,0),MATCH(AF$5&amp;"",'Oxford Economics'!$A$6:$AZ$6,0))),'Oxford Economics'!$A$7:$A$1000,$C56,'Oxford Economics'!$B$7:$B$1000,Settings!$B$12)-SUMIFS(INDEX('Oxford Economics'!$A$7:$AZ$1000,0,IFERROR(MATCH(AF$5,'Oxford Economics'!$A$6:$AZ$6,0),MATCH(AF$5&amp;"",'Oxford Economics'!$A$6:$AZ$6,0))),'Oxford Economics'!$A$7:$A$1000,$C56,'Oxford Economics'!$B$7:$B$1000,Settings!$B$14),SUMIFS(INDEX('Oxford Economics'!$A$7:$AZ$1000,0,IFERROR(MATCH(AF$5,'Oxford Economics'!$A$6:$AZ$6,0),MATCH(AF$5&amp;"",'Oxford Economics'!$A$6:$AZ$6,0))),'Oxford Economics'!$A$7:$A$1000,$C56,'Oxford Economics'!$B$7:$B$1000,Settings!$B$14)+SUMIFS(INDEX('Oxford Economics'!$A$7:$AZ$1000,0,IFERROR(MATCH(AF$5,'Oxford Economics'!$A$6:$AZ$6,0),MATCH(AF$5&amp;"",'Oxford Economics'!$A$6:$AZ$6,0))),'Oxford Economics'!$A$7:$A$1000,$C56,'Oxford Economics'!$B$7:$B$1000,Settings!$B$16)+IF(Settings!$B$18="",0,SUMIFS(INDEX('Oxford Economics'!$A$7:$AZ$1000,0,IFERROR(MATCH(AF$5,'Oxford Economics'!$A$6:$AZ$6,0),MATCH(AF$5&amp;"",'Oxford Economics'!$A$6:$AZ$6,0))),'Oxford Economics'!$A$7:$A$1000,$C56,'Oxford Economics'!$B$7:$B$1000,Settings!$B$18)))),""))</f>
        <v>17454.47</v>
      </c>
      <c r="AG56" s="38" t="n">
        <f aca="false">IF($A56="","",IFERROR(1/(1/IF($B56="Residential",SUMIFS(INDEX('Oxford Economics'!$A$7:$AZ$1000,0,IFERROR(MATCH(AG$5,'Oxford Economics'!$A$6:$AZ$6,0),MATCH(AG$5&amp;"",'Oxford Economics'!$A$6:$AZ$6,0))),'Oxford Economics'!$A$7:$A$1000,$C56,'Oxford Economics'!$B$7:$B$1000,Settings!$B$12)-SUMIFS(INDEX('Oxford Economics'!$A$7:$AZ$1000,0,IFERROR(MATCH(AG$5,'Oxford Economics'!$A$6:$AZ$6,0),MATCH(AG$5&amp;"",'Oxford Economics'!$A$6:$AZ$6,0))),'Oxford Economics'!$A$7:$A$1000,$C56,'Oxford Economics'!$B$7:$B$1000,Settings!$B$14),SUMIFS(INDEX('Oxford Economics'!$A$7:$AZ$1000,0,IFERROR(MATCH(AG$5,'Oxford Economics'!$A$6:$AZ$6,0),MATCH(AG$5&amp;"",'Oxford Economics'!$A$6:$AZ$6,0))),'Oxford Economics'!$A$7:$A$1000,$C56,'Oxford Economics'!$B$7:$B$1000,Settings!$B$14)+SUMIFS(INDEX('Oxford Economics'!$A$7:$AZ$1000,0,IFERROR(MATCH(AG$5,'Oxford Economics'!$A$6:$AZ$6,0),MATCH(AG$5&amp;"",'Oxford Economics'!$A$6:$AZ$6,0))),'Oxford Economics'!$A$7:$A$1000,$C56,'Oxford Economics'!$B$7:$B$1000,Settings!$B$16)+IF(Settings!$B$18="",0,SUMIFS(INDEX('Oxford Economics'!$A$7:$AZ$1000,0,IFERROR(MATCH(AG$5,'Oxford Economics'!$A$6:$AZ$6,0),MATCH(AG$5&amp;"",'Oxford Economics'!$A$6:$AZ$6,0))),'Oxford Economics'!$A$7:$A$1000,$C56,'Oxford Economics'!$B$7:$B$1000,Settings!$B$18)))),""))</f>
        <v>16830.19</v>
      </c>
      <c r="AH56" s="38" t="n">
        <f aca="false">IF($A56="","",IFERROR(1/(1/IF($B56="Residential",SUMIFS(INDEX('Oxford Economics'!$A$7:$AZ$1000,0,IFERROR(MATCH(AH$5,'Oxford Economics'!$A$6:$AZ$6,0),MATCH(AH$5&amp;"",'Oxford Economics'!$A$6:$AZ$6,0))),'Oxford Economics'!$A$7:$A$1000,$C56,'Oxford Economics'!$B$7:$B$1000,Settings!$B$12)-SUMIFS(INDEX('Oxford Economics'!$A$7:$AZ$1000,0,IFERROR(MATCH(AH$5,'Oxford Economics'!$A$6:$AZ$6,0),MATCH(AH$5&amp;"",'Oxford Economics'!$A$6:$AZ$6,0))),'Oxford Economics'!$A$7:$A$1000,$C56,'Oxford Economics'!$B$7:$B$1000,Settings!$B$14),SUMIFS(INDEX('Oxford Economics'!$A$7:$AZ$1000,0,IFERROR(MATCH(AH$5,'Oxford Economics'!$A$6:$AZ$6,0),MATCH(AH$5&amp;"",'Oxford Economics'!$A$6:$AZ$6,0))),'Oxford Economics'!$A$7:$A$1000,$C56,'Oxford Economics'!$B$7:$B$1000,Settings!$B$14)+SUMIFS(INDEX('Oxford Economics'!$A$7:$AZ$1000,0,IFERROR(MATCH(AH$5,'Oxford Economics'!$A$6:$AZ$6,0),MATCH(AH$5&amp;"",'Oxford Economics'!$A$6:$AZ$6,0))),'Oxford Economics'!$A$7:$A$1000,$C56,'Oxford Economics'!$B$7:$B$1000,Settings!$B$16)+IF(Settings!$B$18="",0,SUMIFS(INDEX('Oxford Economics'!$A$7:$AZ$1000,0,IFERROR(MATCH(AH$5,'Oxford Economics'!$A$6:$AZ$6,0),MATCH(AH$5&amp;"",'Oxford Economics'!$A$6:$AZ$6,0))),'Oxford Economics'!$A$7:$A$1000,$C56,'Oxford Economics'!$B$7:$B$1000,Settings!$B$18)))),""))</f>
        <v>18104.66</v>
      </c>
      <c r="AI56" s="38" t="n">
        <f aca="false">IF($A56="","",IFERROR(1/(1/IF($B56="Residential",SUMIFS(INDEX('Oxford Economics'!$A$7:$AZ$1000,0,IFERROR(MATCH(AI$5,'Oxford Economics'!$A$6:$AZ$6,0),MATCH(AI$5&amp;"",'Oxford Economics'!$A$6:$AZ$6,0))),'Oxford Economics'!$A$7:$A$1000,$C56,'Oxford Economics'!$B$7:$B$1000,Settings!$B$12)-SUMIFS(INDEX('Oxford Economics'!$A$7:$AZ$1000,0,IFERROR(MATCH(AI$5,'Oxford Economics'!$A$6:$AZ$6,0),MATCH(AI$5&amp;"",'Oxford Economics'!$A$6:$AZ$6,0))),'Oxford Economics'!$A$7:$A$1000,$C56,'Oxford Economics'!$B$7:$B$1000,Settings!$B$14),SUMIFS(INDEX('Oxford Economics'!$A$7:$AZ$1000,0,IFERROR(MATCH(AI$5,'Oxford Economics'!$A$6:$AZ$6,0),MATCH(AI$5&amp;"",'Oxford Economics'!$A$6:$AZ$6,0))),'Oxford Economics'!$A$7:$A$1000,$C56,'Oxford Economics'!$B$7:$B$1000,Settings!$B$14)+SUMIFS(INDEX('Oxford Economics'!$A$7:$AZ$1000,0,IFERROR(MATCH(AI$5,'Oxford Economics'!$A$6:$AZ$6,0),MATCH(AI$5&amp;"",'Oxford Economics'!$A$6:$AZ$6,0))),'Oxford Economics'!$A$7:$A$1000,$C56,'Oxford Economics'!$B$7:$B$1000,Settings!$B$16)+IF(Settings!$B$18="",0,SUMIFS(INDEX('Oxford Economics'!$A$7:$AZ$1000,0,IFERROR(MATCH(AI$5,'Oxford Economics'!$A$6:$AZ$6,0),MATCH(AI$5&amp;"",'Oxford Economics'!$A$6:$AZ$6,0))),'Oxford Economics'!$A$7:$A$1000,$C56,'Oxford Economics'!$B$7:$B$1000,Settings!$B$18)))),""))</f>
        <v>18689.08</v>
      </c>
      <c r="AJ56" s="38" t="n">
        <f aca="false">IF($A56="","",IFERROR(1/(1/IF($B56="Residential",SUMIFS(INDEX('Oxford Economics'!$A$7:$AZ$1000,0,IFERROR(MATCH(AJ$5,'Oxford Economics'!$A$6:$AZ$6,0),MATCH(AJ$5&amp;"",'Oxford Economics'!$A$6:$AZ$6,0))),'Oxford Economics'!$A$7:$A$1000,$C56,'Oxford Economics'!$B$7:$B$1000,Settings!$B$12)-SUMIFS(INDEX('Oxford Economics'!$A$7:$AZ$1000,0,IFERROR(MATCH(AJ$5,'Oxford Economics'!$A$6:$AZ$6,0),MATCH(AJ$5&amp;"",'Oxford Economics'!$A$6:$AZ$6,0))),'Oxford Economics'!$A$7:$A$1000,$C56,'Oxford Economics'!$B$7:$B$1000,Settings!$B$14),SUMIFS(INDEX('Oxford Economics'!$A$7:$AZ$1000,0,IFERROR(MATCH(AJ$5,'Oxford Economics'!$A$6:$AZ$6,0),MATCH(AJ$5&amp;"",'Oxford Economics'!$A$6:$AZ$6,0))),'Oxford Economics'!$A$7:$A$1000,$C56,'Oxford Economics'!$B$7:$B$1000,Settings!$B$14)+SUMIFS(INDEX('Oxford Economics'!$A$7:$AZ$1000,0,IFERROR(MATCH(AJ$5,'Oxford Economics'!$A$6:$AZ$6,0),MATCH(AJ$5&amp;"",'Oxford Economics'!$A$6:$AZ$6,0))),'Oxford Economics'!$A$7:$A$1000,$C56,'Oxford Economics'!$B$7:$B$1000,Settings!$B$16)+IF(Settings!$B$18="",0,SUMIFS(INDEX('Oxford Economics'!$A$7:$AZ$1000,0,IFERROR(MATCH(AJ$5,'Oxford Economics'!$A$6:$AZ$6,0),MATCH(AJ$5&amp;"",'Oxford Economics'!$A$6:$AZ$6,0))),'Oxford Economics'!$A$7:$A$1000,$C56,'Oxford Economics'!$B$7:$B$1000,Settings!$B$18)))),""))</f>
        <v>19134.99</v>
      </c>
      <c r="AK56" s="38" t="n">
        <f aca="false">IF($A56="","",IFERROR(1/(1/IF($B56="Residential",SUMIFS(INDEX('Oxford Economics'!$A$7:$AZ$1000,0,IFERROR(MATCH(AK$5,'Oxford Economics'!$A$6:$AZ$6,0),MATCH(AK$5&amp;"",'Oxford Economics'!$A$6:$AZ$6,0))),'Oxford Economics'!$A$7:$A$1000,$C56,'Oxford Economics'!$B$7:$B$1000,Settings!$B$12)-SUMIFS(INDEX('Oxford Economics'!$A$7:$AZ$1000,0,IFERROR(MATCH(AK$5,'Oxford Economics'!$A$6:$AZ$6,0),MATCH(AK$5&amp;"",'Oxford Economics'!$A$6:$AZ$6,0))),'Oxford Economics'!$A$7:$A$1000,$C56,'Oxford Economics'!$B$7:$B$1000,Settings!$B$14),SUMIFS(INDEX('Oxford Economics'!$A$7:$AZ$1000,0,IFERROR(MATCH(AK$5,'Oxford Economics'!$A$6:$AZ$6,0),MATCH(AK$5&amp;"",'Oxford Economics'!$A$6:$AZ$6,0))),'Oxford Economics'!$A$7:$A$1000,$C56,'Oxford Economics'!$B$7:$B$1000,Settings!$B$14)+SUMIFS(INDEX('Oxford Economics'!$A$7:$AZ$1000,0,IFERROR(MATCH(AK$5,'Oxford Economics'!$A$6:$AZ$6,0),MATCH(AK$5&amp;"",'Oxford Economics'!$A$6:$AZ$6,0))),'Oxford Economics'!$A$7:$A$1000,$C56,'Oxford Economics'!$B$7:$B$1000,Settings!$B$16)+IF(Settings!$B$18="",0,SUMIFS(INDEX('Oxford Economics'!$A$7:$AZ$1000,0,IFERROR(MATCH(AK$5,'Oxford Economics'!$A$6:$AZ$6,0),MATCH(AK$5&amp;"",'Oxford Economics'!$A$6:$AZ$6,0))),'Oxford Economics'!$A$7:$A$1000,$C56,'Oxford Economics'!$B$7:$B$1000,Settings!$B$18)))),""))</f>
        <v>19723.51</v>
      </c>
      <c r="AL56" s="38" t="n">
        <f aca="false">IF($A56="","",IFERROR(1/(1/IF($B56="Residential",SUMIFS(INDEX('Oxford Economics'!$A$7:$AZ$1000,0,IFERROR(MATCH(AL$5,'Oxford Economics'!$A$6:$AZ$6,0),MATCH(AL$5&amp;"",'Oxford Economics'!$A$6:$AZ$6,0))),'Oxford Economics'!$A$7:$A$1000,$C56,'Oxford Economics'!$B$7:$B$1000,Settings!$B$12)-SUMIFS(INDEX('Oxford Economics'!$A$7:$AZ$1000,0,IFERROR(MATCH(AL$5,'Oxford Economics'!$A$6:$AZ$6,0),MATCH(AL$5&amp;"",'Oxford Economics'!$A$6:$AZ$6,0))),'Oxford Economics'!$A$7:$A$1000,$C56,'Oxford Economics'!$B$7:$B$1000,Settings!$B$14),SUMIFS(INDEX('Oxford Economics'!$A$7:$AZ$1000,0,IFERROR(MATCH(AL$5,'Oxford Economics'!$A$6:$AZ$6,0),MATCH(AL$5&amp;"",'Oxford Economics'!$A$6:$AZ$6,0))),'Oxford Economics'!$A$7:$A$1000,$C56,'Oxford Economics'!$B$7:$B$1000,Settings!$B$14)+SUMIFS(INDEX('Oxford Economics'!$A$7:$AZ$1000,0,IFERROR(MATCH(AL$5,'Oxford Economics'!$A$6:$AZ$6,0),MATCH(AL$5&amp;"",'Oxford Economics'!$A$6:$AZ$6,0))),'Oxford Economics'!$A$7:$A$1000,$C56,'Oxford Economics'!$B$7:$B$1000,Settings!$B$16)+IF(Settings!$B$18="",0,SUMIFS(INDEX('Oxford Economics'!$A$7:$AZ$1000,0,IFERROR(MATCH(AL$5,'Oxford Economics'!$A$6:$AZ$6,0),MATCH(AL$5&amp;"",'Oxford Economics'!$A$6:$AZ$6,0))),'Oxford Economics'!$A$7:$A$1000,$C56,'Oxford Economics'!$B$7:$B$1000,Settings!$B$18)))),""))</f>
        <v>20146.5</v>
      </c>
      <c r="AM56" s="38" t="n">
        <f aca="false">IF($A56="","",IFERROR(1/(1/IF($B56="Residential",SUMIFS(INDEX('Oxford Economics'!$A$7:$AZ$1000,0,IFERROR(MATCH(AM$5,'Oxford Economics'!$A$6:$AZ$6,0),MATCH(AM$5&amp;"",'Oxford Economics'!$A$6:$AZ$6,0))),'Oxford Economics'!$A$7:$A$1000,$C56,'Oxford Economics'!$B$7:$B$1000,Settings!$B$12)-SUMIFS(INDEX('Oxford Economics'!$A$7:$AZ$1000,0,IFERROR(MATCH(AM$5,'Oxford Economics'!$A$6:$AZ$6,0),MATCH(AM$5&amp;"",'Oxford Economics'!$A$6:$AZ$6,0))),'Oxford Economics'!$A$7:$A$1000,$C56,'Oxford Economics'!$B$7:$B$1000,Settings!$B$14),SUMIFS(INDEX('Oxford Economics'!$A$7:$AZ$1000,0,IFERROR(MATCH(AM$5,'Oxford Economics'!$A$6:$AZ$6,0),MATCH(AM$5&amp;"",'Oxford Economics'!$A$6:$AZ$6,0))),'Oxford Economics'!$A$7:$A$1000,$C56,'Oxford Economics'!$B$7:$B$1000,Settings!$B$14)+SUMIFS(INDEX('Oxford Economics'!$A$7:$AZ$1000,0,IFERROR(MATCH(AM$5,'Oxford Economics'!$A$6:$AZ$6,0),MATCH(AM$5&amp;"",'Oxford Economics'!$A$6:$AZ$6,0))),'Oxford Economics'!$A$7:$A$1000,$C56,'Oxford Economics'!$B$7:$B$1000,Settings!$B$16)+IF(Settings!$B$18="",0,SUMIFS(INDEX('Oxford Economics'!$A$7:$AZ$1000,0,IFERROR(MATCH(AM$5,'Oxford Economics'!$A$6:$AZ$6,0),MATCH(AM$5&amp;"",'Oxford Economics'!$A$6:$AZ$6,0))),'Oxford Economics'!$A$7:$A$1000,$C56,'Oxford Economics'!$B$7:$B$1000,Settings!$B$18)))),""))</f>
        <v>20424.36</v>
      </c>
    </row>
    <row r="57" customFormat="false" ht="15" hidden="false" customHeight="false" outlineLevel="0" collapsed="false">
      <c r="A57" s="37" t="str">
        <f aca="false">IF('Raw data'!$A57="","",'Raw data'!$A57)</f>
        <v>Germany</v>
      </c>
      <c r="B57" s="37" t="str">
        <f aca="false">IF($A57="","",'Raw data'!$C57)</f>
        <v>Commercial</v>
      </c>
      <c r="C57" s="37" t="str">
        <f aca="false">IF($A57="","",IF('Raw data'!$E57="",$A57,'Raw data'!$E57))</f>
        <v>Germany</v>
      </c>
      <c r="D57" s="38" t="n">
        <f aca="false">IF($A57="","",IF(AND(ISNUMBER(P57),ISNUMBER(AB57)),P57+AB57,""))</f>
        <v>141529.15</v>
      </c>
      <c r="E57" s="38" t="n">
        <f aca="false">IF($A57="","",IF(AND(ISNUMBER(Q57),ISNUMBER(AC57)),Q57+AC57,""))</f>
        <v>138096.2</v>
      </c>
      <c r="F57" s="38" t="n">
        <f aca="false">IF($A57="","",IF(AND(ISNUMBER(R57),ISNUMBER(AD57)),R57+AD57,""))</f>
        <v>121333.6</v>
      </c>
      <c r="G57" s="38" t="n">
        <f aca="false">IF($A57="","",IF(AND(ISNUMBER(S57),ISNUMBER(AE57)),S57+AE57,""))</f>
        <v>120937.84</v>
      </c>
      <c r="H57" s="38" t="n">
        <f aca="false">IF($A57="","",IF(AND(ISNUMBER(T57),ISNUMBER(AF57)),T57+AF57,""))</f>
        <v>112217.91</v>
      </c>
      <c r="I57" s="38" t="n">
        <f aca="false">IF($A57="","",IF(AND(ISNUMBER(U57),ISNUMBER(AG57)),U57+AG57,""))</f>
        <v>108414.85</v>
      </c>
      <c r="J57" s="38" t="n">
        <f aca="false">IF($A57="","",IF(AND(ISNUMBER(V57),ISNUMBER(AH57)),V57+AH57,""))</f>
        <v>110980.23</v>
      </c>
      <c r="K57" s="38" t="n">
        <f aca="false">IF($A57="","",IF(AND(ISNUMBER(W57),ISNUMBER(AI57)),W57+AI57,""))</f>
        <v>114619</v>
      </c>
      <c r="L57" s="38" t="n">
        <f aca="false">IF($A57="","",IF(AND(ISNUMBER(X57),ISNUMBER(AJ57)),X57+AJ57,""))</f>
        <v>119890.88</v>
      </c>
      <c r="M57" s="38" t="n">
        <f aca="false">IF($A57="","",IF(AND(ISNUMBER(Y57),ISNUMBER(AK57)),Y57+AK57,""))</f>
        <v>125283.57</v>
      </c>
      <c r="N57" s="38" t="n">
        <f aca="false">IF($A57="","",IF(AND(ISNUMBER(Z57),ISNUMBER(AL57)),Z57+AL57,""))</f>
        <v>130476.26</v>
      </c>
      <c r="O57" s="38" t="n">
        <f aca="false">IF($A57="","",IF(AND(ISNUMBER(AA57),ISNUMBER(AM57)),AA57+AM57,""))</f>
        <v>133257.25</v>
      </c>
      <c r="P57" s="38" t="n">
        <f aca="false">IF($A57="","",IFERROR(1/(1/IF($B57="Residential",SUMIFS(INDEX('Oxford Economics'!$A$7:$AZ$1000,0,IFERROR(MATCH(P$5,'Oxford Economics'!$A$6:$AZ$6,0),MATCH(P$5&amp;"",'Oxford Economics'!$A$6:$AZ$6,0))),'Oxford Economics'!$A$7:$A$1000,$C57,'Oxford Economics'!$B$7:$B$1000,Settings!$B$13)-SUMIFS(INDEX('Oxford Economics'!$A$7:$AZ$1000,0,IFERROR(MATCH(P$5,'Oxford Economics'!$A$6:$AZ$6,0),MATCH(P$5&amp;"",'Oxford Economics'!$A$6:$AZ$6,0))),'Oxford Economics'!$A$7:$A$1000,$C57,'Oxford Economics'!$B$7:$B$1000,Settings!$B$15),SUMIFS(INDEX('Oxford Economics'!$A$7:$AZ$1000,0,IFERROR(MATCH(P$5,'Oxford Economics'!$A$6:$AZ$6,0),MATCH(P$5&amp;"",'Oxford Economics'!$A$6:$AZ$6,0))),'Oxford Economics'!$A$7:$A$1000,$C57,'Oxford Economics'!$B$7:$B$1000,Settings!$B$15)+SUMIFS(INDEX('Oxford Economics'!$A$7:$AZ$1000,0,IFERROR(MATCH(P$5,'Oxford Economics'!$A$6:$AZ$6,0),MATCH(P$5&amp;"",'Oxford Economics'!$A$6:$AZ$6,0))),'Oxford Economics'!$A$7:$A$1000,$C57,'Oxford Economics'!$B$7:$B$1000,Settings!$B$17)+IF(Settings!$B$19="",0,SUMIFS(INDEX('Oxford Economics'!$A$7:$AZ$1000,0,IFERROR(MATCH(P$5,'Oxford Economics'!$A$6:$AZ$6,0),MATCH(P$5&amp;"",'Oxford Economics'!$A$6:$AZ$6,0))),'Oxford Economics'!$A$7:$A$1000,$C57,'Oxford Economics'!$B$7:$B$1000,Settings!$B$19)))),""))</f>
        <v>86179.79</v>
      </c>
      <c r="Q57" s="38" t="n">
        <f aca="false">IF($A57="","",IFERROR(1/(1/IF($B57="Residential",SUMIFS(INDEX('Oxford Economics'!$A$7:$AZ$1000,0,IFERROR(MATCH(Q$5,'Oxford Economics'!$A$6:$AZ$6,0),MATCH(Q$5&amp;"",'Oxford Economics'!$A$6:$AZ$6,0))),'Oxford Economics'!$A$7:$A$1000,$C57,'Oxford Economics'!$B$7:$B$1000,Settings!$B$13)-SUMIFS(INDEX('Oxford Economics'!$A$7:$AZ$1000,0,IFERROR(MATCH(Q$5,'Oxford Economics'!$A$6:$AZ$6,0),MATCH(Q$5&amp;"",'Oxford Economics'!$A$6:$AZ$6,0))),'Oxford Economics'!$A$7:$A$1000,$C57,'Oxford Economics'!$B$7:$B$1000,Settings!$B$15),SUMIFS(INDEX('Oxford Economics'!$A$7:$AZ$1000,0,IFERROR(MATCH(Q$5,'Oxford Economics'!$A$6:$AZ$6,0),MATCH(Q$5&amp;"",'Oxford Economics'!$A$6:$AZ$6,0))),'Oxford Economics'!$A$7:$A$1000,$C57,'Oxford Economics'!$B$7:$B$1000,Settings!$B$15)+SUMIFS(INDEX('Oxford Economics'!$A$7:$AZ$1000,0,IFERROR(MATCH(Q$5,'Oxford Economics'!$A$6:$AZ$6,0),MATCH(Q$5&amp;"",'Oxford Economics'!$A$6:$AZ$6,0))),'Oxford Economics'!$A$7:$A$1000,$C57,'Oxford Economics'!$B$7:$B$1000,Settings!$B$17)+IF(Settings!$B$19="",0,SUMIFS(INDEX('Oxford Economics'!$A$7:$AZ$1000,0,IFERROR(MATCH(Q$5,'Oxford Economics'!$A$6:$AZ$6,0),MATCH(Q$5&amp;"",'Oxford Economics'!$A$6:$AZ$6,0))),'Oxford Economics'!$A$7:$A$1000,$C57,'Oxford Economics'!$B$7:$B$1000,Settings!$B$19)))),""))</f>
        <v>85150.73</v>
      </c>
      <c r="R57" s="38" t="n">
        <f aca="false">IF($A57="","",IFERROR(1/(1/IF($B57="Residential",SUMIFS(INDEX('Oxford Economics'!$A$7:$AZ$1000,0,IFERROR(MATCH(R$5,'Oxford Economics'!$A$6:$AZ$6,0),MATCH(R$5&amp;"",'Oxford Economics'!$A$6:$AZ$6,0))),'Oxford Economics'!$A$7:$A$1000,$C57,'Oxford Economics'!$B$7:$B$1000,Settings!$B$13)-SUMIFS(INDEX('Oxford Economics'!$A$7:$AZ$1000,0,IFERROR(MATCH(R$5,'Oxford Economics'!$A$6:$AZ$6,0),MATCH(R$5&amp;"",'Oxford Economics'!$A$6:$AZ$6,0))),'Oxford Economics'!$A$7:$A$1000,$C57,'Oxford Economics'!$B$7:$B$1000,Settings!$B$15),SUMIFS(INDEX('Oxford Economics'!$A$7:$AZ$1000,0,IFERROR(MATCH(R$5,'Oxford Economics'!$A$6:$AZ$6,0),MATCH(R$5&amp;"",'Oxford Economics'!$A$6:$AZ$6,0))),'Oxford Economics'!$A$7:$A$1000,$C57,'Oxford Economics'!$B$7:$B$1000,Settings!$B$15)+SUMIFS(INDEX('Oxford Economics'!$A$7:$AZ$1000,0,IFERROR(MATCH(R$5,'Oxford Economics'!$A$6:$AZ$6,0),MATCH(R$5&amp;"",'Oxford Economics'!$A$6:$AZ$6,0))),'Oxford Economics'!$A$7:$A$1000,$C57,'Oxford Economics'!$B$7:$B$1000,Settings!$B$17)+IF(Settings!$B$19="",0,SUMIFS(INDEX('Oxford Economics'!$A$7:$AZ$1000,0,IFERROR(MATCH(R$5,'Oxford Economics'!$A$6:$AZ$6,0),MATCH(R$5&amp;"",'Oxford Economics'!$A$6:$AZ$6,0))),'Oxford Economics'!$A$7:$A$1000,$C57,'Oxford Economics'!$B$7:$B$1000,Settings!$B$19)))),""))</f>
        <v>76144.64</v>
      </c>
      <c r="S57" s="38" t="n">
        <f aca="false">IF($A57="","",IFERROR(1/(1/IF($B57="Residential",SUMIFS(INDEX('Oxford Economics'!$A$7:$AZ$1000,0,IFERROR(MATCH(S$5,'Oxford Economics'!$A$6:$AZ$6,0),MATCH(S$5&amp;"",'Oxford Economics'!$A$6:$AZ$6,0))),'Oxford Economics'!$A$7:$A$1000,$C57,'Oxford Economics'!$B$7:$B$1000,Settings!$B$13)-SUMIFS(INDEX('Oxford Economics'!$A$7:$AZ$1000,0,IFERROR(MATCH(S$5,'Oxford Economics'!$A$6:$AZ$6,0),MATCH(S$5&amp;"",'Oxford Economics'!$A$6:$AZ$6,0))),'Oxford Economics'!$A$7:$A$1000,$C57,'Oxford Economics'!$B$7:$B$1000,Settings!$B$15),SUMIFS(INDEX('Oxford Economics'!$A$7:$AZ$1000,0,IFERROR(MATCH(S$5,'Oxford Economics'!$A$6:$AZ$6,0),MATCH(S$5&amp;"",'Oxford Economics'!$A$6:$AZ$6,0))),'Oxford Economics'!$A$7:$A$1000,$C57,'Oxford Economics'!$B$7:$B$1000,Settings!$B$15)+SUMIFS(INDEX('Oxford Economics'!$A$7:$AZ$1000,0,IFERROR(MATCH(S$5,'Oxford Economics'!$A$6:$AZ$6,0),MATCH(S$5&amp;"",'Oxford Economics'!$A$6:$AZ$6,0))),'Oxford Economics'!$A$7:$A$1000,$C57,'Oxford Economics'!$B$7:$B$1000,Settings!$B$17)+IF(Settings!$B$19="",0,SUMIFS(INDEX('Oxford Economics'!$A$7:$AZ$1000,0,IFERROR(MATCH(S$5,'Oxford Economics'!$A$6:$AZ$6,0),MATCH(S$5&amp;"",'Oxford Economics'!$A$6:$AZ$6,0))),'Oxford Economics'!$A$7:$A$1000,$C57,'Oxford Economics'!$B$7:$B$1000,Settings!$B$19)))),""))</f>
        <v>75063.16</v>
      </c>
      <c r="T57" s="38" t="n">
        <f aca="false">IF($A57="","",IFERROR(1/(1/IF($B57="Residential",SUMIFS(INDEX('Oxford Economics'!$A$7:$AZ$1000,0,IFERROR(MATCH(T$5,'Oxford Economics'!$A$6:$AZ$6,0),MATCH(T$5&amp;"",'Oxford Economics'!$A$6:$AZ$6,0))),'Oxford Economics'!$A$7:$A$1000,$C57,'Oxford Economics'!$B$7:$B$1000,Settings!$B$13)-SUMIFS(INDEX('Oxford Economics'!$A$7:$AZ$1000,0,IFERROR(MATCH(T$5,'Oxford Economics'!$A$6:$AZ$6,0),MATCH(T$5&amp;"",'Oxford Economics'!$A$6:$AZ$6,0))),'Oxford Economics'!$A$7:$A$1000,$C57,'Oxford Economics'!$B$7:$B$1000,Settings!$B$15),SUMIFS(INDEX('Oxford Economics'!$A$7:$AZ$1000,0,IFERROR(MATCH(T$5,'Oxford Economics'!$A$6:$AZ$6,0),MATCH(T$5&amp;"",'Oxford Economics'!$A$6:$AZ$6,0))),'Oxford Economics'!$A$7:$A$1000,$C57,'Oxford Economics'!$B$7:$B$1000,Settings!$B$15)+SUMIFS(INDEX('Oxford Economics'!$A$7:$AZ$1000,0,IFERROR(MATCH(T$5,'Oxford Economics'!$A$6:$AZ$6,0),MATCH(T$5&amp;"",'Oxford Economics'!$A$6:$AZ$6,0))),'Oxford Economics'!$A$7:$A$1000,$C57,'Oxford Economics'!$B$7:$B$1000,Settings!$B$17)+IF(Settings!$B$19="",0,SUMIFS(INDEX('Oxford Economics'!$A$7:$AZ$1000,0,IFERROR(MATCH(T$5,'Oxford Economics'!$A$6:$AZ$6,0),MATCH(T$5&amp;"",'Oxford Economics'!$A$6:$AZ$6,0))),'Oxford Economics'!$A$7:$A$1000,$C57,'Oxford Economics'!$B$7:$B$1000,Settings!$B$19)))),""))</f>
        <v>70517.2</v>
      </c>
      <c r="U57" s="38" t="n">
        <f aca="false">IF($A57="","",IFERROR(1/(1/IF($B57="Residential",SUMIFS(INDEX('Oxford Economics'!$A$7:$AZ$1000,0,IFERROR(MATCH(U$5,'Oxford Economics'!$A$6:$AZ$6,0),MATCH(U$5&amp;"",'Oxford Economics'!$A$6:$AZ$6,0))),'Oxford Economics'!$A$7:$A$1000,$C57,'Oxford Economics'!$B$7:$B$1000,Settings!$B$13)-SUMIFS(INDEX('Oxford Economics'!$A$7:$AZ$1000,0,IFERROR(MATCH(U$5,'Oxford Economics'!$A$6:$AZ$6,0),MATCH(U$5&amp;"",'Oxford Economics'!$A$6:$AZ$6,0))),'Oxford Economics'!$A$7:$A$1000,$C57,'Oxford Economics'!$B$7:$B$1000,Settings!$B$15),SUMIFS(INDEX('Oxford Economics'!$A$7:$AZ$1000,0,IFERROR(MATCH(U$5,'Oxford Economics'!$A$6:$AZ$6,0),MATCH(U$5&amp;"",'Oxford Economics'!$A$6:$AZ$6,0))),'Oxford Economics'!$A$7:$A$1000,$C57,'Oxford Economics'!$B$7:$B$1000,Settings!$B$15)+SUMIFS(INDEX('Oxford Economics'!$A$7:$AZ$1000,0,IFERROR(MATCH(U$5,'Oxford Economics'!$A$6:$AZ$6,0),MATCH(U$5&amp;"",'Oxford Economics'!$A$6:$AZ$6,0))),'Oxford Economics'!$A$7:$A$1000,$C57,'Oxford Economics'!$B$7:$B$1000,Settings!$B$17)+IF(Settings!$B$19="",0,SUMIFS(INDEX('Oxford Economics'!$A$7:$AZ$1000,0,IFERROR(MATCH(U$5,'Oxford Economics'!$A$6:$AZ$6,0),MATCH(U$5&amp;"",'Oxford Economics'!$A$6:$AZ$6,0))),'Oxford Economics'!$A$7:$A$1000,$C57,'Oxford Economics'!$B$7:$B$1000,Settings!$B$19)))),""))</f>
        <v>68792.4</v>
      </c>
      <c r="V57" s="38" t="n">
        <f aca="false">IF($A57="","",IFERROR(1/(1/IF($B57="Residential",SUMIFS(INDEX('Oxford Economics'!$A$7:$AZ$1000,0,IFERROR(MATCH(V$5,'Oxford Economics'!$A$6:$AZ$6,0),MATCH(V$5&amp;"",'Oxford Economics'!$A$6:$AZ$6,0))),'Oxford Economics'!$A$7:$A$1000,$C57,'Oxford Economics'!$B$7:$B$1000,Settings!$B$13)-SUMIFS(INDEX('Oxford Economics'!$A$7:$AZ$1000,0,IFERROR(MATCH(V$5,'Oxford Economics'!$A$6:$AZ$6,0),MATCH(V$5&amp;"",'Oxford Economics'!$A$6:$AZ$6,0))),'Oxford Economics'!$A$7:$A$1000,$C57,'Oxford Economics'!$B$7:$B$1000,Settings!$B$15),SUMIFS(INDEX('Oxford Economics'!$A$7:$AZ$1000,0,IFERROR(MATCH(V$5,'Oxford Economics'!$A$6:$AZ$6,0),MATCH(V$5&amp;"",'Oxford Economics'!$A$6:$AZ$6,0))),'Oxford Economics'!$A$7:$A$1000,$C57,'Oxford Economics'!$B$7:$B$1000,Settings!$B$15)+SUMIFS(INDEX('Oxford Economics'!$A$7:$AZ$1000,0,IFERROR(MATCH(V$5,'Oxford Economics'!$A$6:$AZ$6,0),MATCH(V$5&amp;"",'Oxford Economics'!$A$6:$AZ$6,0))),'Oxford Economics'!$A$7:$A$1000,$C57,'Oxford Economics'!$B$7:$B$1000,Settings!$B$17)+IF(Settings!$B$19="",0,SUMIFS(INDEX('Oxford Economics'!$A$7:$AZ$1000,0,IFERROR(MATCH(V$5,'Oxford Economics'!$A$6:$AZ$6,0),MATCH(V$5&amp;"",'Oxford Economics'!$A$6:$AZ$6,0))),'Oxford Economics'!$A$7:$A$1000,$C57,'Oxford Economics'!$B$7:$B$1000,Settings!$B$19)))),""))</f>
        <v>70165.33</v>
      </c>
      <c r="W57" s="38" t="n">
        <f aca="false">IF($A57="","",IFERROR(1/(1/IF($B57="Residential",SUMIFS(INDEX('Oxford Economics'!$A$7:$AZ$1000,0,IFERROR(MATCH(W$5,'Oxford Economics'!$A$6:$AZ$6,0),MATCH(W$5&amp;"",'Oxford Economics'!$A$6:$AZ$6,0))),'Oxford Economics'!$A$7:$A$1000,$C57,'Oxford Economics'!$B$7:$B$1000,Settings!$B$13)-SUMIFS(INDEX('Oxford Economics'!$A$7:$AZ$1000,0,IFERROR(MATCH(W$5,'Oxford Economics'!$A$6:$AZ$6,0),MATCH(W$5&amp;"",'Oxford Economics'!$A$6:$AZ$6,0))),'Oxford Economics'!$A$7:$A$1000,$C57,'Oxford Economics'!$B$7:$B$1000,Settings!$B$15),SUMIFS(INDEX('Oxford Economics'!$A$7:$AZ$1000,0,IFERROR(MATCH(W$5,'Oxford Economics'!$A$6:$AZ$6,0),MATCH(W$5&amp;"",'Oxford Economics'!$A$6:$AZ$6,0))),'Oxford Economics'!$A$7:$A$1000,$C57,'Oxford Economics'!$B$7:$B$1000,Settings!$B$15)+SUMIFS(INDEX('Oxford Economics'!$A$7:$AZ$1000,0,IFERROR(MATCH(W$5,'Oxford Economics'!$A$6:$AZ$6,0),MATCH(W$5&amp;"",'Oxford Economics'!$A$6:$AZ$6,0))),'Oxford Economics'!$A$7:$A$1000,$C57,'Oxford Economics'!$B$7:$B$1000,Settings!$B$17)+IF(Settings!$B$19="",0,SUMIFS(INDEX('Oxford Economics'!$A$7:$AZ$1000,0,IFERROR(MATCH(W$5,'Oxford Economics'!$A$6:$AZ$6,0),MATCH(W$5&amp;"",'Oxford Economics'!$A$6:$AZ$6,0))),'Oxford Economics'!$A$7:$A$1000,$C57,'Oxford Economics'!$B$7:$B$1000,Settings!$B$19)))),""))</f>
        <v>71792.83</v>
      </c>
      <c r="X57" s="38" t="n">
        <f aca="false">IF($A57="","",IFERROR(1/(1/IF($B57="Residential",SUMIFS(INDEX('Oxford Economics'!$A$7:$AZ$1000,0,IFERROR(MATCH(X$5,'Oxford Economics'!$A$6:$AZ$6,0),MATCH(X$5&amp;"",'Oxford Economics'!$A$6:$AZ$6,0))),'Oxford Economics'!$A$7:$A$1000,$C57,'Oxford Economics'!$B$7:$B$1000,Settings!$B$13)-SUMIFS(INDEX('Oxford Economics'!$A$7:$AZ$1000,0,IFERROR(MATCH(X$5,'Oxford Economics'!$A$6:$AZ$6,0),MATCH(X$5&amp;"",'Oxford Economics'!$A$6:$AZ$6,0))),'Oxford Economics'!$A$7:$A$1000,$C57,'Oxford Economics'!$B$7:$B$1000,Settings!$B$15),SUMIFS(INDEX('Oxford Economics'!$A$7:$AZ$1000,0,IFERROR(MATCH(X$5,'Oxford Economics'!$A$6:$AZ$6,0),MATCH(X$5&amp;"",'Oxford Economics'!$A$6:$AZ$6,0))),'Oxford Economics'!$A$7:$A$1000,$C57,'Oxford Economics'!$B$7:$B$1000,Settings!$B$15)+SUMIFS(INDEX('Oxford Economics'!$A$7:$AZ$1000,0,IFERROR(MATCH(X$5,'Oxford Economics'!$A$6:$AZ$6,0),MATCH(X$5&amp;"",'Oxford Economics'!$A$6:$AZ$6,0))),'Oxford Economics'!$A$7:$A$1000,$C57,'Oxford Economics'!$B$7:$B$1000,Settings!$B$17)+IF(Settings!$B$19="",0,SUMIFS(INDEX('Oxford Economics'!$A$7:$AZ$1000,0,IFERROR(MATCH(X$5,'Oxford Economics'!$A$6:$AZ$6,0),MATCH(X$5&amp;"",'Oxford Economics'!$A$6:$AZ$6,0))),'Oxford Economics'!$A$7:$A$1000,$C57,'Oxford Economics'!$B$7:$B$1000,Settings!$B$19)))),""))</f>
        <v>75396.22</v>
      </c>
      <c r="Y57" s="38" t="n">
        <f aca="false">IF($A57="","",IFERROR(1/(1/IF($B57="Residential",SUMIFS(INDEX('Oxford Economics'!$A$7:$AZ$1000,0,IFERROR(MATCH(Y$5,'Oxford Economics'!$A$6:$AZ$6,0),MATCH(Y$5&amp;"",'Oxford Economics'!$A$6:$AZ$6,0))),'Oxford Economics'!$A$7:$A$1000,$C57,'Oxford Economics'!$B$7:$B$1000,Settings!$B$13)-SUMIFS(INDEX('Oxford Economics'!$A$7:$AZ$1000,0,IFERROR(MATCH(Y$5,'Oxford Economics'!$A$6:$AZ$6,0),MATCH(Y$5&amp;"",'Oxford Economics'!$A$6:$AZ$6,0))),'Oxford Economics'!$A$7:$A$1000,$C57,'Oxford Economics'!$B$7:$B$1000,Settings!$B$15),SUMIFS(INDEX('Oxford Economics'!$A$7:$AZ$1000,0,IFERROR(MATCH(Y$5,'Oxford Economics'!$A$6:$AZ$6,0),MATCH(Y$5&amp;"",'Oxford Economics'!$A$6:$AZ$6,0))),'Oxford Economics'!$A$7:$A$1000,$C57,'Oxford Economics'!$B$7:$B$1000,Settings!$B$15)+SUMIFS(INDEX('Oxford Economics'!$A$7:$AZ$1000,0,IFERROR(MATCH(Y$5,'Oxford Economics'!$A$6:$AZ$6,0),MATCH(Y$5&amp;"",'Oxford Economics'!$A$6:$AZ$6,0))),'Oxford Economics'!$A$7:$A$1000,$C57,'Oxford Economics'!$B$7:$B$1000,Settings!$B$17)+IF(Settings!$B$19="",0,SUMIFS(INDEX('Oxford Economics'!$A$7:$AZ$1000,0,IFERROR(MATCH(Y$5,'Oxford Economics'!$A$6:$AZ$6,0),MATCH(Y$5&amp;"",'Oxford Economics'!$A$6:$AZ$6,0))),'Oxford Economics'!$A$7:$A$1000,$C57,'Oxford Economics'!$B$7:$B$1000,Settings!$B$19)))),""))</f>
        <v>79704.19</v>
      </c>
      <c r="Z57" s="38" t="n">
        <f aca="false">IF($A57="","",IFERROR(1/(1/IF($B57="Residential",SUMIFS(INDEX('Oxford Economics'!$A$7:$AZ$1000,0,IFERROR(MATCH(Z$5,'Oxford Economics'!$A$6:$AZ$6,0),MATCH(Z$5&amp;"",'Oxford Economics'!$A$6:$AZ$6,0))),'Oxford Economics'!$A$7:$A$1000,$C57,'Oxford Economics'!$B$7:$B$1000,Settings!$B$13)-SUMIFS(INDEX('Oxford Economics'!$A$7:$AZ$1000,0,IFERROR(MATCH(Z$5,'Oxford Economics'!$A$6:$AZ$6,0),MATCH(Z$5&amp;"",'Oxford Economics'!$A$6:$AZ$6,0))),'Oxford Economics'!$A$7:$A$1000,$C57,'Oxford Economics'!$B$7:$B$1000,Settings!$B$15),SUMIFS(INDEX('Oxford Economics'!$A$7:$AZ$1000,0,IFERROR(MATCH(Z$5,'Oxford Economics'!$A$6:$AZ$6,0),MATCH(Z$5&amp;"",'Oxford Economics'!$A$6:$AZ$6,0))),'Oxford Economics'!$A$7:$A$1000,$C57,'Oxford Economics'!$B$7:$B$1000,Settings!$B$15)+SUMIFS(INDEX('Oxford Economics'!$A$7:$AZ$1000,0,IFERROR(MATCH(Z$5,'Oxford Economics'!$A$6:$AZ$6,0),MATCH(Z$5&amp;"",'Oxford Economics'!$A$6:$AZ$6,0))),'Oxford Economics'!$A$7:$A$1000,$C57,'Oxford Economics'!$B$7:$B$1000,Settings!$B$17)+IF(Settings!$B$19="",0,SUMIFS(INDEX('Oxford Economics'!$A$7:$AZ$1000,0,IFERROR(MATCH(Z$5,'Oxford Economics'!$A$6:$AZ$6,0),MATCH(Z$5&amp;"",'Oxford Economics'!$A$6:$AZ$6,0))),'Oxford Economics'!$A$7:$A$1000,$C57,'Oxford Economics'!$B$7:$B$1000,Settings!$B$19)))),""))</f>
        <v>83988.83</v>
      </c>
      <c r="AA57" s="38" t="n">
        <f aca="false">IF($A57="","",IFERROR(1/(1/IF($B57="Residential",SUMIFS(INDEX('Oxford Economics'!$A$7:$AZ$1000,0,IFERROR(MATCH(AA$5,'Oxford Economics'!$A$6:$AZ$6,0),MATCH(AA$5&amp;"",'Oxford Economics'!$A$6:$AZ$6,0))),'Oxford Economics'!$A$7:$A$1000,$C57,'Oxford Economics'!$B$7:$B$1000,Settings!$B$13)-SUMIFS(INDEX('Oxford Economics'!$A$7:$AZ$1000,0,IFERROR(MATCH(AA$5,'Oxford Economics'!$A$6:$AZ$6,0),MATCH(AA$5&amp;"",'Oxford Economics'!$A$6:$AZ$6,0))),'Oxford Economics'!$A$7:$A$1000,$C57,'Oxford Economics'!$B$7:$B$1000,Settings!$B$15),SUMIFS(INDEX('Oxford Economics'!$A$7:$AZ$1000,0,IFERROR(MATCH(AA$5,'Oxford Economics'!$A$6:$AZ$6,0),MATCH(AA$5&amp;"",'Oxford Economics'!$A$6:$AZ$6,0))),'Oxford Economics'!$A$7:$A$1000,$C57,'Oxford Economics'!$B$7:$B$1000,Settings!$B$15)+SUMIFS(INDEX('Oxford Economics'!$A$7:$AZ$1000,0,IFERROR(MATCH(AA$5,'Oxford Economics'!$A$6:$AZ$6,0),MATCH(AA$5&amp;"",'Oxford Economics'!$A$6:$AZ$6,0))),'Oxford Economics'!$A$7:$A$1000,$C57,'Oxford Economics'!$B$7:$B$1000,Settings!$B$17)+IF(Settings!$B$19="",0,SUMIFS(INDEX('Oxford Economics'!$A$7:$AZ$1000,0,IFERROR(MATCH(AA$5,'Oxford Economics'!$A$6:$AZ$6,0),MATCH(AA$5&amp;"",'Oxford Economics'!$A$6:$AZ$6,0))),'Oxford Economics'!$A$7:$A$1000,$C57,'Oxford Economics'!$B$7:$B$1000,Settings!$B$19)))),""))</f>
        <v>85914.88</v>
      </c>
      <c r="AB57" s="38" t="n">
        <f aca="false">IF($A57="","",IFERROR(1/(1/IF($B57="Residential",SUMIFS(INDEX('Oxford Economics'!$A$7:$AZ$1000,0,IFERROR(MATCH(AB$5,'Oxford Economics'!$A$6:$AZ$6,0),MATCH(AB$5&amp;"",'Oxford Economics'!$A$6:$AZ$6,0))),'Oxford Economics'!$A$7:$A$1000,$C57,'Oxford Economics'!$B$7:$B$1000,Settings!$B$12)-SUMIFS(INDEX('Oxford Economics'!$A$7:$AZ$1000,0,IFERROR(MATCH(AB$5,'Oxford Economics'!$A$6:$AZ$6,0),MATCH(AB$5&amp;"",'Oxford Economics'!$A$6:$AZ$6,0))),'Oxford Economics'!$A$7:$A$1000,$C57,'Oxford Economics'!$B$7:$B$1000,Settings!$B$14),SUMIFS(INDEX('Oxford Economics'!$A$7:$AZ$1000,0,IFERROR(MATCH(AB$5,'Oxford Economics'!$A$6:$AZ$6,0),MATCH(AB$5&amp;"",'Oxford Economics'!$A$6:$AZ$6,0))),'Oxford Economics'!$A$7:$A$1000,$C57,'Oxford Economics'!$B$7:$B$1000,Settings!$B$14)+SUMIFS(INDEX('Oxford Economics'!$A$7:$AZ$1000,0,IFERROR(MATCH(AB$5,'Oxford Economics'!$A$6:$AZ$6,0),MATCH(AB$5&amp;"",'Oxford Economics'!$A$6:$AZ$6,0))),'Oxford Economics'!$A$7:$A$1000,$C57,'Oxford Economics'!$B$7:$B$1000,Settings!$B$16)+IF(Settings!$B$18="",0,SUMIFS(INDEX('Oxford Economics'!$A$7:$AZ$1000,0,IFERROR(MATCH(AB$5,'Oxford Economics'!$A$6:$AZ$6,0),MATCH(AB$5&amp;"",'Oxford Economics'!$A$6:$AZ$6,0))),'Oxford Economics'!$A$7:$A$1000,$C57,'Oxford Economics'!$B$7:$B$1000,Settings!$B$18)))),""))</f>
        <v>55349.36</v>
      </c>
      <c r="AC57" s="38" t="n">
        <f aca="false">IF($A57="","",IFERROR(1/(1/IF($B57="Residential",SUMIFS(INDEX('Oxford Economics'!$A$7:$AZ$1000,0,IFERROR(MATCH(AC$5,'Oxford Economics'!$A$6:$AZ$6,0),MATCH(AC$5&amp;"",'Oxford Economics'!$A$6:$AZ$6,0))),'Oxford Economics'!$A$7:$A$1000,$C57,'Oxford Economics'!$B$7:$B$1000,Settings!$B$12)-SUMIFS(INDEX('Oxford Economics'!$A$7:$AZ$1000,0,IFERROR(MATCH(AC$5,'Oxford Economics'!$A$6:$AZ$6,0),MATCH(AC$5&amp;"",'Oxford Economics'!$A$6:$AZ$6,0))),'Oxford Economics'!$A$7:$A$1000,$C57,'Oxford Economics'!$B$7:$B$1000,Settings!$B$14),SUMIFS(INDEX('Oxford Economics'!$A$7:$AZ$1000,0,IFERROR(MATCH(AC$5,'Oxford Economics'!$A$6:$AZ$6,0),MATCH(AC$5&amp;"",'Oxford Economics'!$A$6:$AZ$6,0))),'Oxford Economics'!$A$7:$A$1000,$C57,'Oxford Economics'!$B$7:$B$1000,Settings!$B$14)+SUMIFS(INDEX('Oxford Economics'!$A$7:$AZ$1000,0,IFERROR(MATCH(AC$5,'Oxford Economics'!$A$6:$AZ$6,0),MATCH(AC$5&amp;"",'Oxford Economics'!$A$6:$AZ$6,0))),'Oxford Economics'!$A$7:$A$1000,$C57,'Oxford Economics'!$B$7:$B$1000,Settings!$B$16)+IF(Settings!$B$18="",0,SUMIFS(INDEX('Oxford Economics'!$A$7:$AZ$1000,0,IFERROR(MATCH(AC$5,'Oxford Economics'!$A$6:$AZ$6,0),MATCH(AC$5&amp;"",'Oxford Economics'!$A$6:$AZ$6,0))),'Oxford Economics'!$A$7:$A$1000,$C57,'Oxford Economics'!$B$7:$B$1000,Settings!$B$18)))),""))</f>
        <v>52945.47</v>
      </c>
      <c r="AD57" s="38" t="n">
        <f aca="false">IF($A57="","",IFERROR(1/(1/IF($B57="Residential",SUMIFS(INDEX('Oxford Economics'!$A$7:$AZ$1000,0,IFERROR(MATCH(AD$5,'Oxford Economics'!$A$6:$AZ$6,0),MATCH(AD$5&amp;"",'Oxford Economics'!$A$6:$AZ$6,0))),'Oxford Economics'!$A$7:$A$1000,$C57,'Oxford Economics'!$B$7:$B$1000,Settings!$B$12)-SUMIFS(INDEX('Oxford Economics'!$A$7:$AZ$1000,0,IFERROR(MATCH(AD$5,'Oxford Economics'!$A$6:$AZ$6,0),MATCH(AD$5&amp;"",'Oxford Economics'!$A$6:$AZ$6,0))),'Oxford Economics'!$A$7:$A$1000,$C57,'Oxford Economics'!$B$7:$B$1000,Settings!$B$14),SUMIFS(INDEX('Oxford Economics'!$A$7:$AZ$1000,0,IFERROR(MATCH(AD$5,'Oxford Economics'!$A$6:$AZ$6,0),MATCH(AD$5&amp;"",'Oxford Economics'!$A$6:$AZ$6,0))),'Oxford Economics'!$A$7:$A$1000,$C57,'Oxford Economics'!$B$7:$B$1000,Settings!$B$14)+SUMIFS(INDEX('Oxford Economics'!$A$7:$AZ$1000,0,IFERROR(MATCH(AD$5,'Oxford Economics'!$A$6:$AZ$6,0),MATCH(AD$5&amp;"",'Oxford Economics'!$A$6:$AZ$6,0))),'Oxford Economics'!$A$7:$A$1000,$C57,'Oxford Economics'!$B$7:$B$1000,Settings!$B$16)+IF(Settings!$B$18="",0,SUMIFS(INDEX('Oxford Economics'!$A$7:$AZ$1000,0,IFERROR(MATCH(AD$5,'Oxford Economics'!$A$6:$AZ$6,0),MATCH(AD$5&amp;"",'Oxford Economics'!$A$6:$AZ$6,0))),'Oxford Economics'!$A$7:$A$1000,$C57,'Oxford Economics'!$B$7:$B$1000,Settings!$B$18)))),""))</f>
        <v>45188.96</v>
      </c>
      <c r="AE57" s="38" t="n">
        <f aca="false">IF($A57="","",IFERROR(1/(1/IF($B57="Residential",SUMIFS(INDEX('Oxford Economics'!$A$7:$AZ$1000,0,IFERROR(MATCH(AE$5,'Oxford Economics'!$A$6:$AZ$6,0),MATCH(AE$5&amp;"",'Oxford Economics'!$A$6:$AZ$6,0))),'Oxford Economics'!$A$7:$A$1000,$C57,'Oxford Economics'!$B$7:$B$1000,Settings!$B$12)-SUMIFS(INDEX('Oxford Economics'!$A$7:$AZ$1000,0,IFERROR(MATCH(AE$5,'Oxford Economics'!$A$6:$AZ$6,0),MATCH(AE$5&amp;"",'Oxford Economics'!$A$6:$AZ$6,0))),'Oxford Economics'!$A$7:$A$1000,$C57,'Oxford Economics'!$B$7:$B$1000,Settings!$B$14),SUMIFS(INDEX('Oxford Economics'!$A$7:$AZ$1000,0,IFERROR(MATCH(AE$5,'Oxford Economics'!$A$6:$AZ$6,0),MATCH(AE$5&amp;"",'Oxford Economics'!$A$6:$AZ$6,0))),'Oxford Economics'!$A$7:$A$1000,$C57,'Oxford Economics'!$B$7:$B$1000,Settings!$B$14)+SUMIFS(INDEX('Oxford Economics'!$A$7:$AZ$1000,0,IFERROR(MATCH(AE$5,'Oxford Economics'!$A$6:$AZ$6,0),MATCH(AE$5&amp;"",'Oxford Economics'!$A$6:$AZ$6,0))),'Oxford Economics'!$A$7:$A$1000,$C57,'Oxford Economics'!$B$7:$B$1000,Settings!$B$16)+IF(Settings!$B$18="",0,SUMIFS(INDEX('Oxford Economics'!$A$7:$AZ$1000,0,IFERROR(MATCH(AE$5,'Oxford Economics'!$A$6:$AZ$6,0),MATCH(AE$5&amp;"",'Oxford Economics'!$A$6:$AZ$6,0))),'Oxford Economics'!$A$7:$A$1000,$C57,'Oxford Economics'!$B$7:$B$1000,Settings!$B$18)))),""))</f>
        <v>45874.68</v>
      </c>
      <c r="AF57" s="38" t="n">
        <f aca="false">IF($A57="","",IFERROR(1/(1/IF($B57="Residential",SUMIFS(INDEX('Oxford Economics'!$A$7:$AZ$1000,0,IFERROR(MATCH(AF$5,'Oxford Economics'!$A$6:$AZ$6,0),MATCH(AF$5&amp;"",'Oxford Economics'!$A$6:$AZ$6,0))),'Oxford Economics'!$A$7:$A$1000,$C57,'Oxford Economics'!$B$7:$B$1000,Settings!$B$12)-SUMIFS(INDEX('Oxford Economics'!$A$7:$AZ$1000,0,IFERROR(MATCH(AF$5,'Oxford Economics'!$A$6:$AZ$6,0),MATCH(AF$5&amp;"",'Oxford Economics'!$A$6:$AZ$6,0))),'Oxford Economics'!$A$7:$A$1000,$C57,'Oxford Economics'!$B$7:$B$1000,Settings!$B$14),SUMIFS(INDEX('Oxford Economics'!$A$7:$AZ$1000,0,IFERROR(MATCH(AF$5,'Oxford Economics'!$A$6:$AZ$6,0),MATCH(AF$5&amp;"",'Oxford Economics'!$A$6:$AZ$6,0))),'Oxford Economics'!$A$7:$A$1000,$C57,'Oxford Economics'!$B$7:$B$1000,Settings!$B$14)+SUMIFS(INDEX('Oxford Economics'!$A$7:$AZ$1000,0,IFERROR(MATCH(AF$5,'Oxford Economics'!$A$6:$AZ$6,0),MATCH(AF$5&amp;"",'Oxford Economics'!$A$6:$AZ$6,0))),'Oxford Economics'!$A$7:$A$1000,$C57,'Oxford Economics'!$B$7:$B$1000,Settings!$B$16)+IF(Settings!$B$18="",0,SUMIFS(INDEX('Oxford Economics'!$A$7:$AZ$1000,0,IFERROR(MATCH(AF$5,'Oxford Economics'!$A$6:$AZ$6,0),MATCH(AF$5&amp;"",'Oxford Economics'!$A$6:$AZ$6,0))),'Oxford Economics'!$A$7:$A$1000,$C57,'Oxford Economics'!$B$7:$B$1000,Settings!$B$18)))),""))</f>
        <v>41700.71</v>
      </c>
      <c r="AG57" s="38" t="n">
        <f aca="false">IF($A57="","",IFERROR(1/(1/IF($B57="Residential",SUMIFS(INDEX('Oxford Economics'!$A$7:$AZ$1000,0,IFERROR(MATCH(AG$5,'Oxford Economics'!$A$6:$AZ$6,0),MATCH(AG$5&amp;"",'Oxford Economics'!$A$6:$AZ$6,0))),'Oxford Economics'!$A$7:$A$1000,$C57,'Oxford Economics'!$B$7:$B$1000,Settings!$B$12)-SUMIFS(INDEX('Oxford Economics'!$A$7:$AZ$1000,0,IFERROR(MATCH(AG$5,'Oxford Economics'!$A$6:$AZ$6,0),MATCH(AG$5&amp;"",'Oxford Economics'!$A$6:$AZ$6,0))),'Oxford Economics'!$A$7:$A$1000,$C57,'Oxford Economics'!$B$7:$B$1000,Settings!$B$14),SUMIFS(INDEX('Oxford Economics'!$A$7:$AZ$1000,0,IFERROR(MATCH(AG$5,'Oxford Economics'!$A$6:$AZ$6,0),MATCH(AG$5&amp;"",'Oxford Economics'!$A$6:$AZ$6,0))),'Oxford Economics'!$A$7:$A$1000,$C57,'Oxford Economics'!$B$7:$B$1000,Settings!$B$14)+SUMIFS(INDEX('Oxford Economics'!$A$7:$AZ$1000,0,IFERROR(MATCH(AG$5,'Oxford Economics'!$A$6:$AZ$6,0),MATCH(AG$5&amp;"",'Oxford Economics'!$A$6:$AZ$6,0))),'Oxford Economics'!$A$7:$A$1000,$C57,'Oxford Economics'!$B$7:$B$1000,Settings!$B$16)+IF(Settings!$B$18="",0,SUMIFS(INDEX('Oxford Economics'!$A$7:$AZ$1000,0,IFERROR(MATCH(AG$5,'Oxford Economics'!$A$6:$AZ$6,0),MATCH(AG$5&amp;"",'Oxford Economics'!$A$6:$AZ$6,0))),'Oxford Economics'!$A$7:$A$1000,$C57,'Oxford Economics'!$B$7:$B$1000,Settings!$B$18)))),""))</f>
        <v>39622.45</v>
      </c>
      <c r="AH57" s="38" t="n">
        <f aca="false">IF($A57="","",IFERROR(1/(1/IF($B57="Residential",SUMIFS(INDEX('Oxford Economics'!$A$7:$AZ$1000,0,IFERROR(MATCH(AH$5,'Oxford Economics'!$A$6:$AZ$6,0),MATCH(AH$5&amp;"",'Oxford Economics'!$A$6:$AZ$6,0))),'Oxford Economics'!$A$7:$A$1000,$C57,'Oxford Economics'!$B$7:$B$1000,Settings!$B$12)-SUMIFS(INDEX('Oxford Economics'!$A$7:$AZ$1000,0,IFERROR(MATCH(AH$5,'Oxford Economics'!$A$6:$AZ$6,0),MATCH(AH$5&amp;"",'Oxford Economics'!$A$6:$AZ$6,0))),'Oxford Economics'!$A$7:$A$1000,$C57,'Oxford Economics'!$B$7:$B$1000,Settings!$B$14),SUMIFS(INDEX('Oxford Economics'!$A$7:$AZ$1000,0,IFERROR(MATCH(AH$5,'Oxford Economics'!$A$6:$AZ$6,0),MATCH(AH$5&amp;"",'Oxford Economics'!$A$6:$AZ$6,0))),'Oxford Economics'!$A$7:$A$1000,$C57,'Oxford Economics'!$B$7:$B$1000,Settings!$B$14)+SUMIFS(INDEX('Oxford Economics'!$A$7:$AZ$1000,0,IFERROR(MATCH(AH$5,'Oxford Economics'!$A$6:$AZ$6,0),MATCH(AH$5&amp;"",'Oxford Economics'!$A$6:$AZ$6,0))),'Oxford Economics'!$A$7:$A$1000,$C57,'Oxford Economics'!$B$7:$B$1000,Settings!$B$16)+IF(Settings!$B$18="",0,SUMIFS(INDEX('Oxford Economics'!$A$7:$AZ$1000,0,IFERROR(MATCH(AH$5,'Oxford Economics'!$A$6:$AZ$6,0),MATCH(AH$5&amp;"",'Oxford Economics'!$A$6:$AZ$6,0))),'Oxford Economics'!$A$7:$A$1000,$C57,'Oxford Economics'!$B$7:$B$1000,Settings!$B$18)))),""))</f>
        <v>40814.9</v>
      </c>
      <c r="AI57" s="38" t="n">
        <f aca="false">IF($A57="","",IFERROR(1/(1/IF($B57="Residential",SUMIFS(INDEX('Oxford Economics'!$A$7:$AZ$1000,0,IFERROR(MATCH(AI$5,'Oxford Economics'!$A$6:$AZ$6,0),MATCH(AI$5&amp;"",'Oxford Economics'!$A$6:$AZ$6,0))),'Oxford Economics'!$A$7:$A$1000,$C57,'Oxford Economics'!$B$7:$B$1000,Settings!$B$12)-SUMIFS(INDEX('Oxford Economics'!$A$7:$AZ$1000,0,IFERROR(MATCH(AI$5,'Oxford Economics'!$A$6:$AZ$6,0),MATCH(AI$5&amp;"",'Oxford Economics'!$A$6:$AZ$6,0))),'Oxford Economics'!$A$7:$A$1000,$C57,'Oxford Economics'!$B$7:$B$1000,Settings!$B$14),SUMIFS(INDEX('Oxford Economics'!$A$7:$AZ$1000,0,IFERROR(MATCH(AI$5,'Oxford Economics'!$A$6:$AZ$6,0),MATCH(AI$5&amp;"",'Oxford Economics'!$A$6:$AZ$6,0))),'Oxford Economics'!$A$7:$A$1000,$C57,'Oxford Economics'!$B$7:$B$1000,Settings!$B$14)+SUMIFS(INDEX('Oxford Economics'!$A$7:$AZ$1000,0,IFERROR(MATCH(AI$5,'Oxford Economics'!$A$6:$AZ$6,0),MATCH(AI$5&amp;"",'Oxford Economics'!$A$6:$AZ$6,0))),'Oxford Economics'!$A$7:$A$1000,$C57,'Oxford Economics'!$B$7:$B$1000,Settings!$B$16)+IF(Settings!$B$18="",0,SUMIFS(INDEX('Oxford Economics'!$A$7:$AZ$1000,0,IFERROR(MATCH(AI$5,'Oxford Economics'!$A$6:$AZ$6,0),MATCH(AI$5&amp;"",'Oxford Economics'!$A$6:$AZ$6,0))),'Oxford Economics'!$A$7:$A$1000,$C57,'Oxford Economics'!$B$7:$B$1000,Settings!$B$18)))),""))</f>
        <v>42826.17</v>
      </c>
      <c r="AJ57" s="38" t="n">
        <f aca="false">IF($A57="","",IFERROR(1/(1/IF($B57="Residential",SUMIFS(INDEX('Oxford Economics'!$A$7:$AZ$1000,0,IFERROR(MATCH(AJ$5,'Oxford Economics'!$A$6:$AZ$6,0),MATCH(AJ$5&amp;"",'Oxford Economics'!$A$6:$AZ$6,0))),'Oxford Economics'!$A$7:$A$1000,$C57,'Oxford Economics'!$B$7:$B$1000,Settings!$B$12)-SUMIFS(INDEX('Oxford Economics'!$A$7:$AZ$1000,0,IFERROR(MATCH(AJ$5,'Oxford Economics'!$A$6:$AZ$6,0),MATCH(AJ$5&amp;"",'Oxford Economics'!$A$6:$AZ$6,0))),'Oxford Economics'!$A$7:$A$1000,$C57,'Oxford Economics'!$B$7:$B$1000,Settings!$B$14),SUMIFS(INDEX('Oxford Economics'!$A$7:$AZ$1000,0,IFERROR(MATCH(AJ$5,'Oxford Economics'!$A$6:$AZ$6,0),MATCH(AJ$5&amp;"",'Oxford Economics'!$A$6:$AZ$6,0))),'Oxford Economics'!$A$7:$A$1000,$C57,'Oxford Economics'!$B$7:$B$1000,Settings!$B$14)+SUMIFS(INDEX('Oxford Economics'!$A$7:$AZ$1000,0,IFERROR(MATCH(AJ$5,'Oxford Economics'!$A$6:$AZ$6,0),MATCH(AJ$5&amp;"",'Oxford Economics'!$A$6:$AZ$6,0))),'Oxford Economics'!$A$7:$A$1000,$C57,'Oxford Economics'!$B$7:$B$1000,Settings!$B$16)+IF(Settings!$B$18="",0,SUMIFS(INDEX('Oxford Economics'!$A$7:$AZ$1000,0,IFERROR(MATCH(AJ$5,'Oxford Economics'!$A$6:$AZ$6,0),MATCH(AJ$5&amp;"",'Oxford Economics'!$A$6:$AZ$6,0))),'Oxford Economics'!$A$7:$A$1000,$C57,'Oxford Economics'!$B$7:$B$1000,Settings!$B$18)))),""))</f>
        <v>44494.66</v>
      </c>
      <c r="AK57" s="38" t="n">
        <f aca="false">IF($A57="","",IFERROR(1/(1/IF($B57="Residential",SUMIFS(INDEX('Oxford Economics'!$A$7:$AZ$1000,0,IFERROR(MATCH(AK$5,'Oxford Economics'!$A$6:$AZ$6,0),MATCH(AK$5&amp;"",'Oxford Economics'!$A$6:$AZ$6,0))),'Oxford Economics'!$A$7:$A$1000,$C57,'Oxford Economics'!$B$7:$B$1000,Settings!$B$12)-SUMIFS(INDEX('Oxford Economics'!$A$7:$AZ$1000,0,IFERROR(MATCH(AK$5,'Oxford Economics'!$A$6:$AZ$6,0),MATCH(AK$5&amp;"",'Oxford Economics'!$A$6:$AZ$6,0))),'Oxford Economics'!$A$7:$A$1000,$C57,'Oxford Economics'!$B$7:$B$1000,Settings!$B$14),SUMIFS(INDEX('Oxford Economics'!$A$7:$AZ$1000,0,IFERROR(MATCH(AK$5,'Oxford Economics'!$A$6:$AZ$6,0),MATCH(AK$5&amp;"",'Oxford Economics'!$A$6:$AZ$6,0))),'Oxford Economics'!$A$7:$A$1000,$C57,'Oxford Economics'!$B$7:$B$1000,Settings!$B$14)+SUMIFS(INDEX('Oxford Economics'!$A$7:$AZ$1000,0,IFERROR(MATCH(AK$5,'Oxford Economics'!$A$6:$AZ$6,0),MATCH(AK$5&amp;"",'Oxford Economics'!$A$6:$AZ$6,0))),'Oxford Economics'!$A$7:$A$1000,$C57,'Oxford Economics'!$B$7:$B$1000,Settings!$B$16)+IF(Settings!$B$18="",0,SUMIFS(INDEX('Oxford Economics'!$A$7:$AZ$1000,0,IFERROR(MATCH(AK$5,'Oxford Economics'!$A$6:$AZ$6,0),MATCH(AK$5&amp;"",'Oxford Economics'!$A$6:$AZ$6,0))),'Oxford Economics'!$A$7:$A$1000,$C57,'Oxford Economics'!$B$7:$B$1000,Settings!$B$18)))),""))</f>
        <v>45579.38</v>
      </c>
      <c r="AL57" s="38" t="n">
        <f aca="false">IF($A57="","",IFERROR(1/(1/IF($B57="Residential",SUMIFS(INDEX('Oxford Economics'!$A$7:$AZ$1000,0,IFERROR(MATCH(AL$5,'Oxford Economics'!$A$6:$AZ$6,0),MATCH(AL$5&amp;"",'Oxford Economics'!$A$6:$AZ$6,0))),'Oxford Economics'!$A$7:$A$1000,$C57,'Oxford Economics'!$B$7:$B$1000,Settings!$B$12)-SUMIFS(INDEX('Oxford Economics'!$A$7:$AZ$1000,0,IFERROR(MATCH(AL$5,'Oxford Economics'!$A$6:$AZ$6,0),MATCH(AL$5&amp;"",'Oxford Economics'!$A$6:$AZ$6,0))),'Oxford Economics'!$A$7:$A$1000,$C57,'Oxford Economics'!$B$7:$B$1000,Settings!$B$14),SUMIFS(INDEX('Oxford Economics'!$A$7:$AZ$1000,0,IFERROR(MATCH(AL$5,'Oxford Economics'!$A$6:$AZ$6,0),MATCH(AL$5&amp;"",'Oxford Economics'!$A$6:$AZ$6,0))),'Oxford Economics'!$A$7:$A$1000,$C57,'Oxford Economics'!$B$7:$B$1000,Settings!$B$14)+SUMIFS(INDEX('Oxford Economics'!$A$7:$AZ$1000,0,IFERROR(MATCH(AL$5,'Oxford Economics'!$A$6:$AZ$6,0),MATCH(AL$5&amp;"",'Oxford Economics'!$A$6:$AZ$6,0))),'Oxford Economics'!$A$7:$A$1000,$C57,'Oxford Economics'!$B$7:$B$1000,Settings!$B$16)+IF(Settings!$B$18="",0,SUMIFS(INDEX('Oxford Economics'!$A$7:$AZ$1000,0,IFERROR(MATCH(AL$5,'Oxford Economics'!$A$6:$AZ$6,0),MATCH(AL$5&amp;"",'Oxford Economics'!$A$6:$AZ$6,0))),'Oxford Economics'!$A$7:$A$1000,$C57,'Oxford Economics'!$B$7:$B$1000,Settings!$B$18)))),""))</f>
        <v>46487.43</v>
      </c>
      <c r="AM57" s="38" t="n">
        <f aca="false">IF($A57="","",IFERROR(1/(1/IF($B57="Residential",SUMIFS(INDEX('Oxford Economics'!$A$7:$AZ$1000,0,IFERROR(MATCH(AM$5,'Oxford Economics'!$A$6:$AZ$6,0),MATCH(AM$5&amp;"",'Oxford Economics'!$A$6:$AZ$6,0))),'Oxford Economics'!$A$7:$A$1000,$C57,'Oxford Economics'!$B$7:$B$1000,Settings!$B$12)-SUMIFS(INDEX('Oxford Economics'!$A$7:$AZ$1000,0,IFERROR(MATCH(AM$5,'Oxford Economics'!$A$6:$AZ$6,0),MATCH(AM$5&amp;"",'Oxford Economics'!$A$6:$AZ$6,0))),'Oxford Economics'!$A$7:$A$1000,$C57,'Oxford Economics'!$B$7:$B$1000,Settings!$B$14),SUMIFS(INDEX('Oxford Economics'!$A$7:$AZ$1000,0,IFERROR(MATCH(AM$5,'Oxford Economics'!$A$6:$AZ$6,0),MATCH(AM$5&amp;"",'Oxford Economics'!$A$6:$AZ$6,0))),'Oxford Economics'!$A$7:$A$1000,$C57,'Oxford Economics'!$B$7:$B$1000,Settings!$B$14)+SUMIFS(INDEX('Oxford Economics'!$A$7:$AZ$1000,0,IFERROR(MATCH(AM$5,'Oxford Economics'!$A$6:$AZ$6,0),MATCH(AM$5&amp;"",'Oxford Economics'!$A$6:$AZ$6,0))),'Oxford Economics'!$A$7:$A$1000,$C57,'Oxford Economics'!$B$7:$B$1000,Settings!$B$16)+IF(Settings!$B$18="",0,SUMIFS(INDEX('Oxford Economics'!$A$7:$AZ$1000,0,IFERROR(MATCH(AM$5,'Oxford Economics'!$A$6:$AZ$6,0),MATCH(AM$5&amp;"",'Oxford Economics'!$A$6:$AZ$6,0))),'Oxford Economics'!$A$7:$A$1000,$C57,'Oxford Economics'!$B$7:$B$1000,Settings!$B$18)))),""))</f>
        <v>47342.37</v>
      </c>
    </row>
    <row r="58" customFormat="false" ht="15" hidden="false" customHeight="false" outlineLevel="0" collapsed="false">
      <c r="A58" s="37" t="str">
        <f aca="false">IF('Raw data'!$A58="","",'Raw data'!$A58)</f>
        <v>Germany</v>
      </c>
      <c r="B58" s="37" t="str">
        <f aca="false">IF($A58="","",'Raw data'!$C58)</f>
        <v>Commercial</v>
      </c>
      <c r="C58" s="37" t="str">
        <f aca="false">IF($A58="","",IF('Raw data'!$E58="",$A58,'Raw data'!$E58))</f>
        <v>Germany</v>
      </c>
      <c r="D58" s="38" t="n">
        <f aca="false">IF($A58="","",IF(AND(ISNUMBER(P58),ISNUMBER(AB58)),P58+AB58,""))</f>
        <v>141529.15</v>
      </c>
      <c r="E58" s="38" t="n">
        <f aca="false">IF($A58="","",IF(AND(ISNUMBER(Q58),ISNUMBER(AC58)),Q58+AC58,""))</f>
        <v>138096.2</v>
      </c>
      <c r="F58" s="38" t="n">
        <f aca="false">IF($A58="","",IF(AND(ISNUMBER(R58),ISNUMBER(AD58)),R58+AD58,""))</f>
        <v>121333.6</v>
      </c>
      <c r="G58" s="38" t="n">
        <f aca="false">IF($A58="","",IF(AND(ISNUMBER(S58),ISNUMBER(AE58)),S58+AE58,""))</f>
        <v>120937.84</v>
      </c>
      <c r="H58" s="38" t="n">
        <f aca="false">IF($A58="","",IF(AND(ISNUMBER(T58),ISNUMBER(AF58)),T58+AF58,""))</f>
        <v>112217.91</v>
      </c>
      <c r="I58" s="38" t="n">
        <f aca="false">IF($A58="","",IF(AND(ISNUMBER(U58),ISNUMBER(AG58)),U58+AG58,""))</f>
        <v>108414.85</v>
      </c>
      <c r="J58" s="38" t="n">
        <f aca="false">IF($A58="","",IF(AND(ISNUMBER(V58),ISNUMBER(AH58)),V58+AH58,""))</f>
        <v>110980.23</v>
      </c>
      <c r="K58" s="38" t="n">
        <f aca="false">IF($A58="","",IF(AND(ISNUMBER(W58),ISNUMBER(AI58)),W58+AI58,""))</f>
        <v>114619</v>
      </c>
      <c r="L58" s="38" t="n">
        <f aca="false">IF($A58="","",IF(AND(ISNUMBER(X58),ISNUMBER(AJ58)),X58+AJ58,""))</f>
        <v>119890.88</v>
      </c>
      <c r="M58" s="38" t="n">
        <f aca="false">IF($A58="","",IF(AND(ISNUMBER(Y58),ISNUMBER(AK58)),Y58+AK58,""))</f>
        <v>125283.57</v>
      </c>
      <c r="N58" s="38" t="n">
        <f aca="false">IF($A58="","",IF(AND(ISNUMBER(Z58),ISNUMBER(AL58)),Z58+AL58,""))</f>
        <v>130476.26</v>
      </c>
      <c r="O58" s="38" t="n">
        <f aca="false">IF($A58="","",IF(AND(ISNUMBER(AA58),ISNUMBER(AM58)),AA58+AM58,""))</f>
        <v>133257.25</v>
      </c>
      <c r="P58" s="38" t="n">
        <f aca="false">IF($A58="","",IFERROR(1/(1/IF($B58="Residential",SUMIFS(INDEX('Oxford Economics'!$A$7:$AZ$1000,0,IFERROR(MATCH(P$5,'Oxford Economics'!$A$6:$AZ$6,0),MATCH(P$5&amp;"",'Oxford Economics'!$A$6:$AZ$6,0))),'Oxford Economics'!$A$7:$A$1000,$C58,'Oxford Economics'!$B$7:$B$1000,Settings!$B$13)-SUMIFS(INDEX('Oxford Economics'!$A$7:$AZ$1000,0,IFERROR(MATCH(P$5,'Oxford Economics'!$A$6:$AZ$6,0),MATCH(P$5&amp;"",'Oxford Economics'!$A$6:$AZ$6,0))),'Oxford Economics'!$A$7:$A$1000,$C58,'Oxford Economics'!$B$7:$B$1000,Settings!$B$15),SUMIFS(INDEX('Oxford Economics'!$A$7:$AZ$1000,0,IFERROR(MATCH(P$5,'Oxford Economics'!$A$6:$AZ$6,0),MATCH(P$5&amp;"",'Oxford Economics'!$A$6:$AZ$6,0))),'Oxford Economics'!$A$7:$A$1000,$C58,'Oxford Economics'!$B$7:$B$1000,Settings!$B$15)+SUMIFS(INDEX('Oxford Economics'!$A$7:$AZ$1000,0,IFERROR(MATCH(P$5,'Oxford Economics'!$A$6:$AZ$6,0),MATCH(P$5&amp;"",'Oxford Economics'!$A$6:$AZ$6,0))),'Oxford Economics'!$A$7:$A$1000,$C58,'Oxford Economics'!$B$7:$B$1000,Settings!$B$17)+IF(Settings!$B$19="",0,SUMIFS(INDEX('Oxford Economics'!$A$7:$AZ$1000,0,IFERROR(MATCH(P$5,'Oxford Economics'!$A$6:$AZ$6,0),MATCH(P$5&amp;"",'Oxford Economics'!$A$6:$AZ$6,0))),'Oxford Economics'!$A$7:$A$1000,$C58,'Oxford Economics'!$B$7:$B$1000,Settings!$B$19)))),""))</f>
        <v>86179.79</v>
      </c>
      <c r="Q58" s="38" t="n">
        <f aca="false">IF($A58="","",IFERROR(1/(1/IF($B58="Residential",SUMIFS(INDEX('Oxford Economics'!$A$7:$AZ$1000,0,IFERROR(MATCH(Q$5,'Oxford Economics'!$A$6:$AZ$6,0),MATCH(Q$5&amp;"",'Oxford Economics'!$A$6:$AZ$6,0))),'Oxford Economics'!$A$7:$A$1000,$C58,'Oxford Economics'!$B$7:$B$1000,Settings!$B$13)-SUMIFS(INDEX('Oxford Economics'!$A$7:$AZ$1000,0,IFERROR(MATCH(Q$5,'Oxford Economics'!$A$6:$AZ$6,0),MATCH(Q$5&amp;"",'Oxford Economics'!$A$6:$AZ$6,0))),'Oxford Economics'!$A$7:$A$1000,$C58,'Oxford Economics'!$B$7:$B$1000,Settings!$B$15),SUMIFS(INDEX('Oxford Economics'!$A$7:$AZ$1000,0,IFERROR(MATCH(Q$5,'Oxford Economics'!$A$6:$AZ$6,0),MATCH(Q$5&amp;"",'Oxford Economics'!$A$6:$AZ$6,0))),'Oxford Economics'!$A$7:$A$1000,$C58,'Oxford Economics'!$B$7:$B$1000,Settings!$B$15)+SUMIFS(INDEX('Oxford Economics'!$A$7:$AZ$1000,0,IFERROR(MATCH(Q$5,'Oxford Economics'!$A$6:$AZ$6,0),MATCH(Q$5&amp;"",'Oxford Economics'!$A$6:$AZ$6,0))),'Oxford Economics'!$A$7:$A$1000,$C58,'Oxford Economics'!$B$7:$B$1000,Settings!$B$17)+IF(Settings!$B$19="",0,SUMIFS(INDEX('Oxford Economics'!$A$7:$AZ$1000,0,IFERROR(MATCH(Q$5,'Oxford Economics'!$A$6:$AZ$6,0),MATCH(Q$5&amp;"",'Oxford Economics'!$A$6:$AZ$6,0))),'Oxford Economics'!$A$7:$A$1000,$C58,'Oxford Economics'!$B$7:$B$1000,Settings!$B$19)))),""))</f>
        <v>85150.73</v>
      </c>
      <c r="R58" s="38" t="n">
        <f aca="false">IF($A58="","",IFERROR(1/(1/IF($B58="Residential",SUMIFS(INDEX('Oxford Economics'!$A$7:$AZ$1000,0,IFERROR(MATCH(R$5,'Oxford Economics'!$A$6:$AZ$6,0),MATCH(R$5&amp;"",'Oxford Economics'!$A$6:$AZ$6,0))),'Oxford Economics'!$A$7:$A$1000,$C58,'Oxford Economics'!$B$7:$B$1000,Settings!$B$13)-SUMIFS(INDEX('Oxford Economics'!$A$7:$AZ$1000,0,IFERROR(MATCH(R$5,'Oxford Economics'!$A$6:$AZ$6,0),MATCH(R$5&amp;"",'Oxford Economics'!$A$6:$AZ$6,0))),'Oxford Economics'!$A$7:$A$1000,$C58,'Oxford Economics'!$B$7:$B$1000,Settings!$B$15),SUMIFS(INDEX('Oxford Economics'!$A$7:$AZ$1000,0,IFERROR(MATCH(R$5,'Oxford Economics'!$A$6:$AZ$6,0),MATCH(R$5&amp;"",'Oxford Economics'!$A$6:$AZ$6,0))),'Oxford Economics'!$A$7:$A$1000,$C58,'Oxford Economics'!$B$7:$B$1000,Settings!$B$15)+SUMIFS(INDEX('Oxford Economics'!$A$7:$AZ$1000,0,IFERROR(MATCH(R$5,'Oxford Economics'!$A$6:$AZ$6,0),MATCH(R$5&amp;"",'Oxford Economics'!$A$6:$AZ$6,0))),'Oxford Economics'!$A$7:$A$1000,$C58,'Oxford Economics'!$B$7:$B$1000,Settings!$B$17)+IF(Settings!$B$19="",0,SUMIFS(INDEX('Oxford Economics'!$A$7:$AZ$1000,0,IFERROR(MATCH(R$5,'Oxford Economics'!$A$6:$AZ$6,0),MATCH(R$5&amp;"",'Oxford Economics'!$A$6:$AZ$6,0))),'Oxford Economics'!$A$7:$A$1000,$C58,'Oxford Economics'!$B$7:$B$1000,Settings!$B$19)))),""))</f>
        <v>76144.64</v>
      </c>
      <c r="S58" s="38" t="n">
        <f aca="false">IF($A58="","",IFERROR(1/(1/IF($B58="Residential",SUMIFS(INDEX('Oxford Economics'!$A$7:$AZ$1000,0,IFERROR(MATCH(S$5,'Oxford Economics'!$A$6:$AZ$6,0),MATCH(S$5&amp;"",'Oxford Economics'!$A$6:$AZ$6,0))),'Oxford Economics'!$A$7:$A$1000,$C58,'Oxford Economics'!$B$7:$B$1000,Settings!$B$13)-SUMIFS(INDEX('Oxford Economics'!$A$7:$AZ$1000,0,IFERROR(MATCH(S$5,'Oxford Economics'!$A$6:$AZ$6,0),MATCH(S$5&amp;"",'Oxford Economics'!$A$6:$AZ$6,0))),'Oxford Economics'!$A$7:$A$1000,$C58,'Oxford Economics'!$B$7:$B$1000,Settings!$B$15),SUMIFS(INDEX('Oxford Economics'!$A$7:$AZ$1000,0,IFERROR(MATCH(S$5,'Oxford Economics'!$A$6:$AZ$6,0),MATCH(S$5&amp;"",'Oxford Economics'!$A$6:$AZ$6,0))),'Oxford Economics'!$A$7:$A$1000,$C58,'Oxford Economics'!$B$7:$B$1000,Settings!$B$15)+SUMIFS(INDEX('Oxford Economics'!$A$7:$AZ$1000,0,IFERROR(MATCH(S$5,'Oxford Economics'!$A$6:$AZ$6,0),MATCH(S$5&amp;"",'Oxford Economics'!$A$6:$AZ$6,0))),'Oxford Economics'!$A$7:$A$1000,$C58,'Oxford Economics'!$B$7:$B$1000,Settings!$B$17)+IF(Settings!$B$19="",0,SUMIFS(INDEX('Oxford Economics'!$A$7:$AZ$1000,0,IFERROR(MATCH(S$5,'Oxford Economics'!$A$6:$AZ$6,0),MATCH(S$5&amp;"",'Oxford Economics'!$A$6:$AZ$6,0))),'Oxford Economics'!$A$7:$A$1000,$C58,'Oxford Economics'!$B$7:$B$1000,Settings!$B$19)))),""))</f>
        <v>75063.16</v>
      </c>
      <c r="T58" s="38" t="n">
        <f aca="false">IF($A58="","",IFERROR(1/(1/IF($B58="Residential",SUMIFS(INDEX('Oxford Economics'!$A$7:$AZ$1000,0,IFERROR(MATCH(T$5,'Oxford Economics'!$A$6:$AZ$6,0),MATCH(T$5&amp;"",'Oxford Economics'!$A$6:$AZ$6,0))),'Oxford Economics'!$A$7:$A$1000,$C58,'Oxford Economics'!$B$7:$B$1000,Settings!$B$13)-SUMIFS(INDEX('Oxford Economics'!$A$7:$AZ$1000,0,IFERROR(MATCH(T$5,'Oxford Economics'!$A$6:$AZ$6,0),MATCH(T$5&amp;"",'Oxford Economics'!$A$6:$AZ$6,0))),'Oxford Economics'!$A$7:$A$1000,$C58,'Oxford Economics'!$B$7:$B$1000,Settings!$B$15),SUMIFS(INDEX('Oxford Economics'!$A$7:$AZ$1000,0,IFERROR(MATCH(T$5,'Oxford Economics'!$A$6:$AZ$6,0),MATCH(T$5&amp;"",'Oxford Economics'!$A$6:$AZ$6,0))),'Oxford Economics'!$A$7:$A$1000,$C58,'Oxford Economics'!$B$7:$B$1000,Settings!$B$15)+SUMIFS(INDEX('Oxford Economics'!$A$7:$AZ$1000,0,IFERROR(MATCH(T$5,'Oxford Economics'!$A$6:$AZ$6,0),MATCH(T$5&amp;"",'Oxford Economics'!$A$6:$AZ$6,0))),'Oxford Economics'!$A$7:$A$1000,$C58,'Oxford Economics'!$B$7:$B$1000,Settings!$B$17)+IF(Settings!$B$19="",0,SUMIFS(INDEX('Oxford Economics'!$A$7:$AZ$1000,0,IFERROR(MATCH(T$5,'Oxford Economics'!$A$6:$AZ$6,0),MATCH(T$5&amp;"",'Oxford Economics'!$A$6:$AZ$6,0))),'Oxford Economics'!$A$7:$A$1000,$C58,'Oxford Economics'!$B$7:$B$1000,Settings!$B$19)))),""))</f>
        <v>70517.2</v>
      </c>
      <c r="U58" s="38" t="n">
        <f aca="false">IF($A58="","",IFERROR(1/(1/IF($B58="Residential",SUMIFS(INDEX('Oxford Economics'!$A$7:$AZ$1000,0,IFERROR(MATCH(U$5,'Oxford Economics'!$A$6:$AZ$6,0),MATCH(U$5&amp;"",'Oxford Economics'!$A$6:$AZ$6,0))),'Oxford Economics'!$A$7:$A$1000,$C58,'Oxford Economics'!$B$7:$B$1000,Settings!$B$13)-SUMIFS(INDEX('Oxford Economics'!$A$7:$AZ$1000,0,IFERROR(MATCH(U$5,'Oxford Economics'!$A$6:$AZ$6,0),MATCH(U$5&amp;"",'Oxford Economics'!$A$6:$AZ$6,0))),'Oxford Economics'!$A$7:$A$1000,$C58,'Oxford Economics'!$B$7:$B$1000,Settings!$B$15),SUMIFS(INDEX('Oxford Economics'!$A$7:$AZ$1000,0,IFERROR(MATCH(U$5,'Oxford Economics'!$A$6:$AZ$6,0),MATCH(U$5&amp;"",'Oxford Economics'!$A$6:$AZ$6,0))),'Oxford Economics'!$A$7:$A$1000,$C58,'Oxford Economics'!$B$7:$B$1000,Settings!$B$15)+SUMIFS(INDEX('Oxford Economics'!$A$7:$AZ$1000,0,IFERROR(MATCH(U$5,'Oxford Economics'!$A$6:$AZ$6,0),MATCH(U$5&amp;"",'Oxford Economics'!$A$6:$AZ$6,0))),'Oxford Economics'!$A$7:$A$1000,$C58,'Oxford Economics'!$B$7:$B$1000,Settings!$B$17)+IF(Settings!$B$19="",0,SUMIFS(INDEX('Oxford Economics'!$A$7:$AZ$1000,0,IFERROR(MATCH(U$5,'Oxford Economics'!$A$6:$AZ$6,0),MATCH(U$5&amp;"",'Oxford Economics'!$A$6:$AZ$6,0))),'Oxford Economics'!$A$7:$A$1000,$C58,'Oxford Economics'!$B$7:$B$1000,Settings!$B$19)))),""))</f>
        <v>68792.4</v>
      </c>
      <c r="V58" s="38" t="n">
        <f aca="false">IF($A58="","",IFERROR(1/(1/IF($B58="Residential",SUMIFS(INDEX('Oxford Economics'!$A$7:$AZ$1000,0,IFERROR(MATCH(V$5,'Oxford Economics'!$A$6:$AZ$6,0),MATCH(V$5&amp;"",'Oxford Economics'!$A$6:$AZ$6,0))),'Oxford Economics'!$A$7:$A$1000,$C58,'Oxford Economics'!$B$7:$B$1000,Settings!$B$13)-SUMIFS(INDEX('Oxford Economics'!$A$7:$AZ$1000,0,IFERROR(MATCH(V$5,'Oxford Economics'!$A$6:$AZ$6,0),MATCH(V$5&amp;"",'Oxford Economics'!$A$6:$AZ$6,0))),'Oxford Economics'!$A$7:$A$1000,$C58,'Oxford Economics'!$B$7:$B$1000,Settings!$B$15),SUMIFS(INDEX('Oxford Economics'!$A$7:$AZ$1000,0,IFERROR(MATCH(V$5,'Oxford Economics'!$A$6:$AZ$6,0),MATCH(V$5&amp;"",'Oxford Economics'!$A$6:$AZ$6,0))),'Oxford Economics'!$A$7:$A$1000,$C58,'Oxford Economics'!$B$7:$B$1000,Settings!$B$15)+SUMIFS(INDEX('Oxford Economics'!$A$7:$AZ$1000,0,IFERROR(MATCH(V$5,'Oxford Economics'!$A$6:$AZ$6,0),MATCH(V$5&amp;"",'Oxford Economics'!$A$6:$AZ$6,0))),'Oxford Economics'!$A$7:$A$1000,$C58,'Oxford Economics'!$B$7:$B$1000,Settings!$B$17)+IF(Settings!$B$19="",0,SUMIFS(INDEX('Oxford Economics'!$A$7:$AZ$1000,0,IFERROR(MATCH(V$5,'Oxford Economics'!$A$6:$AZ$6,0),MATCH(V$5&amp;"",'Oxford Economics'!$A$6:$AZ$6,0))),'Oxford Economics'!$A$7:$A$1000,$C58,'Oxford Economics'!$B$7:$B$1000,Settings!$B$19)))),""))</f>
        <v>70165.33</v>
      </c>
      <c r="W58" s="38" t="n">
        <f aca="false">IF($A58="","",IFERROR(1/(1/IF($B58="Residential",SUMIFS(INDEX('Oxford Economics'!$A$7:$AZ$1000,0,IFERROR(MATCH(W$5,'Oxford Economics'!$A$6:$AZ$6,0),MATCH(W$5&amp;"",'Oxford Economics'!$A$6:$AZ$6,0))),'Oxford Economics'!$A$7:$A$1000,$C58,'Oxford Economics'!$B$7:$B$1000,Settings!$B$13)-SUMIFS(INDEX('Oxford Economics'!$A$7:$AZ$1000,0,IFERROR(MATCH(W$5,'Oxford Economics'!$A$6:$AZ$6,0),MATCH(W$5&amp;"",'Oxford Economics'!$A$6:$AZ$6,0))),'Oxford Economics'!$A$7:$A$1000,$C58,'Oxford Economics'!$B$7:$B$1000,Settings!$B$15),SUMIFS(INDEX('Oxford Economics'!$A$7:$AZ$1000,0,IFERROR(MATCH(W$5,'Oxford Economics'!$A$6:$AZ$6,0),MATCH(W$5&amp;"",'Oxford Economics'!$A$6:$AZ$6,0))),'Oxford Economics'!$A$7:$A$1000,$C58,'Oxford Economics'!$B$7:$B$1000,Settings!$B$15)+SUMIFS(INDEX('Oxford Economics'!$A$7:$AZ$1000,0,IFERROR(MATCH(W$5,'Oxford Economics'!$A$6:$AZ$6,0),MATCH(W$5&amp;"",'Oxford Economics'!$A$6:$AZ$6,0))),'Oxford Economics'!$A$7:$A$1000,$C58,'Oxford Economics'!$B$7:$B$1000,Settings!$B$17)+IF(Settings!$B$19="",0,SUMIFS(INDEX('Oxford Economics'!$A$7:$AZ$1000,0,IFERROR(MATCH(W$5,'Oxford Economics'!$A$6:$AZ$6,0),MATCH(W$5&amp;"",'Oxford Economics'!$A$6:$AZ$6,0))),'Oxford Economics'!$A$7:$A$1000,$C58,'Oxford Economics'!$B$7:$B$1000,Settings!$B$19)))),""))</f>
        <v>71792.83</v>
      </c>
      <c r="X58" s="38" t="n">
        <f aca="false">IF($A58="","",IFERROR(1/(1/IF($B58="Residential",SUMIFS(INDEX('Oxford Economics'!$A$7:$AZ$1000,0,IFERROR(MATCH(X$5,'Oxford Economics'!$A$6:$AZ$6,0),MATCH(X$5&amp;"",'Oxford Economics'!$A$6:$AZ$6,0))),'Oxford Economics'!$A$7:$A$1000,$C58,'Oxford Economics'!$B$7:$B$1000,Settings!$B$13)-SUMIFS(INDEX('Oxford Economics'!$A$7:$AZ$1000,0,IFERROR(MATCH(X$5,'Oxford Economics'!$A$6:$AZ$6,0),MATCH(X$5&amp;"",'Oxford Economics'!$A$6:$AZ$6,0))),'Oxford Economics'!$A$7:$A$1000,$C58,'Oxford Economics'!$B$7:$B$1000,Settings!$B$15),SUMIFS(INDEX('Oxford Economics'!$A$7:$AZ$1000,0,IFERROR(MATCH(X$5,'Oxford Economics'!$A$6:$AZ$6,0),MATCH(X$5&amp;"",'Oxford Economics'!$A$6:$AZ$6,0))),'Oxford Economics'!$A$7:$A$1000,$C58,'Oxford Economics'!$B$7:$B$1000,Settings!$B$15)+SUMIFS(INDEX('Oxford Economics'!$A$7:$AZ$1000,0,IFERROR(MATCH(X$5,'Oxford Economics'!$A$6:$AZ$6,0),MATCH(X$5&amp;"",'Oxford Economics'!$A$6:$AZ$6,0))),'Oxford Economics'!$A$7:$A$1000,$C58,'Oxford Economics'!$B$7:$B$1000,Settings!$B$17)+IF(Settings!$B$19="",0,SUMIFS(INDEX('Oxford Economics'!$A$7:$AZ$1000,0,IFERROR(MATCH(X$5,'Oxford Economics'!$A$6:$AZ$6,0),MATCH(X$5&amp;"",'Oxford Economics'!$A$6:$AZ$6,0))),'Oxford Economics'!$A$7:$A$1000,$C58,'Oxford Economics'!$B$7:$B$1000,Settings!$B$19)))),""))</f>
        <v>75396.22</v>
      </c>
      <c r="Y58" s="38" t="n">
        <f aca="false">IF($A58="","",IFERROR(1/(1/IF($B58="Residential",SUMIFS(INDEX('Oxford Economics'!$A$7:$AZ$1000,0,IFERROR(MATCH(Y$5,'Oxford Economics'!$A$6:$AZ$6,0),MATCH(Y$5&amp;"",'Oxford Economics'!$A$6:$AZ$6,0))),'Oxford Economics'!$A$7:$A$1000,$C58,'Oxford Economics'!$B$7:$B$1000,Settings!$B$13)-SUMIFS(INDEX('Oxford Economics'!$A$7:$AZ$1000,0,IFERROR(MATCH(Y$5,'Oxford Economics'!$A$6:$AZ$6,0),MATCH(Y$5&amp;"",'Oxford Economics'!$A$6:$AZ$6,0))),'Oxford Economics'!$A$7:$A$1000,$C58,'Oxford Economics'!$B$7:$B$1000,Settings!$B$15),SUMIFS(INDEX('Oxford Economics'!$A$7:$AZ$1000,0,IFERROR(MATCH(Y$5,'Oxford Economics'!$A$6:$AZ$6,0),MATCH(Y$5&amp;"",'Oxford Economics'!$A$6:$AZ$6,0))),'Oxford Economics'!$A$7:$A$1000,$C58,'Oxford Economics'!$B$7:$B$1000,Settings!$B$15)+SUMIFS(INDEX('Oxford Economics'!$A$7:$AZ$1000,0,IFERROR(MATCH(Y$5,'Oxford Economics'!$A$6:$AZ$6,0),MATCH(Y$5&amp;"",'Oxford Economics'!$A$6:$AZ$6,0))),'Oxford Economics'!$A$7:$A$1000,$C58,'Oxford Economics'!$B$7:$B$1000,Settings!$B$17)+IF(Settings!$B$19="",0,SUMIFS(INDEX('Oxford Economics'!$A$7:$AZ$1000,0,IFERROR(MATCH(Y$5,'Oxford Economics'!$A$6:$AZ$6,0),MATCH(Y$5&amp;"",'Oxford Economics'!$A$6:$AZ$6,0))),'Oxford Economics'!$A$7:$A$1000,$C58,'Oxford Economics'!$B$7:$B$1000,Settings!$B$19)))),""))</f>
        <v>79704.19</v>
      </c>
      <c r="Z58" s="38" t="n">
        <f aca="false">IF($A58="","",IFERROR(1/(1/IF($B58="Residential",SUMIFS(INDEX('Oxford Economics'!$A$7:$AZ$1000,0,IFERROR(MATCH(Z$5,'Oxford Economics'!$A$6:$AZ$6,0),MATCH(Z$5&amp;"",'Oxford Economics'!$A$6:$AZ$6,0))),'Oxford Economics'!$A$7:$A$1000,$C58,'Oxford Economics'!$B$7:$B$1000,Settings!$B$13)-SUMIFS(INDEX('Oxford Economics'!$A$7:$AZ$1000,0,IFERROR(MATCH(Z$5,'Oxford Economics'!$A$6:$AZ$6,0),MATCH(Z$5&amp;"",'Oxford Economics'!$A$6:$AZ$6,0))),'Oxford Economics'!$A$7:$A$1000,$C58,'Oxford Economics'!$B$7:$B$1000,Settings!$B$15),SUMIFS(INDEX('Oxford Economics'!$A$7:$AZ$1000,0,IFERROR(MATCH(Z$5,'Oxford Economics'!$A$6:$AZ$6,0),MATCH(Z$5&amp;"",'Oxford Economics'!$A$6:$AZ$6,0))),'Oxford Economics'!$A$7:$A$1000,$C58,'Oxford Economics'!$B$7:$B$1000,Settings!$B$15)+SUMIFS(INDEX('Oxford Economics'!$A$7:$AZ$1000,0,IFERROR(MATCH(Z$5,'Oxford Economics'!$A$6:$AZ$6,0),MATCH(Z$5&amp;"",'Oxford Economics'!$A$6:$AZ$6,0))),'Oxford Economics'!$A$7:$A$1000,$C58,'Oxford Economics'!$B$7:$B$1000,Settings!$B$17)+IF(Settings!$B$19="",0,SUMIFS(INDEX('Oxford Economics'!$A$7:$AZ$1000,0,IFERROR(MATCH(Z$5,'Oxford Economics'!$A$6:$AZ$6,0),MATCH(Z$5&amp;"",'Oxford Economics'!$A$6:$AZ$6,0))),'Oxford Economics'!$A$7:$A$1000,$C58,'Oxford Economics'!$B$7:$B$1000,Settings!$B$19)))),""))</f>
        <v>83988.83</v>
      </c>
      <c r="AA58" s="38" t="n">
        <f aca="false">IF($A58="","",IFERROR(1/(1/IF($B58="Residential",SUMIFS(INDEX('Oxford Economics'!$A$7:$AZ$1000,0,IFERROR(MATCH(AA$5,'Oxford Economics'!$A$6:$AZ$6,0),MATCH(AA$5&amp;"",'Oxford Economics'!$A$6:$AZ$6,0))),'Oxford Economics'!$A$7:$A$1000,$C58,'Oxford Economics'!$B$7:$B$1000,Settings!$B$13)-SUMIFS(INDEX('Oxford Economics'!$A$7:$AZ$1000,0,IFERROR(MATCH(AA$5,'Oxford Economics'!$A$6:$AZ$6,0),MATCH(AA$5&amp;"",'Oxford Economics'!$A$6:$AZ$6,0))),'Oxford Economics'!$A$7:$A$1000,$C58,'Oxford Economics'!$B$7:$B$1000,Settings!$B$15),SUMIFS(INDEX('Oxford Economics'!$A$7:$AZ$1000,0,IFERROR(MATCH(AA$5,'Oxford Economics'!$A$6:$AZ$6,0),MATCH(AA$5&amp;"",'Oxford Economics'!$A$6:$AZ$6,0))),'Oxford Economics'!$A$7:$A$1000,$C58,'Oxford Economics'!$B$7:$B$1000,Settings!$B$15)+SUMIFS(INDEX('Oxford Economics'!$A$7:$AZ$1000,0,IFERROR(MATCH(AA$5,'Oxford Economics'!$A$6:$AZ$6,0),MATCH(AA$5&amp;"",'Oxford Economics'!$A$6:$AZ$6,0))),'Oxford Economics'!$A$7:$A$1000,$C58,'Oxford Economics'!$B$7:$B$1000,Settings!$B$17)+IF(Settings!$B$19="",0,SUMIFS(INDEX('Oxford Economics'!$A$7:$AZ$1000,0,IFERROR(MATCH(AA$5,'Oxford Economics'!$A$6:$AZ$6,0),MATCH(AA$5&amp;"",'Oxford Economics'!$A$6:$AZ$6,0))),'Oxford Economics'!$A$7:$A$1000,$C58,'Oxford Economics'!$B$7:$B$1000,Settings!$B$19)))),""))</f>
        <v>85914.88</v>
      </c>
      <c r="AB58" s="38" t="n">
        <f aca="false">IF($A58="","",IFERROR(1/(1/IF($B58="Residential",SUMIFS(INDEX('Oxford Economics'!$A$7:$AZ$1000,0,IFERROR(MATCH(AB$5,'Oxford Economics'!$A$6:$AZ$6,0),MATCH(AB$5&amp;"",'Oxford Economics'!$A$6:$AZ$6,0))),'Oxford Economics'!$A$7:$A$1000,$C58,'Oxford Economics'!$B$7:$B$1000,Settings!$B$12)-SUMIFS(INDEX('Oxford Economics'!$A$7:$AZ$1000,0,IFERROR(MATCH(AB$5,'Oxford Economics'!$A$6:$AZ$6,0),MATCH(AB$5&amp;"",'Oxford Economics'!$A$6:$AZ$6,0))),'Oxford Economics'!$A$7:$A$1000,$C58,'Oxford Economics'!$B$7:$B$1000,Settings!$B$14),SUMIFS(INDEX('Oxford Economics'!$A$7:$AZ$1000,0,IFERROR(MATCH(AB$5,'Oxford Economics'!$A$6:$AZ$6,0),MATCH(AB$5&amp;"",'Oxford Economics'!$A$6:$AZ$6,0))),'Oxford Economics'!$A$7:$A$1000,$C58,'Oxford Economics'!$B$7:$B$1000,Settings!$B$14)+SUMIFS(INDEX('Oxford Economics'!$A$7:$AZ$1000,0,IFERROR(MATCH(AB$5,'Oxford Economics'!$A$6:$AZ$6,0),MATCH(AB$5&amp;"",'Oxford Economics'!$A$6:$AZ$6,0))),'Oxford Economics'!$A$7:$A$1000,$C58,'Oxford Economics'!$B$7:$B$1000,Settings!$B$16)+IF(Settings!$B$18="",0,SUMIFS(INDEX('Oxford Economics'!$A$7:$AZ$1000,0,IFERROR(MATCH(AB$5,'Oxford Economics'!$A$6:$AZ$6,0),MATCH(AB$5&amp;"",'Oxford Economics'!$A$6:$AZ$6,0))),'Oxford Economics'!$A$7:$A$1000,$C58,'Oxford Economics'!$B$7:$B$1000,Settings!$B$18)))),""))</f>
        <v>55349.36</v>
      </c>
      <c r="AC58" s="38" t="n">
        <f aca="false">IF($A58="","",IFERROR(1/(1/IF($B58="Residential",SUMIFS(INDEX('Oxford Economics'!$A$7:$AZ$1000,0,IFERROR(MATCH(AC$5,'Oxford Economics'!$A$6:$AZ$6,0),MATCH(AC$5&amp;"",'Oxford Economics'!$A$6:$AZ$6,0))),'Oxford Economics'!$A$7:$A$1000,$C58,'Oxford Economics'!$B$7:$B$1000,Settings!$B$12)-SUMIFS(INDEX('Oxford Economics'!$A$7:$AZ$1000,0,IFERROR(MATCH(AC$5,'Oxford Economics'!$A$6:$AZ$6,0),MATCH(AC$5&amp;"",'Oxford Economics'!$A$6:$AZ$6,0))),'Oxford Economics'!$A$7:$A$1000,$C58,'Oxford Economics'!$B$7:$B$1000,Settings!$B$14),SUMIFS(INDEX('Oxford Economics'!$A$7:$AZ$1000,0,IFERROR(MATCH(AC$5,'Oxford Economics'!$A$6:$AZ$6,0),MATCH(AC$5&amp;"",'Oxford Economics'!$A$6:$AZ$6,0))),'Oxford Economics'!$A$7:$A$1000,$C58,'Oxford Economics'!$B$7:$B$1000,Settings!$B$14)+SUMIFS(INDEX('Oxford Economics'!$A$7:$AZ$1000,0,IFERROR(MATCH(AC$5,'Oxford Economics'!$A$6:$AZ$6,0),MATCH(AC$5&amp;"",'Oxford Economics'!$A$6:$AZ$6,0))),'Oxford Economics'!$A$7:$A$1000,$C58,'Oxford Economics'!$B$7:$B$1000,Settings!$B$16)+IF(Settings!$B$18="",0,SUMIFS(INDEX('Oxford Economics'!$A$7:$AZ$1000,0,IFERROR(MATCH(AC$5,'Oxford Economics'!$A$6:$AZ$6,0),MATCH(AC$5&amp;"",'Oxford Economics'!$A$6:$AZ$6,0))),'Oxford Economics'!$A$7:$A$1000,$C58,'Oxford Economics'!$B$7:$B$1000,Settings!$B$18)))),""))</f>
        <v>52945.47</v>
      </c>
      <c r="AD58" s="38" t="n">
        <f aca="false">IF($A58="","",IFERROR(1/(1/IF($B58="Residential",SUMIFS(INDEX('Oxford Economics'!$A$7:$AZ$1000,0,IFERROR(MATCH(AD$5,'Oxford Economics'!$A$6:$AZ$6,0),MATCH(AD$5&amp;"",'Oxford Economics'!$A$6:$AZ$6,0))),'Oxford Economics'!$A$7:$A$1000,$C58,'Oxford Economics'!$B$7:$B$1000,Settings!$B$12)-SUMIFS(INDEX('Oxford Economics'!$A$7:$AZ$1000,0,IFERROR(MATCH(AD$5,'Oxford Economics'!$A$6:$AZ$6,0),MATCH(AD$5&amp;"",'Oxford Economics'!$A$6:$AZ$6,0))),'Oxford Economics'!$A$7:$A$1000,$C58,'Oxford Economics'!$B$7:$B$1000,Settings!$B$14),SUMIFS(INDEX('Oxford Economics'!$A$7:$AZ$1000,0,IFERROR(MATCH(AD$5,'Oxford Economics'!$A$6:$AZ$6,0),MATCH(AD$5&amp;"",'Oxford Economics'!$A$6:$AZ$6,0))),'Oxford Economics'!$A$7:$A$1000,$C58,'Oxford Economics'!$B$7:$B$1000,Settings!$B$14)+SUMIFS(INDEX('Oxford Economics'!$A$7:$AZ$1000,0,IFERROR(MATCH(AD$5,'Oxford Economics'!$A$6:$AZ$6,0),MATCH(AD$5&amp;"",'Oxford Economics'!$A$6:$AZ$6,0))),'Oxford Economics'!$A$7:$A$1000,$C58,'Oxford Economics'!$B$7:$B$1000,Settings!$B$16)+IF(Settings!$B$18="",0,SUMIFS(INDEX('Oxford Economics'!$A$7:$AZ$1000,0,IFERROR(MATCH(AD$5,'Oxford Economics'!$A$6:$AZ$6,0),MATCH(AD$5&amp;"",'Oxford Economics'!$A$6:$AZ$6,0))),'Oxford Economics'!$A$7:$A$1000,$C58,'Oxford Economics'!$B$7:$B$1000,Settings!$B$18)))),""))</f>
        <v>45188.96</v>
      </c>
      <c r="AE58" s="38" t="n">
        <f aca="false">IF($A58="","",IFERROR(1/(1/IF($B58="Residential",SUMIFS(INDEX('Oxford Economics'!$A$7:$AZ$1000,0,IFERROR(MATCH(AE$5,'Oxford Economics'!$A$6:$AZ$6,0),MATCH(AE$5&amp;"",'Oxford Economics'!$A$6:$AZ$6,0))),'Oxford Economics'!$A$7:$A$1000,$C58,'Oxford Economics'!$B$7:$B$1000,Settings!$B$12)-SUMIFS(INDEX('Oxford Economics'!$A$7:$AZ$1000,0,IFERROR(MATCH(AE$5,'Oxford Economics'!$A$6:$AZ$6,0),MATCH(AE$5&amp;"",'Oxford Economics'!$A$6:$AZ$6,0))),'Oxford Economics'!$A$7:$A$1000,$C58,'Oxford Economics'!$B$7:$B$1000,Settings!$B$14),SUMIFS(INDEX('Oxford Economics'!$A$7:$AZ$1000,0,IFERROR(MATCH(AE$5,'Oxford Economics'!$A$6:$AZ$6,0),MATCH(AE$5&amp;"",'Oxford Economics'!$A$6:$AZ$6,0))),'Oxford Economics'!$A$7:$A$1000,$C58,'Oxford Economics'!$B$7:$B$1000,Settings!$B$14)+SUMIFS(INDEX('Oxford Economics'!$A$7:$AZ$1000,0,IFERROR(MATCH(AE$5,'Oxford Economics'!$A$6:$AZ$6,0),MATCH(AE$5&amp;"",'Oxford Economics'!$A$6:$AZ$6,0))),'Oxford Economics'!$A$7:$A$1000,$C58,'Oxford Economics'!$B$7:$B$1000,Settings!$B$16)+IF(Settings!$B$18="",0,SUMIFS(INDEX('Oxford Economics'!$A$7:$AZ$1000,0,IFERROR(MATCH(AE$5,'Oxford Economics'!$A$6:$AZ$6,0),MATCH(AE$5&amp;"",'Oxford Economics'!$A$6:$AZ$6,0))),'Oxford Economics'!$A$7:$A$1000,$C58,'Oxford Economics'!$B$7:$B$1000,Settings!$B$18)))),""))</f>
        <v>45874.68</v>
      </c>
      <c r="AF58" s="38" t="n">
        <f aca="false">IF($A58="","",IFERROR(1/(1/IF($B58="Residential",SUMIFS(INDEX('Oxford Economics'!$A$7:$AZ$1000,0,IFERROR(MATCH(AF$5,'Oxford Economics'!$A$6:$AZ$6,0),MATCH(AF$5&amp;"",'Oxford Economics'!$A$6:$AZ$6,0))),'Oxford Economics'!$A$7:$A$1000,$C58,'Oxford Economics'!$B$7:$B$1000,Settings!$B$12)-SUMIFS(INDEX('Oxford Economics'!$A$7:$AZ$1000,0,IFERROR(MATCH(AF$5,'Oxford Economics'!$A$6:$AZ$6,0),MATCH(AF$5&amp;"",'Oxford Economics'!$A$6:$AZ$6,0))),'Oxford Economics'!$A$7:$A$1000,$C58,'Oxford Economics'!$B$7:$B$1000,Settings!$B$14),SUMIFS(INDEX('Oxford Economics'!$A$7:$AZ$1000,0,IFERROR(MATCH(AF$5,'Oxford Economics'!$A$6:$AZ$6,0),MATCH(AF$5&amp;"",'Oxford Economics'!$A$6:$AZ$6,0))),'Oxford Economics'!$A$7:$A$1000,$C58,'Oxford Economics'!$B$7:$B$1000,Settings!$B$14)+SUMIFS(INDEX('Oxford Economics'!$A$7:$AZ$1000,0,IFERROR(MATCH(AF$5,'Oxford Economics'!$A$6:$AZ$6,0),MATCH(AF$5&amp;"",'Oxford Economics'!$A$6:$AZ$6,0))),'Oxford Economics'!$A$7:$A$1000,$C58,'Oxford Economics'!$B$7:$B$1000,Settings!$B$16)+IF(Settings!$B$18="",0,SUMIFS(INDEX('Oxford Economics'!$A$7:$AZ$1000,0,IFERROR(MATCH(AF$5,'Oxford Economics'!$A$6:$AZ$6,0),MATCH(AF$5&amp;"",'Oxford Economics'!$A$6:$AZ$6,0))),'Oxford Economics'!$A$7:$A$1000,$C58,'Oxford Economics'!$B$7:$B$1000,Settings!$B$18)))),""))</f>
        <v>41700.71</v>
      </c>
      <c r="AG58" s="38" t="n">
        <f aca="false">IF($A58="","",IFERROR(1/(1/IF($B58="Residential",SUMIFS(INDEX('Oxford Economics'!$A$7:$AZ$1000,0,IFERROR(MATCH(AG$5,'Oxford Economics'!$A$6:$AZ$6,0),MATCH(AG$5&amp;"",'Oxford Economics'!$A$6:$AZ$6,0))),'Oxford Economics'!$A$7:$A$1000,$C58,'Oxford Economics'!$B$7:$B$1000,Settings!$B$12)-SUMIFS(INDEX('Oxford Economics'!$A$7:$AZ$1000,0,IFERROR(MATCH(AG$5,'Oxford Economics'!$A$6:$AZ$6,0),MATCH(AG$5&amp;"",'Oxford Economics'!$A$6:$AZ$6,0))),'Oxford Economics'!$A$7:$A$1000,$C58,'Oxford Economics'!$B$7:$B$1000,Settings!$B$14),SUMIFS(INDEX('Oxford Economics'!$A$7:$AZ$1000,0,IFERROR(MATCH(AG$5,'Oxford Economics'!$A$6:$AZ$6,0),MATCH(AG$5&amp;"",'Oxford Economics'!$A$6:$AZ$6,0))),'Oxford Economics'!$A$7:$A$1000,$C58,'Oxford Economics'!$B$7:$B$1000,Settings!$B$14)+SUMIFS(INDEX('Oxford Economics'!$A$7:$AZ$1000,0,IFERROR(MATCH(AG$5,'Oxford Economics'!$A$6:$AZ$6,0),MATCH(AG$5&amp;"",'Oxford Economics'!$A$6:$AZ$6,0))),'Oxford Economics'!$A$7:$A$1000,$C58,'Oxford Economics'!$B$7:$B$1000,Settings!$B$16)+IF(Settings!$B$18="",0,SUMIFS(INDEX('Oxford Economics'!$A$7:$AZ$1000,0,IFERROR(MATCH(AG$5,'Oxford Economics'!$A$6:$AZ$6,0),MATCH(AG$5&amp;"",'Oxford Economics'!$A$6:$AZ$6,0))),'Oxford Economics'!$A$7:$A$1000,$C58,'Oxford Economics'!$B$7:$B$1000,Settings!$B$18)))),""))</f>
        <v>39622.45</v>
      </c>
      <c r="AH58" s="38" t="n">
        <f aca="false">IF($A58="","",IFERROR(1/(1/IF($B58="Residential",SUMIFS(INDEX('Oxford Economics'!$A$7:$AZ$1000,0,IFERROR(MATCH(AH$5,'Oxford Economics'!$A$6:$AZ$6,0),MATCH(AH$5&amp;"",'Oxford Economics'!$A$6:$AZ$6,0))),'Oxford Economics'!$A$7:$A$1000,$C58,'Oxford Economics'!$B$7:$B$1000,Settings!$B$12)-SUMIFS(INDEX('Oxford Economics'!$A$7:$AZ$1000,0,IFERROR(MATCH(AH$5,'Oxford Economics'!$A$6:$AZ$6,0),MATCH(AH$5&amp;"",'Oxford Economics'!$A$6:$AZ$6,0))),'Oxford Economics'!$A$7:$A$1000,$C58,'Oxford Economics'!$B$7:$B$1000,Settings!$B$14),SUMIFS(INDEX('Oxford Economics'!$A$7:$AZ$1000,0,IFERROR(MATCH(AH$5,'Oxford Economics'!$A$6:$AZ$6,0),MATCH(AH$5&amp;"",'Oxford Economics'!$A$6:$AZ$6,0))),'Oxford Economics'!$A$7:$A$1000,$C58,'Oxford Economics'!$B$7:$B$1000,Settings!$B$14)+SUMIFS(INDEX('Oxford Economics'!$A$7:$AZ$1000,0,IFERROR(MATCH(AH$5,'Oxford Economics'!$A$6:$AZ$6,0),MATCH(AH$5&amp;"",'Oxford Economics'!$A$6:$AZ$6,0))),'Oxford Economics'!$A$7:$A$1000,$C58,'Oxford Economics'!$B$7:$B$1000,Settings!$B$16)+IF(Settings!$B$18="",0,SUMIFS(INDEX('Oxford Economics'!$A$7:$AZ$1000,0,IFERROR(MATCH(AH$5,'Oxford Economics'!$A$6:$AZ$6,0),MATCH(AH$5&amp;"",'Oxford Economics'!$A$6:$AZ$6,0))),'Oxford Economics'!$A$7:$A$1000,$C58,'Oxford Economics'!$B$7:$B$1000,Settings!$B$18)))),""))</f>
        <v>40814.9</v>
      </c>
      <c r="AI58" s="38" t="n">
        <f aca="false">IF($A58="","",IFERROR(1/(1/IF($B58="Residential",SUMIFS(INDEX('Oxford Economics'!$A$7:$AZ$1000,0,IFERROR(MATCH(AI$5,'Oxford Economics'!$A$6:$AZ$6,0),MATCH(AI$5&amp;"",'Oxford Economics'!$A$6:$AZ$6,0))),'Oxford Economics'!$A$7:$A$1000,$C58,'Oxford Economics'!$B$7:$B$1000,Settings!$B$12)-SUMIFS(INDEX('Oxford Economics'!$A$7:$AZ$1000,0,IFERROR(MATCH(AI$5,'Oxford Economics'!$A$6:$AZ$6,0),MATCH(AI$5&amp;"",'Oxford Economics'!$A$6:$AZ$6,0))),'Oxford Economics'!$A$7:$A$1000,$C58,'Oxford Economics'!$B$7:$B$1000,Settings!$B$14),SUMIFS(INDEX('Oxford Economics'!$A$7:$AZ$1000,0,IFERROR(MATCH(AI$5,'Oxford Economics'!$A$6:$AZ$6,0),MATCH(AI$5&amp;"",'Oxford Economics'!$A$6:$AZ$6,0))),'Oxford Economics'!$A$7:$A$1000,$C58,'Oxford Economics'!$B$7:$B$1000,Settings!$B$14)+SUMIFS(INDEX('Oxford Economics'!$A$7:$AZ$1000,0,IFERROR(MATCH(AI$5,'Oxford Economics'!$A$6:$AZ$6,0),MATCH(AI$5&amp;"",'Oxford Economics'!$A$6:$AZ$6,0))),'Oxford Economics'!$A$7:$A$1000,$C58,'Oxford Economics'!$B$7:$B$1000,Settings!$B$16)+IF(Settings!$B$18="",0,SUMIFS(INDEX('Oxford Economics'!$A$7:$AZ$1000,0,IFERROR(MATCH(AI$5,'Oxford Economics'!$A$6:$AZ$6,0),MATCH(AI$5&amp;"",'Oxford Economics'!$A$6:$AZ$6,0))),'Oxford Economics'!$A$7:$A$1000,$C58,'Oxford Economics'!$B$7:$B$1000,Settings!$B$18)))),""))</f>
        <v>42826.17</v>
      </c>
      <c r="AJ58" s="38" t="n">
        <f aca="false">IF($A58="","",IFERROR(1/(1/IF($B58="Residential",SUMIFS(INDEX('Oxford Economics'!$A$7:$AZ$1000,0,IFERROR(MATCH(AJ$5,'Oxford Economics'!$A$6:$AZ$6,0),MATCH(AJ$5&amp;"",'Oxford Economics'!$A$6:$AZ$6,0))),'Oxford Economics'!$A$7:$A$1000,$C58,'Oxford Economics'!$B$7:$B$1000,Settings!$B$12)-SUMIFS(INDEX('Oxford Economics'!$A$7:$AZ$1000,0,IFERROR(MATCH(AJ$5,'Oxford Economics'!$A$6:$AZ$6,0),MATCH(AJ$5&amp;"",'Oxford Economics'!$A$6:$AZ$6,0))),'Oxford Economics'!$A$7:$A$1000,$C58,'Oxford Economics'!$B$7:$B$1000,Settings!$B$14),SUMIFS(INDEX('Oxford Economics'!$A$7:$AZ$1000,0,IFERROR(MATCH(AJ$5,'Oxford Economics'!$A$6:$AZ$6,0),MATCH(AJ$5&amp;"",'Oxford Economics'!$A$6:$AZ$6,0))),'Oxford Economics'!$A$7:$A$1000,$C58,'Oxford Economics'!$B$7:$B$1000,Settings!$B$14)+SUMIFS(INDEX('Oxford Economics'!$A$7:$AZ$1000,0,IFERROR(MATCH(AJ$5,'Oxford Economics'!$A$6:$AZ$6,0),MATCH(AJ$5&amp;"",'Oxford Economics'!$A$6:$AZ$6,0))),'Oxford Economics'!$A$7:$A$1000,$C58,'Oxford Economics'!$B$7:$B$1000,Settings!$B$16)+IF(Settings!$B$18="",0,SUMIFS(INDEX('Oxford Economics'!$A$7:$AZ$1000,0,IFERROR(MATCH(AJ$5,'Oxford Economics'!$A$6:$AZ$6,0),MATCH(AJ$5&amp;"",'Oxford Economics'!$A$6:$AZ$6,0))),'Oxford Economics'!$A$7:$A$1000,$C58,'Oxford Economics'!$B$7:$B$1000,Settings!$B$18)))),""))</f>
        <v>44494.66</v>
      </c>
      <c r="AK58" s="38" t="n">
        <f aca="false">IF($A58="","",IFERROR(1/(1/IF($B58="Residential",SUMIFS(INDEX('Oxford Economics'!$A$7:$AZ$1000,0,IFERROR(MATCH(AK$5,'Oxford Economics'!$A$6:$AZ$6,0),MATCH(AK$5&amp;"",'Oxford Economics'!$A$6:$AZ$6,0))),'Oxford Economics'!$A$7:$A$1000,$C58,'Oxford Economics'!$B$7:$B$1000,Settings!$B$12)-SUMIFS(INDEX('Oxford Economics'!$A$7:$AZ$1000,0,IFERROR(MATCH(AK$5,'Oxford Economics'!$A$6:$AZ$6,0),MATCH(AK$5&amp;"",'Oxford Economics'!$A$6:$AZ$6,0))),'Oxford Economics'!$A$7:$A$1000,$C58,'Oxford Economics'!$B$7:$B$1000,Settings!$B$14),SUMIFS(INDEX('Oxford Economics'!$A$7:$AZ$1000,0,IFERROR(MATCH(AK$5,'Oxford Economics'!$A$6:$AZ$6,0),MATCH(AK$5&amp;"",'Oxford Economics'!$A$6:$AZ$6,0))),'Oxford Economics'!$A$7:$A$1000,$C58,'Oxford Economics'!$B$7:$B$1000,Settings!$B$14)+SUMIFS(INDEX('Oxford Economics'!$A$7:$AZ$1000,0,IFERROR(MATCH(AK$5,'Oxford Economics'!$A$6:$AZ$6,0),MATCH(AK$5&amp;"",'Oxford Economics'!$A$6:$AZ$6,0))),'Oxford Economics'!$A$7:$A$1000,$C58,'Oxford Economics'!$B$7:$B$1000,Settings!$B$16)+IF(Settings!$B$18="",0,SUMIFS(INDEX('Oxford Economics'!$A$7:$AZ$1000,0,IFERROR(MATCH(AK$5,'Oxford Economics'!$A$6:$AZ$6,0),MATCH(AK$5&amp;"",'Oxford Economics'!$A$6:$AZ$6,0))),'Oxford Economics'!$A$7:$A$1000,$C58,'Oxford Economics'!$B$7:$B$1000,Settings!$B$18)))),""))</f>
        <v>45579.38</v>
      </c>
      <c r="AL58" s="38" t="n">
        <f aca="false">IF($A58="","",IFERROR(1/(1/IF($B58="Residential",SUMIFS(INDEX('Oxford Economics'!$A$7:$AZ$1000,0,IFERROR(MATCH(AL$5,'Oxford Economics'!$A$6:$AZ$6,0),MATCH(AL$5&amp;"",'Oxford Economics'!$A$6:$AZ$6,0))),'Oxford Economics'!$A$7:$A$1000,$C58,'Oxford Economics'!$B$7:$B$1000,Settings!$B$12)-SUMIFS(INDEX('Oxford Economics'!$A$7:$AZ$1000,0,IFERROR(MATCH(AL$5,'Oxford Economics'!$A$6:$AZ$6,0),MATCH(AL$5&amp;"",'Oxford Economics'!$A$6:$AZ$6,0))),'Oxford Economics'!$A$7:$A$1000,$C58,'Oxford Economics'!$B$7:$B$1000,Settings!$B$14),SUMIFS(INDEX('Oxford Economics'!$A$7:$AZ$1000,0,IFERROR(MATCH(AL$5,'Oxford Economics'!$A$6:$AZ$6,0),MATCH(AL$5&amp;"",'Oxford Economics'!$A$6:$AZ$6,0))),'Oxford Economics'!$A$7:$A$1000,$C58,'Oxford Economics'!$B$7:$B$1000,Settings!$B$14)+SUMIFS(INDEX('Oxford Economics'!$A$7:$AZ$1000,0,IFERROR(MATCH(AL$5,'Oxford Economics'!$A$6:$AZ$6,0),MATCH(AL$5&amp;"",'Oxford Economics'!$A$6:$AZ$6,0))),'Oxford Economics'!$A$7:$A$1000,$C58,'Oxford Economics'!$B$7:$B$1000,Settings!$B$16)+IF(Settings!$B$18="",0,SUMIFS(INDEX('Oxford Economics'!$A$7:$AZ$1000,0,IFERROR(MATCH(AL$5,'Oxford Economics'!$A$6:$AZ$6,0),MATCH(AL$5&amp;"",'Oxford Economics'!$A$6:$AZ$6,0))),'Oxford Economics'!$A$7:$A$1000,$C58,'Oxford Economics'!$B$7:$B$1000,Settings!$B$18)))),""))</f>
        <v>46487.43</v>
      </c>
      <c r="AM58" s="38" t="n">
        <f aca="false">IF($A58="","",IFERROR(1/(1/IF($B58="Residential",SUMIFS(INDEX('Oxford Economics'!$A$7:$AZ$1000,0,IFERROR(MATCH(AM$5,'Oxford Economics'!$A$6:$AZ$6,0),MATCH(AM$5&amp;"",'Oxford Economics'!$A$6:$AZ$6,0))),'Oxford Economics'!$A$7:$A$1000,$C58,'Oxford Economics'!$B$7:$B$1000,Settings!$B$12)-SUMIFS(INDEX('Oxford Economics'!$A$7:$AZ$1000,0,IFERROR(MATCH(AM$5,'Oxford Economics'!$A$6:$AZ$6,0),MATCH(AM$5&amp;"",'Oxford Economics'!$A$6:$AZ$6,0))),'Oxford Economics'!$A$7:$A$1000,$C58,'Oxford Economics'!$B$7:$B$1000,Settings!$B$14),SUMIFS(INDEX('Oxford Economics'!$A$7:$AZ$1000,0,IFERROR(MATCH(AM$5,'Oxford Economics'!$A$6:$AZ$6,0),MATCH(AM$5&amp;"",'Oxford Economics'!$A$6:$AZ$6,0))),'Oxford Economics'!$A$7:$A$1000,$C58,'Oxford Economics'!$B$7:$B$1000,Settings!$B$14)+SUMIFS(INDEX('Oxford Economics'!$A$7:$AZ$1000,0,IFERROR(MATCH(AM$5,'Oxford Economics'!$A$6:$AZ$6,0),MATCH(AM$5&amp;"",'Oxford Economics'!$A$6:$AZ$6,0))),'Oxford Economics'!$A$7:$A$1000,$C58,'Oxford Economics'!$B$7:$B$1000,Settings!$B$16)+IF(Settings!$B$18="",0,SUMIFS(INDEX('Oxford Economics'!$A$7:$AZ$1000,0,IFERROR(MATCH(AM$5,'Oxford Economics'!$A$6:$AZ$6,0),MATCH(AM$5&amp;"",'Oxford Economics'!$A$6:$AZ$6,0))),'Oxford Economics'!$A$7:$A$1000,$C58,'Oxford Economics'!$B$7:$B$1000,Settings!$B$18)))),""))</f>
        <v>47342.37</v>
      </c>
    </row>
    <row r="59" customFormat="false" ht="15" hidden="false" customHeight="false" outlineLevel="0" collapsed="false">
      <c r="A59" s="37" t="str">
        <f aca="false">IF('Raw data'!$A59="","",'Raw data'!$A59)</f>
        <v>Germany</v>
      </c>
      <c r="B59" s="37" t="str">
        <f aca="false">IF($A59="","",'Raw data'!$C59)</f>
        <v>Commercial</v>
      </c>
      <c r="C59" s="37" t="str">
        <f aca="false">IF($A59="","",IF('Raw data'!$E59="",$A59,'Raw data'!$E59))</f>
        <v>Germany</v>
      </c>
      <c r="D59" s="38" t="n">
        <f aca="false">IF($A59="","",IF(AND(ISNUMBER(P59),ISNUMBER(AB59)),P59+AB59,""))</f>
        <v>141529.15</v>
      </c>
      <c r="E59" s="38" t="n">
        <f aca="false">IF($A59="","",IF(AND(ISNUMBER(Q59),ISNUMBER(AC59)),Q59+AC59,""))</f>
        <v>138096.2</v>
      </c>
      <c r="F59" s="38" t="n">
        <f aca="false">IF($A59="","",IF(AND(ISNUMBER(R59),ISNUMBER(AD59)),R59+AD59,""))</f>
        <v>121333.6</v>
      </c>
      <c r="G59" s="38" t="n">
        <f aca="false">IF($A59="","",IF(AND(ISNUMBER(S59),ISNUMBER(AE59)),S59+AE59,""))</f>
        <v>120937.84</v>
      </c>
      <c r="H59" s="38" t="n">
        <f aca="false">IF($A59="","",IF(AND(ISNUMBER(T59),ISNUMBER(AF59)),T59+AF59,""))</f>
        <v>112217.91</v>
      </c>
      <c r="I59" s="38" t="n">
        <f aca="false">IF($A59="","",IF(AND(ISNUMBER(U59),ISNUMBER(AG59)),U59+AG59,""))</f>
        <v>108414.85</v>
      </c>
      <c r="J59" s="38" t="n">
        <f aca="false">IF($A59="","",IF(AND(ISNUMBER(V59),ISNUMBER(AH59)),V59+AH59,""))</f>
        <v>110980.23</v>
      </c>
      <c r="K59" s="38" t="n">
        <f aca="false">IF($A59="","",IF(AND(ISNUMBER(W59),ISNUMBER(AI59)),W59+AI59,""))</f>
        <v>114619</v>
      </c>
      <c r="L59" s="38" t="n">
        <f aca="false">IF($A59="","",IF(AND(ISNUMBER(X59),ISNUMBER(AJ59)),X59+AJ59,""))</f>
        <v>119890.88</v>
      </c>
      <c r="M59" s="38" t="n">
        <f aca="false">IF($A59="","",IF(AND(ISNUMBER(Y59),ISNUMBER(AK59)),Y59+AK59,""))</f>
        <v>125283.57</v>
      </c>
      <c r="N59" s="38" t="n">
        <f aca="false">IF($A59="","",IF(AND(ISNUMBER(Z59),ISNUMBER(AL59)),Z59+AL59,""))</f>
        <v>130476.26</v>
      </c>
      <c r="O59" s="38" t="n">
        <f aca="false">IF($A59="","",IF(AND(ISNUMBER(AA59),ISNUMBER(AM59)),AA59+AM59,""))</f>
        <v>133257.25</v>
      </c>
      <c r="P59" s="38" t="n">
        <f aca="false">IF($A59="","",IFERROR(1/(1/IF($B59="Residential",SUMIFS(INDEX('Oxford Economics'!$A$7:$AZ$1000,0,IFERROR(MATCH(P$5,'Oxford Economics'!$A$6:$AZ$6,0),MATCH(P$5&amp;"",'Oxford Economics'!$A$6:$AZ$6,0))),'Oxford Economics'!$A$7:$A$1000,$C59,'Oxford Economics'!$B$7:$B$1000,Settings!$B$13)-SUMIFS(INDEX('Oxford Economics'!$A$7:$AZ$1000,0,IFERROR(MATCH(P$5,'Oxford Economics'!$A$6:$AZ$6,0),MATCH(P$5&amp;"",'Oxford Economics'!$A$6:$AZ$6,0))),'Oxford Economics'!$A$7:$A$1000,$C59,'Oxford Economics'!$B$7:$B$1000,Settings!$B$15),SUMIFS(INDEX('Oxford Economics'!$A$7:$AZ$1000,0,IFERROR(MATCH(P$5,'Oxford Economics'!$A$6:$AZ$6,0),MATCH(P$5&amp;"",'Oxford Economics'!$A$6:$AZ$6,0))),'Oxford Economics'!$A$7:$A$1000,$C59,'Oxford Economics'!$B$7:$B$1000,Settings!$B$15)+SUMIFS(INDEX('Oxford Economics'!$A$7:$AZ$1000,0,IFERROR(MATCH(P$5,'Oxford Economics'!$A$6:$AZ$6,0),MATCH(P$5&amp;"",'Oxford Economics'!$A$6:$AZ$6,0))),'Oxford Economics'!$A$7:$A$1000,$C59,'Oxford Economics'!$B$7:$B$1000,Settings!$B$17)+IF(Settings!$B$19="",0,SUMIFS(INDEX('Oxford Economics'!$A$7:$AZ$1000,0,IFERROR(MATCH(P$5,'Oxford Economics'!$A$6:$AZ$6,0),MATCH(P$5&amp;"",'Oxford Economics'!$A$6:$AZ$6,0))),'Oxford Economics'!$A$7:$A$1000,$C59,'Oxford Economics'!$B$7:$B$1000,Settings!$B$19)))),""))</f>
        <v>86179.79</v>
      </c>
      <c r="Q59" s="38" t="n">
        <f aca="false">IF($A59="","",IFERROR(1/(1/IF($B59="Residential",SUMIFS(INDEX('Oxford Economics'!$A$7:$AZ$1000,0,IFERROR(MATCH(Q$5,'Oxford Economics'!$A$6:$AZ$6,0),MATCH(Q$5&amp;"",'Oxford Economics'!$A$6:$AZ$6,0))),'Oxford Economics'!$A$7:$A$1000,$C59,'Oxford Economics'!$B$7:$B$1000,Settings!$B$13)-SUMIFS(INDEX('Oxford Economics'!$A$7:$AZ$1000,0,IFERROR(MATCH(Q$5,'Oxford Economics'!$A$6:$AZ$6,0),MATCH(Q$5&amp;"",'Oxford Economics'!$A$6:$AZ$6,0))),'Oxford Economics'!$A$7:$A$1000,$C59,'Oxford Economics'!$B$7:$B$1000,Settings!$B$15),SUMIFS(INDEX('Oxford Economics'!$A$7:$AZ$1000,0,IFERROR(MATCH(Q$5,'Oxford Economics'!$A$6:$AZ$6,0),MATCH(Q$5&amp;"",'Oxford Economics'!$A$6:$AZ$6,0))),'Oxford Economics'!$A$7:$A$1000,$C59,'Oxford Economics'!$B$7:$B$1000,Settings!$B$15)+SUMIFS(INDEX('Oxford Economics'!$A$7:$AZ$1000,0,IFERROR(MATCH(Q$5,'Oxford Economics'!$A$6:$AZ$6,0),MATCH(Q$5&amp;"",'Oxford Economics'!$A$6:$AZ$6,0))),'Oxford Economics'!$A$7:$A$1000,$C59,'Oxford Economics'!$B$7:$B$1000,Settings!$B$17)+IF(Settings!$B$19="",0,SUMIFS(INDEX('Oxford Economics'!$A$7:$AZ$1000,0,IFERROR(MATCH(Q$5,'Oxford Economics'!$A$6:$AZ$6,0),MATCH(Q$5&amp;"",'Oxford Economics'!$A$6:$AZ$6,0))),'Oxford Economics'!$A$7:$A$1000,$C59,'Oxford Economics'!$B$7:$B$1000,Settings!$B$19)))),""))</f>
        <v>85150.73</v>
      </c>
      <c r="R59" s="38" t="n">
        <f aca="false">IF($A59="","",IFERROR(1/(1/IF($B59="Residential",SUMIFS(INDEX('Oxford Economics'!$A$7:$AZ$1000,0,IFERROR(MATCH(R$5,'Oxford Economics'!$A$6:$AZ$6,0),MATCH(R$5&amp;"",'Oxford Economics'!$A$6:$AZ$6,0))),'Oxford Economics'!$A$7:$A$1000,$C59,'Oxford Economics'!$B$7:$B$1000,Settings!$B$13)-SUMIFS(INDEX('Oxford Economics'!$A$7:$AZ$1000,0,IFERROR(MATCH(R$5,'Oxford Economics'!$A$6:$AZ$6,0),MATCH(R$5&amp;"",'Oxford Economics'!$A$6:$AZ$6,0))),'Oxford Economics'!$A$7:$A$1000,$C59,'Oxford Economics'!$B$7:$B$1000,Settings!$B$15),SUMIFS(INDEX('Oxford Economics'!$A$7:$AZ$1000,0,IFERROR(MATCH(R$5,'Oxford Economics'!$A$6:$AZ$6,0),MATCH(R$5&amp;"",'Oxford Economics'!$A$6:$AZ$6,0))),'Oxford Economics'!$A$7:$A$1000,$C59,'Oxford Economics'!$B$7:$B$1000,Settings!$B$15)+SUMIFS(INDEX('Oxford Economics'!$A$7:$AZ$1000,0,IFERROR(MATCH(R$5,'Oxford Economics'!$A$6:$AZ$6,0),MATCH(R$5&amp;"",'Oxford Economics'!$A$6:$AZ$6,0))),'Oxford Economics'!$A$7:$A$1000,$C59,'Oxford Economics'!$B$7:$B$1000,Settings!$B$17)+IF(Settings!$B$19="",0,SUMIFS(INDEX('Oxford Economics'!$A$7:$AZ$1000,0,IFERROR(MATCH(R$5,'Oxford Economics'!$A$6:$AZ$6,0),MATCH(R$5&amp;"",'Oxford Economics'!$A$6:$AZ$6,0))),'Oxford Economics'!$A$7:$A$1000,$C59,'Oxford Economics'!$B$7:$B$1000,Settings!$B$19)))),""))</f>
        <v>76144.64</v>
      </c>
      <c r="S59" s="38" t="n">
        <f aca="false">IF($A59="","",IFERROR(1/(1/IF($B59="Residential",SUMIFS(INDEX('Oxford Economics'!$A$7:$AZ$1000,0,IFERROR(MATCH(S$5,'Oxford Economics'!$A$6:$AZ$6,0),MATCH(S$5&amp;"",'Oxford Economics'!$A$6:$AZ$6,0))),'Oxford Economics'!$A$7:$A$1000,$C59,'Oxford Economics'!$B$7:$B$1000,Settings!$B$13)-SUMIFS(INDEX('Oxford Economics'!$A$7:$AZ$1000,0,IFERROR(MATCH(S$5,'Oxford Economics'!$A$6:$AZ$6,0),MATCH(S$5&amp;"",'Oxford Economics'!$A$6:$AZ$6,0))),'Oxford Economics'!$A$7:$A$1000,$C59,'Oxford Economics'!$B$7:$B$1000,Settings!$B$15),SUMIFS(INDEX('Oxford Economics'!$A$7:$AZ$1000,0,IFERROR(MATCH(S$5,'Oxford Economics'!$A$6:$AZ$6,0),MATCH(S$5&amp;"",'Oxford Economics'!$A$6:$AZ$6,0))),'Oxford Economics'!$A$7:$A$1000,$C59,'Oxford Economics'!$B$7:$B$1000,Settings!$B$15)+SUMIFS(INDEX('Oxford Economics'!$A$7:$AZ$1000,0,IFERROR(MATCH(S$5,'Oxford Economics'!$A$6:$AZ$6,0),MATCH(S$5&amp;"",'Oxford Economics'!$A$6:$AZ$6,0))),'Oxford Economics'!$A$7:$A$1000,$C59,'Oxford Economics'!$B$7:$B$1000,Settings!$B$17)+IF(Settings!$B$19="",0,SUMIFS(INDEX('Oxford Economics'!$A$7:$AZ$1000,0,IFERROR(MATCH(S$5,'Oxford Economics'!$A$6:$AZ$6,0),MATCH(S$5&amp;"",'Oxford Economics'!$A$6:$AZ$6,0))),'Oxford Economics'!$A$7:$A$1000,$C59,'Oxford Economics'!$B$7:$B$1000,Settings!$B$19)))),""))</f>
        <v>75063.16</v>
      </c>
      <c r="T59" s="38" t="n">
        <f aca="false">IF($A59="","",IFERROR(1/(1/IF($B59="Residential",SUMIFS(INDEX('Oxford Economics'!$A$7:$AZ$1000,0,IFERROR(MATCH(T$5,'Oxford Economics'!$A$6:$AZ$6,0),MATCH(T$5&amp;"",'Oxford Economics'!$A$6:$AZ$6,0))),'Oxford Economics'!$A$7:$A$1000,$C59,'Oxford Economics'!$B$7:$B$1000,Settings!$B$13)-SUMIFS(INDEX('Oxford Economics'!$A$7:$AZ$1000,0,IFERROR(MATCH(T$5,'Oxford Economics'!$A$6:$AZ$6,0),MATCH(T$5&amp;"",'Oxford Economics'!$A$6:$AZ$6,0))),'Oxford Economics'!$A$7:$A$1000,$C59,'Oxford Economics'!$B$7:$B$1000,Settings!$B$15),SUMIFS(INDEX('Oxford Economics'!$A$7:$AZ$1000,0,IFERROR(MATCH(T$5,'Oxford Economics'!$A$6:$AZ$6,0),MATCH(T$5&amp;"",'Oxford Economics'!$A$6:$AZ$6,0))),'Oxford Economics'!$A$7:$A$1000,$C59,'Oxford Economics'!$B$7:$B$1000,Settings!$B$15)+SUMIFS(INDEX('Oxford Economics'!$A$7:$AZ$1000,0,IFERROR(MATCH(T$5,'Oxford Economics'!$A$6:$AZ$6,0),MATCH(T$5&amp;"",'Oxford Economics'!$A$6:$AZ$6,0))),'Oxford Economics'!$A$7:$A$1000,$C59,'Oxford Economics'!$B$7:$B$1000,Settings!$B$17)+IF(Settings!$B$19="",0,SUMIFS(INDEX('Oxford Economics'!$A$7:$AZ$1000,0,IFERROR(MATCH(T$5,'Oxford Economics'!$A$6:$AZ$6,0),MATCH(T$5&amp;"",'Oxford Economics'!$A$6:$AZ$6,0))),'Oxford Economics'!$A$7:$A$1000,$C59,'Oxford Economics'!$B$7:$B$1000,Settings!$B$19)))),""))</f>
        <v>70517.2</v>
      </c>
      <c r="U59" s="38" t="n">
        <f aca="false">IF($A59="","",IFERROR(1/(1/IF($B59="Residential",SUMIFS(INDEX('Oxford Economics'!$A$7:$AZ$1000,0,IFERROR(MATCH(U$5,'Oxford Economics'!$A$6:$AZ$6,0),MATCH(U$5&amp;"",'Oxford Economics'!$A$6:$AZ$6,0))),'Oxford Economics'!$A$7:$A$1000,$C59,'Oxford Economics'!$B$7:$B$1000,Settings!$B$13)-SUMIFS(INDEX('Oxford Economics'!$A$7:$AZ$1000,0,IFERROR(MATCH(U$5,'Oxford Economics'!$A$6:$AZ$6,0),MATCH(U$5&amp;"",'Oxford Economics'!$A$6:$AZ$6,0))),'Oxford Economics'!$A$7:$A$1000,$C59,'Oxford Economics'!$B$7:$B$1000,Settings!$B$15),SUMIFS(INDEX('Oxford Economics'!$A$7:$AZ$1000,0,IFERROR(MATCH(U$5,'Oxford Economics'!$A$6:$AZ$6,0),MATCH(U$5&amp;"",'Oxford Economics'!$A$6:$AZ$6,0))),'Oxford Economics'!$A$7:$A$1000,$C59,'Oxford Economics'!$B$7:$B$1000,Settings!$B$15)+SUMIFS(INDEX('Oxford Economics'!$A$7:$AZ$1000,0,IFERROR(MATCH(U$5,'Oxford Economics'!$A$6:$AZ$6,0),MATCH(U$5&amp;"",'Oxford Economics'!$A$6:$AZ$6,0))),'Oxford Economics'!$A$7:$A$1000,$C59,'Oxford Economics'!$B$7:$B$1000,Settings!$B$17)+IF(Settings!$B$19="",0,SUMIFS(INDEX('Oxford Economics'!$A$7:$AZ$1000,0,IFERROR(MATCH(U$5,'Oxford Economics'!$A$6:$AZ$6,0),MATCH(U$5&amp;"",'Oxford Economics'!$A$6:$AZ$6,0))),'Oxford Economics'!$A$7:$A$1000,$C59,'Oxford Economics'!$B$7:$B$1000,Settings!$B$19)))),""))</f>
        <v>68792.4</v>
      </c>
      <c r="V59" s="38" t="n">
        <f aca="false">IF($A59="","",IFERROR(1/(1/IF($B59="Residential",SUMIFS(INDEX('Oxford Economics'!$A$7:$AZ$1000,0,IFERROR(MATCH(V$5,'Oxford Economics'!$A$6:$AZ$6,0),MATCH(V$5&amp;"",'Oxford Economics'!$A$6:$AZ$6,0))),'Oxford Economics'!$A$7:$A$1000,$C59,'Oxford Economics'!$B$7:$B$1000,Settings!$B$13)-SUMIFS(INDEX('Oxford Economics'!$A$7:$AZ$1000,0,IFERROR(MATCH(V$5,'Oxford Economics'!$A$6:$AZ$6,0),MATCH(V$5&amp;"",'Oxford Economics'!$A$6:$AZ$6,0))),'Oxford Economics'!$A$7:$A$1000,$C59,'Oxford Economics'!$B$7:$B$1000,Settings!$B$15),SUMIFS(INDEX('Oxford Economics'!$A$7:$AZ$1000,0,IFERROR(MATCH(V$5,'Oxford Economics'!$A$6:$AZ$6,0),MATCH(V$5&amp;"",'Oxford Economics'!$A$6:$AZ$6,0))),'Oxford Economics'!$A$7:$A$1000,$C59,'Oxford Economics'!$B$7:$B$1000,Settings!$B$15)+SUMIFS(INDEX('Oxford Economics'!$A$7:$AZ$1000,0,IFERROR(MATCH(V$5,'Oxford Economics'!$A$6:$AZ$6,0),MATCH(V$5&amp;"",'Oxford Economics'!$A$6:$AZ$6,0))),'Oxford Economics'!$A$7:$A$1000,$C59,'Oxford Economics'!$B$7:$B$1000,Settings!$B$17)+IF(Settings!$B$19="",0,SUMIFS(INDEX('Oxford Economics'!$A$7:$AZ$1000,0,IFERROR(MATCH(V$5,'Oxford Economics'!$A$6:$AZ$6,0),MATCH(V$5&amp;"",'Oxford Economics'!$A$6:$AZ$6,0))),'Oxford Economics'!$A$7:$A$1000,$C59,'Oxford Economics'!$B$7:$B$1000,Settings!$B$19)))),""))</f>
        <v>70165.33</v>
      </c>
      <c r="W59" s="38" t="n">
        <f aca="false">IF($A59="","",IFERROR(1/(1/IF($B59="Residential",SUMIFS(INDEX('Oxford Economics'!$A$7:$AZ$1000,0,IFERROR(MATCH(W$5,'Oxford Economics'!$A$6:$AZ$6,0),MATCH(W$5&amp;"",'Oxford Economics'!$A$6:$AZ$6,0))),'Oxford Economics'!$A$7:$A$1000,$C59,'Oxford Economics'!$B$7:$B$1000,Settings!$B$13)-SUMIFS(INDEX('Oxford Economics'!$A$7:$AZ$1000,0,IFERROR(MATCH(W$5,'Oxford Economics'!$A$6:$AZ$6,0),MATCH(W$5&amp;"",'Oxford Economics'!$A$6:$AZ$6,0))),'Oxford Economics'!$A$7:$A$1000,$C59,'Oxford Economics'!$B$7:$B$1000,Settings!$B$15),SUMIFS(INDEX('Oxford Economics'!$A$7:$AZ$1000,0,IFERROR(MATCH(W$5,'Oxford Economics'!$A$6:$AZ$6,0),MATCH(W$5&amp;"",'Oxford Economics'!$A$6:$AZ$6,0))),'Oxford Economics'!$A$7:$A$1000,$C59,'Oxford Economics'!$B$7:$B$1000,Settings!$B$15)+SUMIFS(INDEX('Oxford Economics'!$A$7:$AZ$1000,0,IFERROR(MATCH(W$5,'Oxford Economics'!$A$6:$AZ$6,0),MATCH(W$5&amp;"",'Oxford Economics'!$A$6:$AZ$6,0))),'Oxford Economics'!$A$7:$A$1000,$C59,'Oxford Economics'!$B$7:$B$1000,Settings!$B$17)+IF(Settings!$B$19="",0,SUMIFS(INDEX('Oxford Economics'!$A$7:$AZ$1000,0,IFERROR(MATCH(W$5,'Oxford Economics'!$A$6:$AZ$6,0),MATCH(W$5&amp;"",'Oxford Economics'!$A$6:$AZ$6,0))),'Oxford Economics'!$A$7:$A$1000,$C59,'Oxford Economics'!$B$7:$B$1000,Settings!$B$19)))),""))</f>
        <v>71792.83</v>
      </c>
      <c r="X59" s="38" t="n">
        <f aca="false">IF($A59="","",IFERROR(1/(1/IF($B59="Residential",SUMIFS(INDEX('Oxford Economics'!$A$7:$AZ$1000,0,IFERROR(MATCH(X$5,'Oxford Economics'!$A$6:$AZ$6,0),MATCH(X$5&amp;"",'Oxford Economics'!$A$6:$AZ$6,0))),'Oxford Economics'!$A$7:$A$1000,$C59,'Oxford Economics'!$B$7:$B$1000,Settings!$B$13)-SUMIFS(INDEX('Oxford Economics'!$A$7:$AZ$1000,0,IFERROR(MATCH(X$5,'Oxford Economics'!$A$6:$AZ$6,0),MATCH(X$5&amp;"",'Oxford Economics'!$A$6:$AZ$6,0))),'Oxford Economics'!$A$7:$A$1000,$C59,'Oxford Economics'!$B$7:$B$1000,Settings!$B$15),SUMIFS(INDEX('Oxford Economics'!$A$7:$AZ$1000,0,IFERROR(MATCH(X$5,'Oxford Economics'!$A$6:$AZ$6,0),MATCH(X$5&amp;"",'Oxford Economics'!$A$6:$AZ$6,0))),'Oxford Economics'!$A$7:$A$1000,$C59,'Oxford Economics'!$B$7:$B$1000,Settings!$B$15)+SUMIFS(INDEX('Oxford Economics'!$A$7:$AZ$1000,0,IFERROR(MATCH(X$5,'Oxford Economics'!$A$6:$AZ$6,0),MATCH(X$5&amp;"",'Oxford Economics'!$A$6:$AZ$6,0))),'Oxford Economics'!$A$7:$A$1000,$C59,'Oxford Economics'!$B$7:$B$1000,Settings!$B$17)+IF(Settings!$B$19="",0,SUMIFS(INDEX('Oxford Economics'!$A$7:$AZ$1000,0,IFERROR(MATCH(X$5,'Oxford Economics'!$A$6:$AZ$6,0),MATCH(X$5&amp;"",'Oxford Economics'!$A$6:$AZ$6,0))),'Oxford Economics'!$A$7:$A$1000,$C59,'Oxford Economics'!$B$7:$B$1000,Settings!$B$19)))),""))</f>
        <v>75396.22</v>
      </c>
      <c r="Y59" s="38" t="n">
        <f aca="false">IF($A59="","",IFERROR(1/(1/IF($B59="Residential",SUMIFS(INDEX('Oxford Economics'!$A$7:$AZ$1000,0,IFERROR(MATCH(Y$5,'Oxford Economics'!$A$6:$AZ$6,0),MATCH(Y$5&amp;"",'Oxford Economics'!$A$6:$AZ$6,0))),'Oxford Economics'!$A$7:$A$1000,$C59,'Oxford Economics'!$B$7:$B$1000,Settings!$B$13)-SUMIFS(INDEX('Oxford Economics'!$A$7:$AZ$1000,0,IFERROR(MATCH(Y$5,'Oxford Economics'!$A$6:$AZ$6,0),MATCH(Y$5&amp;"",'Oxford Economics'!$A$6:$AZ$6,0))),'Oxford Economics'!$A$7:$A$1000,$C59,'Oxford Economics'!$B$7:$B$1000,Settings!$B$15),SUMIFS(INDEX('Oxford Economics'!$A$7:$AZ$1000,0,IFERROR(MATCH(Y$5,'Oxford Economics'!$A$6:$AZ$6,0),MATCH(Y$5&amp;"",'Oxford Economics'!$A$6:$AZ$6,0))),'Oxford Economics'!$A$7:$A$1000,$C59,'Oxford Economics'!$B$7:$B$1000,Settings!$B$15)+SUMIFS(INDEX('Oxford Economics'!$A$7:$AZ$1000,0,IFERROR(MATCH(Y$5,'Oxford Economics'!$A$6:$AZ$6,0),MATCH(Y$5&amp;"",'Oxford Economics'!$A$6:$AZ$6,0))),'Oxford Economics'!$A$7:$A$1000,$C59,'Oxford Economics'!$B$7:$B$1000,Settings!$B$17)+IF(Settings!$B$19="",0,SUMIFS(INDEX('Oxford Economics'!$A$7:$AZ$1000,0,IFERROR(MATCH(Y$5,'Oxford Economics'!$A$6:$AZ$6,0),MATCH(Y$5&amp;"",'Oxford Economics'!$A$6:$AZ$6,0))),'Oxford Economics'!$A$7:$A$1000,$C59,'Oxford Economics'!$B$7:$B$1000,Settings!$B$19)))),""))</f>
        <v>79704.19</v>
      </c>
      <c r="Z59" s="38" t="n">
        <f aca="false">IF($A59="","",IFERROR(1/(1/IF($B59="Residential",SUMIFS(INDEX('Oxford Economics'!$A$7:$AZ$1000,0,IFERROR(MATCH(Z$5,'Oxford Economics'!$A$6:$AZ$6,0),MATCH(Z$5&amp;"",'Oxford Economics'!$A$6:$AZ$6,0))),'Oxford Economics'!$A$7:$A$1000,$C59,'Oxford Economics'!$B$7:$B$1000,Settings!$B$13)-SUMIFS(INDEX('Oxford Economics'!$A$7:$AZ$1000,0,IFERROR(MATCH(Z$5,'Oxford Economics'!$A$6:$AZ$6,0),MATCH(Z$5&amp;"",'Oxford Economics'!$A$6:$AZ$6,0))),'Oxford Economics'!$A$7:$A$1000,$C59,'Oxford Economics'!$B$7:$B$1000,Settings!$B$15),SUMIFS(INDEX('Oxford Economics'!$A$7:$AZ$1000,0,IFERROR(MATCH(Z$5,'Oxford Economics'!$A$6:$AZ$6,0),MATCH(Z$5&amp;"",'Oxford Economics'!$A$6:$AZ$6,0))),'Oxford Economics'!$A$7:$A$1000,$C59,'Oxford Economics'!$B$7:$B$1000,Settings!$B$15)+SUMIFS(INDEX('Oxford Economics'!$A$7:$AZ$1000,0,IFERROR(MATCH(Z$5,'Oxford Economics'!$A$6:$AZ$6,0),MATCH(Z$5&amp;"",'Oxford Economics'!$A$6:$AZ$6,0))),'Oxford Economics'!$A$7:$A$1000,$C59,'Oxford Economics'!$B$7:$B$1000,Settings!$B$17)+IF(Settings!$B$19="",0,SUMIFS(INDEX('Oxford Economics'!$A$7:$AZ$1000,0,IFERROR(MATCH(Z$5,'Oxford Economics'!$A$6:$AZ$6,0),MATCH(Z$5&amp;"",'Oxford Economics'!$A$6:$AZ$6,0))),'Oxford Economics'!$A$7:$A$1000,$C59,'Oxford Economics'!$B$7:$B$1000,Settings!$B$19)))),""))</f>
        <v>83988.83</v>
      </c>
      <c r="AA59" s="38" t="n">
        <f aca="false">IF($A59="","",IFERROR(1/(1/IF($B59="Residential",SUMIFS(INDEX('Oxford Economics'!$A$7:$AZ$1000,0,IFERROR(MATCH(AA$5,'Oxford Economics'!$A$6:$AZ$6,0),MATCH(AA$5&amp;"",'Oxford Economics'!$A$6:$AZ$6,0))),'Oxford Economics'!$A$7:$A$1000,$C59,'Oxford Economics'!$B$7:$B$1000,Settings!$B$13)-SUMIFS(INDEX('Oxford Economics'!$A$7:$AZ$1000,0,IFERROR(MATCH(AA$5,'Oxford Economics'!$A$6:$AZ$6,0),MATCH(AA$5&amp;"",'Oxford Economics'!$A$6:$AZ$6,0))),'Oxford Economics'!$A$7:$A$1000,$C59,'Oxford Economics'!$B$7:$B$1000,Settings!$B$15),SUMIFS(INDEX('Oxford Economics'!$A$7:$AZ$1000,0,IFERROR(MATCH(AA$5,'Oxford Economics'!$A$6:$AZ$6,0),MATCH(AA$5&amp;"",'Oxford Economics'!$A$6:$AZ$6,0))),'Oxford Economics'!$A$7:$A$1000,$C59,'Oxford Economics'!$B$7:$B$1000,Settings!$B$15)+SUMIFS(INDEX('Oxford Economics'!$A$7:$AZ$1000,0,IFERROR(MATCH(AA$5,'Oxford Economics'!$A$6:$AZ$6,0),MATCH(AA$5&amp;"",'Oxford Economics'!$A$6:$AZ$6,0))),'Oxford Economics'!$A$7:$A$1000,$C59,'Oxford Economics'!$B$7:$B$1000,Settings!$B$17)+IF(Settings!$B$19="",0,SUMIFS(INDEX('Oxford Economics'!$A$7:$AZ$1000,0,IFERROR(MATCH(AA$5,'Oxford Economics'!$A$6:$AZ$6,0),MATCH(AA$5&amp;"",'Oxford Economics'!$A$6:$AZ$6,0))),'Oxford Economics'!$A$7:$A$1000,$C59,'Oxford Economics'!$B$7:$B$1000,Settings!$B$19)))),""))</f>
        <v>85914.88</v>
      </c>
      <c r="AB59" s="38" t="n">
        <f aca="false">IF($A59="","",IFERROR(1/(1/IF($B59="Residential",SUMIFS(INDEX('Oxford Economics'!$A$7:$AZ$1000,0,IFERROR(MATCH(AB$5,'Oxford Economics'!$A$6:$AZ$6,0),MATCH(AB$5&amp;"",'Oxford Economics'!$A$6:$AZ$6,0))),'Oxford Economics'!$A$7:$A$1000,$C59,'Oxford Economics'!$B$7:$B$1000,Settings!$B$12)-SUMIFS(INDEX('Oxford Economics'!$A$7:$AZ$1000,0,IFERROR(MATCH(AB$5,'Oxford Economics'!$A$6:$AZ$6,0),MATCH(AB$5&amp;"",'Oxford Economics'!$A$6:$AZ$6,0))),'Oxford Economics'!$A$7:$A$1000,$C59,'Oxford Economics'!$B$7:$B$1000,Settings!$B$14),SUMIFS(INDEX('Oxford Economics'!$A$7:$AZ$1000,0,IFERROR(MATCH(AB$5,'Oxford Economics'!$A$6:$AZ$6,0),MATCH(AB$5&amp;"",'Oxford Economics'!$A$6:$AZ$6,0))),'Oxford Economics'!$A$7:$A$1000,$C59,'Oxford Economics'!$B$7:$B$1000,Settings!$B$14)+SUMIFS(INDEX('Oxford Economics'!$A$7:$AZ$1000,0,IFERROR(MATCH(AB$5,'Oxford Economics'!$A$6:$AZ$6,0),MATCH(AB$5&amp;"",'Oxford Economics'!$A$6:$AZ$6,0))),'Oxford Economics'!$A$7:$A$1000,$C59,'Oxford Economics'!$B$7:$B$1000,Settings!$B$16)+IF(Settings!$B$18="",0,SUMIFS(INDEX('Oxford Economics'!$A$7:$AZ$1000,0,IFERROR(MATCH(AB$5,'Oxford Economics'!$A$6:$AZ$6,0),MATCH(AB$5&amp;"",'Oxford Economics'!$A$6:$AZ$6,0))),'Oxford Economics'!$A$7:$A$1000,$C59,'Oxford Economics'!$B$7:$B$1000,Settings!$B$18)))),""))</f>
        <v>55349.36</v>
      </c>
      <c r="AC59" s="38" t="n">
        <f aca="false">IF($A59="","",IFERROR(1/(1/IF($B59="Residential",SUMIFS(INDEX('Oxford Economics'!$A$7:$AZ$1000,0,IFERROR(MATCH(AC$5,'Oxford Economics'!$A$6:$AZ$6,0),MATCH(AC$5&amp;"",'Oxford Economics'!$A$6:$AZ$6,0))),'Oxford Economics'!$A$7:$A$1000,$C59,'Oxford Economics'!$B$7:$B$1000,Settings!$B$12)-SUMIFS(INDEX('Oxford Economics'!$A$7:$AZ$1000,0,IFERROR(MATCH(AC$5,'Oxford Economics'!$A$6:$AZ$6,0),MATCH(AC$5&amp;"",'Oxford Economics'!$A$6:$AZ$6,0))),'Oxford Economics'!$A$7:$A$1000,$C59,'Oxford Economics'!$B$7:$B$1000,Settings!$B$14),SUMIFS(INDEX('Oxford Economics'!$A$7:$AZ$1000,0,IFERROR(MATCH(AC$5,'Oxford Economics'!$A$6:$AZ$6,0),MATCH(AC$5&amp;"",'Oxford Economics'!$A$6:$AZ$6,0))),'Oxford Economics'!$A$7:$A$1000,$C59,'Oxford Economics'!$B$7:$B$1000,Settings!$B$14)+SUMIFS(INDEX('Oxford Economics'!$A$7:$AZ$1000,0,IFERROR(MATCH(AC$5,'Oxford Economics'!$A$6:$AZ$6,0),MATCH(AC$5&amp;"",'Oxford Economics'!$A$6:$AZ$6,0))),'Oxford Economics'!$A$7:$A$1000,$C59,'Oxford Economics'!$B$7:$B$1000,Settings!$B$16)+IF(Settings!$B$18="",0,SUMIFS(INDEX('Oxford Economics'!$A$7:$AZ$1000,0,IFERROR(MATCH(AC$5,'Oxford Economics'!$A$6:$AZ$6,0),MATCH(AC$5&amp;"",'Oxford Economics'!$A$6:$AZ$6,0))),'Oxford Economics'!$A$7:$A$1000,$C59,'Oxford Economics'!$B$7:$B$1000,Settings!$B$18)))),""))</f>
        <v>52945.47</v>
      </c>
      <c r="AD59" s="38" t="n">
        <f aca="false">IF($A59="","",IFERROR(1/(1/IF($B59="Residential",SUMIFS(INDEX('Oxford Economics'!$A$7:$AZ$1000,0,IFERROR(MATCH(AD$5,'Oxford Economics'!$A$6:$AZ$6,0),MATCH(AD$5&amp;"",'Oxford Economics'!$A$6:$AZ$6,0))),'Oxford Economics'!$A$7:$A$1000,$C59,'Oxford Economics'!$B$7:$B$1000,Settings!$B$12)-SUMIFS(INDEX('Oxford Economics'!$A$7:$AZ$1000,0,IFERROR(MATCH(AD$5,'Oxford Economics'!$A$6:$AZ$6,0),MATCH(AD$5&amp;"",'Oxford Economics'!$A$6:$AZ$6,0))),'Oxford Economics'!$A$7:$A$1000,$C59,'Oxford Economics'!$B$7:$B$1000,Settings!$B$14),SUMIFS(INDEX('Oxford Economics'!$A$7:$AZ$1000,0,IFERROR(MATCH(AD$5,'Oxford Economics'!$A$6:$AZ$6,0),MATCH(AD$5&amp;"",'Oxford Economics'!$A$6:$AZ$6,0))),'Oxford Economics'!$A$7:$A$1000,$C59,'Oxford Economics'!$B$7:$B$1000,Settings!$B$14)+SUMIFS(INDEX('Oxford Economics'!$A$7:$AZ$1000,0,IFERROR(MATCH(AD$5,'Oxford Economics'!$A$6:$AZ$6,0),MATCH(AD$5&amp;"",'Oxford Economics'!$A$6:$AZ$6,0))),'Oxford Economics'!$A$7:$A$1000,$C59,'Oxford Economics'!$B$7:$B$1000,Settings!$B$16)+IF(Settings!$B$18="",0,SUMIFS(INDEX('Oxford Economics'!$A$7:$AZ$1000,0,IFERROR(MATCH(AD$5,'Oxford Economics'!$A$6:$AZ$6,0),MATCH(AD$5&amp;"",'Oxford Economics'!$A$6:$AZ$6,0))),'Oxford Economics'!$A$7:$A$1000,$C59,'Oxford Economics'!$B$7:$B$1000,Settings!$B$18)))),""))</f>
        <v>45188.96</v>
      </c>
      <c r="AE59" s="38" t="n">
        <f aca="false">IF($A59="","",IFERROR(1/(1/IF($B59="Residential",SUMIFS(INDEX('Oxford Economics'!$A$7:$AZ$1000,0,IFERROR(MATCH(AE$5,'Oxford Economics'!$A$6:$AZ$6,0),MATCH(AE$5&amp;"",'Oxford Economics'!$A$6:$AZ$6,0))),'Oxford Economics'!$A$7:$A$1000,$C59,'Oxford Economics'!$B$7:$B$1000,Settings!$B$12)-SUMIFS(INDEX('Oxford Economics'!$A$7:$AZ$1000,0,IFERROR(MATCH(AE$5,'Oxford Economics'!$A$6:$AZ$6,0),MATCH(AE$5&amp;"",'Oxford Economics'!$A$6:$AZ$6,0))),'Oxford Economics'!$A$7:$A$1000,$C59,'Oxford Economics'!$B$7:$B$1000,Settings!$B$14),SUMIFS(INDEX('Oxford Economics'!$A$7:$AZ$1000,0,IFERROR(MATCH(AE$5,'Oxford Economics'!$A$6:$AZ$6,0),MATCH(AE$5&amp;"",'Oxford Economics'!$A$6:$AZ$6,0))),'Oxford Economics'!$A$7:$A$1000,$C59,'Oxford Economics'!$B$7:$B$1000,Settings!$B$14)+SUMIFS(INDEX('Oxford Economics'!$A$7:$AZ$1000,0,IFERROR(MATCH(AE$5,'Oxford Economics'!$A$6:$AZ$6,0),MATCH(AE$5&amp;"",'Oxford Economics'!$A$6:$AZ$6,0))),'Oxford Economics'!$A$7:$A$1000,$C59,'Oxford Economics'!$B$7:$B$1000,Settings!$B$16)+IF(Settings!$B$18="",0,SUMIFS(INDEX('Oxford Economics'!$A$7:$AZ$1000,0,IFERROR(MATCH(AE$5,'Oxford Economics'!$A$6:$AZ$6,0),MATCH(AE$5&amp;"",'Oxford Economics'!$A$6:$AZ$6,0))),'Oxford Economics'!$A$7:$A$1000,$C59,'Oxford Economics'!$B$7:$B$1000,Settings!$B$18)))),""))</f>
        <v>45874.68</v>
      </c>
      <c r="AF59" s="38" t="n">
        <f aca="false">IF($A59="","",IFERROR(1/(1/IF($B59="Residential",SUMIFS(INDEX('Oxford Economics'!$A$7:$AZ$1000,0,IFERROR(MATCH(AF$5,'Oxford Economics'!$A$6:$AZ$6,0),MATCH(AF$5&amp;"",'Oxford Economics'!$A$6:$AZ$6,0))),'Oxford Economics'!$A$7:$A$1000,$C59,'Oxford Economics'!$B$7:$B$1000,Settings!$B$12)-SUMIFS(INDEX('Oxford Economics'!$A$7:$AZ$1000,0,IFERROR(MATCH(AF$5,'Oxford Economics'!$A$6:$AZ$6,0),MATCH(AF$5&amp;"",'Oxford Economics'!$A$6:$AZ$6,0))),'Oxford Economics'!$A$7:$A$1000,$C59,'Oxford Economics'!$B$7:$B$1000,Settings!$B$14),SUMIFS(INDEX('Oxford Economics'!$A$7:$AZ$1000,0,IFERROR(MATCH(AF$5,'Oxford Economics'!$A$6:$AZ$6,0),MATCH(AF$5&amp;"",'Oxford Economics'!$A$6:$AZ$6,0))),'Oxford Economics'!$A$7:$A$1000,$C59,'Oxford Economics'!$B$7:$B$1000,Settings!$B$14)+SUMIFS(INDEX('Oxford Economics'!$A$7:$AZ$1000,0,IFERROR(MATCH(AF$5,'Oxford Economics'!$A$6:$AZ$6,0),MATCH(AF$5&amp;"",'Oxford Economics'!$A$6:$AZ$6,0))),'Oxford Economics'!$A$7:$A$1000,$C59,'Oxford Economics'!$B$7:$B$1000,Settings!$B$16)+IF(Settings!$B$18="",0,SUMIFS(INDEX('Oxford Economics'!$A$7:$AZ$1000,0,IFERROR(MATCH(AF$5,'Oxford Economics'!$A$6:$AZ$6,0),MATCH(AF$5&amp;"",'Oxford Economics'!$A$6:$AZ$6,0))),'Oxford Economics'!$A$7:$A$1000,$C59,'Oxford Economics'!$B$7:$B$1000,Settings!$B$18)))),""))</f>
        <v>41700.71</v>
      </c>
      <c r="AG59" s="38" t="n">
        <f aca="false">IF($A59="","",IFERROR(1/(1/IF($B59="Residential",SUMIFS(INDEX('Oxford Economics'!$A$7:$AZ$1000,0,IFERROR(MATCH(AG$5,'Oxford Economics'!$A$6:$AZ$6,0),MATCH(AG$5&amp;"",'Oxford Economics'!$A$6:$AZ$6,0))),'Oxford Economics'!$A$7:$A$1000,$C59,'Oxford Economics'!$B$7:$B$1000,Settings!$B$12)-SUMIFS(INDEX('Oxford Economics'!$A$7:$AZ$1000,0,IFERROR(MATCH(AG$5,'Oxford Economics'!$A$6:$AZ$6,0),MATCH(AG$5&amp;"",'Oxford Economics'!$A$6:$AZ$6,0))),'Oxford Economics'!$A$7:$A$1000,$C59,'Oxford Economics'!$B$7:$B$1000,Settings!$B$14),SUMIFS(INDEX('Oxford Economics'!$A$7:$AZ$1000,0,IFERROR(MATCH(AG$5,'Oxford Economics'!$A$6:$AZ$6,0),MATCH(AG$5&amp;"",'Oxford Economics'!$A$6:$AZ$6,0))),'Oxford Economics'!$A$7:$A$1000,$C59,'Oxford Economics'!$B$7:$B$1000,Settings!$B$14)+SUMIFS(INDEX('Oxford Economics'!$A$7:$AZ$1000,0,IFERROR(MATCH(AG$5,'Oxford Economics'!$A$6:$AZ$6,0),MATCH(AG$5&amp;"",'Oxford Economics'!$A$6:$AZ$6,0))),'Oxford Economics'!$A$7:$A$1000,$C59,'Oxford Economics'!$B$7:$B$1000,Settings!$B$16)+IF(Settings!$B$18="",0,SUMIFS(INDEX('Oxford Economics'!$A$7:$AZ$1000,0,IFERROR(MATCH(AG$5,'Oxford Economics'!$A$6:$AZ$6,0),MATCH(AG$5&amp;"",'Oxford Economics'!$A$6:$AZ$6,0))),'Oxford Economics'!$A$7:$A$1000,$C59,'Oxford Economics'!$B$7:$B$1000,Settings!$B$18)))),""))</f>
        <v>39622.45</v>
      </c>
      <c r="AH59" s="38" t="n">
        <f aca="false">IF($A59="","",IFERROR(1/(1/IF($B59="Residential",SUMIFS(INDEX('Oxford Economics'!$A$7:$AZ$1000,0,IFERROR(MATCH(AH$5,'Oxford Economics'!$A$6:$AZ$6,0),MATCH(AH$5&amp;"",'Oxford Economics'!$A$6:$AZ$6,0))),'Oxford Economics'!$A$7:$A$1000,$C59,'Oxford Economics'!$B$7:$B$1000,Settings!$B$12)-SUMIFS(INDEX('Oxford Economics'!$A$7:$AZ$1000,0,IFERROR(MATCH(AH$5,'Oxford Economics'!$A$6:$AZ$6,0),MATCH(AH$5&amp;"",'Oxford Economics'!$A$6:$AZ$6,0))),'Oxford Economics'!$A$7:$A$1000,$C59,'Oxford Economics'!$B$7:$B$1000,Settings!$B$14),SUMIFS(INDEX('Oxford Economics'!$A$7:$AZ$1000,0,IFERROR(MATCH(AH$5,'Oxford Economics'!$A$6:$AZ$6,0),MATCH(AH$5&amp;"",'Oxford Economics'!$A$6:$AZ$6,0))),'Oxford Economics'!$A$7:$A$1000,$C59,'Oxford Economics'!$B$7:$B$1000,Settings!$B$14)+SUMIFS(INDEX('Oxford Economics'!$A$7:$AZ$1000,0,IFERROR(MATCH(AH$5,'Oxford Economics'!$A$6:$AZ$6,0),MATCH(AH$5&amp;"",'Oxford Economics'!$A$6:$AZ$6,0))),'Oxford Economics'!$A$7:$A$1000,$C59,'Oxford Economics'!$B$7:$B$1000,Settings!$B$16)+IF(Settings!$B$18="",0,SUMIFS(INDEX('Oxford Economics'!$A$7:$AZ$1000,0,IFERROR(MATCH(AH$5,'Oxford Economics'!$A$6:$AZ$6,0),MATCH(AH$5&amp;"",'Oxford Economics'!$A$6:$AZ$6,0))),'Oxford Economics'!$A$7:$A$1000,$C59,'Oxford Economics'!$B$7:$B$1000,Settings!$B$18)))),""))</f>
        <v>40814.9</v>
      </c>
      <c r="AI59" s="38" t="n">
        <f aca="false">IF($A59="","",IFERROR(1/(1/IF($B59="Residential",SUMIFS(INDEX('Oxford Economics'!$A$7:$AZ$1000,0,IFERROR(MATCH(AI$5,'Oxford Economics'!$A$6:$AZ$6,0),MATCH(AI$5&amp;"",'Oxford Economics'!$A$6:$AZ$6,0))),'Oxford Economics'!$A$7:$A$1000,$C59,'Oxford Economics'!$B$7:$B$1000,Settings!$B$12)-SUMIFS(INDEX('Oxford Economics'!$A$7:$AZ$1000,0,IFERROR(MATCH(AI$5,'Oxford Economics'!$A$6:$AZ$6,0),MATCH(AI$5&amp;"",'Oxford Economics'!$A$6:$AZ$6,0))),'Oxford Economics'!$A$7:$A$1000,$C59,'Oxford Economics'!$B$7:$B$1000,Settings!$B$14),SUMIFS(INDEX('Oxford Economics'!$A$7:$AZ$1000,0,IFERROR(MATCH(AI$5,'Oxford Economics'!$A$6:$AZ$6,0),MATCH(AI$5&amp;"",'Oxford Economics'!$A$6:$AZ$6,0))),'Oxford Economics'!$A$7:$A$1000,$C59,'Oxford Economics'!$B$7:$B$1000,Settings!$B$14)+SUMIFS(INDEX('Oxford Economics'!$A$7:$AZ$1000,0,IFERROR(MATCH(AI$5,'Oxford Economics'!$A$6:$AZ$6,0),MATCH(AI$5&amp;"",'Oxford Economics'!$A$6:$AZ$6,0))),'Oxford Economics'!$A$7:$A$1000,$C59,'Oxford Economics'!$B$7:$B$1000,Settings!$B$16)+IF(Settings!$B$18="",0,SUMIFS(INDEX('Oxford Economics'!$A$7:$AZ$1000,0,IFERROR(MATCH(AI$5,'Oxford Economics'!$A$6:$AZ$6,0),MATCH(AI$5&amp;"",'Oxford Economics'!$A$6:$AZ$6,0))),'Oxford Economics'!$A$7:$A$1000,$C59,'Oxford Economics'!$B$7:$B$1000,Settings!$B$18)))),""))</f>
        <v>42826.17</v>
      </c>
      <c r="AJ59" s="38" t="n">
        <f aca="false">IF($A59="","",IFERROR(1/(1/IF($B59="Residential",SUMIFS(INDEX('Oxford Economics'!$A$7:$AZ$1000,0,IFERROR(MATCH(AJ$5,'Oxford Economics'!$A$6:$AZ$6,0),MATCH(AJ$5&amp;"",'Oxford Economics'!$A$6:$AZ$6,0))),'Oxford Economics'!$A$7:$A$1000,$C59,'Oxford Economics'!$B$7:$B$1000,Settings!$B$12)-SUMIFS(INDEX('Oxford Economics'!$A$7:$AZ$1000,0,IFERROR(MATCH(AJ$5,'Oxford Economics'!$A$6:$AZ$6,0),MATCH(AJ$5&amp;"",'Oxford Economics'!$A$6:$AZ$6,0))),'Oxford Economics'!$A$7:$A$1000,$C59,'Oxford Economics'!$B$7:$B$1000,Settings!$B$14),SUMIFS(INDEX('Oxford Economics'!$A$7:$AZ$1000,0,IFERROR(MATCH(AJ$5,'Oxford Economics'!$A$6:$AZ$6,0),MATCH(AJ$5&amp;"",'Oxford Economics'!$A$6:$AZ$6,0))),'Oxford Economics'!$A$7:$A$1000,$C59,'Oxford Economics'!$B$7:$B$1000,Settings!$B$14)+SUMIFS(INDEX('Oxford Economics'!$A$7:$AZ$1000,0,IFERROR(MATCH(AJ$5,'Oxford Economics'!$A$6:$AZ$6,0),MATCH(AJ$5&amp;"",'Oxford Economics'!$A$6:$AZ$6,0))),'Oxford Economics'!$A$7:$A$1000,$C59,'Oxford Economics'!$B$7:$B$1000,Settings!$B$16)+IF(Settings!$B$18="",0,SUMIFS(INDEX('Oxford Economics'!$A$7:$AZ$1000,0,IFERROR(MATCH(AJ$5,'Oxford Economics'!$A$6:$AZ$6,0),MATCH(AJ$5&amp;"",'Oxford Economics'!$A$6:$AZ$6,0))),'Oxford Economics'!$A$7:$A$1000,$C59,'Oxford Economics'!$B$7:$B$1000,Settings!$B$18)))),""))</f>
        <v>44494.66</v>
      </c>
      <c r="AK59" s="38" t="n">
        <f aca="false">IF($A59="","",IFERROR(1/(1/IF($B59="Residential",SUMIFS(INDEX('Oxford Economics'!$A$7:$AZ$1000,0,IFERROR(MATCH(AK$5,'Oxford Economics'!$A$6:$AZ$6,0),MATCH(AK$5&amp;"",'Oxford Economics'!$A$6:$AZ$6,0))),'Oxford Economics'!$A$7:$A$1000,$C59,'Oxford Economics'!$B$7:$B$1000,Settings!$B$12)-SUMIFS(INDEX('Oxford Economics'!$A$7:$AZ$1000,0,IFERROR(MATCH(AK$5,'Oxford Economics'!$A$6:$AZ$6,0),MATCH(AK$5&amp;"",'Oxford Economics'!$A$6:$AZ$6,0))),'Oxford Economics'!$A$7:$A$1000,$C59,'Oxford Economics'!$B$7:$B$1000,Settings!$B$14),SUMIFS(INDEX('Oxford Economics'!$A$7:$AZ$1000,0,IFERROR(MATCH(AK$5,'Oxford Economics'!$A$6:$AZ$6,0),MATCH(AK$5&amp;"",'Oxford Economics'!$A$6:$AZ$6,0))),'Oxford Economics'!$A$7:$A$1000,$C59,'Oxford Economics'!$B$7:$B$1000,Settings!$B$14)+SUMIFS(INDEX('Oxford Economics'!$A$7:$AZ$1000,0,IFERROR(MATCH(AK$5,'Oxford Economics'!$A$6:$AZ$6,0),MATCH(AK$5&amp;"",'Oxford Economics'!$A$6:$AZ$6,0))),'Oxford Economics'!$A$7:$A$1000,$C59,'Oxford Economics'!$B$7:$B$1000,Settings!$B$16)+IF(Settings!$B$18="",0,SUMIFS(INDEX('Oxford Economics'!$A$7:$AZ$1000,0,IFERROR(MATCH(AK$5,'Oxford Economics'!$A$6:$AZ$6,0),MATCH(AK$5&amp;"",'Oxford Economics'!$A$6:$AZ$6,0))),'Oxford Economics'!$A$7:$A$1000,$C59,'Oxford Economics'!$B$7:$B$1000,Settings!$B$18)))),""))</f>
        <v>45579.38</v>
      </c>
      <c r="AL59" s="38" t="n">
        <f aca="false">IF($A59="","",IFERROR(1/(1/IF($B59="Residential",SUMIFS(INDEX('Oxford Economics'!$A$7:$AZ$1000,0,IFERROR(MATCH(AL$5,'Oxford Economics'!$A$6:$AZ$6,0),MATCH(AL$5&amp;"",'Oxford Economics'!$A$6:$AZ$6,0))),'Oxford Economics'!$A$7:$A$1000,$C59,'Oxford Economics'!$B$7:$B$1000,Settings!$B$12)-SUMIFS(INDEX('Oxford Economics'!$A$7:$AZ$1000,0,IFERROR(MATCH(AL$5,'Oxford Economics'!$A$6:$AZ$6,0),MATCH(AL$5&amp;"",'Oxford Economics'!$A$6:$AZ$6,0))),'Oxford Economics'!$A$7:$A$1000,$C59,'Oxford Economics'!$B$7:$B$1000,Settings!$B$14),SUMIFS(INDEX('Oxford Economics'!$A$7:$AZ$1000,0,IFERROR(MATCH(AL$5,'Oxford Economics'!$A$6:$AZ$6,0),MATCH(AL$5&amp;"",'Oxford Economics'!$A$6:$AZ$6,0))),'Oxford Economics'!$A$7:$A$1000,$C59,'Oxford Economics'!$B$7:$B$1000,Settings!$B$14)+SUMIFS(INDEX('Oxford Economics'!$A$7:$AZ$1000,0,IFERROR(MATCH(AL$5,'Oxford Economics'!$A$6:$AZ$6,0),MATCH(AL$5&amp;"",'Oxford Economics'!$A$6:$AZ$6,0))),'Oxford Economics'!$A$7:$A$1000,$C59,'Oxford Economics'!$B$7:$B$1000,Settings!$B$16)+IF(Settings!$B$18="",0,SUMIFS(INDEX('Oxford Economics'!$A$7:$AZ$1000,0,IFERROR(MATCH(AL$5,'Oxford Economics'!$A$6:$AZ$6,0),MATCH(AL$5&amp;"",'Oxford Economics'!$A$6:$AZ$6,0))),'Oxford Economics'!$A$7:$A$1000,$C59,'Oxford Economics'!$B$7:$B$1000,Settings!$B$18)))),""))</f>
        <v>46487.43</v>
      </c>
      <c r="AM59" s="38" t="n">
        <f aca="false">IF($A59="","",IFERROR(1/(1/IF($B59="Residential",SUMIFS(INDEX('Oxford Economics'!$A$7:$AZ$1000,0,IFERROR(MATCH(AM$5,'Oxford Economics'!$A$6:$AZ$6,0),MATCH(AM$5&amp;"",'Oxford Economics'!$A$6:$AZ$6,0))),'Oxford Economics'!$A$7:$A$1000,$C59,'Oxford Economics'!$B$7:$B$1000,Settings!$B$12)-SUMIFS(INDEX('Oxford Economics'!$A$7:$AZ$1000,0,IFERROR(MATCH(AM$5,'Oxford Economics'!$A$6:$AZ$6,0),MATCH(AM$5&amp;"",'Oxford Economics'!$A$6:$AZ$6,0))),'Oxford Economics'!$A$7:$A$1000,$C59,'Oxford Economics'!$B$7:$B$1000,Settings!$B$14),SUMIFS(INDEX('Oxford Economics'!$A$7:$AZ$1000,0,IFERROR(MATCH(AM$5,'Oxford Economics'!$A$6:$AZ$6,0),MATCH(AM$5&amp;"",'Oxford Economics'!$A$6:$AZ$6,0))),'Oxford Economics'!$A$7:$A$1000,$C59,'Oxford Economics'!$B$7:$B$1000,Settings!$B$14)+SUMIFS(INDEX('Oxford Economics'!$A$7:$AZ$1000,0,IFERROR(MATCH(AM$5,'Oxford Economics'!$A$6:$AZ$6,0),MATCH(AM$5&amp;"",'Oxford Economics'!$A$6:$AZ$6,0))),'Oxford Economics'!$A$7:$A$1000,$C59,'Oxford Economics'!$B$7:$B$1000,Settings!$B$16)+IF(Settings!$B$18="",0,SUMIFS(INDEX('Oxford Economics'!$A$7:$AZ$1000,0,IFERROR(MATCH(AM$5,'Oxford Economics'!$A$6:$AZ$6,0),MATCH(AM$5&amp;"",'Oxford Economics'!$A$6:$AZ$6,0))),'Oxford Economics'!$A$7:$A$1000,$C59,'Oxford Economics'!$B$7:$B$1000,Settings!$B$18)))),""))</f>
        <v>47342.37</v>
      </c>
    </row>
    <row r="60" customFormat="false" ht="15" hidden="false" customHeight="false" outlineLevel="0" collapsed="false">
      <c r="A60" s="37" t="str">
        <f aca="false">IF('Raw data'!$A60="","",'Raw data'!$A60)</f>
        <v>Austria</v>
      </c>
      <c r="B60" s="37" t="str">
        <f aca="false">IF($A60="","",'Raw data'!$C60)</f>
        <v>Residential</v>
      </c>
      <c r="C60" s="37" t="str">
        <f aca="false">IF($A60="","",IF('Raw data'!$E60="",$A60,'Raw data'!$E60))</f>
        <v>Austria</v>
      </c>
      <c r="D60" s="38" t="n">
        <f aca="false">IF($A60="","",IF(AND(ISNUMBER(P60),ISNUMBER(AB60)),P60+AB60,""))</f>
        <v>9490.88</v>
      </c>
      <c r="E60" s="38" t="n">
        <f aca="false">IF($A60="","",IF(AND(ISNUMBER(Q60),ISNUMBER(AC60)),Q60+AC60,""))</f>
        <v>9679.02</v>
      </c>
      <c r="F60" s="38" t="n">
        <f aca="false">IF($A60="","",IF(AND(ISNUMBER(R60),ISNUMBER(AD60)),R60+AD60,""))</f>
        <v>9877.74</v>
      </c>
      <c r="G60" s="38" t="n">
        <f aca="false">IF($A60="","",IF(AND(ISNUMBER(S60),ISNUMBER(AE60)),S60+AE60,""))</f>
        <v>8663.89</v>
      </c>
      <c r="H60" s="38" t="n">
        <f aca="false">IF($A60="","",IF(AND(ISNUMBER(T60),ISNUMBER(AF60)),T60+AF60,""))</f>
        <v>7963.21</v>
      </c>
      <c r="I60" s="38" t="n">
        <f aca="false">IF($A60="","",IF(AND(ISNUMBER(U60),ISNUMBER(AG60)),U60+AG60,""))</f>
        <v>7724.59</v>
      </c>
      <c r="J60" s="38" t="n">
        <f aca="false">IF($A60="","",IF(AND(ISNUMBER(V60),ISNUMBER(AH60)),V60+AH60,""))</f>
        <v>7917.57</v>
      </c>
      <c r="K60" s="38" t="n">
        <f aca="false">IF($A60="","",IF(AND(ISNUMBER(W60),ISNUMBER(AI60)),W60+AI60,""))</f>
        <v>8342.71</v>
      </c>
      <c r="L60" s="38" t="n">
        <f aca="false">IF($A60="","",IF(AND(ISNUMBER(X60),ISNUMBER(AJ60)),X60+AJ60,""))</f>
        <v>8783.55</v>
      </c>
      <c r="M60" s="38" t="n">
        <f aca="false">IF($A60="","",IF(AND(ISNUMBER(Y60),ISNUMBER(AK60)),Y60+AK60,""))</f>
        <v>9115.73</v>
      </c>
      <c r="N60" s="38" t="n">
        <f aca="false">IF($A60="","",IF(AND(ISNUMBER(Z60),ISNUMBER(AL60)),Z60+AL60,""))</f>
        <v>9347.44</v>
      </c>
      <c r="O60" s="38" t="n">
        <f aca="false">IF($A60="","",IF(AND(ISNUMBER(AA60),ISNUMBER(AM60)),AA60+AM60,""))</f>
        <v>9512</v>
      </c>
      <c r="P60" s="38" t="n">
        <f aca="false">IF($A60="","",IFERROR(1/(1/IF($B60="Residential",SUMIFS(INDEX('Oxford Economics'!$A$7:$AZ$1000,0,IFERROR(MATCH(P$5,'Oxford Economics'!$A$6:$AZ$6,0),MATCH(P$5&amp;"",'Oxford Economics'!$A$6:$AZ$6,0))),'Oxford Economics'!$A$7:$A$1000,$C60,'Oxford Economics'!$B$7:$B$1000,Settings!$B$13)-SUMIFS(INDEX('Oxford Economics'!$A$7:$AZ$1000,0,IFERROR(MATCH(P$5,'Oxford Economics'!$A$6:$AZ$6,0),MATCH(P$5&amp;"",'Oxford Economics'!$A$6:$AZ$6,0))),'Oxford Economics'!$A$7:$A$1000,$C60,'Oxford Economics'!$B$7:$B$1000,Settings!$B$15),SUMIFS(INDEX('Oxford Economics'!$A$7:$AZ$1000,0,IFERROR(MATCH(P$5,'Oxford Economics'!$A$6:$AZ$6,0),MATCH(P$5&amp;"",'Oxford Economics'!$A$6:$AZ$6,0))),'Oxford Economics'!$A$7:$A$1000,$C60,'Oxford Economics'!$B$7:$B$1000,Settings!$B$15)+SUMIFS(INDEX('Oxford Economics'!$A$7:$AZ$1000,0,IFERROR(MATCH(P$5,'Oxford Economics'!$A$6:$AZ$6,0),MATCH(P$5&amp;"",'Oxford Economics'!$A$6:$AZ$6,0))),'Oxford Economics'!$A$7:$A$1000,$C60,'Oxford Economics'!$B$7:$B$1000,Settings!$B$17)+IF(Settings!$B$19="",0,SUMIFS(INDEX('Oxford Economics'!$A$7:$AZ$1000,0,IFERROR(MATCH(P$5,'Oxford Economics'!$A$6:$AZ$6,0),MATCH(P$5&amp;"",'Oxford Economics'!$A$6:$AZ$6,0))),'Oxford Economics'!$A$7:$A$1000,$C60,'Oxford Economics'!$B$7:$B$1000,Settings!$B$19)))),""))</f>
        <v>3466.43</v>
      </c>
      <c r="Q60" s="38" t="n">
        <f aca="false">IF($A60="","",IFERROR(1/(1/IF($B60="Residential",SUMIFS(INDEX('Oxford Economics'!$A$7:$AZ$1000,0,IFERROR(MATCH(Q$5,'Oxford Economics'!$A$6:$AZ$6,0),MATCH(Q$5&amp;"",'Oxford Economics'!$A$6:$AZ$6,0))),'Oxford Economics'!$A$7:$A$1000,$C60,'Oxford Economics'!$B$7:$B$1000,Settings!$B$13)-SUMIFS(INDEX('Oxford Economics'!$A$7:$AZ$1000,0,IFERROR(MATCH(Q$5,'Oxford Economics'!$A$6:$AZ$6,0),MATCH(Q$5&amp;"",'Oxford Economics'!$A$6:$AZ$6,0))),'Oxford Economics'!$A$7:$A$1000,$C60,'Oxford Economics'!$B$7:$B$1000,Settings!$B$15),SUMIFS(INDEX('Oxford Economics'!$A$7:$AZ$1000,0,IFERROR(MATCH(Q$5,'Oxford Economics'!$A$6:$AZ$6,0),MATCH(Q$5&amp;"",'Oxford Economics'!$A$6:$AZ$6,0))),'Oxford Economics'!$A$7:$A$1000,$C60,'Oxford Economics'!$B$7:$B$1000,Settings!$B$15)+SUMIFS(INDEX('Oxford Economics'!$A$7:$AZ$1000,0,IFERROR(MATCH(Q$5,'Oxford Economics'!$A$6:$AZ$6,0),MATCH(Q$5&amp;"",'Oxford Economics'!$A$6:$AZ$6,0))),'Oxford Economics'!$A$7:$A$1000,$C60,'Oxford Economics'!$B$7:$B$1000,Settings!$B$17)+IF(Settings!$B$19="",0,SUMIFS(INDEX('Oxford Economics'!$A$7:$AZ$1000,0,IFERROR(MATCH(Q$5,'Oxford Economics'!$A$6:$AZ$6,0),MATCH(Q$5&amp;"",'Oxford Economics'!$A$6:$AZ$6,0))),'Oxford Economics'!$A$7:$A$1000,$C60,'Oxford Economics'!$B$7:$B$1000,Settings!$B$19)))),""))</f>
        <v>3247.65</v>
      </c>
      <c r="R60" s="38" t="n">
        <f aca="false">IF($A60="","",IFERROR(1/(1/IF($B60="Residential",SUMIFS(INDEX('Oxford Economics'!$A$7:$AZ$1000,0,IFERROR(MATCH(R$5,'Oxford Economics'!$A$6:$AZ$6,0),MATCH(R$5&amp;"",'Oxford Economics'!$A$6:$AZ$6,0))),'Oxford Economics'!$A$7:$A$1000,$C60,'Oxford Economics'!$B$7:$B$1000,Settings!$B$13)-SUMIFS(INDEX('Oxford Economics'!$A$7:$AZ$1000,0,IFERROR(MATCH(R$5,'Oxford Economics'!$A$6:$AZ$6,0),MATCH(R$5&amp;"",'Oxford Economics'!$A$6:$AZ$6,0))),'Oxford Economics'!$A$7:$A$1000,$C60,'Oxford Economics'!$B$7:$B$1000,Settings!$B$15),SUMIFS(INDEX('Oxford Economics'!$A$7:$AZ$1000,0,IFERROR(MATCH(R$5,'Oxford Economics'!$A$6:$AZ$6,0),MATCH(R$5&amp;"",'Oxford Economics'!$A$6:$AZ$6,0))),'Oxford Economics'!$A$7:$A$1000,$C60,'Oxford Economics'!$B$7:$B$1000,Settings!$B$15)+SUMIFS(INDEX('Oxford Economics'!$A$7:$AZ$1000,0,IFERROR(MATCH(R$5,'Oxford Economics'!$A$6:$AZ$6,0),MATCH(R$5&amp;"",'Oxford Economics'!$A$6:$AZ$6,0))),'Oxford Economics'!$A$7:$A$1000,$C60,'Oxford Economics'!$B$7:$B$1000,Settings!$B$17)+IF(Settings!$B$19="",0,SUMIFS(INDEX('Oxford Economics'!$A$7:$AZ$1000,0,IFERROR(MATCH(R$5,'Oxford Economics'!$A$6:$AZ$6,0),MATCH(R$5&amp;"",'Oxford Economics'!$A$6:$AZ$6,0))),'Oxford Economics'!$A$7:$A$1000,$C60,'Oxford Economics'!$B$7:$B$1000,Settings!$B$19)))),""))</f>
        <v>3242.21</v>
      </c>
      <c r="S60" s="38" t="n">
        <f aca="false">IF($A60="","",IFERROR(1/(1/IF($B60="Residential",SUMIFS(INDEX('Oxford Economics'!$A$7:$AZ$1000,0,IFERROR(MATCH(S$5,'Oxford Economics'!$A$6:$AZ$6,0),MATCH(S$5&amp;"",'Oxford Economics'!$A$6:$AZ$6,0))),'Oxford Economics'!$A$7:$A$1000,$C60,'Oxford Economics'!$B$7:$B$1000,Settings!$B$13)-SUMIFS(INDEX('Oxford Economics'!$A$7:$AZ$1000,0,IFERROR(MATCH(S$5,'Oxford Economics'!$A$6:$AZ$6,0),MATCH(S$5&amp;"",'Oxford Economics'!$A$6:$AZ$6,0))),'Oxford Economics'!$A$7:$A$1000,$C60,'Oxford Economics'!$B$7:$B$1000,Settings!$B$15),SUMIFS(INDEX('Oxford Economics'!$A$7:$AZ$1000,0,IFERROR(MATCH(S$5,'Oxford Economics'!$A$6:$AZ$6,0),MATCH(S$5&amp;"",'Oxford Economics'!$A$6:$AZ$6,0))),'Oxford Economics'!$A$7:$A$1000,$C60,'Oxford Economics'!$B$7:$B$1000,Settings!$B$15)+SUMIFS(INDEX('Oxford Economics'!$A$7:$AZ$1000,0,IFERROR(MATCH(S$5,'Oxford Economics'!$A$6:$AZ$6,0),MATCH(S$5&amp;"",'Oxford Economics'!$A$6:$AZ$6,0))),'Oxford Economics'!$A$7:$A$1000,$C60,'Oxford Economics'!$B$7:$B$1000,Settings!$B$17)+IF(Settings!$B$19="",0,SUMIFS(INDEX('Oxford Economics'!$A$7:$AZ$1000,0,IFERROR(MATCH(S$5,'Oxford Economics'!$A$6:$AZ$6,0),MATCH(S$5&amp;"",'Oxford Economics'!$A$6:$AZ$6,0))),'Oxford Economics'!$A$7:$A$1000,$C60,'Oxford Economics'!$B$7:$B$1000,Settings!$B$19)))),""))</f>
        <v>3286.98</v>
      </c>
      <c r="T60" s="38" t="n">
        <f aca="false">IF($A60="","",IFERROR(1/(1/IF($B60="Residential",SUMIFS(INDEX('Oxford Economics'!$A$7:$AZ$1000,0,IFERROR(MATCH(T$5,'Oxford Economics'!$A$6:$AZ$6,0),MATCH(T$5&amp;"",'Oxford Economics'!$A$6:$AZ$6,0))),'Oxford Economics'!$A$7:$A$1000,$C60,'Oxford Economics'!$B$7:$B$1000,Settings!$B$13)-SUMIFS(INDEX('Oxford Economics'!$A$7:$AZ$1000,0,IFERROR(MATCH(T$5,'Oxford Economics'!$A$6:$AZ$6,0),MATCH(T$5&amp;"",'Oxford Economics'!$A$6:$AZ$6,0))),'Oxford Economics'!$A$7:$A$1000,$C60,'Oxford Economics'!$B$7:$B$1000,Settings!$B$15),SUMIFS(INDEX('Oxford Economics'!$A$7:$AZ$1000,0,IFERROR(MATCH(T$5,'Oxford Economics'!$A$6:$AZ$6,0),MATCH(T$5&amp;"",'Oxford Economics'!$A$6:$AZ$6,0))),'Oxford Economics'!$A$7:$A$1000,$C60,'Oxford Economics'!$B$7:$B$1000,Settings!$B$15)+SUMIFS(INDEX('Oxford Economics'!$A$7:$AZ$1000,0,IFERROR(MATCH(T$5,'Oxford Economics'!$A$6:$AZ$6,0),MATCH(T$5&amp;"",'Oxford Economics'!$A$6:$AZ$6,0))),'Oxford Economics'!$A$7:$A$1000,$C60,'Oxford Economics'!$B$7:$B$1000,Settings!$B$17)+IF(Settings!$B$19="",0,SUMIFS(INDEX('Oxford Economics'!$A$7:$AZ$1000,0,IFERROR(MATCH(T$5,'Oxford Economics'!$A$6:$AZ$6,0),MATCH(T$5&amp;"",'Oxford Economics'!$A$6:$AZ$6,0))),'Oxford Economics'!$A$7:$A$1000,$C60,'Oxford Economics'!$B$7:$B$1000,Settings!$B$19)))),""))</f>
        <v>3402.2</v>
      </c>
      <c r="U60" s="38" t="n">
        <f aca="false">IF($A60="","",IFERROR(1/(1/IF($B60="Residential",SUMIFS(INDEX('Oxford Economics'!$A$7:$AZ$1000,0,IFERROR(MATCH(U$5,'Oxford Economics'!$A$6:$AZ$6,0),MATCH(U$5&amp;"",'Oxford Economics'!$A$6:$AZ$6,0))),'Oxford Economics'!$A$7:$A$1000,$C60,'Oxford Economics'!$B$7:$B$1000,Settings!$B$13)-SUMIFS(INDEX('Oxford Economics'!$A$7:$AZ$1000,0,IFERROR(MATCH(U$5,'Oxford Economics'!$A$6:$AZ$6,0),MATCH(U$5&amp;"",'Oxford Economics'!$A$6:$AZ$6,0))),'Oxford Economics'!$A$7:$A$1000,$C60,'Oxford Economics'!$B$7:$B$1000,Settings!$B$15),SUMIFS(INDEX('Oxford Economics'!$A$7:$AZ$1000,0,IFERROR(MATCH(U$5,'Oxford Economics'!$A$6:$AZ$6,0),MATCH(U$5&amp;"",'Oxford Economics'!$A$6:$AZ$6,0))),'Oxford Economics'!$A$7:$A$1000,$C60,'Oxford Economics'!$B$7:$B$1000,Settings!$B$15)+SUMIFS(INDEX('Oxford Economics'!$A$7:$AZ$1000,0,IFERROR(MATCH(U$5,'Oxford Economics'!$A$6:$AZ$6,0),MATCH(U$5&amp;"",'Oxford Economics'!$A$6:$AZ$6,0))),'Oxford Economics'!$A$7:$A$1000,$C60,'Oxford Economics'!$B$7:$B$1000,Settings!$B$17)+IF(Settings!$B$19="",0,SUMIFS(INDEX('Oxford Economics'!$A$7:$AZ$1000,0,IFERROR(MATCH(U$5,'Oxford Economics'!$A$6:$AZ$6,0),MATCH(U$5&amp;"",'Oxford Economics'!$A$6:$AZ$6,0))),'Oxford Economics'!$A$7:$A$1000,$C60,'Oxford Economics'!$B$7:$B$1000,Settings!$B$19)))),""))</f>
        <v>3262.66</v>
      </c>
      <c r="V60" s="38" t="n">
        <f aca="false">IF($A60="","",IFERROR(1/(1/IF($B60="Residential",SUMIFS(INDEX('Oxford Economics'!$A$7:$AZ$1000,0,IFERROR(MATCH(V$5,'Oxford Economics'!$A$6:$AZ$6,0),MATCH(V$5&amp;"",'Oxford Economics'!$A$6:$AZ$6,0))),'Oxford Economics'!$A$7:$A$1000,$C60,'Oxford Economics'!$B$7:$B$1000,Settings!$B$13)-SUMIFS(INDEX('Oxford Economics'!$A$7:$AZ$1000,0,IFERROR(MATCH(V$5,'Oxford Economics'!$A$6:$AZ$6,0),MATCH(V$5&amp;"",'Oxford Economics'!$A$6:$AZ$6,0))),'Oxford Economics'!$A$7:$A$1000,$C60,'Oxford Economics'!$B$7:$B$1000,Settings!$B$15),SUMIFS(INDEX('Oxford Economics'!$A$7:$AZ$1000,0,IFERROR(MATCH(V$5,'Oxford Economics'!$A$6:$AZ$6,0),MATCH(V$5&amp;"",'Oxford Economics'!$A$6:$AZ$6,0))),'Oxford Economics'!$A$7:$A$1000,$C60,'Oxford Economics'!$B$7:$B$1000,Settings!$B$15)+SUMIFS(INDEX('Oxford Economics'!$A$7:$AZ$1000,0,IFERROR(MATCH(V$5,'Oxford Economics'!$A$6:$AZ$6,0),MATCH(V$5&amp;"",'Oxford Economics'!$A$6:$AZ$6,0))),'Oxford Economics'!$A$7:$A$1000,$C60,'Oxford Economics'!$B$7:$B$1000,Settings!$B$17)+IF(Settings!$B$19="",0,SUMIFS(INDEX('Oxford Economics'!$A$7:$AZ$1000,0,IFERROR(MATCH(V$5,'Oxford Economics'!$A$6:$AZ$6,0),MATCH(V$5&amp;"",'Oxford Economics'!$A$6:$AZ$6,0))),'Oxford Economics'!$A$7:$A$1000,$C60,'Oxford Economics'!$B$7:$B$1000,Settings!$B$19)))),""))</f>
        <v>3287.17</v>
      </c>
      <c r="W60" s="38" t="n">
        <f aca="false">IF($A60="","",IFERROR(1/(1/IF($B60="Residential",SUMIFS(INDEX('Oxford Economics'!$A$7:$AZ$1000,0,IFERROR(MATCH(W$5,'Oxford Economics'!$A$6:$AZ$6,0),MATCH(W$5&amp;"",'Oxford Economics'!$A$6:$AZ$6,0))),'Oxford Economics'!$A$7:$A$1000,$C60,'Oxford Economics'!$B$7:$B$1000,Settings!$B$13)-SUMIFS(INDEX('Oxford Economics'!$A$7:$AZ$1000,0,IFERROR(MATCH(W$5,'Oxford Economics'!$A$6:$AZ$6,0),MATCH(W$5&amp;"",'Oxford Economics'!$A$6:$AZ$6,0))),'Oxford Economics'!$A$7:$A$1000,$C60,'Oxford Economics'!$B$7:$B$1000,Settings!$B$15),SUMIFS(INDEX('Oxford Economics'!$A$7:$AZ$1000,0,IFERROR(MATCH(W$5,'Oxford Economics'!$A$6:$AZ$6,0),MATCH(W$5&amp;"",'Oxford Economics'!$A$6:$AZ$6,0))),'Oxford Economics'!$A$7:$A$1000,$C60,'Oxford Economics'!$B$7:$B$1000,Settings!$B$15)+SUMIFS(INDEX('Oxford Economics'!$A$7:$AZ$1000,0,IFERROR(MATCH(W$5,'Oxford Economics'!$A$6:$AZ$6,0),MATCH(W$5&amp;"",'Oxford Economics'!$A$6:$AZ$6,0))),'Oxford Economics'!$A$7:$A$1000,$C60,'Oxford Economics'!$B$7:$B$1000,Settings!$B$17)+IF(Settings!$B$19="",0,SUMIFS(INDEX('Oxford Economics'!$A$7:$AZ$1000,0,IFERROR(MATCH(W$5,'Oxford Economics'!$A$6:$AZ$6,0),MATCH(W$5&amp;"",'Oxford Economics'!$A$6:$AZ$6,0))),'Oxford Economics'!$A$7:$A$1000,$C60,'Oxford Economics'!$B$7:$B$1000,Settings!$B$19)))),""))</f>
        <v>3426.71</v>
      </c>
      <c r="X60" s="38" t="n">
        <f aca="false">IF($A60="","",IFERROR(1/(1/IF($B60="Residential",SUMIFS(INDEX('Oxford Economics'!$A$7:$AZ$1000,0,IFERROR(MATCH(X$5,'Oxford Economics'!$A$6:$AZ$6,0),MATCH(X$5&amp;"",'Oxford Economics'!$A$6:$AZ$6,0))),'Oxford Economics'!$A$7:$A$1000,$C60,'Oxford Economics'!$B$7:$B$1000,Settings!$B$13)-SUMIFS(INDEX('Oxford Economics'!$A$7:$AZ$1000,0,IFERROR(MATCH(X$5,'Oxford Economics'!$A$6:$AZ$6,0),MATCH(X$5&amp;"",'Oxford Economics'!$A$6:$AZ$6,0))),'Oxford Economics'!$A$7:$A$1000,$C60,'Oxford Economics'!$B$7:$B$1000,Settings!$B$15),SUMIFS(INDEX('Oxford Economics'!$A$7:$AZ$1000,0,IFERROR(MATCH(X$5,'Oxford Economics'!$A$6:$AZ$6,0),MATCH(X$5&amp;"",'Oxford Economics'!$A$6:$AZ$6,0))),'Oxford Economics'!$A$7:$A$1000,$C60,'Oxford Economics'!$B$7:$B$1000,Settings!$B$15)+SUMIFS(INDEX('Oxford Economics'!$A$7:$AZ$1000,0,IFERROR(MATCH(X$5,'Oxford Economics'!$A$6:$AZ$6,0),MATCH(X$5&amp;"",'Oxford Economics'!$A$6:$AZ$6,0))),'Oxford Economics'!$A$7:$A$1000,$C60,'Oxford Economics'!$B$7:$B$1000,Settings!$B$17)+IF(Settings!$B$19="",0,SUMIFS(INDEX('Oxford Economics'!$A$7:$AZ$1000,0,IFERROR(MATCH(X$5,'Oxford Economics'!$A$6:$AZ$6,0),MATCH(X$5&amp;"",'Oxford Economics'!$A$6:$AZ$6,0))),'Oxford Economics'!$A$7:$A$1000,$C60,'Oxford Economics'!$B$7:$B$1000,Settings!$B$19)))),""))</f>
        <v>3626.17</v>
      </c>
      <c r="Y60" s="38" t="n">
        <f aca="false">IF($A60="","",IFERROR(1/(1/IF($B60="Residential",SUMIFS(INDEX('Oxford Economics'!$A$7:$AZ$1000,0,IFERROR(MATCH(Y$5,'Oxford Economics'!$A$6:$AZ$6,0),MATCH(Y$5&amp;"",'Oxford Economics'!$A$6:$AZ$6,0))),'Oxford Economics'!$A$7:$A$1000,$C60,'Oxford Economics'!$B$7:$B$1000,Settings!$B$13)-SUMIFS(INDEX('Oxford Economics'!$A$7:$AZ$1000,0,IFERROR(MATCH(Y$5,'Oxford Economics'!$A$6:$AZ$6,0),MATCH(Y$5&amp;"",'Oxford Economics'!$A$6:$AZ$6,0))),'Oxford Economics'!$A$7:$A$1000,$C60,'Oxford Economics'!$B$7:$B$1000,Settings!$B$15),SUMIFS(INDEX('Oxford Economics'!$A$7:$AZ$1000,0,IFERROR(MATCH(Y$5,'Oxford Economics'!$A$6:$AZ$6,0),MATCH(Y$5&amp;"",'Oxford Economics'!$A$6:$AZ$6,0))),'Oxford Economics'!$A$7:$A$1000,$C60,'Oxford Economics'!$B$7:$B$1000,Settings!$B$15)+SUMIFS(INDEX('Oxford Economics'!$A$7:$AZ$1000,0,IFERROR(MATCH(Y$5,'Oxford Economics'!$A$6:$AZ$6,0),MATCH(Y$5&amp;"",'Oxford Economics'!$A$6:$AZ$6,0))),'Oxford Economics'!$A$7:$A$1000,$C60,'Oxford Economics'!$B$7:$B$1000,Settings!$B$17)+IF(Settings!$B$19="",0,SUMIFS(INDEX('Oxford Economics'!$A$7:$AZ$1000,0,IFERROR(MATCH(Y$5,'Oxford Economics'!$A$6:$AZ$6,0),MATCH(Y$5&amp;"",'Oxford Economics'!$A$6:$AZ$6,0))),'Oxford Economics'!$A$7:$A$1000,$C60,'Oxford Economics'!$B$7:$B$1000,Settings!$B$19)))),""))</f>
        <v>3773.24</v>
      </c>
      <c r="Z60" s="38" t="n">
        <f aca="false">IF($A60="","",IFERROR(1/(1/IF($B60="Residential",SUMIFS(INDEX('Oxford Economics'!$A$7:$AZ$1000,0,IFERROR(MATCH(Z$5,'Oxford Economics'!$A$6:$AZ$6,0),MATCH(Z$5&amp;"",'Oxford Economics'!$A$6:$AZ$6,0))),'Oxford Economics'!$A$7:$A$1000,$C60,'Oxford Economics'!$B$7:$B$1000,Settings!$B$13)-SUMIFS(INDEX('Oxford Economics'!$A$7:$AZ$1000,0,IFERROR(MATCH(Z$5,'Oxford Economics'!$A$6:$AZ$6,0),MATCH(Z$5&amp;"",'Oxford Economics'!$A$6:$AZ$6,0))),'Oxford Economics'!$A$7:$A$1000,$C60,'Oxford Economics'!$B$7:$B$1000,Settings!$B$15),SUMIFS(INDEX('Oxford Economics'!$A$7:$AZ$1000,0,IFERROR(MATCH(Z$5,'Oxford Economics'!$A$6:$AZ$6,0),MATCH(Z$5&amp;"",'Oxford Economics'!$A$6:$AZ$6,0))),'Oxford Economics'!$A$7:$A$1000,$C60,'Oxford Economics'!$B$7:$B$1000,Settings!$B$15)+SUMIFS(INDEX('Oxford Economics'!$A$7:$AZ$1000,0,IFERROR(MATCH(Z$5,'Oxford Economics'!$A$6:$AZ$6,0),MATCH(Z$5&amp;"",'Oxford Economics'!$A$6:$AZ$6,0))),'Oxford Economics'!$A$7:$A$1000,$C60,'Oxford Economics'!$B$7:$B$1000,Settings!$B$17)+IF(Settings!$B$19="",0,SUMIFS(INDEX('Oxford Economics'!$A$7:$AZ$1000,0,IFERROR(MATCH(Z$5,'Oxford Economics'!$A$6:$AZ$6,0),MATCH(Z$5&amp;"",'Oxford Economics'!$A$6:$AZ$6,0))),'Oxford Economics'!$A$7:$A$1000,$C60,'Oxford Economics'!$B$7:$B$1000,Settings!$B$19)))),""))</f>
        <v>3885.24</v>
      </c>
      <c r="AA60" s="38" t="n">
        <f aca="false">IF($A60="","",IFERROR(1/(1/IF($B60="Residential",SUMIFS(INDEX('Oxford Economics'!$A$7:$AZ$1000,0,IFERROR(MATCH(AA$5,'Oxford Economics'!$A$6:$AZ$6,0),MATCH(AA$5&amp;"",'Oxford Economics'!$A$6:$AZ$6,0))),'Oxford Economics'!$A$7:$A$1000,$C60,'Oxford Economics'!$B$7:$B$1000,Settings!$B$13)-SUMIFS(INDEX('Oxford Economics'!$A$7:$AZ$1000,0,IFERROR(MATCH(AA$5,'Oxford Economics'!$A$6:$AZ$6,0),MATCH(AA$5&amp;"",'Oxford Economics'!$A$6:$AZ$6,0))),'Oxford Economics'!$A$7:$A$1000,$C60,'Oxford Economics'!$B$7:$B$1000,Settings!$B$15),SUMIFS(INDEX('Oxford Economics'!$A$7:$AZ$1000,0,IFERROR(MATCH(AA$5,'Oxford Economics'!$A$6:$AZ$6,0),MATCH(AA$5&amp;"",'Oxford Economics'!$A$6:$AZ$6,0))),'Oxford Economics'!$A$7:$A$1000,$C60,'Oxford Economics'!$B$7:$B$1000,Settings!$B$15)+SUMIFS(INDEX('Oxford Economics'!$A$7:$AZ$1000,0,IFERROR(MATCH(AA$5,'Oxford Economics'!$A$6:$AZ$6,0),MATCH(AA$5&amp;"",'Oxford Economics'!$A$6:$AZ$6,0))),'Oxford Economics'!$A$7:$A$1000,$C60,'Oxford Economics'!$B$7:$B$1000,Settings!$B$17)+IF(Settings!$B$19="",0,SUMIFS(INDEX('Oxford Economics'!$A$7:$AZ$1000,0,IFERROR(MATCH(AA$5,'Oxford Economics'!$A$6:$AZ$6,0),MATCH(AA$5&amp;"",'Oxford Economics'!$A$6:$AZ$6,0))),'Oxford Economics'!$A$7:$A$1000,$C60,'Oxford Economics'!$B$7:$B$1000,Settings!$B$19)))),""))</f>
        <v>3929.16</v>
      </c>
      <c r="AB60" s="38" t="n">
        <f aca="false">IF($A60="","",IFERROR(1/(1/IF($B60="Residential",SUMIFS(INDEX('Oxford Economics'!$A$7:$AZ$1000,0,IFERROR(MATCH(AB$5,'Oxford Economics'!$A$6:$AZ$6,0),MATCH(AB$5&amp;"",'Oxford Economics'!$A$6:$AZ$6,0))),'Oxford Economics'!$A$7:$A$1000,$C60,'Oxford Economics'!$B$7:$B$1000,Settings!$B$12)-SUMIFS(INDEX('Oxford Economics'!$A$7:$AZ$1000,0,IFERROR(MATCH(AB$5,'Oxford Economics'!$A$6:$AZ$6,0),MATCH(AB$5&amp;"",'Oxford Economics'!$A$6:$AZ$6,0))),'Oxford Economics'!$A$7:$A$1000,$C60,'Oxford Economics'!$B$7:$B$1000,Settings!$B$14),SUMIFS(INDEX('Oxford Economics'!$A$7:$AZ$1000,0,IFERROR(MATCH(AB$5,'Oxford Economics'!$A$6:$AZ$6,0),MATCH(AB$5&amp;"",'Oxford Economics'!$A$6:$AZ$6,0))),'Oxford Economics'!$A$7:$A$1000,$C60,'Oxford Economics'!$B$7:$B$1000,Settings!$B$14)+SUMIFS(INDEX('Oxford Economics'!$A$7:$AZ$1000,0,IFERROR(MATCH(AB$5,'Oxford Economics'!$A$6:$AZ$6,0),MATCH(AB$5&amp;"",'Oxford Economics'!$A$6:$AZ$6,0))),'Oxford Economics'!$A$7:$A$1000,$C60,'Oxford Economics'!$B$7:$B$1000,Settings!$B$16)+IF(Settings!$B$18="",0,SUMIFS(INDEX('Oxford Economics'!$A$7:$AZ$1000,0,IFERROR(MATCH(AB$5,'Oxford Economics'!$A$6:$AZ$6,0),MATCH(AB$5&amp;"",'Oxford Economics'!$A$6:$AZ$6,0))),'Oxford Economics'!$A$7:$A$1000,$C60,'Oxford Economics'!$B$7:$B$1000,Settings!$B$18)))),""))</f>
        <v>6024.45</v>
      </c>
      <c r="AC60" s="38" t="n">
        <f aca="false">IF($A60="","",IFERROR(1/(1/IF($B60="Residential",SUMIFS(INDEX('Oxford Economics'!$A$7:$AZ$1000,0,IFERROR(MATCH(AC$5,'Oxford Economics'!$A$6:$AZ$6,0),MATCH(AC$5&amp;"",'Oxford Economics'!$A$6:$AZ$6,0))),'Oxford Economics'!$A$7:$A$1000,$C60,'Oxford Economics'!$B$7:$B$1000,Settings!$B$12)-SUMIFS(INDEX('Oxford Economics'!$A$7:$AZ$1000,0,IFERROR(MATCH(AC$5,'Oxford Economics'!$A$6:$AZ$6,0),MATCH(AC$5&amp;"",'Oxford Economics'!$A$6:$AZ$6,0))),'Oxford Economics'!$A$7:$A$1000,$C60,'Oxford Economics'!$B$7:$B$1000,Settings!$B$14),SUMIFS(INDEX('Oxford Economics'!$A$7:$AZ$1000,0,IFERROR(MATCH(AC$5,'Oxford Economics'!$A$6:$AZ$6,0),MATCH(AC$5&amp;"",'Oxford Economics'!$A$6:$AZ$6,0))),'Oxford Economics'!$A$7:$A$1000,$C60,'Oxford Economics'!$B$7:$B$1000,Settings!$B$14)+SUMIFS(INDEX('Oxford Economics'!$A$7:$AZ$1000,0,IFERROR(MATCH(AC$5,'Oxford Economics'!$A$6:$AZ$6,0),MATCH(AC$5&amp;"",'Oxford Economics'!$A$6:$AZ$6,0))),'Oxford Economics'!$A$7:$A$1000,$C60,'Oxford Economics'!$B$7:$B$1000,Settings!$B$16)+IF(Settings!$B$18="",0,SUMIFS(INDEX('Oxford Economics'!$A$7:$AZ$1000,0,IFERROR(MATCH(AC$5,'Oxford Economics'!$A$6:$AZ$6,0),MATCH(AC$5&amp;"",'Oxford Economics'!$A$6:$AZ$6,0))),'Oxford Economics'!$A$7:$A$1000,$C60,'Oxford Economics'!$B$7:$B$1000,Settings!$B$18)))),""))</f>
        <v>6431.37</v>
      </c>
      <c r="AD60" s="38" t="n">
        <f aca="false">IF($A60="","",IFERROR(1/(1/IF($B60="Residential",SUMIFS(INDEX('Oxford Economics'!$A$7:$AZ$1000,0,IFERROR(MATCH(AD$5,'Oxford Economics'!$A$6:$AZ$6,0),MATCH(AD$5&amp;"",'Oxford Economics'!$A$6:$AZ$6,0))),'Oxford Economics'!$A$7:$A$1000,$C60,'Oxford Economics'!$B$7:$B$1000,Settings!$B$12)-SUMIFS(INDEX('Oxford Economics'!$A$7:$AZ$1000,0,IFERROR(MATCH(AD$5,'Oxford Economics'!$A$6:$AZ$6,0),MATCH(AD$5&amp;"",'Oxford Economics'!$A$6:$AZ$6,0))),'Oxford Economics'!$A$7:$A$1000,$C60,'Oxford Economics'!$B$7:$B$1000,Settings!$B$14),SUMIFS(INDEX('Oxford Economics'!$A$7:$AZ$1000,0,IFERROR(MATCH(AD$5,'Oxford Economics'!$A$6:$AZ$6,0),MATCH(AD$5&amp;"",'Oxford Economics'!$A$6:$AZ$6,0))),'Oxford Economics'!$A$7:$A$1000,$C60,'Oxford Economics'!$B$7:$B$1000,Settings!$B$14)+SUMIFS(INDEX('Oxford Economics'!$A$7:$AZ$1000,0,IFERROR(MATCH(AD$5,'Oxford Economics'!$A$6:$AZ$6,0),MATCH(AD$5&amp;"",'Oxford Economics'!$A$6:$AZ$6,0))),'Oxford Economics'!$A$7:$A$1000,$C60,'Oxford Economics'!$B$7:$B$1000,Settings!$B$16)+IF(Settings!$B$18="",0,SUMIFS(INDEX('Oxford Economics'!$A$7:$AZ$1000,0,IFERROR(MATCH(AD$5,'Oxford Economics'!$A$6:$AZ$6,0),MATCH(AD$5&amp;"",'Oxford Economics'!$A$6:$AZ$6,0))),'Oxford Economics'!$A$7:$A$1000,$C60,'Oxford Economics'!$B$7:$B$1000,Settings!$B$18)))),""))</f>
        <v>6635.53</v>
      </c>
      <c r="AE60" s="38" t="n">
        <f aca="false">IF($A60="","",IFERROR(1/(1/IF($B60="Residential",SUMIFS(INDEX('Oxford Economics'!$A$7:$AZ$1000,0,IFERROR(MATCH(AE$5,'Oxford Economics'!$A$6:$AZ$6,0),MATCH(AE$5&amp;"",'Oxford Economics'!$A$6:$AZ$6,0))),'Oxford Economics'!$A$7:$A$1000,$C60,'Oxford Economics'!$B$7:$B$1000,Settings!$B$12)-SUMIFS(INDEX('Oxford Economics'!$A$7:$AZ$1000,0,IFERROR(MATCH(AE$5,'Oxford Economics'!$A$6:$AZ$6,0),MATCH(AE$5&amp;"",'Oxford Economics'!$A$6:$AZ$6,0))),'Oxford Economics'!$A$7:$A$1000,$C60,'Oxford Economics'!$B$7:$B$1000,Settings!$B$14),SUMIFS(INDEX('Oxford Economics'!$A$7:$AZ$1000,0,IFERROR(MATCH(AE$5,'Oxford Economics'!$A$6:$AZ$6,0),MATCH(AE$5&amp;"",'Oxford Economics'!$A$6:$AZ$6,0))),'Oxford Economics'!$A$7:$A$1000,$C60,'Oxford Economics'!$B$7:$B$1000,Settings!$B$14)+SUMIFS(INDEX('Oxford Economics'!$A$7:$AZ$1000,0,IFERROR(MATCH(AE$5,'Oxford Economics'!$A$6:$AZ$6,0),MATCH(AE$5&amp;"",'Oxford Economics'!$A$6:$AZ$6,0))),'Oxford Economics'!$A$7:$A$1000,$C60,'Oxford Economics'!$B$7:$B$1000,Settings!$B$16)+IF(Settings!$B$18="",0,SUMIFS(INDEX('Oxford Economics'!$A$7:$AZ$1000,0,IFERROR(MATCH(AE$5,'Oxford Economics'!$A$6:$AZ$6,0),MATCH(AE$5&amp;"",'Oxford Economics'!$A$6:$AZ$6,0))),'Oxford Economics'!$A$7:$A$1000,$C60,'Oxford Economics'!$B$7:$B$1000,Settings!$B$18)))),""))</f>
        <v>5376.91</v>
      </c>
      <c r="AF60" s="38" t="n">
        <f aca="false">IF($A60="","",IFERROR(1/(1/IF($B60="Residential",SUMIFS(INDEX('Oxford Economics'!$A$7:$AZ$1000,0,IFERROR(MATCH(AF$5,'Oxford Economics'!$A$6:$AZ$6,0),MATCH(AF$5&amp;"",'Oxford Economics'!$A$6:$AZ$6,0))),'Oxford Economics'!$A$7:$A$1000,$C60,'Oxford Economics'!$B$7:$B$1000,Settings!$B$12)-SUMIFS(INDEX('Oxford Economics'!$A$7:$AZ$1000,0,IFERROR(MATCH(AF$5,'Oxford Economics'!$A$6:$AZ$6,0),MATCH(AF$5&amp;"",'Oxford Economics'!$A$6:$AZ$6,0))),'Oxford Economics'!$A$7:$A$1000,$C60,'Oxford Economics'!$B$7:$B$1000,Settings!$B$14),SUMIFS(INDEX('Oxford Economics'!$A$7:$AZ$1000,0,IFERROR(MATCH(AF$5,'Oxford Economics'!$A$6:$AZ$6,0),MATCH(AF$5&amp;"",'Oxford Economics'!$A$6:$AZ$6,0))),'Oxford Economics'!$A$7:$A$1000,$C60,'Oxford Economics'!$B$7:$B$1000,Settings!$B$14)+SUMIFS(INDEX('Oxford Economics'!$A$7:$AZ$1000,0,IFERROR(MATCH(AF$5,'Oxford Economics'!$A$6:$AZ$6,0),MATCH(AF$5&amp;"",'Oxford Economics'!$A$6:$AZ$6,0))),'Oxford Economics'!$A$7:$A$1000,$C60,'Oxford Economics'!$B$7:$B$1000,Settings!$B$16)+IF(Settings!$B$18="",0,SUMIFS(INDEX('Oxford Economics'!$A$7:$AZ$1000,0,IFERROR(MATCH(AF$5,'Oxford Economics'!$A$6:$AZ$6,0),MATCH(AF$5&amp;"",'Oxford Economics'!$A$6:$AZ$6,0))),'Oxford Economics'!$A$7:$A$1000,$C60,'Oxford Economics'!$B$7:$B$1000,Settings!$B$18)))),""))</f>
        <v>4561.01</v>
      </c>
      <c r="AG60" s="38" t="n">
        <f aca="false">IF($A60="","",IFERROR(1/(1/IF($B60="Residential",SUMIFS(INDEX('Oxford Economics'!$A$7:$AZ$1000,0,IFERROR(MATCH(AG$5,'Oxford Economics'!$A$6:$AZ$6,0),MATCH(AG$5&amp;"",'Oxford Economics'!$A$6:$AZ$6,0))),'Oxford Economics'!$A$7:$A$1000,$C60,'Oxford Economics'!$B$7:$B$1000,Settings!$B$12)-SUMIFS(INDEX('Oxford Economics'!$A$7:$AZ$1000,0,IFERROR(MATCH(AG$5,'Oxford Economics'!$A$6:$AZ$6,0),MATCH(AG$5&amp;"",'Oxford Economics'!$A$6:$AZ$6,0))),'Oxford Economics'!$A$7:$A$1000,$C60,'Oxford Economics'!$B$7:$B$1000,Settings!$B$14),SUMIFS(INDEX('Oxford Economics'!$A$7:$AZ$1000,0,IFERROR(MATCH(AG$5,'Oxford Economics'!$A$6:$AZ$6,0),MATCH(AG$5&amp;"",'Oxford Economics'!$A$6:$AZ$6,0))),'Oxford Economics'!$A$7:$A$1000,$C60,'Oxford Economics'!$B$7:$B$1000,Settings!$B$14)+SUMIFS(INDEX('Oxford Economics'!$A$7:$AZ$1000,0,IFERROR(MATCH(AG$5,'Oxford Economics'!$A$6:$AZ$6,0),MATCH(AG$5&amp;"",'Oxford Economics'!$A$6:$AZ$6,0))),'Oxford Economics'!$A$7:$A$1000,$C60,'Oxford Economics'!$B$7:$B$1000,Settings!$B$16)+IF(Settings!$B$18="",0,SUMIFS(INDEX('Oxford Economics'!$A$7:$AZ$1000,0,IFERROR(MATCH(AG$5,'Oxford Economics'!$A$6:$AZ$6,0),MATCH(AG$5&amp;"",'Oxford Economics'!$A$6:$AZ$6,0))),'Oxford Economics'!$A$7:$A$1000,$C60,'Oxford Economics'!$B$7:$B$1000,Settings!$B$18)))),""))</f>
        <v>4461.93</v>
      </c>
      <c r="AH60" s="38" t="n">
        <f aca="false">IF($A60="","",IFERROR(1/(1/IF($B60="Residential",SUMIFS(INDEX('Oxford Economics'!$A$7:$AZ$1000,0,IFERROR(MATCH(AH$5,'Oxford Economics'!$A$6:$AZ$6,0),MATCH(AH$5&amp;"",'Oxford Economics'!$A$6:$AZ$6,0))),'Oxford Economics'!$A$7:$A$1000,$C60,'Oxford Economics'!$B$7:$B$1000,Settings!$B$12)-SUMIFS(INDEX('Oxford Economics'!$A$7:$AZ$1000,0,IFERROR(MATCH(AH$5,'Oxford Economics'!$A$6:$AZ$6,0),MATCH(AH$5&amp;"",'Oxford Economics'!$A$6:$AZ$6,0))),'Oxford Economics'!$A$7:$A$1000,$C60,'Oxford Economics'!$B$7:$B$1000,Settings!$B$14),SUMIFS(INDEX('Oxford Economics'!$A$7:$AZ$1000,0,IFERROR(MATCH(AH$5,'Oxford Economics'!$A$6:$AZ$6,0),MATCH(AH$5&amp;"",'Oxford Economics'!$A$6:$AZ$6,0))),'Oxford Economics'!$A$7:$A$1000,$C60,'Oxford Economics'!$B$7:$B$1000,Settings!$B$14)+SUMIFS(INDEX('Oxford Economics'!$A$7:$AZ$1000,0,IFERROR(MATCH(AH$5,'Oxford Economics'!$A$6:$AZ$6,0),MATCH(AH$5&amp;"",'Oxford Economics'!$A$6:$AZ$6,0))),'Oxford Economics'!$A$7:$A$1000,$C60,'Oxford Economics'!$B$7:$B$1000,Settings!$B$16)+IF(Settings!$B$18="",0,SUMIFS(INDEX('Oxford Economics'!$A$7:$AZ$1000,0,IFERROR(MATCH(AH$5,'Oxford Economics'!$A$6:$AZ$6,0),MATCH(AH$5&amp;"",'Oxford Economics'!$A$6:$AZ$6,0))),'Oxford Economics'!$A$7:$A$1000,$C60,'Oxford Economics'!$B$7:$B$1000,Settings!$B$18)))),""))</f>
        <v>4630.4</v>
      </c>
      <c r="AI60" s="38" t="n">
        <f aca="false">IF($A60="","",IFERROR(1/(1/IF($B60="Residential",SUMIFS(INDEX('Oxford Economics'!$A$7:$AZ$1000,0,IFERROR(MATCH(AI$5,'Oxford Economics'!$A$6:$AZ$6,0),MATCH(AI$5&amp;"",'Oxford Economics'!$A$6:$AZ$6,0))),'Oxford Economics'!$A$7:$A$1000,$C60,'Oxford Economics'!$B$7:$B$1000,Settings!$B$12)-SUMIFS(INDEX('Oxford Economics'!$A$7:$AZ$1000,0,IFERROR(MATCH(AI$5,'Oxford Economics'!$A$6:$AZ$6,0),MATCH(AI$5&amp;"",'Oxford Economics'!$A$6:$AZ$6,0))),'Oxford Economics'!$A$7:$A$1000,$C60,'Oxford Economics'!$B$7:$B$1000,Settings!$B$14),SUMIFS(INDEX('Oxford Economics'!$A$7:$AZ$1000,0,IFERROR(MATCH(AI$5,'Oxford Economics'!$A$6:$AZ$6,0),MATCH(AI$5&amp;"",'Oxford Economics'!$A$6:$AZ$6,0))),'Oxford Economics'!$A$7:$A$1000,$C60,'Oxford Economics'!$B$7:$B$1000,Settings!$B$14)+SUMIFS(INDEX('Oxford Economics'!$A$7:$AZ$1000,0,IFERROR(MATCH(AI$5,'Oxford Economics'!$A$6:$AZ$6,0),MATCH(AI$5&amp;"",'Oxford Economics'!$A$6:$AZ$6,0))),'Oxford Economics'!$A$7:$A$1000,$C60,'Oxford Economics'!$B$7:$B$1000,Settings!$B$16)+IF(Settings!$B$18="",0,SUMIFS(INDEX('Oxford Economics'!$A$7:$AZ$1000,0,IFERROR(MATCH(AI$5,'Oxford Economics'!$A$6:$AZ$6,0),MATCH(AI$5&amp;"",'Oxford Economics'!$A$6:$AZ$6,0))),'Oxford Economics'!$A$7:$A$1000,$C60,'Oxford Economics'!$B$7:$B$1000,Settings!$B$18)))),""))</f>
        <v>4916</v>
      </c>
      <c r="AJ60" s="38" t="n">
        <f aca="false">IF($A60="","",IFERROR(1/(1/IF($B60="Residential",SUMIFS(INDEX('Oxford Economics'!$A$7:$AZ$1000,0,IFERROR(MATCH(AJ$5,'Oxford Economics'!$A$6:$AZ$6,0),MATCH(AJ$5&amp;"",'Oxford Economics'!$A$6:$AZ$6,0))),'Oxford Economics'!$A$7:$A$1000,$C60,'Oxford Economics'!$B$7:$B$1000,Settings!$B$12)-SUMIFS(INDEX('Oxford Economics'!$A$7:$AZ$1000,0,IFERROR(MATCH(AJ$5,'Oxford Economics'!$A$6:$AZ$6,0),MATCH(AJ$5&amp;"",'Oxford Economics'!$A$6:$AZ$6,0))),'Oxford Economics'!$A$7:$A$1000,$C60,'Oxford Economics'!$B$7:$B$1000,Settings!$B$14),SUMIFS(INDEX('Oxford Economics'!$A$7:$AZ$1000,0,IFERROR(MATCH(AJ$5,'Oxford Economics'!$A$6:$AZ$6,0),MATCH(AJ$5&amp;"",'Oxford Economics'!$A$6:$AZ$6,0))),'Oxford Economics'!$A$7:$A$1000,$C60,'Oxford Economics'!$B$7:$B$1000,Settings!$B$14)+SUMIFS(INDEX('Oxford Economics'!$A$7:$AZ$1000,0,IFERROR(MATCH(AJ$5,'Oxford Economics'!$A$6:$AZ$6,0),MATCH(AJ$5&amp;"",'Oxford Economics'!$A$6:$AZ$6,0))),'Oxford Economics'!$A$7:$A$1000,$C60,'Oxford Economics'!$B$7:$B$1000,Settings!$B$16)+IF(Settings!$B$18="",0,SUMIFS(INDEX('Oxford Economics'!$A$7:$AZ$1000,0,IFERROR(MATCH(AJ$5,'Oxford Economics'!$A$6:$AZ$6,0),MATCH(AJ$5&amp;"",'Oxford Economics'!$A$6:$AZ$6,0))),'Oxford Economics'!$A$7:$A$1000,$C60,'Oxford Economics'!$B$7:$B$1000,Settings!$B$18)))),""))</f>
        <v>5157.38</v>
      </c>
      <c r="AK60" s="38" t="n">
        <f aca="false">IF($A60="","",IFERROR(1/(1/IF($B60="Residential",SUMIFS(INDEX('Oxford Economics'!$A$7:$AZ$1000,0,IFERROR(MATCH(AK$5,'Oxford Economics'!$A$6:$AZ$6,0),MATCH(AK$5&amp;"",'Oxford Economics'!$A$6:$AZ$6,0))),'Oxford Economics'!$A$7:$A$1000,$C60,'Oxford Economics'!$B$7:$B$1000,Settings!$B$12)-SUMIFS(INDEX('Oxford Economics'!$A$7:$AZ$1000,0,IFERROR(MATCH(AK$5,'Oxford Economics'!$A$6:$AZ$6,0),MATCH(AK$5&amp;"",'Oxford Economics'!$A$6:$AZ$6,0))),'Oxford Economics'!$A$7:$A$1000,$C60,'Oxford Economics'!$B$7:$B$1000,Settings!$B$14),SUMIFS(INDEX('Oxford Economics'!$A$7:$AZ$1000,0,IFERROR(MATCH(AK$5,'Oxford Economics'!$A$6:$AZ$6,0),MATCH(AK$5&amp;"",'Oxford Economics'!$A$6:$AZ$6,0))),'Oxford Economics'!$A$7:$A$1000,$C60,'Oxford Economics'!$B$7:$B$1000,Settings!$B$14)+SUMIFS(INDEX('Oxford Economics'!$A$7:$AZ$1000,0,IFERROR(MATCH(AK$5,'Oxford Economics'!$A$6:$AZ$6,0),MATCH(AK$5&amp;"",'Oxford Economics'!$A$6:$AZ$6,0))),'Oxford Economics'!$A$7:$A$1000,$C60,'Oxford Economics'!$B$7:$B$1000,Settings!$B$16)+IF(Settings!$B$18="",0,SUMIFS(INDEX('Oxford Economics'!$A$7:$AZ$1000,0,IFERROR(MATCH(AK$5,'Oxford Economics'!$A$6:$AZ$6,0),MATCH(AK$5&amp;"",'Oxford Economics'!$A$6:$AZ$6,0))),'Oxford Economics'!$A$7:$A$1000,$C60,'Oxford Economics'!$B$7:$B$1000,Settings!$B$18)))),""))</f>
        <v>5342.49</v>
      </c>
      <c r="AL60" s="38" t="n">
        <f aca="false">IF($A60="","",IFERROR(1/(1/IF($B60="Residential",SUMIFS(INDEX('Oxford Economics'!$A$7:$AZ$1000,0,IFERROR(MATCH(AL$5,'Oxford Economics'!$A$6:$AZ$6,0),MATCH(AL$5&amp;"",'Oxford Economics'!$A$6:$AZ$6,0))),'Oxford Economics'!$A$7:$A$1000,$C60,'Oxford Economics'!$B$7:$B$1000,Settings!$B$12)-SUMIFS(INDEX('Oxford Economics'!$A$7:$AZ$1000,0,IFERROR(MATCH(AL$5,'Oxford Economics'!$A$6:$AZ$6,0),MATCH(AL$5&amp;"",'Oxford Economics'!$A$6:$AZ$6,0))),'Oxford Economics'!$A$7:$A$1000,$C60,'Oxford Economics'!$B$7:$B$1000,Settings!$B$14),SUMIFS(INDEX('Oxford Economics'!$A$7:$AZ$1000,0,IFERROR(MATCH(AL$5,'Oxford Economics'!$A$6:$AZ$6,0),MATCH(AL$5&amp;"",'Oxford Economics'!$A$6:$AZ$6,0))),'Oxford Economics'!$A$7:$A$1000,$C60,'Oxford Economics'!$B$7:$B$1000,Settings!$B$14)+SUMIFS(INDEX('Oxford Economics'!$A$7:$AZ$1000,0,IFERROR(MATCH(AL$5,'Oxford Economics'!$A$6:$AZ$6,0),MATCH(AL$5&amp;"",'Oxford Economics'!$A$6:$AZ$6,0))),'Oxford Economics'!$A$7:$A$1000,$C60,'Oxford Economics'!$B$7:$B$1000,Settings!$B$16)+IF(Settings!$B$18="",0,SUMIFS(INDEX('Oxford Economics'!$A$7:$AZ$1000,0,IFERROR(MATCH(AL$5,'Oxford Economics'!$A$6:$AZ$6,0),MATCH(AL$5&amp;"",'Oxford Economics'!$A$6:$AZ$6,0))),'Oxford Economics'!$A$7:$A$1000,$C60,'Oxford Economics'!$B$7:$B$1000,Settings!$B$18)))),""))</f>
        <v>5462.2</v>
      </c>
      <c r="AM60" s="38" t="n">
        <f aca="false">IF($A60="","",IFERROR(1/(1/IF($B60="Residential",SUMIFS(INDEX('Oxford Economics'!$A$7:$AZ$1000,0,IFERROR(MATCH(AM$5,'Oxford Economics'!$A$6:$AZ$6,0),MATCH(AM$5&amp;"",'Oxford Economics'!$A$6:$AZ$6,0))),'Oxford Economics'!$A$7:$A$1000,$C60,'Oxford Economics'!$B$7:$B$1000,Settings!$B$12)-SUMIFS(INDEX('Oxford Economics'!$A$7:$AZ$1000,0,IFERROR(MATCH(AM$5,'Oxford Economics'!$A$6:$AZ$6,0),MATCH(AM$5&amp;"",'Oxford Economics'!$A$6:$AZ$6,0))),'Oxford Economics'!$A$7:$A$1000,$C60,'Oxford Economics'!$B$7:$B$1000,Settings!$B$14),SUMIFS(INDEX('Oxford Economics'!$A$7:$AZ$1000,0,IFERROR(MATCH(AM$5,'Oxford Economics'!$A$6:$AZ$6,0),MATCH(AM$5&amp;"",'Oxford Economics'!$A$6:$AZ$6,0))),'Oxford Economics'!$A$7:$A$1000,$C60,'Oxford Economics'!$B$7:$B$1000,Settings!$B$14)+SUMIFS(INDEX('Oxford Economics'!$A$7:$AZ$1000,0,IFERROR(MATCH(AM$5,'Oxford Economics'!$A$6:$AZ$6,0),MATCH(AM$5&amp;"",'Oxford Economics'!$A$6:$AZ$6,0))),'Oxford Economics'!$A$7:$A$1000,$C60,'Oxford Economics'!$B$7:$B$1000,Settings!$B$16)+IF(Settings!$B$18="",0,SUMIFS(INDEX('Oxford Economics'!$A$7:$AZ$1000,0,IFERROR(MATCH(AM$5,'Oxford Economics'!$A$6:$AZ$6,0),MATCH(AM$5&amp;"",'Oxford Economics'!$A$6:$AZ$6,0))),'Oxford Economics'!$A$7:$A$1000,$C60,'Oxford Economics'!$B$7:$B$1000,Settings!$B$18)))),""))</f>
        <v>5582.84</v>
      </c>
    </row>
    <row r="61" customFormat="false" ht="15" hidden="false" customHeight="false" outlineLevel="0" collapsed="false">
      <c r="A61" s="37" t="str">
        <f aca="false">IF('Raw data'!$A61="","",'Raw data'!$A61)</f>
        <v>Austria</v>
      </c>
      <c r="B61" s="37" t="str">
        <f aca="false">IF($A61="","",'Raw data'!$C61)</f>
        <v>Residential</v>
      </c>
      <c r="C61" s="37" t="str">
        <f aca="false">IF($A61="","",IF('Raw data'!$E61="",$A61,'Raw data'!$E61))</f>
        <v>Austria</v>
      </c>
      <c r="D61" s="38" t="n">
        <f aca="false">IF($A61="","",IF(AND(ISNUMBER(P61),ISNUMBER(AB61)),P61+AB61,""))</f>
        <v>9490.88</v>
      </c>
      <c r="E61" s="38" t="n">
        <f aca="false">IF($A61="","",IF(AND(ISNUMBER(Q61),ISNUMBER(AC61)),Q61+AC61,""))</f>
        <v>9679.02</v>
      </c>
      <c r="F61" s="38" t="n">
        <f aca="false">IF($A61="","",IF(AND(ISNUMBER(R61),ISNUMBER(AD61)),R61+AD61,""))</f>
        <v>9877.74</v>
      </c>
      <c r="G61" s="38" t="n">
        <f aca="false">IF($A61="","",IF(AND(ISNUMBER(S61),ISNUMBER(AE61)),S61+AE61,""))</f>
        <v>8663.89</v>
      </c>
      <c r="H61" s="38" t="n">
        <f aca="false">IF($A61="","",IF(AND(ISNUMBER(T61),ISNUMBER(AF61)),T61+AF61,""))</f>
        <v>7963.21</v>
      </c>
      <c r="I61" s="38" t="n">
        <f aca="false">IF($A61="","",IF(AND(ISNUMBER(U61),ISNUMBER(AG61)),U61+AG61,""))</f>
        <v>7724.59</v>
      </c>
      <c r="J61" s="38" t="n">
        <f aca="false">IF($A61="","",IF(AND(ISNUMBER(V61),ISNUMBER(AH61)),V61+AH61,""))</f>
        <v>7917.57</v>
      </c>
      <c r="K61" s="38" t="n">
        <f aca="false">IF($A61="","",IF(AND(ISNUMBER(W61),ISNUMBER(AI61)),W61+AI61,""))</f>
        <v>8342.71</v>
      </c>
      <c r="L61" s="38" t="n">
        <f aca="false">IF($A61="","",IF(AND(ISNUMBER(X61),ISNUMBER(AJ61)),X61+AJ61,""))</f>
        <v>8783.55</v>
      </c>
      <c r="M61" s="38" t="n">
        <f aca="false">IF($A61="","",IF(AND(ISNUMBER(Y61),ISNUMBER(AK61)),Y61+AK61,""))</f>
        <v>9115.73</v>
      </c>
      <c r="N61" s="38" t="n">
        <f aca="false">IF($A61="","",IF(AND(ISNUMBER(Z61),ISNUMBER(AL61)),Z61+AL61,""))</f>
        <v>9347.44</v>
      </c>
      <c r="O61" s="38" t="n">
        <f aca="false">IF($A61="","",IF(AND(ISNUMBER(AA61),ISNUMBER(AM61)),AA61+AM61,""))</f>
        <v>9512</v>
      </c>
      <c r="P61" s="38" t="n">
        <f aca="false">IF($A61="","",IFERROR(1/(1/IF($B61="Residential",SUMIFS(INDEX('Oxford Economics'!$A$7:$AZ$1000,0,IFERROR(MATCH(P$5,'Oxford Economics'!$A$6:$AZ$6,0),MATCH(P$5&amp;"",'Oxford Economics'!$A$6:$AZ$6,0))),'Oxford Economics'!$A$7:$A$1000,$C61,'Oxford Economics'!$B$7:$B$1000,Settings!$B$13)-SUMIFS(INDEX('Oxford Economics'!$A$7:$AZ$1000,0,IFERROR(MATCH(P$5,'Oxford Economics'!$A$6:$AZ$6,0),MATCH(P$5&amp;"",'Oxford Economics'!$A$6:$AZ$6,0))),'Oxford Economics'!$A$7:$A$1000,$C61,'Oxford Economics'!$B$7:$B$1000,Settings!$B$15),SUMIFS(INDEX('Oxford Economics'!$A$7:$AZ$1000,0,IFERROR(MATCH(P$5,'Oxford Economics'!$A$6:$AZ$6,0),MATCH(P$5&amp;"",'Oxford Economics'!$A$6:$AZ$6,0))),'Oxford Economics'!$A$7:$A$1000,$C61,'Oxford Economics'!$B$7:$B$1000,Settings!$B$15)+SUMIFS(INDEX('Oxford Economics'!$A$7:$AZ$1000,0,IFERROR(MATCH(P$5,'Oxford Economics'!$A$6:$AZ$6,0),MATCH(P$5&amp;"",'Oxford Economics'!$A$6:$AZ$6,0))),'Oxford Economics'!$A$7:$A$1000,$C61,'Oxford Economics'!$B$7:$B$1000,Settings!$B$17)+IF(Settings!$B$19="",0,SUMIFS(INDEX('Oxford Economics'!$A$7:$AZ$1000,0,IFERROR(MATCH(P$5,'Oxford Economics'!$A$6:$AZ$6,0),MATCH(P$5&amp;"",'Oxford Economics'!$A$6:$AZ$6,0))),'Oxford Economics'!$A$7:$A$1000,$C61,'Oxford Economics'!$B$7:$B$1000,Settings!$B$19)))),""))</f>
        <v>3466.43</v>
      </c>
      <c r="Q61" s="38" t="n">
        <f aca="false">IF($A61="","",IFERROR(1/(1/IF($B61="Residential",SUMIFS(INDEX('Oxford Economics'!$A$7:$AZ$1000,0,IFERROR(MATCH(Q$5,'Oxford Economics'!$A$6:$AZ$6,0),MATCH(Q$5&amp;"",'Oxford Economics'!$A$6:$AZ$6,0))),'Oxford Economics'!$A$7:$A$1000,$C61,'Oxford Economics'!$B$7:$B$1000,Settings!$B$13)-SUMIFS(INDEX('Oxford Economics'!$A$7:$AZ$1000,0,IFERROR(MATCH(Q$5,'Oxford Economics'!$A$6:$AZ$6,0),MATCH(Q$5&amp;"",'Oxford Economics'!$A$6:$AZ$6,0))),'Oxford Economics'!$A$7:$A$1000,$C61,'Oxford Economics'!$B$7:$B$1000,Settings!$B$15),SUMIFS(INDEX('Oxford Economics'!$A$7:$AZ$1000,0,IFERROR(MATCH(Q$5,'Oxford Economics'!$A$6:$AZ$6,0),MATCH(Q$5&amp;"",'Oxford Economics'!$A$6:$AZ$6,0))),'Oxford Economics'!$A$7:$A$1000,$C61,'Oxford Economics'!$B$7:$B$1000,Settings!$B$15)+SUMIFS(INDEX('Oxford Economics'!$A$7:$AZ$1000,0,IFERROR(MATCH(Q$5,'Oxford Economics'!$A$6:$AZ$6,0),MATCH(Q$5&amp;"",'Oxford Economics'!$A$6:$AZ$6,0))),'Oxford Economics'!$A$7:$A$1000,$C61,'Oxford Economics'!$B$7:$B$1000,Settings!$B$17)+IF(Settings!$B$19="",0,SUMIFS(INDEX('Oxford Economics'!$A$7:$AZ$1000,0,IFERROR(MATCH(Q$5,'Oxford Economics'!$A$6:$AZ$6,0),MATCH(Q$5&amp;"",'Oxford Economics'!$A$6:$AZ$6,0))),'Oxford Economics'!$A$7:$A$1000,$C61,'Oxford Economics'!$B$7:$B$1000,Settings!$B$19)))),""))</f>
        <v>3247.65</v>
      </c>
      <c r="R61" s="38" t="n">
        <f aca="false">IF($A61="","",IFERROR(1/(1/IF($B61="Residential",SUMIFS(INDEX('Oxford Economics'!$A$7:$AZ$1000,0,IFERROR(MATCH(R$5,'Oxford Economics'!$A$6:$AZ$6,0),MATCH(R$5&amp;"",'Oxford Economics'!$A$6:$AZ$6,0))),'Oxford Economics'!$A$7:$A$1000,$C61,'Oxford Economics'!$B$7:$B$1000,Settings!$B$13)-SUMIFS(INDEX('Oxford Economics'!$A$7:$AZ$1000,0,IFERROR(MATCH(R$5,'Oxford Economics'!$A$6:$AZ$6,0),MATCH(R$5&amp;"",'Oxford Economics'!$A$6:$AZ$6,0))),'Oxford Economics'!$A$7:$A$1000,$C61,'Oxford Economics'!$B$7:$B$1000,Settings!$B$15),SUMIFS(INDEX('Oxford Economics'!$A$7:$AZ$1000,0,IFERROR(MATCH(R$5,'Oxford Economics'!$A$6:$AZ$6,0),MATCH(R$5&amp;"",'Oxford Economics'!$A$6:$AZ$6,0))),'Oxford Economics'!$A$7:$A$1000,$C61,'Oxford Economics'!$B$7:$B$1000,Settings!$B$15)+SUMIFS(INDEX('Oxford Economics'!$A$7:$AZ$1000,0,IFERROR(MATCH(R$5,'Oxford Economics'!$A$6:$AZ$6,0),MATCH(R$5&amp;"",'Oxford Economics'!$A$6:$AZ$6,0))),'Oxford Economics'!$A$7:$A$1000,$C61,'Oxford Economics'!$B$7:$B$1000,Settings!$B$17)+IF(Settings!$B$19="",0,SUMIFS(INDEX('Oxford Economics'!$A$7:$AZ$1000,0,IFERROR(MATCH(R$5,'Oxford Economics'!$A$6:$AZ$6,0),MATCH(R$5&amp;"",'Oxford Economics'!$A$6:$AZ$6,0))),'Oxford Economics'!$A$7:$A$1000,$C61,'Oxford Economics'!$B$7:$B$1000,Settings!$B$19)))),""))</f>
        <v>3242.21</v>
      </c>
      <c r="S61" s="38" t="n">
        <f aca="false">IF($A61="","",IFERROR(1/(1/IF($B61="Residential",SUMIFS(INDEX('Oxford Economics'!$A$7:$AZ$1000,0,IFERROR(MATCH(S$5,'Oxford Economics'!$A$6:$AZ$6,0),MATCH(S$5&amp;"",'Oxford Economics'!$A$6:$AZ$6,0))),'Oxford Economics'!$A$7:$A$1000,$C61,'Oxford Economics'!$B$7:$B$1000,Settings!$B$13)-SUMIFS(INDEX('Oxford Economics'!$A$7:$AZ$1000,0,IFERROR(MATCH(S$5,'Oxford Economics'!$A$6:$AZ$6,0),MATCH(S$5&amp;"",'Oxford Economics'!$A$6:$AZ$6,0))),'Oxford Economics'!$A$7:$A$1000,$C61,'Oxford Economics'!$B$7:$B$1000,Settings!$B$15),SUMIFS(INDEX('Oxford Economics'!$A$7:$AZ$1000,0,IFERROR(MATCH(S$5,'Oxford Economics'!$A$6:$AZ$6,0),MATCH(S$5&amp;"",'Oxford Economics'!$A$6:$AZ$6,0))),'Oxford Economics'!$A$7:$A$1000,$C61,'Oxford Economics'!$B$7:$B$1000,Settings!$B$15)+SUMIFS(INDEX('Oxford Economics'!$A$7:$AZ$1000,0,IFERROR(MATCH(S$5,'Oxford Economics'!$A$6:$AZ$6,0),MATCH(S$5&amp;"",'Oxford Economics'!$A$6:$AZ$6,0))),'Oxford Economics'!$A$7:$A$1000,$C61,'Oxford Economics'!$B$7:$B$1000,Settings!$B$17)+IF(Settings!$B$19="",0,SUMIFS(INDEX('Oxford Economics'!$A$7:$AZ$1000,0,IFERROR(MATCH(S$5,'Oxford Economics'!$A$6:$AZ$6,0),MATCH(S$5&amp;"",'Oxford Economics'!$A$6:$AZ$6,0))),'Oxford Economics'!$A$7:$A$1000,$C61,'Oxford Economics'!$B$7:$B$1000,Settings!$B$19)))),""))</f>
        <v>3286.98</v>
      </c>
      <c r="T61" s="38" t="n">
        <f aca="false">IF($A61="","",IFERROR(1/(1/IF($B61="Residential",SUMIFS(INDEX('Oxford Economics'!$A$7:$AZ$1000,0,IFERROR(MATCH(T$5,'Oxford Economics'!$A$6:$AZ$6,0),MATCH(T$5&amp;"",'Oxford Economics'!$A$6:$AZ$6,0))),'Oxford Economics'!$A$7:$A$1000,$C61,'Oxford Economics'!$B$7:$B$1000,Settings!$B$13)-SUMIFS(INDEX('Oxford Economics'!$A$7:$AZ$1000,0,IFERROR(MATCH(T$5,'Oxford Economics'!$A$6:$AZ$6,0),MATCH(T$5&amp;"",'Oxford Economics'!$A$6:$AZ$6,0))),'Oxford Economics'!$A$7:$A$1000,$C61,'Oxford Economics'!$B$7:$B$1000,Settings!$B$15),SUMIFS(INDEX('Oxford Economics'!$A$7:$AZ$1000,0,IFERROR(MATCH(T$5,'Oxford Economics'!$A$6:$AZ$6,0),MATCH(T$5&amp;"",'Oxford Economics'!$A$6:$AZ$6,0))),'Oxford Economics'!$A$7:$A$1000,$C61,'Oxford Economics'!$B$7:$B$1000,Settings!$B$15)+SUMIFS(INDEX('Oxford Economics'!$A$7:$AZ$1000,0,IFERROR(MATCH(T$5,'Oxford Economics'!$A$6:$AZ$6,0),MATCH(T$5&amp;"",'Oxford Economics'!$A$6:$AZ$6,0))),'Oxford Economics'!$A$7:$A$1000,$C61,'Oxford Economics'!$B$7:$B$1000,Settings!$B$17)+IF(Settings!$B$19="",0,SUMIFS(INDEX('Oxford Economics'!$A$7:$AZ$1000,0,IFERROR(MATCH(T$5,'Oxford Economics'!$A$6:$AZ$6,0),MATCH(T$5&amp;"",'Oxford Economics'!$A$6:$AZ$6,0))),'Oxford Economics'!$A$7:$A$1000,$C61,'Oxford Economics'!$B$7:$B$1000,Settings!$B$19)))),""))</f>
        <v>3402.2</v>
      </c>
      <c r="U61" s="38" t="n">
        <f aca="false">IF($A61="","",IFERROR(1/(1/IF($B61="Residential",SUMIFS(INDEX('Oxford Economics'!$A$7:$AZ$1000,0,IFERROR(MATCH(U$5,'Oxford Economics'!$A$6:$AZ$6,0),MATCH(U$5&amp;"",'Oxford Economics'!$A$6:$AZ$6,0))),'Oxford Economics'!$A$7:$A$1000,$C61,'Oxford Economics'!$B$7:$B$1000,Settings!$B$13)-SUMIFS(INDEX('Oxford Economics'!$A$7:$AZ$1000,0,IFERROR(MATCH(U$5,'Oxford Economics'!$A$6:$AZ$6,0),MATCH(U$5&amp;"",'Oxford Economics'!$A$6:$AZ$6,0))),'Oxford Economics'!$A$7:$A$1000,$C61,'Oxford Economics'!$B$7:$B$1000,Settings!$B$15),SUMIFS(INDEX('Oxford Economics'!$A$7:$AZ$1000,0,IFERROR(MATCH(U$5,'Oxford Economics'!$A$6:$AZ$6,0),MATCH(U$5&amp;"",'Oxford Economics'!$A$6:$AZ$6,0))),'Oxford Economics'!$A$7:$A$1000,$C61,'Oxford Economics'!$B$7:$B$1000,Settings!$B$15)+SUMIFS(INDEX('Oxford Economics'!$A$7:$AZ$1000,0,IFERROR(MATCH(U$5,'Oxford Economics'!$A$6:$AZ$6,0),MATCH(U$5&amp;"",'Oxford Economics'!$A$6:$AZ$6,0))),'Oxford Economics'!$A$7:$A$1000,$C61,'Oxford Economics'!$B$7:$B$1000,Settings!$B$17)+IF(Settings!$B$19="",0,SUMIFS(INDEX('Oxford Economics'!$A$7:$AZ$1000,0,IFERROR(MATCH(U$5,'Oxford Economics'!$A$6:$AZ$6,0),MATCH(U$5&amp;"",'Oxford Economics'!$A$6:$AZ$6,0))),'Oxford Economics'!$A$7:$A$1000,$C61,'Oxford Economics'!$B$7:$B$1000,Settings!$B$19)))),""))</f>
        <v>3262.66</v>
      </c>
      <c r="V61" s="38" t="n">
        <f aca="false">IF($A61="","",IFERROR(1/(1/IF($B61="Residential",SUMIFS(INDEX('Oxford Economics'!$A$7:$AZ$1000,0,IFERROR(MATCH(V$5,'Oxford Economics'!$A$6:$AZ$6,0),MATCH(V$5&amp;"",'Oxford Economics'!$A$6:$AZ$6,0))),'Oxford Economics'!$A$7:$A$1000,$C61,'Oxford Economics'!$B$7:$B$1000,Settings!$B$13)-SUMIFS(INDEX('Oxford Economics'!$A$7:$AZ$1000,0,IFERROR(MATCH(V$5,'Oxford Economics'!$A$6:$AZ$6,0),MATCH(V$5&amp;"",'Oxford Economics'!$A$6:$AZ$6,0))),'Oxford Economics'!$A$7:$A$1000,$C61,'Oxford Economics'!$B$7:$B$1000,Settings!$B$15),SUMIFS(INDEX('Oxford Economics'!$A$7:$AZ$1000,0,IFERROR(MATCH(V$5,'Oxford Economics'!$A$6:$AZ$6,0),MATCH(V$5&amp;"",'Oxford Economics'!$A$6:$AZ$6,0))),'Oxford Economics'!$A$7:$A$1000,$C61,'Oxford Economics'!$B$7:$B$1000,Settings!$B$15)+SUMIFS(INDEX('Oxford Economics'!$A$7:$AZ$1000,0,IFERROR(MATCH(V$5,'Oxford Economics'!$A$6:$AZ$6,0),MATCH(V$5&amp;"",'Oxford Economics'!$A$6:$AZ$6,0))),'Oxford Economics'!$A$7:$A$1000,$C61,'Oxford Economics'!$B$7:$B$1000,Settings!$B$17)+IF(Settings!$B$19="",0,SUMIFS(INDEX('Oxford Economics'!$A$7:$AZ$1000,0,IFERROR(MATCH(V$5,'Oxford Economics'!$A$6:$AZ$6,0),MATCH(V$5&amp;"",'Oxford Economics'!$A$6:$AZ$6,0))),'Oxford Economics'!$A$7:$A$1000,$C61,'Oxford Economics'!$B$7:$B$1000,Settings!$B$19)))),""))</f>
        <v>3287.17</v>
      </c>
      <c r="W61" s="38" t="n">
        <f aca="false">IF($A61="","",IFERROR(1/(1/IF($B61="Residential",SUMIFS(INDEX('Oxford Economics'!$A$7:$AZ$1000,0,IFERROR(MATCH(W$5,'Oxford Economics'!$A$6:$AZ$6,0),MATCH(W$5&amp;"",'Oxford Economics'!$A$6:$AZ$6,0))),'Oxford Economics'!$A$7:$A$1000,$C61,'Oxford Economics'!$B$7:$B$1000,Settings!$B$13)-SUMIFS(INDEX('Oxford Economics'!$A$7:$AZ$1000,0,IFERROR(MATCH(W$5,'Oxford Economics'!$A$6:$AZ$6,0),MATCH(W$5&amp;"",'Oxford Economics'!$A$6:$AZ$6,0))),'Oxford Economics'!$A$7:$A$1000,$C61,'Oxford Economics'!$B$7:$B$1000,Settings!$B$15),SUMIFS(INDEX('Oxford Economics'!$A$7:$AZ$1000,0,IFERROR(MATCH(W$5,'Oxford Economics'!$A$6:$AZ$6,0),MATCH(W$5&amp;"",'Oxford Economics'!$A$6:$AZ$6,0))),'Oxford Economics'!$A$7:$A$1000,$C61,'Oxford Economics'!$B$7:$B$1000,Settings!$B$15)+SUMIFS(INDEX('Oxford Economics'!$A$7:$AZ$1000,0,IFERROR(MATCH(W$5,'Oxford Economics'!$A$6:$AZ$6,0),MATCH(W$5&amp;"",'Oxford Economics'!$A$6:$AZ$6,0))),'Oxford Economics'!$A$7:$A$1000,$C61,'Oxford Economics'!$B$7:$B$1000,Settings!$B$17)+IF(Settings!$B$19="",0,SUMIFS(INDEX('Oxford Economics'!$A$7:$AZ$1000,0,IFERROR(MATCH(W$5,'Oxford Economics'!$A$6:$AZ$6,0),MATCH(W$5&amp;"",'Oxford Economics'!$A$6:$AZ$6,0))),'Oxford Economics'!$A$7:$A$1000,$C61,'Oxford Economics'!$B$7:$B$1000,Settings!$B$19)))),""))</f>
        <v>3426.71</v>
      </c>
      <c r="X61" s="38" t="n">
        <f aca="false">IF($A61="","",IFERROR(1/(1/IF($B61="Residential",SUMIFS(INDEX('Oxford Economics'!$A$7:$AZ$1000,0,IFERROR(MATCH(X$5,'Oxford Economics'!$A$6:$AZ$6,0),MATCH(X$5&amp;"",'Oxford Economics'!$A$6:$AZ$6,0))),'Oxford Economics'!$A$7:$A$1000,$C61,'Oxford Economics'!$B$7:$B$1000,Settings!$B$13)-SUMIFS(INDEX('Oxford Economics'!$A$7:$AZ$1000,0,IFERROR(MATCH(X$5,'Oxford Economics'!$A$6:$AZ$6,0),MATCH(X$5&amp;"",'Oxford Economics'!$A$6:$AZ$6,0))),'Oxford Economics'!$A$7:$A$1000,$C61,'Oxford Economics'!$B$7:$B$1000,Settings!$B$15),SUMIFS(INDEX('Oxford Economics'!$A$7:$AZ$1000,0,IFERROR(MATCH(X$5,'Oxford Economics'!$A$6:$AZ$6,0),MATCH(X$5&amp;"",'Oxford Economics'!$A$6:$AZ$6,0))),'Oxford Economics'!$A$7:$A$1000,$C61,'Oxford Economics'!$B$7:$B$1000,Settings!$B$15)+SUMIFS(INDEX('Oxford Economics'!$A$7:$AZ$1000,0,IFERROR(MATCH(X$5,'Oxford Economics'!$A$6:$AZ$6,0),MATCH(X$5&amp;"",'Oxford Economics'!$A$6:$AZ$6,0))),'Oxford Economics'!$A$7:$A$1000,$C61,'Oxford Economics'!$B$7:$B$1000,Settings!$B$17)+IF(Settings!$B$19="",0,SUMIFS(INDEX('Oxford Economics'!$A$7:$AZ$1000,0,IFERROR(MATCH(X$5,'Oxford Economics'!$A$6:$AZ$6,0),MATCH(X$5&amp;"",'Oxford Economics'!$A$6:$AZ$6,0))),'Oxford Economics'!$A$7:$A$1000,$C61,'Oxford Economics'!$B$7:$B$1000,Settings!$B$19)))),""))</f>
        <v>3626.17</v>
      </c>
      <c r="Y61" s="38" t="n">
        <f aca="false">IF($A61="","",IFERROR(1/(1/IF($B61="Residential",SUMIFS(INDEX('Oxford Economics'!$A$7:$AZ$1000,0,IFERROR(MATCH(Y$5,'Oxford Economics'!$A$6:$AZ$6,0),MATCH(Y$5&amp;"",'Oxford Economics'!$A$6:$AZ$6,0))),'Oxford Economics'!$A$7:$A$1000,$C61,'Oxford Economics'!$B$7:$B$1000,Settings!$B$13)-SUMIFS(INDEX('Oxford Economics'!$A$7:$AZ$1000,0,IFERROR(MATCH(Y$5,'Oxford Economics'!$A$6:$AZ$6,0),MATCH(Y$5&amp;"",'Oxford Economics'!$A$6:$AZ$6,0))),'Oxford Economics'!$A$7:$A$1000,$C61,'Oxford Economics'!$B$7:$B$1000,Settings!$B$15),SUMIFS(INDEX('Oxford Economics'!$A$7:$AZ$1000,0,IFERROR(MATCH(Y$5,'Oxford Economics'!$A$6:$AZ$6,0),MATCH(Y$5&amp;"",'Oxford Economics'!$A$6:$AZ$6,0))),'Oxford Economics'!$A$7:$A$1000,$C61,'Oxford Economics'!$B$7:$B$1000,Settings!$B$15)+SUMIFS(INDEX('Oxford Economics'!$A$7:$AZ$1000,0,IFERROR(MATCH(Y$5,'Oxford Economics'!$A$6:$AZ$6,0),MATCH(Y$5&amp;"",'Oxford Economics'!$A$6:$AZ$6,0))),'Oxford Economics'!$A$7:$A$1000,$C61,'Oxford Economics'!$B$7:$B$1000,Settings!$B$17)+IF(Settings!$B$19="",0,SUMIFS(INDEX('Oxford Economics'!$A$7:$AZ$1000,0,IFERROR(MATCH(Y$5,'Oxford Economics'!$A$6:$AZ$6,0),MATCH(Y$5&amp;"",'Oxford Economics'!$A$6:$AZ$6,0))),'Oxford Economics'!$A$7:$A$1000,$C61,'Oxford Economics'!$B$7:$B$1000,Settings!$B$19)))),""))</f>
        <v>3773.24</v>
      </c>
      <c r="Z61" s="38" t="n">
        <f aca="false">IF($A61="","",IFERROR(1/(1/IF($B61="Residential",SUMIFS(INDEX('Oxford Economics'!$A$7:$AZ$1000,0,IFERROR(MATCH(Z$5,'Oxford Economics'!$A$6:$AZ$6,0),MATCH(Z$5&amp;"",'Oxford Economics'!$A$6:$AZ$6,0))),'Oxford Economics'!$A$7:$A$1000,$C61,'Oxford Economics'!$B$7:$B$1000,Settings!$B$13)-SUMIFS(INDEX('Oxford Economics'!$A$7:$AZ$1000,0,IFERROR(MATCH(Z$5,'Oxford Economics'!$A$6:$AZ$6,0),MATCH(Z$5&amp;"",'Oxford Economics'!$A$6:$AZ$6,0))),'Oxford Economics'!$A$7:$A$1000,$C61,'Oxford Economics'!$B$7:$B$1000,Settings!$B$15),SUMIFS(INDEX('Oxford Economics'!$A$7:$AZ$1000,0,IFERROR(MATCH(Z$5,'Oxford Economics'!$A$6:$AZ$6,0),MATCH(Z$5&amp;"",'Oxford Economics'!$A$6:$AZ$6,0))),'Oxford Economics'!$A$7:$A$1000,$C61,'Oxford Economics'!$B$7:$B$1000,Settings!$B$15)+SUMIFS(INDEX('Oxford Economics'!$A$7:$AZ$1000,0,IFERROR(MATCH(Z$5,'Oxford Economics'!$A$6:$AZ$6,0),MATCH(Z$5&amp;"",'Oxford Economics'!$A$6:$AZ$6,0))),'Oxford Economics'!$A$7:$A$1000,$C61,'Oxford Economics'!$B$7:$B$1000,Settings!$B$17)+IF(Settings!$B$19="",0,SUMIFS(INDEX('Oxford Economics'!$A$7:$AZ$1000,0,IFERROR(MATCH(Z$5,'Oxford Economics'!$A$6:$AZ$6,0),MATCH(Z$5&amp;"",'Oxford Economics'!$A$6:$AZ$6,0))),'Oxford Economics'!$A$7:$A$1000,$C61,'Oxford Economics'!$B$7:$B$1000,Settings!$B$19)))),""))</f>
        <v>3885.24</v>
      </c>
      <c r="AA61" s="38" t="n">
        <f aca="false">IF($A61="","",IFERROR(1/(1/IF($B61="Residential",SUMIFS(INDEX('Oxford Economics'!$A$7:$AZ$1000,0,IFERROR(MATCH(AA$5,'Oxford Economics'!$A$6:$AZ$6,0),MATCH(AA$5&amp;"",'Oxford Economics'!$A$6:$AZ$6,0))),'Oxford Economics'!$A$7:$A$1000,$C61,'Oxford Economics'!$B$7:$B$1000,Settings!$B$13)-SUMIFS(INDEX('Oxford Economics'!$A$7:$AZ$1000,0,IFERROR(MATCH(AA$5,'Oxford Economics'!$A$6:$AZ$6,0),MATCH(AA$5&amp;"",'Oxford Economics'!$A$6:$AZ$6,0))),'Oxford Economics'!$A$7:$A$1000,$C61,'Oxford Economics'!$B$7:$B$1000,Settings!$B$15),SUMIFS(INDEX('Oxford Economics'!$A$7:$AZ$1000,0,IFERROR(MATCH(AA$5,'Oxford Economics'!$A$6:$AZ$6,0),MATCH(AA$5&amp;"",'Oxford Economics'!$A$6:$AZ$6,0))),'Oxford Economics'!$A$7:$A$1000,$C61,'Oxford Economics'!$B$7:$B$1000,Settings!$B$15)+SUMIFS(INDEX('Oxford Economics'!$A$7:$AZ$1000,0,IFERROR(MATCH(AA$5,'Oxford Economics'!$A$6:$AZ$6,0),MATCH(AA$5&amp;"",'Oxford Economics'!$A$6:$AZ$6,0))),'Oxford Economics'!$A$7:$A$1000,$C61,'Oxford Economics'!$B$7:$B$1000,Settings!$B$17)+IF(Settings!$B$19="",0,SUMIFS(INDEX('Oxford Economics'!$A$7:$AZ$1000,0,IFERROR(MATCH(AA$5,'Oxford Economics'!$A$6:$AZ$6,0),MATCH(AA$5&amp;"",'Oxford Economics'!$A$6:$AZ$6,0))),'Oxford Economics'!$A$7:$A$1000,$C61,'Oxford Economics'!$B$7:$B$1000,Settings!$B$19)))),""))</f>
        <v>3929.16</v>
      </c>
      <c r="AB61" s="38" t="n">
        <f aca="false">IF($A61="","",IFERROR(1/(1/IF($B61="Residential",SUMIFS(INDEX('Oxford Economics'!$A$7:$AZ$1000,0,IFERROR(MATCH(AB$5,'Oxford Economics'!$A$6:$AZ$6,0),MATCH(AB$5&amp;"",'Oxford Economics'!$A$6:$AZ$6,0))),'Oxford Economics'!$A$7:$A$1000,$C61,'Oxford Economics'!$B$7:$B$1000,Settings!$B$12)-SUMIFS(INDEX('Oxford Economics'!$A$7:$AZ$1000,0,IFERROR(MATCH(AB$5,'Oxford Economics'!$A$6:$AZ$6,0),MATCH(AB$5&amp;"",'Oxford Economics'!$A$6:$AZ$6,0))),'Oxford Economics'!$A$7:$A$1000,$C61,'Oxford Economics'!$B$7:$B$1000,Settings!$B$14),SUMIFS(INDEX('Oxford Economics'!$A$7:$AZ$1000,0,IFERROR(MATCH(AB$5,'Oxford Economics'!$A$6:$AZ$6,0),MATCH(AB$5&amp;"",'Oxford Economics'!$A$6:$AZ$6,0))),'Oxford Economics'!$A$7:$A$1000,$C61,'Oxford Economics'!$B$7:$B$1000,Settings!$B$14)+SUMIFS(INDEX('Oxford Economics'!$A$7:$AZ$1000,0,IFERROR(MATCH(AB$5,'Oxford Economics'!$A$6:$AZ$6,0),MATCH(AB$5&amp;"",'Oxford Economics'!$A$6:$AZ$6,0))),'Oxford Economics'!$A$7:$A$1000,$C61,'Oxford Economics'!$B$7:$B$1000,Settings!$B$16)+IF(Settings!$B$18="",0,SUMIFS(INDEX('Oxford Economics'!$A$7:$AZ$1000,0,IFERROR(MATCH(AB$5,'Oxford Economics'!$A$6:$AZ$6,0),MATCH(AB$5&amp;"",'Oxford Economics'!$A$6:$AZ$6,0))),'Oxford Economics'!$A$7:$A$1000,$C61,'Oxford Economics'!$B$7:$B$1000,Settings!$B$18)))),""))</f>
        <v>6024.45</v>
      </c>
      <c r="AC61" s="38" t="n">
        <f aca="false">IF($A61="","",IFERROR(1/(1/IF($B61="Residential",SUMIFS(INDEX('Oxford Economics'!$A$7:$AZ$1000,0,IFERROR(MATCH(AC$5,'Oxford Economics'!$A$6:$AZ$6,0),MATCH(AC$5&amp;"",'Oxford Economics'!$A$6:$AZ$6,0))),'Oxford Economics'!$A$7:$A$1000,$C61,'Oxford Economics'!$B$7:$B$1000,Settings!$B$12)-SUMIFS(INDEX('Oxford Economics'!$A$7:$AZ$1000,0,IFERROR(MATCH(AC$5,'Oxford Economics'!$A$6:$AZ$6,0),MATCH(AC$5&amp;"",'Oxford Economics'!$A$6:$AZ$6,0))),'Oxford Economics'!$A$7:$A$1000,$C61,'Oxford Economics'!$B$7:$B$1000,Settings!$B$14),SUMIFS(INDEX('Oxford Economics'!$A$7:$AZ$1000,0,IFERROR(MATCH(AC$5,'Oxford Economics'!$A$6:$AZ$6,0),MATCH(AC$5&amp;"",'Oxford Economics'!$A$6:$AZ$6,0))),'Oxford Economics'!$A$7:$A$1000,$C61,'Oxford Economics'!$B$7:$B$1000,Settings!$B$14)+SUMIFS(INDEX('Oxford Economics'!$A$7:$AZ$1000,0,IFERROR(MATCH(AC$5,'Oxford Economics'!$A$6:$AZ$6,0),MATCH(AC$5&amp;"",'Oxford Economics'!$A$6:$AZ$6,0))),'Oxford Economics'!$A$7:$A$1000,$C61,'Oxford Economics'!$B$7:$B$1000,Settings!$B$16)+IF(Settings!$B$18="",0,SUMIFS(INDEX('Oxford Economics'!$A$7:$AZ$1000,0,IFERROR(MATCH(AC$5,'Oxford Economics'!$A$6:$AZ$6,0),MATCH(AC$5&amp;"",'Oxford Economics'!$A$6:$AZ$6,0))),'Oxford Economics'!$A$7:$A$1000,$C61,'Oxford Economics'!$B$7:$B$1000,Settings!$B$18)))),""))</f>
        <v>6431.37</v>
      </c>
      <c r="AD61" s="38" t="n">
        <f aca="false">IF($A61="","",IFERROR(1/(1/IF($B61="Residential",SUMIFS(INDEX('Oxford Economics'!$A$7:$AZ$1000,0,IFERROR(MATCH(AD$5,'Oxford Economics'!$A$6:$AZ$6,0),MATCH(AD$5&amp;"",'Oxford Economics'!$A$6:$AZ$6,0))),'Oxford Economics'!$A$7:$A$1000,$C61,'Oxford Economics'!$B$7:$B$1000,Settings!$B$12)-SUMIFS(INDEX('Oxford Economics'!$A$7:$AZ$1000,0,IFERROR(MATCH(AD$5,'Oxford Economics'!$A$6:$AZ$6,0),MATCH(AD$5&amp;"",'Oxford Economics'!$A$6:$AZ$6,0))),'Oxford Economics'!$A$7:$A$1000,$C61,'Oxford Economics'!$B$7:$B$1000,Settings!$B$14),SUMIFS(INDEX('Oxford Economics'!$A$7:$AZ$1000,0,IFERROR(MATCH(AD$5,'Oxford Economics'!$A$6:$AZ$6,0),MATCH(AD$5&amp;"",'Oxford Economics'!$A$6:$AZ$6,0))),'Oxford Economics'!$A$7:$A$1000,$C61,'Oxford Economics'!$B$7:$B$1000,Settings!$B$14)+SUMIFS(INDEX('Oxford Economics'!$A$7:$AZ$1000,0,IFERROR(MATCH(AD$5,'Oxford Economics'!$A$6:$AZ$6,0),MATCH(AD$5&amp;"",'Oxford Economics'!$A$6:$AZ$6,0))),'Oxford Economics'!$A$7:$A$1000,$C61,'Oxford Economics'!$B$7:$B$1000,Settings!$B$16)+IF(Settings!$B$18="",0,SUMIFS(INDEX('Oxford Economics'!$A$7:$AZ$1000,0,IFERROR(MATCH(AD$5,'Oxford Economics'!$A$6:$AZ$6,0),MATCH(AD$5&amp;"",'Oxford Economics'!$A$6:$AZ$6,0))),'Oxford Economics'!$A$7:$A$1000,$C61,'Oxford Economics'!$B$7:$B$1000,Settings!$B$18)))),""))</f>
        <v>6635.53</v>
      </c>
      <c r="AE61" s="38" t="n">
        <f aca="false">IF($A61="","",IFERROR(1/(1/IF($B61="Residential",SUMIFS(INDEX('Oxford Economics'!$A$7:$AZ$1000,0,IFERROR(MATCH(AE$5,'Oxford Economics'!$A$6:$AZ$6,0),MATCH(AE$5&amp;"",'Oxford Economics'!$A$6:$AZ$6,0))),'Oxford Economics'!$A$7:$A$1000,$C61,'Oxford Economics'!$B$7:$B$1000,Settings!$B$12)-SUMIFS(INDEX('Oxford Economics'!$A$7:$AZ$1000,0,IFERROR(MATCH(AE$5,'Oxford Economics'!$A$6:$AZ$6,0),MATCH(AE$5&amp;"",'Oxford Economics'!$A$6:$AZ$6,0))),'Oxford Economics'!$A$7:$A$1000,$C61,'Oxford Economics'!$B$7:$B$1000,Settings!$B$14),SUMIFS(INDEX('Oxford Economics'!$A$7:$AZ$1000,0,IFERROR(MATCH(AE$5,'Oxford Economics'!$A$6:$AZ$6,0),MATCH(AE$5&amp;"",'Oxford Economics'!$A$6:$AZ$6,0))),'Oxford Economics'!$A$7:$A$1000,$C61,'Oxford Economics'!$B$7:$B$1000,Settings!$B$14)+SUMIFS(INDEX('Oxford Economics'!$A$7:$AZ$1000,0,IFERROR(MATCH(AE$5,'Oxford Economics'!$A$6:$AZ$6,0),MATCH(AE$5&amp;"",'Oxford Economics'!$A$6:$AZ$6,0))),'Oxford Economics'!$A$7:$A$1000,$C61,'Oxford Economics'!$B$7:$B$1000,Settings!$B$16)+IF(Settings!$B$18="",0,SUMIFS(INDEX('Oxford Economics'!$A$7:$AZ$1000,0,IFERROR(MATCH(AE$5,'Oxford Economics'!$A$6:$AZ$6,0),MATCH(AE$5&amp;"",'Oxford Economics'!$A$6:$AZ$6,0))),'Oxford Economics'!$A$7:$A$1000,$C61,'Oxford Economics'!$B$7:$B$1000,Settings!$B$18)))),""))</f>
        <v>5376.91</v>
      </c>
      <c r="AF61" s="38" t="n">
        <f aca="false">IF($A61="","",IFERROR(1/(1/IF($B61="Residential",SUMIFS(INDEX('Oxford Economics'!$A$7:$AZ$1000,0,IFERROR(MATCH(AF$5,'Oxford Economics'!$A$6:$AZ$6,0),MATCH(AF$5&amp;"",'Oxford Economics'!$A$6:$AZ$6,0))),'Oxford Economics'!$A$7:$A$1000,$C61,'Oxford Economics'!$B$7:$B$1000,Settings!$B$12)-SUMIFS(INDEX('Oxford Economics'!$A$7:$AZ$1000,0,IFERROR(MATCH(AF$5,'Oxford Economics'!$A$6:$AZ$6,0),MATCH(AF$5&amp;"",'Oxford Economics'!$A$6:$AZ$6,0))),'Oxford Economics'!$A$7:$A$1000,$C61,'Oxford Economics'!$B$7:$B$1000,Settings!$B$14),SUMIFS(INDEX('Oxford Economics'!$A$7:$AZ$1000,0,IFERROR(MATCH(AF$5,'Oxford Economics'!$A$6:$AZ$6,0),MATCH(AF$5&amp;"",'Oxford Economics'!$A$6:$AZ$6,0))),'Oxford Economics'!$A$7:$A$1000,$C61,'Oxford Economics'!$B$7:$B$1000,Settings!$B$14)+SUMIFS(INDEX('Oxford Economics'!$A$7:$AZ$1000,0,IFERROR(MATCH(AF$5,'Oxford Economics'!$A$6:$AZ$6,0),MATCH(AF$5&amp;"",'Oxford Economics'!$A$6:$AZ$6,0))),'Oxford Economics'!$A$7:$A$1000,$C61,'Oxford Economics'!$B$7:$B$1000,Settings!$B$16)+IF(Settings!$B$18="",0,SUMIFS(INDEX('Oxford Economics'!$A$7:$AZ$1000,0,IFERROR(MATCH(AF$5,'Oxford Economics'!$A$6:$AZ$6,0),MATCH(AF$5&amp;"",'Oxford Economics'!$A$6:$AZ$6,0))),'Oxford Economics'!$A$7:$A$1000,$C61,'Oxford Economics'!$B$7:$B$1000,Settings!$B$18)))),""))</f>
        <v>4561.01</v>
      </c>
      <c r="AG61" s="38" t="n">
        <f aca="false">IF($A61="","",IFERROR(1/(1/IF($B61="Residential",SUMIFS(INDEX('Oxford Economics'!$A$7:$AZ$1000,0,IFERROR(MATCH(AG$5,'Oxford Economics'!$A$6:$AZ$6,0),MATCH(AG$5&amp;"",'Oxford Economics'!$A$6:$AZ$6,0))),'Oxford Economics'!$A$7:$A$1000,$C61,'Oxford Economics'!$B$7:$B$1000,Settings!$B$12)-SUMIFS(INDEX('Oxford Economics'!$A$7:$AZ$1000,0,IFERROR(MATCH(AG$5,'Oxford Economics'!$A$6:$AZ$6,0),MATCH(AG$5&amp;"",'Oxford Economics'!$A$6:$AZ$6,0))),'Oxford Economics'!$A$7:$A$1000,$C61,'Oxford Economics'!$B$7:$B$1000,Settings!$B$14),SUMIFS(INDEX('Oxford Economics'!$A$7:$AZ$1000,0,IFERROR(MATCH(AG$5,'Oxford Economics'!$A$6:$AZ$6,0),MATCH(AG$5&amp;"",'Oxford Economics'!$A$6:$AZ$6,0))),'Oxford Economics'!$A$7:$A$1000,$C61,'Oxford Economics'!$B$7:$B$1000,Settings!$B$14)+SUMIFS(INDEX('Oxford Economics'!$A$7:$AZ$1000,0,IFERROR(MATCH(AG$5,'Oxford Economics'!$A$6:$AZ$6,0),MATCH(AG$5&amp;"",'Oxford Economics'!$A$6:$AZ$6,0))),'Oxford Economics'!$A$7:$A$1000,$C61,'Oxford Economics'!$B$7:$B$1000,Settings!$B$16)+IF(Settings!$B$18="",0,SUMIFS(INDEX('Oxford Economics'!$A$7:$AZ$1000,0,IFERROR(MATCH(AG$5,'Oxford Economics'!$A$6:$AZ$6,0),MATCH(AG$5&amp;"",'Oxford Economics'!$A$6:$AZ$6,0))),'Oxford Economics'!$A$7:$A$1000,$C61,'Oxford Economics'!$B$7:$B$1000,Settings!$B$18)))),""))</f>
        <v>4461.93</v>
      </c>
      <c r="AH61" s="38" t="n">
        <f aca="false">IF($A61="","",IFERROR(1/(1/IF($B61="Residential",SUMIFS(INDEX('Oxford Economics'!$A$7:$AZ$1000,0,IFERROR(MATCH(AH$5,'Oxford Economics'!$A$6:$AZ$6,0),MATCH(AH$5&amp;"",'Oxford Economics'!$A$6:$AZ$6,0))),'Oxford Economics'!$A$7:$A$1000,$C61,'Oxford Economics'!$B$7:$B$1000,Settings!$B$12)-SUMIFS(INDEX('Oxford Economics'!$A$7:$AZ$1000,0,IFERROR(MATCH(AH$5,'Oxford Economics'!$A$6:$AZ$6,0),MATCH(AH$5&amp;"",'Oxford Economics'!$A$6:$AZ$6,0))),'Oxford Economics'!$A$7:$A$1000,$C61,'Oxford Economics'!$B$7:$B$1000,Settings!$B$14),SUMIFS(INDEX('Oxford Economics'!$A$7:$AZ$1000,0,IFERROR(MATCH(AH$5,'Oxford Economics'!$A$6:$AZ$6,0),MATCH(AH$5&amp;"",'Oxford Economics'!$A$6:$AZ$6,0))),'Oxford Economics'!$A$7:$A$1000,$C61,'Oxford Economics'!$B$7:$B$1000,Settings!$B$14)+SUMIFS(INDEX('Oxford Economics'!$A$7:$AZ$1000,0,IFERROR(MATCH(AH$5,'Oxford Economics'!$A$6:$AZ$6,0),MATCH(AH$5&amp;"",'Oxford Economics'!$A$6:$AZ$6,0))),'Oxford Economics'!$A$7:$A$1000,$C61,'Oxford Economics'!$B$7:$B$1000,Settings!$B$16)+IF(Settings!$B$18="",0,SUMIFS(INDEX('Oxford Economics'!$A$7:$AZ$1000,0,IFERROR(MATCH(AH$5,'Oxford Economics'!$A$6:$AZ$6,0),MATCH(AH$5&amp;"",'Oxford Economics'!$A$6:$AZ$6,0))),'Oxford Economics'!$A$7:$A$1000,$C61,'Oxford Economics'!$B$7:$B$1000,Settings!$B$18)))),""))</f>
        <v>4630.4</v>
      </c>
      <c r="AI61" s="38" t="n">
        <f aca="false">IF($A61="","",IFERROR(1/(1/IF($B61="Residential",SUMIFS(INDEX('Oxford Economics'!$A$7:$AZ$1000,0,IFERROR(MATCH(AI$5,'Oxford Economics'!$A$6:$AZ$6,0),MATCH(AI$5&amp;"",'Oxford Economics'!$A$6:$AZ$6,0))),'Oxford Economics'!$A$7:$A$1000,$C61,'Oxford Economics'!$B$7:$B$1000,Settings!$B$12)-SUMIFS(INDEX('Oxford Economics'!$A$7:$AZ$1000,0,IFERROR(MATCH(AI$5,'Oxford Economics'!$A$6:$AZ$6,0),MATCH(AI$5&amp;"",'Oxford Economics'!$A$6:$AZ$6,0))),'Oxford Economics'!$A$7:$A$1000,$C61,'Oxford Economics'!$B$7:$B$1000,Settings!$B$14),SUMIFS(INDEX('Oxford Economics'!$A$7:$AZ$1000,0,IFERROR(MATCH(AI$5,'Oxford Economics'!$A$6:$AZ$6,0),MATCH(AI$5&amp;"",'Oxford Economics'!$A$6:$AZ$6,0))),'Oxford Economics'!$A$7:$A$1000,$C61,'Oxford Economics'!$B$7:$B$1000,Settings!$B$14)+SUMIFS(INDEX('Oxford Economics'!$A$7:$AZ$1000,0,IFERROR(MATCH(AI$5,'Oxford Economics'!$A$6:$AZ$6,0),MATCH(AI$5&amp;"",'Oxford Economics'!$A$6:$AZ$6,0))),'Oxford Economics'!$A$7:$A$1000,$C61,'Oxford Economics'!$B$7:$B$1000,Settings!$B$16)+IF(Settings!$B$18="",0,SUMIFS(INDEX('Oxford Economics'!$A$7:$AZ$1000,0,IFERROR(MATCH(AI$5,'Oxford Economics'!$A$6:$AZ$6,0),MATCH(AI$5&amp;"",'Oxford Economics'!$A$6:$AZ$6,0))),'Oxford Economics'!$A$7:$A$1000,$C61,'Oxford Economics'!$B$7:$B$1000,Settings!$B$18)))),""))</f>
        <v>4916</v>
      </c>
      <c r="AJ61" s="38" t="n">
        <f aca="false">IF($A61="","",IFERROR(1/(1/IF($B61="Residential",SUMIFS(INDEX('Oxford Economics'!$A$7:$AZ$1000,0,IFERROR(MATCH(AJ$5,'Oxford Economics'!$A$6:$AZ$6,0),MATCH(AJ$5&amp;"",'Oxford Economics'!$A$6:$AZ$6,0))),'Oxford Economics'!$A$7:$A$1000,$C61,'Oxford Economics'!$B$7:$B$1000,Settings!$B$12)-SUMIFS(INDEX('Oxford Economics'!$A$7:$AZ$1000,0,IFERROR(MATCH(AJ$5,'Oxford Economics'!$A$6:$AZ$6,0),MATCH(AJ$5&amp;"",'Oxford Economics'!$A$6:$AZ$6,0))),'Oxford Economics'!$A$7:$A$1000,$C61,'Oxford Economics'!$B$7:$B$1000,Settings!$B$14),SUMIFS(INDEX('Oxford Economics'!$A$7:$AZ$1000,0,IFERROR(MATCH(AJ$5,'Oxford Economics'!$A$6:$AZ$6,0),MATCH(AJ$5&amp;"",'Oxford Economics'!$A$6:$AZ$6,0))),'Oxford Economics'!$A$7:$A$1000,$C61,'Oxford Economics'!$B$7:$B$1000,Settings!$B$14)+SUMIFS(INDEX('Oxford Economics'!$A$7:$AZ$1000,0,IFERROR(MATCH(AJ$5,'Oxford Economics'!$A$6:$AZ$6,0),MATCH(AJ$5&amp;"",'Oxford Economics'!$A$6:$AZ$6,0))),'Oxford Economics'!$A$7:$A$1000,$C61,'Oxford Economics'!$B$7:$B$1000,Settings!$B$16)+IF(Settings!$B$18="",0,SUMIFS(INDEX('Oxford Economics'!$A$7:$AZ$1000,0,IFERROR(MATCH(AJ$5,'Oxford Economics'!$A$6:$AZ$6,0),MATCH(AJ$5&amp;"",'Oxford Economics'!$A$6:$AZ$6,0))),'Oxford Economics'!$A$7:$A$1000,$C61,'Oxford Economics'!$B$7:$B$1000,Settings!$B$18)))),""))</f>
        <v>5157.38</v>
      </c>
      <c r="AK61" s="38" t="n">
        <f aca="false">IF($A61="","",IFERROR(1/(1/IF($B61="Residential",SUMIFS(INDEX('Oxford Economics'!$A$7:$AZ$1000,0,IFERROR(MATCH(AK$5,'Oxford Economics'!$A$6:$AZ$6,0),MATCH(AK$5&amp;"",'Oxford Economics'!$A$6:$AZ$6,0))),'Oxford Economics'!$A$7:$A$1000,$C61,'Oxford Economics'!$B$7:$B$1000,Settings!$B$12)-SUMIFS(INDEX('Oxford Economics'!$A$7:$AZ$1000,0,IFERROR(MATCH(AK$5,'Oxford Economics'!$A$6:$AZ$6,0),MATCH(AK$5&amp;"",'Oxford Economics'!$A$6:$AZ$6,0))),'Oxford Economics'!$A$7:$A$1000,$C61,'Oxford Economics'!$B$7:$B$1000,Settings!$B$14),SUMIFS(INDEX('Oxford Economics'!$A$7:$AZ$1000,0,IFERROR(MATCH(AK$5,'Oxford Economics'!$A$6:$AZ$6,0),MATCH(AK$5&amp;"",'Oxford Economics'!$A$6:$AZ$6,0))),'Oxford Economics'!$A$7:$A$1000,$C61,'Oxford Economics'!$B$7:$B$1000,Settings!$B$14)+SUMIFS(INDEX('Oxford Economics'!$A$7:$AZ$1000,0,IFERROR(MATCH(AK$5,'Oxford Economics'!$A$6:$AZ$6,0),MATCH(AK$5&amp;"",'Oxford Economics'!$A$6:$AZ$6,0))),'Oxford Economics'!$A$7:$A$1000,$C61,'Oxford Economics'!$B$7:$B$1000,Settings!$B$16)+IF(Settings!$B$18="",0,SUMIFS(INDEX('Oxford Economics'!$A$7:$AZ$1000,0,IFERROR(MATCH(AK$5,'Oxford Economics'!$A$6:$AZ$6,0),MATCH(AK$5&amp;"",'Oxford Economics'!$A$6:$AZ$6,0))),'Oxford Economics'!$A$7:$A$1000,$C61,'Oxford Economics'!$B$7:$B$1000,Settings!$B$18)))),""))</f>
        <v>5342.49</v>
      </c>
      <c r="AL61" s="38" t="n">
        <f aca="false">IF($A61="","",IFERROR(1/(1/IF($B61="Residential",SUMIFS(INDEX('Oxford Economics'!$A$7:$AZ$1000,0,IFERROR(MATCH(AL$5,'Oxford Economics'!$A$6:$AZ$6,0),MATCH(AL$5&amp;"",'Oxford Economics'!$A$6:$AZ$6,0))),'Oxford Economics'!$A$7:$A$1000,$C61,'Oxford Economics'!$B$7:$B$1000,Settings!$B$12)-SUMIFS(INDEX('Oxford Economics'!$A$7:$AZ$1000,0,IFERROR(MATCH(AL$5,'Oxford Economics'!$A$6:$AZ$6,0),MATCH(AL$5&amp;"",'Oxford Economics'!$A$6:$AZ$6,0))),'Oxford Economics'!$A$7:$A$1000,$C61,'Oxford Economics'!$B$7:$B$1000,Settings!$B$14),SUMIFS(INDEX('Oxford Economics'!$A$7:$AZ$1000,0,IFERROR(MATCH(AL$5,'Oxford Economics'!$A$6:$AZ$6,0),MATCH(AL$5&amp;"",'Oxford Economics'!$A$6:$AZ$6,0))),'Oxford Economics'!$A$7:$A$1000,$C61,'Oxford Economics'!$B$7:$B$1000,Settings!$B$14)+SUMIFS(INDEX('Oxford Economics'!$A$7:$AZ$1000,0,IFERROR(MATCH(AL$5,'Oxford Economics'!$A$6:$AZ$6,0),MATCH(AL$5&amp;"",'Oxford Economics'!$A$6:$AZ$6,0))),'Oxford Economics'!$A$7:$A$1000,$C61,'Oxford Economics'!$B$7:$B$1000,Settings!$B$16)+IF(Settings!$B$18="",0,SUMIFS(INDEX('Oxford Economics'!$A$7:$AZ$1000,0,IFERROR(MATCH(AL$5,'Oxford Economics'!$A$6:$AZ$6,0),MATCH(AL$5&amp;"",'Oxford Economics'!$A$6:$AZ$6,0))),'Oxford Economics'!$A$7:$A$1000,$C61,'Oxford Economics'!$B$7:$B$1000,Settings!$B$18)))),""))</f>
        <v>5462.2</v>
      </c>
      <c r="AM61" s="38" t="n">
        <f aca="false">IF($A61="","",IFERROR(1/(1/IF($B61="Residential",SUMIFS(INDEX('Oxford Economics'!$A$7:$AZ$1000,0,IFERROR(MATCH(AM$5,'Oxford Economics'!$A$6:$AZ$6,0),MATCH(AM$5&amp;"",'Oxford Economics'!$A$6:$AZ$6,0))),'Oxford Economics'!$A$7:$A$1000,$C61,'Oxford Economics'!$B$7:$B$1000,Settings!$B$12)-SUMIFS(INDEX('Oxford Economics'!$A$7:$AZ$1000,0,IFERROR(MATCH(AM$5,'Oxford Economics'!$A$6:$AZ$6,0),MATCH(AM$5&amp;"",'Oxford Economics'!$A$6:$AZ$6,0))),'Oxford Economics'!$A$7:$A$1000,$C61,'Oxford Economics'!$B$7:$B$1000,Settings!$B$14),SUMIFS(INDEX('Oxford Economics'!$A$7:$AZ$1000,0,IFERROR(MATCH(AM$5,'Oxford Economics'!$A$6:$AZ$6,0),MATCH(AM$5&amp;"",'Oxford Economics'!$A$6:$AZ$6,0))),'Oxford Economics'!$A$7:$A$1000,$C61,'Oxford Economics'!$B$7:$B$1000,Settings!$B$14)+SUMIFS(INDEX('Oxford Economics'!$A$7:$AZ$1000,0,IFERROR(MATCH(AM$5,'Oxford Economics'!$A$6:$AZ$6,0),MATCH(AM$5&amp;"",'Oxford Economics'!$A$6:$AZ$6,0))),'Oxford Economics'!$A$7:$A$1000,$C61,'Oxford Economics'!$B$7:$B$1000,Settings!$B$16)+IF(Settings!$B$18="",0,SUMIFS(INDEX('Oxford Economics'!$A$7:$AZ$1000,0,IFERROR(MATCH(AM$5,'Oxford Economics'!$A$6:$AZ$6,0),MATCH(AM$5&amp;"",'Oxford Economics'!$A$6:$AZ$6,0))),'Oxford Economics'!$A$7:$A$1000,$C61,'Oxford Economics'!$B$7:$B$1000,Settings!$B$18)))),""))</f>
        <v>5582.84</v>
      </c>
    </row>
    <row r="62" customFormat="false" ht="15" hidden="false" customHeight="false" outlineLevel="0" collapsed="false">
      <c r="A62" s="37" t="str">
        <f aca="false">IF('Raw data'!$A62="","",'Raw data'!$A62)</f>
        <v>Austria</v>
      </c>
      <c r="B62" s="37" t="str">
        <f aca="false">IF($A62="","",'Raw data'!$C62)</f>
        <v>Residential</v>
      </c>
      <c r="C62" s="37" t="str">
        <f aca="false">IF($A62="","",IF('Raw data'!$E62="",$A62,'Raw data'!$E62))</f>
        <v>Austria</v>
      </c>
      <c r="D62" s="38" t="n">
        <f aca="false">IF($A62="","",IF(AND(ISNUMBER(P62),ISNUMBER(AB62)),P62+AB62,""))</f>
        <v>9490.88</v>
      </c>
      <c r="E62" s="38" t="n">
        <f aca="false">IF($A62="","",IF(AND(ISNUMBER(Q62),ISNUMBER(AC62)),Q62+AC62,""))</f>
        <v>9679.02</v>
      </c>
      <c r="F62" s="38" t="n">
        <f aca="false">IF($A62="","",IF(AND(ISNUMBER(R62),ISNUMBER(AD62)),R62+AD62,""))</f>
        <v>9877.74</v>
      </c>
      <c r="G62" s="38" t="n">
        <f aca="false">IF($A62="","",IF(AND(ISNUMBER(S62),ISNUMBER(AE62)),S62+AE62,""))</f>
        <v>8663.89</v>
      </c>
      <c r="H62" s="38" t="n">
        <f aca="false">IF($A62="","",IF(AND(ISNUMBER(T62),ISNUMBER(AF62)),T62+AF62,""))</f>
        <v>7963.21</v>
      </c>
      <c r="I62" s="38" t="n">
        <f aca="false">IF($A62="","",IF(AND(ISNUMBER(U62),ISNUMBER(AG62)),U62+AG62,""))</f>
        <v>7724.59</v>
      </c>
      <c r="J62" s="38" t="n">
        <f aca="false">IF($A62="","",IF(AND(ISNUMBER(V62),ISNUMBER(AH62)),V62+AH62,""))</f>
        <v>7917.57</v>
      </c>
      <c r="K62" s="38" t="n">
        <f aca="false">IF($A62="","",IF(AND(ISNUMBER(W62),ISNUMBER(AI62)),W62+AI62,""))</f>
        <v>8342.71</v>
      </c>
      <c r="L62" s="38" t="n">
        <f aca="false">IF($A62="","",IF(AND(ISNUMBER(X62),ISNUMBER(AJ62)),X62+AJ62,""))</f>
        <v>8783.55</v>
      </c>
      <c r="M62" s="38" t="n">
        <f aca="false">IF($A62="","",IF(AND(ISNUMBER(Y62),ISNUMBER(AK62)),Y62+AK62,""))</f>
        <v>9115.73</v>
      </c>
      <c r="N62" s="38" t="n">
        <f aca="false">IF($A62="","",IF(AND(ISNUMBER(Z62),ISNUMBER(AL62)),Z62+AL62,""))</f>
        <v>9347.44</v>
      </c>
      <c r="O62" s="38" t="n">
        <f aca="false">IF($A62="","",IF(AND(ISNUMBER(AA62),ISNUMBER(AM62)),AA62+AM62,""))</f>
        <v>9512</v>
      </c>
      <c r="P62" s="38" t="n">
        <f aca="false">IF($A62="","",IFERROR(1/(1/IF($B62="Residential",SUMIFS(INDEX('Oxford Economics'!$A$7:$AZ$1000,0,IFERROR(MATCH(P$5,'Oxford Economics'!$A$6:$AZ$6,0),MATCH(P$5&amp;"",'Oxford Economics'!$A$6:$AZ$6,0))),'Oxford Economics'!$A$7:$A$1000,$C62,'Oxford Economics'!$B$7:$B$1000,Settings!$B$13)-SUMIFS(INDEX('Oxford Economics'!$A$7:$AZ$1000,0,IFERROR(MATCH(P$5,'Oxford Economics'!$A$6:$AZ$6,0),MATCH(P$5&amp;"",'Oxford Economics'!$A$6:$AZ$6,0))),'Oxford Economics'!$A$7:$A$1000,$C62,'Oxford Economics'!$B$7:$B$1000,Settings!$B$15),SUMIFS(INDEX('Oxford Economics'!$A$7:$AZ$1000,0,IFERROR(MATCH(P$5,'Oxford Economics'!$A$6:$AZ$6,0),MATCH(P$5&amp;"",'Oxford Economics'!$A$6:$AZ$6,0))),'Oxford Economics'!$A$7:$A$1000,$C62,'Oxford Economics'!$B$7:$B$1000,Settings!$B$15)+SUMIFS(INDEX('Oxford Economics'!$A$7:$AZ$1000,0,IFERROR(MATCH(P$5,'Oxford Economics'!$A$6:$AZ$6,0),MATCH(P$5&amp;"",'Oxford Economics'!$A$6:$AZ$6,0))),'Oxford Economics'!$A$7:$A$1000,$C62,'Oxford Economics'!$B$7:$B$1000,Settings!$B$17)+IF(Settings!$B$19="",0,SUMIFS(INDEX('Oxford Economics'!$A$7:$AZ$1000,0,IFERROR(MATCH(P$5,'Oxford Economics'!$A$6:$AZ$6,0),MATCH(P$5&amp;"",'Oxford Economics'!$A$6:$AZ$6,0))),'Oxford Economics'!$A$7:$A$1000,$C62,'Oxford Economics'!$B$7:$B$1000,Settings!$B$19)))),""))</f>
        <v>3466.43</v>
      </c>
      <c r="Q62" s="38" t="n">
        <f aca="false">IF($A62="","",IFERROR(1/(1/IF($B62="Residential",SUMIFS(INDEX('Oxford Economics'!$A$7:$AZ$1000,0,IFERROR(MATCH(Q$5,'Oxford Economics'!$A$6:$AZ$6,0),MATCH(Q$5&amp;"",'Oxford Economics'!$A$6:$AZ$6,0))),'Oxford Economics'!$A$7:$A$1000,$C62,'Oxford Economics'!$B$7:$B$1000,Settings!$B$13)-SUMIFS(INDEX('Oxford Economics'!$A$7:$AZ$1000,0,IFERROR(MATCH(Q$5,'Oxford Economics'!$A$6:$AZ$6,0),MATCH(Q$5&amp;"",'Oxford Economics'!$A$6:$AZ$6,0))),'Oxford Economics'!$A$7:$A$1000,$C62,'Oxford Economics'!$B$7:$B$1000,Settings!$B$15),SUMIFS(INDEX('Oxford Economics'!$A$7:$AZ$1000,0,IFERROR(MATCH(Q$5,'Oxford Economics'!$A$6:$AZ$6,0),MATCH(Q$5&amp;"",'Oxford Economics'!$A$6:$AZ$6,0))),'Oxford Economics'!$A$7:$A$1000,$C62,'Oxford Economics'!$B$7:$B$1000,Settings!$B$15)+SUMIFS(INDEX('Oxford Economics'!$A$7:$AZ$1000,0,IFERROR(MATCH(Q$5,'Oxford Economics'!$A$6:$AZ$6,0),MATCH(Q$5&amp;"",'Oxford Economics'!$A$6:$AZ$6,0))),'Oxford Economics'!$A$7:$A$1000,$C62,'Oxford Economics'!$B$7:$B$1000,Settings!$B$17)+IF(Settings!$B$19="",0,SUMIFS(INDEX('Oxford Economics'!$A$7:$AZ$1000,0,IFERROR(MATCH(Q$5,'Oxford Economics'!$A$6:$AZ$6,0),MATCH(Q$5&amp;"",'Oxford Economics'!$A$6:$AZ$6,0))),'Oxford Economics'!$A$7:$A$1000,$C62,'Oxford Economics'!$B$7:$B$1000,Settings!$B$19)))),""))</f>
        <v>3247.65</v>
      </c>
      <c r="R62" s="38" t="n">
        <f aca="false">IF($A62="","",IFERROR(1/(1/IF($B62="Residential",SUMIFS(INDEX('Oxford Economics'!$A$7:$AZ$1000,0,IFERROR(MATCH(R$5,'Oxford Economics'!$A$6:$AZ$6,0),MATCH(R$5&amp;"",'Oxford Economics'!$A$6:$AZ$6,0))),'Oxford Economics'!$A$7:$A$1000,$C62,'Oxford Economics'!$B$7:$B$1000,Settings!$B$13)-SUMIFS(INDEX('Oxford Economics'!$A$7:$AZ$1000,0,IFERROR(MATCH(R$5,'Oxford Economics'!$A$6:$AZ$6,0),MATCH(R$5&amp;"",'Oxford Economics'!$A$6:$AZ$6,0))),'Oxford Economics'!$A$7:$A$1000,$C62,'Oxford Economics'!$B$7:$B$1000,Settings!$B$15),SUMIFS(INDEX('Oxford Economics'!$A$7:$AZ$1000,0,IFERROR(MATCH(R$5,'Oxford Economics'!$A$6:$AZ$6,0),MATCH(R$5&amp;"",'Oxford Economics'!$A$6:$AZ$6,0))),'Oxford Economics'!$A$7:$A$1000,$C62,'Oxford Economics'!$B$7:$B$1000,Settings!$B$15)+SUMIFS(INDEX('Oxford Economics'!$A$7:$AZ$1000,0,IFERROR(MATCH(R$5,'Oxford Economics'!$A$6:$AZ$6,0),MATCH(R$5&amp;"",'Oxford Economics'!$A$6:$AZ$6,0))),'Oxford Economics'!$A$7:$A$1000,$C62,'Oxford Economics'!$B$7:$B$1000,Settings!$B$17)+IF(Settings!$B$19="",0,SUMIFS(INDEX('Oxford Economics'!$A$7:$AZ$1000,0,IFERROR(MATCH(R$5,'Oxford Economics'!$A$6:$AZ$6,0),MATCH(R$5&amp;"",'Oxford Economics'!$A$6:$AZ$6,0))),'Oxford Economics'!$A$7:$A$1000,$C62,'Oxford Economics'!$B$7:$B$1000,Settings!$B$19)))),""))</f>
        <v>3242.21</v>
      </c>
      <c r="S62" s="38" t="n">
        <f aca="false">IF($A62="","",IFERROR(1/(1/IF($B62="Residential",SUMIFS(INDEX('Oxford Economics'!$A$7:$AZ$1000,0,IFERROR(MATCH(S$5,'Oxford Economics'!$A$6:$AZ$6,0),MATCH(S$5&amp;"",'Oxford Economics'!$A$6:$AZ$6,0))),'Oxford Economics'!$A$7:$A$1000,$C62,'Oxford Economics'!$B$7:$B$1000,Settings!$B$13)-SUMIFS(INDEX('Oxford Economics'!$A$7:$AZ$1000,0,IFERROR(MATCH(S$5,'Oxford Economics'!$A$6:$AZ$6,0),MATCH(S$5&amp;"",'Oxford Economics'!$A$6:$AZ$6,0))),'Oxford Economics'!$A$7:$A$1000,$C62,'Oxford Economics'!$B$7:$B$1000,Settings!$B$15),SUMIFS(INDEX('Oxford Economics'!$A$7:$AZ$1000,0,IFERROR(MATCH(S$5,'Oxford Economics'!$A$6:$AZ$6,0),MATCH(S$5&amp;"",'Oxford Economics'!$A$6:$AZ$6,0))),'Oxford Economics'!$A$7:$A$1000,$C62,'Oxford Economics'!$B$7:$B$1000,Settings!$B$15)+SUMIFS(INDEX('Oxford Economics'!$A$7:$AZ$1000,0,IFERROR(MATCH(S$5,'Oxford Economics'!$A$6:$AZ$6,0),MATCH(S$5&amp;"",'Oxford Economics'!$A$6:$AZ$6,0))),'Oxford Economics'!$A$7:$A$1000,$C62,'Oxford Economics'!$B$7:$B$1000,Settings!$B$17)+IF(Settings!$B$19="",0,SUMIFS(INDEX('Oxford Economics'!$A$7:$AZ$1000,0,IFERROR(MATCH(S$5,'Oxford Economics'!$A$6:$AZ$6,0),MATCH(S$5&amp;"",'Oxford Economics'!$A$6:$AZ$6,0))),'Oxford Economics'!$A$7:$A$1000,$C62,'Oxford Economics'!$B$7:$B$1000,Settings!$B$19)))),""))</f>
        <v>3286.98</v>
      </c>
      <c r="T62" s="38" t="n">
        <f aca="false">IF($A62="","",IFERROR(1/(1/IF($B62="Residential",SUMIFS(INDEX('Oxford Economics'!$A$7:$AZ$1000,0,IFERROR(MATCH(T$5,'Oxford Economics'!$A$6:$AZ$6,0),MATCH(T$5&amp;"",'Oxford Economics'!$A$6:$AZ$6,0))),'Oxford Economics'!$A$7:$A$1000,$C62,'Oxford Economics'!$B$7:$B$1000,Settings!$B$13)-SUMIFS(INDEX('Oxford Economics'!$A$7:$AZ$1000,0,IFERROR(MATCH(T$5,'Oxford Economics'!$A$6:$AZ$6,0),MATCH(T$5&amp;"",'Oxford Economics'!$A$6:$AZ$6,0))),'Oxford Economics'!$A$7:$A$1000,$C62,'Oxford Economics'!$B$7:$B$1000,Settings!$B$15),SUMIFS(INDEX('Oxford Economics'!$A$7:$AZ$1000,0,IFERROR(MATCH(T$5,'Oxford Economics'!$A$6:$AZ$6,0),MATCH(T$5&amp;"",'Oxford Economics'!$A$6:$AZ$6,0))),'Oxford Economics'!$A$7:$A$1000,$C62,'Oxford Economics'!$B$7:$B$1000,Settings!$B$15)+SUMIFS(INDEX('Oxford Economics'!$A$7:$AZ$1000,0,IFERROR(MATCH(T$5,'Oxford Economics'!$A$6:$AZ$6,0),MATCH(T$5&amp;"",'Oxford Economics'!$A$6:$AZ$6,0))),'Oxford Economics'!$A$7:$A$1000,$C62,'Oxford Economics'!$B$7:$B$1000,Settings!$B$17)+IF(Settings!$B$19="",0,SUMIFS(INDEX('Oxford Economics'!$A$7:$AZ$1000,0,IFERROR(MATCH(T$5,'Oxford Economics'!$A$6:$AZ$6,0),MATCH(T$5&amp;"",'Oxford Economics'!$A$6:$AZ$6,0))),'Oxford Economics'!$A$7:$A$1000,$C62,'Oxford Economics'!$B$7:$B$1000,Settings!$B$19)))),""))</f>
        <v>3402.2</v>
      </c>
      <c r="U62" s="38" t="n">
        <f aca="false">IF($A62="","",IFERROR(1/(1/IF($B62="Residential",SUMIFS(INDEX('Oxford Economics'!$A$7:$AZ$1000,0,IFERROR(MATCH(U$5,'Oxford Economics'!$A$6:$AZ$6,0),MATCH(U$5&amp;"",'Oxford Economics'!$A$6:$AZ$6,0))),'Oxford Economics'!$A$7:$A$1000,$C62,'Oxford Economics'!$B$7:$B$1000,Settings!$B$13)-SUMIFS(INDEX('Oxford Economics'!$A$7:$AZ$1000,0,IFERROR(MATCH(U$5,'Oxford Economics'!$A$6:$AZ$6,0),MATCH(U$5&amp;"",'Oxford Economics'!$A$6:$AZ$6,0))),'Oxford Economics'!$A$7:$A$1000,$C62,'Oxford Economics'!$B$7:$B$1000,Settings!$B$15),SUMIFS(INDEX('Oxford Economics'!$A$7:$AZ$1000,0,IFERROR(MATCH(U$5,'Oxford Economics'!$A$6:$AZ$6,0),MATCH(U$5&amp;"",'Oxford Economics'!$A$6:$AZ$6,0))),'Oxford Economics'!$A$7:$A$1000,$C62,'Oxford Economics'!$B$7:$B$1000,Settings!$B$15)+SUMIFS(INDEX('Oxford Economics'!$A$7:$AZ$1000,0,IFERROR(MATCH(U$5,'Oxford Economics'!$A$6:$AZ$6,0),MATCH(U$5&amp;"",'Oxford Economics'!$A$6:$AZ$6,0))),'Oxford Economics'!$A$7:$A$1000,$C62,'Oxford Economics'!$B$7:$B$1000,Settings!$B$17)+IF(Settings!$B$19="",0,SUMIFS(INDEX('Oxford Economics'!$A$7:$AZ$1000,0,IFERROR(MATCH(U$5,'Oxford Economics'!$A$6:$AZ$6,0),MATCH(U$5&amp;"",'Oxford Economics'!$A$6:$AZ$6,0))),'Oxford Economics'!$A$7:$A$1000,$C62,'Oxford Economics'!$B$7:$B$1000,Settings!$B$19)))),""))</f>
        <v>3262.66</v>
      </c>
      <c r="V62" s="38" t="n">
        <f aca="false">IF($A62="","",IFERROR(1/(1/IF($B62="Residential",SUMIFS(INDEX('Oxford Economics'!$A$7:$AZ$1000,0,IFERROR(MATCH(V$5,'Oxford Economics'!$A$6:$AZ$6,0),MATCH(V$5&amp;"",'Oxford Economics'!$A$6:$AZ$6,0))),'Oxford Economics'!$A$7:$A$1000,$C62,'Oxford Economics'!$B$7:$B$1000,Settings!$B$13)-SUMIFS(INDEX('Oxford Economics'!$A$7:$AZ$1000,0,IFERROR(MATCH(V$5,'Oxford Economics'!$A$6:$AZ$6,0),MATCH(V$5&amp;"",'Oxford Economics'!$A$6:$AZ$6,0))),'Oxford Economics'!$A$7:$A$1000,$C62,'Oxford Economics'!$B$7:$B$1000,Settings!$B$15),SUMIFS(INDEX('Oxford Economics'!$A$7:$AZ$1000,0,IFERROR(MATCH(V$5,'Oxford Economics'!$A$6:$AZ$6,0),MATCH(V$5&amp;"",'Oxford Economics'!$A$6:$AZ$6,0))),'Oxford Economics'!$A$7:$A$1000,$C62,'Oxford Economics'!$B$7:$B$1000,Settings!$B$15)+SUMIFS(INDEX('Oxford Economics'!$A$7:$AZ$1000,0,IFERROR(MATCH(V$5,'Oxford Economics'!$A$6:$AZ$6,0),MATCH(V$5&amp;"",'Oxford Economics'!$A$6:$AZ$6,0))),'Oxford Economics'!$A$7:$A$1000,$C62,'Oxford Economics'!$B$7:$B$1000,Settings!$B$17)+IF(Settings!$B$19="",0,SUMIFS(INDEX('Oxford Economics'!$A$7:$AZ$1000,0,IFERROR(MATCH(V$5,'Oxford Economics'!$A$6:$AZ$6,0),MATCH(V$5&amp;"",'Oxford Economics'!$A$6:$AZ$6,0))),'Oxford Economics'!$A$7:$A$1000,$C62,'Oxford Economics'!$B$7:$B$1000,Settings!$B$19)))),""))</f>
        <v>3287.17</v>
      </c>
      <c r="W62" s="38" t="n">
        <f aca="false">IF($A62="","",IFERROR(1/(1/IF($B62="Residential",SUMIFS(INDEX('Oxford Economics'!$A$7:$AZ$1000,0,IFERROR(MATCH(W$5,'Oxford Economics'!$A$6:$AZ$6,0),MATCH(W$5&amp;"",'Oxford Economics'!$A$6:$AZ$6,0))),'Oxford Economics'!$A$7:$A$1000,$C62,'Oxford Economics'!$B$7:$B$1000,Settings!$B$13)-SUMIFS(INDEX('Oxford Economics'!$A$7:$AZ$1000,0,IFERROR(MATCH(W$5,'Oxford Economics'!$A$6:$AZ$6,0),MATCH(W$5&amp;"",'Oxford Economics'!$A$6:$AZ$6,0))),'Oxford Economics'!$A$7:$A$1000,$C62,'Oxford Economics'!$B$7:$B$1000,Settings!$B$15),SUMIFS(INDEX('Oxford Economics'!$A$7:$AZ$1000,0,IFERROR(MATCH(W$5,'Oxford Economics'!$A$6:$AZ$6,0),MATCH(W$5&amp;"",'Oxford Economics'!$A$6:$AZ$6,0))),'Oxford Economics'!$A$7:$A$1000,$C62,'Oxford Economics'!$B$7:$B$1000,Settings!$B$15)+SUMIFS(INDEX('Oxford Economics'!$A$7:$AZ$1000,0,IFERROR(MATCH(W$5,'Oxford Economics'!$A$6:$AZ$6,0),MATCH(W$5&amp;"",'Oxford Economics'!$A$6:$AZ$6,0))),'Oxford Economics'!$A$7:$A$1000,$C62,'Oxford Economics'!$B$7:$B$1000,Settings!$B$17)+IF(Settings!$B$19="",0,SUMIFS(INDEX('Oxford Economics'!$A$7:$AZ$1000,0,IFERROR(MATCH(W$5,'Oxford Economics'!$A$6:$AZ$6,0),MATCH(W$5&amp;"",'Oxford Economics'!$A$6:$AZ$6,0))),'Oxford Economics'!$A$7:$A$1000,$C62,'Oxford Economics'!$B$7:$B$1000,Settings!$B$19)))),""))</f>
        <v>3426.71</v>
      </c>
      <c r="X62" s="38" t="n">
        <f aca="false">IF($A62="","",IFERROR(1/(1/IF($B62="Residential",SUMIFS(INDEX('Oxford Economics'!$A$7:$AZ$1000,0,IFERROR(MATCH(X$5,'Oxford Economics'!$A$6:$AZ$6,0),MATCH(X$5&amp;"",'Oxford Economics'!$A$6:$AZ$6,0))),'Oxford Economics'!$A$7:$A$1000,$C62,'Oxford Economics'!$B$7:$B$1000,Settings!$B$13)-SUMIFS(INDEX('Oxford Economics'!$A$7:$AZ$1000,0,IFERROR(MATCH(X$5,'Oxford Economics'!$A$6:$AZ$6,0),MATCH(X$5&amp;"",'Oxford Economics'!$A$6:$AZ$6,0))),'Oxford Economics'!$A$7:$A$1000,$C62,'Oxford Economics'!$B$7:$B$1000,Settings!$B$15),SUMIFS(INDEX('Oxford Economics'!$A$7:$AZ$1000,0,IFERROR(MATCH(X$5,'Oxford Economics'!$A$6:$AZ$6,0),MATCH(X$5&amp;"",'Oxford Economics'!$A$6:$AZ$6,0))),'Oxford Economics'!$A$7:$A$1000,$C62,'Oxford Economics'!$B$7:$B$1000,Settings!$B$15)+SUMIFS(INDEX('Oxford Economics'!$A$7:$AZ$1000,0,IFERROR(MATCH(X$5,'Oxford Economics'!$A$6:$AZ$6,0),MATCH(X$5&amp;"",'Oxford Economics'!$A$6:$AZ$6,0))),'Oxford Economics'!$A$7:$A$1000,$C62,'Oxford Economics'!$B$7:$B$1000,Settings!$B$17)+IF(Settings!$B$19="",0,SUMIFS(INDEX('Oxford Economics'!$A$7:$AZ$1000,0,IFERROR(MATCH(X$5,'Oxford Economics'!$A$6:$AZ$6,0),MATCH(X$5&amp;"",'Oxford Economics'!$A$6:$AZ$6,0))),'Oxford Economics'!$A$7:$A$1000,$C62,'Oxford Economics'!$B$7:$B$1000,Settings!$B$19)))),""))</f>
        <v>3626.17</v>
      </c>
      <c r="Y62" s="38" t="n">
        <f aca="false">IF($A62="","",IFERROR(1/(1/IF($B62="Residential",SUMIFS(INDEX('Oxford Economics'!$A$7:$AZ$1000,0,IFERROR(MATCH(Y$5,'Oxford Economics'!$A$6:$AZ$6,0),MATCH(Y$5&amp;"",'Oxford Economics'!$A$6:$AZ$6,0))),'Oxford Economics'!$A$7:$A$1000,$C62,'Oxford Economics'!$B$7:$B$1000,Settings!$B$13)-SUMIFS(INDEX('Oxford Economics'!$A$7:$AZ$1000,0,IFERROR(MATCH(Y$5,'Oxford Economics'!$A$6:$AZ$6,0),MATCH(Y$5&amp;"",'Oxford Economics'!$A$6:$AZ$6,0))),'Oxford Economics'!$A$7:$A$1000,$C62,'Oxford Economics'!$B$7:$B$1000,Settings!$B$15),SUMIFS(INDEX('Oxford Economics'!$A$7:$AZ$1000,0,IFERROR(MATCH(Y$5,'Oxford Economics'!$A$6:$AZ$6,0),MATCH(Y$5&amp;"",'Oxford Economics'!$A$6:$AZ$6,0))),'Oxford Economics'!$A$7:$A$1000,$C62,'Oxford Economics'!$B$7:$B$1000,Settings!$B$15)+SUMIFS(INDEX('Oxford Economics'!$A$7:$AZ$1000,0,IFERROR(MATCH(Y$5,'Oxford Economics'!$A$6:$AZ$6,0),MATCH(Y$5&amp;"",'Oxford Economics'!$A$6:$AZ$6,0))),'Oxford Economics'!$A$7:$A$1000,$C62,'Oxford Economics'!$B$7:$B$1000,Settings!$B$17)+IF(Settings!$B$19="",0,SUMIFS(INDEX('Oxford Economics'!$A$7:$AZ$1000,0,IFERROR(MATCH(Y$5,'Oxford Economics'!$A$6:$AZ$6,0),MATCH(Y$5&amp;"",'Oxford Economics'!$A$6:$AZ$6,0))),'Oxford Economics'!$A$7:$A$1000,$C62,'Oxford Economics'!$B$7:$B$1000,Settings!$B$19)))),""))</f>
        <v>3773.24</v>
      </c>
      <c r="Z62" s="38" t="n">
        <f aca="false">IF($A62="","",IFERROR(1/(1/IF($B62="Residential",SUMIFS(INDEX('Oxford Economics'!$A$7:$AZ$1000,0,IFERROR(MATCH(Z$5,'Oxford Economics'!$A$6:$AZ$6,0),MATCH(Z$5&amp;"",'Oxford Economics'!$A$6:$AZ$6,0))),'Oxford Economics'!$A$7:$A$1000,$C62,'Oxford Economics'!$B$7:$B$1000,Settings!$B$13)-SUMIFS(INDEX('Oxford Economics'!$A$7:$AZ$1000,0,IFERROR(MATCH(Z$5,'Oxford Economics'!$A$6:$AZ$6,0),MATCH(Z$5&amp;"",'Oxford Economics'!$A$6:$AZ$6,0))),'Oxford Economics'!$A$7:$A$1000,$C62,'Oxford Economics'!$B$7:$B$1000,Settings!$B$15),SUMIFS(INDEX('Oxford Economics'!$A$7:$AZ$1000,0,IFERROR(MATCH(Z$5,'Oxford Economics'!$A$6:$AZ$6,0),MATCH(Z$5&amp;"",'Oxford Economics'!$A$6:$AZ$6,0))),'Oxford Economics'!$A$7:$A$1000,$C62,'Oxford Economics'!$B$7:$B$1000,Settings!$B$15)+SUMIFS(INDEX('Oxford Economics'!$A$7:$AZ$1000,0,IFERROR(MATCH(Z$5,'Oxford Economics'!$A$6:$AZ$6,0),MATCH(Z$5&amp;"",'Oxford Economics'!$A$6:$AZ$6,0))),'Oxford Economics'!$A$7:$A$1000,$C62,'Oxford Economics'!$B$7:$B$1000,Settings!$B$17)+IF(Settings!$B$19="",0,SUMIFS(INDEX('Oxford Economics'!$A$7:$AZ$1000,0,IFERROR(MATCH(Z$5,'Oxford Economics'!$A$6:$AZ$6,0),MATCH(Z$5&amp;"",'Oxford Economics'!$A$6:$AZ$6,0))),'Oxford Economics'!$A$7:$A$1000,$C62,'Oxford Economics'!$B$7:$B$1000,Settings!$B$19)))),""))</f>
        <v>3885.24</v>
      </c>
      <c r="AA62" s="38" t="n">
        <f aca="false">IF($A62="","",IFERROR(1/(1/IF($B62="Residential",SUMIFS(INDEX('Oxford Economics'!$A$7:$AZ$1000,0,IFERROR(MATCH(AA$5,'Oxford Economics'!$A$6:$AZ$6,0),MATCH(AA$5&amp;"",'Oxford Economics'!$A$6:$AZ$6,0))),'Oxford Economics'!$A$7:$A$1000,$C62,'Oxford Economics'!$B$7:$B$1000,Settings!$B$13)-SUMIFS(INDEX('Oxford Economics'!$A$7:$AZ$1000,0,IFERROR(MATCH(AA$5,'Oxford Economics'!$A$6:$AZ$6,0),MATCH(AA$5&amp;"",'Oxford Economics'!$A$6:$AZ$6,0))),'Oxford Economics'!$A$7:$A$1000,$C62,'Oxford Economics'!$B$7:$B$1000,Settings!$B$15),SUMIFS(INDEX('Oxford Economics'!$A$7:$AZ$1000,0,IFERROR(MATCH(AA$5,'Oxford Economics'!$A$6:$AZ$6,0),MATCH(AA$5&amp;"",'Oxford Economics'!$A$6:$AZ$6,0))),'Oxford Economics'!$A$7:$A$1000,$C62,'Oxford Economics'!$B$7:$B$1000,Settings!$B$15)+SUMIFS(INDEX('Oxford Economics'!$A$7:$AZ$1000,0,IFERROR(MATCH(AA$5,'Oxford Economics'!$A$6:$AZ$6,0),MATCH(AA$5&amp;"",'Oxford Economics'!$A$6:$AZ$6,0))),'Oxford Economics'!$A$7:$A$1000,$C62,'Oxford Economics'!$B$7:$B$1000,Settings!$B$17)+IF(Settings!$B$19="",0,SUMIFS(INDEX('Oxford Economics'!$A$7:$AZ$1000,0,IFERROR(MATCH(AA$5,'Oxford Economics'!$A$6:$AZ$6,0),MATCH(AA$5&amp;"",'Oxford Economics'!$A$6:$AZ$6,0))),'Oxford Economics'!$A$7:$A$1000,$C62,'Oxford Economics'!$B$7:$B$1000,Settings!$B$19)))),""))</f>
        <v>3929.16</v>
      </c>
      <c r="AB62" s="38" t="n">
        <f aca="false">IF($A62="","",IFERROR(1/(1/IF($B62="Residential",SUMIFS(INDEX('Oxford Economics'!$A$7:$AZ$1000,0,IFERROR(MATCH(AB$5,'Oxford Economics'!$A$6:$AZ$6,0),MATCH(AB$5&amp;"",'Oxford Economics'!$A$6:$AZ$6,0))),'Oxford Economics'!$A$7:$A$1000,$C62,'Oxford Economics'!$B$7:$B$1000,Settings!$B$12)-SUMIFS(INDEX('Oxford Economics'!$A$7:$AZ$1000,0,IFERROR(MATCH(AB$5,'Oxford Economics'!$A$6:$AZ$6,0),MATCH(AB$5&amp;"",'Oxford Economics'!$A$6:$AZ$6,0))),'Oxford Economics'!$A$7:$A$1000,$C62,'Oxford Economics'!$B$7:$B$1000,Settings!$B$14),SUMIFS(INDEX('Oxford Economics'!$A$7:$AZ$1000,0,IFERROR(MATCH(AB$5,'Oxford Economics'!$A$6:$AZ$6,0),MATCH(AB$5&amp;"",'Oxford Economics'!$A$6:$AZ$6,0))),'Oxford Economics'!$A$7:$A$1000,$C62,'Oxford Economics'!$B$7:$B$1000,Settings!$B$14)+SUMIFS(INDEX('Oxford Economics'!$A$7:$AZ$1000,0,IFERROR(MATCH(AB$5,'Oxford Economics'!$A$6:$AZ$6,0),MATCH(AB$5&amp;"",'Oxford Economics'!$A$6:$AZ$6,0))),'Oxford Economics'!$A$7:$A$1000,$C62,'Oxford Economics'!$B$7:$B$1000,Settings!$B$16)+IF(Settings!$B$18="",0,SUMIFS(INDEX('Oxford Economics'!$A$7:$AZ$1000,0,IFERROR(MATCH(AB$5,'Oxford Economics'!$A$6:$AZ$6,0),MATCH(AB$5&amp;"",'Oxford Economics'!$A$6:$AZ$6,0))),'Oxford Economics'!$A$7:$A$1000,$C62,'Oxford Economics'!$B$7:$B$1000,Settings!$B$18)))),""))</f>
        <v>6024.45</v>
      </c>
      <c r="AC62" s="38" t="n">
        <f aca="false">IF($A62="","",IFERROR(1/(1/IF($B62="Residential",SUMIFS(INDEX('Oxford Economics'!$A$7:$AZ$1000,0,IFERROR(MATCH(AC$5,'Oxford Economics'!$A$6:$AZ$6,0),MATCH(AC$5&amp;"",'Oxford Economics'!$A$6:$AZ$6,0))),'Oxford Economics'!$A$7:$A$1000,$C62,'Oxford Economics'!$B$7:$B$1000,Settings!$B$12)-SUMIFS(INDEX('Oxford Economics'!$A$7:$AZ$1000,0,IFERROR(MATCH(AC$5,'Oxford Economics'!$A$6:$AZ$6,0),MATCH(AC$5&amp;"",'Oxford Economics'!$A$6:$AZ$6,0))),'Oxford Economics'!$A$7:$A$1000,$C62,'Oxford Economics'!$B$7:$B$1000,Settings!$B$14),SUMIFS(INDEX('Oxford Economics'!$A$7:$AZ$1000,0,IFERROR(MATCH(AC$5,'Oxford Economics'!$A$6:$AZ$6,0),MATCH(AC$5&amp;"",'Oxford Economics'!$A$6:$AZ$6,0))),'Oxford Economics'!$A$7:$A$1000,$C62,'Oxford Economics'!$B$7:$B$1000,Settings!$B$14)+SUMIFS(INDEX('Oxford Economics'!$A$7:$AZ$1000,0,IFERROR(MATCH(AC$5,'Oxford Economics'!$A$6:$AZ$6,0),MATCH(AC$5&amp;"",'Oxford Economics'!$A$6:$AZ$6,0))),'Oxford Economics'!$A$7:$A$1000,$C62,'Oxford Economics'!$B$7:$B$1000,Settings!$B$16)+IF(Settings!$B$18="",0,SUMIFS(INDEX('Oxford Economics'!$A$7:$AZ$1000,0,IFERROR(MATCH(AC$5,'Oxford Economics'!$A$6:$AZ$6,0),MATCH(AC$5&amp;"",'Oxford Economics'!$A$6:$AZ$6,0))),'Oxford Economics'!$A$7:$A$1000,$C62,'Oxford Economics'!$B$7:$B$1000,Settings!$B$18)))),""))</f>
        <v>6431.37</v>
      </c>
      <c r="AD62" s="38" t="n">
        <f aca="false">IF($A62="","",IFERROR(1/(1/IF($B62="Residential",SUMIFS(INDEX('Oxford Economics'!$A$7:$AZ$1000,0,IFERROR(MATCH(AD$5,'Oxford Economics'!$A$6:$AZ$6,0),MATCH(AD$5&amp;"",'Oxford Economics'!$A$6:$AZ$6,0))),'Oxford Economics'!$A$7:$A$1000,$C62,'Oxford Economics'!$B$7:$B$1000,Settings!$B$12)-SUMIFS(INDEX('Oxford Economics'!$A$7:$AZ$1000,0,IFERROR(MATCH(AD$5,'Oxford Economics'!$A$6:$AZ$6,0),MATCH(AD$5&amp;"",'Oxford Economics'!$A$6:$AZ$6,0))),'Oxford Economics'!$A$7:$A$1000,$C62,'Oxford Economics'!$B$7:$B$1000,Settings!$B$14),SUMIFS(INDEX('Oxford Economics'!$A$7:$AZ$1000,0,IFERROR(MATCH(AD$5,'Oxford Economics'!$A$6:$AZ$6,0),MATCH(AD$5&amp;"",'Oxford Economics'!$A$6:$AZ$6,0))),'Oxford Economics'!$A$7:$A$1000,$C62,'Oxford Economics'!$B$7:$B$1000,Settings!$B$14)+SUMIFS(INDEX('Oxford Economics'!$A$7:$AZ$1000,0,IFERROR(MATCH(AD$5,'Oxford Economics'!$A$6:$AZ$6,0),MATCH(AD$5&amp;"",'Oxford Economics'!$A$6:$AZ$6,0))),'Oxford Economics'!$A$7:$A$1000,$C62,'Oxford Economics'!$B$7:$B$1000,Settings!$B$16)+IF(Settings!$B$18="",0,SUMIFS(INDEX('Oxford Economics'!$A$7:$AZ$1000,0,IFERROR(MATCH(AD$5,'Oxford Economics'!$A$6:$AZ$6,0),MATCH(AD$5&amp;"",'Oxford Economics'!$A$6:$AZ$6,0))),'Oxford Economics'!$A$7:$A$1000,$C62,'Oxford Economics'!$B$7:$B$1000,Settings!$B$18)))),""))</f>
        <v>6635.53</v>
      </c>
      <c r="AE62" s="38" t="n">
        <f aca="false">IF($A62="","",IFERROR(1/(1/IF($B62="Residential",SUMIFS(INDEX('Oxford Economics'!$A$7:$AZ$1000,0,IFERROR(MATCH(AE$5,'Oxford Economics'!$A$6:$AZ$6,0),MATCH(AE$5&amp;"",'Oxford Economics'!$A$6:$AZ$6,0))),'Oxford Economics'!$A$7:$A$1000,$C62,'Oxford Economics'!$B$7:$B$1000,Settings!$B$12)-SUMIFS(INDEX('Oxford Economics'!$A$7:$AZ$1000,0,IFERROR(MATCH(AE$5,'Oxford Economics'!$A$6:$AZ$6,0),MATCH(AE$5&amp;"",'Oxford Economics'!$A$6:$AZ$6,0))),'Oxford Economics'!$A$7:$A$1000,$C62,'Oxford Economics'!$B$7:$B$1000,Settings!$B$14),SUMIFS(INDEX('Oxford Economics'!$A$7:$AZ$1000,0,IFERROR(MATCH(AE$5,'Oxford Economics'!$A$6:$AZ$6,0),MATCH(AE$5&amp;"",'Oxford Economics'!$A$6:$AZ$6,0))),'Oxford Economics'!$A$7:$A$1000,$C62,'Oxford Economics'!$B$7:$B$1000,Settings!$B$14)+SUMIFS(INDEX('Oxford Economics'!$A$7:$AZ$1000,0,IFERROR(MATCH(AE$5,'Oxford Economics'!$A$6:$AZ$6,0),MATCH(AE$5&amp;"",'Oxford Economics'!$A$6:$AZ$6,0))),'Oxford Economics'!$A$7:$A$1000,$C62,'Oxford Economics'!$B$7:$B$1000,Settings!$B$16)+IF(Settings!$B$18="",0,SUMIFS(INDEX('Oxford Economics'!$A$7:$AZ$1000,0,IFERROR(MATCH(AE$5,'Oxford Economics'!$A$6:$AZ$6,0),MATCH(AE$5&amp;"",'Oxford Economics'!$A$6:$AZ$6,0))),'Oxford Economics'!$A$7:$A$1000,$C62,'Oxford Economics'!$B$7:$B$1000,Settings!$B$18)))),""))</f>
        <v>5376.91</v>
      </c>
      <c r="AF62" s="38" t="n">
        <f aca="false">IF($A62="","",IFERROR(1/(1/IF($B62="Residential",SUMIFS(INDEX('Oxford Economics'!$A$7:$AZ$1000,0,IFERROR(MATCH(AF$5,'Oxford Economics'!$A$6:$AZ$6,0),MATCH(AF$5&amp;"",'Oxford Economics'!$A$6:$AZ$6,0))),'Oxford Economics'!$A$7:$A$1000,$C62,'Oxford Economics'!$B$7:$B$1000,Settings!$B$12)-SUMIFS(INDEX('Oxford Economics'!$A$7:$AZ$1000,0,IFERROR(MATCH(AF$5,'Oxford Economics'!$A$6:$AZ$6,0),MATCH(AF$5&amp;"",'Oxford Economics'!$A$6:$AZ$6,0))),'Oxford Economics'!$A$7:$A$1000,$C62,'Oxford Economics'!$B$7:$B$1000,Settings!$B$14),SUMIFS(INDEX('Oxford Economics'!$A$7:$AZ$1000,0,IFERROR(MATCH(AF$5,'Oxford Economics'!$A$6:$AZ$6,0),MATCH(AF$5&amp;"",'Oxford Economics'!$A$6:$AZ$6,0))),'Oxford Economics'!$A$7:$A$1000,$C62,'Oxford Economics'!$B$7:$B$1000,Settings!$B$14)+SUMIFS(INDEX('Oxford Economics'!$A$7:$AZ$1000,0,IFERROR(MATCH(AF$5,'Oxford Economics'!$A$6:$AZ$6,0),MATCH(AF$5&amp;"",'Oxford Economics'!$A$6:$AZ$6,0))),'Oxford Economics'!$A$7:$A$1000,$C62,'Oxford Economics'!$B$7:$B$1000,Settings!$B$16)+IF(Settings!$B$18="",0,SUMIFS(INDEX('Oxford Economics'!$A$7:$AZ$1000,0,IFERROR(MATCH(AF$5,'Oxford Economics'!$A$6:$AZ$6,0),MATCH(AF$5&amp;"",'Oxford Economics'!$A$6:$AZ$6,0))),'Oxford Economics'!$A$7:$A$1000,$C62,'Oxford Economics'!$B$7:$B$1000,Settings!$B$18)))),""))</f>
        <v>4561.01</v>
      </c>
      <c r="AG62" s="38" t="n">
        <f aca="false">IF($A62="","",IFERROR(1/(1/IF($B62="Residential",SUMIFS(INDEX('Oxford Economics'!$A$7:$AZ$1000,0,IFERROR(MATCH(AG$5,'Oxford Economics'!$A$6:$AZ$6,0),MATCH(AG$5&amp;"",'Oxford Economics'!$A$6:$AZ$6,0))),'Oxford Economics'!$A$7:$A$1000,$C62,'Oxford Economics'!$B$7:$B$1000,Settings!$B$12)-SUMIFS(INDEX('Oxford Economics'!$A$7:$AZ$1000,0,IFERROR(MATCH(AG$5,'Oxford Economics'!$A$6:$AZ$6,0),MATCH(AG$5&amp;"",'Oxford Economics'!$A$6:$AZ$6,0))),'Oxford Economics'!$A$7:$A$1000,$C62,'Oxford Economics'!$B$7:$B$1000,Settings!$B$14),SUMIFS(INDEX('Oxford Economics'!$A$7:$AZ$1000,0,IFERROR(MATCH(AG$5,'Oxford Economics'!$A$6:$AZ$6,0),MATCH(AG$5&amp;"",'Oxford Economics'!$A$6:$AZ$6,0))),'Oxford Economics'!$A$7:$A$1000,$C62,'Oxford Economics'!$B$7:$B$1000,Settings!$B$14)+SUMIFS(INDEX('Oxford Economics'!$A$7:$AZ$1000,0,IFERROR(MATCH(AG$5,'Oxford Economics'!$A$6:$AZ$6,0),MATCH(AG$5&amp;"",'Oxford Economics'!$A$6:$AZ$6,0))),'Oxford Economics'!$A$7:$A$1000,$C62,'Oxford Economics'!$B$7:$B$1000,Settings!$B$16)+IF(Settings!$B$18="",0,SUMIFS(INDEX('Oxford Economics'!$A$7:$AZ$1000,0,IFERROR(MATCH(AG$5,'Oxford Economics'!$A$6:$AZ$6,0),MATCH(AG$5&amp;"",'Oxford Economics'!$A$6:$AZ$6,0))),'Oxford Economics'!$A$7:$A$1000,$C62,'Oxford Economics'!$B$7:$B$1000,Settings!$B$18)))),""))</f>
        <v>4461.93</v>
      </c>
      <c r="AH62" s="38" t="n">
        <f aca="false">IF($A62="","",IFERROR(1/(1/IF($B62="Residential",SUMIFS(INDEX('Oxford Economics'!$A$7:$AZ$1000,0,IFERROR(MATCH(AH$5,'Oxford Economics'!$A$6:$AZ$6,0),MATCH(AH$5&amp;"",'Oxford Economics'!$A$6:$AZ$6,0))),'Oxford Economics'!$A$7:$A$1000,$C62,'Oxford Economics'!$B$7:$B$1000,Settings!$B$12)-SUMIFS(INDEX('Oxford Economics'!$A$7:$AZ$1000,0,IFERROR(MATCH(AH$5,'Oxford Economics'!$A$6:$AZ$6,0),MATCH(AH$5&amp;"",'Oxford Economics'!$A$6:$AZ$6,0))),'Oxford Economics'!$A$7:$A$1000,$C62,'Oxford Economics'!$B$7:$B$1000,Settings!$B$14),SUMIFS(INDEX('Oxford Economics'!$A$7:$AZ$1000,0,IFERROR(MATCH(AH$5,'Oxford Economics'!$A$6:$AZ$6,0),MATCH(AH$5&amp;"",'Oxford Economics'!$A$6:$AZ$6,0))),'Oxford Economics'!$A$7:$A$1000,$C62,'Oxford Economics'!$B$7:$B$1000,Settings!$B$14)+SUMIFS(INDEX('Oxford Economics'!$A$7:$AZ$1000,0,IFERROR(MATCH(AH$5,'Oxford Economics'!$A$6:$AZ$6,0),MATCH(AH$5&amp;"",'Oxford Economics'!$A$6:$AZ$6,0))),'Oxford Economics'!$A$7:$A$1000,$C62,'Oxford Economics'!$B$7:$B$1000,Settings!$B$16)+IF(Settings!$B$18="",0,SUMIFS(INDEX('Oxford Economics'!$A$7:$AZ$1000,0,IFERROR(MATCH(AH$5,'Oxford Economics'!$A$6:$AZ$6,0),MATCH(AH$5&amp;"",'Oxford Economics'!$A$6:$AZ$6,0))),'Oxford Economics'!$A$7:$A$1000,$C62,'Oxford Economics'!$B$7:$B$1000,Settings!$B$18)))),""))</f>
        <v>4630.4</v>
      </c>
      <c r="AI62" s="38" t="n">
        <f aca="false">IF($A62="","",IFERROR(1/(1/IF($B62="Residential",SUMIFS(INDEX('Oxford Economics'!$A$7:$AZ$1000,0,IFERROR(MATCH(AI$5,'Oxford Economics'!$A$6:$AZ$6,0),MATCH(AI$5&amp;"",'Oxford Economics'!$A$6:$AZ$6,0))),'Oxford Economics'!$A$7:$A$1000,$C62,'Oxford Economics'!$B$7:$B$1000,Settings!$B$12)-SUMIFS(INDEX('Oxford Economics'!$A$7:$AZ$1000,0,IFERROR(MATCH(AI$5,'Oxford Economics'!$A$6:$AZ$6,0),MATCH(AI$5&amp;"",'Oxford Economics'!$A$6:$AZ$6,0))),'Oxford Economics'!$A$7:$A$1000,$C62,'Oxford Economics'!$B$7:$B$1000,Settings!$B$14),SUMIFS(INDEX('Oxford Economics'!$A$7:$AZ$1000,0,IFERROR(MATCH(AI$5,'Oxford Economics'!$A$6:$AZ$6,0),MATCH(AI$5&amp;"",'Oxford Economics'!$A$6:$AZ$6,0))),'Oxford Economics'!$A$7:$A$1000,$C62,'Oxford Economics'!$B$7:$B$1000,Settings!$B$14)+SUMIFS(INDEX('Oxford Economics'!$A$7:$AZ$1000,0,IFERROR(MATCH(AI$5,'Oxford Economics'!$A$6:$AZ$6,0),MATCH(AI$5&amp;"",'Oxford Economics'!$A$6:$AZ$6,0))),'Oxford Economics'!$A$7:$A$1000,$C62,'Oxford Economics'!$B$7:$B$1000,Settings!$B$16)+IF(Settings!$B$18="",0,SUMIFS(INDEX('Oxford Economics'!$A$7:$AZ$1000,0,IFERROR(MATCH(AI$5,'Oxford Economics'!$A$6:$AZ$6,0),MATCH(AI$5&amp;"",'Oxford Economics'!$A$6:$AZ$6,0))),'Oxford Economics'!$A$7:$A$1000,$C62,'Oxford Economics'!$B$7:$B$1000,Settings!$B$18)))),""))</f>
        <v>4916</v>
      </c>
      <c r="AJ62" s="38" t="n">
        <f aca="false">IF($A62="","",IFERROR(1/(1/IF($B62="Residential",SUMIFS(INDEX('Oxford Economics'!$A$7:$AZ$1000,0,IFERROR(MATCH(AJ$5,'Oxford Economics'!$A$6:$AZ$6,0),MATCH(AJ$5&amp;"",'Oxford Economics'!$A$6:$AZ$6,0))),'Oxford Economics'!$A$7:$A$1000,$C62,'Oxford Economics'!$B$7:$B$1000,Settings!$B$12)-SUMIFS(INDEX('Oxford Economics'!$A$7:$AZ$1000,0,IFERROR(MATCH(AJ$5,'Oxford Economics'!$A$6:$AZ$6,0),MATCH(AJ$5&amp;"",'Oxford Economics'!$A$6:$AZ$6,0))),'Oxford Economics'!$A$7:$A$1000,$C62,'Oxford Economics'!$B$7:$B$1000,Settings!$B$14),SUMIFS(INDEX('Oxford Economics'!$A$7:$AZ$1000,0,IFERROR(MATCH(AJ$5,'Oxford Economics'!$A$6:$AZ$6,0),MATCH(AJ$5&amp;"",'Oxford Economics'!$A$6:$AZ$6,0))),'Oxford Economics'!$A$7:$A$1000,$C62,'Oxford Economics'!$B$7:$B$1000,Settings!$B$14)+SUMIFS(INDEX('Oxford Economics'!$A$7:$AZ$1000,0,IFERROR(MATCH(AJ$5,'Oxford Economics'!$A$6:$AZ$6,0),MATCH(AJ$5&amp;"",'Oxford Economics'!$A$6:$AZ$6,0))),'Oxford Economics'!$A$7:$A$1000,$C62,'Oxford Economics'!$B$7:$B$1000,Settings!$B$16)+IF(Settings!$B$18="",0,SUMIFS(INDEX('Oxford Economics'!$A$7:$AZ$1000,0,IFERROR(MATCH(AJ$5,'Oxford Economics'!$A$6:$AZ$6,0),MATCH(AJ$5&amp;"",'Oxford Economics'!$A$6:$AZ$6,0))),'Oxford Economics'!$A$7:$A$1000,$C62,'Oxford Economics'!$B$7:$B$1000,Settings!$B$18)))),""))</f>
        <v>5157.38</v>
      </c>
      <c r="AK62" s="38" t="n">
        <f aca="false">IF($A62="","",IFERROR(1/(1/IF($B62="Residential",SUMIFS(INDEX('Oxford Economics'!$A$7:$AZ$1000,0,IFERROR(MATCH(AK$5,'Oxford Economics'!$A$6:$AZ$6,0),MATCH(AK$5&amp;"",'Oxford Economics'!$A$6:$AZ$6,0))),'Oxford Economics'!$A$7:$A$1000,$C62,'Oxford Economics'!$B$7:$B$1000,Settings!$B$12)-SUMIFS(INDEX('Oxford Economics'!$A$7:$AZ$1000,0,IFERROR(MATCH(AK$5,'Oxford Economics'!$A$6:$AZ$6,0),MATCH(AK$5&amp;"",'Oxford Economics'!$A$6:$AZ$6,0))),'Oxford Economics'!$A$7:$A$1000,$C62,'Oxford Economics'!$B$7:$B$1000,Settings!$B$14),SUMIFS(INDEX('Oxford Economics'!$A$7:$AZ$1000,0,IFERROR(MATCH(AK$5,'Oxford Economics'!$A$6:$AZ$6,0),MATCH(AK$5&amp;"",'Oxford Economics'!$A$6:$AZ$6,0))),'Oxford Economics'!$A$7:$A$1000,$C62,'Oxford Economics'!$B$7:$B$1000,Settings!$B$14)+SUMIFS(INDEX('Oxford Economics'!$A$7:$AZ$1000,0,IFERROR(MATCH(AK$5,'Oxford Economics'!$A$6:$AZ$6,0),MATCH(AK$5&amp;"",'Oxford Economics'!$A$6:$AZ$6,0))),'Oxford Economics'!$A$7:$A$1000,$C62,'Oxford Economics'!$B$7:$B$1000,Settings!$B$16)+IF(Settings!$B$18="",0,SUMIFS(INDEX('Oxford Economics'!$A$7:$AZ$1000,0,IFERROR(MATCH(AK$5,'Oxford Economics'!$A$6:$AZ$6,0),MATCH(AK$5&amp;"",'Oxford Economics'!$A$6:$AZ$6,0))),'Oxford Economics'!$A$7:$A$1000,$C62,'Oxford Economics'!$B$7:$B$1000,Settings!$B$18)))),""))</f>
        <v>5342.49</v>
      </c>
      <c r="AL62" s="38" t="n">
        <f aca="false">IF($A62="","",IFERROR(1/(1/IF($B62="Residential",SUMIFS(INDEX('Oxford Economics'!$A$7:$AZ$1000,0,IFERROR(MATCH(AL$5,'Oxford Economics'!$A$6:$AZ$6,0),MATCH(AL$5&amp;"",'Oxford Economics'!$A$6:$AZ$6,0))),'Oxford Economics'!$A$7:$A$1000,$C62,'Oxford Economics'!$B$7:$B$1000,Settings!$B$12)-SUMIFS(INDEX('Oxford Economics'!$A$7:$AZ$1000,0,IFERROR(MATCH(AL$5,'Oxford Economics'!$A$6:$AZ$6,0),MATCH(AL$5&amp;"",'Oxford Economics'!$A$6:$AZ$6,0))),'Oxford Economics'!$A$7:$A$1000,$C62,'Oxford Economics'!$B$7:$B$1000,Settings!$B$14),SUMIFS(INDEX('Oxford Economics'!$A$7:$AZ$1000,0,IFERROR(MATCH(AL$5,'Oxford Economics'!$A$6:$AZ$6,0),MATCH(AL$5&amp;"",'Oxford Economics'!$A$6:$AZ$6,0))),'Oxford Economics'!$A$7:$A$1000,$C62,'Oxford Economics'!$B$7:$B$1000,Settings!$B$14)+SUMIFS(INDEX('Oxford Economics'!$A$7:$AZ$1000,0,IFERROR(MATCH(AL$5,'Oxford Economics'!$A$6:$AZ$6,0),MATCH(AL$5&amp;"",'Oxford Economics'!$A$6:$AZ$6,0))),'Oxford Economics'!$A$7:$A$1000,$C62,'Oxford Economics'!$B$7:$B$1000,Settings!$B$16)+IF(Settings!$B$18="",0,SUMIFS(INDEX('Oxford Economics'!$A$7:$AZ$1000,0,IFERROR(MATCH(AL$5,'Oxford Economics'!$A$6:$AZ$6,0),MATCH(AL$5&amp;"",'Oxford Economics'!$A$6:$AZ$6,0))),'Oxford Economics'!$A$7:$A$1000,$C62,'Oxford Economics'!$B$7:$B$1000,Settings!$B$18)))),""))</f>
        <v>5462.2</v>
      </c>
      <c r="AM62" s="38" t="n">
        <f aca="false">IF($A62="","",IFERROR(1/(1/IF($B62="Residential",SUMIFS(INDEX('Oxford Economics'!$A$7:$AZ$1000,0,IFERROR(MATCH(AM$5,'Oxford Economics'!$A$6:$AZ$6,0),MATCH(AM$5&amp;"",'Oxford Economics'!$A$6:$AZ$6,0))),'Oxford Economics'!$A$7:$A$1000,$C62,'Oxford Economics'!$B$7:$B$1000,Settings!$B$12)-SUMIFS(INDEX('Oxford Economics'!$A$7:$AZ$1000,0,IFERROR(MATCH(AM$5,'Oxford Economics'!$A$6:$AZ$6,0),MATCH(AM$5&amp;"",'Oxford Economics'!$A$6:$AZ$6,0))),'Oxford Economics'!$A$7:$A$1000,$C62,'Oxford Economics'!$B$7:$B$1000,Settings!$B$14),SUMIFS(INDEX('Oxford Economics'!$A$7:$AZ$1000,0,IFERROR(MATCH(AM$5,'Oxford Economics'!$A$6:$AZ$6,0),MATCH(AM$5&amp;"",'Oxford Economics'!$A$6:$AZ$6,0))),'Oxford Economics'!$A$7:$A$1000,$C62,'Oxford Economics'!$B$7:$B$1000,Settings!$B$14)+SUMIFS(INDEX('Oxford Economics'!$A$7:$AZ$1000,0,IFERROR(MATCH(AM$5,'Oxford Economics'!$A$6:$AZ$6,0),MATCH(AM$5&amp;"",'Oxford Economics'!$A$6:$AZ$6,0))),'Oxford Economics'!$A$7:$A$1000,$C62,'Oxford Economics'!$B$7:$B$1000,Settings!$B$16)+IF(Settings!$B$18="",0,SUMIFS(INDEX('Oxford Economics'!$A$7:$AZ$1000,0,IFERROR(MATCH(AM$5,'Oxford Economics'!$A$6:$AZ$6,0),MATCH(AM$5&amp;"",'Oxford Economics'!$A$6:$AZ$6,0))),'Oxford Economics'!$A$7:$A$1000,$C62,'Oxford Economics'!$B$7:$B$1000,Settings!$B$18)))),""))</f>
        <v>5582.84</v>
      </c>
    </row>
    <row r="63" customFormat="false" ht="15" hidden="false" customHeight="false" outlineLevel="0" collapsed="false">
      <c r="A63" s="37" t="str">
        <f aca="false">IF('Raw data'!$A63="","",'Raw data'!$A63)</f>
        <v>Austria</v>
      </c>
      <c r="B63" s="37" t="str">
        <f aca="false">IF($A63="","",'Raw data'!$C63)</f>
        <v>Commercial</v>
      </c>
      <c r="C63" s="37" t="str">
        <f aca="false">IF($A63="","",IF('Raw data'!$E63="",$A63,'Raw data'!$E63))</f>
        <v>Austria</v>
      </c>
      <c r="D63" s="38" t="n">
        <f aca="false">IF($A63="","",IF(AND(ISNUMBER(P63),ISNUMBER(AB63)),P63+AB63,""))</f>
        <v>28364.29</v>
      </c>
      <c r="E63" s="38" t="n">
        <f aca="false">IF($A63="","",IF(AND(ISNUMBER(Q63),ISNUMBER(AC63)),Q63+AC63,""))</f>
        <v>27421.59</v>
      </c>
      <c r="F63" s="38" t="n">
        <f aca="false">IF($A63="","",IF(AND(ISNUMBER(R63),ISNUMBER(AD63)),R63+AD63,""))</f>
        <v>26363.28</v>
      </c>
      <c r="G63" s="38" t="n">
        <f aca="false">IF($A63="","",IF(AND(ISNUMBER(S63),ISNUMBER(AE63)),S63+AE63,""))</f>
        <v>24121.99</v>
      </c>
      <c r="H63" s="38" t="n">
        <f aca="false">IF($A63="","",IF(AND(ISNUMBER(T63),ISNUMBER(AF63)),T63+AF63,""))</f>
        <v>22967.55</v>
      </c>
      <c r="I63" s="38" t="n">
        <f aca="false">IF($A63="","",IF(AND(ISNUMBER(U63),ISNUMBER(AG63)),U63+AG63,""))</f>
        <v>21958.65</v>
      </c>
      <c r="J63" s="38" t="n">
        <f aca="false">IF($A63="","",IF(AND(ISNUMBER(V63),ISNUMBER(AH63)),V63+AH63,""))</f>
        <v>22659.23</v>
      </c>
      <c r="K63" s="38" t="n">
        <f aca="false">IF($A63="","",IF(AND(ISNUMBER(W63),ISNUMBER(AI63)),W63+AI63,""))</f>
        <v>23267.17</v>
      </c>
      <c r="L63" s="38" t="n">
        <f aca="false">IF($A63="","",IF(AND(ISNUMBER(X63),ISNUMBER(AJ63)),X63+AJ63,""))</f>
        <v>23988.87</v>
      </c>
      <c r="M63" s="38" t="n">
        <f aca="false">IF($A63="","",IF(AND(ISNUMBER(Y63),ISNUMBER(AK63)),Y63+AK63,""))</f>
        <v>24640.9</v>
      </c>
      <c r="N63" s="38" t="n">
        <f aca="false">IF($A63="","",IF(AND(ISNUMBER(Z63),ISNUMBER(AL63)),Z63+AL63,""))</f>
        <v>25216.02</v>
      </c>
      <c r="O63" s="38" t="n">
        <f aca="false">IF($A63="","",IF(AND(ISNUMBER(AA63),ISNUMBER(AM63)),AA63+AM63,""))</f>
        <v>25728.42</v>
      </c>
      <c r="P63" s="38" t="n">
        <f aca="false">IF($A63="","",IFERROR(1/(1/IF($B63="Residential",SUMIFS(INDEX('Oxford Economics'!$A$7:$AZ$1000,0,IFERROR(MATCH(P$5,'Oxford Economics'!$A$6:$AZ$6,0),MATCH(P$5&amp;"",'Oxford Economics'!$A$6:$AZ$6,0))),'Oxford Economics'!$A$7:$A$1000,$C63,'Oxford Economics'!$B$7:$B$1000,Settings!$B$13)-SUMIFS(INDEX('Oxford Economics'!$A$7:$AZ$1000,0,IFERROR(MATCH(P$5,'Oxford Economics'!$A$6:$AZ$6,0),MATCH(P$5&amp;"",'Oxford Economics'!$A$6:$AZ$6,0))),'Oxford Economics'!$A$7:$A$1000,$C63,'Oxford Economics'!$B$7:$B$1000,Settings!$B$15),SUMIFS(INDEX('Oxford Economics'!$A$7:$AZ$1000,0,IFERROR(MATCH(P$5,'Oxford Economics'!$A$6:$AZ$6,0),MATCH(P$5&amp;"",'Oxford Economics'!$A$6:$AZ$6,0))),'Oxford Economics'!$A$7:$A$1000,$C63,'Oxford Economics'!$B$7:$B$1000,Settings!$B$15)+SUMIFS(INDEX('Oxford Economics'!$A$7:$AZ$1000,0,IFERROR(MATCH(P$5,'Oxford Economics'!$A$6:$AZ$6,0),MATCH(P$5&amp;"",'Oxford Economics'!$A$6:$AZ$6,0))),'Oxford Economics'!$A$7:$A$1000,$C63,'Oxford Economics'!$B$7:$B$1000,Settings!$B$17)+IF(Settings!$B$19="",0,SUMIFS(INDEX('Oxford Economics'!$A$7:$AZ$1000,0,IFERROR(MATCH(P$5,'Oxford Economics'!$A$6:$AZ$6,0),MATCH(P$5&amp;"",'Oxford Economics'!$A$6:$AZ$6,0))),'Oxford Economics'!$A$7:$A$1000,$C63,'Oxford Economics'!$B$7:$B$1000,Settings!$B$19)))),""))</f>
        <v>8264.15</v>
      </c>
      <c r="Q63" s="38" t="n">
        <f aca="false">IF($A63="","",IFERROR(1/(1/IF($B63="Residential",SUMIFS(INDEX('Oxford Economics'!$A$7:$AZ$1000,0,IFERROR(MATCH(Q$5,'Oxford Economics'!$A$6:$AZ$6,0),MATCH(Q$5&amp;"",'Oxford Economics'!$A$6:$AZ$6,0))),'Oxford Economics'!$A$7:$A$1000,$C63,'Oxford Economics'!$B$7:$B$1000,Settings!$B$13)-SUMIFS(INDEX('Oxford Economics'!$A$7:$AZ$1000,0,IFERROR(MATCH(Q$5,'Oxford Economics'!$A$6:$AZ$6,0),MATCH(Q$5&amp;"",'Oxford Economics'!$A$6:$AZ$6,0))),'Oxford Economics'!$A$7:$A$1000,$C63,'Oxford Economics'!$B$7:$B$1000,Settings!$B$15),SUMIFS(INDEX('Oxford Economics'!$A$7:$AZ$1000,0,IFERROR(MATCH(Q$5,'Oxford Economics'!$A$6:$AZ$6,0),MATCH(Q$5&amp;"",'Oxford Economics'!$A$6:$AZ$6,0))),'Oxford Economics'!$A$7:$A$1000,$C63,'Oxford Economics'!$B$7:$B$1000,Settings!$B$15)+SUMIFS(INDEX('Oxford Economics'!$A$7:$AZ$1000,0,IFERROR(MATCH(Q$5,'Oxford Economics'!$A$6:$AZ$6,0),MATCH(Q$5&amp;"",'Oxford Economics'!$A$6:$AZ$6,0))),'Oxford Economics'!$A$7:$A$1000,$C63,'Oxford Economics'!$B$7:$B$1000,Settings!$B$17)+IF(Settings!$B$19="",0,SUMIFS(INDEX('Oxford Economics'!$A$7:$AZ$1000,0,IFERROR(MATCH(Q$5,'Oxford Economics'!$A$6:$AZ$6,0),MATCH(Q$5&amp;"",'Oxford Economics'!$A$6:$AZ$6,0))),'Oxford Economics'!$A$7:$A$1000,$C63,'Oxford Economics'!$B$7:$B$1000,Settings!$B$19)))),""))</f>
        <v>8060.29</v>
      </c>
      <c r="R63" s="38" t="n">
        <f aca="false">IF($A63="","",IFERROR(1/(1/IF($B63="Residential",SUMIFS(INDEX('Oxford Economics'!$A$7:$AZ$1000,0,IFERROR(MATCH(R$5,'Oxford Economics'!$A$6:$AZ$6,0),MATCH(R$5&amp;"",'Oxford Economics'!$A$6:$AZ$6,0))),'Oxford Economics'!$A$7:$A$1000,$C63,'Oxford Economics'!$B$7:$B$1000,Settings!$B$13)-SUMIFS(INDEX('Oxford Economics'!$A$7:$AZ$1000,0,IFERROR(MATCH(R$5,'Oxford Economics'!$A$6:$AZ$6,0),MATCH(R$5&amp;"",'Oxford Economics'!$A$6:$AZ$6,0))),'Oxford Economics'!$A$7:$A$1000,$C63,'Oxford Economics'!$B$7:$B$1000,Settings!$B$15),SUMIFS(INDEX('Oxford Economics'!$A$7:$AZ$1000,0,IFERROR(MATCH(R$5,'Oxford Economics'!$A$6:$AZ$6,0),MATCH(R$5&amp;"",'Oxford Economics'!$A$6:$AZ$6,0))),'Oxford Economics'!$A$7:$A$1000,$C63,'Oxford Economics'!$B$7:$B$1000,Settings!$B$15)+SUMIFS(INDEX('Oxford Economics'!$A$7:$AZ$1000,0,IFERROR(MATCH(R$5,'Oxford Economics'!$A$6:$AZ$6,0),MATCH(R$5&amp;"",'Oxford Economics'!$A$6:$AZ$6,0))),'Oxford Economics'!$A$7:$A$1000,$C63,'Oxford Economics'!$B$7:$B$1000,Settings!$B$17)+IF(Settings!$B$19="",0,SUMIFS(INDEX('Oxford Economics'!$A$7:$AZ$1000,0,IFERROR(MATCH(R$5,'Oxford Economics'!$A$6:$AZ$6,0),MATCH(R$5&amp;"",'Oxford Economics'!$A$6:$AZ$6,0))),'Oxford Economics'!$A$7:$A$1000,$C63,'Oxford Economics'!$B$7:$B$1000,Settings!$B$19)))),""))</f>
        <v>8085.91</v>
      </c>
      <c r="S63" s="38" t="n">
        <f aca="false">IF($A63="","",IFERROR(1/(1/IF($B63="Residential",SUMIFS(INDEX('Oxford Economics'!$A$7:$AZ$1000,0,IFERROR(MATCH(S$5,'Oxford Economics'!$A$6:$AZ$6,0),MATCH(S$5&amp;"",'Oxford Economics'!$A$6:$AZ$6,0))),'Oxford Economics'!$A$7:$A$1000,$C63,'Oxford Economics'!$B$7:$B$1000,Settings!$B$13)-SUMIFS(INDEX('Oxford Economics'!$A$7:$AZ$1000,0,IFERROR(MATCH(S$5,'Oxford Economics'!$A$6:$AZ$6,0),MATCH(S$5&amp;"",'Oxford Economics'!$A$6:$AZ$6,0))),'Oxford Economics'!$A$7:$A$1000,$C63,'Oxford Economics'!$B$7:$B$1000,Settings!$B$15),SUMIFS(INDEX('Oxford Economics'!$A$7:$AZ$1000,0,IFERROR(MATCH(S$5,'Oxford Economics'!$A$6:$AZ$6,0),MATCH(S$5&amp;"",'Oxford Economics'!$A$6:$AZ$6,0))),'Oxford Economics'!$A$7:$A$1000,$C63,'Oxford Economics'!$B$7:$B$1000,Settings!$B$15)+SUMIFS(INDEX('Oxford Economics'!$A$7:$AZ$1000,0,IFERROR(MATCH(S$5,'Oxford Economics'!$A$6:$AZ$6,0),MATCH(S$5&amp;"",'Oxford Economics'!$A$6:$AZ$6,0))),'Oxford Economics'!$A$7:$A$1000,$C63,'Oxford Economics'!$B$7:$B$1000,Settings!$B$17)+IF(Settings!$B$19="",0,SUMIFS(INDEX('Oxford Economics'!$A$7:$AZ$1000,0,IFERROR(MATCH(S$5,'Oxford Economics'!$A$6:$AZ$6,0),MATCH(S$5&amp;"",'Oxford Economics'!$A$6:$AZ$6,0))),'Oxford Economics'!$A$7:$A$1000,$C63,'Oxford Economics'!$B$7:$B$1000,Settings!$B$19)))),""))</f>
        <v>7931.6</v>
      </c>
      <c r="T63" s="38" t="n">
        <f aca="false">IF($A63="","",IFERROR(1/(1/IF($B63="Residential",SUMIFS(INDEX('Oxford Economics'!$A$7:$AZ$1000,0,IFERROR(MATCH(T$5,'Oxford Economics'!$A$6:$AZ$6,0),MATCH(T$5&amp;"",'Oxford Economics'!$A$6:$AZ$6,0))),'Oxford Economics'!$A$7:$A$1000,$C63,'Oxford Economics'!$B$7:$B$1000,Settings!$B$13)-SUMIFS(INDEX('Oxford Economics'!$A$7:$AZ$1000,0,IFERROR(MATCH(T$5,'Oxford Economics'!$A$6:$AZ$6,0),MATCH(T$5&amp;"",'Oxford Economics'!$A$6:$AZ$6,0))),'Oxford Economics'!$A$7:$A$1000,$C63,'Oxford Economics'!$B$7:$B$1000,Settings!$B$15),SUMIFS(INDEX('Oxford Economics'!$A$7:$AZ$1000,0,IFERROR(MATCH(T$5,'Oxford Economics'!$A$6:$AZ$6,0),MATCH(T$5&amp;"",'Oxford Economics'!$A$6:$AZ$6,0))),'Oxford Economics'!$A$7:$A$1000,$C63,'Oxford Economics'!$B$7:$B$1000,Settings!$B$15)+SUMIFS(INDEX('Oxford Economics'!$A$7:$AZ$1000,0,IFERROR(MATCH(T$5,'Oxford Economics'!$A$6:$AZ$6,0),MATCH(T$5&amp;"",'Oxford Economics'!$A$6:$AZ$6,0))),'Oxford Economics'!$A$7:$A$1000,$C63,'Oxford Economics'!$B$7:$B$1000,Settings!$B$17)+IF(Settings!$B$19="",0,SUMIFS(INDEX('Oxford Economics'!$A$7:$AZ$1000,0,IFERROR(MATCH(T$5,'Oxford Economics'!$A$6:$AZ$6,0),MATCH(T$5&amp;"",'Oxford Economics'!$A$6:$AZ$6,0))),'Oxford Economics'!$A$7:$A$1000,$C63,'Oxford Economics'!$B$7:$B$1000,Settings!$B$19)))),""))</f>
        <v>8094.08</v>
      </c>
      <c r="U63" s="38" t="n">
        <f aca="false">IF($A63="","",IFERROR(1/(1/IF($B63="Residential",SUMIFS(INDEX('Oxford Economics'!$A$7:$AZ$1000,0,IFERROR(MATCH(U$5,'Oxford Economics'!$A$6:$AZ$6,0),MATCH(U$5&amp;"",'Oxford Economics'!$A$6:$AZ$6,0))),'Oxford Economics'!$A$7:$A$1000,$C63,'Oxford Economics'!$B$7:$B$1000,Settings!$B$13)-SUMIFS(INDEX('Oxford Economics'!$A$7:$AZ$1000,0,IFERROR(MATCH(U$5,'Oxford Economics'!$A$6:$AZ$6,0),MATCH(U$5&amp;"",'Oxford Economics'!$A$6:$AZ$6,0))),'Oxford Economics'!$A$7:$A$1000,$C63,'Oxford Economics'!$B$7:$B$1000,Settings!$B$15),SUMIFS(INDEX('Oxford Economics'!$A$7:$AZ$1000,0,IFERROR(MATCH(U$5,'Oxford Economics'!$A$6:$AZ$6,0),MATCH(U$5&amp;"",'Oxford Economics'!$A$6:$AZ$6,0))),'Oxford Economics'!$A$7:$A$1000,$C63,'Oxford Economics'!$B$7:$B$1000,Settings!$B$15)+SUMIFS(INDEX('Oxford Economics'!$A$7:$AZ$1000,0,IFERROR(MATCH(U$5,'Oxford Economics'!$A$6:$AZ$6,0),MATCH(U$5&amp;"",'Oxford Economics'!$A$6:$AZ$6,0))),'Oxford Economics'!$A$7:$A$1000,$C63,'Oxford Economics'!$B$7:$B$1000,Settings!$B$17)+IF(Settings!$B$19="",0,SUMIFS(INDEX('Oxford Economics'!$A$7:$AZ$1000,0,IFERROR(MATCH(U$5,'Oxford Economics'!$A$6:$AZ$6,0),MATCH(U$5&amp;"",'Oxford Economics'!$A$6:$AZ$6,0))),'Oxford Economics'!$A$7:$A$1000,$C63,'Oxford Economics'!$B$7:$B$1000,Settings!$B$19)))),""))</f>
        <v>8034.38</v>
      </c>
      <c r="V63" s="38" t="n">
        <f aca="false">IF($A63="","",IFERROR(1/(1/IF($B63="Residential",SUMIFS(INDEX('Oxford Economics'!$A$7:$AZ$1000,0,IFERROR(MATCH(V$5,'Oxford Economics'!$A$6:$AZ$6,0),MATCH(V$5&amp;"",'Oxford Economics'!$A$6:$AZ$6,0))),'Oxford Economics'!$A$7:$A$1000,$C63,'Oxford Economics'!$B$7:$B$1000,Settings!$B$13)-SUMIFS(INDEX('Oxford Economics'!$A$7:$AZ$1000,0,IFERROR(MATCH(V$5,'Oxford Economics'!$A$6:$AZ$6,0),MATCH(V$5&amp;"",'Oxford Economics'!$A$6:$AZ$6,0))),'Oxford Economics'!$A$7:$A$1000,$C63,'Oxford Economics'!$B$7:$B$1000,Settings!$B$15),SUMIFS(INDEX('Oxford Economics'!$A$7:$AZ$1000,0,IFERROR(MATCH(V$5,'Oxford Economics'!$A$6:$AZ$6,0),MATCH(V$5&amp;"",'Oxford Economics'!$A$6:$AZ$6,0))),'Oxford Economics'!$A$7:$A$1000,$C63,'Oxford Economics'!$B$7:$B$1000,Settings!$B$15)+SUMIFS(INDEX('Oxford Economics'!$A$7:$AZ$1000,0,IFERROR(MATCH(V$5,'Oxford Economics'!$A$6:$AZ$6,0),MATCH(V$5&amp;"",'Oxford Economics'!$A$6:$AZ$6,0))),'Oxford Economics'!$A$7:$A$1000,$C63,'Oxford Economics'!$B$7:$B$1000,Settings!$B$17)+IF(Settings!$B$19="",0,SUMIFS(INDEX('Oxford Economics'!$A$7:$AZ$1000,0,IFERROR(MATCH(V$5,'Oxford Economics'!$A$6:$AZ$6,0),MATCH(V$5&amp;"",'Oxford Economics'!$A$6:$AZ$6,0))),'Oxford Economics'!$A$7:$A$1000,$C63,'Oxford Economics'!$B$7:$B$1000,Settings!$B$19)))),""))</f>
        <v>8945.25</v>
      </c>
      <c r="W63" s="38" t="n">
        <f aca="false">IF($A63="","",IFERROR(1/(1/IF($B63="Residential",SUMIFS(INDEX('Oxford Economics'!$A$7:$AZ$1000,0,IFERROR(MATCH(W$5,'Oxford Economics'!$A$6:$AZ$6,0),MATCH(W$5&amp;"",'Oxford Economics'!$A$6:$AZ$6,0))),'Oxford Economics'!$A$7:$A$1000,$C63,'Oxford Economics'!$B$7:$B$1000,Settings!$B$13)-SUMIFS(INDEX('Oxford Economics'!$A$7:$AZ$1000,0,IFERROR(MATCH(W$5,'Oxford Economics'!$A$6:$AZ$6,0),MATCH(W$5&amp;"",'Oxford Economics'!$A$6:$AZ$6,0))),'Oxford Economics'!$A$7:$A$1000,$C63,'Oxford Economics'!$B$7:$B$1000,Settings!$B$15),SUMIFS(INDEX('Oxford Economics'!$A$7:$AZ$1000,0,IFERROR(MATCH(W$5,'Oxford Economics'!$A$6:$AZ$6,0),MATCH(W$5&amp;"",'Oxford Economics'!$A$6:$AZ$6,0))),'Oxford Economics'!$A$7:$A$1000,$C63,'Oxford Economics'!$B$7:$B$1000,Settings!$B$15)+SUMIFS(INDEX('Oxford Economics'!$A$7:$AZ$1000,0,IFERROR(MATCH(W$5,'Oxford Economics'!$A$6:$AZ$6,0),MATCH(W$5&amp;"",'Oxford Economics'!$A$6:$AZ$6,0))),'Oxford Economics'!$A$7:$A$1000,$C63,'Oxford Economics'!$B$7:$B$1000,Settings!$B$17)+IF(Settings!$B$19="",0,SUMIFS(INDEX('Oxford Economics'!$A$7:$AZ$1000,0,IFERROR(MATCH(W$5,'Oxford Economics'!$A$6:$AZ$6,0),MATCH(W$5&amp;"",'Oxford Economics'!$A$6:$AZ$6,0))),'Oxford Economics'!$A$7:$A$1000,$C63,'Oxford Economics'!$B$7:$B$1000,Settings!$B$19)))),""))</f>
        <v>9451.52</v>
      </c>
      <c r="X63" s="38" t="n">
        <f aca="false">IF($A63="","",IFERROR(1/(1/IF($B63="Residential",SUMIFS(INDEX('Oxford Economics'!$A$7:$AZ$1000,0,IFERROR(MATCH(X$5,'Oxford Economics'!$A$6:$AZ$6,0),MATCH(X$5&amp;"",'Oxford Economics'!$A$6:$AZ$6,0))),'Oxford Economics'!$A$7:$A$1000,$C63,'Oxford Economics'!$B$7:$B$1000,Settings!$B$13)-SUMIFS(INDEX('Oxford Economics'!$A$7:$AZ$1000,0,IFERROR(MATCH(X$5,'Oxford Economics'!$A$6:$AZ$6,0),MATCH(X$5&amp;"",'Oxford Economics'!$A$6:$AZ$6,0))),'Oxford Economics'!$A$7:$A$1000,$C63,'Oxford Economics'!$B$7:$B$1000,Settings!$B$15),SUMIFS(INDEX('Oxford Economics'!$A$7:$AZ$1000,0,IFERROR(MATCH(X$5,'Oxford Economics'!$A$6:$AZ$6,0),MATCH(X$5&amp;"",'Oxford Economics'!$A$6:$AZ$6,0))),'Oxford Economics'!$A$7:$A$1000,$C63,'Oxford Economics'!$B$7:$B$1000,Settings!$B$15)+SUMIFS(INDEX('Oxford Economics'!$A$7:$AZ$1000,0,IFERROR(MATCH(X$5,'Oxford Economics'!$A$6:$AZ$6,0),MATCH(X$5&amp;"",'Oxford Economics'!$A$6:$AZ$6,0))),'Oxford Economics'!$A$7:$A$1000,$C63,'Oxford Economics'!$B$7:$B$1000,Settings!$B$17)+IF(Settings!$B$19="",0,SUMIFS(INDEX('Oxford Economics'!$A$7:$AZ$1000,0,IFERROR(MATCH(X$5,'Oxford Economics'!$A$6:$AZ$6,0),MATCH(X$5&amp;"",'Oxford Economics'!$A$6:$AZ$6,0))),'Oxford Economics'!$A$7:$A$1000,$C63,'Oxford Economics'!$B$7:$B$1000,Settings!$B$19)))),""))</f>
        <v>9645.82</v>
      </c>
      <c r="Y63" s="38" t="n">
        <f aca="false">IF($A63="","",IFERROR(1/(1/IF($B63="Residential",SUMIFS(INDEX('Oxford Economics'!$A$7:$AZ$1000,0,IFERROR(MATCH(Y$5,'Oxford Economics'!$A$6:$AZ$6,0),MATCH(Y$5&amp;"",'Oxford Economics'!$A$6:$AZ$6,0))),'Oxford Economics'!$A$7:$A$1000,$C63,'Oxford Economics'!$B$7:$B$1000,Settings!$B$13)-SUMIFS(INDEX('Oxford Economics'!$A$7:$AZ$1000,0,IFERROR(MATCH(Y$5,'Oxford Economics'!$A$6:$AZ$6,0),MATCH(Y$5&amp;"",'Oxford Economics'!$A$6:$AZ$6,0))),'Oxford Economics'!$A$7:$A$1000,$C63,'Oxford Economics'!$B$7:$B$1000,Settings!$B$15),SUMIFS(INDEX('Oxford Economics'!$A$7:$AZ$1000,0,IFERROR(MATCH(Y$5,'Oxford Economics'!$A$6:$AZ$6,0),MATCH(Y$5&amp;"",'Oxford Economics'!$A$6:$AZ$6,0))),'Oxford Economics'!$A$7:$A$1000,$C63,'Oxford Economics'!$B$7:$B$1000,Settings!$B$15)+SUMIFS(INDEX('Oxford Economics'!$A$7:$AZ$1000,0,IFERROR(MATCH(Y$5,'Oxford Economics'!$A$6:$AZ$6,0),MATCH(Y$5&amp;"",'Oxford Economics'!$A$6:$AZ$6,0))),'Oxford Economics'!$A$7:$A$1000,$C63,'Oxford Economics'!$B$7:$B$1000,Settings!$B$17)+IF(Settings!$B$19="",0,SUMIFS(INDEX('Oxford Economics'!$A$7:$AZ$1000,0,IFERROR(MATCH(Y$5,'Oxford Economics'!$A$6:$AZ$6,0),MATCH(Y$5&amp;"",'Oxford Economics'!$A$6:$AZ$6,0))),'Oxford Economics'!$A$7:$A$1000,$C63,'Oxford Economics'!$B$7:$B$1000,Settings!$B$19)))),""))</f>
        <v>9772.52</v>
      </c>
      <c r="Z63" s="38" t="n">
        <f aca="false">IF($A63="","",IFERROR(1/(1/IF($B63="Residential",SUMIFS(INDEX('Oxford Economics'!$A$7:$AZ$1000,0,IFERROR(MATCH(Z$5,'Oxford Economics'!$A$6:$AZ$6,0),MATCH(Z$5&amp;"",'Oxford Economics'!$A$6:$AZ$6,0))),'Oxford Economics'!$A$7:$A$1000,$C63,'Oxford Economics'!$B$7:$B$1000,Settings!$B$13)-SUMIFS(INDEX('Oxford Economics'!$A$7:$AZ$1000,0,IFERROR(MATCH(Z$5,'Oxford Economics'!$A$6:$AZ$6,0),MATCH(Z$5&amp;"",'Oxford Economics'!$A$6:$AZ$6,0))),'Oxford Economics'!$A$7:$A$1000,$C63,'Oxford Economics'!$B$7:$B$1000,Settings!$B$15),SUMIFS(INDEX('Oxford Economics'!$A$7:$AZ$1000,0,IFERROR(MATCH(Z$5,'Oxford Economics'!$A$6:$AZ$6,0),MATCH(Z$5&amp;"",'Oxford Economics'!$A$6:$AZ$6,0))),'Oxford Economics'!$A$7:$A$1000,$C63,'Oxford Economics'!$B$7:$B$1000,Settings!$B$15)+SUMIFS(INDEX('Oxford Economics'!$A$7:$AZ$1000,0,IFERROR(MATCH(Z$5,'Oxford Economics'!$A$6:$AZ$6,0),MATCH(Z$5&amp;"",'Oxford Economics'!$A$6:$AZ$6,0))),'Oxford Economics'!$A$7:$A$1000,$C63,'Oxford Economics'!$B$7:$B$1000,Settings!$B$17)+IF(Settings!$B$19="",0,SUMIFS(INDEX('Oxford Economics'!$A$7:$AZ$1000,0,IFERROR(MATCH(Z$5,'Oxford Economics'!$A$6:$AZ$6,0),MATCH(Z$5&amp;"",'Oxford Economics'!$A$6:$AZ$6,0))),'Oxford Economics'!$A$7:$A$1000,$C63,'Oxford Economics'!$B$7:$B$1000,Settings!$B$19)))),""))</f>
        <v>9878.41</v>
      </c>
      <c r="AA63" s="38" t="n">
        <f aca="false">IF($A63="","",IFERROR(1/(1/IF($B63="Residential",SUMIFS(INDEX('Oxford Economics'!$A$7:$AZ$1000,0,IFERROR(MATCH(AA$5,'Oxford Economics'!$A$6:$AZ$6,0),MATCH(AA$5&amp;"",'Oxford Economics'!$A$6:$AZ$6,0))),'Oxford Economics'!$A$7:$A$1000,$C63,'Oxford Economics'!$B$7:$B$1000,Settings!$B$13)-SUMIFS(INDEX('Oxford Economics'!$A$7:$AZ$1000,0,IFERROR(MATCH(AA$5,'Oxford Economics'!$A$6:$AZ$6,0),MATCH(AA$5&amp;"",'Oxford Economics'!$A$6:$AZ$6,0))),'Oxford Economics'!$A$7:$A$1000,$C63,'Oxford Economics'!$B$7:$B$1000,Settings!$B$15),SUMIFS(INDEX('Oxford Economics'!$A$7:$AZ$1000,0,IFERROR(MATCH(AA$5,'Oxford Economics'!$A$6:$AZ$6,0),MATCH(AA$5&amp;"",'Oxford Economics'!$A$6:$AZ$6,0))),'Oxford Economics'!$A$7:$A$1000,$C63,'Oxford Economics'!$B$7:$B$1000,Settings!$B$15)+SUMIFS(INDEX('Oxford Economics'!$A$7:$AZ$1000,0,IFERROR(MATCH(AA$5,'Oxford Economics'!$A$6:$AZ$6,0),MATCH(AA$5&amp;"",'Oxford Economics'!$A$6:$AZ$6,0))),'Oxford Economics'!$A$7:$A$1000,$C63,'Oxford Economics'!$B$7:$B$1000,Settings!$B$17)+IF(Settings!$B$19="",0,SUMIFS(INDEX('Oxford Economics'!$A$7:$AZ$1000,0,IFERROR(MATCH(AA$5,'Oxford Economics'!$A$6:$AZ$6,0),MATCH(AA$5&amp;"",'Oxford Economics'!$A$6:$AZ$6,0))),'Oxford Economics'!$A$7:$A$1000,$C63,'Oxford Economics'!$B$7:$B$1000,Settings!$B$19)))),""))</f>
        <v>9927.33</v>
      </c>
      <c r="AB63" s="38" t="n">
        <f aca="false">IF($A63="","",IFERROR(1/(1/IF($B63="Residential",SUMIFS(INDEX('Oxford Economics'!$A$7:$AZ$1000,0,IFERROR(MATCH(AB$5,'Oxford Economics'!$A$6:$AZ$6,0),MATCH(AB$5&amp;"",'Oxford Economics'!$A$6:$AZ$6,0))),'Oxford Economics'!$A$7:$A$1000,$C63,'Oxford Economics'!$B$7:$B$1000,Settings!$B$12)-SUMIFS(INDEX('Oxford Economics'!$A$7:$AZ$1000,0,IFERROR(MATCH(AB$5,'Oxford Economics'!$A$6:$AZ$6,0),MATCH(AB$5&amp;"",'Oxford Economics'!$A$6:$AZ$6,0))),'Oxford Economics'!$A$7:$A$1000,$C63,'Oxford Economics'!$B$7:$B$1000,Settings!$B$14),SUMIFS(INDEX('Oxford Economics'!$A$7:$AZ$1000,0,IFERROR(MATCH(AB$5,'Oxford Economics'!$A$6:$AZ$6,0),MATCH(AB$5&amp;"",'Oxford Economics'!$A$6:$AZ$6,0))),'Oxford Economics'!$A$7:$A$1000,$C63,'Oxford Economics'!$B$7:$B$1000,Settings!$B$14)+SUMIFS(INDEX('Oxford Economics'!$A$7:$AZ$1000,0,IFERROR(MATCH(AB$5,'Oxford Economics'!$A$6:$AZ$6,0),MATCH(AB$5&amp;"",'Oxford Economics'!$A$6:$AZ$6,0))),'Oxford Economics'!$A$7:$A$1000,$C63,'Oxford Economics'!$B$7:$B$1000,Settings!$B$16)+IF(Settings!$B$18="",0,SUMIFS(INDEX('Oxford Economics'!$A$7:$AZ$1000,0,IFERROR(MATCH(AB$5,'Oxford Economics'!$A$6:$AZ$6,0),MATCH(AB$5&amp;"",'Oxford Economics'!$A$6:$AZ$6,0))),'Oxford Economics'!$A$7:$A$1000,$C63,'Oxford Economics'!$B$7:$B$1000,Settings!$B$18)))),""))</f>
        <v>20100.14</v>
      </c>
      <c r="AC63" s="38" t="n">
        <f aca="false">IF($A63="","",IFERROR(1/(1/IF($B63="Residential",SUMIFS(INDEX('Oxford Economics'!$A$7:$AZ$1000,0,IFERROR(MATCH(AC$5,'Oxford Economics'!$A$6:$AZ$6,0),MATCH(AC$5&amp;"",'Oxford Economics'!$A$6:$AZ$6,0))),'Oxford Economics'!$A$7:$A$1000,$C63,'Oxford Economics'!$B$7:$B$1000,Settings!$B$12)-SUMIFS(INDEX('Oxford Economics'!$A$7:$AZ$1000,0,IFERROR(MATCH(AC$5,'Oxford Economics'!$A$6:$AZ$6,0),MATCH(AC$5&amp;"",'Oxford Economics'!$A$6:$AZ$6,0))),'Oxford Economics'!$A$7:$A$1000,$C63,'Oxford Economics'!$B$7:$B$1000,Settings!$B$14),SUMIFS(INDEX('Oxford Economics'!$A$7:$AZ$1000,0,IFERROR(MATCH(AC$5,'Oxford Economics'!$A$6:$AZ$6,0),MATCH(AC$5&amp;"",'Oxford Economics'!$A$6:$AZ$6,0))),'Oxford Economics'!$A$7:$A$1000,$C63,'Oxford Economics'!$B$7:$B$1000,Settings!$B$14)+SUMIFS(INDEX('Oxford Economics'!$A$7:$AZ$1000,0,IFERROR(MATCH(AC$5,'Oxford Economics'!$A$6:$AZ$6,0),MATCH(AC$5&amp;"",'Oxford Economics'!$A$6:$AZ$6,0))),'Oxford Economics'!$A$7:$A$1000,$C63,'Oxford Economics'!$B$7:$B$1000,Settings!$B$16)+IF(Settings!$B$18="",0,SUMIFS(INDEX('Oxford Economics'!$A$7:$AZ$1000,0,IFERROR(MATCH(AC$5,'Oxford Economics'!$A$6:$AZ$6,0),MATCH(AC$5&amp;"",'Oxford Economics'!$A$6:$AZ$6,0))),'Oxford Economics'!$A$7:$A$1000,$C63,'Oxford Economics'!$B$7:$B$1000,Settings!$B$18)))),""))</f>
        <v>19361.3</v>
      </c>
      <c r="AD63" s="38" t="n">
        <f aca="false">IF($A63="","",IFERROR(1/(1/IF($B63="Residential",SUMIFS(INDEX('Oxford Economics'!$A$7:$AZ$1000,0,IFERROR(MATCH(AD$5,'Oxford Economics'!$A$6:$AZ$6,0),MATCH(AD$5&amp;"",'Oxford Economics'!$A$6:$AZ$6,0))),'Oxford Economics'!$A$7:$A$1000,$C63,'Oxford Economics'!$B$7:$B$1000,Settings!$B$12)-SUMIFS(INDEX('Oxford Economics'!$A$7:$AZ$1000,0,IFERROR(MATCH(AD$5,'Oxford Economics'!$A$6:$AZ$6,0),MATCH(AD$5&amp;"",'Oxford Economics'!$A$6:$AZ$6,0))),'Oxford Economics'!$A$7:$A$1000,$C63,'Oxford Economics'!$B$7:$B$1000,Settings!$B$14),SUMIFS(INDEX('Oxford Economics'!$A$7:$AZ$1000,0,IFERROR(MATCH(AD$5,'Oxford Economics'!$A$6:$AZ$6,0),MATCH(AD$5&amp;"",'Oxford Economics'!$A$6:$AZ$6,0))),'Oxford Economics'!$A$7:$A$1000,$C63,'Oxford Economics'!$B$7:$B$1000,Settings!$B$14)+SUMIFS(INDEX('Oxford Economics'!$A$7:$AZ$1000,0,IFERROR(MATCH(AD$5,'Oxford Economics'!$A$6:$AZ$6,0),MATCH(AD$5&amp;"",'Oxford Economics'!$A$6:$AZ$6,0))),'Oxford Economics'!$A$7:$A$1000,$C63,'Oxford Economics'!$B$7:$B$1000,Settings!$B$16)+IF(Settings!$B$18="",0,SUMIFS(INDEX('Oxford Economics'!$A$7:$AZ$1000,0,IFERROR(MATCH(AD$5,'Oxford Economics'!$A$6:$AZ$6,0),MATCH(AD$5&amp;"",'Oxford Economics'!$A$6:$AZ$6,0))),'Oxford Economics'!$A$7:$A$1000,$C63,'Oxford Economics'!$B$7:$B$1000,Settings!$B$18)))),""))</f>
        <v>18277.37</v>
      </c>
      <c r="AE63" s="38" t="n">
        <f aca="false">IF($A63="","",IFERROR(1/(1/IF($B63="Residential",SUMIFS(INDEX('Oxford Economics'!$A$7:$AZ$1000,0,IFERROR(MATCH(AE$5,'Oxford Economics'!$A$6:$AZ$6,0),MATCH(AE$5&amp;"",'Oxford Economics'!$A$6:$AZ$6,0))),'Oxford Economics'!$A$7:$A$1000,$C63,'Oxford Economics'!$B$7:$B$1000,Settings!$B$12)-SUMIFS(INDEX('Oxford Economics'!$A$7:$AZ$1000,0,IFERROR(MATCH(AE$5,'Oxford Economics'!$A$6:$AZ$6,0),MATCH(AE$5&amp;"",'Oxford Economics'!$A$6:$AZ$6,0))),'Oxford Economics'!$A$7:$A$1000,$C63,'Oxford Economics'!$B$7:$B$1000,Settings!$B$14),SUMIFS(INDEX('Oxford Economics'!$A$7:$AZ$1000,0,IFERROR(MATCH(AE$5,'Oxford Economics'!$A$6:$AZ$6,0),MATCH(AE$5&amp;"",'Oxford Economics'!$A$6:$AZ$6,0))),'Oxford Economics'!$A$7:$A$1000,$C63,'Oxford Economics'!$B$7:$B$1000,Settings!$B$14)+SUMIFS(INDEX('Oxford Economics'!$A$7:$AZ$1000,0,IFERROR(MATCH(AE$5,'Oxford Economics'!$A$6:$AZ$6,0),MATCH(AE$5&amp;"",'Oxford Economics'!$A$6:$AZ$6,0))),'Oxford Economics'!$A$7:$A$1000,$C63,'Oxford Economics'!$B$7:$B$1000,Settings!$B$16)+IF(Settings!$B$18="",0,SUMIFS(INDEX('Oxford Economics'!$A$7:$AZ$1000,0,IFERROR(MATCH(AE$5,'Oxford Economics'!$A$6:$AZ$6,0),MATCH(AE$5&amp;"",'Oxford Economics'!$A$6:$AZ$6,0))),'Oxford Economics'!$A$7:$A$1000,$C63,'Oxford Economics'!$B$7:$B$1000,Settings!$B$18)))),""))</f>
        <v>16190.39</v>
      </c>
      <c r="AF63" s="38" t="n">
        <f aca="false">IF($A63="","",IFERROR(1/(1/IF($B63="Residential",SUMIFS(INDEX('Oxford Economics'!$A$7:$AZ$1000,0,IFERROR(MATCH(AF$5,'Oxford Economics'!$A$6:$AZ$6,0),MATCH(AF$5&amp;"",'Oxford Economics'!$A$6:$AZ$6,0))),'Oxford Economics'!$A$7:$A$1000,$C63,'Oxford Economics'!$B$7:$B$1000,Settings!$B$12)-SUMIFS(INDEX('Oxford Economics'!$A$7:$AZ$1000,0,IFERROR(MATCH(AF$5,'Oxford Economics'!$A$6:$AZ$6,0),MATCH(AF$5&amp;"",'Oxford Economics'!$A$6:$AZ$6,0))),'Oxford Economics'!$A$7:$A$1000,$C63,'Oxford Economics'!$B$7:$B$1000,Settings!$B$14),SUMIFS(INDEX('Oxford Economics'!$A$7:$AZ$1000,0,IFERROR(MATCH(AF$5,'Oxford Economics'!$A$6:$AZ$6,0),MATCH(AF$5&amp;"",'Oxford Economics'!$A$6:$AZ$6,0))),'Oxford Economics'!$A$7:$A$1000,$C63,'Oxford Economics'!$B$7:$B$1000,Settings!$B$14)+SUMIFS(INDEX('Oxford Economics'!$A$7:$AZ$1000,0,IFERROR(MATCH(AF$5,'Oxford Economics'!$A$6:$AZ$6,0),MATCH(AF$5&amp;"",'Oxford Economics'!$A$6:$AZ$6,0))),'Oxford Economics'!$A$7:$A$1000,$C63,'Oxford Economics'!$B$7:$B$1000,Settings!$B$16)+IF(Settings!$B$18="",0,SUMIFS(INDEX('Oxford Economics'!$A$7:$AZ$1000,0,IFERROR(MATCH(AF$5,'Oxford Economics'!$A$6:$AZ$6,0),MATCH(AF$5&amp;"",'Oxford Economics'!$A$6:$AZ$6,0))),'Oxford Economics'!$A$7:$A$1000,$C63,'Oxford Economics'!$B$7:$B$1000,Settings!$B$18)))),""))</f>
        <v>14873.47</v>
      </c>
      <c r="AG63" s="38" t="n">
        <f aca="false">IF($A63="","",IFERROR(1/(1/IF($B63="Residential",SUMIFS(INDEX('Oxford Economics'!$A$7:$AZ$1000,0,IFERROR(MATCH(AG$5,'Oxford Economics'!$A$6:$AZ$6,0),MATCH(AG$5&amp;"",'Oxford Economics'!$A$6:$AZ$6,0))),'Oxford Economics'!$A$7:$A$1000,$C63,'Oxford Economics'!$B$7:$B$1000,Settings!$B$12)-SUMIFS(INDEX('Oxford Economics'!$A$7:$AZ$1000,0,IFERROR(MATCH(AG$5,'Oxford Economics'!$A$6:$AZ$6,0),MATCH(AG$5&amp;"",'Oxford Economics'!$A$6:$AZ$6,0))),'Oxford Economics'!$A$7:$A$1000,$C63,'Oxford Economics'!$B$7:$B$1000,Settings!$B$14),SUMIFS(INDEX('Oxford Economics'!$A$7:$AZ$1000,0,IFERROR(MATCH(AG$5,'Oxford Economics'!$A$6:$AZ$6,0),MATCH(AG$5&amp;"",'Oxford Economics'!$A$6:$AZ$6,0))),'Oxford Economics'!$A$7:$A$1000,$C63,'Oxford Economics'!$B$7:$B$1000,Settings!$B$14)+SUMIFS(INDEX('Oxford Economics'!$A$7:$AZ$1000,0,IFERROR(MATCH(AG$5,'Oxford Economics'!$A$6:$AZ$6,0),MATCH(AG$5&amp;"",'Oxford Economics'!$A$6:$AZ$6,0))),'Oxford Economics'!$A$7:$A$1000,$C63,'Oxford Economics'!$B$7:$B$1000,Settings!$B$16)+IF(Settings!$B$18="",0,SUMIFS(INDEX('Oxford Economics'!$A$7:$AZ$1000,0,IFERROR(MATCH(AG$5,'Oxford Economics'!$A$6:$AZ$6,0),MATCH(AG$5&amp;"",'Oxford Economics'!$A$6:$AZ$6,0))),'Oxford Economics'!$A$7:$A$1000,$C63,'Oxford Economics'!$B$7:$B$1000,Settings!$B$18)))),""))</f>
        <v>13924.27</v>
      </c>
      <c r="AH63" s="38" t="n">
        <f aca="false">IF($A63="","",IFERROR(1/(1/IF($B63="Residential",SUMIFS(INDEX('Oxford Economics'!$A$7:$AZ$1000,0,IFERROR(MATCH(AH$5,'Oxford Economics'!$A$6:$AZ$6,0),MATCH(AH$5&amp;"",'Oxford Economics'!$A$6:$AZ$6,0))),'Oxford Economics'!$A$7:$A$1000,$C63,'Oxford Economics'!$B$7:$B$1000,Settings!$B$12)-SUMIFS(INDEX('Oxford Economics'!$A$7:$AZ$1000,0,IFERROR(MATCH(AH$5,'Oxford Economics'!$A$6:$AZ$6,0),MATCH(AH$5&amp;"",'Oxford Economics'!$A$6:$AZ$6,0))),'Oxford Economics'!$A$7:$A$1000,$C63,'Oxford Economics'!$B$7:$B$1000,Settings!$B$14),SUMIFS(INDEX('Oxford Economics'!$A$7:$AZ$1000,0,IFERROR(MATCH(AH$5,'Oxford Economics'!$A$6:$AZ$6,0),MATCH(AH$5&amp;"",'Oxford Economics'!$A$6:$AZ$6,0))),'Oxford Economics'!$A$7:$A$1000,$C63,'Oxford Economics'!$B$7:$B$1000,Settings!$B$14)+SUMIFS(INDEX('Oxford Economics'!$A$7:$AZ$1000,0,IFERROR(MATCH(AH$5,'Oxford Economics'!$A$6:$AZ$6,0),MATCH(AH$5&amp;"",'Oxford Economics'!$A$6:$AZ$6,0))),'Oxford Economics'!$A$7:$A$1000,$C63,'Oxford Economics'!$B$7:$B$1000,Settings!$B$16)+IF(Settings!$B$18="",0,SUMIFS(INDEX('Oxford Economics'!$A$7:$AZ$1000,0,IFERROR(MATCH(AH$5,'Oxford Economics'!$A$6:$AZ$6,0),MATCH(AH$5&amp;"",'Oxford Economics'!$A$6:$AZ$6,0))),'Oxford Economics'!$A$7:$A$1000,$C63,'Oxford Economics'!$B$7:$B$1000,Settings!$B$18)))),""))</f>
        <v>13713.98</v>
      </c>
      <c r="AI63" s="38" t="n">
        <f aca="false">IF($A63="","",IFERROR(1/(1/IF($B63="Residential",SUMIFS(INDEX('Oxford Economics'!$A$7:$AZ$1000,0,IFERROR(MATCH(AI$5,'Oxford Economics'!$A$6:$AZ$6,0),MATCH(AI$5&amp;"",'Oxford Economics'!$A$6:$AZ$6,0))),'Oxford Economics'!$A$7:$A$1000,$C63,'Oxford Economics'!$B$7:$B$1000,Settings!$B$12)-SUMIFS(INDEX('Oxford Economics'!$A$7:$AZ$1000,0,IFERROR(MATCH(AI$5,'Oxford Economics'!$A$6:$AZ$6,0),MATCH(AI$5&amp;"",'Oxford Economics'!$A$6:$AZ$6,0))),'Oxford Economics'!$A$7:$A$1000,$C63,'Oxford Economics'!$B$7:$B$1000,Settings!$B$14),SUMIFS(INDEX('Oxford Economics'!$A$7:$AZ$1000,0,IFERROR(MATCH(AI$5,'Oxford Economics'!$A$6:$AZ$6,0),MATCH(AI$5&amp;"",'Oxford Economics'!$A$6:$AZ$6,0))),'Oxford Economics'!$A$7:$A$1000,$C63,'Oxford Economics'!$B$7:$B$1000,Settings!$B$14)+SUMIFS(INDEX('Oxford Economics'!$A$7:$AZ$1000,0,IFERROR(MATCH(AI$5,'Oxford Economics'!$A$6:$AZ$6,0),MATCH(AI$5&amp;"",'Oxford Economics'!$A$6:$AZ$6,0))),'Oxford Economics'!$A$7:$A$1000,$C63,'Oxford Economics'!$B$7:$B$1000,Settings!$B$16)+IF(Settings!$B$18="",0,SUMIFS(INDEX('Oxford Economics'!$A$7:$AZ$1000,0,IFERROR(MATCH(AI$5,'Oxford Economics'!$A$6:$AZ$6,0),MATCH(AI$5&amp;"",'Oxford Economics'!$A$6:$AZ$6,0))),'Oxford Economics'!$A$7:$A$1000,$C63,'Oxford Economics'!$B$7:$B$1000,Settings!$B$18)))),""))</f>
        <v>13815.65</v>
      </c>
      <c r="AJ63" s="38" t="n">
        <f aca="false">IF($A63="","",IFERROR(1/(1/IF($B63="Residential",SUMIFS(INDEX('Oxford Economics'!$A$7:$AZ$1000,0,IFERROR(MATCH(AJ$5,'Oxford Economics'!$A$6:$AZ$6,0),MATCH(AJ$5&amp;"",'Oxford Economics'!$A$6:$AZ$6,0))),'Oxford Economics'!$A$7:$A$1000,$C63,'Oxford Economics'!$B$7:$B$1000,Settings!$B$12)-SUMIFS(INDEX('Oxford Economics'!$A$7:$AZ$1000,0,IFERROR(MATCH(AJ$5,'Oxford Economics'!$A$6:$AZ$6,0),MATCH(AJ$5&amp;"",'Oxford Economics'!$A$6:$AZ$6,0))),'Oxford Economics'!$A$7:$A$1000,$C63,'Oxford Economics'!$B$7:$B$1000,Settings!$B$14),SUMIFS(INDEX('Oxford Economics'!$A$7:$AZ$1000,0,IFERROR(MATCH(AJ$5,'Oxford Economics'!$A$6:$AZ$6,0),MATCH(AJ$5&amp;"",'Oxford Economics'!$A$6:$AZ$6,0))),'Oxford Economics'!$A$7:$A$1000,$C63,'Oxford Economics'!$B$7:$B$1000,Settings!$B$14)+SUMIFS(INDEX('Oxford Economics'!$A$7:$AZ$1000,0,IFERROR(MATCH(AJ$5,'Oxford Economics'!$A$6:$AZ$6,0),MATCH(AJ$5&amp;"",'Oxford Economics'!$A$6:$AZ$6,0))),'Oxford Economics'!$A$7:$A$1000,$C63,'Oxford Economics'!$B$7:$B$1000,Settings!$B$16)+IF(Settings!$B$18="",0,SUMIFS(INDEX('Oxford Economics'!$A$7:$AZ$1000,0,IFERROR(MATCH(AJ$5,'Oxford Economics'!$A$6:$AZ$6,0),MATCH(AJ$5&amp;"",'Oxford Economics'!$A$6:$AZ$6,0))),'Oxford Economics'!$A$7:$A$1000,$C63,'Oxford Economics'!$B$7:$B$1000,Settings!$B$18)))),""))</f>
        <v>14343.05</v>
      </c>
      <c r="AK63" s="38" t="n">
        <f aca="false">IF($A63="","",IFERROR(1/(1/IF($B63="Residential",SUMIFS(INDEX('Oxford Economics'!$A$7:$AZ$1000,0,IFERROR(MATCH(AK$5,'Oxford Economics'!$A$6:$AZ$6,0),MATCH(AK$5&amp;"",'Oxford Economics'!$A$6:$AZ$6,0))),'Oxford Economics'!$A$7:$A$1000,$C63,'Oxford Economics'!$B$7:$B$1000,Settings!$B$12)-SUMIFS(INDEX('Oxford Economics'!$A$7:$AZ$1000,0,IFERROR(MATCH(AK$5,'Oxford Economics'!$A$6:$AZ$6,0),MATCH(AK$5&amp;"",'Oxford Economics'!$A$6:$AZ$6,0))),'Oxford Economics'!$A$7:$A$1000,$C63,'Oxford Economics'!$B$7:$B$1000,Settings!$B$14),SUMIFS(INDEX('Oxford Economics'!$A$7:$AZ$1000,0,IFERROR(MATCH(AK$5,'Oxford Economics'!$A$6:$AZ$6,0),MATCH(AK$5&amp;"",'Oxford Economics'!$A$6:$AZ$6,0))),'Oxford Economics'!$A$7:$A$1000,$C63,'Oxford Economics'!$B$7:$B$1000,Settings!$B$14)+SUMIFS(INDEX('Oxford Economics'!$A$7:$AZ$1000,0,IFERROR(MATCH(AK$5,'Oxford Economics'!$A$6:$AZ$6,0),MATCH(AK$5&amp;"",'Oxford Economics'!$A$6:$AZ$6,0))),'Oxford Economics'!$A$7:$A$1000,$C63,'Oxford Economics'!$B$7:$B$1000,Settings!$B$16)+IF(Settings!$B$18="",0,SUMIFS(INDEX('Oxford Economics'!$A$7:$AZ$1000,0,IFERROR(MATCH(AK$5,'Oxford Economics'!$A$6:$AZ$6,0),MATCH(AK$5&amp;"",'Oxford Economics'!$A$6:$AZ$6,0))),'Oxford Economics'!$A$7:$A$1000,$C63,'Oxford Economics'!$B$7:$B$1000,Settings!$B$18)))),""))</f>
        <v>14868.38</v>
      </c>
      <c r="AL63" s="38" t="n">
        <f aca="false">IF($A63="","",IFERROR(1/(1/IF($B63="Residential",SUMIFS(INDEX('Oxford Economics'!$A$7:$AZ$1000,0,IFERROR(MATCH(AL$5,'Oxford Economics'!$A$6:$AZ$6,0),MATCH(AL$5&amp;"",'Oxford Economics'!$A$6:$AZ$6,0))),'Oxford Economics'!$A$7:$A$1000,$C63,'Oxford Economics'!$B$7:$B$1000,Settings!$B$12)-SUMIFS(INDEX('Oxford Economics'!$A$7:$AZ$1000,0,IFERROR(MATCH(AL$5,'Oxford Economics'!$A$6:$AZ$6,0),MATCH(AL$5&amp;"",'Oxford Economics'!$A$6:$AZ$6,0))),'Oxford Economics'!$A$7:$A$1000,$C63,'Oxford Economics'!$B$7:$B$1000,Settings!$B$14),SUMIFS(INDEX('Oxford Economics'!$A$7:$AZ$1000,0,IFERROR(MATCH(AL$5,'Oxford Economics'!$A$6:$AZ$6,0),MATCH(AL$5&amp;"",'Oxford Economics'!$A$6:$AZ$6,0))),'Oxford Economics'!$A$7:$A$1000,$C63,'Oxford Economics'!$B$7:$B$1000,Settings!$B$14)+SUMIFS(INDEX('Oxford Economics'!$A$7:$AZ$1000,0,IFERROR(MATCH(AL$5,'Oxford Economics'!$A$6:$AZ$6,0),MATCH(AL$5&amp;"",'Oxford Economics'!$A$6:$AZ$6,0))),'Oxford Economics'!$A$7:$A$1000,$C63,'Oxford Economics'!$B$7:$B$1000,Settings!$B$16)+IF(Settings!$B$18="",0,SUMIFS(INDEX('Oxford Economics'!$A$7:$AZ$1000,0,IFERROR(MATCH(AL$5,'Oxford Economics'!$A$6:$AZ$6,0),MATCH(AL$5&amp;"",'Oxford Economics'!$A$6:$AZ$6,0))),'Oxford Economics'!$A$7:$A$1000,$C63,'Oxford Economics'!$B$7:$B$1000,Settings!$B$18)))),""))</f>
        <v>15337.61</v>
      </c>
      <c r="AM63" s="38" t="n">
        <f aca="false">IF($A63="","",IFERROR(1/(1/IF($B63="Residential",SUMIFS(INDEX('Oxford Economics'!$A$7:$AZ$1000,0,IFERROR(MATCH(AM$5,'Oxford Economics'!$A$6:$AZ$6,0),MATCH(AM$5&amp;"",'Oxford Economics'!$A$6:$AZ$6,0))),'Oxford Economics'!$A$7:$A$1000,$C63,'Oxford Economics'!$B$7:$B$1000,Settings!$B$12)-SUMIFS(INDEX('Oxford Economics'!$A$7:$AZ$1000,0,IFERROR(MATCH(AM$5,'Oxford Economics'!$A$6:$AZ$6,0),MATCH(AM$5&amp;"",'Oxford Economics'!$A$6:$AZ$6,0))),'Oxford Economics'!$A$7:$A$1000,$C63,'Oxford Economics'!$B$7:$B$1000,Settings!$B$14),SUMIFS(INDEX('Oxford Economics'!$A$7:$AZ$1000,0,IFERROR(MATCH(AM$5,'Oxford Economics'!$A$6:$AZ$6,0),MATCH(AM$5&amp;"",'Oxford Economics'!$A$6:$AZ$6,0))),'Oxford Economics'!$A$7:$A$1000,$C63,'Oxford Economics'!$B$7:$B$1000,Settings!$B$14)+SUMIFS(INDEX('Oxford Economics'!$A$7:$AZ$1000,0,IFERROR(MATCH(AM$5,'Oxford Economics'!$A$6:$AZ$6,0),MATCH(AM$5&amp;"",'Oxford Economics'!$A$6:$AZ$6,0))),'Oxford Economics'!$A$7:$A$1000,$C63,'Oxford Economics'!$B$7:$B$1000,Settings!$B$16)+IF(Settings!$B$18="",0,SUMIFS(INDEX('Oxford Economics'!$A$7:$AZ$1000,0,IFERROR(MATCH(AM$5,'Oxford Economics'!$A$6:$AZ$6,0),MATCH(AM$5&amp;"",'Oxford Economics'!$A$6:$AZ$6,0))),'Oxford Economics'!$A$7:$A$1000,$C63,'Oxford Economics'!$B$7:$B$1000,Settings!$B$18)))),""))</f>
        <v>15801.09</v>
      </c>
    </row>
    <row r="64" customFormat="false" ht="15" hidden="false" customHeight="false" outlineLevel="0" collapsed="false">
      <c r="A64" s="37" t="str">
        <f aca="false">IF('Raw data'!$A64="","",'Raw data'!$A64)</f>
        <v>Austria</v>
      </c>
      <c r="B64" s="37" t="str">
        <f aca="false">IF($A64="","",'Raw data'!$C64)</f>
        <v>Commercial</v>
      </c>
      <c r="C64" s="37" t="str">
        <f aca="false">IF($A64="","",IF('Raw data'!$E64="",$A64,'Raw data'!$E64))</f>
        <v>Austria</v>
      </c>
      <c r="D64" s="38" t="n">
        <f aca="false">IF($A64="","",IF(AND(ISNUMBER(P64),ISNUMBER(AB64)),P64+AB64,""))</f>
        <v>28364.29</v>
      </c>
      <c r="E64" s="38" t="n">
        <f aca="false">IF($A64="","",IF(AND(ISNUMBER(Q64),ISNUMBER(AC64)),Q64+AC64,""))</f>
        <v>27421.59</v>
      </c>
      <c r="F64" s="38" t="n">
        <f aca="false">IF($A64="","",IF(AND(ISNUMBER(R64),ISNUMBER(AD64)),R64+AD64,""))</f>
        <v>26363.28</v>
      </c>
      <c r="G64" s="38" t="n">
        <f aca="false">IF($A64="","",IF(AND(ISNUMBER(S64),ISNUMBER(AE64)),S64+AE64,""))</f>
        <v>24121.99</v>
      </c>
      <c r="H64" s="38" t="n">
        <f aca="false">IF($A64="","",IF(AND(ISNUMBER(T64),ISNUMBER(AF64)),T64+AF64,""))</f>
        <v>22967.55</v>
      </c>
      <c r="I64" s="38" t="n">
        <f aca="false">IF($A64="","",IF(AND(ISNUMBER(U64),ISNUMBER(AG64)),U64+AG64,""))</f>
        <v>21958.65</v>
      </c>
      <c r="J64" s="38" t="n">
        <f aca="false">IF($A64="","",IF(AND(ISNUMBER(V64),ISNUMBER(AH64)),V64+AH64,""))</f>
        <v>22659.23</v>
      </c>
      <c r="K64" s="38" t="n">
        <f aca="false">IF($A64="","",IF(AND(ISNUMBER(W64),ISNUMBER(AI64)),W64+AI64,""))</f>
        <v>23267.17</v>
      </c>
      <c r="L64" s="38" t="n">
        <f aca="false">IF($A64="","",IF(AND(ISNUMBER(X64),ISNUMBER(AJ64)),X64+AJ64,""))</f>
        <v>23988.87</v>
      </c>
      <c r="M64" s="38" t="n">
        <f aca="false">IF($A64="","",IF(AND(ISNUMBER(Y64),ISNUMBER(AK64)),Y64+AK64,""))</f>
        <v>24640.9</v>
      </c>
      <c r="N64" s="38" t="n">
        <f aca="false">IF($A64="","",IF(AND(ISNUMBER(Z64),ISNUMBER(AL64)),Z64+AL64,""))</f>
        <v>25216.02</v>
      </c>
      <c r="O64" s="38" t="n">
        <f aca="false">IF($A64="","",IF(AND(ISNUMBER(AA64),ISNUMBER(AM64)),AA64+AM64,""))</f>
        <v>25728.42</v>
      </c>
      <c r="P64" s="38" t="n">
        <f aca="false">IF($A64="","",IFERROR(1/(1/IF($B64="Residential",SUMIFS(INDEX('Oxford Economics'!$A$7:$AZ$1000,0,IFERROR(MATCH(P$5,'Oxford Economics'!$A$6:$AZ$6,0),MATCH(P$5&amp;"",'Oxford Economics'!$A$6:$AZ$6,0))),'Oxford Economics'!$A$7:$A$1000,$C64,'Oxford Economics'!$B$7:$B$1000,Settings!$B$13)-SUMIFS(INDEX('Oxford Economics'!$A$7:$AZ$1000,0,IFERROR(MATCH(P$5,'Oxford Economics'!$A$6:$AZ$6,0),MATCH(P$5&amp;"",'Oxford Economics'!$A$6:$AZ$6,0))),'Oxford Economics'!$A$7:$A$1000,$C64,'Oxford Economics'!$B$7:$B$1000,Settings!$B$15),SUMIFS(INDEX('Oxford Economics'!$A$7:$AZ$1000,0,IFERROR(MATCH(P$5,'Oxford Economics'!$A$6:$AZ$6,0),MATCH(P$5&amp;"",'Oxford Economics'!$A$6:$AZ$6,0))),'Oxford Economics'!$A$7:$A$1000,$C64,'Oxford Economics'!$B$7:$B$1000,Settings!$B$15)+SUMIFS(INDEX('Oxford Economics'!$A$7:$AZ$1000,0,IFERROR(MATCH(P$5,'Oxford Economics'!$A$6:$AZ$6,0),MATCH(P$5&amp;"",'Oxford Economics'!$A$6:$AZ$6,0))),'Oxford Economics'!$A$7:$A$1000,$C64,'Oxford Economics'!$B$7:$B$1000,Settings!$B$17)+IF(Settings!$B$19="",0,SUMIFS(INDEX('Oxford Economics'!$A$7:$AZ$1000,0,IFERROR(MATCH(P$5,'Oxford Economics'!$A$6:$AZ$6,0),MATCH(P$5&amp;"",'Oxford Economics'!$A$6:$AZ$6,0))),'Oxford Economics'!$A$7:$A$1000,$C64,'Oxford Economics'!$B$7:$B$1000,Settings!$B$19)))),""))</f>
        <v>8264.15</v>
      </c>
      <c r="Q64" s="38" t="n">
        <f aca="false">IF($A64="","",IFERROR(1/(1/IF($B64="Residential",SUMIFS(INDEX('Oxford Economics'!$A$7:$AZ$1000,0,IFERROR(MATCH(Q$5,'Oxford Economics'!$A$6:$AZ$6,0),MATCH(Q$5&amp;"",'Oxford Economics'!$A$6:$AZ$6,0))),'Oxford Economics'!$A$7:$A$1000,$C64,'Oxford Economics'!$B$7:$B$1000,Settings!$B$13)-SUMIFS(INDEX('Oxford Economics'!$A$7:$AZ$1000,0,IFERROR(MATCH(Q$5,'Oxford Economics'!$A$6:$AZ$6,0),MATCH(Q$5&amp;"",'Oxford Economics'!$A$6:$AZ$6,0))),'Oxford Economics'!$A$7:$A$1000,$C64,'Oxford Economics'!$B$7:$B$1000,Settings!$B$15),SUMIFS(INDEX('Oxford Economics'!$A$7:$AZ$1000,0,IFERROR(MATCH(Q$5,'Oxford Economics'!$A$6:$AZ$6,0),MATCH(Q$5&amp;"",'Oxford Economics'!$A$6:$AZ$6,0))),'Oxford Economics'!$A$7:$A$1000,$C64,'Oxford Economics'!$B$7:$B$1000,Settings!$B$15)+SUMIFS(INDEX('Oxford Economics'!$A$7:$AZ$1000,0,IFERROR(MATCH(Q$5,'Oxford Economics'!$A$6:$AZ$6,0),MATCH(Q$5&amp;"",'Oxford Economics'!$A$6:$AZ$6,0))),'Oxford Economics'!$A$7:$A$1000,$C64,'Oxford Economics'!$B$7:$B$1000,Settings!$B$17)+IF(Settings!$B$19="",0,SUMIFS(INDEX('Oxford Economics'!$A$7:$AZ$1000,0,IFERROR(MATCH(Q$5,'Oxford Economics'!$A$6:$AZ$6,0),MATCH(Q$5&amp;"",'Oxford Economics'!$A$6:$AZ$6,0))),'Oxford Economics'!$A$7:$A$1000,$C64,'Oxford Economics'!$B$7:$B$1000,Settings!$B$19)))),""))</f>
        <v>8060.29</v>
      </c>
      <c r="R64" s="38" t="n">
        <f aca="false">IF($A64="","",IFERROR(1/(1/IF($B64="Residential",SUMIFS(INDEX('Oxford Economics'!$A$7:$AZ$1000,0,IFERROR(MATCH(R$5,'Oxford Economics'!$A$6:$AZ$6,0),MATCH(R$5&amp;"",'Oxford Economics'!$A$6:$AZ$6,0))),'Oxford Economics'!$A$7:$A$1000,$C64,'Oxford Economics'!$B$7:$B$1000,Settings!$B$13)-SUMIFS(INDEX('Oxford Economics'!$A$7:$AZ$1000,0,IFERROR(MATCH(R$5,'Oxford Economics'!$A$6:$AZ$6,0),MATCH(R$5&amp;"",'Oxford Economics'!$A$6:$AZ$6,0))),'Oxford Economics'!$A$7:$A$1000,$C64,'Oxford Economics'!$B$7:$B$1000,Settings!$B$15),SUMIFS(INDEX('Oxford Economics'!$A$7:$AZ$1000,0,IFERROR(MATCH(R$5,'Oxford Economics'!$A$6:$AZ$6,0),MATCH(R$5&amp;"",'Oxford Economics'!$A$6:$AZ$6,0))),'Oxford Economics'!$A$7:$A$1000,$C64,'Oxford Economics'!$B$7:$B$1000,Settings!$B$15)+SUMIFS(INDEX('Oxford Economics'!$A$7:$AZ$1000,0,IFERROR(MATCH(R$5,'Oxford Economics'!$A$6:$AZ$6,0),MATCH(R$5&amp;"",'Oxford Economics'!$A$6:$AZ$6,0))),'Oxford Economics'!$A$7:$A$1000,$C64,'Oxford Economics'!$B$7:$B$1000,Settings!$B$17)+IF(Settings!$B$19="",0,SUMIFS(INDEX('Oxford Economics'!$A$7:$AZ$1000,0,IFERROR(MATCH(R$5,'Oxford Economics'!$A$6:$AZ$6,0),MATCH(R$5&amp;"",'Oxford Economics'!$A$6:$AZ$6,0))),'Oxford Economics'!$A$7:$A$1000,$C64,'Oxford Economics'!$B$7:$B$1000,Settings!$B$19)))),""))</f>
        <v>8085.91</v>
      </c>
      <c r="S64" s="38" t="n">
        <f aca="false">IF($A64="","",IFERROR(1/(1/IF($B64="Residential",SUMIFS(INDEX('Oxford Economics'!$A$7:$AZ$1000,0,IFERROR(MATCH(S$5,'Oxford Economics'!$A$6:$AZ$6,0),MATCH(S$5&amp;"",'Oxford Economics'!$A$6:$AZ$6,0))),'Oxford Economics'!$A$7:$A$1000,$C64,'Oxford Economics'!$B$7:$B$1000,Settings!$B$13)-SUMIFS(INDEX('Oxford Economics'!$A$7:$AZ$1000,0,IFERROR(MATCH(S$5,'Oxford Economics'!$A$6:$AZ$6,0),MATCH(S$5&amp;"",'Oxford Economics'!$A$6:$AZ$6,0))),'Oxford Economics'!$A$7:$A$1000,$C64,'Oxford Economics'!$B$7:$B$1000,Settings!$B$15),SUMIFS(INDEX('Oxford Economics'!$A$7:$AZ$1000,0,IFERROR(MATCH(S$5,'Oxford Economics'!$A$6:$AZ$6,0),MATCH(S$5&amp;"",'Oxford Economics'!$A$6:$AZ$6,0))),'Oxford Economics'!$A$7:$A$1000,$C64,'Oxford Economics'!$B$7:$B$1000,Settings!$B$15)+SUMIFS(INDEX('Oxford Economics'!$A$7:$AZ$1000,0,IFERROR(MATCH(S$5,'Oxford Economics'!$A$6:$AZ$6,0),MATCH(S$5&amp;"",'Oxford Economics'!$A$6:$AZ$6,0))),'Oxford Economics'!$A$7:$A$1000,$C64,'Oxford Economics'!$B$7:$B$1000,Settings!$B$17)+IF(Settings!$B$19="",0,SUMIFS(INDEX('Oxford Economics'!$A$7:$AZ$1000,0,IFERROR(MATCH(S$5,'Oxford Economics'!$A$6:$AZ$6,0),MATCH(S$5&amp;"",'Oxford Economics'!$A$6:$AZ$6,0))),'Oxford Economics'!$A$7:$A$1000,$C64,'Oxford Economics'!$B$7:$B$1000,Settings!$B$19)))),""))</f>
        <v>7931.6</v>
      </c>
      <c r="T64" s="38" t="n">
        <f aca="false">IF($A64="","",IFERROR(1/(1/IF($B64="Residential",SUMIFS(INDEX('Oxford Economics'!$A$7:$AZ$1000,0,IFERROR(MATCH(T$5,'Oxford Economics'!$A$6:$AZ$6,0),MATCH(T$5&amp;"",'Oxford Economics'!$A$6:$AZ$6,0))),'Oxford Economics'!$A$7:$A$1000,$C64,'Oxford Economics'!$B$7:$B$1000,Settings!$B$13)-SUMIFS(INDEX('Oxford Economics'!$A$7:$AZ$1000,0,IFERROR(MATCH(T$5,'Oxford Economics'!$A$6:$AZ$6,0),MATCH(T$5&amp;"",'Oxford Economics'!$A$6:$AZ$6,0))),'Oxford Economics'!$A$7:$A$1000,$C64,'Oxford Economics'!$B$7:$B$1000,Settings!$B$15),SUMIFS(INDEX('Oxford Economics'!$A$7:$AZ$1000,0,IFERROR(MATCH(T$5,'Oxford Economics'!$A$6:$AZ$6,0),MATCH(T$5&amp;"",'Oxford Economics'!$A$6:$AZ$6,0))),'Oxford Economics'!$A$7:$A$1000,$C64,'Oxford Economics'!$B$7:$B$1000,Settings!$B$15)+SUMIFS(INDEX('Oxford Economics'!$A$7:$AZ$1000,0,IFERROR(MATCH(T$5,'Oxford Economics'!$A$6:$AZ$6,0),MATCH(T$5&amp;"",'Oxford Economics'!$A$6:$AZ$6,0))),'Oxford Economics'!$A$7:$A$1000,$C64,'Oxford Economics'!$B$7:$B$1000,Settings!$B$17)+IF(Settings!$B$19="",0,SUMIFS(INDEX('Oxford Economics'!$A$7:$AZ$1000,0,IFERROR(MATCH(T$5,'Oxford Economics'!$A$6:$AZ$6,0),MATCH(T$5&amp;"",'Oxford Economics'!$A$6:$AZ$6,0))),'Oxford Economics'!$A$7:$A$1000,$C64,'Oxford Economics'!$B$7:$B$1000,Settings!$B$19)))),""))</f>
        <v>8094.08</v>
      </c>
      <c r="U64" s="38" t="n">
        <f aca="false">IF($A64="","",IFERROR(1/(1/IF($B64="Residential",SUMIFS(INDEX('Oxford Economics'!$A$7:$AZ$1000,0,IFERROR(MATCH(U$5,'Oxford Economics'!$A$6:$AZ$6,0),MATCH(U$5&amp;"",'Oxford Economics'!$A$6:$AZ$6,0))),'Oxford Economics'!$A$7:$A$1000,$C64,'Oxford Economics'!$B$7:$B$1000,Settings!$B$13)-SUMIFS(INDEX('Oxford Economics'!$A$7:$AZ$1000,0,IFERROR(MATCH(U$5,'Oxford Economics'!$A$6:$AZ$6,0),MATCH(U$5&amp;"",'Oxford Economics'!$A$6:$AZ$6,0))),'Oxford Economics'!$A$7:$A$1000,$C64,'Oxford Economics'!$B$7:$B$1000,Settings!$B$15),SUMIFS(INDEX('Oxford Economics'!$A$7:$AZ$1000,0,IFERROR(MATCH(U$5,'Oxford Economics'!$A$6:$AZ$6,0),MATCH(U$5&amp;"",'Oxford Economics'!$A$6:$AZ$6,0))),'Oxford Economics'!$A$7:$A$1000,$C64,'Oxford Economics'!$B$7:$B$1000,Settings!$B$15)+SUMIFS(INDEX('Oxford Economics'!$A$7:$AZ$1000,0,IFERROR(MATCH(U$5,'Oxford Economics'!$A$6:$AZ$6,0),MATCH(U$5&amp;"",'Oxford Economics'!$A$6:$AZ$6,0))),'Oxford Economics'!$A$7:$A$1000,$C64,'Oxford Economics'!$B$7:$B$1000,Settings!$B$17)+IF(Settings!$B$19="",0,SUMIFS(INDEX('Oxford Economics'!$A$7:$AZ$1000,0,IFERROR(MATCH(U$5,'Oxford Economics'!$A$6:$AZ$6,0),MATCH(U$5&amp;"",'Oxford Economics'!$A$6:$AZ$6,0))),'Oxford Economics'!$A$7:$A$1000,$C64,'Oxford Economics'!$B$7:$B$1000,Settings!$B$19)))),""))</f>
        <v>8034.38</v>
      </c>
      <c r="V64" s="38" t="n">
        <f aca="false">IF($A64="","",IFERROR(1/(1/IF($B64="Residential",SUMIFS(INDEX('Oxford Economics'!$A$7:$AZ$1000,0,IFERROR(MATCH(V$5,'Oxford Economics'!$A$6:$AZ$6,0),MATCH(V$5&amp;"",'Oxford Economics'!$A$6:$AZ$6,0))),'Oxford Economics'!$A$7:$A$1000,$C64,'Oxford Economics'!$B$7:$B$1000,Settings!$B$13)-SUMIFS(INDEX('Oxford Economics'!$A$7:$AZ$1000,0,IFERROR(MATCH(V$5,'Oxford Economics'!$A$6:$AZ$6,0),MATCH(V$5&amp;"",'Oxford Economics'!$A$6:$AZ$6,0))),'Oxford Economics'!$A$7:$A$1000,$C64,'Oxford Economics'!$B$7:$B$1000,Settings!$B$15),SUMIFS(INDEX('Oxford Economics'!$A$7:$AZ$1000,0,IFERROR(MATCH(V$5,'Oxford Economics'!$A$6:$AZ$6,0),MATCH(V$5&amp;"",'Oxford Economics'!$A$6:$AZ$6,0))),'Oxford Economics'!$A$7:$A$1000,$C64,'Oxford Economics'!$B$7:$B$1000,Settings!$B$15)+SUMIFS(INDEX('Oxford Economics'!$A$7:$AZ$1000,0,IFERROR(MATCH(V$5,'Oxford Economics'!$A$6:$AZ$6,0),MATCH(V$5&amp;"",'Oxford Economics'!$A$6:$AZ$6,0))),'Oxford Economics'!$A$7:$A$1000,$C64,'Oxford Economics'!$B$7:$B$1000,Settings!$B$17)+IF(Settings!$B$19="",0,SUMIFS(INDEX('Oxford Economics'!$A$7:$AZ$1000,0,IFERROR(MATCH(V$5,'Oxford Economics'!$A$6:$AZ$6,0),MATCH(V$5&amp;"",'Oxford Economics'!$A$6:$AZ$6,0))),'Oxford Economics'!$A$7:$A$1000,$C64,'Oxford Economics'!$B$7:$B$1000,Settings!$B$19)))),""))</f>
        <v>8945.25</v>
      </c>
      <c r="W64" s="38" t="n">
        <f aca="false">IF($A64="","",IFERROR(1/(1/IF($B64="Residential",SUMIFS(INDEX('Oxford Economics'!$A$7:$AZ$1000,0,IFERROR(MATCH(W$5,'Oxford Economics'!$A$6:$AZ$6,0),MATCH(W$5&amp;"",'Oxford Economics'!$A$6:$AZ$6,0))),'Oxford Economics'!$A$7:$A$1000,$C64,'Oxford Economics'!$B$7:$B$1000,Settings!$B$13)-SUMIFS(INDEX('Oxford Economics'!$A$7:$AZ$1000,0,IFERROR(MATCH(W$5,'Oxford Economics'!$A$6:$AZ$6,0),MATCH(W$5&amp;"",'Oxford Economics'!$A$6:$AZ$6,0))),'Oxford Economics'!$A$7:$A$1000,$C64,'Oxford Economics'!$B$7:$B$1000,Settings!$B$15),SUMIFS(INDEX('Oxford Economics'!$A$7:$AZ$1000,0,IFERROR(MATCH(W$5,'Oxford Economics'!$A$6:$AZ$6,0),MATCH(W$5&amp;"",'Oxford Economics'!$A$6:$AZ$6,0))),'Oxford Economics'!$A$7:$A$1000,$C64,'Oxford Economics'!$B$7:$B$1000,Settings!$B$15)+SUMIFS(INDEX('Oxford Economics'!$A$7:$AZ$1000,0,IFERROR(MATCH(W$5,'Oxford Economics'!$A$6:$AZ$6,0),MATCH(W$5&amp;"",'Oxford Economics'!$A$6:$AZ$6,0))),'Oxford Economics'!$A$7:$A$1000,$C64,'Oxford Economics'!$B$7:$B$1000,Settings!$B$17)+IF(Settings!$B$19="",0,SUMIFS(INDEX('Oxford Economics'!$A$7:$AZ$1000,0,IFERROR(MATCH(W$5,'Oxford Economics'!$A$6:$AZ$6,0),MATCH(W$5&amp;"",'Oxford Economics'!$A$6:$AZ$6,0))),'Oxford Economics'!$A$7:$A$1000,$C64,'Oxford Economics'!$B$7:$B$1000,Settings!$B$19)))),""))</f>
        <v>9451.52</v>
      </c>
      <c r="X64" s="38" t="n">
        <f aca="false">IF($A64="","",IFERROR(1/(1/IF($B64="Residential",SUMIFS(INDEX('Oxford Economics'!$A$7:$AZ$1000,0,IFERROR(MATCH(X$5,'Oxford Economics'!$A$6:$AZ$6,0),MATCH(X$5&amp;"",'Oxford Economics'!$A$6:$AZ$6,0))),'Oxford Economics'!$A$7:$A$1000,$C64,'Oxford Economics'!$B$7:$B$1000,Settings!$B$13)-SUMIFS(INDEX('Oxford Economics'!$A$7:$AZ$1000,0,IFERROR(MATCH(X$5,'Oxford Economics'!$A$6:$AZ$6,0),MATCH(X$5&amp;"",'Oxford Economics'!$A$6:$AZ$6,0))),'Oxford Economics'!$A$7:$A$1000,$C64,'Oxford Economics'!$B$7:$B$1000,Settings!$B$15),SUMIFS(INDEX('Oxford Economics'!$A$7:$AZ$1000,0,IFERROR(MATCH(X$5,'Oxford Economics'!$A$6:$AZ$6,0),MATCH(X$5&amp;"",'Oxford Economics'!$A$6:$AZ$6,0))),'Oxford Economics'!$A$7:$A$1000,$C64,'Oxford Economics'!$B$7:$B$1000,Settings!$B$15)+SUMIFS(INDEX('Oxford Economics'!$A$7:$AZ$1000,0,IFERROR(MATCH(X$5,'Oxford Economics'!$A$6:$AZ$6,0),MATCH(X$5&amp;"",'Oxford Economics'!$A$6:$AZ$6,0))),'Oxford Economics'!$A$7:$A$1000,$C64,'Oxford Economics'!$B$7:$B$1000,Settings!$B$17)+IF(Settings!$B$19="",0,SUMIFS(INDEX('Oxford Economics'!$A$7:$AZ$1000,0,IFERROR(MATCH(X$5,'Oxford Economics'!$A$6:$AZ$6,0),MATCH(X$5&amp;"",'Oxford Economics'!$A$6:$AZ$6,0))),'Oxford Economics'!$A$7:$A$1000,$C64,'Oxford Economics'!$B$7:$B$1000,Settings!$B$19)))),""))</f>
        <v>9645.82</v>
      </c>
      <c r="Y64" s="38" t="n">
        <f aca="false">IF($A64="","",IFERROR(1/(1/IF($B64="Residential",SUMIFS(INDEX('Oxford Economics'!$A$7:$AZ$1000,0,IFERROR(MATCH(Y$5,'Oxford Economics'!$A$6:$AZ$6,0),MATCH(Y$5&amp;"",'Oxford Economics'!$A$6:$AZ$6,0))),'Oxford Economics'!$A$7:$A$1000,$C64,'Oxford Economics'!$B$7:$B$1000,Settings!$B$13)-SUMIFS(INDEX('Oxford Economics'!$A$7:$AZ$1000,0,IFERROR(MATCH(Y$5,'Oxford Economics'!$A$6:$AZ$6,0),MATCH(Y$5&amp;"",'Oxford Economics'!$A$6:$AZ$6,0))),'Oxford Economics'!$A$7:$A$1000,$C64,'Oxford Economics'!$B$7:$B$1000,Settings!$B$15),SUMIFS(INDEX('Oxford Economics'!$A$7:$AZ$1000,0,IFERROR(MATCH(Y$5,'Oxford Economics'!$A$6:$AZ$6,0),MATCH(Y$5&amp;"",'Oxford Economics'!$A$6:$AZ$6,0))),'Oxford Economics'!$A$7:$A$1000,$C64,'Oxford Economics'!$B$7:$B$1000,Settings!$B$15)+SUMIFS(INDEX('Oxford Economics'!$A$7:$AZ$1000,0,IFERROR(MATCH(Y$5,'Oxford Economics'!$A$6:$AZ$6,0),MATCH(Y$5&amp;"",'Oxford Economics'!$A$6:$AZ$6,0))),'Oxford Economics'!$A$7:$A$1000,$C64,'Oxford Economics'!$B$7:$B$1000,Settings!$B$17)+IF(Settings!$B$19="",0,SUMIFS(INDEX('Oxford Economics'!$A$7:$AZ$1000,0,IFERROR(MATCH(Y$5,'Oxford Economics'!$A$6:$AZ$6,0),MATCH(Y$5&amp;"",'Oxford Economics'!$A$6:$AZ$6,0))),'Oxford Economics'!$A$7:$A$1000,$C64,'Oxford Economics'!$B$7:$B$1000,Settings!$B$19)))),""))</f>
        <v>9772.52</v>
      </c>
      <c r="Z64" s="38" t="n">
        <f aca="false">IF($A64="","",IFERROR(1/(1/IF($B64="Residential",SUMIFS(INDEX('Oxford Economics'!$A$7:$AZ$1000,0,IFERROR(MATCH(Z$5,'Oxford Economics'!$A$6:$AZ$6,0),MATCH(Z$5&amp;"",'Oxford Economics'!$A$6:$AZ$6,0))),'Oxford Economics'!$A$7:$A$1000,$C64,'Oxford Economics'!$B$7:$B$1000,Settings!$B$13)-SUMIFS(INDEX('Oxford Economics'!$A$7:$AZ$1000,0,IFERROR(MATCH(Z$5,'Oxford Economics'!$A$6:$AZ$6,0),MATCH(Z$5&amp;"",'Oxford Economics'!$A$6:$AZ$6,0))),'Oxford Economics'!$A$7:$A$1000,$C64,'Oxford Economics'!$B$7:$B$1000,Settings!$B$15),SUMIFS(INDEX('Oxford Economics'!$A$7:$AZ$1000,0,IFERROR(MATCH(Z$5,'Oxford Economics'!$A$6:$AZ$6,0),MATCH(Z$5&amp;"",'Oxford Economics'!$A$6:$AZ$6,0))),'Oxford Economics'!$A$7:$A$1000,$C64,'Oxford Economics'!$B$7:$B$1000,Settings!$B$15)+SUMIFS(INDEX('Oxford Economics'!$A$7:$AZ$1000,0,IFERROR(MATCH(Z$5,'Oxford Economics'!$A$6:$AZ$6,0),MATCH(Z$5&amp;"",'Oxford Economics'!$A$6:$AZ$6,0))),'Oxford Economics'!$A$7:$A$1000,$C64,'Oxford Economics'!$B$7:$B$1000,Settings!$B$17)+IF(Settings!$B$19="",0,SUMIFS(INDEX('Oxford Economics'!$A$7:$AZ$1000,0,IFERROR(MATCH(Z$5,'Oxford Economics'!$A$6:$AZ$6,0),MATCH(Z$5&amp;"",'Oxford Economics'!$A$6:$AZ$6,0))),'Oxford Economics'!$A$7:$A$1000,$C64,'Oxford Economics'!$B$7:$B$1000,Settings!$B$19)))),""))</f>
        <v>9878.41</v>
      </c>
      <c r="AA64" s="38" t="n">
        <f aca="false">IF($A64="","",IFERROR(1/(1/IF($B64="Residential",SUMIFS(INDEX('Oxford Economics'!$A$7:$AZ$1000,0,IFERROR(MATCH(AA$5,'Oxford Economics'!$A$6:$AZ$6,0),MATCH(AA$5&amp;"",'Oxford Economics'!$A$6:$AZ$6,0))),'Oxford Economics'!$A$7:$A$1000,$C64,'Oxford Economics'!$B$7:$B$1000,Settings!$B$13)-SUMIFS(INDEX('Oxford Economics'!$A$7:$AZ$1000,0,IFERROR(MATCH(AA$5,'Oxford Economics'!$A$6:$AZ$6,0),MATCH(AA$5&amp;"",'Oxford Economics'!$A$6:$AZ$6,0))),'Oxford Economics'!$A$7:$A$1000,$C64,'Oxford Economics'!$B$7:$B$1000,Settings!$B$15),SUMIFS(INDEX('Oxford Economics'!$A$7:$AZ$1000,0,IFERROR(MATCH(AA$5,'Oxford Economics'!$A$6:$AZ$6,0),MATCH(AA$5&amp;"",'Oxford Economics'!$A$6:$AZ$6,0))),'Oxford Economics'!$A$7:$A$1000,$C64,'Oxford Economics'!$B$7:$B$1000,Settings!$B$15)+SUMIFS(INDEX('Oxford Economics'!$A$7:$AZ$1000,0,IFERROR(MATCH(AA$5,'Oxford Economics'!$A$6:$AZ$6,0),MATCH(AA$5&amp;"",'Oxford Economics'!$A$6:$AZ$6,0))),'Oxford Economics'!$A$7:$A$1000,$C64,'Oxford Economics'!$B$7:$B$1000,Settings!$B$17)+IF(Settings!$B$19="",0,SUMIFS(INDEX('Oxford Economics'!$A$7:$AZ$1000,0,IFERROR(MATCH(AA$5,'Oxford Economics'!$A$6:$AZ$6,0),MATCH(AA$5&amp;"",'Oxford Economics'!$A$6:$AZ$6,0))),'Oxford Economics'!$A$7:$A$1000,$C64,'Oxford Economics'!$B$7:$B$1000,Settings!$B$19)))),""))</f>
        <v>9927.33</v>
      </c>
      <c r="AB64" s="38" t="n">
        <f aca="false">IF($A64="","",IFERROR(1/(1/IF($B64="Residential",SUMIFS(INDEX('Oxford Economics'!$A$7:$AZ$1000,0,IFERROR(MATCH(AB$5,'Oxford Economics'!$A$6:$AZ$6,0),MATCH(AB$5&amp;"",'Oxford Economics'!$A$6:$AZ$6,0))),'Oxford Economics'!$A$7:$A$1000,$C64,'Oxford Economics'!$B$7:$B$1000,Settings!$B$12)-SUMIFS(INDEX('Oxford Economics'!$A$7:$AZ$1000,0,IFERROR(MATCH(AB$5,'Oxford Economics'!$A$6:$AZ$6,0),MATCH(AB$5&amp;"",'Oxford Economics'!$A$6:$AZ$6,0))),'Oxford Economics'!$A$7:$A$1000,$C64,'Oxford Economics'!$B$7:$B$1000,Settings!$B$14),SUMIFS(INDEX('Oxford Economics'!$A$7:$AZ$1000,0,IFERROR(MATCH(AB$5,'Oxford Economics'!$A$6:$AZ$6,0),MATCH(AB$5&amp;"",'Oxford Economics'!$A$6:$AZ$6,0))),'Oxford Economics'!$A$7:$A$1000,$C64,'Oxford Economics'!$B$7:$B$1000,Settings!$B$14)+SUMIFS(INDEX('Oxford Economics'!$A$7:$AZ$1000,0,IFERROR(MATCH(AB$5,'Oxford Economics'!$A$6:$AZ$6,0),MATCH(AB$5&amp;"",'Oxford Economics'!$A$6:$AZ$6,0))),'Oxford Economics'!$A$7:$A$1000,$C64,'Oxford Economics'!$B$7:$B$1000,Settings!$B$16)+IF(Settings!$B$18="",0,SUMIFS(INDEX('Oxford Economics'!$A$7:$AZ$1000,0,IFERROR(MATCH(AB$5,'Oxford Economics'!$A$6:$AZ$6,0),MATCH(AB$5&amp;"",'Oxford Economics'!$A$6:$AZ$6,0))),'Oxford Economics'!$A$7:$A$1000,$C64,'Oxford Economics'!$B$7:$B$1000,Settings!$B$18)))),""))</f>
        <v>20100.14</v>
      </c>
      <c r="AC64" s="38" t="n">
        <f aca="false">IF($A64="","",IFERROR(1/(1/IF($B64="Residential",SUMIFS(INDEX('Oxford Economics'!$A$7:$AZ$1000,0,IFERROR(MATCH(AC$5,'Oxford Economics'!$A$6:$AZ$6,0),MATCH(AC$5&amp;"",'Oxford Economics'!$A$6:$AZ$6,0))),'Oxford Economics'!$A$7:$A$1000,$C64,'Oxford Economics'!$B$7:$B$1000,Settings!$B$12)-SUMIFS(INDEX('Oxford Economics'!$A$7:$AZ$1000,0,IFERROR(MATCH(AC$5,'Oxford Economics'!$A$6:$AZ$6,0),MATCH(AC$5&amp;"",'Oxford Economics'!$A$6:$AZ$6,0))),'Oxford Economics'!$A$7:$A$1000,$C64,'Oxford Economics'!$B$7:$B$1000,Settings!$B$14),SUMIFS(INDEX('Oxford Economics'!$A$7:$AZ$1000,0,IFERROR(MATCH(AC$5,'Oxford Economics'!$A$6:$AZ$6,0),MATCH(AC$5&amp;"",'Oxford Economics'!$A$6:$AZ$6,0))),'Oxford Economics'!$A$7:$A$1000,$C64,'Oxford Economics'!$B$7:$B$1000,Settings!$B$14)+SUMIFS(INDEX('Oxford Economics'!$A$7:$AZ$1000,0,IFERROR(MATCH(AC$5,'Oxford Economics'!$A$6:$AZ$6,0),MATCH(AC$5&amp;"",'Oxford Economics'!$A$6:$AZ$6,0))),'Oxford Economics'!$A$7:$A$1000,$C64,'Oxford Economics'!$B$7:$B$1000,Settings!$B$16)+IF(Settings!$B$18="",0,SUMIFS(INDEX('Oxford Economics'!$A$7:$AZ$1000,0,IFERROR(MATCH(AC$5,'Oxford Economics'!$A$6:$AZ$6,0),MATCH(AC$5&amp;"",'Oxford Economics'!$A$6:$AZ$6,0))),'Oxford Economics'!$A$7:$A$1000,$C64,'Oxford Economics'!$B$7:$B$1000,Settings!$B$18)))),""))</f>
        <v>19361.3</v>
      </c>
      <c r="AD64" s="38" t="n">
        <f aca="false">IF($A64="","",IFERROR(1/(1/IF($B64="Residential",SUMIFS(INDEX('Oxford Economics'!$A$7:$AZ$1000,0,IFERROR(MATCH(AD$5,'Oxford Economics'!$A$6:$AZ$6,0),MATCH(AD$5&amp;"",'Oxford Economics'!$A$6:$AZ$6,0))),'Oxford Economics'!$A$7:$A$1000,$C64,'Oxford Economics'!$B$7:$B$1000,Settings!$B$12)-SUMIFS(INDEX('Oxford Economics'!$A$7:$AZ$1000,0,IFERROR(MATCH(AD$5,'Oxford Economics'!$A$6:$AZ$6,0),MATCH(AD$5&amp;"",'Oxford Economics'!$A$6:$AZ$6,0))),'Oxford Economics'!$A$7:$A$1000,$C64,'Oxford Economics'!$B$7:$B$1000,Settings!$B$14),SUMIFS(INDEX('Oxford Economics'!$A$7:$AZ$1000,0,IFERROR(MATCH(AD$5,'Oxford Economics'!$A$6:$AZ$6,0),MATCH(AD$5&amp;"",'Oxford Economics'!$A$6:$AZ$6,0))),'Oxford Economics'!$A$7:$A$1000,$C64,'Oxford Economics'!$B$7:$B$1000,Settings!$B$14)+SUMIFS(INDEX('Oxford Economics'!$A$7:$AZ$1000,0,IFERROR(MATCH(AD$5,'Oxford Economics'!$A$6:$AZ$6,0),MATCH(AD$5&amp;"",'Oxford Economics'!$A$6:$AZ$6,0))),'Oxford Economics'!$A$7:$A$1000,$C64,'Oxford Economics'!$B$7:$B$1000,Settings!$B$16)+IF(Settings!$B$18="",0,SUMIFS(INDEX('Oxford Economics'!$A$7:$AZ$1000,0,IFERROR(MATCH(AD$5,'Oxford Economics'!$A$6:$AZ$6,0),MATCH(AD$5&amp;"",'Oxford Economics'!$A$6:$AZ$6,0))),'Oxford Economics'!$A$7:$A$1000,$C64,'Oxford Economics'!$B$7:$B$1000,Settings!$B$18)))),""))</f>
        <v>18277.37</v>
      </c>
      <c r="AE64" s="38" t="n">
        <f aca="false">IF($A64="","",IFERROR(1/(1/IF($B64="Residential",SUMIFS(INDEX('Oxford Economics'!$A$7:$AZ$1000,0,IFERROR(MATCH(AE$5,'Oxford Economics'!$A$6:$AZ$6,0),MATCH(AE$5&amp;"",'Oxford Economics'!$A$6:$AZ$6,0))),'Oxford Economics'!$A$7:$A$1000,$C64,'Oxford Economics'!$B$7:$B$1000,Settings!$B$12)-SUMIFS(INDEX('Oxford Economics'!$A$7:$AZ$1000,0,IFERROR(MATCH(AE$5,'Oxford Economics'!$A$6:$AZ$6,0),MATCH(AE$5&amp;"",'Oxford Economics'!$A$6:$AZ$6,0))),'Oxford Economics'!$A$7:$A$1000,$C64,'Oxford Economics'!$B$7:$B$1000,Settings!$B$14),SUMIFS(INDEX('Oxford Economics'!$A$7:$AZ$1000,0,IFERROR(MATCH(AE$5,'Oxford Economics'!$A$6:$AZ$6,0),MATCH(AE$5&amp;"",'Oxford Economics'!$A$6:$AZ$6,0))),'Oxford Economics'!$A$7:$A$1000,$C64,'Oxford Economics'!$B$7:$B$1000,Settings!$B$14)+SUMIFS(INDEX('Oxford Economics'!$A$7:$AZ$1000,0,IFERROR(MATCH(AE$5,'Oxford Economics'!$A$6:$AZ$6,0),MATCH(AE$5&amp;"",'Oxford Economics'!$A$6:$AZ$6,0))),'Oxford Economics'!$A$7:$A$1000,$C64,'Oxford Economics'!$B$7:$B$1000,Settings!$B$16)+IF(Settings!$B$18="",0,SUMIFS(INDEX('Oxford Economics'!$A$7:$AZ$1000,0,IFERROR(MATCH(AE$5,'Oxford Economics'!$A$6:$AZ$6,0),MATCH(AE$5&amp;"",'Oxford Economics'!$A$6:$AZ$6,0))),'Oxford Economics'!$A$7:$A$1000,$C64,'Oxford Economics'!$B$7:$B$1000,Settings!$B$18)))),""))</f>
        <v>16190.39</v>
      </c>
      <c r="AF64" s="38" t="n">
        <f aca="false">IF($A64="","",IFERROR(1/(1/IF($B64="Residential",SUMIFS(INDEX('Oxford Economics'!$A$7:$AZ$1000,0,IFERROR(MATCH(AF$5,'Oxford Economics'!$A$6:$AZ$6,0),MATCH(AF$5&amp;"",'Oxford Economics'!$A$6:$AZ$6,0))),'Oxford Economics'!$A$7:$A$1000,$C64,'Oxford Economics'!$B$7:$B$1000,Settings!$B$12)-SUMIFS(INDEX('Oxford Economics'!$A$7:$AZ$1000,0,IFERROR(MATCH(AF$5,'Oxford Economics'!$A$6:$AZ$6,0),MATCH(AF$5&amp;"",'Oxford Economics'!$A$6:$AZ$6,0))),'Oxford Economics'!$A$7:$A$1000,$C64,'Oxford Economics'!$B$7:$B$1000,Settings!$B$14),SUMIFS(INDEX('Oxford Economics'!$A$7:$AZ$1000,0,IFERROR(MATCH(AF$5,'Oxford Economics'!$A$6:$AZ$6,0),MATCH(AF$5&amp;"",'Oxford Economics'!$A$6:$AZ$6,0))),'Oxford Economics'!$A$7:$A$1000,$C64,'Oxford Economics'!$B$7:$B$1000,Settings!$B$14)+SUMIFS(INDEX('Oxford Economics'!$A$7:$AZ$1000,0,IFERROR(MATCH(AF$5,'Oxford Economics'!$A$6:$AZ$6,0),MATCH(AF$5&amp;"",'Oxford Economics'!$A$6:$AZ$6,0))),'Oxford Economics'!$A$7:$A$1000,$C64,'Oxford Economics'!$B$7:$B$1000,Settings!$B$16)+IF(Settings!$B$18="",0,SUMIFS(INDEX('Oxford Economics'!$A$7:$AZ$1000,0,IFERROR(MATCH(AF$5,'Oxford Economics'!$A$6:$AZ$6,0),MATCH(AF$5&amp;"",'Oxford Economics'!$A$6:$AZ$6,0))),'Oxford Economics'!$A$7:$A$1000,$C64,'Oxford Economics'!$B$7:$B$1000,Settings!$B$18)))),""))</f>
        <v>14873.47</v>
      </c>
      <c r="AG64" s="38" t="n">
        <f aca="false">IF($A64="","",IFERROR(1/(1/IF($B64="Residential",SUMIFS(INDEX('Oxford Economics'!$A$7:$AZ$1000,0,IFERROR(MATCH(AG$5,'Oxford Economics'!$A$6:$AZ$6,0),MATCH(AG$5&amp;"",'Oxford Economics'!$A$6:$AZ$6,0))),'Oxford Economics'!$A$7:$A$1000,$C64,'Oxford Economics'!$B$7:$B$1000,Settings!$B$12)-SUMIFS(INDEX('Oxford Economics'!$A$7:$AZ$1000,0,IFERROR(MATCH(AG$5,'Oxford Economics'!$A$6:$AZ$6,0),MATCH(AG$5&amp;"",'Oxford Economics'!$A$6:$AZ$6,0))),'Oxford Economics'!$A$7:$A$1000,$C64,'Oxford Economics'!$B$7:$B$1000,Settings!$B$14),SUMIFS(INDEX('Oxford Economics'!$A$7:$AZ$1000,0,IFERROR(MATCH(AG$5,'Oxford Economics'!$A$6:$AZ$6,0),MATCH(AG$5&amp;"",'Oxford Economics'!$A$6:$AZ$6,0))),'Oxford Economics'!$A$7:$A$1000,$C64,'Oxford Economics'!$B$7:$B$1000,Settings!$B$14)+SUMIFS(INDEX('Oxford Economics'!$A$7:$AZ$1000,0,IFERROR(MATCH(AG$5,'Oxford Economics'!$A$6:$AZ$6,0),MATCH(AG$5&amp;"",'Oxford Economics'!$A$6:$AZ$6,0))),'Oxford Economics'!$A$7:$A$1000,$C64,'Oxford Economics'!$B$7:$B$1000,Settings!$B$16)+IF(Settings!$B$18="",0,SUMIFS(INDEX('Oxford Economics'!$A$7:$AZ$1000,0,IFERROR(MATCH(AG$5,'Oxford Economics'!$A$6:$AZ$6,0),MATCH(AG$5&amp;"",'Oxford Economics'!$A$6:$AZ$6,0))),'Oxford Economics'!$A$7:$A$1000,$C64,'Oxford Economics'!$B$7:$B$1000,Settings!$B$18)))),""))</f>
        <v>13924.27</v>
      </c>
      <c r="AH64" s="38" t="n">
        <f aca="false">IF($A64="","",IFERROR(1/(1/IF($B64="Residential",SUMIFS(INDEX('Oxford Economics'!$A$7:$AZ$1000,0,IFERROR(MATCH(AH$5,'Oxford Economics'!$A$6:$AZ$6,0),MATCH(AH$5&amp;"",'Oxford Economics'!$A$6:$AZ$6,0))),'Oxford Economics'!$A$7:$A$1000,$C64,'Oxford Economics'!$B$7:$B$1000,Settings!$B$12)-SUMIFS(INDEX('Oxford Economics'!$A$7:$AZ$1000,0,IFERROR(MATCH(AH$5,'Oxford Economics'!$A$6:$AZ$6,0),MATCH(AH$5&amp;"",'Oxford Economics'!$A$6:$AZ$6,0))),'Oxford Economics'!$A$7:$A$1000,$C64,'Oxford Economics'!$B$7:$B$1000,Settings!$B$14),SUMIFS(INDEX('Oxford Economics'!$A$7:$AZ$1000,0,IFERROR(MATCH(AH$5,'Oxford Economics'!$A$6:$AZ$6,0),MATCH(AH$5&amp;"",'Oxford Economics'!$A$6:$AZ$6,0))),'Oxford Economics'!$A$7:$A$1000,$C64,'Oxford Economics'!$B$7:$B$1000,Settings!$B$14)+SUMIFS(INDEX('Oxford Economics'!$A$7:$AZ$1000,0,IFERROR(MATCH(AH$5,'Oxford Economics'!$A$6:$AZ$6,0),MATCH(AH$5&amp;"",'Oxford Economics'!$A$6:$AZ$6,0))),'Oxford Economics'!$A$7:$A$1000,$C64,'Oxford Economics'!$B$7:$B$1000,Settings!$B$16)+IF(Settings!$B$18="",0,SUMIFS(INDEX('Oxford Economics'!$A$7:$AZ$1000,0,IFERROR(MATCH(AH$5,'Oxford Economics'!$A$6:$AZ$6,0),MATCH(AH$5&amp;"",'Oxford Economics'!$A$6:$AZ$6,0))),'Oxford Economics'!$A$7:$A$1000,$C64,'Oxford Economics'!$B$7:$B$1000,Settings!$B$18)))),""))</f>
        <v>13713.98</v>
      </c>
      <c r="AI64" s="38" t="n">
        <f aca="false">IF($A64="","",IFERROR(1/(1/IF($B64="Residential",SUMIFS(INDEX('Oxford Economics'!$A$7:$AZ$1000,0,IFERROR(MATCH(AI$5,'Oxford Economics'!$A$6:$AZ$6,0),MATCH(AI$5&amp;"",'Oxford Economics'!$A$6:$AZ$6,0))),'Oxford Economics'!$A$7:$A$1000,$C64,'Oxford Economics'!$B$7:$B$1000,Settings!$B$12)-SUMIFS(INDEX('Oxford Economics'!$A$7:$AZ$1000,0,IFERROR(MATCH(AI$5,'Oxford Economics'!$A$6:$AZ$6,0),MATCH(AI$5&amp;"",'Oxford Economics'!$A$6:$AZ$6,0))),'Oxford Economics'!$A$7:$A$1000,$C64,'Oxford Economics'!$B$7:$B$1000,Settings!$B$14),SUMIFS(INDEX('Oxford Economics'!$A$7:$AZ$1000,0,IFERROR(MATCH(AI$5,'Oxford Economics'!$A$6:$AZ$6,0),MATCH(AI$5&amp;"",'Oxford Economics'!$A$6:$AZ$6,0))),'Oxford Economics'!$A$7:$A$1000,$C64,'Oxford Economics'!$B$7:$B$1000,Settings!$B$14)+SUMIFS(INDEX('Oxford Economics'!$A$7:$AZ$1000,0,IFERROR(MATCH(AI$5,'Oxford Economics'!$A$6:$AZ$6,0),MATCH(AI$5&amp;"",'Oxford Economics'!$A$6:$AZ$6,0))),'Oxford Economics'!$A$7:$A$1000,$C64,'Oxford Economics'!$B$7:$B$1000,Settings!$B$16)+IF(Settings!$B$18="",0,SUMIFS(INDEX('Oxford Economics'!$A$7:$AZ$1000,0,IFERROR(MATCH(AI$5,'Oxford Economics'!$A$6:$AZ$6,0),MATCH(AI$5&amp;"",'Oxford Economics'!$A$6:$AZ$6,0))),'Oxford Economics'!$A$7:$A$1000,$C64,'Oxford Economics'!$B$7:$B$1000,Settings!$B$18)))),""))</f>
        <v>13815.65</v>
      </c>
      <c r="AJ64" s="38" t="n">
        <f aca="false">IF($A64="","",IFERROR(1/(1/IF($B64="Residential",SUMIFS(INDEX('Oxford Economics'!$A$7:$AZ$1000,0,IFERROR(MATCH(AJ$5,'Oxford Economics'!$A$6:$AZ$6,0),MATCH(AJ$5&amp;"",'Oxford Economics'!$A$6:$AZ$6,0))),'Oxford Economics'!$A$7:$A$1000,$C64,'Oxford Economics'!$B$7:$B$1000,Settings!$B$12)-SUMIFS(INDEX('Oxford Economics'!$A$7:$AZ$1000,0,IFERROR(MATCH(AJ$5,'Oxford Economics'!$A$6:$AZ$6,0),MATCH(AJ$5&amp;"",'Oxford Economics'!$A$6:$AZ$6,0))),'Oxford Economics'!$A$7:$A$1000,$C64,'Oxford Economics'!$B$7:$B$1000,Settings!$B$14),SUMIFS(INDEX('Oxford Economics'!$A$7:$AZ$1000,0,IFERROR(MATCH(AJ$5,'Oxford Economics'!$A$6:$AZ$6,0),MATCH(AJ$5&amp;"",'Oxford Economics'!$A$6:$AZ$6,0))),'Oxford Economics'!$A$7:$A$1000,$C64,'Oxford Economics'!$B$7:$B$1000,Settings!$B$14)+SUMIFS(INDEX('Oxford Economics'!$A$7:$AZ$1000,0,IFERROR(MATCH(AJ$5,'Oxford Economics'!$A$6:$AZ$6,0),MATCH(AJ$5&amp;"",'Oxford Economics'!$A$6:$AZ$6,0))),'Oxford Economics'!$A$7:$A$1000,$C64,'Oxford Economics'!$B$7:$B$1000,Settings!$B$16)+IF(Settings!$B$18="",0,SUMIFS(INDEX('Oxford Economics'!$A$7:$AZ$1000,0,IFERROR(MATCH(AJ$5,'Oxford Economics'!$A$6:$AZ$6,0),MATCH(AJ$5&amp;"",'Oxford Economics'!$A$6:$AZ$6,0))),'Oxford Economics'!$A$7:$A$1000,$C64,'Oxford Economics'!$B$7:$B$1000,Settings!$B$18)))),""))</f>
        <v>14343.05</v>
      </c>
      <c r="AK64" s="38" t="n">
        <f aca="false">IF($A64="","",IFERROR(1/(1/IF($B64="Residential",SUMIFS(INDEX('Oxford Economics'!$A$7:$AZ$1000,0,IFERROR(MATCH(AK$5,'Oxford Economics'!$A$6:$AZ$6,0),MATCH(AK$5&amp;"",'Oxford Economics'!$A$6:$AZ$6,0))),'Oxford Economics'!$A$7:$A$1000,$C64,'Oxford Economics'!$B$7:$B$1000,Settings!$B$12)-SUMIFS(INDEX('Oxford Economics'!$A$7:$AZ$1000,0,IFERROR(MATCH(AK$5,'Oxford Economics'!$A$6:$AZ$6,0),MATCH(AK$5&amp;"",'Oxford Economics'!$A$6:$AZ$6,0))),'Oxford Economics'!$A$7:$A$1000,$C64,'Oxford Economics'!$B$7:$B$1000,Settings!$B$14),SUMIFS(INDEX('Oxford Economics'!$A$7:$AZ$1000,0,IFERROR(MATCH(AK$5,'Oxford Economics'!$A$6:$AZ$6,0),MATCH(AK$5&amp;"",'Oxford Economics'!$A$6:$AZ$6,0))),'Oxford Economics'!$A$7:$A$1000,$C64,'Oxford Economics'!$B$7:$B$1000,Settings!$B$14)+SUMIFS(INDEX('Oxford Economics'!$A$7:$AZ$1000,0,IFERROR(MATCH(AK$5,'Oxford Economics'!$A$6:$AZ$6,0),MATCH(AK$5&amp;"",'Oxford Economics'!$A$6:$AZ$6,0))),'Oxford Economics'!$A$7:$A$1000,$C64,'Oxford Economics'!$B$7:$B$1000,Settings!$B$16)+IF(Settings!$B$18="",0,SUMIFS(INDEX('Oxford Economics'!$A$7:$AZ$1000,0,IFERROR(MATCH(AK$5,'Oxford Economics'!$A$6:$AZ$6,0),MATCH(AK$5&amp;"",'Oxford Economics'!$A$6:$AZ$6,0))),'Oxford Economics'!$A$7:$A$1000,$C64,'Oxford Economics'!$B$7:$B$1000,Settings!$B$18)))),""))</f>
        <v>14868.38</v>
      </c>
      <c r="AL64" s="38" t="n">
        <f aca="false">IF($A64="","",IFERROR(1/(1/IF($B64="Residential",SUMIFS(INDEX('Oxford Economics'!$A$7:$AZ$1000,0,IFERROR(MATCH(AL$5,'Oxford Economics'!$A$6:$AZ$6,0),MATCH(AL$5&amp;"",'Oxford Economics'!$A$6:$AZ$6,0))),'Oxford Economics'!$A$7:$A$1000,$C64,'Oxford Economics'!$B$7:$B$1000,Settings!$B$12)-SUMIFS(INDEX('Oxford Economics'!$A$7:$AZ$1000,0,IFERROR(MATCH(AL$5,'Oxford Economics'!$A$6:$AZ$6,0),MATCH(AL$5&amp;"",'Oxford Economics'!$A$6:$AZ$6,0))),'Oxford Economics'!$A$7:$A$1000,$C64,'Oxford Economics'!$B$7:$B$1000,Settings!$B$14),SUMIFS(INDEX('Oxford Economics'!$A$7:$AZ$1000,0,IFERROR(MATCH(AL$5,'Oxford Economics'!$A$6:$AZ$6,0),MATCH(AL$5&amp;"",'Oxford Economics'!$A$6:$AZ$6,0))),'Oxford Economics'!$A$7:$A$1000,$C64,'Oxford Economics'!$B$7:$B$1000,Settings!$B$14)+SUMIFS(INDEX('Oxford Economics'!$A$7:$AZ$1000,0,IFERROR(MATCH(AL$5,'Oxford Economics'!$A$6:$AZ$6,0),MATCH(AL$5&amp;"",'Oxford Economics'!$A$6:$AZ$6,0))),'Oxford Economics'!$A$7:$A$1000,$C64,'Oxford Economics'!$B$7:$B$1000,Settings!$B$16)+IF(Settings!$B$18="",0,SUMIFS(INDEX('Oxford Economics'!$A$7:$AZ$1000,0,IFERROR(MATCH(AL$5,'Oxford Economics'!$A$6:$AZ$6,0),MATCH(AL$5&amp;"",'Oxford Economics'!$A$6:$AZ$6,0))),'Oxford Economics'!$A$7:$A$1000,$C64,'Oxford Economics'!$B$7:$B$1000,Settings!$B$18)))),""))</f>
        <v>15337.61</v>
      </c>
      <c r="AM64" s="38" t="n">
        <f aca="false">IF($A64="","",IFERROR(1/(1/IF($B64="Residential",SUMIFS(INDEX('Oxford Economics'!$A$7:$AZ$1000,0,IFERROR(MATCH(AM$5,'Oxford Economics'!$A$6:$AZ$6,0),MATCH(AM$5&amp;"",'Oxford Economics'!$A$6:$AZ$6,0))),'Oxford Economics'!$A$7:$A$1000,$C64,'Oxford Economics'!$B$7:$B$1000,Settings!$B$12)-SUMIFS(INDEX('Oxford Economics'!$A$7:$AZ$1000,0,IFERROR(MATCH(AM$5,'Oxford Economics'!$A$6:$AZ$6,0),MATCH(AM$5&amp;"",'Oxford Economics'!$A$6:$AZ$6,0))),'Oxford Economics'!$A$7:$A$1000,$C64,'Oxford Economics'!$B$7:$B$1000,Settings!$B$14),SUMIFS(INDEX('Oxford Economics'!$A$7:$AZ$1000,0,IFERROR(MATCH(AM$5,'Oxford Economics'!$A$6:$AZ$6,0),MATCH(AM$5&amp;"",'Oxford Economics'!$A$6:$AZ$6,0))),'Oxford Economics'!$A$7:$A$1000,$C64,'Oxford Economics'!$B$7:$B$1000,Settings!$B$14)+SUMIFS(INDEX('Oxford Economics'!$A$7:$AZ$1000,0,IFERROR(MATCH(AM$5,'Oxford Economics'!$A$6:$AZ$6,0),MATCH(AM$5&amp;"",'Oxford Economics'!$A$6:$AZ$6,0))),'Oxford Economics'!$A$7:$A$1000,$C64,'Oxford Economics'!$B$7:$B$1000,Settings!$B$16)+IF(Settings!$B$18="",0,SUMIFS(INDEX('Oxford Economics'!$A$7:$AZ$1000,0,IFERROR(MATCH(AM$5,'Oxford Economics'!$A$6:$AZ$6,0),MATCH(AM$5&amp;"",'Oxford Economics'!$A$6:$AZ$6,0))),'Oxford Economics'!$A$7:$A$1000,$C64,'Oxford Economics'!$B$7:$B$1000,Settings!$B$18)))),""))</f>
        <v>15801.09</v>
      </c>
    </row>
    <row r="65" customFormat="false" ht="15" hidden="false" customHeight="false" outlineLevel="0" collapsed="false">
      <c r="A65" s="37" t="str">
        <f aca="false">IF('Raw data'!$A65="","",'Raw data'!$A65)</f>
        <v>Austria</v>
      </c>
      <c r="B65" s="37" t="str">
        <f aca="false">IF($A65="","",'Raw data'!$C65)</f>
        <v>Commercial</v>
      </c>
      <c r="C65" s="37" t="str">
        <f aca="false">IF($A65="","",IF('Raw data'!$E65="",$A65,'Raw data'!$E65))</f>
        <v>Austria</v>
      </c>
      <c r="D65" s="38" t="n">
        <f aca="false">IF($A65="","",IF(AND(ISNUMBER(P65),ISNUMBER(AB65)),P65+AB65,""))</f>
        <v>28364.29</v>
      </c>
      <c r="E65" s="38" t="n">
        <f aca="false">IF($A65="","",IF(AND(ISNUMBER(Q65),ISNUMBER(AC65)),Q65+AC65,""))</f>
        <v>27421.59</v>
      </c>
      <c r="F65" s="38" t="n">
        <f aca="false">IF($A65="","",IF(AND(ISNUMBER(R65),ISNUMBER(AD65)),R65+AD65,""))</f>
        <v>26363.28</v>
      </c>
      <c r="G65" s="38" t="n">
        <f aca="false">IF($A65="","",IF(AND(ISNUMBER(S65),ISNUMBER(AE65)),S65+AE65,""))</f>
        <v>24121.99</v>
      </c>
      <c r="H65" s="38" t="n">
        <f aca="false">IF($A65="","",IF(AND(ISNUMBER(T65),ISNUMBER(AF65)),T65+AF65,""))</f>
        <v>22967.55</v>
      </c>
      <c r="I65" s="38" t="n">
        <f aca="false">IF($A65="","",IF(AND(ISNUMBER(U65),ISNUMBER(AG65)),U65+AG65,""))</f>
        <v>21958.65</v>
      </c>
      <c r="J65" s="38" t="n">
        <f aca="false">IF($A65="","",IF(AND(ISNUMBER(V65),ISNUMBER(AH65)),V65+AH65,""))</f>
        <v>22659.23</v>
      </c>
      <c r="K65" s="38" t="n">
        <f aca="false">IF($A65="","",IF(AND(ISNUMBER(W65),ISNUMBER(AI65)),W65+AI65,""))</f>
        <v>23267.17</v>
      </c>
      <c r="L65" s="38" t="n">
        <f aca="false">IF($A65="","",IF(AND(ISNUMBER(X65),ISNUMBER(AJ65)),X65+AJ65,""))</f>
        <v>23988.87</v>
      </c>
      <c r="M65" s="38" t="n">
        <f aca="false">IF($A65="","",IF(AND(ISNUMBER(Y65),ISNUMBER(AK65)),Y65+AK65,""))</f>
        <v>24640.9</v>
      </c>
      <c r="N65" s="38" t="n">
        <f aca="false">IF($A65="","",IF(AND(ISNUMBER(Z65),ISNUMBER(AL65)),Z65+AL65,""))</f>
        <v>25216.02</v>
      </c>
      <c r="O65" s="38" t="n">
        <f aca="false">IF($A65="","",IF(AND(ISNUMBER(AA65),ISNUMBER(AM65)),AA65+AM65,""))</f>
        <v>25728.42</v>
      </c>
      <c r="P65" s="38" t="n">
        <f aca="false">IF($A65="","",IFERROR(1/(1/IF($B65="Residential",SUMIFS(INDEX('Oxford Economics'!$A$7:$AZ$1000,0,IFERROR(MATCH(P$5,'Oxford Economics'!$A$6:$AZ$6,0),MATCH(P$5&amp;"",'Oxford Economics'!$A$6:$AZ$6,0))),'Oxford Economics'!$A$7:$A$1000,$C65,'Oxford Economics'!$B$7:$B$1000,Settings!$B$13)-SUMIFS(INDEX('Oxford Economics'!$A$7:$AZ$1000,0,IFERROR(MATCH(P$5,'Oxford Economics'!$A$6:$AZ$6,0),MATCH(P$5&amp;"",'Oxford Economics'!$A$6:$AZ$6,0))),'Oxford Economics'!$A$7:$A$1000,$C65,'Oxford Economics'!$B$7:$B$1000,Settings!$B$15),SUMIFS(INDEX('Oxford Economics'!$A$7:$AZ$1000,0,IFERROR(MATCH(P$5,'Oxford Economics'!$A$6:$AZ$6,0),MATCH(P$5&amp;"",'Oxford Economics'!$A$6:$AZ$6,0))),'Oxford Economics'!$A$7:$A$1000,$C65,'Oxford Economics'!$B$7:$B$1000,Settings!$B$15)+SUMIFS(INDEX('Oxford Economics'!$A$7:$AZ$1000,0,IFERROR(MATCH(P$5,'Oxford Economics'!$A$6:$AZ$6,0),MATCH(P$5&amp;"",'Oxford Economics'!$A$6:$AZ$6,0))),'Oxford Economics'!$A$7:$A$1000,$C65,'Oxford Economics'!$B$7:$B$1000,Settings!$B$17)+IF(Settings!$B$19="",0,SUMIFS(INDEX('Oxford Economics'!$A$7:$AZ$1000,0,IFERROR(MATCH(P$5,'Oxford Economics'!$A$6:$AZ$6,0),MATCH(P$5&amp;"",'Oxford Economics'!$A$6:$AZ$6,0))),'Oxford Economics'!$A$7:$A$1000,$C65,'Oxford Economics'!$B$7:$B$1000,Settings!$B$19)))),""))</f>
        <v>8264.15</v>
      </c>
      <c r="Q65" s="38" t="n">
        <f aca="false">IF($A65="","",IFERROR(1/(1/IF($B65="Residential",SUMIFS(INDEX('Oxford Economics'!$A$7:$AZ$1000,0,IFERROR(MATCH(Q$5,'Oxford Economics'!$A$6:$AZ$6,0),MATCH(Q$5&amp;"",'Oxford Economics'!$A$6:$AZ$6,0))),'Oxford Economics'!$A$7:$A$1000,$C65,'Oxford Economics'!$B$7:$B$1000,Settings!$B$13)-SUMIFS(INDEX('Oxford Economics'!$A$7:$AZ$1000,0,IFERROR(MATCH(Q$5,'Oxford Economics'!$A$6:$AZ$6,0),MATCH(Q$5&amp;"",'Oxford Economics'!$A$6:$AZ$6,0))),'Oxford Economics'!$A$7:$A$1000,$C65,'Oxford Economics'!$B$7:$B$1000,Settings!$B$15),SUMIFS(INDEX('Oxford Economics'!$A$7:$AZ$1000,0,IFERROR(MATCH(Q$5,'Oxford Economics'!$A$6:$AZ$6,0),MATCH(Q$5&amp;"",'Oxford Economics'!$A$6:$AZ$6,0))),'Oxford Economics'!$A$7:$A$1000,$C65,'Oxford Economics'!$B$7:$B$1000,Settings!$B$15)+SUMIFS(INDEX('Oxford Economics'!$A$7:$AZ$1000,0,IFERROR(MATCH(Q$5,'Oxford Economics'!$A$6:$AZ$6,0),MATCH(Q$5&amp;"",'Oxford Economics'!$A$6:$AZ$6,0))),'Oxford Economics'!$A$7:$A$1000,$C65,'Oxford Economics'!$B$7:$B$1000,Settings!$B$17)+IF(Settings!$B$19="",0,SUMIFS(INDEX('Oxford Economics'!$A$7:$AZ$1000,0,IFERROR(MATCH(Q$5,'Oxford Economics'!$A$6:$AZ$6,0),MATCH(Q$5&amp;"",'Oxford Economics'!$A$6:$AZ$6,0))),'Oxford Economics'!$A$7:$A$1000,$C65,'Oxford Economics'!$B$7:$B$1000,Settings!$B$19)))),""))</f>
        <v>8060.29</v>
      </c>
      <c r="R65" s="38" t="n">
        <f aca="false">IF($A65="","",IFERROR(1/(1/IF($B65="Residential",SUMIFS(INDEX('Oxford Economics'!$A$7:$AZ$1000,0,IFERROR(MATCH(R$5,'Oxford Economics'!$A$6:$AZ$6,0),MATCH(R$5&amp;"",'Oxford Economics'!$A$6:$AZ$6,0))),'Oxford Economics'!$A$7:$A$1000,$C65,'Oxford Economics'!$B$7:$B$1000,Settings!$B$13)-SUMIFS(INDEX('Oxford Economics'!$A$7:$AZ$1000,0,IFERROR(MATCH(R$5,'Oxford Economics'!$A$6:$AZ$6,0),MATCH(R$5&amp;"",'Oxford Economics'!$A$6:$AZ$6,0))),'Oxford Economics'!$A$7:$A$1000,$C65,'Oxford Economics'!$B$7:$B$1000,Settings!$B$15),SUMIFS(INDEX('Oxford Economics'!$A$7:$AZ$1000,0,IFERROR(MATCH(R$5,'Oxford Economics'!$A$6:$AZ$6,0),MATCH(R$5&amp;"",'Oxford Economics'!$A$6:$AZ$6,0))),'Oxford Economics'!$A$7:$A$1000,$C65,'Oxford Economics'!$B$7:$B$1000,Settings!$B$15)+SUMIFS(INDEX('Oxford Economics'!$A$7:$AZ$1000,0,IFERROR(MATCH(R$5,'Oxford Economics'!$A$6:$AZ$6,0),MATCH(R$5&amp;"",'Oxford Economics'!$A$6:$AZ$6,0))),'Oxford Economics'!$A$7:$A$1000,$C65,'Oxford Economics'!$B$7:$B$1000,Settings!$B$17)+IF(Settings!$B$19="",0,SUMIFS(INDEX('Oxford Economics'!$A$7:$AZ$1000,0,IFERROR(MATCH(R$5,'Oxford Economics'!$A$6:$AZ$6,0),MATCH(R$5&amp;"",'Oxford Economics'!$A$6:$AZ$6,0))),'Oxford Economics'!$A$7:$A$1000,$C65,'Oxford Economics'!$B$7:$B$1000,Settings!$B$19)))),""))</f>
        <v>8085.91</v>
      </c>
      <c r="S65" s="38" t="n">
        <f aca="false">IF($A65="","",IFERROR(1/(1/IF($B65="Residential",SUMIFS(INDEX('Oxford Economics'!$A$7:$AZ$1000,0,IFERROR(MATCH(S$5,'Oxford Economics'!$A$6:$AZ$6,0),MATCH(S$5&amp;"",'Oxford Economics'!$A$6:$AZ$6,0))),'Oxford Economics'!$A$7:$A$1000,$C65,'Oxford Economics'!$B$7:$B$1000,Settings!$B$13)-SUMIFS(INDEX('Oxford Economics'!$A$7:$AZ$1000,0,IFERROR(MATCH(S$5,'Oxford Economics'!$A$6:$AZ$6,0),MATCH(S$5&amp;"",'Oxford Economics'!$A$6:$AZ$6,0))),'Oxford Economics'!$A$7:$A$1000,$C65,'Oxford Economics'!$B$7:$B$1000,Settings!$B$15),SUMIFS(INDEX('Oxford Economics'!$A$7:$AZ$1000,0,IFERROR(MATCH(S$5,'Oxford Economics'!$A$6:$AZ$6,0),MATCH(S$5&amp;"",'Oxford Economics'!$A$6:$AZ$6,0))),'Oxford Economics'!$A$7:$A$1000,$C65,'Oxford Economics'!$B$7:$B$1000,Settings!$B$15)+SUMIFS(INDEX('Oxford Economics'!$A$7:$AZ$1000,0,IFERROR(MATCH(S$5,'Oxford Economics'!$A$6:$AZ$6,0),MATCH(S$5&amp;"",'Oxford Economics'!$A$6:$AZ$6,0))),'Oxford Economics'!$A$7:$A$1000,$C65,'Oxford Economics'!$B$7:$B$1000,Settings!$B$17)+IF(Settings!$B$19="",0,SUMIFS(INDEX('Oxford Economics'!$A$7:$AZ$1000,0,IFERROR(MATCH(S$5,'Oxford Economics'!$A$6:$AZ$6,0),MATCH(S$5&amp;"",'Oxford Economics'!$A$6:$AZ$6,0))),'Oxford Economics'!$A$7:$A$1000,$C65,'Oxford Economics'!$B$7:$B$1000,Settings!$B$19)))),""))</f>
        <v>7931.6</v>
      </c>
      <c r="T65" s="38" t="n">
        <f aca="false">IF($A65="","",IFERROR(1/(1/IF($B65="Residential",SUMIFS(INDEX('Oxford Economics'!$A$7:$AZ$1000,0,IFERROR(MATCH(T$5,'Oxford Economics'!$A$6:$AZ$6,0),MATCH(T$5&amp;"",'Oxford Economics'!$A$6:$AZ$6,0))),'Oxford Economics'!$A$7:$A$1000,$C65,'Oxford Economics'!$B$7:$B$1000,Settings!$B$13)-SUMIFS(INDEX('Oxford Economics'!$A$7:$AZ$1000,0,IFERROR(MATCH(T$5,'Oxford Economics'!$A$6:$AZ$6,0),MATCH(T$5&amp;"",'Oxford Economics'!$A$6:$AZ$6,0))),'Oxford Economics'!$A$7:$A$1000,$C65,'Oxford Economics'!$B$7:$B$1000,Settings!$B$15),SUMIFS(INDEX('Oxford Economics'!$A$7:$AZ$1000,0,IFERROR(MATCH(T$5,'Oxford Economics'!$A$6:$AZ$6,0),MATCH(T$5&amp;"",'Oxford Economics'!$A$6:$AZ$6,0))),'Oxford Economics'!$A$7:$A$1000,$C65,'Oxford Economics'!$B$7:$B$1000,Settings!$B$15)+SUMIFS(INDEX('Oxford Economics'!$A$7:$AZ$1000,0,IFERROR(MATCH(T$5,'Oxford Economics'!$A$6:$AZ$6,0),MATCH(T$5&amp;"",'Oxford Economics'!$A$6:$AZ$6,0))),'Oxford Economics'!$A$7:$A$1000,$C65,'Oxford Economics'!$B$7:$B$1000,Settings!$B$17)+IF(Settings!$B$19="",0,SUMIFS(INDEX('Oxford Economics'!$A$7:$AZ$1000,0,IFERROR(MATCH(T$5,'Oxford Economics'!$A$6:$AZ$6,0),MATCH(T$5&amp;"",'Oxford Economics'!$A$6:$AZ$6,0))),'Oxford Economics'!$A$7:$A$1000,$C65,'Oxford Economics'!$B$7:$B$1000,Settings!$B$19)))),""))</f>
        <v>8094.08</v>
      </c>
      <c r="U65" s="38" t="n">
        <f aca="false">IF($A65="","",IFERROR(1/(1/IF($B65="Residential",SUMIFS(INDEX('Oxford Economics'!$A$7:$AZ$1000,0,IFERROR(MATCH(U$5,'Oxford Economics'!$A$6:$AZ$6,0),MATCH(U$5&amp;"",'Oxford Economics'!$A$6:$AZ$6,0))),'Oxford Economics'!$A$7:$A$1000,$C65,'Oxford Economics'!$B$7:$B$1000,Settings!$B$13)-SUMIFS(INDEX('Oxford Economics'!$A$7:$AZ$1000,0,IFERROR(MATCH(U$5,'Oxford Economics'!$A$6:$AZ$6,0),MATCH(U$5&amp;"",'Oxford Economics'!$A$6:$AZ$6,0))),'Oxford Economics'!$A$7:$A$1000,$C65,'Oxford Economics'!$B$7:$B$1000,Settings!$B$15),SUMIFS(INDEX('Oxford Economics'!$A$7:$AZ$1000,0,IFERROR(MATCH(U$5,'Oxford Economics'!$A$6:$AZ$6,0),MATCH(U$5&amp;"",'Oxford Economics'!$A$6:$AZ$6,0))),'Oxford Economics'!$A$7:$A$1000,$C65,'Oxford Economics'!$B$7:$B$1000,Settings!$B$15)+SUMIFS(INDEX('Oxford Economics'!$A$7:$AZ$1000,0,IFERROR(MATCH(U$5,'Oxford Economics'!$A$6:$AZ$6,0),MATCH(U$5&amp;"",'Oxford Economics'!$A$6:$AZ$6,0))),'Oxford Economics'!$A$7:$A$1000,$C65,'Oxford Economics'!$B$7:$B$1000,Settings!$B$17)+IF(Settings!$B$19="",0,SUMIFS(INDEX('Oxford Economics'!$A$7:$AZ$1000,0,IFERROR(MATCH(U$5,'Oxford Economics'!$A$6:$AZ$6,0),MATCH(U$5&amp;"",'Oxford Economics'!$A$6:$AZ$6,0))),'Oxford Economics'!$A$7:$A$1000,$C65,'Oxford Economics'!$B$7:$B$1000,Settings!$B$19)))),""))</f>
        <v>8034.38</v>
      </c>
      <c r="V65" s="38" t="n">
        <f aca="false">IF($A65="","",IFERROR(1/(1/IF($B65="Residential",SUMIFS(INDEX('Oxford Economics'!$A$7:$AZ$1000,0,IFERROR(MATCH(V$5,'Oxford Economics'!$A$6:$AZ$6,0),MATCH(V$5&amp;"",'Oxford Economics'!$A$6:$AZ$6,0))),'Oxford Economics'!$A$7:$A$1000,$C65,'Oxford Economics'!$B$7:$B$1000,Settings!$B$13)-SUMIFS(INDEX('Oxford Economics'!$A$7:$AZ$1000,0,IFERROR(MATCH(V$5,'Oxford Economics'!$A$6:$AZ$6,0),MATCH(V$5&amp;"",'Oxford Economics'!$A$6:$AZ$6,0))),'Oxford Economics'!$A$7:$A$1000,$C65,'Oxford Economics'!$B$7:$B$1000,Settings!$B$15),SUMIFS(INDEX('Oxford Economics'!$A$7:$AZ$1000,0,IFERROR(MATCH(V$5,'Oxford Economics'!$A$6:$AZ$6,0),MATCH(V$5&amp;"",'Oxford Economics'!$A$6:$AZ$6,0))),'Oxford Economics'!$A$7:$A$1000,$C65,'Oxford Economics'!$B$7:$B$1000,Settings!$B$15)+SUMIFS(INDEX('Oxford Economics'!$A$7:$AZ$1000,0,IFERROR(MATCH(V$5,'Oxford Economics'!$A$6:$AZ$6,0),MATCH(V$5&amp;"",'Oxford Economics'!$A$6:$AZ$6,0))),'Oxford Economics'!$A$7:$A$1000,$C65,'Oxford Economics'!$B$7:$B$1000,Settings!$B$17)+IF(Settings!$B$19="",0,SUMIFS(INDEX('Oxford Economics'!$A$7:$AZ$1000,0,IFERROR(MATCH(V$5,'Oxford Economics'!$A$6:$AZ$6,0),MATCH(V$5&amp;"",'Oxford Economics'!$A$6:$AZ$6,0))),'Oxford Economics'!$A$7:$A$1000,$C65,'Oxford Economics'!$B$7:$B$1000,Settings!$B$19)))),""))</f>
        <v>8945.25</v>
      </c>
      <c r="W65" s="38" t="n">
        <f aca="false">IF($A65="","",IFERROR(1/(1/IF($B65="Residential",SUMIFS(INDEX('Oxford Economics'!$A$7:$AZ$1000,0,IFERROR(MATCH(W$5,'Oxford Economics'!$A$6:$AZ$6,0),MATCH(W$5&amp;"",'Oxford Economics'!$A$6:$AZ$6,0))),'Oxford Economics'!$A$7:$A$1000,$C65,'Oxford Economics'!$B$7:$B$1000,Settings!$B$13)-SUMIFS(INDEX('Oxford Economics'!$A$7:$AZ$1000,0,IFERROR(MATCH(W$5,'Oxford Economics'!$A$6:$AZ$6,0),MATCH(W$5&amp;"",'Oxford Economics'!$A$6:$AZ$6,0))),'Oxford Economics'!$A$7:$A$1000,$C65,'Oxford Economics'!$B$7:$B$1000,Settings!$B$15),SUMIFS(INDEX('Oxford Economics'!$A$7:$AZ$1000,0,IFERROR(MATCH(W$5,'Oxford Economics'!$A$6:$AZ$6,0),MATCH(W$5&amp;"",'Oxford Economics'!$A$6:$AZ$6,0))),'Oxford Economics'!$A$7:$A$1000,$C65,'Oxford Economics'!$B$7:$B$1000,Settings!$B$15)+SUMIFS(INDEX('Oxford Economics'!$A$7:$AZ$1000,0,IFERROR(MATCH(W$5,'Oxford Economics'!$A$6:$AZ$6,0),MATCH(W$5&amp;"",'Oxford Economics'!$A$6:$AZ$6,0))),'Oxford Economics'!$A$7:$A$1000,$C65,'Oxford Economics'!$B$7:$B$1000,Settings!$B$17)+IF(Settings!$B$19="",0,SUMIFS(INDEX('Oxford Economics'!$A$7:$AZ$1000,0,IFERROR(MATCH(W$5,'Oxford Economics'!$A$6:$AZ$6,0),MATCH(W$5&amp;"",'Oxford Economics'!$A$6:$AZ$6,0))),'Oxford Economics'!$A$7:$A$1000,$C65,'Oxford Economics'!$B$7:$B$1000,Settings!$B$19)))),""))</f>
        <v>9451.52</v>
      </c>
      <c r="X65" s="38" t="n">
        <f aca="false">IF($A65="","",IFERROR(1/(1/IF($B65="Residential",SUMIFS(INDEX('Oxford Economics'!$A$7:$AZ$1000,0,IFERROR(MATCH(X$5,'Oxford Economics'!$A$6:$AZ$6,0),MATCH(X$5&amp;"",'Oxford Economics'!$A$6:$AZ$6,0))),'Oxford Economics'!$A$7:$A$1000,$C65,'Oxford Economics'!$B$7:$B$1000,Settings!$B$13)-SUMIFS(INDEX('Oxford Economics'!$A$7:$AZ$1000,0,IFERROR(MATCH(X$5,'Oxford Economics'!$A$6:$AZ$6,0),MATCH(X$5&amp;"",'Oxford Economics'!$A$6:$AZ$6,0))),'Oxford Economics'!$A$7:$A$1000,$C65,'Oxford Economics'!$B$7:$B$1000,Settings!$B$15),SUMIFS(INDEX('Oxford Economics'!$A$7:$AZ$1000,0,IFERROR(MATCH(X$5,'Oxford Economics'!$A$6:$AZ$6,0),MATCH(X$5&amp;"",'Oxford Economics'!$A$6:$AZ$6,0))),'Oxford Economics'!$A$7:$A$1000,$C65,'Oxford Economics'!$B$7:$B$1000,Settings!$B$15)+SUMIFS(INDEX('Oxford Economics'!$A$7:$AZ$1000,0,IFERROR(MATCH(X$5,'Oxford Economics'!$A$6:$AZ$6,0),MATCH(X$5&amp;"",'Oxford Economics'!$A$6:$AZ$6,0))),'Oxford Economics'!$A$7:$A$1000,$C65,'Oxford Economics'!$B$7:$B$1000,Settings!$B$17)+IF(Settings!$B$19="",0,SUMIFS(INDEX('Oxford Economics'!$A$7:$AZ$1000,0,IFERROR(MATCH(X$5,'Oxford Economics'!$A$6:$AZ$6,0),MATCH(X$5&amp;"",'Oxford Economics'!$A$6:$AZ$6,0))),'Oxford Economics'!$A$7:$A$1000,$C65,'Oxford Economics'!$B$7:$B$1000,Settings!$B$19)))),""))</f>
        <v>9645.82</v>
      </c>
      <c r="Y65" s="38" t="n">
        <f aca="false">IF($A65="","",IFERROR(1/(1/IF($B65="Residential",SUMIFS(INDEX('Oxford Economics'!$A$7:$AZ$1000,0,IFERROR(MATCH(Y$5,'Oxford Economics'!$A$6:$AZ$6,0),MATCH(Y$5&amp;"",'Oxford Economics'!$A$6:$AZ$6,0))),'Oxford Economics'!$A$7:$A$1000,$C65,'Oxford Economics'!$B$7:$B$1000,Settings!$B$13)-SUMIFS(INDEX('Oxford Economics'!$A$7:$AZ$1000,0,IFERROR(MATCH(Y$5,'Oxford Economics'!$A$6:$AZ$6,0),MATCH(Y$5&amp;"",'Oxford Economics'!$A$6:$AZ$6,0))),'Oxford Economics'!$A$7:$A$1000,$C65,'Oxford Economics'!$B$7:$B$1000,Settings!$B$15),SUMIFS(INDEX('Oxford Economics'!$A$7:$AZ$1000,0,IFERROR(MATCH(Y$5,'Oxford Economics'!$A$6:$AZ$6,0),MATCH(Y$5&amp;"",'Oxford Economics'!$A$6:$AZ$6,0))),'Oxford Economics'!$A$7:$A$1000,$C65,'Oxford Economics'!$B$7:$B$1000,Settings!$B$15)+SUMIFS(INDEX('Oxford Economics'!$A$7:$AZ$1000,0,IFERROR(MATCH(Y$5,'Oxford Economics'!$A$6:$AZ$6,0),MATCH(Y$5&amp;"",'Oxford Economics'!$A$6:$AZ$6,0))),'Oxford Economics'!$A$7:$A$1000,$C65,'Oxford Economics'!$B$7:$B$1000,Settings!$B$17)+IF(Settings!$B$19="",0,SUMIFS(INDEX('Oxford Economics'!$A$7:$AZ$1000,0,IFERROR(MATCH(Y$5,'Oxford Economics'!$A$6:$AZ$6,0),MATCH(Y$5&amp;"",'Oxford Economics'!$A$6:$AZ$6,0))),'Oxford Economics'!$A$7:$A$1000,$C65,'Oxford Economics'!$B$7:$B$1000,Settings!$B$19)))),""))</f>
        <v>9772.52</v>
      </c>
      <c r="Z65" s="38" t="n">
        <f aca="false">IF($A65="","",IFERROR(1/(1/IF($B65="Residential",SUMIFS(INDEX('Oxford Economics'!$A$7:$AZ$1000,0,IFERROR(MATCH(Z$5,'Oxford Economics'!$A$6:$AZ$6,0),MATCH(Z$5&amp;"",'Oxford Economics'!$A$6:$AZ$6,0))),'Oxford Economics'!$A$7:$A$1000,$C65,'Oxford Economics'!$B$7:$B$1000,Settings!$B$13)-SUMIFS(INDEX('Oxford Economics'!$A$7:$AZ$1000,0,IFERROR(MATCH(Z$5,'Oxford Economics'!$A$6:$AZ$6,0),MATCH(Z$5&amp;"",'Oxford Economics'!$A$6:$AZ$6,0))),'Oxford Economics'!$A$7:$A$1000,$C65,'Oxford Economics'!$B$7:$B$1000,Settings!$B$15),SUMIFS(INDEX('Oxford Economics'!$A$7:$AZ$1000,0,IFERROR(MATCH(Z$5,'Oxford Economics'!$A$6:$AZ$6,0),MATCH(Z$5&amp;"",'Oxford Economics'!$A$6:$AZ$6,0))),'Oxford Economics'!$A$7:$A$1000,$C65,'Oxford Economics'!$B$7:$B$1000,Settings!$B$15)+SUMIFS(INDEX('Oxford Economics'!$A$7:$AZ$1000,0,IFERROR(MATCH(Z$5,'Oxford Economics'!$A$6:$AZ$6,0),MATCH(Z$5&amp;"",'Oxford Economics'!$A$6:$AZ$6,0))),'Oxford Economics'!$A$7:$A$1000,$C65,'Oxford Economics'!$B$7:$B$1000,Settings!$B$17)+IF(Settings!$B$19="",0,SUMIFS(INDEX('Oxford Economics'!$A$7:$AZ$1000,0,IFERROR(MATCH(Z$5,'Oxford Economics'!$A$6:$AZ$6,0),MATCH(Z$5&amp;"",'Oxford Economics'!$A$6:$AZ$6,0))),'Oxford Economics'!$A$7:$A$1000,$C65,'Oxford Economics'!$B$7:$B$1000,Settings!$B$19)))),""))</f>
        <v>9878.41</v>
      </c>
      <c r="AA65" s="38" t="n">
        <f aca="false">IF($A65="","",IFERROR(1/(1/IF($B65="Residential",SUMIFS(INDEX('Oxford Economics'!$A$7:$AZ$1000,0,IFERROR(MATCH(AA$5,'Oxford Economics'!$A$6:$AZ$6,0),MATCH(AA$5&amp;"",'Oxford Economics'!$A$6:$AZ$6,0))),'Oxford Economics'!$A$7:$A$1000,$C65,'Oxford Economics'!$B$7:$B$1000,Settings!$B$13)-SUMIFS(INDEX('Oxford Economics'!$A$7:$AZ$1000,0,IFERROR(MATCH(AA$5,'Oxford Economics'!$A$6:$AZ$6,0),MATCH(AA$5&amp;"",'Oxford Economics'!$A$6:$AZ$6,0))),'Oxford Economics'!$A$7:$A$1000,$C65,'Oxford Economics'!$B$7:$B$1000,Settings!$B$15),SUMIFS(INDEX('Oxford Economics'!$A$7:$AZ$1000,0,IFERROR(MATCH(AA$5,'Oxford Economics'!$A$6:$AZ$6,0),MATCH(AA$5&amp;"",'Oxford Economics'!$A$6:$AZ$6,0))),'Oxford Economics'!$A$7:$A$1000,$C65,'Oxford Economics'!$B$7:$B$1000,Settings!$B$15)+SUMIFS(INDEX('Oxford Economics'!$A$7:$AZ$1000,0,IFERROR(MATCH(AA$5,'Oxford Economics'!$A$6:$AZ$6,0),MATCH(AA$5&amp;"",'Oxford Economics'!$A$6:$AZ$6,0))),'Oxford Economics'!$A$7:$A$1000,$C65,'Oxford Economics'!$B$7:$B$1000,Settings!$B$17)+IF(Settings!$B$19="",0,SUMIFS(INDEX('Oxford Economics'!$A$7:$AZ$1000,0,IFERROR(MATCH(AA$5,'Oxford Economics'!$A$6:$AZ$6,0),MATCH(AA$5&amp;"",'Oxford Economics'!$A$6:$AZ$6,0))),'Oxford Economics'!$A$7:$A$1000,$C65,'Oxford Economics'!$B$7:$B$1000,Settings!$B$19)))),""))</f>
        <v>9927.33</v>
      </c>
      <c r="AB65" s="38" t="n">
        <f aca="false">IF($A65="","",IFERROR(1/(1/IF($B65="Residential",SUMIFS(INDEX('Oxford Economics'!$A$7:$AZ$1000,0,IFERROR(MATCH(AB$5,'Oxford Economics'!$A$6:$AZ$6,0),MATCH(AB$5&amp;"",'Oxford Economics'!$A$6:$AZ$6,0))),'Oxford Economics'!$A$7:$A$1000,$C65,'Oxford Economics'!$B$7:$B$1000,Settings!$B$12)-SUMIFS(INDEX('Oxford Economics'!$A$7:$AZ$1000,0,IFERROR(MATCH(AB$5,'Oxford Economics'!$A$6:$AZ$6,0),MATCH(AB$5&amp;"",'Oxford Economics'!$A$6:$AZ$6,0))),'Oxford Economics'!$A$7:$A$1000,$C65,'Oxford Economics'!$B$7:$B$1000,Settings!$B$14),SUMIFS(INDEX('Oxford Economics'!$A$7:$AZ$1000,0,IFERROR(MATCH(AB$5,'Oxford Economics'!$A$6:$AZ$6,0),MATCH(AB$5&amp;"",'Oxford Economics'!$A$6:$AZ$6,0))),'Oxford Economics'!$A$7:$A$1000,$C65,'Oxford Economics'!$B$7:$B$1000,Settings!$B$14)+SUMIFS(INDEX('Oxford Economics'!$A$7:$AZ$1000,0,IFERROR(MATCH(AB$5,'Oxford Economics'!$A$6:$AZ$6,0),MATCH(AB$5&amp;"",'Oxford Economics'!$A$6:$AZ$6,0))),'Oxford Economics'!$A$7:$A$1000,$C65,'Oxford Economics'!$B$7:$B$1000,Settings!$B$16)+IF(Settings!$B$18="",0,SUMIFS(INDEX('Oxford Economics'!$A$7:$AZ$1000,0,IFERROR(MATCH(AB$5,'Oxford Economics'!$A$6:$AZ$6,0),MATCH(AB$5&amp;"",'Oxford Economics'!$A$6:$AZ$6,0))),'Oxford Economics'!$A$7:$A$1000,$C65,'Oxford Economics'!$B$7:$B$1000,Settings!$B$18)))),""))</f>
        <v>20100.14</v>
      </c>
      <c r="AC65" s="38" t="n">
        <f aca="false">IF($A65="","",IFERROR(1/(1/IF($B65="Residential",SUMIFS(INDEX('Oxford Economics'!$A$7:$AZ$1000,0,IFERROR(MATCH(AC$5,'Oxford Economics'!$A$6:$AZ$6,0),MATCH(AC$5&amp;"",'Oxford Economics'!$A$6:$AZ$6,0))),'Oxford Economics'!$A$7:$A$1000,$C65,'Oxford Economics'!$B$7:$B$1000,Settings!$B$12)-SUMIFS(INDEX('Oxford Economics'!$A$7:$AZ$1000,0,IFERROR(MATCH(AC$5,'Oxford Economics'!$A$6:$AZ$6,0),MATCH(AC$5&amp;"",'Oxford Economics'!$A$6:$AZ$6,0))),'Oxford Economics'!$A$7:$A$1000,$C65,'Oxford Economics'!$B$7:$B$1000,Settings!$B$14),SUMIFS(INDEX('Oxford Economics'!$A$7:$AZ$1000,0,IFERROR(MATCH(AC$5,'Oxford Economics'!$A$6:$AZ$6,0),MATCH(AC$5&amp;"",'Oxford Economics'!$A$6:$AZ$6,0))),'Oxford Economics'!$A$7:$A$1000,$C65,'Oxford Economics'!$B$7:$B$1000,Settings!$B$14)+SUMIFS(INDEX('Oxford Economics'!$A$7:$AZ$1000,0,IFERROR(MATCH(AC$5,'Oxford Economics'!$A$6:$AZ$6,0),MATCH(AC$5&amp;"",'Oxford Economics'!$A$6:$AZ$6,0))),'Oxford Economics'!$A$7:$A$1000,$C65,'Oxford Economics'!$B$7:$B$1000,Settings!$B$16)+IF(Settings!$B$18="",0,SUMIFS(INDEX('Oxford Economics'!$A$7:$AZ$1000,0,IFERROR(MATCH(AC$5,'Oxford Economics'!$A$6:$AZ$6,0),MATCH(AC$5&amp;"",'Oxford Economics'!$A$6:$AZ$6,0))),'Oxford Economics'!$A$7:$A$1000,$C65,'Oxford Economics'!$B$7:$B$1000,Settings!$B$18)))),""))</f>
        <v>19361.3</v>
      </c>
      <c r="AD65" s="38" t="n">
        <f aca="false">IF($A65="","",IFERROR(1/(1/IF($B65="Residential",SUMIFS(INDEX('Oxford Economics'!$A$7:$AZ$1000,0,IFERROR(MATCH(AD$5,'Oxford Economics'!$A$6:$AZ$6,0),MATCH(AD$5&amp;"",'Oxford Economics'!$A$6:$AZ$6,0))),'Oxford Economics'!$A$7:$A$1000,$C65,'Oxford Economics'!$B$7:$B$1000,Settings!$B$12)-SUMIFS(INDEX('Oxford Economics'!$A$7:$AZ$1000,0,IFERROR(MATCH(AD$5,'Oxford Economics'!$A$6:$AZ$6,0),MATCH(AD$5&amp;"",'Oxford Economics'!$A$6:$AZ$6,0))),'Oxford Economics'!$A$7:$A$1000,$C65,'Oxford Economics'!$B$7:$B$1000,Settings!$B$14),SUMIFS(INDEX('Oxford Economics'!$A$7:$AZ$1000,0,IFERROR(MATCH(AD$5,'Oxford Economics'!$A$6:$AZ$6,0),MATCH(AD$5&amp;"",'Oxford Economics'!$A$6:$AZ$6,0))),'Oxford Economics'!$A$7:$A$1000,$C65,'Oxford Economics'!$B$7:$B$1000,Settings!$B$14)+SUMIFS(INDEX('Oxford Economics'!$A$7:$AZ$1000,0,IFERROR(MATCH(AD$5,'Oxford Economics'!$A$6:$AZ$6,0),MATCH(AD$5&amp;"",'Oxford Economics'!$A$6:$AZ$6,0))),'Oxford Economics'!$A$7:$A$1000,$C65,'Oxford Economics'!$B$7:$B$1000,Settings!$B$16)+IF(Settings!$B$18="",0,SUMIFS(INDEX('Oxford Economics'!$A$7:$AZ$1000,0,IFERROR(MATCH(AD$5,'Oxford Economics'!$A$6:$AZ$6,0),MATCH(AD$5&amp;"",'Oxford Economics'!$A$6:$AZ$6,0))),'Oxford Economics'!$A$7:$A$1000,$C65,'Oxford Economics'!$B$7:$B$1000,Settings!$B$18)))),""))</f>
        <v>18277.37</v>
      </c>
      <c r="AE65" s="38" t="n">
        <f aca="false">IF($A65="","",IFERROR(1/(1/IF($B65="Residential",SUMIFS(INDEX('Oxford Economics'!$A$7:$AZ$1000,0,IFERROR(MATCH(AE$5,'Oxford Economics'!$A$6:$AZ$6,0),MATCH(AE$5&amp;"",'Oxford Economics'!$A$6:$AZ$6,0))),'Oxford Economics'!$A$7:$A$1000,$C65,'Oxford Economics'!$B$7:$B$1000,Settings!$B$12)-SUMIFS(INDEX('Oxford Economics'!$A$7:$AZ$1000,0,IFERROR(MATCH(AE$5,'Oxford Economics'!$A$6:$AZ$6,0),MATCH(AE$5&amp;"",'Oxford Economics'!$A$6:$AZ$6,0))),'Oxford Economics'!$A$7:$A$1000,$C65,'Oxford Economics'!$B$7:$B$1000,Settings!$B$14),SUMIFS(INDEX('Oxford Economics'!$A$7:$AZ$1000,0,IFERROR(MATCH(AE$5,'Oxford Economics'!$A$6:$AZ$6,0),MATCH(AE$5&amp;"",'Oxford Economics'!$A$6:$AZ$6,0))),'Oxford Economics'!$A$7:$A$1000,$C65,'Oxford Economics'!$B$7:$B$1000,Settings!$B$14)+SUMIFS(INDEX('Oxford Economics'!$A$7:$AZ$1000,0,IFERROR(MATCH(AE$5,'Oxford Economics'!$A$6:$AZ$6,0),MATCH(AE$5&amp;"",'Oxford Economics'!$A$6:$AZ$6,0))),'Oxford Economics'!$A$7:$A$1000,$C65,'Oxford Economics'!$B$7:$B$1000,Settings!$B$16)+IF(Settings!$B$18="",0,SUMIFS(INDEX('Oxford Economics'!$A$7:$AZ$1000,0,IFERROR(MATCH(AE$5,'Oxford Economics'!$A$6:$AZ$6,0),MATCH(AE$5&amp;"",'Oxford Economics'!$A$6:$AZ$6,0))),'Oxford Economics'!$A$7:$A$1000,$C65,'Oxford Economics'!$B$7:$B$1000,Settings!$B$18)))),""))</f>
        <v>16190.39</v>
      </c>
      <c r="AF65" s="38" t="n">
        <f aca="false">IF($A65="","",IFERROR(1/(1/IF($B65="Residential",SUMIFS(INDEX('Oxford Economics'!$A$7:$AZ$1000,0,IFERROR(MATCH(AF$5,'Oxford Economics'!$A$6:$AZ$6,0),MATCH(AF$5&amp;"",'Oxford Economics'!$A$6:$AZ$6,0))),'Oxford Economics'!$A$7:$A$1000,$C65,'Oxford Economics'!$B$7:$B$1000,Settings!$B$12)-SUMIFS(INDEX('Oxford Economics'!$A$7:$AZ$1000,0,IFERROR(MATCH(AF$5,'Oxford Economics'!$A$6:$AZ$6,0),MATCH(AF$5&amp;"",'Oxford Economics'!$A$6:$AZ$6,0))),'Oxford Economics'!$A$7:$A$1000,$C65,'Oxford Economics'!$B$7:$B$1000,Settings!$B$14),SUMIFS(INDEX('Oxford Economics'!$A$7:$AZ$1000,0,IFERROR(MATCH(AF$5,'Oxford Economics'!$A$6:$AZ$6,0),MATCH(AF$5&amp;"",'Oxford Economics'!$A$6:$AZ$6,0))),'Oxford Economics'!$A$7:$A$1000,$C65,'Oxford Economics'!$B$7:$B$1000,Settings!$B$14)+SUMIFS(INDEX('Oxford Economics'!$A$7:$AZ$1000,0,IFERROR(MATCH(AF$5,'Oxford Economics'!$A$6:$AZ$6,0),MATCH(AF$5&amp;"",'Oxford Economics'!$A$6:$AZ$6,0))),'Oxford Economics'!$A$7:$A$1000,$C65,'Oxford Economics'!$B$7:$B$1000,Settings!$B$16)+IF(Settings!$B$18="",0,SUMIFS(INDEX('Oxford Economics'!$A$7:$AZ$1000,0,IFERROR(MATCH(AF$5,'Oxford Economics'!$A$6:$AZ$6,0),MATCH(AF$5&amp;"",'Oxford Economics'!$A$6:$AZ$6,0))),'Oxford Economics'!$A$7:$A$1000,$C65,'Oxford Economics'!$B$7:$B$1000,Settings!$B$18)))),""))</f>
        <v>14873.47</v>
      </c>
      <c r="AG65" s="38" t="n">
        <f aca="false">IF($A65="","",IFERROR(1/(1/IF($B65="Residential",SUMIFS(INDEX('Oxford Economics'!$A$7:$AZ$1000,0,IFERROR(MATCH(AG$5,'Oxford Economics'!$A$6:$AZ$6,0),MATCH(AG$5&amp;"",'Oxford Economics'!$A$6:$AZ$6,0))),'Oxford Economics'!$A$7:$A$1000,$C65,'Oxford Economics'!$B$7:$B$1000,Settings!$B$12)-SUMIFS(INDEX('Oxford Economics'!$A$7:$AZ$1000,0,IFERROR(MATCH(AG$5,'Oxford Economics'!$A$6:$AZ$6,0),MATCH(AG$5&amp;"",'Oxford Economics'!$A$6:$AZ$6,0))),'Oxford Economics'!$A$7:$A$1000,$C65,'Oxford Economics'!$B$7:$B$1000,Settings!$B$14),SUMIFS(INDEX('Oxford Economics'!$A$7:$AZ$1000,0,IFERROR(MATCH(AG$5,'Oxford Economics'!$A$6:$AZ$6,0),MATCH(AG$5&amp;"",'Oxford Economics'!$A$6:$AZ$6,0))),'Oxford Economics'!$A$7:$A$1000,$C65,'Oxford Economics'!$B$7:$B$1000,Settings!$B$14)+SUMIFS(INDEX('Oxford Economics'!$A$7:$AZ$1000,0,IFERROR(MATCH(AG$5,'Oxford Economics'!$A$6:$AZ$6,0),MATCH(AG$5&amp;"",'Oxford Economics'!$A$6:$AZ$6,0))),'Oxford Economics'!$A$7:$A$1000,$C65,'Oxford Economics'!$B$7:$B$1000,Settings!$B$16)+IF(Settings!$B$18="",0,SUMIFS(INDEX('Oxford Economics'!$A$7:$AZ$1000,0,IFERROR(MATCH(AG$5,'Oxford Economics'!$A$6:$AZ$6,0),MATCH(AG$5&amp;"",'Oxford Economics'!$A$6:$AZ$6,0))),'Oxford Economics'!$A$7:$A$1000,$C65,'Oxford Economics'!$B$7:$B$1000,Settings!$B$18)))),""))</f>
        <v>13924.27</v>
      </c>
      <c r="AH65" s="38" t="n">
        <f aca="false">IF($A65="","",IFERROR(1/(1/IF($B65="Residential",SUMIFS(INDEX('Oxford Economics'!$A$7:$AZ$1000,0,IFERROR(MATCH(AH$5,'Oxford Economics'!$A$6:$AZ$6,0),MATCH(AH$5&amp;"",'Oxford Economics'!$A$6:$AZ$6,0))),'Oxford Economics'!$A$7:$A$1000,$C65,'Oxford Economics'!$B$7:$B$1000,Settings!$B$12)-SUMIFS(INDEX('Oxford Economics'!$A$7:$AZ$1000,0,IFERROR(MATCH(AH$5,'Oxford Economics'!$A$6:$AZ$6,0),MATCH(AH$5&amp;"",'Oxford Economics'!$A$6:$AZ$6,0))),'Oxford Economics'!$A$7:$A$1000,$C65,'Oxford Economics'!$B$7:$B$1000,Settings!$B$14),SUMIFS(INDEX('Oxford Economics'!$A$7:$AZ$1000,0,IFERROR(MATCH(AH$5,'Oxford Economics'!$A$6:$AZ$6,0),MATCH(AH$5&amp;"",'Oxford Economics'!$A$6:$AZ$6,0))),'Oxford Economics'!$A$7:$A$1000,$C65,'Oxford Economics'!$B$7:$B$1000,Settings!$B$14)+SUMIFS(INDEX('Oxford Economics'!$A$7:$AZ$1000,0,IFERROR(MATCH(AH$5,'Oxford Economics'!$A$6:$AZ$6,0),MATCH(AH$5&amp;"",'Oxford Economics'!$A$6:$AZ$6,0))),'Oxford Economics'!$A$7:$A$1000,$C65,'Oxford Economics'!$B$7:$B$1000,Settings!$B$16)+IF(Settings!$B$18="",0,SUMIFS(INDEX('Oxford Economics'!$A$7:$AZ$1000,0,IFERROR(MATCH(AH$5,'Oxford Economics'!$A$6:$AZ$6,0),MATCH(AH$5&amp;"",'Oxford Economics'!$A$6:$AZ$6,0))),'Oxford Economics'!$A$7:$A$1000,$C65,'Oxford Economics'!$B$7:$B$1000,Settings!$B$18)))),""))</f>
        <v>13713.98</v>
      </c>
      <c r="AI65" s="38" t="n">
        <f aca="false">IF($A65="","",IFERROR(1/(1/IF($B65="Residential",SUMIFS(INDEX('Oxford Economics'!$A$7:$AZ$1000,0,IFERROR(MATCH(AI$5,'Oxford Economics'!$A$6:$AZ$6,0),MATCH(AI$5&amp;"",'Oxford Economics'!$A$6:$AZ$6,0))),'Oxford Economics'!$A$7:$A$1000,$C65,'Oxford Economics'!$B$7:$B$1000,Settings!$B$12)-SUMIFS(INDEX('Oxford Economics'!$A$7:$AZ$1000,0,IFERROR(MATCH(AI$5,'Oxford Economics'!$A$6:$AZ$6,0),MATCH(AI$5&amp;"",'Oxford Economics'!$A$6:$AZ$6,0))),'Oxford Economics'!$A$7:$A$1000,$C65,'Oxford Economics'!$B$7:$B$1000,Settings!$B$14),SUMIFS(INDEX('Oxford Economics'!$A$7:$AZ$1000,0,IFERROR(MATCH(AI$5,'Oxford Economics'!$A$6:$AZ$6,0),MATCH(AI$5&amp;"",'Oxford Economics'!$A$6:$AZ$6,0))),'Oxford Economics'!$A$7:$A$1000,$C65,'Oxford Economics'!$B$7:$B$1000,Settings!$B$14)+SUMIFS(INDEX('Oxford Economics'!$A$7:$AZ$1000,0,IFERROR(MATCH(AI$5,'Oxford Economics'!$A$6:$AZ$6,0),MATCH(AI$5&amp;"",'Oxford Economics'!$A$6:$AZ$6,0))),'Oxford Economics'!$A$7:$A$1000,$C65,'Oxford Economics'!$B$7:$B$1000,Settings!$B$16)+IF(Settings!$B$18="",0,SUMIFS(INDEX('Oxford Economics'!$A$7:$AZ$1000,0,IFERROR(MATCH(AI$5,'Oxford Economics'!$A$6:$AZ$6,0),MATCH(AI$5&amp;"",'Oxford Economics'!$A$6:$AZ$6,0))),'Oxford Economics'!$A$7:$A$1000,$C65,'Oxford Economics'!$B$7:$B$1000,Settings!$B$18)))),""))</f>
        <v>13815.65</v>
      </c>
      <c r="AJ65" s="38" t="n">
        <f aca="false">IF($A65="","",IFERROR(1/(1/IF($B65="Residential",SUMIFS(INDEX('Oxford Economics'!$A$7:$AZ$1000,0,IFERROR(MATCH(AJ$5,'Oxford Economics'!$A$6:$AZ$6,0),MATCH(AJ$5&amp;"",'Oxford Economics'!$A$6:$AZ$6,0))),'Oxford Economics'!$A$7:$A$1000,$C65,'Oxford Economics'!$B$7:$B$1000,Settings!$B$12)-SUMIFS(INDEX('Oxford Economics'!$A$7:$AZ$1000,0,IFERROR(MATCH(AJ$5,'Oxford Economics'!$A$6:$AZ$6,0),MATCH(AJ$5&amp;"",'Oxford Economics'!$A$6:$AZ$6,0))),'Oxford Economics'!$A$7:$A$1000,$C65,'Oxford Economics'!$B$7:$B$1000,Settings!$B$14),SUMIFS(INDEX('Oxford Economics'!$A$7:$AZ$1000,0,IFERROR(MATCH(AJ$5,'Oxford Economics'!$A$6:$AZ$6,0),MATCH(AJ$5&amp;"",'Oxford Economics'!$A$6:$AZ$6,0))),'Oxford Economics'!$A$7:$A$1000,$C65,'Oxford Economics'!$B$7:$B$1000,Settings!$B$14)+SUMIFS(INDEX('Oxford Economics'!$A$7:$AZ$1000,0,IFERROR(MATCH(AJ$5,'Oxford Economics'!$A$6:$AZ$6,0),MATCH(AJ$5&amp;"",'Oxford Economics'!$A$6:$AZ$6,0))),'Oxford Economics'!$A$7:$A$1000,$C65,'Oxford Economics'!$B$7:$B$1000,Settings!$B$16)+IF(Settings!$B$18="",0,SUMIFS(INDEX('Oxford Economics'!$A$7:$AZ$1000,0,IFERROR(MATCH(AJ$5,'Oxford Economics'!$A$6:$AZ$6,0),MATCH(AJ$5&amp;"",'Oxford Economics'!$A$6:$AZ$6,0))),'Oxford Economics'!$A$7:$A$1000,$C65,'Oxford Economics'!$B$7:$B$1000,Settings!$B$18)))),""))</f>
        <v>14343.05</v>
      </c>
      <c r="AK65" s="38" t="n">
        <f aca="false">IF($A65="","",IFERROR(1/(1/IF($B65="Residential",SUMIFS(INDEX('Oxford Economics'!$A$7:$AZ$1000,0,IFERROR(MATCH(AK$5,'Oxford Economics'!$A$6:$AZ$6,0),MATCH(AK$5&amp;"",'Oxford Economics'!$A$6:$AZ$6,0))),'Oxford Economics'!$A$7:$A$1000,$C65,'Oxford Economics'!$B$7:$B$1000,Settings!$B$12)-SUMIFS(INDEX('Oxford Economics'!$A$7:$AZ$1000,0,IFERROR(MATCH(AK$5,'Oxford Economics'!$A$6:$AZ$6,0),MATCH(AK$5&amp;"",'Oxford Economics'!$A$6:$AZ$6,0))),'Oxford Economics'!$A$7:$A$1000,$C65,'Oxford Economics'!$B$7:$B$1000,Settings!$B$14),SUMIFS(INDEX('Oxford Economics'!$A$7:$AZ$1000,0,IFERROR(MATCH(AK$5,'Oxford Economics'!$A$6:$AZ$6,0),MATCH(AK$5&amp;"",'Oxford Economics'!$A$6:$AZ$6,0))),'Oxford Economics'!$A$7:$A$1000,$C65,'Oxford Economics'!$B$7:$B$1000,Settings!$B$14)+SUMIFS(INDEX('Oxford Economics'!$A$7:$AZ$1000,0,IFERROR(MATCH(AK$5,'Oxford Economics'!$A$6:$AZ$6,0),MATCH(AK$5&amp;"",'Oxford Economics'!$A$6:$AZ$6,0))),'Oxford Economics'!$A$7:$A$1000,$C65,'Oxford Economics'!$B$7:$B$1000,Settings!$B$16)+IF(Settings!$B$18="",0,SUMIFS(INDEX('Oxford Economics'!$A$7:$AZ$1000,0,IFERROR(MATCH(AK$5,'Oxford Economics'!$A$6:$AZ$6,0),MATCH(AK$5&amp;"",'Oxford Economics'!$A$6:$AZ$6,0))),'Oxford Economics'!$A$7:$A$1000,$C65,'Oxford Economics'!$B$7:$B$1000,Settings!$B$18)))),""))</f>
        <v>14868.38</v>
      </c>
      <c r="AL65" s="38" t="n">
        <f aca="false">IF($A65="","",IFERROR(1/(1/IF($B65="Residential",SUMIFS(INDEX('Oxford Economics'!$A$7:$AZ$1000,0,IFERROR(MATCH(AL$5,'Oxford Economics'!$A$6:$AZ$6,0),MATCH(AL$5&amp;"",'Oxford Economics'!$A$6:$AZ$6,0))),'Oxford Economics'!$A$7:$A$1000,$C65,'Oxford Economics'!$B$7:$B$1000,Settings!$B$12)-SUMIFS(INDEX('Oxford Economics'!$A$7:$AZ$1000,0,IFERROR(MATCH(AL$5,'Oxford Economics'!$A$6:$AZ$6,0),MATCH(AL$5&amp;"",'Oxford Economics'!$A$6:$AZ$6,0))),'Oxford Economics'!$A$7:$A$1000,$C65,'Oxford Economics'!$B$7:$B$1000,Settings!$B$14),SUMIFS(INDEX('Oxford Economics'!$A$7:$AZ$1000,0,IFERROR(MATCH(AL$5,'Oxford Economics'!$A$6:$AZ$6,0),MATCH(AL$5&amp;"",'Oxford Economics'!$A$6:$AZ$6,0))),'Oxford Economics'!$A$7:$A$1000,$C65,'Oxford Economics'!$B$7:$B$1000,Settings!$B$14)+SUMIFS(INDEX('Oxford Economics'!$A$7:$AZ$1000,0,IFERROR(MATCH(AL$5,'Oxford Economics'!$A$6:$AZ$6,0),MATCH(AL$5&amp;"",'Oxford Economics'!$A$6:$AZ$6,0))),'Oxford Economics'!$A$7:$A$1000,$C65,'Oxford Economics'!$B$7:$B$1000,Settings!$B$16)+IF(Settings!$B$18="",0,SUMIFS(INDEX('Oxford Economics'!$A$7:$AZ$1000,0,IFERROR(MATCH(AL$5,'Oxford Economics'!$A$6:$AZ$6,0),MATCH(AL$5&amp;"",'Oxford Economics'!$A$6:$AZ$6,0))),'Oxford Economics'!$A$7:$A$1000,$C65,'Oxford Economics'!$B$7:$B$1000,Settings!$B$18)))),""))</f>
        <v>15337.61</v>
      </c>
      <c r="AM65" s="38" t="n">
        <f aca="false">IF($A65="","",IFERROR(1/(1/IF($B65="Residential",SUMIFS(INDEX('Oxford Economics'!$A$7:$AZ$1000,0,IFERROR(MATCH(AM$5,'Oxford Economics'!$A$6:$AZ$6,0),MATCH(AM$5&amp;"",'Oxford Economics'!$A$6:$AZ$6,0))),'Oxford Economics'!$A$7:$A$1000,$C65,'Oxford Economics'!$B$7:$B$1000,Settings!$B$12)-SUMIFS(INDEX('Oxford Economics'!$A$7:$AZ$1000,0,IFERROR(MATCH(AM$5,'Oxford Economics'!$A$6:$AZ$6,0),MATCH(AM$5&amp;"",'Oxford Economics'!$A$6:$AZ$6,0))),'Oxford Economics'!$A$7:$A$1000,$C65,'Oxford Economics'!$B$7:$B$1000,Settings!$B$14),SUMIFS(INDEX('Oxford Economics'!$A$7:$AZ$1000,0,IFERROR(MATCH(AM$5,'Oxford Economics'!$A$6:$AZ$6,0),MATCH(AM$5&amp;"",'Oxford Economics'!$A$6:$AZ$6,0))),'Oxford Economics'!$A$7:$A$1000,$C65,'Oxford Economics'!$B$7:$B$1000,Settings!$B$14)+SUMIFS(INDEX('Oxford Economics'!$A$7:$AZ$1000,0,IFERROR(MATCH(AM$5,'Oxford Economics'!$A$6:$AZ$6,0),MATCH(AM$5&amp;"",'Oxford Economics'!$A$6:$AZ$6,0))),'Oxford Economics'!$A$7:$A$1000,$C65,'Oxford Economics'!$B$7:$B$1000,Settings!$B$16)+IF(Settings!$B$18="",0,SUMIFS(INDEX('Oxford Economics'!$A$7:$AZ$1000,0,IFERROR(MATCH(AM$5,'Oxford Economics'!$A$6:$AZ$6,0),MATCH(AM$5&amp;"",'Oxford Economics'!$A$6:$AZ$6,0))),'Oxford Economics'!$A$7:$A$1000,$C65,'Oxford Economics'!$B$7:$B$1000,Settings!$B$18)))),""))</f>
        <v>15801.09</v>
      </c>
    </row>
    <row r="66" customFormat="false" ht="15" hidden="false" customHeight="false" outlineLevel="0" collapsed="false">
      <c r="A66" s="37" t="str">
        <f aca="false">IF('Raw data'!$A66="","",'Raw data'!$A66)</f>
        <v>Switzerland</v>
      </c>
      <c r="B66" s="37" t="str">
        <f aca="false">IF($A66="","",'Raw data'!$C66)</f>
        <v>Residential</v>
      </c>
      <c r="C66" s="37" t="str">
        <f aca="false">IF($A66="","",IF('Raw data'!$E66="",$A66,'Raw data'!$E66))</f>
        <v>Switzerland</v>
      </c>
      <c r="D66" s="38" t="n">
        <f aca="false">IF($A66="","",IF(AND(ISNUMBER(P66),ISNUMBER(AB66)),P66+AB66,""))</f>
        <v>6780.24</v>
      </c>
      <c r="E66" s="38" t="n">
        <f aca="false">IF($A66="","",IF(AND(ISNUMBER(Q66),ISNUMBER(AC66)),Q66+AC66,""))</f>
        <v>7167.09</v>
      </c>
      <c r="F66" s="38" t="n">
        <f aca="false">IF($A66="","",IF(AND(ISNUMBER(R66),ISNUMBER(AD66)),R66+AD66,""))</f>
        <v>7020.15</v>
      </c>
      <c r="G66" s="38" t="n">
        <f aca="false">IF($A66="","",IF(AND(ISNUMBER(S66),ISNUMBER(AE66)),S66+AE66,""))</f>
        <v>6865.73</v>
      </c>
      <c r="H66" s="38" t="n">
        <f aca="false">IF($A66="","",IF(AND(ISNUMBER(T66),ISNUMBER(AF66)),T66+AF66,""))</f>
        <v>6812.66</v>
      </c>
      <c r="I66" s="38" t="n">
        <f aca="false">IF($A66="","",IF(AND(ISNUMBER(U66),ISNUMBER(AG66)),U66+AG66,""))</f>
        <v>6790.22</v>
      </c>
      <c r="J66" s="38" t="n">
        <f aca="false">IF($A66="","",IF(AND(ISNUMBER(V66),ISNUMBER(AH66)),V66+AH66,""))</f>
        <v>6736.92</v>
      </c>
      <c r="K66" s="38" t="n">
        <f aca="false">IF($A66="","",IF(AND(ISNUMBER(W66),ISNUMBER(AI66)),W66+AI66,""))</f>
        <v>6878.64</v>
      </c>
      <c r="L66" s="38" t="n">
        <f aca="false">IF($A66="","",IF(AND(ISNUMBER(X66),ISNUMBER(AJ66)),X66+AJ66,""))</f>
        <v>7139.26</v>
      </c>
      <c r="M66" s="38" t="n">
        <f aca="false">IF($A66="","",IF(AND(ISNUMBER(Y66),ISNUMBER(AK66)),Y66+AK66,""))</f>
        <v>7041.04</v>
      </c>
      <c r="N66" s="38" t="n">
        <f aca="false">IF($A66="","",IF(AND(ISNUMBER(Z66),ISNUMBER(AL66)),Z66+AL66,""))</f>
        <v>7066.26</v>
      </c>
      <c r="O66" s="38" t="n">
        <f aca="false">IF($A66="","",IF(AND(ISNUMBER(AA66),ISNUMBER(AM66)),AA66+AM66,""))</f>
        <v>7235.03</v>
      </c>
      <c r="P66" s="38" t="n">
        <f aca="false">IF($A66="","",IFERROR(1/(1/IF($B66="Residential",SUMIFS(INDEX('Oxford Economics'!$A$7:$AZ$1000,0,IFERROR(MATCH(P$5,'Oxford Economics'!$A$6:$AZ$6,0),MATCH(P$5&amp;"",'Oxford Economics'!$A$6:$AZ$6,0))),'Oxford Economics'!$A$7:$A$1000,$C66,'Oxford Economics'!$B$7:$B$1000,Settings!$B$13)-SUMIFS(INDEX('Oxford Economics'!$A$7:$AZ$1000,0,IFERROR(MATCH(P$5,'Oxford Economics'!$A$6:$AZ$6,0),MATCH(P$5&amp;"",'Oxford Economics'!$A$6:$AZ$6,0))),'Oxford Economics'!$A$7:$A$1000,$C66,'Oxford Economics'!$B$7:$B$1000,Settings!$B$15),SUMIFS(INDEX('Oxford Economics'!$A$7:$AZ$1000,0,IFERROR(MATCH(P$5,'Oxford Economics'!$A$6:$AZ$6,0),MATCH(P$5&amp;"",'Oxford Economics'!$A$6:$AZ$6,0))),'Oxford Economics'!$A$7:$A$1000,$C66,'Oxford Economics'!$B$7:$B$1000,Settings!$B$15)+SUMIFS(INDEX('Oxford Economics'!$A$7:$AZ$1000,0,IFERROR(MATCH(P$5,'Oxford Economics'!$A$6:$AZ$6,0),MATCH(P$5&amp;"",'Oxford Economics'!$A$6:$AZ$6,0))),'Oxford Economics'!$A$7:$A$1000,$C66,'Oxford Economics'!$B$7:$B$1000,Settings!$B$17)+IF(Settings!$B$19="",0,SUMIFS(INDEX('Oxford Economics'!$A$7:$AZ$1000,0,IFERROR(MATCH(P$5,'Oxford Economics'!$A$6:$AZ$6,0),MATCH(P$5&amp;"",'Oxford Economics'!$A$6:$AZ$6,0))),'Oxford Economics'!$A$7:$A$1000,$C66,'Oxford Economics'!$B$7:$B$1000,Settings!$B$19)))),""))</f>
        <v>3028.71</v>
      </c>
      <c r="Q66" s="38" t="n">
        <f aca="false">IF($A66="","",IFERROR(1/(1/IF($B66="Residential",SUMIFS(INDEX('Oxford Economics'!$A$7:$AZ$1000,0,IFERROR(MATCH(Q$5,'Oxford Economics'!$A$6:$AZ$6,0),MATCH(Q$5&amp;"",'Oxford Economics'!$A$6:$AZ$6,0))),'Oxford Economics'!$A$7:$A$1000,$C66,'Oxford Economics'!$B$7:$B$1000,Settings!$B$13)-SUMIFS(INDEX('Oxford Economics'!$A$7:$AZ$1000,0,IFERROR(MATCH(Q$5,'Oxford Economics'!$A$6:$AZ$6,0),MATCH(Q$5&amp;"",'Oxford Economics'!$A$6:$AZ$6,0))),'Oxford Economics'!$A$7:$A$1000,$C66,'Oxford Economics'!$B$7:$B$1000,Settings!$B$15),SUMIFS(INDEX('Oxford Economics'!$A$7:$AZ$1000,0,IFERROR(MATCH(Q$5,'Oxford Economics'!$A$6:$AZ$6,0),MATCH(Q$5&amp;"",'Oxford Economics'!$A$6:$AZ$6,0))),'Oxford Economics'!$A$7:$A$1000,$C66,'Oxford Economics'!$B$7:$B$1000,Settings!$B$15)+SUMIFS(INDEX('Oxford Economics'!$A$7:$AZ$1000,0,IFERROR(MATCH(Q$5,'Oxford Economics'!$A$6:$AZ$6,0),MATCH(Q$5&amp;"",'Oxford Economics'!$A$6:$AZ$6,0))),'Oxford Economics'!$A$7:$A$1000,$C66,'Oxford Economics'!$B$7:$B$1000,Settings!$B$17)+IF(Settings!$B$19="",0,SUMIFS(INDEX('Oxford Economics'!$A$7:$AZ$1000,0,IFERROR(MATCH(Q$5,'Oxford Economics'!$A$6:$AZ$6,0),MATCH(Q$5&amp;"",'Oxford Economics'!$A$6:$AZ$6,0))),'Oxford Economics'!$A$7:$A$1000,$C66,'Oxford Economics'!$B$7:$B$1000,Settings!$B$19)))),""))</f>
        <v>3115.27</v>
      </c>
      <c r="R66" s="38" t="n">
        <f aca="false">IF($A66="","",IFERROR(1/(1/IF($B66="Residential",SUMIFS(INDEX('Oxford Economics'!$A$7:$AZ$1000,0,IFERROR(MATCH(R$5,'Oxford Economics'!$A$6:$AZ$6,0),MATCH(R$5&amp;"",'Oxford Economics'!$A$6:$AZ$6,0))),'Oxford Economics'!$A$7:$A$1000,$C66,'Oxford Economics'!$B$7:$B$1000,Settings!$B$13)-SUMIFS(INDEX('Oxford Economics'!$A$7:$AZ$1000,0,IFERROR(MATCH(R$5,'Oxford Economics'!$A$6:$AZ$6,0),MATCH(R$5&amp;"",'Oxford Economics'!$A$6:$AZ$6,0))),'Oxford Economics'!$A$7:$A$1000,$C66,'Oxford Economics'!$B$7:$B$1000,Settings!$B$15),SUMIFS(INDEX('Oxford Economics'!$A$7:$AZ$1000,0,IFERROR(MATCH(R$5,'Oxford Economics'!$A$6:$AZ$6,0),MATCH(R$5&amp;"",'Oxford Economics'!$A$6:$AZ$6,0))),'Oxford Economics'!$A$7:$A$1000,$C66,'Oxford Economics'!$B$7:$B$1000,Settings!$B$15)+SUMIFS(INDEX('Oxford Economics'!$A$7:$AZ$1000,0,IFERROR(MATCH(R$5,'Oxford Economics'!$A$6:$AZ$6,0),MATCH(R$5&amp;"",'Oxford Economics'!$A$6:$AZ$6,0))),'Oxford Economics'!$A$7:$A$1000,$C66,'Oxford Economics'!$B$7:$B$1000,Settings!$B$17)+IF(Settings!$B$19="",0,SUMIFS(INDEX('Oxford Economics'!$A$7:$AZ$1000,0,IFERROR(MATCH(R$5,'Oxford Economics'!$A$6:$AZ$6,0),MATCH(R$5&amp;"",'Oxford Economics'!$A$6:$AZ$6,0))),'Oxford Economics'!$A$7:$A$1000,$C66,'Oxford Economics'!$B$7:$B$1000,Settings!$B$19)))),""))</f>
        <v>3015.93</v>
      </c>
      <c r="S66" s="38" t="n">
        <f aca="false">IF($A66="","",IFERROR(1/(1/IF($B66="Residential",SUMIFS(INDEX('Oxford Economics'!$A$7:$AZ$1000,0,IFERROR(MATCH(S$5,'Oxford Economics'!$A$6:$AZ$6,0),MATCH(S$5&amp;"",'Oxford Economics'!$A$6:$AZ$6,0))),'Oxford Economics'!$A$7:$A$1000,$C66,'Oxford Economics'!$B$7:$B$1000,Settings!$B$13)-SUMIFS(INDEX('Oxford Economics'!$A$7:$AZ$1000,0,IFERROR(MATCH(S$5,'Oxford Economics'!$A$6:$AZ$6,0),MATCH(S$5&amp;"",'Oxford Economics'!$A$6:$AZ$6,0))),'Oxford Economics'!$A$7:$A$1000,$C66,'Oxford Economics'!$B$7:$B$1000,Settings!$B$15),SUMIFS(INDEX('Oxford Economics'!$A$7:$AZ$1000,0,IFERROR(MATCH(S$5,'Oxford Economics'!$A$6:$AZ$6,0),MATCH(S$5&amp;"",'Oxford Economics'!$A$6:$AZ$6,0))),'Oxford Economics'!$A$7:$A$1000,$C66,'Oxford Economics'!$B$7:$B$1000,Settings!$B$15)+SUMIFS(INDEX('Oxford Economics'!$A$7:$AZ$1000,0,IFERROR(MATCH(S$5,'Oxford Economics'!$A$6:$AZ$6,0),MATCH(S$5&amp;"",'Oxford Economics'!$A$6:$AZ$6,0))),'Oxford Economics'!$A$7:$A$1000,$C66,'Oxford Economics'!$B$7:$B$1000,Settings!$B$17)+IF(Settings!$B$19="",0,SUMIFS(INDEX('Oxford Economics'!$A$7:$AZ$1000,0,IFERROR(MATCH(S$5,'Oxford Economics'!$A$6:$AZ$6,0),MATCH(S$5&amp;"",'Oxford Economics'!$A$6:$AZ$6,0))),'Oxford Economics'!$A$7:$A$1000,$C66,'Oxford Economics'!$B$7:$B$1000,Settings!$B$19)))),""))</f>
        <v>2931.44</v>
      </c>
      <c r="T66" s="38" t="n">
        <f aca="false">IF($A66="","",IFERROR(1/(1/IF($B66="Residential",SUMIFS(INDEX('Oxford Economics'!$A$7:$AZ$1000,0,IFERROR(MATCH(T$5,'Oxford Economics'!$A$6:$AZ$6,0),MATCH(T$5&amp;"",'Oxford Economics'!$A$6:$AZ$6,0))),'Oxford Economics'!$A$7:$A$1000,$C66,'Oxford Economics'!$B$7:$B$1000,Settings!$B$13)-SUMIFS(INDEX('Oxford Economics'!$A$7:$AZ$1000,0,IFERROR(MATCH(T$5,'Oxford Economics'!$A$6:$AZ$6,0),MATCH(T$5&amp;"",'Oxford Economics'!$A$6:$AZ$6,0))),'Oxford Economics'!$A$7:$A$1000,$C66,'Oxford Economics'!$B$7:$B$1000,Settings!$B$15),SUMIFS(INDEX('Oxford Economics'!$A$7:$AZ$1000,0,IFERROR(MATCH(T$5,'Oxford Economics'!$A$6:$AZ$6,0),MATCH(T$5&amp;"",'Oxford Economics'!$A$6:$AZ$6,0))),'Oxford Economics'!$A$7:$A$1000,$C66,'Oxford Economics'!$B$7:$B$1000,Settings!$B$15)+SUMIFS(INDEX('Oxford Economics'!$A$7:$AZ$1000,0,IFERROR(MATCH(T$5,'Oxford Economics'!$A$6:$AZ$6,0),MATCH(T$5&amp;"",'Oxford Economics'!$A$6:$AZ$6,0))),'Oxford Economics'!$A$7:$A$1000,$C66,'Oxford Economics'!$B$7:$B$1000,Settings!$B$17)+IF(Settings!$B$19="",0,SUMIFS(INDEX('Oxford Economics'!$A$7:$AZ$1000,0,IFERROR(MATCH(T$5,'Oxford Economics'!$A$6:$AZ$6,0),MATCH(T$5&amp;"",'Oxford Economics'!$A$6:$AZ$6,0))),'Oxford Economics'!$A$7:$A$1000,$C66,'Oxford Economics'!$B$7:$B$1000,Settings!$B$19)))),""))</f>
        <v>2912.97</v>
      </c>
      <c r="U66" s="38" t="n">
        <f aca="false">IF($A66="","",IFERROR(1/(1/IF($B66="Residential",SUMIFS(INDEX('Oxford Economics'!$A$7:$AZ$1000,0,IFERROR(MATCH(U$5,'Oxford Economics'!$A$6:$AZ$6,0),MATCH(U$5&amp;"",'Oxford Economics'!$A$6:$AZ$6,0))),'Oxford Economics'!$A$7:$A$1000,$C66,'Oxford Economics'!$B$7:$B$1000,Settings!$B$13)-SUMIFS(INDEX('Oxford Economics'!$A$7:$AZ$1000,0,IFERROR(MATCH(U$5,'Oxford Economics'!$A$6:$AZ$6,0),MATCH(U$5&amp;"",'Oxford Economics'!$A$6:$AZ$6,0))),'Oxford Economics'!$A$7:$A$1000,$C66,'Oxford Economics'!$B$7:$B$1000,Settings!$B$15),SUMIFS(INDEX('Oxford Economics'!$A$7:$AZ$1000,0,IFERROR(MATCH(U$5,'Oxford Economics'!$A$6:$AZ$6,0),MATCH(U$5&amp;"",'Oxford Economics'!$A$6:$AZ$6,0))),'Oxford Economics'!$A$7:$A$1000,$C66,'Oxford Economics'!$B$7:$B$1000,Settings!$B$15)+SUMIFS(INDEX('Oxford Economics'!$A$7:$AZ$1000,0,IFERROR(MATCH(U$5,'Oxford Economics'!$A$6:$AZ$6,0),MATCH(U$5&amp;"",'Oxford Economics'!$A$6:$AZ$6,0))),'Oxford Economics'!$A$7:$A$1000,$C66,'Oxford Economics'!$B$7:$B$1000,Settings!$B$17)+IF(Settings!$B$19="",0,SUMIFS(INDEX('Oxford Economics'!$A$7:$AZ$1000,0,IFERROR(MATCH(U$5,'Oxford Economics'!$A$6:$AZ$6,0),MATCH(U$5&amp;"",'Oxford Economics'!$A$6:$AZ$6,0))),'Oxford Economics'!$A$7:$A$1000,$C66,'Oxford Economics'!$B$7:$B$1000,Settings!$B$19)))),""))</f>
        <v>2946.4</v>
      </c>
      <c r="V66" s="38" t="n">
        <f aca="false">IF($A66="","",IFERROR(1/(1/IF($B66="Residential",SUMIFS(INDEX('Oxford Economics'!$A$7:$AZ$1000,0,IFERROR(MATCH(V$5,'Oxford Economics'!$A$6:$AZ$6,0),MATCH(V$5&amp;"",'Oxford Economics'!$A$6:$AZ$6,0))),'Oxford Economics'!$A$7:$A$1000,$C66,'Oxford Economics'!$B$7:$B$1000,Settings!$B$13)-SUMIFS(INDEX('Oxford Economics'!$A$7:$AZ$1000,0,IFERROR(MATCH(V$5,'Oxford Economics'!$A$6:$AZ$6,0),MATCH(V$5&amp;"",'Oxford Economics'!$A$6:$AZ$6,0))),'Oxford Economics'!$A$7:$A$1000,$C66,'Oxford Economics'!$B$7:$B$1000,Settings!$B$15),SUMIFS(INDEX('Oxford Economics'!$A$7:$AZ$1000,0,IFERROR(MATCH(V$5,'Oxford Economics'!$A$6:$AZ$6,0),MATCH(V$5&amp;"",'Oxford Economics'!$A$6:$AZ$6,0))),'Oxford Economics'!$A$7:$A$1000,$C66,'Oxford Economics'!$B$7:$B$1000,Settings!$B$15)+SUMIFS(INDEX('Oxford Economics'!$A$7:$AZ$1000,0,IFERROR(MATCH(V$5,'Oxford Economics'!$A$6:$AZ$6,0),MATCH(V$5&amp;"",'Oxford Economics'!$A$6:$AZ$6,0))),'Oxford Economics'!$A$7:$A$1000,$C66,'Oxford Economics'!$B$7:$B$1000,Settings!$B$17)+IF(Settings!$B$19="",0,SUMIFS(INDEX('Oxford Economics'!$A$7:$AZ$1000,0,IFERROR(MATCH(V$5,'Oxford Economics'!$A$6:$AZ$6,0),MATCH(V$5&amp;"",'Oxford Economics'!$A$6:$AZ$6,0))),'Oxford Economics'!$A$7:$A$1000,$C66,'Oxford Economics'!$B$7:$B$1000,Settings!$B$19)))),""))</f>
        <v>3025.05</v>
      </c>
      <c r="W66" s="38" t="n">
        <f aca="false">IF($A66="","",IFERROR(1/(1/IF($B66="Residential",SUMIFS(INDEX('Oxford Economics'!$A$7:$AZ$1000,0,IFERROR(MATCH(W$5,'Oxford Economics'!$A$6:$AZ$6,0),MATCH(W$5&amp;"",'Oxford Economics'!$A$6:$AZ$6,0))),'Oxford Economics'!$A$7:$A$1000,$C66,'Oxford Economics'!$B$7:$B$1000,Settings!$B$13)-SUMIFS(INDEX('Oxford Economics'!$A$7:$AZ$1000,0,IFERROR(MATCH(W$5,'Oxford Economics'!$A$6:$AZ$6,0),MATCH(W$5&amp;"",'Oxford Economics'!$A$6:$AZ$6,0))),'Oxford Economics'!$A$7:$A$1000,$C66,'Oxford Economics'!$B$7:$B$1000,Settings!$B$15),SUMIFS(INDEX('Oxford Economics'!$A$7:$AZ$1000,0,IFERROR(MATCH(W$5,'Oxford Economics'!$A$6:$AZ$6,0),MATCH(W$5&amp;"",'Oxford Economics'!$A$6:$AZ$6,0))),'Oxford Economics'!$A$7:$A$1000,$C66,'Oxford Economics'!$B$7:$B$1000,Settings!$B$15)+SUMIFS(INDEX('Oxford Economics'!$A$7:$AZ$1000,0,IFERROR(MATCH(W$5,'Oxford Economics'!$A$6:$AZ$6,0),MATCH(W$5&amp;"",'Oxford Economics'!$A$6:$AZ$6,0))),'Oxford Economics'!$A$7:$A$1000,$C66,'Oxford Economics'!$B$7:$B$1000,Settings!$B$17)+IF(Settings!$B$19="",0,SUMIFS(INDEX('Oxford Economics'!$A$7:$AZ$1000,0,IFERROR(MATCH(W$5,'Oxford Economics'!$A$6:$AZ$6,0),MATCH(W$5&amp;"",'Oxford Economics'!$A$6:$AZ$6,0))),'Oxford Economics'!$A$7:$A$1000,$C66,'Oxford Economics'!$B$7:$B$1000,Settings!$B$19)))),""))</f>
        <v>3122.2</v>
      </c>
      <c r="X66" s="38" t="n">
        <f aca="false">IF($A66="","",IFERROR(1/(1/IF($B66="Residential",SUMIFS(INDEX('Oxford Economics'!$A$7:$AZ$1000,0,IFERROR(MATCH(X$5,'Oxford Economics'!$A$6:$AZ$6,0),MATCH(X$5&amp;"",'Oxford Economics'!$A$6:$AZ$6,0))),'Oxford Economics'!$A$7:$A$1000,$C66,'Oxford Economics'!$B$7:$B$1000,Settings!$B$13)-SUMIFS(INDEX('Oxford Economics'!$A$7:$AZ$1000,0,IFERROR(MATCH(X$5,'Oxford Economics'!$A$6:$AZ$6,0),MATCH(X$5&amp;"",'Oxford Economics'!$A$6:$AZ$6,0))),'Oxford Economics'!$A$7:$A$1000,$C66,'Oxford Economics'!$B$7:$B$1000,Settings!$B$15),SUMIFS(INDEX('Oxford Economics'!$A$7:$AZ$1000,0,IFERROR(MATCH(X$5,'Oxford Economics'!$A$6:$AZ$6,0),MATCH(X$5&amp;"",'Oxford Economics'!$A$6:$AZ$6,0))),'Oxford Economics'!$A$7:$A$1000,$C66,'Oxford Economics'!$B$7:$B$1000,Settings!$B$15)+SUMIFS(INDEX('Oxford Economics'!$A$7:$AZ$1000,0,IFERROR(MATCH(X$5,'Oxford Economics'!$A$6:$AZ$6,0),MATCH(X$5&amp;"",'Oxford Economics'!$A$6:$AZ$6,0))),'Oxford Economics'!$A$7:$A$1000,$C66,'Oxford Economics'!$B$7:$B$1000,Settings!$B$17)+IF(Settings!$B$19="",0,SUMIFS(INDEX('Oxford Economics'!$A$7:$AZ$1000,0,IFERROR(MATCH(X$5,'Oxford Economics'!$A$6:$AZ$6,0),MATCH(X$5&amp;"",'Oxford Economics'!$A$6:$AZ$6,0))),'Oxford Economics'!$A$7:$A$1000,$C66,'Oxford Economics'!$B$7:$B$1000,Settings!$B$19)))),""))</f>
        <v>3295.95</v>
      </c>
      <c r="Y66" s="38" t="n">
        <f aca="false">IF($A66="","",IFERROR(1/(1/IF($B66="Residential",SUMIFS(INDEX('Oxford Economics'!$A$7:$AZ$1000,0,IFERROR(MATCH(Y$5,'Oxford Economics'!$A$6:$AZ$6,0),MATCH(Y$5&amp;"",'Oxford Economics'!$A$6:$AZ$6,0))),'Oxford Economics'!$A$7:$A$1000,$C66,'Oxford Economics'!$B$7:$B$1000,Settings!$B$13)-SUMIFS(INDEX('Oxford Economics'!$A$7:$AZ$1000,0,IFERROR(MATCH(Y$5,'Oxford Economics'!$A$6:$AZ$6,0),MATCH(Y$5&amp;"",'Oxford Economics'!$A$6:$AZ$6,0))),'Oxford Economics'!$A$7:$A$1000,$C66,'Oxford Economics'!$B$7:$B$1000,Settings!$B$15),SUMIFS(INDEX('Oxford Economics'!$A$7:$AZ$1000,0,IFERROR(MATCH(Y$5,'Oxford Economics'!$A$6:$AZ$6,0),MATCH(Y$5&amp;"",'Oxford Economics'!$A$6:$AZ$6,0))),'Oxford Economics'!$A$7:$A$1000,$C66,'Oxford Economics'!$B$7:$B$1000,Settings!$B$15)+SUMIFS(INDEX('Oxford Economics'!$A$7:$AZ$1000,0,IFERROR(MATCH(Y$5,'Oxford Economics'!$A$6:$AZ$6,0),MATCH(Y$5&amp;"",'Oxford Economics'!$A$6:$AZ$6,0))),'Oxford Economics'!$A$7:$A$1000,$C66,'Oxford Economics'!$B$7:$B$1000,Settings!$B$17)+IF(Settings!$B$19="",0,SUMIFS(INDEX('Oxford Economics'!$A$7:$AZ$1000,0,IFERROR(MATCH(Y$5,'Oxford Economics'!$A$6:$AZ$6,0),MATCH(Y$5&amp;"",'Oxford Economics'!$A$6:$AZ$6,0))),'Oxford Economics'!$A$7:$A$1000,$C66,'Oxford Economics'!$B$7:$B$1000,Settings!$B$19)))),""))</f>
        <v>3316.24</v>
      </c>
      <c r="Z66" s="38" t="n">
        <f aca="false">IF($A66="","",IFERROR(1/(1/IF($B66="Residential",SUMIFS(INDEX('Oxford Economics'!$A$7:$AZ$1000,0,IFERROR(MATCH(Z$5,'Oxford Economics'!$A$6:$AZ$6,0),MATCH(Z$5&amp;"",'Oxford Economics'!$A$6:$AZ$6,0))),'Oxford Economics'!$A$7:$A$1000,$C66,'Oxford Economics'!$B$7:$B$1000,Settings!$B$13)-SUMIFS(INDEX('Oxford Economics'!$A$7:$AZ$1000,0,IFERROR(MATCH(Z$5,'Oxford Economics'!$A$6:$AZ$6,0),MATCH(Z$5&amp;"",'Oxford Economics'!$A$6:$AZ$6,0))),'Oxford Economics'!$A$7:$A$1000,$C66,'Oxford Economics'!$B$7:$B$1000,Settings!$B$15),SUMIFS(INDEX('Oxford Economics'!$A$7:$AZ$1000,0,IFERROR(MATCH(Z$5,'Oxford Economics'!$A$6:$AZ$6,0),MATCH(Z$5&amp;"",'Oxford Economics'!$A$6:$AZ$6,0))),'Oxford Economics'!$A$7:$A$1000,$C66,'Oxford Economics'!$B$7:$B$1000,Settings!$B$15)+SUMIFS(INDEX('Oxford Economics'!$A$7:$AZ$1000,0,IFERROR(MATCH(Z$5,'Oxford Economics'!$A$6:$AZ$6,0),MATCH(Z$5&amp;"",'Oxford Economics'!$A$6:$AZ$6,0))),'Oxford Economics'!$A$7:$A$1000,$C66,'Oxford Economics'!$B$7:$B$1000,Settings!$B$17)+IF(Settings!$B$19="",0,SUMIFS(INDEX('Oxford Economics'!$A$7:$AZ$1000,0,IFERROR(MATCH(Z$5,'Oxford Economics'!$A$6:$AZ$6,0),MATCH(Z$5&amp;"",'Oxford Economics'!$A$6:$AZ$6,0))),'Oxford Economics'!$A$7:$A$1000,$C66,'Oxford Economics'!$B$7:$B$1000,Settings!$B$19)))),""))</f>
        <v>3415.31</v>
      </c>
      <c r="AA66" s="38" t="n">
        <f aca="false">IF($A66="","",IFERROR(1/(1/IF($B66="Residential",SUMIFS(INDEX('Oxford Economics'!$A$7:$AZ$1000,0,IFERROR(MATCH(AA$5,'Oxford Economics'!$A$6:$AZ$6,0),MATCH(AA$5&amp;"",'Oxford Economics'!$A$6:$AZ$6,0))),'Oxford Economics'!$A$7:$A$1000,$C66,'Oxford Economics'!$B$7:$B$1000,Settings!$B$13)-SUMIFS(INDEX('Oxford Economics'!$A$7:$AZ$1000,0,IFERROR(MATCH(AA$5,'Oxford Economics'!$A$6:$AZ$6,0),MATCH(AA$5&amp;"",'Oxford Economics'!$A$6:$AZ$6,0))),'Oxford Economics'!$A$7:$A$1000,$C66,'Oxford Economics'!$B$7:$B$1000,Settings!$B$15),SUMIFS(INDEX('Oxford Economics'!$A$7:$AZ$1000,0,IFERROR(MATCH(AA$5,'Oxford Economics'!$A$6:$AZ$6,0),MATCH(AA$5&amp;"",'Oxford Economics'!$A$6:$AZ$6,0))),'Oxford Economics'!$A$7:$A$1000,$C66,'Oxford Economics'!$B$7:$B$1000,Settings!$B$15)+SUMIFS(INDEX('Oxford Economics'!$A$7:$AZ$1000,0,IFERROR(MATCH(AA$5,'Oxford Economics'!$A$6:$AZ$6,0),MATCH(AA$5&amp;"",'Oxford Economics'!$A$6:$AZ$6,0))),'Oxford Economics'!$A$7:$A$1000,$C66,'Oxford Economics'!$B$7:$B$1000,Settings!$B$17)+IF(Settings!$B$19="",0,SUMIFS(INDEX('Oxford Economics'!$A$7:$AZ$1000,0,IFERROR(MATCH(AA$5,'Oxford Economics'!$A$6:$AZ$6,0),MATCH(AA$5&amp;"",'Oxford Economics'!$A$6:$AZ$6,0))),'Oxford Economics'!$A$7:$A$1000,$C66,'Oxford Economics'!$B$7:$B$1000,Settings!$B$19)))),""))</f>
        <v>3614.59</v>
      </c>
      <c r="AB66" s="38" t="n">
        <f aca="false">IF($A66="","",IFERROR(1/(1/IF($B66="Residential",SUMIFS(INDEX('Oxford Economics'!$A$7:$AZ$1000,0,IFERROR(MATCH(AB$5,'Oxford Economics'!$A$6:$AZ$6,0),MATCH(AB$5&amp;"",'Oxford Economics'!$A$6:$AZ$6,0))),'Oxford Economics'!$A$7:$A$1000,$C66,'Oxford Economics'!$B$7:$B$1000,Settings!$B$12)-SUMIFS(INDEX('Oxford Economics'!$A$7:$AZ$1000,0,IFERROR(MATCH(AB$5,'Oxford Economics'!$A$6:$AZ$6,0),MATCH(AB$5&amp;"",'Oxford Economics'!$A$6:$AZ$6,0))),'Oxford Economics'!$A$7:$A$1000,$C66,'Oxford Economics'!$B$7:$B$1000,Settings!$B$14),SUMIFS(INDEX('Oxford Economics'!$A$7:$AZ$1000,0,IFERROR(MATCH(AB$5,'Oxford Economics'!$A$6:$AZ$6,0),MATCH(AB$5&amp;"",'Oxford Economics'!$A$6:$AZ$6,0))),'Oxford Economics'!$A$7:$A$1000,$C66,'Oxford Economics'!$B$7:$B$1000,Settings!$B$14)+SUMIFS(INDEX('Oxford Economics'!$A$7:$AZ$1000,0,IFERROR(MATCH(AB$5,'Oxford Economics'!$A$6:$AZ$6,0),MATCH(AB$5&amp;"",'Oxford Economics'!$A$6:$AZ$6,0))),'Oxford Economics'!$A$7:$A$1000,$C66,'Oxford Economics'!$B$7:$B$1000,Settings!$B$16)+IF(Settings!$B$18="",0,SUMIFS(INDEX('Oxford Economics'!$A$7:$AZ$1000,0,IFERROR(MATCH(AB$5,'Oxford Economics'!$A$6:$AZ$6,0),MATCH(AB$5&amp;"",'Oxford Economics'!$A$6:$AZ$6,0))),'Oxford Economics'!$A$7:$A$1000,$C66,'Oxford Economics'!$B$7:$B$1000,Settings!$B$18)))),""))</f>
        <v>3751.53</v>
      </c>
      <c r="AC66" s="38" t="n">
        <f aca="false">IF($A66="","",IFERROR(1/(1/IF($B66="Residential",SUMIFS(INDEX('Oxford Economics'!$A$7:$AZ$1000,0,IFERROR(MATCH(AC$5,'Oxford Economics'!$A$6:$AZ$6,0),MATCH(AC$5&amp;"",'Oxford Economics'!$A$6:$AZ$6,0))),'Oxford Economics'!$A$7:$A$1000,$C66,'Oxford Economics'!$B$7:$B$1000,Settings!$B$12)-SUMIFS(INDEX('Oxford Economics'!$A$7:$AZ$1000,0,IFERROR(MATCH(AC$5,'Oxford Economics'!$A$6:$AZ$6,0),MATCH(AC$5&amp;"",'Oxford Economics'!$A$6:$AZ$6,0))),'Oxford Economics'!$A$7:$A$1000,$C66,'Oxford Economics'!$B$7:$B$1000,Settings!$B$14),SUMIFS(INDEX('Oxford Economics'!$A$7:$AZ$1000,0,IFERROR(MATCH(AC$5,'Oxford Economics'!$A$6:$AZ$6,0),MATCH(AC$5&amp;"",'Oxford Economics'!$A$6:$AZ$6,0))),'Oxford Economics'!$A$7:$A$1000,$C66,'Oxford Economics'!$B$7:$B$1000,Settings!$B$14)+SUMIFS(INDEX('Oxford Economics'!$A$7:$AZ$1000,0,IFERROR(MATCH(AC$5,'Oxford Economics'!$A$6:$AZ$6,0),MATCH(AC$5&amp;"",'Oxford Economics'!$A$6:$AZ$6,0))),'Oxford Economics'!$A$7:$A$1000,$C66,'Oxford Economics'!$B$7:$B$1000,Settings!$B$16)+IF(Settings!$B$18="",0,SUMIFS(INDEX('Oxford Economics'!$A$7:$AZ$1000,0,IFERROR(MATCH(AC$5,'Oxford Economics'!$A$6:$AZ$6,0),MATCH(AC$5&amp;"",'Oxford Economics'!$A$6:$AZ$6,0))),'Oxford Economics'!$A$7:$A$1000,$C66,'Oxford Economics'!$B$7:$B$1000,Settings!$B$18)))),""))</f>
        <v>4051.82</v>
      </c>
      <c r="AD66" s="38" t="n">
        <f aca="false">IF($A66="","",IFERROR(1/(1/IF($B66="Residential",SUMIFS(INDEX('Oxford Economics'!$A$7:$AZ$1000,0,IFERROR(MATCH(AD$5,'Oxford Economics'!$A$6:$AZ$6,0),MATCH(AD$5&amp;"",'Oxford Economics'!$A$6:$AZ$6,0))),'Oxford Economics'!$A$7:$A$1000,$C66,'Oxford Economics'!$B$7:$B$1000,Settings!$B$12)-SUMIFS(INDEX('Oxford Economics'!$A$7:$AZ$1000,0,IFERROR(MATCH(AD$5,'Oxford Economics'!$A$6:$AZ$6,0),MATCH(AD$5&amp;"",'Oxford Economics'!$A$6:$AZ$6,0))),'Oxford Economics'!$A$7:$A$1000,$C66,'Oxford Economics'!$B$7:$B$1000,Settings!$B$14),SUMIFS(INDEX('Oxford Economics'!$A$7:$AZ$1000,0,IFERROR(MATCH(AD$5,'Oxford Economics'!$A$6:$AZ$6,0),MATCH(AD$5&amp;"",'Oxford Economics'!$A$6:$AZ$6,0))),'Oxford Economics'!$A$7:$A$1000,$C66,'Oxford Economics'!$B$7:$B$1000,Settings!$B$14)+SUMIFS(INDEX('Oxford Economics'!$A$7:$AZ$1000,0,IFERROR(MATCH(AD$5,'Oxford Economics'!$A$6:$AZ$6,0),MATCH(AD$5&amp;"",'Oxford Economics'!$A$6:$AZ$6,0))),'Oxford Economics'!$A$7:$A$1000,$C66,'Oxford Economics'!$B$7:$B$1000,Settings!$B$16)+IF(Settings!$B$18="",0,SUMIFS(INDEX('Oxford Economics'!$A$7:$AZ$1000,0,IFERROR(MATCH(AD$5,'Oxford Economics'!$A$6:$AZ$6,0),MATCH(AD$5&amp;"",'Oxford Economics'!$A$6:$AZ$6,0))),'Oxford Economics'!$A$7:$A$1000,$C66,'Oxford Economics'!$B$7:$B$1000,Settings!$B$18)))),""))</f>
        <v>4004.22</v>
      </c>
      <c r="AE66" s="38" t="n">
        <f aca="false">IF($A66="","",IFERROR(1/(1/IF($B66="Residential",SUMIFS(INDEX('Oxford Economics'!$A$7:$AZ$1000,0,IFERROR(MATCH(AE$5,'Oxford Economics'!$A$6:$AZ$6,0),MATCH(AE$5&amp;"",'Oxford Economics'!$A$6:$AZ$6,0))),'Oxford Economics'!$A$7:$A$1000,$C66,'Oxford Economics'!$B$7:$B$1000,Settings!$B$12)-SUMIFS(INDEX('Oxford Economics'!$A$7:$AZ$1000,0,IFERROR(MATCH(AE$5,'Oxford Economics'!$A$6:$AZ$6,0),MATCH(AE$5&amp;"",'Oxford Economics'!$A$6:$AZ$6,0))),'Oxford Economics'!$A$7:$A$1000,$C66,'Oxford Economics'!$B$7:$B$1000,Settings!$B$14),SUMIFS(INDEX('Oxford Economics'!$A$7:$AZ$1000,0,IFERROR(MATCH(AE$5,'Oxford Economics'!$A$6:$AZ$6,0),MATCH(AE$5&amp;"",'Oxford Economics'!$A$6:$AZ$6,0))),'Oxford Economics'!$A$7:$A$1000,$C66,'Oxford Economics'!$B$7:$B$1000,Settings!$B$14)+SUMIFS(INDEX('Oxford Economics'!$A$7:$AZ$1000,0,IFERROR(MATCH(AE$5,'Oxford Economics'!$A$6:$AZ$6,0),MATCH(AE$5&amp;"",'Oxford Economics'!$A$6:$AZ$6,0))),'Oxford Economics'!$A$7:$A$1000,$C66,'Oxford Economics'!$B$7:$B$1000,Settings!$B$16)+IF(Settings!$B$18="",0,SUMIFS(INDEX('Oxford Economics'!$A$7:$AZ$1000,0,IFERROR(MATCH(AE$5,'Oxford Economics'!$A$6:$AZ$6,0),MATCH(AE$5&amp;"",'Oxford Economics'!$A$6:$AZ$6,0))),'Oxford Economics'!$A$7:$A$1000,$C66,'Oxford Economics'!$B$7:$B$1000,Settings!$B$18)))),""))</f>
        <v>3934.29</v>
      </c>
      <c r="AF66" s="38" t="n">
        <f aca="false">IF($A66="","",IFERROR(1/(1/IF($B66="Residential",SUMIFS(INDEX('Oxford Economics'!$A$7:$AZ$1000,0,IFERROR(MATCH(AF$5,'Oxford Economics'!$A$6:$AZ$6,0),MATCH(AF$5&amp;"",'Oxford Economics'!$A$6:$AZ$6,0))),'Oxford Economics'!$A$7:$A$1000,$C66,'Oxford Economics'!$B$7:$B$1000,Settings!$B$12)-SUMIFS(INDEX('Oxford Economics'!$A$7:$AZ$1000,0,IFERROR(MATCH(AF$5,'Oxford Economics'!$A$6:$AZ$6,0),MATCH(AF$5&amp;"",'Oxford Economics'!$A$6:$AZ$6,0))),'Oxford Economics'!$A$7:$A$1000,$C66,'Oxford Economics'!$B$7:$B$1000,Settings!$B$14),SUMIFS(INDEX('Oxford Economics'!$A$7:$AZ$1000,0,IFERROR(MATCH(AF$5,'Oxford Economics'!$A$6:$AZ$6,0),MATCH(AF$5&amp;"",'Oxford Economics'!$A$6:$AZ$6,0))),'Oxford Economics'!$A$7:$A$1000,$C66,'Oxford Economics'!$B$7:$B$1000,Settings!$B$14)+SUMIFS(INDEX('Oxford Economics'!$A$7:$AZ$1000,0,IFERROR(MATCH(AF$5,'Oxford Economics'!$A$6:$AZ$6,0),MATCH(AF$5&amp;"",'Oxford Economics'!$A$6:$AZ$6,0))),'Oxford Economics'!$A$7:$A$1000,$C66,'Oxford Economics'!$B$7:$B$1000,Settings!$B$16)+IF(Settings!$B$18="",0,SUMIFS(INDEX('Oxford Economics'!$A$7:$AZ$1000,0,IFERROR(MATCH(AF$5,'Oxford Economics'!$A$6:$AZ$6,0),MATCH(AF$5&amp;"",'Oxford Economics'!$A$6:$AZ$6,0))),'Oxford Economics'!$A$7:$A$1000,$C66,'Oxford Economics'!$B$7:$B$1000,Settings!$B$18)))),""))</f>
        <v>3899.69</v>
      </c>
      <c r="AG66" s="38" t="n">
        <f aca="false">IF($A66="","",IFERROR(1/(1/IF($B66="Residential",SUMIFS(INDEX('Oxford Economics'!$A$7:$AZ$1000,0,IFERROR(MATCH(AG$5,'Oxford Economics'!$A$6:$AZ$6,0),MATCH(AG$5&amp;"",'Oxford Economics'!$A$6:$AZ$6,0))),'Oxford Economics'!$A$7:$A$1000,$C66,'Oxford Economics'!$B$7:$B$1000,Settings!$B$12)-SUMIFS(INDEX('Oxford Economics'!$A$7:$AZ$1000,0,IFERROR(MATCH(AG$5,'Oxford Economics'!$A$6:$AZ$6,0),MATCH(AG$5&amp;"",'Oxford Economics'!$A$6:$AZ$6,0))),'Oxford Economics'!$A$7:$A$1000,$C66,'Oxford Economics'!$B$7:$B$1000,Settings!$B$14),SUMIFS(INDEX('Oxford Economics'!$A$7:$AZ$1000,0,IFERROR(MATCH(AG$5,'Oxford Economics'!$A$6:$AZ$6,0),MATCH(AG$5&amp;"",'Oxford Economics'!$A$6:$AZ$6,0))),'Oxford Economics'!$A$7:$A$1000,$C66,'Oxford Economics'!$B$7:$B$1000,Settings!$B$14)+SUMIFS(INDEX('Oxford Economics'!$A$7:$AZ$1000,0,IFERROR(MATCH(AG$5,'Oxford Economics'!$A$6:$AZ$6,0),MATCH(AG$5&amp;"",'Oxford Economics'!$A$6:$AZ$6,0))),'Oxford Economics'!$A$7:$A$1000,$C66,'Oxford Economics'!$B$7:$B$1000,Settings!$B$16)+IF(Settings!$B$18="",0,SUMIFS(INDEX('Oxford Economics'!$A$7:$AZ$1000,0,IFERROR(MATCH(AG$5,'Oxford Economics'!$A$6:$AZ$6,0),MATCH(AG$5&amp;"",'Oxford Economics'!$A$6:$AZ$6,0))),'Oxford Economics'!$A$7:$A$1000,$C66,'Oxford Economics'!$B$7:$B$1000,Settings!$B$18)))),""))</f>
        <v>3843.82</v>
      </c>
      <c r="AH66" s="38" t="n">
        <f aca="false">IF($A66="","",IFERROR(1/(1/IF($B66="Residential",SUMIFS(INDEX('Oxford Economics'!$A$7:$AZ$1000,0,IFERROR(MATCH(AH$5,'Oxford Economics'!$A$6:$AZ$6,0),MATCH(AH$5&amp;"",'Oxford Economics'!$A$6:$AZ$6,0))),'Oxford Economics'!$A$7:$A$1000,$C66,'Oxford Economics'!$B$7:$B$1000,Settings!$B$12)-SUMIFS(INDEX('Oxford Economics'!$A$7:$AZ$1000,0,IFERROR(MATCH(AH$5,'Oxford Economics'!$A$6:$AZ$6,0),MATCH(AH$5&amp;"",'Oxford Economics'!$A$6:$AZ$6,0))),'Oxford Economics'!$A$7:$A$1000,$C66,'Oxford Economics'!$B$7:$B$1000,Settings!$B$14),SUMIFS(INDEX('Oxford Economics'!$A$7:$AZ$1000,0,IFERROR(MATCH(AH$5,'Oxford Economics'!$A$6:$AZ$6,0),MATCH(AH$5&amp;"",'Oxford Economics'!$A$6:$AZ$6,0))),'Oxford Economics'!$A$7:$A$1000,$C66,'Oxford Economics'!$B$7:$B$1000,Settings!$B$14)+SUMIFS(INDEX('Oxford Economics'!$A$7:$AZ$1000,0,IFERROR(MATCH(AH$5,'Oxford Economics'!$A$6:$AZ$6,0),MATCH(AH$5&amp;"",'Oxford Economics'!$A$6:$AZ$6,0))),'Oxford Economics'!$A$7:$A$1000,$C66,'Oxford Economics'!$B$7:$B$1000,Settings!$B$16)+IF(Settings!$B$18="",0,SUMIFS(INDEX('Oxford Economics'!$A$7:$AZ$1000,0,IFERROR(MATCH(AH$5,'Oxford Economics'!$A$6:$AZ$6,0),MATCH(AH$5&amp;"",'Oxford Economics'!$A$6:$AZ$6,0))),'Oxford Economics'!$A$7:$A$1000,$C66,'Oxford Economics'!$B$7:$B$1000,Settings!$B$18)))),""))</f>
        <v>3711.87</v>
      </c>
      <c r="AI66" s="38" t="n">
        <f aca="false">IF($A66="","",IFERROR(1/(1/IF($B66="Residential",SUMIFS(INDEX('Oxford Economics'!$A$7:$AZ$1000,0,IFERROR(MATCH(AI$5,'Oxford Economics'!$A$6:$AZ$6,0),MATCH(AI$5&amp;"",'Oxford Economics'!$A$6:$AZ$6,0))),'Oxford Economics'!$A$7:$A$1000,$C66,'Oxford Economics'!$B$7:$B$1000,Settings!$B$12)-SUMIFS(INDEX('Oxford Economics'!$A$7:$AZ$1000,0,IFERROR(MATCH(AI$5,'Oxford Economics'!$A$6:$AZ$6,0),MATCH(AI$5&amp;"",'Oxford Economics'!$A$6:$AZ$6,0))),'Oxford Economics'!$A$7:$A$1000,$C66,'Oxford Economics'!$B$7:$B$1000,Settings!$B$14),SUMIFS(INDEX('Oxford Economics'!$A$7:$AZ$1000,0,IFERROR(MATCH(AI$5,'Oxford Economics'!$A$6:$AZ$6,0),MATCH(AI$5&amp;"",'Oxford Economics'!$A$6:$AZ$6,0))),'Oxford Economics'!$A$7:$A$1000,$C66,'Oxford Economics'!$B$7:$B$1000,Settings!$B$14)+SUMIFS(INDEX('Oxford Economics'!$A$7:$AZ$1000,0,IFERROR(MATCH(AI$5,'Oxford Economics'!$A$6:$AZ$6,0),MATCH(AI$5&amp;"",'Oxford Economics'!$A$6:$AZ$6,0))),'Oxford Economics'!$A$7:$A$1000,$C66,'Oxford Economics'!$B$7:$B$1000,Settings!$B$16)+IF(Settings!$B$18="",0,SUMIFS(INDEX('Oxford Economics'!$A$7:$AZ$1000,0,IFERROR(MATCH(AI$5,'Oxford Economics'!$A$6:$AZ$6,0),MATCH(AI$5&amp;"",'Oxford Economics'!$A$6:$AZ$6,0))),'Oxford Economics'!$A$7:$A$1000,$C66,'Oxford Economics'!$B$7:$B$1000,Settings!$B$18)))),""))</f>
        <v>3756.44</v>
      </c>
      <c r="AJ66" s="38" t="n">
        <f aca="false">IF($A66="","",IFERROR(1/(1/IF($B66="Residential",SUMIFS(INDEX('Oxford Economics'!$A$7:$AZ$1000,0,IFERROR(MATCH(AJ$5,'Oxford Economics'!$A$6:$AZ$6,0),MATCH(AJ$5&amp;"",'Oxford Economics'!$A$6:$AZ$6,0))),'Oxford Economics'!$A$7:$A$1000,$C66,'Oxford Economics'!$B$7:$B$1000,Settings!$B$12)-SUMIFS(INDEX('Oxford Economics'!$A$7:$AZ$1000,0,IFERROR(MATCH(AJ$5,'Oxford Economics'!$A$6:$AZ$6,0),MATCH(AJ$5&amp;"",'Oxford Economics'!$A$6:$AZ$6,0))),'Oxford Economics'!$A$7:$A$1000,$C66,'Oxford Economics'!$B$7:$B$1000,Settings!$B$14),SUMIFS(INDEX('Oxford Economics'!$A$7:$AZ$1000,0,IFERROR(MATCH(AJ$5,'Oxford Economics'!$A$6:$AZ$6,0),MATCH(AJ$5&amp;"",'Oxford Economics'!$A$6:$AZ$6,0))),'Oxford Economics'!$A$7:$A$1000,$C66,'Oxford Economics'!$B$7:$B$1000,Settings!$B$14)+SUMIFS(INDEX('Oxford Economics'!$A$7:$AZ$1000,0,IFERROR(MATCH(AJ$5,'Oxford Economics'!$A$6:$AZ$6,0),MATCH(AJ$5&amp;"",'Oxford Economics'!$A$6:$AZ$6,0))),'Oxford Economics'!$A$7:$A$1000,$C66,'Oxford Economics'!$B$7:$B$1000,Settings!$B$16)+IF(Settings!$B$18="",0,SUMIFS(INDEX('Oxford Economics'!$A$7:$AZ$1000,0,IFERROR(MATCH(AJ$5,'Oxford Economics'!$A$6:$AZ$6,0),MATCH(AJ$5&amp;"",'Oxford Economics'!$A$6:$AZ$6,0))),'Oxford Economics'!$A$7:$A$1000,$C66,'Oxford Economics'!$B$7:$B$1000,Settings!$B$18)))),""))</f>
        <v>3843.31</v>
      </c>
      <c r="AK66" s="38" t="n">
        <f aca="false">IF($A66="","",IFERROR(1/(1/IF($B66="Residential",SUMIFS(INDEX('Oxford Economics'!$A$7:$AZ$1000,0,IFERROR(MATCH(AK$5,'Oxford Economics'!$A$6:$AZ$6,0),MATCH(AK$5&amp;"",'Oxford Economics'!$A$6:$AZ$6,0))),'Oxford Economics'!$A$7:$A$1000,$C66,'Oxford Economics'!$B$7:$B$1000,Settings!$B$12)-SUMIFS(INDEX('Oxford Economics'!$A$7:$AZ$1000,0,IFERROR(MATCH(AK$5,'Oxford Economics'!$A$6:$AZ$6,0),MATCH(AK$5&amp;"",'Oxford Economics'!$A$6:$AZ$6,0))),'Oxford Economics'!$A$7:$A$1000,$C66,'Oxford Economics'!$B$7:$B$1000,Settings!$B$14),SUMIFS(INDEX('Oxford Economics'!$A$7:$AZ$1000,0,IFERROR(MATCH(AK$5,'Oxford Economics'!$A$6:$AZ$6,0),MATCH(AK$5&amp;"",'Oxford Economics'!$A$6:$AZ$6,0))),'Oxford Economics'!$A$7:$A$1000,$C66,'Oxford Economics'!$B$7:$B$1000,Settings!$B$14)+SUMIFS(INDEX('Oxford Economics'!$A$7:$AZ$1000,0,IFERROR(MATCH(AK$5,'Oxford Economics'!$A$6:$AZ$6,0),MATCH(AK$5&amp;"",'Oxford Economics'!$A$6:$AZ$6,0))),'Oxford Economics'!$A$7:$A$1000,$C66,'Oxford Economics'!$B$7:$B$1000,Settings!$B$16)+IF(Settings!$B$18="",0,SUMIFS(INDEX('Oxford Economics'!$A$7:$AZ$1000,0,IFERROR(MATCH(AK$5,'Oxford Economics'!$A$6:$AZ$6,0),MATCH(AK$5&amp;"",'Oxford Economics'!$A$6:$AZ$6,0))),'Oxford Economics'!$A$7:$A$1000,$C66,'Oxford Economics'!$B$7:$B$1000,Settings!$B$18)))),""))</f>
        <v>3724.8</v>
      </c>
      <c r="AL66" s="38" t="n">
        <f aca="false">IF($A66="","",IFERROR(1/(1/IF($B66="Residential",SUMIFS(INDEX('Oxford Economics'!$A$7:$AZ$1000,0,IFERROR(MATCH(AL$5,'Oxford Economics'!$A$6:$AZ$6,0),MATCH(AL$5&amp;"",'Oxford Economics'!$A$6:$AZ$6,0))),'Oxford Economics'!$A$7:$A$1000,$C66,'Oxford Economics'!$B$7:$B$1000,Settings!$B$12)-SUMIFS(INDEX('Oxford Economics'!$A$7:$AZ$1000,0,IFERROR(MATCH(AL$5,'Oxford Economics'!$A$6:$AZ$6,0),MATCH(AL$5&amp;"",'Oxford Economics'!$A$6:$AZ$6,0))),'Oxford Economics'!$A$7:$A$1000,$C66,'Oxford Economics'!$B$7:$B$1000,Settings!$B$14),SUMIFS(INDEX('Oxford Economics'!$A$7:$AZ$1000,0,IFERROR(MATCH(AL$5,'Oxford Economics'!$A$6:$AZ$6,0),MATCH(AL$5&amp;"",'Oxford Economics'!$A$6:$AZ$6,0))),'Oxford Economics'!$A$7:$A$1000,$C66,'Oxford Economics'!$B$7:$B$1000,Settings!$B$14)+SUMIFS(INDEX('Oxford Economics'!$A$7:$AZ$1000,0,IFERROR(MATCH(AL$5,'Oxford Economics'!$A$6:$AZ$6,0),MATCH(AL$5&amp;"",'Oxford Economics'!$A$6:$AZ$6,0))),'Oxford Economics'!$A$7:$A$1000,$C66,'Oxford Economics'!$B$7:$B$1000,Settings!$B$16)+IF(Settings!$B$18="",0,SUMIFS(INDEX('Oxford Economics'!$A$7:$AZ$1000,0,IFERROR(MATCH(AL$5,'Oxford Economics'!$A$6:$AZ$6,0),MATCH(AL$5&amp;"",'Oxford Economics'!$A$6:$AZ$6,0))),'Oxford Economics'!$A$7:$A$1000,$C66,'Oxford Economics'!$B$7:$B$1000,Settings!$B$18)))),""))</f>
        <v>3650.95</v>
      </c>
      <c r="AM66" s="38" t="n">
        <f aca="false">IF($A66="","",IFERROR(1/(1/IF($B66="Residential",SUMIFS(INDEX('Oxford Economics'!$A$7:$AZ$1000,0,IFERROR(MATCH(AM$5,'Oxford Economics'!$A$6:$AZ$6,0),MATCH(AM$5&amp;"",'Oxford Economics'!$A$6:$AZ$6,0))),'Oxford Economics'!$A$7:$A$1000,$C66,'Oxford Economics'!$B$7:$B$1000,Settings!$B$12)-SUMIFS(INDEX('Oxford Economics'!$A$7:$AZ$1000,0,IFERROR(MATCH(AM$5,'Oxford Economics'!$A$6:$AZ$6,0),MATCH(AM$5&amp;"",'Oxford Economics'!$A$6:$AZ$6,0))),'Oxford Economics'!$A$7:$A$1000,$C66,'Oxford Economics'!$B$7:$B$1000,Settings!$B$14),SUMIFS(INDEX('Oxford Economics'!$A$7:$AZ$1000,0,IFERROR(MATCH(AM$5,'Oxford Economics'!$A$6:$AZ$6,0),MATCH(AM$5&amp;"",'Oxford Economics'!$A$6:$AZ$6,0))),'Oxford Economics'!$A$7:$A$1000,$C66,'Oxford Economics'!$B$7:$B$1000,Settings!$B$14)+SUMIFS(INDEX('Oxford Economics'!$A$7:$AZ$1000,0,IFERROR(MATCH(AM$5,'Oxford Economics'!$A$6:$AZ$6,0),MATCH(AM$5&amp;"",'Oxford Economics'!$A$6:$AZ$6,0))),'Oxford Economics'!$A$7:$A$1000,$C66,'Oxford Economics'!$B$7:$B$1000,Settings!$B$16)+IF(Settings!$B$18="",0,SUMIFS(INDEX('Oxford Economics'!$A$7:$AZ$1000,0,IFERROR(MATCH(AM$5,'Oxford Economics'!$A$6:$AZ$6,0),MATCH(AM$5&amp;"",'Oxford Economics'!$A$6:$AZ$6,0))),'Oxford Economics'!$A$7:$A$1000,$C66,'Oxford Economics'!$B$7:$B$1000,Settings!$B$18)))),""))</f>
        <v>3620.44</v>
      </c>
    </row>
    <row r="67" customFormat="false" ht="15" hidden="false" customHeight="false" outlineLevel="0" collapsed="false">
      <c r="A67" s="37" t="str">
        <f aca="false">IF('Raw data'!$A67="","",'Raw data'!$A67)</f>
        <v>Switzerland</v>
      </c>
      <c r="B67" s="37" t="str">
        <f aca="false">IF($A67="","",'Raw data'!$C67)</f>
        <v>Residential</v>
      </c>
      <c r="C67" s="37" t="str">
        <f aca="false">IF($A67="","",IF('Raw data'!$E67="",$A67,'Raw data'!$E67))</f>
        <v>Switzerland</v>
      </c>
      <c r="D67" s="38" t="n">
        <f aca="false">IF($A67="","",IF(AND(ISNUMBER(P67),ISNUMBER(AB67)),P67+AB67,""))</f>
        <v>6780.24</v>
      </c>
      <c r="E67" s="38" t="n">
        <f aca="false">IF($A67="","",IF(AND(ISNUMBER(Q67),ISNUMBER(AC67)),Q67+AC67,""))</f>
        <v>7167.09</v>
      </c>
      <c r="F67" s="38" t="n">
        <f aca="false">IF($A67="","",IF(AND(ISNUMBER(R67),ISNUMBER(AD67)),R67+AD67,""))</f>
        <v>7020.15</v>
      </c>
      <c r="G67" s="38" t="n">
        <f aca="false">IF($A67="","",IF(AND(ISNUMBER(S67),ISNUMBER(AE67)),S67+AE67,""))</f>
        <v>6865.73</v>
      </c>
      <c r="H67" s="38" t="n">
        <f aca="false">IF($A67="","",IF(AND(ISNUMBER(T67),ISNUMBER(AF67)),T67+AF67,""))</f>
        <v>6812.66</v>
      </c>
      <c r="I67" s="38" t="n">
        <f aca="false">IF($A67="","",IF(AND(ISNUMBER(U67),ISNUMBER(AG67)),U67+AG67,""))</f>
        <v>6790.22</v>
      </c>
      <c r="J67" s="38" t="n">
        <f aca="false">IF($A67="","",IF(AND(ISNUMBER(V67),ISNUMBER(AH67)),V67+AH67,""))</f>
        <v>6736.92</v>
      </c>
      <c r="K67" s="38" t="n">
        <f aca="false">IF($A67="","",IF(AND(ISNUMBER(W67),ISNUMBER(AI67)),W67+AI67,""))</f>
        <v>6878.64</v>
      </c>
      <c r="L67" s="38" t="n">
        <f aca="false">IF($A67="","",IF(AND(ISNUMBER(X67),ISNUMBER(AJ67)),X67+AJ67,""))</f>
        <v>7139.26</v>
      </c>
      <c r="M67" s="38" t="n">
        <f aca="false">IF($A67="","",IF(AND(ISNUMBER(Y67),ISNUMBER(AK67)),Y67+AK67,""))</f>
        <v>7041.04</v>
      </c>
      <c r="N67" s="38" t="n">
        <f aca="false">IF($A67="","",IF(AND(ISNUMBER(Z67),ISNUMBER(AL67)),Z67+AL67,""))</f>
        <v>7066.26</v>
      </c>
      <c r="O67" s="38" t="n">
        <f aca="false">IF($A67="","",IF(AND(ISNUMBER(AA67),ISNUMBER(AM67)),AA67+AM67,""))</f>
        <v>7235.03</v>
      </c>
      <c r="P67" s="38" t="n">
        <f aca="false">IF($A67="","",IFERROR(1/(1/IF($B67="Residential",SUMIFS(INDEX('Oxford Economics'!$A$7:$AZ$1000,0,IFERROR(MATCH(P$5,'Oxford Economics'!$A$6:$AZ$6,0),MATCH(P$5&amp;"",'Oxford Economics'!$A$6:$AZ$6,0))),'Oxford Economics'!$A$7:$A$1000,$C67,'Oxford Economics'!$B$7:$B$1000,Settings!$B$13)-SUMIFS(INDEX('Oxford Economics'!$A$7:$AZ$1000,0,IFERROR(MATCH(P$5,'Oxford Economics'!$A$6:$AZ$6,0),MATCH(P$5&amp;"",'Oxford Economics'!$A$6:$AZ$6,0))),'Oxford Economics'!$A$7:$A$1000,$C67,'Oxford Economics'!$B$7:$B$1000,Settings!$B$15),SUMIFS(INDEX('Oxford Economics'!$A$7:$AZ$1000,0,IFERROR(MATCH(P$5,'Oxford Economics'!$A$6:$AZ$6,0),MATCH(P$5&amp;"",'Oxford Economics'!$A$6:$AZ$6,0))),'Oxford Economics'!$A$7:$A$1000,$C67,'Oxford Economics'!$B$7:$B$1000,Settings!$B$15)+SUMIFS(INDEX('Oxford Economics'!$A$7:$AZ$1000,0,IFERROR(MATCH(P$5,'Oxford Economics'!$A$6:$AZ$6,0),MATCH(P$5&amp;"",'Oxford Economics'!$A$6:$AZ$6,0))),'Oxford Economics'!$A$7:$A$1000,$C67,'Oxford Economics'!$B$7:$B$1000,Settings!$B$17)+IF(Settings!$B$19="",0,SUMIFS(INDEX('Oxford Economics'!$A$7:$AZ$1000,0,IFERROR(MATCH(P$5,'Oxford Economics'!$A$6:$AZ$6,0),MATCH(P$5&amp;"",'Oxford Economics'!$A$6:$AZ$6,0))),'Oxford Economics'!$A$7:$A$1000,$C67,'Oxford Economics'!$B$7:$B$1000,Settings!$B$19)))),""))</f>
        <v>3028.71</v>
      </c>
      <c r="Q67" s="38" t="n">
        <f aca="false">IF($A67="","",IFERROR(1/(1/IF($B67="Residential",SUMIFS(INDEX('Oxford Economics'!$A$7:$AZ$1000,0,IFERROR(MATCH(Q$5,'Oxford Economics'!$A$6:$AZ$6,0),MATCH(Q$5&amp;"",'Oxford Economics'!$A$6:$AZ$6,0))),'Oxford Economics'!$A$7:$A$1000,$C67,'Oxford Economics'!$B$7:$B$1000,Settings!$B$13)-SUMIFS(INDEX('Oxford Economics'!$A$7:$AZ$1000,0,IFERROR(MATCH(Q$5,'Oxford Economics'!$A$6:$AZ$6,0),MATCH(Q$5&amp;"",'Oxford Economics'!$A$6:$AZ$6,0))),'Oxford Economics'!$A$7:$A$1000,$C67,'Oxford Economics'!$B$7:$B$1000,Settings!$B$15),SUMIFS(INDEX('Oxford Economics'!$A$7:$AZ$1000,0,IFERROR(MATCH(Q$5,'Oxford Economics'!$A$6:$AZ$6,0),MATCH(Q$5&amp;"",'Oxford Economics'!$A$6:$AZ$6,0))),'Oxford Economics'!$A$7:$A$1000,$C67,'Oxford Economics'!$B$7:$B$1000,Settings!$B$15)+SUMIFS(INDEX('Oxford Economics'!$A$7:$AZ$1000,0,IFERROR(MATCH(Q$5,'Oxford Economics'!$A$6:$AZ$6,0),MATCH(Q$5&amp;"",'Oxford Economics'!$A$6:$AZ$6,0))),'Oxford Economics'!$A$7:$A$1000,$C67,'Oxford Economics'!$B$7:$B$1000,Settings!$B$17)+IF(Settings!$B$19="",0,SUMIFS(INDEX('Oxford Economics'!$A$7:$AZ$1000,0,IFERROR(MATCH(Q$5,'Oxford Economics'!$A$6:$AZ$6,0),MATCH(Q$5&amp;"",'Oxford Economics'!$A$6:$AZ$6,0))),'Oxford Economics'!$A$7:$A$1000,$C67,'Oxford Economics'!$B$7:$B$1000,Settings!$B$19)))),""))</f>
        <v>3115.27</v>
      </c>
      <c r="R67" s="38" t="n">
        <f aca="false">IF($A67="","",IFERROR(1/(1/IF($B67="Residential",SUMIFS(INDEX('Oxford Economics'!$A$7:$AZ$1000,0,IFERROR(MATCH(R$5,'Oxford Economics'!$A$6:$AZ$6,0),MATCH(R$5&amp;"",'Oxford Economics'!$A$6:$AZ$6,0))),'Oxford Economics'!$A$7:$A$1000,$C67,'Oxford Economics'!$B$7:$B$1000,Settings!$B$13)-SUMIFS(INDEX('Oxford Economics'!$A$7:$AZ$1000,0,IFERROR(MATCH(R$5,'Oxford Economics'!$A$6:$AZ$6,0),MATCH(R$5&amp;"",'Oxford Economics'!$A$6:$AZ$6,0))),'Oxford Economics'!$A$7:$A$1000,$C67,'Oxford Economics'!$B$7:$B$1000,Settings!$B$15),SUMIFS(INDEX('Oxford Economics'!$A$7:$AZ$1000,0,IFERROR(MATCH(R$5,'Oxford Economics'!$A$6:$AZ$6,0),MATCH(R$5&amp;"",'Oxford Economics'!$A$6:$AZ$6,0))),'Oxford Economics'!$A$7:$A$1000,$C67,'Oxford Economics'!$B$7:$B$1000,Settings!$B$15)+SUMIFS(INDEX('Oxford Economics'!$A$7:$AZ$1000,0,IFERROR(MATCH(R$5,'Oxford Economics'!$A$6:$AZ$6,0),MATCH(R$5&amp;"",'Oxford Economics'!$A$6:$AZ$6,0))),'Oxford Economics'!$A$7:$A$1000,$C67,'Oxford Economics'!$B$7:$B$1000,Settings!$B$17)+IF(Settings!$B$19="",0,SUMIFS(INDEX('Oxford Economics'!$A$7:$AZ$1000,0,IFERROR(MATCH(R$5,'Oxford Economics'!$A$6:$AZ$6,0),MATCH(R$5&amp;"",'Oxford Economics'!$A$6:$AZ$6,0))),'Oxford Economics'!$A$7:$A$1000,$C67,'Oxford Economics'!$B$7:$B$1000,Settings!$B$19)))),""))</f>
        <v>3015.93</v>
      </c>
      <c r="S67" s="38" t="n">
        <f aca="false">IF($A67="","",IFERROR(1/(1/IF($B67="Residential",SUMIFS(INDEX('Oxford Economics'!$A$7:$AZ$1000,0,IFERROR(MATCH(S$5,'Oxford Economics'!$A$6:$AZ$6,0),MATCH(S$5&amp;"",'Oxford Economics'!$A$6:$AZ$6,0))),'Oxford Economics'!$A$7:$A$1000,$C67,'Oxford Economics'!$B$7:$B$1000,Settings!$B$13)-SUMIFS(INDEX('Oxford Economics'!$A$7:$AZ$1000,0,IFERROR(MATCH(S$5,'Oxford Economics'!$A$6:$AZ$6,0),MATCH(S$5&amp;"",'Oxford Economics'!$A$6:$AZ$6,0))),'Oxford Economics'!$A$7:$A$1000,$C67,'Oxford Economics'!$B$7:$B$1000,Settings!$B$15),SUMIFS(INDEX('Oxford Economics'!$A$7:$AZ$1000,0,IFERROR(MATCH(S$5,'Oxford Economics'!$A$6:$AZ$6,0),MATCH(S$5&amp;"",'Oxford Economics'!$A$6:$AZ$6,0))),'Oxford Economics'!$A$7:$A$1000,$C67,'Oxford Economics'!$B$7:$B$1000,Settings!$B$15)+SUMIFS(INDEX('Oxford Economics'!$A$7:$AZ$1000,0,IFERROR(MATCH(S$5,'Oxford Economics'!$A$6:$AZ$6,0),MATCH(S$5&amp;"",'Oxford Economics'!$A$6:$AZ$6,0))),'Oxford Economics'!$A$7:$A$1000,$C67,'Oxford Economics'!$B$7:$B$1000,Settings!$B$17)+IF(Settings!$B$19="",0,SUMIFS(INDEX('Oxford Economics'!$A$7:$AZ$1000,0,IFERROR(MATCH(S$5,'Oxford Economics'!$A$6:$AZ$6,0),MATCH(S$5&amp;"",'Oxford Economics'!$A$6:$AZ$6,0))),'Oxford Economics'!$A$7:$A$1000,$C67,'Oxford Economics'!$B$7:$B$1000,Settings!$B$19)))),""))</f>
        <v>2931.44</v>
      </c>
      <c r="T67" s="38" t="n">
        <f aca="false">IF($A67="","",IFERROR(1/(1/IF($B67="Residential",SUMIFS(INDEX('Oxford Economics'!$A$7:$AZ$1000,0,IFERROR(MATCH(T$5,'Oxford Economics'!$A$6:$AZ$6,0),MATCH(T$5&amp;"",'Oxford Economics'!$A$6:$AZ$6,0))),'Oxford Economics'!$A$7:$A$1000,$C67,'Oxford Economics'!$B$7:$B$1000,Settings!$B$13)-SUMIFS(INDEX('Oxford Economics'!$A$7:$AZ$1000,0,IFERROR(MATCH(T$5,'Oxford Economics'!$A$6:$AZ$6,0),MATCH(T$5&amp;"",'Oxford Economics'!$A$6:$AZ$6,0))),'Oxford Economics'!$A$7:$A$1000,$C67,'Oxford Economics'!$B$7:$B$1000,Settings!$B$15),SUMIFS(INDEX('Oxford Economics'!$A$7:$AZ$1000,0,IFERROR(MATCH(T$5,'Oxford Economics'!$A$6:$AZ$6,0),MATCH(T$5&amp;"",'Oxford Economics'!$A$6:$AZ$6,0))),'Oxford Economics'!$A$7:$A$1000,$C67,'Oxford Economics'!$B$7:$B$1000,Settings!$B$15)+SUMIFS(INDEX('Oxford Economics'!$A$7:$AZ$1000,0,IFERROR(MATCH(T$5,'Oxford Economics'!$A$6:$AZ$6,0),MATCH(T$5&amp;"",'Oxford Economics'!$A$6:$AZ$6,0))),'Oxford Economics'!$A$7:$A$1000,$C67,'Oxford Economics'!$B$7:$B$1000,Settings!$B$17)+IF(Settings!$B$19="",0,SUMIFS(INDEX('Oxford Economics'!$A$7:$AZ$1000,0,IFERROR(MATCH(T$5,'Oxford Economics'!$A$6:$AZ$6,0),MATCH(T$5&amp;"",'Oxford Economics'!$A$6:$AZ$6,0))),'Oxford Economics'!$A$7:$A$1000,$C67,'Oxford Economics'!$B$7:$B$1000,Settings!$B$19)))),""))</f>
        <v>2912.97</v>
      </c>
      <c r="U67" s="38" t="n">
        <f aca="false">IF($A67="","",IFERROR(1/(1/IF($B67="Residential",SUMIFS(INDEX('Oxford Economics'!$A$7:$AZ$1000,0,IFERROR(MATCH(U$5,'Oxford Economics'!$A$6:$AZ$6,0),MATCH(U$5&amp;"",'Oxford Economics'!$A$6:$AZ$6,0))),'Oxford Economics'!$A$7:$A$1000,$C67,'Oxford Economics'!$B$7:$B$1000,Settings!$B$13)-SUMIFS(INDEX('Oxford Economics'!$A$7:$AZ$1000,0,IFERROR(MATCH(U$5,'Oxford Economics'!$A$6:$AZ$6,0),MATCH(U$5&amp;"",'Oxford Economics'!$A$6:$AZ$6,0))),'Oxford Economics'!$A$7:$A$1000,$C67,'Oxford Economics'!$B$7:$B$1000,Settings!$B$15),SUMIFS(INDEX('Oxford Economics'!$A$7:$AZ$1000,0,IFERROR(MATCH(U$5,'Oxford Economics'!$A$6:$AZ$6,0),MATCH(U$5&amp;"",'Oxford Economics'!$A$6:$AZ$6,0))),'Oxford Economics'!$A$7:$A$1000,$C67,'Oxford Economics'!$B$7:$B$1000,Settings!$B$15)+SUMIFS(INDEX('Oxford Economics'!$A$7:$AZ$1000,0,IFERROR(MATCH(U$5,'Oxford Economics'!$A$6:$AZ$6,0),MATCH(U$5&amp;"",'Oxford Economics'!$A$6:$AZ$6,0))),'Oxford Economics'!$A$7:$A$1000,$C67,'Oxford Economics'!$B$7:$B$1000,Settings!$B$17)+IF(Settings!$B$19="",0,SUMIFS(INDEX('Oxford Economics'!$A$7:$AZ$1000,0,IFERROR(MATCH(U$5,'Oxford Economics'!$A$6:$AZ$6,0),MATCH(U$5&amp;"",'Oxford Economics'!$A$6:$AZ$6,0))),'Oxford Economics'!$A$7:$A$1000,$C67,'Oxford Economics'!$B$7:$B$1000,Settings!$B$19)))),""))</f>
        <v>2946.4</v>
      </c>
      <c r="V67" s="38" t="n">
        <f aca="false">IF($A67="","",IFERROR(1/(1/IF($B67="Residential",SUMIFS(INDEX('Oxford Economics'!$A$7:$AZ$1000,0,IFERROR(MATCH(V$5,'Oxford Economics'!$A$6:$AZ$6,0),MATCH(V$5&amp;"",'Oxford Economics'!$A$6:$AZ$6,0))),'Oxford Economics'!$A$7:$A$1000,$C67,'Oxford Economics'!$B$7:$B$1000,Settings!$B$13)-SUMIFS(INDEX('Oxford Economics'!$A$7:$AZ$1000,0,IFERROR(MATCH(V$5,'Oxford Economics'!$A$6:$AZ$6,0),MATCH(V$5&amp;"",'Oxford Economics'!$A$6:$AZ$6,0))),'Oxford Economics'!$A$7:$A$1000,$C67,'Oxford Economics'!$B$7:$B$1000,Settings!$B$15),SUMIFS(INDEX('Oxford Economics'!$A$7:$AZ$1000,0,IFERROR(MATCH(V$5,'Oxford Economics'!$A$6:$AZ$6,0),MATCH(V$5&amp;"",'Oxford Economics'!$A$6:$AZ$6,0))),'Oxford Economics'!$A$7:$A$1000,$C67,'Oxford Economics'!$B$7:$B$1000,Settings!$B$15)+SUMIFS(INDEX('Oxford Economics'!$A$7:$AZ$1000,0,IFERROR(MATCH(V$5,'Oxford Economics'!$A$6:$AZ$6,0),MATCH(V$5&amp;"",'Oxford Economics'!$A$6:$AZ$6,0))),'Oxford Economics'!$A$7:$A$1000,$C67,'Oxford Economics'!$B$7:$B$1000,Settings!$B$17)+IF(Settings!$B$19="",0,SUMIFS(INDEX('Oxford Economics'!$A$7:$AZ$1000,0,IFERROR(MATCH(V$5,'Oxford Economics'!$A$6:$AZ$6,0),MATCH(V$5&amp;"",'Oxford Economics'!$A$6:$AZ$6,0))),'Oxford Economics'!$A$7:$A$1000,$C67,'Oxford Economics'!$B$7:$B$1000,Settings!$B$19)))),""))</f>
        <v>3025.05</v>
      </c>
      <c r="W67" s="38" t="n">
        <f aca="false">IF($A67="","",IFERROR(1/(1/IF($B67="Residential",SUMIFS(INDEX('Oxford Economics'!$A$7:$AZ$1000,0,IFERROR(MATCH(W$5,'Oxford Economics'!$A$6:$AZ$6,0),MATCH(W$5&amp;"",'Oxford Economics'!$A$6:$AZ$6,0))),'Oxford Economics'!$A$7:$A$1000,$C67,'Oxford Economics'!$B$7:$B$1000,Settings!$B$13)-SUMIFS(INDEX('Oxford Economics'!$A$7:$AZ$1000,0,IFERROR(MATCH(W$5,'Oxford Economics'!$A$6:$AZ$6,0),MATCH(W$5&amp;"",'Oxford Economics'!$A$6:$AZ$6,0))),'Oxford Economics'!$A$7:$A$1000,$C67,'Oxford Economics'!$B$7:$B$1000,Settings!$B$15),SUMIFS(INDEX('Oxford Economics'!$A$7:$AZ$1000,0,IFERROR(MATCH(W$5,'Oxford Economics'!$A$6:$AZ$6,0),MATCH(W$5&amp;"",'Oxford Economics'!$A$6:$AZ$6,0))),'Oxford Economics'!$A$7:$A$1000,$C67,'Oxford Economics'!$B$7:$B$1000,Settings!$B$15)+SUMIFS(INDEX('Oxford Economics'!$A$7:$AZ$1000,0,IFERROR(MATCH(W$5,'Oxford Economics'!$A$6:$AZ$6,0),MATCH(W$5&amp;"",'Oxford Economics'!$A$6:$AZ$6,0))),'Oxford Economics'!$A$7:$A$1000,$C67,'Oxford Economics'!$B$7:$B$1000,Settings!$B$17)+IF(Settings!$B$19="",0,SUMIFS(INDEX('Oxford Economics'!$A$7:$AZ$1000,0,IFERROR(MATCH(W$5,'Oxford Economics'!$A$6:$AZ$6,0),MATCH(W$5&amp;"",'Oxford Economics'!$A$6:$AZ$6,0))),'Oxford Economics'!$A$7:$A$1000,$C67,'Oxford Economics'!$B$7:$B$1000,Settings!$B$19)))),""))</f>
        <v>3122.2</v>
      </c>
      <c r="X67" s="38" t="n">
        <f aca="false">IF($A67="","",IFERROR(1/(1/IF($B67="Residential",SUMIFS(INDEX('Oxford Economics'!$A$7:$AZ$1000,0,IFERROR(MATCH(X$5,'Oxford Economics'!$A$6:$AZ$6,0),MATCH(X$5&amp;"",'Oxford Economics'!$A$6:$AZ$6,0))),'Oxford Economics'!$A$7:$A$1000,$C67,'Oxford Economics'!$B$7:$B$1000,Settings!$B$13)-SUMIFS(INDEX('Oxford Economics'!$A$7:$AZ$1000,0,IFERROR(MATCH(X$5,'Oxford Economics'!$A$6:$AZ$6,0),MATCH(X$5&amp;"",'Oxford Economics'!$A$6:$AZ$6,0))),'Oxford Economics'!$A$7:$A$1000,$C67,'Oxford Economics'!$B$7:$B$1000,Settings!$B$15),SUMIFS(INDEX('Oxford Economics'!$A$7:$AZ$1000,0,IFERROR(MATCH(X$5,'Oxford Economics'!$A$6:$AZ$6,0),MATCH(X$5&amp;"",'Oxford Economics'!$A$6:$AZ$6,0))),'Oxford Economics'!$A$7:$A$1000,$C67,'Oxford Economics'!$B$7:$B$1000,Settings!$B$15)+SUMIFS(INDEX('Oxford Economics'!$A$7:$AZ$1000,0,IFERROR(MATCH(X$5,'Oxford Economics'!$A$6:$AZ$6,0),MATCH(X$5&amp;"",'Oxford Economics'!$A$6:$AZ$6,0))),'Oxford Economics'!$A$7:$A$1000,$C67,'Oxford Economics'!$B$7:$B$1000,Settings!$B$17)+IF(Settings!$B$19="",0,SUMIFS(INDEX('Oxford Economics'!$A$7:$AZ$1000,0,IFERROR(MATCH(X$5,'Oxford Economics'!$A$6:$AZ$6,0),MATCH(X$5&amp;"",'Oxford Economics'!$A$6:$AZ$6,0))),'Oxford Economics'!$A$7:$A$1000,$C67,'Oxford Economics'!$B$7:$B$1000,Settings!$B$19)))),""))</f>
        <v>3295.95</v>
      </c>
      <c r="Y67" s="38" t="n">
        <f aca="false">IF($A67="","",IFERROR(1/(1/IF($B67="Residential",SUMIFS(INDEX('Oxford Economics'!$A$7:$AZ$1000,0,IFERROR(MATCH(Y$5,'Oxford Economics'!$A$6:$AZ$6,0),MATCH(Y$5&amp;"",'Oxford Economics'!$A$6:$AZ$6,0))),'Oxford Economics'!$A$7:$A$1000,$C67,'Oxford Economics'!$B$7:$B$1000,Settings!$B$13)-SUMIFS(INDEX('Oxford Economics'!$A$7:$AZ$1000,0,IFERROR(MATCH(Y$5,'Oxford Economics'!$A$6:$AZ$6,0),MATCH(Y$5&amp;"",'Oxford Economics'!$A$6:$AZ$6,0))),'Oxford Economics'!$A$7:$A$1000,$C67,'Oxford Economics'!$B$7:$B$1000,Settings!$B$15),SUMIFS(INDEX('Oxford Economics'!$A$7:$AZ$1000,0,IFERROR(MATCH(Y$5,'Oxford Economics'!$A$6:$AZ$6,0),MATCH(Y$5&amp;"",'Oxford Economics'!$A$6:$AZ$6,0))),'Oxford Economics'!$A$7:$A$1000,$C67,'Oxford Economics'!$B$7:$B$1000,Settings!$B$15)+SUMIFS(INDEX('Oxford Economics'!$A$7:$AZ$1000,0,IFERROR(MATCH(Y$5,'Oxford Economics'!$A$6:$AZ$6,0),MATCH(Y$5&amp;"",'Oxford Economics'!$A$6:$AZ$6,0))),'Oxford Economics'!$A$7:$A$1000,$C67,'Oxford Economics'!$B$7:$B$1000,Settings!$B$17)+IF(Settings!$B$19="",0,SUMIFS(INDEX('Oxford Economics'!$A$7:$AZ$1000,0,IFERROR(MATCH(Y$5,'Oxford Economics'!$A$6:$AZ$6,0),MATCH(Y$5&amp;"",'Oxford Economics'!$A$6:$AZ$6,0))),'Oxford Economics'!$A$7:$A$1000,$C67,'Oxford Economics'!$B$7:$B$1000,Settings!$B$19)))),""))</f>
        <v>3316.24</v>
      </c>
      <c r="Z67" s="38" t="n">
        <f aca="false">IF($A67="","",IFERROR(1/(1/IF($B67="Residential",SUMIFS(INDEX('Oxford Economics'!$A$7:$AZ$1000,0,IFERROR(MATCH(Z$5,'Oxford Economics'!$A$6:$AZ$6,0),MATCH(Z$5&amp;"",'Oxford Economics'!$A$6:$AZ$6,0))),'Oxford Economics'!$A$7:$A$1000,$C67,'Oxford Economics'!$B$7:$B$1000,Settings!$B$13)-SUMIFS(INDEX('Oxford Economics'!$A$7:$AZ$1000,0,IFERROR(MATCH(Z$5,'Oxford Economics'!$A$6:$AZ$6,0),MATCH(Z$5&amp;"",'Oxford Economics'!$A$6:$AZ$6,0))),'Oxford Economics'!$A$7:$A$1000,$C67,'Oxford Economics'!$B$7:$B$1000,Settings!$B$15),SUMIFS(INDEX('Oxford Economics'!$A$7:$AZ$1000,0,IFERROR(MATCH(Z$5,'Oxford Economics'!$A$6:$AZ$6,0),MATCH(Z$5&amp;"",'Oxford Economics'!$A$6:$AZ$6,0))),'Oxford Economics'!$A$7:$A$1000,$C67,'Oxford Economics'!$B$7:$B$1000,Settings!$B$15)+SUMIFS(INDEX('Oxford Economics'!$A$7:$AZ$1000,0,IFERROR(MATCH(Z$5,'Oxford Economics'!$A$6:$AZ$6,0),MATCH(Z$5&amp;"",'Oxford Economics'!$A$6:$AZ$6,0))),'Oxford Economics'!$A$7:$A$1000,$C67,'Oxford Economics'!$B$7:$B$1000,Settings!$B$17)+IF(Settings!$B$19="",0,SUMIFS(INDEX('Oxford Economics'!$A$7:$AZ$1000,0,IFERROR(MATCH(Z$5,'Oxford Economics'!$A$6:$AZ$6,0),MATCH(Z$5&amp;"",'Oxford Economics'!$A$6:$AZ$6,0))),'Oxford Economics'!$A$7:$A$1000,$C67,'Oxford Economics'!$B$7:$B$1000,Settings!$B$19)))),""))</f>
        <v>3415.31</v>
      </c>
      <c r="AA67" s="38" t="n">
        <f aca="false">IF($A67="","",IFERROR(1/(1/IF($B67="Residential",SUMIFS(INDEX('Oxford Economics'!$A$7:$AZ$1000,0,IFERROR(MATCH(AA$5,'Oxford Economics'!$A$6:$AZ$6,0),MATCH(AA$5&amp;"",'Oxford Economics'!$A$6:$AZ$6,0))),'Oxford Economics'!$A$7:$A$1000,$C67,'Oxford Economics'!$B$7:$B$1000,Settings!$B$13)-SUMIFS(INDEX('Oxford Economics'!$A$7:$AZ$1000,0,IFERROR(MATCH(AA$5,'Oxford Economics'!$A$6:$AZ$6,0),MATCH(AA$5&amp;"",'Oxford Economics'!$A$6:$AZ$6,0))),'Oxford Economics'!$A$7:$A$1000,$C67,'Oxford Economics'!$B$7:$B$1000,Settings!$B$15),SUMIFS(INDEX('Oxford Economics'!$A$7:$AZ$1000,0,IFERROR(MATCH(AA$5,'Oxford Economics'!$A$6:$AZ$6,0),MATCH(AA$5&amp;"",'Oxford Economics'!$A$6:$AZ$6,0))),'Oxford Economics'!$A$7:$A$1000,$C67,'Oxford Economics'!$B$7:$B$1000,Settings!$B$15)+SUMIFS(INDEX('Oxford Economics'!$A$7:$AZ$1000,0,IFERROR(MATCH(AA$5,'Oxford Economics'!$A$6:$AZ$6,0),MATCH(AA$5&amp;"",'Oxford Economics'!$A$6:$AZ$6,0))),'Oxford Economics'!$A$7:$A$1000,$C67,'Oxford Economics'!$B$7:$B$1000,Settings!$B$17)+IF(Settings!$B$19="",0,SUMIFS(INDEX('Oxford Economics'!$A$7:$AZ$1000,0,IFERROR(MATCH(AA$5,'Oxford Economics'!$A$6:$AZ$6,0),MATCH(AA$5&amp;"",'Oxford Economics'!$A$6:$AZ$6,0))),'Oxford Economics'!$A$7:$A$1000,$C67,'Oxford Economics'!$B$7:$B$1000,Settings!$B$19)))),""))</f>
        <v>3614.59</v>
      </c>
      <c r="AB67" s="38" t="n">
        <f aca="false">IF($A67="","",IFERROR(1/(1/IF($B67="Residential",SUMIFS(INDEX('Oxford Economics'!$A$7:$AZ$1000,0,IFERROR(MATCH(AB$5,'Oxford Economics'!$A$6:$AZ$6,0),MATCH(AB$5&amp;"",'Oxford Economics'!$A$6:$AZ$6,0))),'Oxford Economics'!$A$7:$A$1000,$C67,'Oxford Economics'!$B$7:$B$1000,Settings!$B$12)-SUMIFS(INDEX('Oxford Economics'!$A$7:$AZ$1000,0,IFERROR(MATCH(AB$5,'Oxford Economics'!$A$6:$AZ$6,0),MATCH(AB$5&amp;"",'Oxford Economics'!$A$6:$AZ$6,0))),'Oxford Economics'!$A$7:$A$1000,$C67,'Oxford Economics'!$B$7:$B$1000,Settings!$B$14),SUMIFS(INDEX('Oxford Economics'!$A$7:$AZ$1000,0,IFERROR(MATCH(AB$5,'Oxford Economics'!$A$6:$AZ$6,0),MATCH(AB$5&amp;"",'Oxford Economics'!$A$6:$AZ$6,0))),'Oxford Economics'!$A$7:$A$1000,$C67,'Oxford Economics'!$B$7:$B$1000,Settings!$B$14)+SUMIFS(INDEX('Oxford Economics'!$A$7:$AZ$1000,0,IFERROR(MATCH(AB$5,'Oxford Economics'!$A$6:$AZ$6,0),MATCH(AB$5&amp;"",'Oxford Economics'!$A$6:$AZ$6,0))),'Oxford Economics'!$A$7:$A$1000,$C67,'Oxford Economics'!$B$7:$B$1000,Settings!$B$16)+IF(Settings!$B$18="",0,SUMIFS(INDEX('Oxford Economics'!$A$7:$AZ$1000,0,IFERROR(MATCH(AB$5,'Oxford Economics'!$A$6:$AZ$6,0),MATCH(AB$5&amp;"",'Oxford Economics'!$A$6:$AZ$6,0))),'Oxford Economics'!$A$7:$A$1000,$C67,'Oxford Economics'!$B$7:$B$1000,Settings!$B$18)))),""))</f>
        <v>3751.53</v>
      </c>
      <c r="AC67" s="38" t="n">
        <f aca="false">IF($A67="","",IFERROR(1/(1/IF($B67="Residential",SUMIFS(INDEX('Oxford Economics'!$A$7:$AZ$1000,0,IFERROR(MATCH(AC$5,'Oxford Economics'!$A$6:$AZ$6,0),MATCH(AC$5&amp;"",'Oxford Economics'!$A$6:$AZ$6,0))),'Oxford Economics'!$A$7:$A$1000,$C67,'Oxford Economics'!$B$7:$B$1000,Settings!$B$12)-SUMIFS(INDEX('Oxford Economics'!$A$7:$AZ$1000,0,IFERROR(MATCH(AC$5,'Oxford Economics'!$A$6:$AZ$6,0),MATCH(AC$5&amp;"",'Oxford Economics'!$A$6:$AZ$6,0))),'Oxford Economics'!$A$7:$A$1000,$C67,'Oxford Economics'!$B$7:$B$1000,Settings!$B$14),SUMIFS(INDEX('Oxford Economics'!$A$7:$AZ$1000,0,IFERROR(MATCH(AC$5,'Oxford Economics'!$A$6:$AZ$6,0),MATCH(AC$5&amp;"",'Oxford Economics'!$A$6:$AZ$6,0))),'Oxford Economics'!$A$7:$A$1000,$C67,'Oxford Economics'!$B$7:$B$1000,Settings!$B$14)+SUMIFS(INDEX('Oxford Economics'!$A$7:$AZ$1000,0,IFERROR(MATCH(AC$5,'Oxford Economics'!$A$6:$AZ$6,0),MATCH(AC$5&amp;"",'Oxford Economics'!$A$6:$AZ$6,0))),'Oxford Economics'!$A$7:$A$1000,$C67,'Oxford Economics'!$B$7:$B$1000,Settings!$B$16)+IF(Settings!$B$18="",0,SUMIFS(INDEX('Oxford Economics'!$A$7:$AZ$1000,0,IFERROR(MATCH(AC$5,'Oxford Economics'!$A$6:$AZ$6,0),MATCH(AC$5&amp;"",'Oxford Economics'!$A$6:$AZ$6,0))),'Oxford Economics'!$A$7:$A$1000,$C67,'Oxford Economics'!$B$7:$B$1000,Settings!$B$18)))),""))</f>
        <v>4051.82</v>
      </c>
      <c r="AD67" s="38" t="n">
        <f aca="false">IF($A67="","",IFERROR(1/(1/IF($B67="Residential",SUMIFS(INDEX('Oxford Economics'!$A$7:$AZ$1000,0,IFERROR(MATCH(AD$5,'Oxford Economics'!$A$6:$AZ$6,0),MATCH(AD$5&amp;"",'Oxford Economics'!$A$6:$AZ$6,0))),'Oxford Economics'!$A$7:$A$1000,$C67,'Oxford Economics'!$B$7:$B$1000,Settings!$B$12)-SUMIFS(INDEX('Oxford Economics'!$A$7:$AZ$1000,0,IFERROR(MATCH(AD$5,'Oxford Economics'!$A$6:$AZ$6,0),MATCH(AD$5&amp;"",'Oxford Economics'!$A$6:$AZ$6,0))),'Oxford Economics'!$A$7:$A$1000,$C67,'Oxford Economics'!$B$7:$B$1000,Settings!$B$14),SUMIFS(INDEX('Oxford Economics'!$A$7:$AZ$1000,0,IFERROR(MATCH(AD$5,'Oxford Economics'!$A$6:$AZ$6,0),MATCH(AD$5&amp;"",'Oxford Economics'!$A$6:$AZ$6,0))),'Oxford Economics'!$A$7:$A$1000,$C67,'Oxford Economics'!$B$7:$B$1000,Settings!$B$14)+SUMIFS(INDEX('Oxford Economics'!$A$7:$AZ$1000,0,IFERROR(MATCH(AD$5,'Oxford Economics'!$A$6:$AZ$6,0),MATCH(AD$5&amp;"",'Oxford Economics'!$A$6:$AZ$6,0))),'Oxford Economics'!$A$7:$A$1000,$C67,'Oxford Economics'!$B$7:$B$1000,Settings!$B$16)+IF(Settings!$B$18="",0,SUMIFS(INDEX('Oxford Economics'!$A$7:$AZ$1000,0,IFERROR(MATCH(AD$5,'Oxford Economics'!$A$6:$AZ$6,0),MATCH(AD$5&amp;"",'Oxford Economics'!$A$6:$AZ$6,0))),'Oxford Economics'!$A$7:$A$1000,$C67,'Oxford Economics'!$B$7:$B$1000,Settings!$B$18)))),""))</f>
        <v>4004.22</v>
      </c>
      <c r="AE67" s="38" t="n">
        <f aca="false">IF($A67="","",IFERROR(1/(1/IF($B67="Residential",SUMIFS(INDEX('Oxford Economics'!$A$7:$AZ$1000,0,IFERROR(MATCH(AE$5,'Oxford Economics'!$A$6:$AZ$6,0),MATCH(AE$5&amp;"",'Oxford Economics'!$A$6:$AZ$6,0))),'Oxford Economics'!$A$7:$A$1000,$C67,'Oxford Economics'!$B$7:$B$1000,Settings!$B$12)-SUMIFS(INDEX('Oxford Economics'!$A$7:$AZ$1000,0,IFERROR(MATCH(AE$5,'Oxford Economics'!$A$6:$AZ$6,0),MATCH(AE$5&amp;"",'Oxford Economics'!$A$6:$AZ$6,0))),'Oxford Economics'!$A$7:$A$1000,$C67,'Oxford Economics'!$B$7:$B$1000,Settings!$B$14),SUMIFS(INDEX('Oxford Economics'!$A$7:$AZ$1000,0,IFERROR(MATCH(AE$5,'Oxford Economics'!$A$6:$AZ$6,0),MATCH(AE$5&amp;"",'Oxford Economics'!$A$6:$AZ$6,0))),'Oxford Economics'!$A$7:$A$1000,$C67,'Oxford Economics'!$B$7:$B$1000,Settings!$B$14)+SUMIFS(INDEX('Oxford Economics'!$A$7:$AZ$1000,0,IFERROR(MATCH(AE$5,'Oxford Economics'!$A$6:$AZ$6,0),MATCH(AE$5&amp;"",'Oxford Economics'!$A$6:$AZ$6,0))),'Oxford Economics'!$A$7:$A$1000,$C67,'Oxford Economics'!$B$7:$B$1000,Settings!$B$16)+IF(Settings!$B$18="",0,SUMIFS(INDEX('Oxford Economics'!$A$7:$AZ$1000,0,IFERROR(MATCH(AE$5,'Oxford Economics'!$A$6:$AZ$6,0),MATCH(AE$5&amp;"",'Oxford Economics'!$A$6:$AZ$6,0))),'Oxford Economics'!$A$7:$A$1000,$C67,'Oxford Economics'!$B$7:$B$1000,Settings!$B$18)))),""))</f>
        <v>3934.29</v>
      </c>
      <c r="AF67" s="38" t="n">
        <f aca="false">IF($A67="","",IFERROR(1/(1/IF($B67="Residential",SUMIFS(INDEX('Oxford Economics'!$A$7:$AZ$1000,0,IFERROR(MATCH(AF$5,'Oxford Economics'!$A$6:$AZ$6,0),MATCH(AF$5&amp;"",'Oxford Economics'!$A$6:$AZ$6,0))),'Oxford Economics'!$A$7:$A$1000,$C67,'Oxford Economics'!$B$7:$B$1000,Settings!$B$12)-SUMIFS(INDEX('Oxford Economics'!$A$7:$AZ$1000,0,IFERROR(MATCH(AF$5,'Oxford Economics'!$A$6:$AZ$6,0),MATCH(AF$5&amp;"",'Oxford Economics'!$A$6:$AZ$6,0))),'Oxford Economics'!$A$7:$A$1000,$C67,'Oxford Economics'!$B$7:$B$1000,Settings!$B$14),SUMIFS(INDEX('Oxford Economics'!$A$7:$AZ$1000,0,IFERROR(MATCH(AF$5,'Oxford Economics'!$A$6:$AZ$6,0),MATCH(AF$5&amp;"",'Oxford Economics'!$A$6:$AZ$6,0))),'Oxford Economics'!$A$7:$A$1000,$C67,'Oxford Economics'!$B$7:$B$1000,Settings!$B$14)+SUMIFS(INDEX('Oxford Economics'!$A$7:$AZ$1000,0,IFERROR(MATCH(AF$5,'Oxford Economics'!$A$6:$AZ$6,0),MATCH(AF$5&amp;"",'Oxford Economics'!$A$6:$AZ$6,0))),'Oxford Economics'!$A$7:$A$1000,$C67,'Oxford Economics'!$B$7:$B$1000,Settings!$B$16)+IF(Settings!$B$18="",0,SUMIFS(INDEX('Oxford Economics'!$A$7:$AZ$1000,0,IFERROR(MATCH(AF$5,'Oxford Economics'!$A$6:$AZ$6,0),MATCH(AF$5&amp;"",'Oxford Economics'!$A$6:$AZ$6,0))),'Oxford Economics'!$A$7:$A$1000,$C67,'Oxford Economics'!$B$7:$B$1000,Settings!$B$18)))),""))</f>
        <v>3899.69</v>
      </c>
      <c r="AG67" s="38" t="n">
        <f aca="false">IF($A67="","",IFERROR(1/(1/IF($B67="Residential",SUMIFS(INDEX('Oxford Economics'!$A$7:$AZ$1000,0,IFERROR(MATCH(AG$5,'Oxford Economics'!$A$6:$AZ$6,0),MATCH(AG$5&amp;"",'Oxford Economics'!$A$6:$AZ$6,0))),'Oxford Economics'!$A$7:$A$1000,$C67,'Oxford Economics'!$B$7:$B$1000,Settings!$B$12)-SUMIFS(INDEX('Oxford Economics'!$A$7:$AZ$1000,0,IFERROR(MATCH(AG$5,'Oxford Economics'!$A$6:$AZ$6,0),MATCH(AG$5&amp;"",'Oxford Economics'!$A$6:$AZ$6,0))),'Oxford Economics'!$A$7:$A$1000,$C67,'Oxford Economics'!$B$7:$B$1000,Settings!$B$14),SUMIFS(INDEX('Oxford Economics'!$A$7:$AZ$1000,0,IFERROR(MATCH(AG$5,'Oxford Economics'!$A$6:$AZ$6,0),MATCH(AG$5&amp;"",'Oxford Economics'!$A$6:$AZ$6,0))),'Oxford Economics'!$A$7:$A$1000,$C67,'Oxford Economics'!$B$7:$B$1000,Settings!$B$14)+SUMIFS(INDEX('Oxford Economics'!$A$7:$AZ$1000,0,IFERROR(MATCH(AG$5,'Oxford Economics'!$A$6:$AZ$6,0),MATCH(AG$5&amp;"",'Oxford Economics'!$A$6:$AZ$6,0))),'Oxford Economics'!$A$7:$A$1000,$C67,'Oxford Economics'!$B$7:$B$1000,Settings!$B$16)+IF(Settings!$B$18="",0,SUMIFS(INDEX('Oxford Economics'!$A$7:$AZ$1000,0,IFERROR(MATCH(AG$5,'Oxford Economics'!$A$6:$AZ$6,0),MATCH(AG$5&amp;"",'Oxford Economics'!$A$6:$AZ$6,0))),'Oxford Economics'!$A$7:$A$1000,$C67,'Oxford Economics'!$B$7:$B$1000,Settings!$B$18)))),""))</f>
        <v>3843.82</v>
      </c>
      <c r="AH67" s="38" t="n">
        <f aca="false">IF($A67="","",IFERROR(1/(1/IF($B67="Residential",SUMIFS(INDEX('Oxford Economics'!$A$7:$AZ$1000,0,IFERROR(MATCH(AH$5,'Oxford Economics'!$A$6:$AZ$6,0),MATCH(AH$5&amp;"",'Oxford Economics'!$A$6:$AZ$6,0))),'Oxford Economics'!$A$7:$A$1000,$C67,'Oxford Economics'!$B$7:$B$1000,Settings!$B$12)-SUMIFS(INDEX('Oxford Economics'!$A$7:$AZ$1000,0,IFERROR(MATCH(AH$5,'Oxford Economics'!$A$6:$AZ$6,0),MATCH(AH$5&amp;"",'Oxford Economics'!$A$6:$AZ$6,0))),'Oxford Economics'!$A$7:$A$1000,$C67,'Oxford Economics'!$B$7:$B$1000,Settings!$B$14),SUMIFS(INDEX('Oxford Economics'!$A$7:$AZ$1000,0,IFERROR(MATCH(AH$5,'Oxford Economics'!$A$6:$AZ$6,0),MATCH(AH$5&amp;"",'Oxford Economics'!$A$6:$AZ$6,0))),'Oxford Economics'!$A$7:$A$1000,$C67,'Oxford Economics'!$B$7:$B$1000,Settings!$B$14)+SUMIFS(INDEX('Oxford Economics'!$A$7:$AZ$1000,0,IFERROR(MATCH(AH$5,'Oxford Economics'!$A$6:$AZ$6,0),MATCH(AH$5&amp;"",'Oxford Economics'!$A$6:$AZ$6,0))),'Oxford Economics'!$A$7:$A$1000,$C67,'Oxford Economics'!$B$7:$B$1000,Settings!$B$16)+IF(Settings!$B$18="",0,SUMIFS(INDEX('Oxford Economics'!$A$7:$AZ$1000,0,IFERROR(MATCH(AH$5,'Oxford Economics'!$A$6:$AZ$6,0),MATCH(AH$5&amp;"",'Oxford Economics'!$A$6:$AZ$6,0))),'Oxford Economics'!$A$7:$A$1000,$C67,'Oxford Economics'!$B$7:$B$1000,Settings!$B$18)))),""))</f>
        <v>3711.87</v>
      </c>
      <c r="AI67" s="38" t="n">
        <f aca="false">IF($A67="","",IFERROR(1/(1/IF($B67="Residential",SUMIFS(INDEX('Oxford Economics'!$A$7:$AZ$1000,0,IFERROR(MATCH(AI$5,'Oxford Economics'!$A$6:$AZ$6,0),MATCH(AI$5&amp;"",'Oxford Economics'!$A$6:$AZ$6,0))),'Oxford Economics'!$A$7:$A$1000,$C67,'Oxford Economics'!$B$7:$B$1000,Settings!$B$12)-SUMIFS(INDEX('Oxford Economics'!$A$7:$AZ$1000,0,IFERROR(MATCH(AI$5,'Oxford Economics'!$A$6:$AZ$6,0),MATCH(AI$5&amp;"",'Oxford Economics'!$A$6:$AZ$6,0))),'Oxford Economics'!$A$7:$A$1000,$C67,'Oxford Economics'!$B$7:$B$1000,Settings!$B$14),SUMIFS(INDEX('Oxford Economics'!$A$7:$AZ$1000,0,IFERROR(MATCH(AI$5,'Oxford Economics'!$A$6:$AZ$6,0),MATCH(AI$5&amp;"",'Oxford Economics'!$A$6:$AZ$6,0))),'Oxford Economics'!$A$7:$A$1000,$C67,'Oxford Economics'!$B$7:$B$1000,Settings!$B$14)+SUMIFS(INDEX('Oxford Economics'!$A$7:$AZ$1000,0,IFERROR(MATCH(AI$5,'Oxford Economics'!$A$6:$AZ$6,0),MATCH(AI$5&amp;"",'Oxford Economics'!$A$6:$AZ$6,0))),'Oxford Economics'!$A$7:$A$1000,$C67,'Oxford Economics'!$B$7:$B$1000,Settings!$B$16)+IF(Settings!$B$18="",0,SUMIFS(INDEX('Oxford Economics'!$A$7:$AZ$1000,0,IFERROR(MATCH(AI$5,'Oxford Economics'!$A$6:$AZ$6,0),MATCH(AI$5&amp;"",'Oxford Economics'!$A$6:$AZ$6,0))),'Oxford Economics'!$A$7:$A$1000,$C67,'Oxford Economics'!$B$7:$B$1000,Settings!$B$18)))),""))</f>
        <v>3756.44</v>
      </c>
      <c r="AJ67" s="38" t="n">
        <f aca="false">IF($A67="","",IFERROR(1/(1/IF($B67="Residential",SUMIFS(INDEX('Oxford Economics'!$A$7:$AZ$1000,0,IFERROR(MATCH(AJ$5,'Oxford Economics'!$A$6:$AZ$6,0),MATCH(AJ$5&amp;"",'Oxford Economics'!$A$6:$AZ$6,0))),'Oxford Economics'!$A$7:$A$1000,$C67,'Oxford Economics'!$B$7:$B$1000,Settings!$B$12)-SUMIFS(INDEX('Oxford Economics'!$A$7:$AZ$1000,0,IFERROR(MATCH(AJ$5,'Oxford Economics'!$A$6:$AZ$6,0),MATCH(AJ$5&amp;"",'Oxford Economics'!$A$6:$AZ$6,0))),'Oxford Economics'!$A$7:$A$1000,$C67,'Oxford Economics'!$B$7:$B$1000,Settings!$B$14),SUMIFS(INDEX('Oxford Economics'!$A$7:$AZ$1000,0,IFERROR(MATCH(AJ$5,'Oxford Economics'!$A$6:$AZ$6,0),MATCH(AJ$5&amp;"",'Oxford Economics'!$A$6:$AZ$6,0))),'Oxford Economics'!$A$7:$A$1000,$C67,'Oxford Economics'!$B$7:$B$1000,Settings!$B$14)+SUMIFS(INDEX('Oxford Economics'!$A$7:$AZ$1000,0,IFERROR(MATCH(AJ$5,'Oxford Economics'!$A$6:$AZ$6,0),MATCH(AJ$5&amp;"",'Oxford Economics'!$A$6:$AZ$6,0))),'Oxford Economics'!$A$7:$A$1000,$C67,'Oxford Economics'!$B$7:$B$1000,Settings!$B$16)+IF(Settings!$B$18="",0,SUMIFS(INDEX('Oxford Economics'!$A$7:$AZ$1000,0,IFERROR(MATCH(AJ$5,'Oxford Economics'!$A$6:$AZ$6,0),MATCH(AJ$5&amp;"",'Oxford Economics'!$A$6:$AZ$6,0))),'Oxford Economics'!$A$7:$A$1000,$C67,'Oxford Economics'!$B$7:$B$1000,Settings!$B$18)))),""))</f>
        <v>3843.31</v>
      </c>
      <c r="AK67" s="38" t="n">
        <f aca="false">IF($A67="","",IFERROR(1/(1/IF($B67="Residential",SUMIFS(INDEX('Oxford Economics'!$A$7:$AZ$1000,0,IFERROR(MATCH(AK$5,'Oxford Economics'!$A$6:$AZ$6,0),MATCH(AK$5&amp;"",'Oxford Economics'!$A$6:$AZ$6,0))),'Oxford Economics'!$A$7:$A$1000,$C67,'Oxford Economics'!$B$7:$B$1000,Settings!$B$12)-SUMIFS(INDEX('Oxford Economics'!$A$7:$AZ$1000,0,IFERROR(MATCH(AK$5,'Oxford Economics'!$A$6:$AZ$6,0),MATCH(AK$5&amp;"",'Oxford Economics'!$A$6:$AZ$6,0))),'Oxford Economics'!$A$7:$A$1000,$C67,'Oxford Economics'!$B$7:$B$1000,Settings!$B$14),SUMIFS(INDEX('Oxford Economics'!$A$7:$AZ$1000,0,IFERROR(MATCH(AK$5,'Oxford Economics'!$A$6:$AZ$6,0),MATCH(AK$5&amp;"",'Oxford Economics'!$A$6:$AZ$6,0))),'Oxford Economics'!$A$7:$A$1000,$C67,'Oxford Economics'!$B$7:$B$1000,Settings!$B$14)+SUMIFS(INDEX('Oxford Economics'!$A$7:$AZ$1000,0,IFERROR(MATCH(AK$5,'Oxford Economics'!$A$6:$AZ$6,0),MATCH(AK$5&amp;"",'Oxford Economics'!$A$6:$AZ$6,0))),'Oxford Economics'!$A$7:$A$1000,$C67,'Oxford Economics'!$B$7:$B$1000,Settings!$B$16)+IF(Settings!$B$18="",0,SUMIFS(INDEX('Oxford Economics'!$A$7:$AZ$1000,0,IFERROR(MATCH(AK$5,'Oxford Economics'!$A$6:$AZ$6,0),MATCH(AK$5&amp;"",'Oxford Economics'!$A$6:$AZ$6,0))),'Oxford Economics'!$A$7:$A$1000,$C67,'Oxford Economics'!$B$7:$B$1000,Settings!$B$18)))),""))</f>
        <v>3724.8</v>
      </c>
      <c r="AL67" s="38" t="n">
        <f aca="false">IF($A67="","",IFERROR(1/(1/IF($B67="Residential",SUMIFS(INDEX('Oxford Economics'!$A$7:$AZ$1000,0,IFERROR(MATCH(AL$5,'Oxford Economics'!$A$6:$AZ$6,0),MATCH(AL$5&amp;"",'Oxford Economics'!$A$6:$AZ$6,0))),'Oxford Economics'!$A$7:$A$1000,$C67,'Oxford Economics'!$B$7:$B$1000,Settings!$B$12)-SUMIFS(INDEX('Oxford Economics'!$A$7:$AZ$1000,0,IFERROR(MATCH(AL$5,'Oxford Economics'!$A$6:$AZ$6,0),MATCH(AL$5&amp;"",'Oxford Economics'!$A$6:$AZ$6,0))),'Oxford Economics'!$A$7:$A$1000,$C67,'Oxford Economics'!$B$7:$B$1000,Settings!$B$14),SUMIFS(INDEX('Oxford Economics'!$A$7:$AZ$1000,0,IFERROR(MATCH(AL$5,'Oxford Economics'!$A$6:$AZ$6,0),MATCH(AL$5&amp;"",'Oxford Economics'!$A$6:$AZ$6,0))),'Oxford Economics'!$A$7:$A$1000,$C67,'Oxford Economics'!$B$7:$B$1000,Settings!$B$14)+SUMIFS(INDEX('Oxford Economics'!$A$7:$AZ$1000,0,IFERROR(MATCH(AL$5,'Oxford Economics'!$A$6:$AZ$6,0),MATCH(AL$5&amp;"",'Oxford Economics'!$A$6:$AZ$6,0))),'Oxford Economics'!$A$7:$A$1000,$C67,'Oxford Economics'!$B$7:$B$1000,Settings!$B$16)+IF(Settings!$B$18="",0,SUMIFS(INDEX('Oxford Economics'!$A$7:$AZ$1000,0,IFERROR(MATCH(AL$5,'Oxford Economics'!$A$6:$AZ$6,0),MATCH(AL$5&amp;"",'Oxford Economics'!$A$6:$AZ$6,0))),'Oxford Economics'!$A$7:$A$1000,$C67,'Oxford Economics'!$B$7:$B$1000,Settings!$B$18)))),""))</f>
        <v>3650.95</v>
      </c>
      <c r="AM67" s="38" t="n">
        <f aca="false">IF($A67="","",IFERROR(1/(1/IF($B67="Residential",SUMIFS(INDEX('Oxford Economics'!$A$7:$AZ$1000,0,IFERROR(MATCH(AM$5,'Oxford Economics'!$A$6:$AZ$6,0),MATCH(AM$5&amp;"",'Oxford Economics'!$A$6:$AZ$6,0))),'Oxford Economics'!$A$7:$A$1000,$C67,'Oxford Economics'!$B$7:$B$1000,Settings!$B$12)-SUMIFS(INDEX('Oxford Economics'!$A$7:$AZ$1000,0,IFERROR(MATCH(AM$5,'Oxford Economics'!$A$6:$AZ$6,0),MATCH(AM$5&amp;"",'Oxford Economics'!$A$6:$AZ$6,0))),'Oxford Economics'!$A$7:$A$1000,$C67,'Oxford Economics'!$B$7:$B$1000,Settings!$B$14),SUMIFS(INDEX('Oxford Economics'!$A$7:$AZ$1000,0,IFERROR(MATCH(AM$5,'Oxford Economics'!$A$6:$AZ$6,0),MATCH(AM$5&amp;"",'Oxford Economics'!$A$6:$AZ$6,0))),'Oxford Economics'!$A$7:$A$1000,$C67,'Oxford Economics'!$B$7:$B$1000,Settings!$B$14)+SUMIFS(INDEX('Oxford Economics'!$A$7:$AZ$1000,0,IFERROR(MATCH(AM$5,'Oxford Economics'!$A$6:$AZ$6,0),MATCH(AM$5&amp;"",'Oxford Economics'!$A$6:$AZ$6,0))),'Oxford Economics'!$A$7:$A$1000,$C67,'Oxford Economics'!$B$7:$B$1000,Settings!$B$16)+IF(Settings!$B$18="",0,SUMIFS(INDEX('Oxford Economics'!$A$7:$AZ$1000,0,IFERROR(MATCH(AM$5,'Oxford Economics'!$A$6:$AZ$6,0),MATCH(AM$5&amp;"",'Oxford Economics'!$A$6:$AZ$6,0))),'Oxford Economics'!$A$7:$A$1000,$C67,'Oxford Economics'!$B$7:$B$1000,Settings!$B$18)))),""))</f>
        <v>3620.44</v>
      </c>
    </row>
    <row r="68" customFormat="false" ht="15" hidden="false" customHeight="false" outlineLevel="0" collapsed="false">
      <c r="A68" s="37" t="str">
        <f aca="false">IF('Raw data'!$A68="","",'Raw data'!$A68)</f>
        <v>Switzerland</v>
      </c>
      <c r="B68" s="37" t="str">
        <f aca="false">IF($A68="","",'Raw data'!$C68)</f>
        <v>Residential</v>
      </c>
      <c r="C68" s="37" t="str">
        <f aca="false">IF($A68="","",IF('Raw data'!$E68="",$A68,'Raw data'!$E68))</f>
        <v>Switzerland</v>
      </c>
      <c r="D68" s="38" t="n">
        <f aca="false">IF($A68="","",IF(AND(ISNUMBER(P68),ISNUMBER(AB68)),P68+AB68,""))</f>
        <v>6780.24</v>
      </c>
      <c r="E68" s="38" t="n">
        <f aca="false">IF($A68="","",IF(AND(ISNUMBER(Q68),ISNUMBER(AC68)),Q68+AC68,""))</f>
        <v>7167.09</v>
      </c>
      <c r="F68" s="38" t="n">
        <f aca="false">IF($A68="","",IF(AND(ISNUMBER(R68),ISNUMBER(AD68)),R68+AD68,""))</f>
        <v>7020.15</v>
      </c>
      <c r="G68" s="38" t="n">
        <f aca="false">IF($A68="","",IF(AND(ISNUMBER(S68),ISNUMBER(AE68)),S68+AE68,""))</f>
        <v>6865.73</v>
      </c>
      <c r="H68" s="38" t="n">
        <f aca="false">IF($A68="","",IF(AND(ISNUMBER(T68),ISNUMBER(AF68)),T68+AF68,""))</f>
        <v>6812.66</v>
      </c>
      <c r="I68" s="38" t="n">
        <f aca="false">IF($A68="","",IF(AND(ISNUMBER(U68),ISNUMBER(AG68)),U68+AG68,""))</f>
        <v>6790.22</v>
      </c>
      <c r="J68" s="38" t="n">
        <f aca="false">IF($A68="","",IF(AND(ISNUMBER(V68),ISNUMBER(AH68)),V68+AH68,""))</f>
        <v>6736.92</v>
      </c>
      <c r="K68" s="38" t="n">
        <f aca="false">IF($A68="","",IF(AND(ISNUMBER(W68),ISNUMBER(AI68)),W68+AI68,""))</f>
        <v>6878.64</v>
      </c>
      <c r="L68" s="38" t="n">
        <f aca="false">IF($A68="","",IF(AND(ISNUMBER(X68),ISNUMBER(AJ68)),X68+AJ68,""))</f>
        <v>7139.26</v>
      </c>
      <c r="M68" s="38" t="n">
        <f aca="false">IF($A68="","",IF(AND(ISNUMBER(Y68),ISNUMBER(AK68)),Y68+AK68,""))</f>
        <v>7041.04</v>
      </c>
      <c r="N68" s="38" t="n">
        <f aca="false">IF($A68="","",IF(AND(ISNUMBER(Z68),ISNUMBER(AL68)),Z68+AL68,""))</f>
        <v>7066.26</v>
      </c>
      <c r="O68" s="38" t="n">
        <f aca="false">IF($A68="","",IF(AND(ISNUMBER(AA68),ISNUMBER(AM68)),AA68+AM68,""))</f>
        <v>7235.03</v>
      </c>
      <c r="P68" s="38" t="n">
        <f aca="false">IF($A68="","",IFERROR(1/(1/IF($B68="Residential",SUMIFS(INDEX('Oxford Economics'!$A$7:$AZ$1000,0,IFERROR(MATCH(P$5,'Oxford Economics'!$A$6:$AZ$6,0),MATCH(P$5&amp;"",'Oxford Economics'!$A$6:$AZ$6,0))),'Oxford Economics'!$A$7:$A$1000,$C68,'Oxford Economics'!$B$7:$B$1000,Settings!$B$13)-SUMIFS(INDEX('Oxford Economics'!$A$7:$AZ$1000,0,IFERROR(MATCH(P$5,'Oxford Economics'!$A$6:$AZ$6,0),MATCH(P$5&amp;"",'Oxford Economics'!$A$6:$AZ$6,0))),'Oxford Economics'!$A$7:$A$1000,$C68,'Oxford Economics'!$B$7:$B$1000,Settings!$B$15),SUMIFS(INDEX('Oxford Economics'!$A$7:$AZ$1000,0,IFERROR(MATCH(P$5,'Oxford Economics'!$A$6:$AZ$6,0),MATCH(P$5&amp;"",'Oxford Economics'!$A$6:$AZ$6,0))),'Oxford Economics'!$A$7:$A$1000,$C68,'Oxford Economics'!$B$7:$B$1000,Settings!$B$15)+SUMIFS(INDEX('Oxford Economics'!$A$7:$AZ$1000,0,IFERROR(MATCH(P$5,'Oxford Economics'!$A$6:$AZ$6,0),MATCH(P$5&amp;"",'Oxford Economics'!$A$6:$AZ$6,0))),'Oxford Economics'!$A$7:$A$1000,$C68,'Oxford Economics'!$B$7:$B$1000,Settings!$B$17)+IF(Settings!$B$19="",0,SUMIFS(INDEX('Oxford Economics'!$A$7:$AZ$1000,0,IFERROR(MATCH(P$5,'Oxford Economics'!$A$6:$AZ$6,0),MATCH(P$5&amp;"",'Oxford Economics'!$A$6:$AZ$6,0))),'Oxford Economics'!$A$7:$A$1000,$C68,'Oxford Economics'!$B$7:$B$1000,Settings!$B$19)))),""))</f>
        <v>3028.71</v>
      </c>
      <c r="Q68" s="38" t="n">
        <f aca="false">IF($A68="","",IFERROR(1/(1/IF($B68="Residential",SUMIFS(INDEX('Oxford Economics'!$A$7:$AZ$1000,0,IFERROR(MATCH(Q$5,'Oxford Economics'!$A$6:$AZ$6,0),MATCH(Q$5&amp;"",'Oxford Economics'!$A$6:$AZ$6,0))),'Oxford Economics'!$A$7:$A$1000,$C68,'Oxford Economics'!$B$7:$B$1000,Settings!$B$13)-SUMIFS(INDEX('Oxford Economics'!$A$7:$AZ$1000,0,IFERROR(MATCH(Q$5,'Oxford Economics'!$A$6:$AZ$6,0),MATCH(Q$5&amp;"",'Oxford Economics'!$A$6:$AZ$6,0))),'Oxford Economics'!$A$7:$A$1000,$C68,'Oxford Economics'!$B$7:$B$1000,Settings!$B$15),SUMIFS(INDEX('Oxford Economics'!$A$7:$AZ$1000,0,IFERROR(MATCH(Q$5,'Oxford Economics'!$A$6:$AZ$6,0),MATCH(Q$5&amp;"",'Oxford Economics'!$A$6:$AZ$6,0))),'Oxford Economics'!$A$7:$A$1000,$C68,'Oxford Economics'!$B$7:$B$1000,Settings!$B$15)+SUMIFS(INDEX('Oxford Economics'!$A$7:$AZ$1000,0,IFERROR(MATCH(Q$5,'Oxford Economics'!$A$6:$AZ$6,0),MATCH(Q$5&amp;"",'Oxford Economics'!$A$6:$AZ$6,0))),'Oxford Economics'!$A$7:$A$1000,$C68,'Oxford Economics'!$B$7:$B$1000,Settings!$B$17)+IF(Settings!$B$19="",0,SUMIFS(INDEX('Oxford Economics'!$A$7:$AZ$1000,0,IFERROR(MATCH(Q$5,'Oxford Economics'!$A$6:$AZ$6,0),MATCH(Q$5&amp;"",'Oxford Economics'!$A$6:$AZ$6,0))),'Oxford Economics'!$A$7:$A$1000,$C68,'Oxford Economics'!$B$7:$B$1000,Settings!$B$19)))),""))</f>
        <v>3115.27</v>
      </c>
      <c r="R68" s="38" t="n">
        <f aca="false">IF($A68="","",IFERROR(1/(1/IF($B68="Residential",SUMIFS(INDEX('Oxford Economics'!$A$7:$AZ$1000,0,IFERROR(MATCH(R$5,'Oxford Economics'!$A$6:$AZ$6,0),MATCH(R$5&amp;"",'Oxford Economics'!$A$6:$AZ$6,0))),'Oxford Economics'!$A$7:$A$1000,$C68,'Oxford Economics'!$B$7:$B$1000,Settings!$B$13)-SUMIFS(INDEX('Oxford Economics'!$A$7:$AZ$1000,0,IFERROR(MATCH(R$5,'Oxford Economics'!$A$6:$AZ$6,0),MATCH(R$5&amp;"",'Oxford Economics'!$A$6:$AZ$6,0))),'Oxford Economics'!$A$7:$A$1000,$C68,'Oxford Economics'!$B$7:$B$1000,Settings!$B$15),SUMIFS(INDEX('Oxford Economics'!$A$7:$AZ$1000,0,IFERROR(MATCH(R$5,'Oxford Economics'!$A$6:$AZ$6,0),MATCH(R$5&amp;"",'Oxford Economics'!$A$6:$AZ$6,0))),'Oxford Economics'!$A$7:$A$1000,$C68,'Oxford Economics'!$B$7:$B$1000,Settings!$B$15)+SUMIFS(INDEX('Oxford Economics'!$A$7:$AZ$1000,0,IFERROR(MATCH(R$5,'Oxford Economics'!$A$6:$AZ$6,0),MATCH(R$5&amp;"",'Oxford Economics'!$A$6:$AZ$6,0))),'Oxford Economics'!$A$7:$A$1000,$C68,'Oxford Economics'!$B$7:$B$1000,Settings!$B$17)+IF(Settings!$B$19="",0,SUMIFS(INDEX('Oxford Economics'!$A$7:$AZ$1000,0,IFERROR(MATCH(R$5,'Oxford Economics'!$A$6:$AZ$6,0),MATCH(R$5&amp;"",'Oxford Economics'!$A$6:$AZ$6,0))),'Oxford Economics'!$A$7:$A$1000,$C68,'Oxford Economics'!$B$7:$B$1000,Settings!$B$19)))),""))</f>
        <v>3015.93</v>
      </c>
      <c r="S68" s="38" t="n">
        <f aca="false">IF($A68="","",IFERROR(1/(1/IF($B68="Residential",SUMIFS(INDEX('Oxford Economics'!$A$7:$AZ$1000,0,IFERROR(MATCH(S$5,'Oxford Economics'!$A$6:$AZ$6,0),MATCH(S$5&amp;"",'Oxford Economics'!$A$6:$AZ$6,0))),'Oxford Economics'!$A$7:$A$1000,$C68,'Oxford Economics'!$B$7:$B$1000,Settings!$B$13)-SUMIFS(INDEX('Oxford Economics'!$A$7:$AZ$1000,0,IFERROR(MATCH(S$5,'Oxford Economics'!$A$6:$AZ$6,0),MATCH(S$5&amp;"",'Oxford Economics'!$A$6:$AZ$6,0))),'Oxford Economics'!$A$7:$A$1000,$C68,'Oxford Economics'!$B$7:$B$1000,Settings!$B$15),SUMIFS(INDEX('Oxford Economics'!$A$7:$AZ$1000,0,IFERROR(MATCH(S$5,'Oxford Economics'!$A$6:$AZ$6,0),MATCH(S$5&amp;"",'Oxford Economics'!$A$6:$AZ$6,0))),'Oxford Economics'!$A$7:$A$1000,$C68,'Oxford Economics'!$B$7:$B$1000,Settings!$B$15)+SUMIFS(INDEX('Oxford Economics'!$A$7:$AZ$1000,0,IFERROR(MATCH(S$5,'Oxford Economics'!$A$6:$AZ$6,0),MATCH(S$5&amp;"",'Oxford Economics'!$A$6:$AZ$6,0))),'Oxford Economics'!$A$7:$A$1000,$C68,'Oxford Economics'!$B$7:$B$1000,Settings!$B$17)+IF(Settings!$B$19="",0,SUMIFS(INDEX('Oxford Economics'!$A$7:$AZ$1000,0,IFERROR(MATCH(S$5,'Oxford Economics'!$A$6:$AZ$6,0),MATCH(S$5&amp;"",'Oxford Economics'!$A$6:$AZ$6,0))),'Oxford Economics'!$A$7:$A$1000,$C68,'Oxford Economics'!$B$7:$B$1000,Settings!$B$19)))),""))</f>
        <v>2931.44</v>
      </c>
      <c r="T68" s="38" t="n">
        <f aca="false">IF($A68="","",IFERROR(1/(1/IF($B68="Residential",SUMIFS(INDEX('Oxford Economics'!$A$7:$AZ$1000,0,IFERROR(MATCH(T$5,'Oxford Economics'!$A$6:$AZ$6,0),MATCH(T$5&amp;"",'Oxford Economics'!$A$6:$AZ$6,0))),'Oxford Economics'!$A$7:$A$1000,$C68,'Oxford Economics'!$B$7:$B$1000,Settings!$B$13)-SUMIFS(INDEX('Oxford Economics'!$A$7:$AZ$1000,0,IFERROR(MATCH(T$5,'Oxford Economics'!$A$6:$AZ$6,0),MATCH(T$5&amp;"",'Oxford Economics'!$A$6:$AZ$6,0))),'Oxford Economics'!$A$7:$A$1000,$C68,'Oxford Economics'!$B$7:$B$1000,Settings!$B$15),SUMIFS(INDEX('Oxford Economics'!$A$7:$AZ$1000,0,IFERROR(MATCH(T$5,'Oxford Economics'!$A$6:$AZ$6,0),MATCH(T$5&amp;"",'Oxford Economics'!$A$6:$AZ$6,0))),'Oxford Economics'!$A$7:$A$1000,$C68,'Oxford Economics'!$B$7:$B$1000,Settings!$B$15)+SUMIFS(INDEX('Oxford Economics'!$A$7:$AZ$1000,0,IFERROR(MATCH(T$5,'Oxford Economics'!$A$6:$AZ$6,0),MATCH(T$5&amp;"",'Oxford Economics'!$A$6:$AZ$6,0))),'Oxford Economics'!$A$7:$A$1000,$C68,'Oxford Economics'!$B$7:$B$1000,Settings!$B$17)+IF(Settings!$B$19="",0,SUMIFS(INDEX('Oxford Economics'!$A$7:$AZ$1000,0,IFERROR(MATCH(T$5,'Oxford Economics'!$A$6:$AZ$6,0),MATCH(T$5&amp;"",'Oxford Economics'!$A$6:$AZ$6,0))),'Oxford Economics'!$A$7:$A$1000,$C68,'Oxford Economics'!$B$7:$B$1000,Settings!$B$19)))),""))</f>
        <v>2912.97</v>
      </c>
      <c r="U68" s="38" t="n">
        <f aca="false">IF($A68="","",IFERROR(1/(1/IF($B68="Residential",SUMIFS(INDEX('Oxford Economics'!$A$7:$AZ$1000,0,IFERROR(MATCH(U$5,'Oxford Economics'!$A$6:$AZ$6,0),MATCH(U$5&amp;"",'Oxford Economics'!$A$6:$AZ$6,0))),'Oxford Economics'!$A$7:$A$1000,$C68,'Oxford Economics'!$B$7:$B$1000,Settings!$B$13)-SUMIFS(INDEX('Oxford Economics'!$A$7:$AZ$1000,0,IFERROR(MATCH(U$5,'Oxford Economics'!$A$6:$AZ$6,0),MATCH(U$5&amp;"",'Oxford Economics'!$A$6:$AZ$6,0))),'Oxford Economics'!$A$7:$A$1000,$C68,'Oxford Economics'!$B$7:$B$1000,Settings!$B$15),SUMIFS(INDEX('Oxford Economics'!$A$7:$AZ$1000,0,IFERROR(MATCH(U$5,'Oxford Economics'!$A$6:$AZ$6,0),MATCH(U$5&amp;"",'Oxford Economics'!$A$6:$AZ$6,0))),'Oxford Economics'!$A$7:$A$1000,$C68,'Oxford Economics'!$B$7:$B$1000,Settings!$B$15)+SUMIFS(INDEX('Oxford Economics'!$A$7:$AZ$1000,0,IFERROR(MATCH(U$5,'Oxford Economics'!$A$6:$AZ$6,0),MATCH(U$5&amp;"",'Oxford Economics'!$A$6:$AZ$6,0))),'Oxford Economics'!$A$7:$A$1000,$C68,'Oxford Economics'!$B$7:$B$1000,Settings!$B$17)+IF(Settings!$B$19="",0,SUMIFS(INDEX('Oxford Economics'!$A$7:$AZ$1000,0,IFERROR(MATCH(U$5,'Oxford Economics'!$A$6:$AZ$6,0),MATCH(U$5&amp;"",'Oxford Economics'!$A$6:$AZ$6,0))),'Oxford Economics'!$A$7:$A$1000,$C68,'Oxford Economics'!$B$7:$B$1000,Settings!$B$19)))),""))</f>
        <v>2946.4</v>
      </c>
      <c r="V68" s="38" t="n">
        <f aca="false">IF($A68="","",IFERROR(1/(1/IF($B68="Residential",SUMIFS(INDEX('Oxford Economics'!$A$7:$AZ$1000,0,IFERROR(MATCH(V$5,'Oxford Economics'!$A$6:$AZ$6,0),MATCH(V$5&amp;"",'Oxford Economics'!$A$6:$AZ$6,0))),'Oxford Economics'!$A$7:$A$1000,$C68,'Oxford Economics'!$B$7:$B$1000,Settings!$B$13)-SUMIFS(INDEX('Oxford Economics'!$A$7:$AZ$1000,0,IFERROR(MATCH(V$5,'Oxford Economics'!$A$6:$AZ$6,0),MATCH(V$5&amp;"",'Oxford Economics'!$A$6:$AZ$6,0))),'Oxford Economics'!$A$7:$A$1000,$C68,'Oxford Economics'!$B$7:$B$1000,Settings!$B$15),SUMIFS(INDEX('Oxford Economics'!$A$7:$AZ$1000,0,IFERROR(MATCH(V$5,'Oxford Economics'!$A$6:$AZ$6,0),MATCH(V$5&amp;"",'Oxford Economics'!$A$6:$AZ$6,0))),'Oxford Economics'!$A$7:$A$1000,$C68,'Oxford Economics'!$B$7:$B$1000,Settings!$B$15)+SUMIFS(INDEX('Oxford Economics'!$A$7:$AZ$1000,0,IFERROR(MATCH(V$5,'Oxford Economics'!$A$6:$AZ$6,0),MATCH(V$5&amp;"",'Oxford Economics'!$A$6:$AZ$6,0))),'Oxford Economics'!$A$7:$A$1000,$C68,'Oxford Economics'!$B$7:$B$1000,Settings!$B$17)+IF(Settings!$B$19="",0,SUMIFS(INDEX('Oxford Economics'!$A$7:$AZ$1000,0,IFERROR(MATCH(V$5,'Oxford Economics'!$A$6:$AZ$6,0),MATCH(V$5&amp;"",'Oxford Economics'!$A$6:$AZ$6,0))),'Oxford Economics'!$A$7:$A$1000,$C68,'Oxford Economics'!$B$7:$B$1000,Settings!$B$19)))),""))</f>
        <v>3025.05</v>
      </c>
      <c r="W68" s="38" t="n">
        <f aca="false">IF($A68="","",IFERROR(1/(1/IF($B68="Residential",SUMIFS(INDEX('Oxford Economics'!$A$7:$AZ$1000,0,IFERROR(MATCH(W$5,'Oxford Economics'!$A$6:$AZ$6,0),MATCH(W$5&amp;"",'Oxford Economics'!$A$6:$AZ$6,0))),'Oxford Economics'!$A$7:$A$1000,$C68,'Oxford Economics'!$B$7:$B$1000,Settings!$B$13)-SUMIFS(INDEX('Oxford Economics'!$A$7:$AZ$1000,0,IFERROR(MATCH(W$5,'Oxford Economics'!$A$6:$AZ$6,0),MATCH(W$5&amp;"",'Oxford Economics'!$A$6:$AZ$6,0))),'Oxford Economics'!$A$7:$A$1000,$C68,'Oxford Economics'!$B$7:$B$1000,Settings!$B$15),SUMIFS(INDEX('Oxford Economics'!$A$7:$AZ$1000,0,IFERROR(MATCH(W$5,'Oxford Economics'!$A$6:$AZ$6,0),MATCH(W$5&amp;"",'Oxford Economics'!$A$6:$AZ$6,0))),'Oxford Economics'!$A$7:$A$1000,$C68,'Oxford Economics'!$B$7:$B$1000,Settings!$B$15)+SUMIFS(INDEX('Oxford Economics'!$A$7:$AZ$1000,0,IFERROR(MATCH(W$5,'Oxford Economics'!$A$6:$AZ$6,0),MATCH(W$5&amp;"",'Oxford Economics'!$A$6:$AZ$6,0))),'Oxford Economics'!$A$7:$A$1000,$C68,'Oxford Economics'!$B$7:$B$1000,Settings!$B$17)+IF(Settings!$B$19="",0,SUMIFS(INDEX('Oxford Economics'!$A$7:$AZ$1000,0,IFERROR(MATCH(W$5,'Oxford Economics'!$A$6:$AZ$6,0),MATCH(W$5&amp;"",'Oxford Economics'!$A$6:$AZ$6,0))),'Oxford Economics'!$A$7:$A$1000,$C68,'Oxford Economics'!$B$7:$B$1000,Settings!$B$19)))),""))</f>
        <v>3122.2</v>
      </c>
      <c r="X68" s="38" t="n">
        <f aca="false">IF($A68="","",IFERROR(1/(1/IF($B68="Residential",SUMIFS(INDEX('Oxford Economics'!$A$7:$AZ$1000,0,IFERROR(MATCH(X$5,'Oxford Economics'!$A$6:$AZ$6,0),MATCH(X$5&amp;"",'Oxford Economics'!$A$6:$AZ$6,0))),'Oxford Economics'!$A$7:$A$1000,$C68,'Oxford Economics'!$B$7:$B$1000,Settings!$B$13)-SUMIFS(INDEX('Oxford Economics'!$A$7:$AZ$1000,0,IFERROR(MATCH(X$5,'Oxford Economics'!$A$6:$AZ$6,0),MATCH(X$5&amp;"",'Oxford Economics'!$A$6:$AZ$6,0))),'Oxford Economics'!$A$7:$A$1000,$C68,'Oxford Economics'!$B$7:$B$1000,Settings!$B$15),SUMIFS(INDEX('Oxford Economics'!$A$7:$AZ$1000,0,IFERROR(MATCH(X$5,'Oxford Economics'!$A$6:$AZ$6,0),MATCH(X$5&amp;"",'Oxford Economics'!$A$6:$AZ$6,0))),'Oxford Economics'!$A$7:$A$1000,$C68,'Oxford Economics'!$B$7:$B$1000,Settings!$B$15)+SUMIFS(INDEX('Oxford Economics'!$A$7:$AZ$1000,0,IFERROR(MATCH(X$5,'Oxford Economics'!$A$6:$AZ$6,0),MATCH(X$5&amp;"",'Oxford Economics'!$A$6:$AZ$6,0))),'Oxford Economics'!$A$7:$A$1000,$C68,'Oxford Economics'!$B$7:$B$1000,Settings!$B$17)+IF(Settings!$B$19="",0,SUMIFS(INDEX('Oxford Economics'!$A$7:$AZ$1000,0,IFERROR(MATCH(X$5,'Oxford Economics'!$A$6:$AZ$6,0),MATCH(X$5&amp;"",'Oxford Economics'!$A$6:$AZ$6,0))),'Oxford Economics'!$A$7:$A$1000,$C68,'Oxford Economics'!$B$7:$B$1000,Settings!$B$19)))),""))</f>
        <v>3295.95</v>
      </c>
      <c r="Y68" s="38" t="n">
        <f aca="false">IF($A68="","",IFERROR(1/(1/IF($B68="Residential",SUMIFS(INDEX('Oxford Economics'!$A$7:$AZ$1000,0,IFERROR(MATCH(Y$5,'Oxford Economics'!$A$6:$AZ$6,0),MATCH(Y$5&amp;"",'Oxford Economics'!$A$6:$AZ$6,0))),'Oxford Economics'!$A$7:$A$1000,$C68,'Oxford Economics'!$B$7:$B$1000,Settings!$B$13)-SUMIFS(INDEX('Oxford Economics'!$A$7:$AZ$1000,0,IFERROR(MATCH(Y$5,'Oxford Economics'!$A$6:$AZ$6,0),MATCH(Y$5&amp;"",'Oxford Economics'!$A$6:$AZ$6,0))),'Oxford Economics'!$A$7:$A$1000,$C68,'Oxford Economics'!$B$7:$B$1000,Settings!$B$15),SUMIFS(INDEX('Oxford Economics'!$A$7:$AZ$1000,0,IFERROR(MATCH(Y$5,'Oxford Economics'!$A$6:$AZ$6,0),MATCH(Y$5&amp;"",'Oxford Economics'!$A$6:$AZ$6,0))),'Oxford Economics'!$A$7:$A$1000,$C68,'Oxford Economics'!$B$7:$B$1000,Settings!$B$15)+SUMIFS(INDEX('Oxford Economics'!$A$7:$AZ$1000,0,IFERROR(MATCH(Y$5,'Oxford Economics'!$A$6:$AZ$6,0),MATCH(Y$5&amp;"",'Oxford Economics'!$A$6:$AZ$6,0))),'Oxford Economics'!$A$7:$A$1000,$C68,'Oxford Economics'!$B$7:$B$1000,Settings!$B$17)+IF(Settings!$B$19="",0,SUMIFS(INDEX('Oxford Economics'!$A$7:$AZ$1000,0,IFERROR(MATCH(Y$5,'Oxford Economics'!$A$6:$AZ$6,0),MATCH(Y$5&amp;"",'Oxford Economics'!$A$6:$AZ$6,0))),'Oxford Economics'!$A$7:$A$1000,$C68,'Oxford Economics'!$B$7:$B$1000,Settings!$B$19)))),""))</f>
        <v>3316.24</v>
      </c>
      <c r="Z68" s="38" t="n">
        <f aca="false">IF($A68="","",IFERROR(1/(1/IF($B68="Residential",SUMIFS(INDEX('Oxford Economics'!$A$7:$AZ$1000,0,IFERROR(MATCH(Z$5,'Oxford Economics'!$A$6:$AZ$6,0),MATCH(Z$5&amp;"",'Oxford Economics'!$A$6:$AZ$6,0))),'Oxford Economics'!$A$7:$A$1000,$C68,'Oxford Economics'!$B$7:$B$1000,Settings!$B$13)-SUMIFS(INDEX('Oxford Economics'!$A$7:$AZ$1000,0,IFERROR(MATCH(Z$5,'Oxford Economics'!$A$6:$AZ$6,0),MATCH(Z$5&amp;"",'Oxford Economics'!$A$6:$AZ$6,0))),'Oxford Economics'!$A$7:$A$1000,$C68,'Oxford Economics'!$B$7:$B$1000,Settings!$B$15),SUMIFS(INDEX('Oxford Economics'!$A$7:$AZ$1000,0,IFERROR(MATCH(Z$5,'Oxford Economics'!$A$6:$AZ$6,0),MATCH(Z$5&amp;"",'Oxford Economics'!$A$6:$AZ$6,0))),'Oxford Economics'!$A$7:$A$1000,$C68,'Oxford Economics'!$B$7:$B$1000,Settings!$B$15)+SUMIFS(INDEX('Oxford Economics'!$A$7:$AZ$1000,0,IFERROR(MATCH(Z$5,'Oxford Economics'!$A$6:$AZ$6,0),MATCH(Z$5&amp;"",'Oxford Economics'!$A$6:$AZ$6,0))),'Oxford Economics'!$A$7:$A$1000,$C68,'Oxford Economics'!$B$7:$B$1000,Settings!$B$17)+IF(Settings!$B$19="",0,SUMIFS(INDEX('Oxford Economics'!$A$7:$AZ$1000,0,IFERROR(MATCH(Z$5,'Oxford Economics'!$A$6:$AZ$6,0),MATCH(Z$5&amp;"",'Oxford Economics'!$A$6:$AZ$6,0))),'Oxford Economics'!$A$7:$A$1000,$C68,'Oxford Economics'!$B$7:$B$1000,Settings!$B$19)))),""))</f>
        <v>3415.31</v>
      </c>
      <c r="AA68" s="38" t="n">
        <f aca="false">IF($A68="","",IFERROR(1/(1/IF($B68="Residential",SUMIFS(INDEX('Oxford Economics'!$A$7:$AZ$1000,0,IFERROR(MATCH(AA$5,'Oxford Economics'!$A$6:$AZ$6,0),MATCH(AA$5&amp;"",'Oxford Economics'!$A$6:$AZ$6,0))),'Oxford Economics'!$A$7:$A$1000,$C68,'Oxford Economics'!$B$7:$B$1000,Settings!$B$13)-SUMIFS(INDEX('Oxford Economics'!$A$7:$AZ$1000,0,IFERROR(MATCH(AA$5,'Oxford Economics'!$A$6:$AZ$6,0),MATCH(AA$5&amp;"",'Oxford Economics'!$A$6:$AZ$6,0))),'Oxford Economics'!$A$7:$A$1000,$C68,'Oxford Economics'!$B$7:$B$1000,Settings!$B$15),SUMIFS(INDEX('Oxford Economics'!$A$7:$AZ$1000,0,IFERROR(MATCH(AA$5,'Oxford Economics'!$A$6:$AZ$6,0),MATCH(AA$5&amp;"",'Oxford Economics'!$A$6:$AZ$6,0))),'Oxford Economics'!$A$7:$A$1000,$C68,'Oxford Economics'!$B$7:$B$1000,Settings!$B$15)+SUMIFS(INDEX('Oxford Economics'!$A$7:$AZ$1000,0,IFERROR(MATCH(AA$5,'Oxford Economics'!$A$6:$AZ$6,0),MATCH(AA$5&amp;"",'Oxford Economics'!$A$6:$AZ$6,0))),'Oxford Economics'!$A$7:$A$1000,$C68,'Oxford Economics'!$B$7:$B$1000,Settings!$B$17)+IF(Settings!$B$19="",0,SUMIFS(INDEX('Oxford Economics'!$A$7:$AZ$1000,0,IFERROR(MATCH(AA$5,'Oxford Economics'!$A$6:$AZ$6,0),MATCH(AA$5&amp;"",'Oxford Economics'!$A$6:$AZ$6,0))),'Oxford Economics'!$A$7:$A$1000,$C68,'Oxford Economics'!$B$7:$B$1000,Settings!$B$19)))),""))</f>
        <v>3614.59</v>
      </c>
      <c r="AB68" s="38" t="n">
        <f aca="false">IF($A68="","",IFERROR(1/(1/IF($B68="Residential",SUMIFS(INDEX('Oxford Economics'!$A$7:$AZ$1000,0,IFERROR(MATCH(AB$5,'Oxford Economics'!$A$6:$AZ$6,0),MATCH(AB$5&amp;"",'Oxford Economics'!$A$6:$AZ$6,0))),'Oxford Economics'!$A$7:$A$1000,$C68,'Oxford Economics'!$B$7:$B$1000,Settings!$B$12)-SUMIFS(INDEX('Oxford Economics'!$A$7:$AZ$1000,0,IFERROR(MATCH(AB$5,'Oxford Economics'!$A$6:$AZ$6,0),MATCH(AB$5&amp;"",'Oxford Economics'!$A$6:$AZ$6,0))),'Oxford Economics'!$A$7:$A$1000,$C68,'Oxford Economics'!$B$7:$B$1000,Settings!$B$14),SUMIFS(INDEX('Oxford Economics'!$A$7:$AZ$1000,0,IFERROR(MATCH(AB$5,'Oxford Economics'!$A$6:$AZ$6,0),MATCH(AB$5&amp;"",'Oxford Economics'!$A$6:$AZ$6,0))),'Oxford Economics'!$A$7:$A$1000,$C68,'Oxford Economics'!$B$7:$B$1000,Settings!$B$14)+SUMIFS(INDEX('Oxford Economics'!$A$7:$AZ$1000,0,IFERROR(MATCH(AB$5,'Oxford Economics'!$A$6:$AZ$6,0),MATCH(AB$5&amp;"",'Oxford Economics'!$A$6:$AZ$6,0))),'Oxford Economics'!$A$7:$A$1000,$C68,'Oxford Economics'!$B$7:$B$1000,Settings!$B$16)+IF(Settings!$B$18="",0,SUMIFS(INDEX('Oxford Economics'!$A$7:$AZ$1000,0,IFERROR(MATCH(AB$5,'Oxford Economics'!$A$6:$AZ$6,0),MATCH(AB$5&amp;"",'Oxford Economics'!$A$6:$AZ$6,0))),'Oxford Economics'!$A$7:$A$1000,$C68,'Oxford Economics'!$B$7:$B$1000,Settings!$B$18)))),""))</f>
        <v>3751.53</v>
      </c>
      <c r="AC68" s="38" t="n">
        <f aca="false">IF($A68="","",IFERROR(1/(1/IF($B68="Residential",SUMIFS(INDEX('Oxford Economics'!$A$7:$AZ$1000,0,IFERROR(MATCH(AC$5,'Oxford Economics'!$A$6:$AZ$6,0),MATCH(AC$5&amp;"",'Oxford Economics'!$A$6:$AZ$6,0))),'Oxford Economics'!$A$7:$A$1000,$C68,'Oxford Economics'!$B$7:$B$1000,Settings!$B$12)-SUMIFS(INDEX('Oxford Economics'!$A$7:$AZ$1000,0,IFERROR(MATCH(AC$5,'Oxford Economics'!$A$6:$AZ$6,0),MATCH(AC$5&amp;"",'Oxford Economics'!$A$6:$AZ$6,0))),'Oxford Economics'!$A$7:$A$1000,$C68,'Oxford Economics'!$B$7:$B$1000,Settings!$B$14),SUMIFS(INDEX('Oxford Economics'!$A$7:$AZ$1000,0,IFERROR(MATCH(AC$5,'Oxford Economics'!$A$6:$AZ$6,0),MATCH(AC$5&amp;"",'Oxford Economics'!$A$6:$AZ$6,0))),'Oxford Economics'!$A$7:$A$1000,$C68,'Oxford Economics'!$B$7:$B$1000,Settings!$B$14)+SUMIFS(INDEX('Oxford Economics'!$A$7:$AZ$1000,0,IFERROR(MATCH(AC$5,'Oxford Economics'!$A$6:$AZ$6,0),MATCH(AC$5&amp;"",'Oxford Economics'!$A$6:$AZ$6,0))),'Oxford Economics'!$A$7:$A$1000,$C68,'Oxford Economics'!$B$7:$B$1000,Settings!$B$16)+IF(Settings!$B$18="",0,SUMIFS(INDEX('Oxford Economics'!$A$7:$AZ$1000,0,IFERROR(MATCH(AC$5,'Oxford Economics'!$A$6:$AZ$6,0),MATCH(AC$5&amp;"",'Oxford Economics'!$A$6:$AZ$6,0))),'Oxford Economics'!$A$7:$A$1000,$C68,'Oxford Economics'!$B$7:$B$1000,Settings!$B$18)))),""))</f>
        <v>4051.82</v>
      </c>
      <c r="AD68" s="38" t="n">
        <f aca="false">IF($A68="","",IFERROR(1/(1/IF($B68="Residential",SUMIFS(INDEX('Oxford Economics'!$A$7:$AZ$1000,0,IFERROR(MATCH(AD$5,'Oxford Economics'!$A$6:$AZ$6,0),MATCH(AD$5&amp;"",'Oxford Economics'!$A$6:$AZ$6,0))),'Oxford Economics'!$A$7:$A$1000,$C68,'Oxford Economics'!$B$7:$B$1000,Settings!$B$12)-SUMIFS(INDEX('Oxford Economics'!$A$7:$AZ$1000,0,IFERROR(MATCH(AD$5,'Oxford Economics'!$A$6:$AZ$6,0),MATCH(AD$5&amp;"",'Oxford Economics'!$A$6:$AZ$6,0))),'Oxford Economics'!$A$7:$A$1000,$C68,'Oxford Economics'!$B$7:$B$1000,Settings!$B$14),SUMIFS(INDEX('Oxford Economics'!$A$7:$AZ$1000,0,IFERROR(MATCH(AD$5,'Oxford Economics'!$A$6:$AZ$6,0),MATCH(AD$5&amp;"",'Oxford Economics'!$A$6:$AZ$6,0))),'Oxford Economics'!$A$7:$A$1000,$C68,'Oxford Economics'!$B$7:$B$1000,Settings!$B$14)+SUMIFS(INDEX('Oxford Economics'!$A$7:$AZ$1000,0,IFERROR(MATCH(AD$5,'Oxford Economics'!$A$6:$AZ$6,0),MATCH(AD$5&amp;"",'Oxford Economics'!$A$6:$AZ$6,0))),'Oxford Economics'!$A$7:$A$1000,$C68,'Oxford Economics'!$B$7:$B$1000,Settings!$B$16)+IF(Settings!$B$18="",0,SUMIFS(INDEX('Oxford Economics'!$A$7:$AZ$1000,0,IFERROR(MATCH(AD$5,'Oxford Economics'!$A$6:$AZ$6,0),MATCH(AD$5&amp;"",'Oxford Economics'!$A$6:$AZ$6,0))),'Oxford Economics'!$A$7:$A$1000,$C68,'Oxford Economics'!$B$7:$B$1000,Settings!$B$18)))),""))</f>
        <v>4004.22</v>
      </c>
      <c r="AE68" s="38" t="n">
        <f aca="false">IF($A68="","",IFERROR(1/(1/IF($B68="Residential",SUMIFS(INDEX('Oxford Economics'!$A$7:$AZ$1000,0,IFERROR(MATCH(AE$5,'Oxford Economics'!$A$6:$AZ$6,0),MATCH(AE$5&amp;"",'Oxford Economics'!$A$6:$AZ$6,0))),'Oxford Economics'!$A$7:$A$1000,$C68,'Oxford Economics'!$B$7:$B$1000,Settings!$B$12)-SUMIFS(INDEX('Oxford Economics'!$A$7:$AZ$1000,0,IFERROR(MATCH(AE$5,'Oxford Economics'!$A$6:$AZ$6,0),MATCH(AE$5&amp;"",'Oxford Economics'!$A$6:$AZ$6,0))),'Oxford Economics'!$A$7:$A$1000,$C68,'Oxford Economics'!$B$7:$B$1000,Settings!$B$14),SUMIFS(INDEX('Oxford Economics'!$A$7:$AZ$1000,0,IFERROR(MATCH(AE$5,'Oxford Economics'!$A$6:$AZ$6,0),MATCH(AE$5&amp;"",'Oxford Economics'!$A$6:$AZ$6,0))),'Oxford Economics'!$A$7:$A$1000,$C68,'Oxford Economics'!$B$7:$B$1000,Settings!$B$14)+SUMIFS(INDEX('Oxford Economics'!$A$7:$AZ$1000,0,IFERROR(MATCH(AE$5,'Oxford Economics'!$A$6:$AZ$6,0),MATCH(AE$5&amp;"",'Oxford Economics'!$A$6:$AZ$6,0))),'Oxford Economics'!$A$7:$A$1000,$C68,'Oxford Economics'!$B$7:$B$1000,Settings!$B$16)+IF(Settings!$B$18="",0,SUMIFS(INDEX('Oxford Economics'!$A$7:$AZ$1000,0,IFERROR(MATCH(AE$5,'Oxford Economics'!$A$6:$AZ$6,0),MATCH(AE$5&amp;"",'Oxford Economics'!$A$6:$AZ$6,0))),'Oxford Economics'!$A$7:$A$1000,$C68,'Oxford Economics'!$B$7:$B$1000,Settings!$B$18)))),""))</f>
        <v>3934.29</v>
      </c>
      <c r="AF68" s="38" t="n">
        <f aca="false">IF($A68="","",IFERROR(1/(1/IF($B68="Residential",SUMIFS(INDEX('Oxford Economics'!$A$7:$AZ$1000,0,IFERROR(MATCH(AF$5,'Oxford Economics'!$A$6:$AZ$6,0),MATCH(AF$5&amp;"",'Oxford Economics'!$A$6:$AZ$6,0))),'Oxford Economics'!$A$7:$A$1000,$C68,'Oxford Economics'!$B$7:$B$1000,Settings!$B$12)-SUMIFS(INDEX('Oxford Economics'!$A$7:$AZ$1000,0,IFERROR(MATCH(AF$5,'Oxford Economics'!$A$6:$AZ$6,0),MATCH(AF$5&amp;"",'Oxford Economics'!$A$6:$AZ$6,0))),'Oxford Economics'!$A$7:$A$1000,$C68,'Oxford Economics'!$B$7:$B$1000,Settings!$B$14),SUMIFS(INDEX('Oxford Economics'!$A$7:$AZ$1000,0,IFERROR(MATCH(AF$5,'Oxford Economics'!$A$6:$AZ$6,0),MATCH(AF$5&amp;"",'Oxford Economics'!$A$6:$AZ$6,0))),'Oxford Economics'!$A$7:$A$1000,$C68,'Oxford Economics'!$B$7:$B$1000,Settings!$B$14)+SUMIFS(INDEX('Oxford Economics'!$A$7:$AZ$1000,0,IFERROR(MATCH(AF$5,'Oxford Economics'!$A$6:$AZ$6,0),MATCH(AF$5&amp;"",'Oxford Economics'!$A$6:$AZ$6,0))),'Oxford Economics'!$A$7:$A$1000,$C68,'Oxford Economics'!$B$7:$B$1000,Settings!$B$16)+IF(Settings!$B$18="",0,SUMIFS(INDEX('Oxford Economics'!$A$7:$AZ$1000,0,IFERROR(MATCH(AF$5,'Oxford Economics'!$A$6:$AZ$6,0),MATCH(AF$5&amp;"",'Oxford Economics'!$A$6:$AZ$6,0))),'Oxford Economics'!$A$7:$A$1000,$C68,'Oxford Economics'!$B$7:$B$1000,Settings!$B$18)))),""))</f>
        <v>3899.69</v>
      </c>
      <c r="AG68" s="38" t="n">
        <f aca="false">IF($A68="","",IFERROR(1/(1/IF($B68="Residential",SUMIFS(INDEX('Oxford Economics'!$A$7:$AZ$1000,0,IFERROR(MATCH(AG$5,'Oxford Economics'!$A$6:$AZ$6,0),MATCH(AG$5&amp;"",'Oxford Economics'!$A$6:$AZ$6,0))),'Oxford Economics'!$A$7:$A$1000,$C68,'Oxford Economics'!$B$7:$B$1000,Settings!$B$12)-SUMIFS(INDEX('Oxford Economics'!$A$7:$AZ$1000,0,IFERROR(MATCH(AG$5,'Oxford Economics'!$A$6:$AZ$6,0),MATCH(AG$5&amp;"",'Oxford Economics'!$A$6:$AZ$6,0))),'Oxford Economics'!$A$7:$A$1000,$C68,'Oxford Economics'!$B$7:$B$1000,Settings!$B$14),SUMIFS(INDEX('Oxford Economics'!$A$7:$AZ$1000,0,IFERROR(MATCH(AG$5,'Oxford Economics'!$A$6:$AZ$6,0),MATCH(AG$5&amp;"",'Oxford Economics'!$A$6:$AZ$6,0))),'Oxford Economics'!$A$7:$A$1000,$C68,'Oxford Economics'!$B$7:$B$1000,Settings!$B$14)+SUMIFS(INDEX('Oxford Economics'!$A$7:$AZ$1000,0,IFERROR(MATCH(AG$5,'Oxford Economics'!$A$6:$AZ$6,0),MATCH(AG$5&amp;"",'Oxford Economics'!$A$6:$AZ$6,0))),'Oxford Economics'!$A$7:$A$1000,$C68,'Oxford Economics'!$B$7:$B$1000,Settings!$B$16)+IF(Settings!$B$18="",0,SUMIFS(INDEX('Oxford Economics'!$A$7:$AZ$1000,0,IFERROR(MATCH(AG$5,'Oxford Economics'!$A$6:$AZ$6,0),MATCH(AG$5&amp;"",'Oxford Economics'!$A$6:$AZ$6,0))),'Oxford Economics'!$A$7:$A$1000,$C68,'Oxford Economics'!$B$7:$B$1000,Settings!$B$18)))),""))</f>
        <v>3843.82</v>
      </c>
      <c r="AH68" s="38" t="n">
        <f aca="false">IF($A68="","",IFERROR(1/(1/IF($B68="Residential",SUMIFS(INDEX('Oxford Economics'!$A$7:$AZ$1000,0,IFERROR(MATCH(AH$5,'Oxford Economics'!$A$6:$AZ$6,0),MATCH(AH$5&amp;"",'Oxford Economics'!$A$6:$AZ$6,0))),'Oxford Economics'!$A$7:$A$1000,$C68,'Oxford Economics'!$B$7:$B$1000,Settings!$B$12)-SUMIFS(INDEX('Oxford Economics'!$A$7:$AZ$1000,0,IFERROR(MATCH(AH$5,'Oxford Economics'!$A$6:$AZ$6,0),MATCH(AH$5&amp;"",'Oxford Economics'!$A$6:$AZ$6,0))),'Oxford Economics'!$A$7:$A$1000,$C68,'Oxford Economics'!$B$7:$B$1000,Settings!$B$14),SUMIFS(INDEX('Oxford Economics'!$A$7:$AZ$1000,0,IFERROR(MATCH(AH$5,'Oxford Economics'!$A$6:$AZ$6,0),MATCH(AH$5&amp;"",'Oxford Economics'!$A$6:$AZ$6,0))),'Oxford Economics'!$A$7:$A$1000,$C68,'Oxford Economics'!$B$7:$B$1000,Settings!$B$14)+SUMIFS(INDEX('Oxford Economics'!$A$7:$AZ$1000,0,IFERROR(MATCH(AH$5,'Oxford Economics'!$A$6:$AZ$6,0),MATCH(AH$5&amp;"",'Oxford Economics'!$A$6:$AZ$6,0))),'Oxford Economics'!$A$7:$A$1000,$C68,'Oxford Economics'!$B$7:$B$1000,Settings!$B$16)+IF(Settings!$B$18="",0,SUMIFS(INDEX('Oxford Economics'!$A$7:$AZ$1000,0,IFERROR(MATCH(AH$5,'Oxford Economics'!$A$6:$AZ$6,0),MATCH(AH$5&amp;"",'Oxford Economics'!$A$6:$AZ$6,0))),'Oxford Economics'!$A$7:$A$1000,$C68,'Oxford Economics'!$B$7:$B$1000,Settings!$B$18)))),""))</f>
        <v>3711.87</v>
      </c>
      <c r="AI68" s="38" t="n">
        <f aca="false">IF($A68="","",IFERROR(1/(1/IF($B68="Residential",SUMIFS(INDEX('Oxford Economics'!$A$7:$AZ$1000,0,IFERROR(MATCH(AI$5,'Oxford Economics'!$A$6:$AZ$6,0),MATCH(AI$5&amp;"",'Oxford Economics'!$A$6:$AZ$6,0))),'Oxford Economics'!$A$7:$A$1000,$C68,'Oxford Economics'!$B$7:$B$1000,Settings!$B$12)-SUMIFS(INDEX('Oxford Economics'!$A$7:$AZ$1000,0,IFERROR(MATCH(AI$5,'Oxford Economics'!$A$6:$AZ$6,0),MATCH(AI$5&amp;"",'Oxford Economics'!$A$6:$AZ$6,0))),'Oxford Economics'!$A$7:$A$1000,$C68,'Oxford Economics'!$B$7:$B$1000,Settings!$B$14),SUMIFS(INDEX('Oxford Economics'!$A$7:$AZ$1000,0,IFERROR(MATCH(AI$5,'Oxford Economics'!$A$6:$AZ$6,0),MATCH(AI$5&amp;"",'Oxford Economics'!$A$6:$AZ$6,0))),'Oxford Economics'!$A$7:$A$1000,$C68,'Oxford Economics'!$B$7:$B$1000,Settings!$B$14)+SUMIFS(INDEX('Oxford Economics'!$A$7:$AZ$1000,0,IFERROR(MATCH(AI$5,'Oxford Economics'!$A$6:$AZ$6,0),MATCH(AI$5&amp;"",'Oxford Economics'!$A$6:$AZ$6,0))),'Oxford Economics'!$A$7:$A$1000,$C68,'Oxford Economics'!$B$7:$B$1000,Settings!$B$16)+IF(Settings!$B$18="",0,SUMIFS(INDEX('Oxford Economics'!$A$7:$AZ$1000,0,IFERROR(MATCH(AI$5,'Oxford Economics'!$A$6:$AZ$6,0),MATCH(AI$5&amp;"",'Oxford Economics'!$A$6:$AZ$6,0))),'Oxford Economics'!$A$7:$A$1000,$C68,'Oxford Economics'!$B$7:$B$1000,Settings!$B$18)))),""))</f>
        <v>3756.44</v>
      </c>
      <c r="AJ68" s="38" t="n">
        <f aca="false">IF($A68="","",IFERROR(1/(1/IF($B68="Residential",SUMIFS(INDEX('Oxford Economics'!$A$7:$AZ$1000,0,IFERROR(MATCH(AJ$5,'Oxford Economics'!$A$6:$AZ$6,0),MATCH(AJ$5&amp;"",'Oxford Economics'!$A$6:$AZ$6,0))),'Oxford Economics'!$A$7:$A$1000,$C68,'Oxford Economics'!$B$7:$B$1000,Settings!$B$12)-SUMIFS(INDEX('Oxford Economics'!$A$7:$AZ$1000,0,IFERROR(MATCH(AJ$5,'Oxford Economics'!$A$6:$AZ$6,0),MATCH(AJ$5&amp;"",'Oxford Economics'!$A$6:$AZ$6,0))),'Oxford Economics'!$A$7:$A$1000,$C68,'Oxford Economics'!$B$7:$B$1000,Settings!$B$14),SUMIFS(INDEX('Oxford Economics'!$A$7:$AZ$1000,0,IFERROR(MATCH(AJ$5,'Oxford Economics'!$A$6:$AZ$6,0),MATCH(AJ$5&amp;"",'Oxford Economics'!$A$6:$AZ$6,0))),'Oxford Economics'!$A$7:$A$1000,$C68,'Oxford Economics'!$B$7:$B$1000,Settings!$B$14)+SUMIFS(INDEX('Oxford Economics'!$A$7:$AZ$1000,0,IFERROR(MATCH(AJ$5,'Oxford Economics'!$A$6:$AZ$6,0),MATCH(AJ$5&amp;"",'Oxford Economics'!$A$6:$AZ$6,0))),'Oxford Economics'!$A$7:$A$1000,$C68,'Oxford Economics'!$B$7:$B$1000,Settings!$B$16)+IF(Settings!$B$18="",0,SUMIFS(INDEX('Oxford Economics'!$A$7:$AZ$1000,0,IFERROR(MATCH(AJ$5,'Oxford Economics'!$A$6:$AZ$6,0),MATCH(AJ$5&amp;"",'Oxford Economics'!$A$6:$AZ$6,0))),'Oxford Economics'!$A$7:$A$1000,$C68,'Oxford Economics'!$B$7:$B$1000,Settings!$B$18)))),""))</f>
        <v>3843.31</v>
      </c>
      <c r="AK68" s="38" t="n">
        <f aca="false">IF($A68="","",IFERROR(1/(1/IF($B68="Residential",SUMIFS(INDEX('Oxford Economics'!$A$7:$AZ$1000,0,IFERROR(MATCH(AK$5,'Oxford Economics'!$A$6:$AZ$6,0),MATCH(AK$5&amp;"",'Oxford Economics'!$A$6:$AZ$6,0))),'Oxford Economics'!$A$7:$A$1000,$C68,'Oxford Economics'!$B$7:$B$1000,Settings!$B$12)-SUMIFS(INDEX('Oxford Economics'!$A$7:$AZ$1000,0,IFERROR(MATCH(AK$5,'Oxford Economics'!$A$6:$AZ$6,0),MATCH(AK$5&amp;"",'Oxford Economics'!$A$6:$AZ$6,0))),'Oxford Economics'!$A$7:$A$1000,$C68,'Oxford Economics'!$B$7:$B$1000,Settings!$B$14),SUMIFS(INDEX('Oxford Economics'!$A$7:$AZ$1000,0,IFERROR(MATCH(AK$5,'Oxford Economics'!$A$6:$AZ$6,0),MATCH(AK$5&amp;"",'Oxford Economics'!$A$6:$AZ$6,0))),'Oxford Economics'!$A$7:$A$1000,$C68,'Oxford Economics'!$B$7:$B$1000,Settings!$B$14)+SUMIFS(INDEX('Oxford Economics'!$A$7:$AZ$1000,0,IFERROR(MATCH(AK$5,'Oxford Economics'!$A$6:$AZ$6,0),MATCH(AK$5&amp;"",'Oxford Economics'!$A$6:$AZ$6,0))),'Oxford Economics'!$A$7:$A$1000,$C68,'Oxford Economics'!$B$7:$B$1000,Settings!$B$16)+IF(Settings!$B$18="",0,SUMIFS(INDEX('Oxford Economics'!$A$7:$AZ$1000,0,IFERROR(MATCH(AK$5,'Oxford Economics'!$A$6:$AZ$6,0),MATCH(AK$5&amp;"",'Oxford Economics'!$A$6:$AZ$6,0))),'Oxford Economics'!$A$7:$A$1000,$C68,'Oxford Economics'!$B$7:$B$1000,Settings!$B$18)))),""))</f>
        <v>3724.8</v>
      </c>
      <c r="AL68" s="38" t="n">
        <f aca="false">IF($A68="","",IFERROR(1/(1/IF($B68="Residential",SUMIFS(INDEX('Oxford Economics'!$A$7:$AZ$1000,0,IFERROR(MATCH(AL$5,'Oxford Economics'!$A$6:$AZ$6,0),MATCH(AL$5&amp;"",'Oxford Economics'!$A$6:$AZ$6,0))),'Oxford Economics'!$A$7:$A$1000,$C68,'Oxford Economics'!$B$7:$B$1000,Settings!$B$12)-SUMIFS(INDEX('Oxford Economics'!$A$7:$AZ$1000,0,IFERROR(MATCH(AL$5,'Oxford Economics'!$A$6:$AZ$6,0),MATCH(AL$5&amp;"",'Oxford Economics'!$A$6:$AZ$6,0))),'Oxford Economics'!$A$7:$A$1000,$C68,'Oxford Economics'!$B$7:$B$1000,Settings!$B$14),SUMIFS(INDEX('Oxford Economics'!$A$7:$AZ$1000,0,IFERROR(MATCH(AL$5,'Oxford Economics'!$A$6:$AZ$6,0),MATCH(AL$5&amp;"",'Oxford Economics'!$A$6:$AZ$6,0))),'Oxford Economics'!$A$7:$A$1000,$C68,'Oxford Economics'!$B$7:$B$1000,Settings!$B$14)+SUMIFS(INDEX('Oxford Economics'!$A$7:$AZ$1000,0,IFERROR(MATCH(AL$5,'Oxford Economics'!$A$6:$AZ$6,0),MATCH(AL$5&amp;"",'Oxford Economics'!$A$6:$AZ$6,0))),'Oxford Economics'!$A$7:$A$1000,$C68,'Oxford Economics'!$B$7:$B$1000,Settings!$B$16)+IF(Settings!$B$18="",0,SUMIFS(INDEX('Oxford Economics'!$A$7:$AZ$1000,0,IFERROR(MATCH(AL$5,'Oxford Economics'!$A$6:$AZ$6,0),MATCH(AL$5&amp;"",'Oxford Economics'!$A$6:$AZ$6,0))),'Oxford Economics'!$A$7:$A$1000,$C68,'Oxford Economics'!$B$7:$B$1000,Settings!$B$18)))),""))</f>
        <v>3650.95</v>
      </c>
      <c r="AM68" s="38" t="n">
        <f aca="false">IF($A68="","",IFERROR(1/(1/IF($B68="Residential",SUMIFS(INDEX('Oxford Economics'!$A$7:$AZ$1000,0,IFERROR(MATCH(AM$5,'Oxford Economics'!$A$6:$AZ$6,0),MATCH(AM$5&amp;"",'Oxford Economics'!$A$6:$AZ$6,0))),'Oxford Economics'!$A$7:$A$1000,$C68,'Oxford Economics'!$B$7:$B$1000,Settings!$B$12)-SUMIFS(INDEX('Oxford Economics'!$A$7:$AZ$1000,0,IFERROR(MATCH(AM$5,'Oxford Economics'!$A$6:$AZ$6,0),MATCH(AM$5&amp;"",'Oxford Economics'!$A$6:$AZ$6,0))),'Oxford Economics'!$A$7:$A$1000,$C68,'Oxford Economics'!$B$7:$B$1000,Settings!$B$14),SUMIFS(INDEX('Oxford Economics'!$A$7:$AZ$1000,0,IFERROR(MATCH(AM$5,'Oxford Economics'!$A$6:$AZ$6,0),MATCH(AM$5&amp;"",'Oxford Economics'!$A$6:$AZ$6,0))),'Oxford Economics'!$A$7:$A$1000,$C68,'Oxford Economics'!$B$7:$B$1000,Settings!$B$14)+SUMIFS(INDEX('Oxford Economics'!$A$7:$AZ$1000,0,IFERROR(MATCH(AM$5,'Oxford Economics'!$A$6:$AZ$6,0),MATCH(AM$5&amp;"",'Oxford Economics'!$A$6:$AZ$6,0))),'Oxford Economics'!$A$7:$A$1000,$C68,'Oxford Economics'!$B$7:$B$1000,Settings!$B$16)+IF(Settings!$B$18="",0,SUMIFS(INDEX('Oxford Economics'!$A$7:$AZ$1000,0,IFERROR(MATCH(AM$5,'Oxford Economics'!$A$6:$AZ$6,0),MATCH(AM$5&amp;"",'Oxford Economics'!$A$6:$AZ$6,0))),'Oxford Economics'!$A$7:$A$1000,$C68,'Oxford Economics'!$B$7:$B$1000,Settings!$B$18)))),""))</f>
        <v>3620.44</v>
      </c>
    </row>
    <row r="69" customFormat="false" ht="15" hidden="false" customHeight="false" outlineLevel="0" collapsed="false">
      <c r="A69" s="37" t="str">
        <f aca="false">IF('Raw data'!$A69="","",'Raw data'!$A69)</f>
        <v>Switzerland</v>
      </c>
      <c r="B69" s="37" t="str">
        <f aca="false">IF($A69="","",'Raw data'!$C69)</f>
        <v>Commercial</v>
      </c>
      <c r="C69" s="37" t="str">
        <f aca="false">IF($A69="","",IF('Raw data'!$E69="",$A69,'Raw data'!$E69))</f>
        <v>Switzerland</v>
      </c>
      <c r="D69" s="38" t="n">
        <f aca="false">IF($A69="","",IF(AND(ISNUMBER(P69),ISNUMBER(AB69)),P69+AB69,""))</f>
        <v>33945.3</v>
      </c>
      <c r="E69" s="38" t="n">
        <f aca="false">IF($A69="","",IF(AND(ISNUMBER(Q69),ISNUMBER(AC69)),Q69+AC69,""))</f>
        <v>34578.91</v>
      </c>
      <c r="F69" s="38" t="n">
        <f aca="false">IF($A69="","",IF(AND(ISNUMBER(R69),ISNUMBER(AD69)),R69+AD69,""))</f>
        <v>33818.55</v>
      </c>
      <c r="G69" s="38" t="n">
        <f aca="false">IF($A69="","",IF(AND(ISNUMBER(S69),ISNUMBER(AE69)),S69+AE69,""))</f>
        <v>33090.05</v>
      </c>
      <c r="H69" s="38" t="n">
        <f aca="false">IF($A69="","",IF(AND(ISNUMBER(T69),ISNUMBER(AF69)),T69+AF69,""))</f>
        <v>32827.01</v>
      </c>
      <c r="I69" s="38" t="n">
        <f aca="false">IF($A69="","",IF(AND(ISNUMBER(U69),ISNUMBER(AG69)),U69+AG69,""))</f>
        <v>33602.22</v>
      </c>
      <c r="J69" s="38" t="n">
        <f aca="false">IF($A69="","",IF(AND(ISNUMBER(V69),ISNUMBER(AH69)),V69+AH69,""))</f>
        <v>34354.69</v>
      </c>
      <c r="K69" s="38" t="n">
        <f aca="false">IF($A69="","",IF(AND(ISNUMBER(W69),ISNUMBER(AI69)),W69+AI69,""))</f>
        <v>35563.44</v>
      </c>
      <c r="L69" s="38" t="n">
        <f aca="false">IF($A69="","",IF(AND(ISNUMBER(X69),ISNUMBER(AJ69)),X69+AJ69,""))</f>
        <v>37110.55</v>
      </c>
      <c r="M69" s="38" t="n">
        <f aca="false">IF($A69="","",IF(AND(ISNUMBER(Y69),ISNUMBER(AK69)),Y69+AK69,""))</f>
        <v>37920.78</v>
      </c>
      <c r="N69" s="38" t="n">
        <f aca="false">IF($A69="","",IF(AND(ISNUMBER(Z69),ISNUMBER(AL69)),Z69+AL69,""))</f>
        <v>38564.81</v>
      </c>
      <c r="O69" s="38" t="n">
        <f aca="false">IF($A69="","",IF(AND(ISNUMBER(AA69),ISNUMBER(AM69)),AA69+AM69,""))</f>
        <v>39576.14</v>
      </c>
      <c r="P69" s="38" t="n">
        <f aca="false">IF($A69="","",IFERROR(1/(1/IF($B69="Residential",SUMIFS(INDEX('Oxford Economics'!$A$7:$AZ$1000,0,IFERROR(MATCH(P$5,'Oxford Economics'!$A$6:$AZ$6,0),MATCH(P$5&amp;"",'Oxford Economics'!$A$6:$AZ$6,0))),'Oxford Economics'!$A$7:$A$1000,$C69,'Oxford Economics'!$B$7:$B$1000,Settings!$B$13)-SUMIFS(INDEX('Oxford Economics'!$A$7:$AZ$1000,0,IFERROR(MATCH(P$5,'Oxford Economics'!$A$6:$AZ$6,0),MATCH(P$5&amp;"",'Oxford Economics'!$A$6:$AZ$6,0))),'Oxford Economics'!$A$7:$A$1000,$C69,'Oxford Economics'!$B$7:$B$1000,Settings!$B$15),SUMIFS(INDEX('Oxford Economics'!$A$7:$AZ$1000,0,IFERROR(MATCH(P$5,'Oxford Economics'!$A$6:$AZ$6,0),MATCH(P$5&amp;"",'Oxford Economics'!$A$6:$AZ$6,0))),'Oxford Economics'!$A$7:$A$1000,$C69,'Oxford Economics'!$B$7:$B$1000,Settings!$B$15)+SUMIFS(INDEX('Oxford Economics'!$A$7:$AZ$1000,0,IFERROR(MATCH(P$5,'Oxford Economics'!$A$6:$AZ$6,0),MATCH(P$5&amp;"",'Oxford Economics'!$A$6:$AZ$6,0))),'Oxford Economics'!$A$7:$A$1000,$C69,'Oxford Economics'!$B$7:$B$1000,Settings!$B$17)+IF(Settings!$B$19="",0,SUMIFS(INDEX('Oxford Economics'!$A$7:$AZ$1000,0,IFERROR(MATCH(P$5,'Oxford Economics'!$A$6:$AZ$6,0),MATCH(P$5&amp;"",'Oxford Economics'!$A$6:$AZ$6,0))),'Oxford Economics'!$A$7:$A$1000,$C69,'Oxford Economics'!$B$7:$B$1000,Settings!$B$19)))),""))</f>
        <v>10898.99</v>
      </c>
      <c r="Q69" s="38" t="n">
        <f aca="false">IF($A69="","",IFERROR(1/(1/IF($B69="Residential",SUMIFS(INDEX('Oxford Economics'!$A$7:$AZ$1000,0,IFERROR(MATCH(Q$5,'Oxford Economics'!$A$6:$AZ$6,0),MATCH(Q$5&amp;"",'Oxford Economics'!$A$6:$AZ$6,0))),'Oxford Economics'!$A$7:$A$1000,$C69,'Oxford Economics'!$B$7:$B$1000,Settings!$B$13)-SUMIFS(INDEX('Oxford Economics'!$A$7:$AZ$1000,0,IFERROR(MATCH(Q$5,'Oxford Economics'!$A$6:$AZ$6,0),MATCH(Q$5&amp;"",'Oxford Economics'!$A$6:$AZ$6,0))),'Oxford Economics'!$A$7:$A$1000,$C69,'Oxford Economics'!$B$7:$B$1000,Settings!$B$15),SUMIFS(INDEX('Oxford Economics'!$A$7:$AZ$1000,0,IFERROR(MATCH(Q$5,'Oxford Economics'!$A$6:$AZ$6,0),MATCH(Q$5&amp;"",'Oxford Economics'!$A$6:$AZ$6,0))),'Oxford Economics'!$A$7:$A$1000,$C69,'Oxford Economics'!$B$7:$B$1000,Settings!$B$15)+SUMIFS(INDEX('Oxford Economics'!$A$7:$AZ$1000,0,IFERROR(MATCH(Q$5,'Oxford Economics'!$A$6:$AZ$6,0),MATCH(Q$5&amp;"",'Oxford Economics'!$A$6:$AZ$6,0))),'Oxford Economics'!$A$7:$A$1000,$C69,'Oxford Economics'!$B$7:$B$1000,Settings!$B$17)+IF(Settings!$B$19="",0,SUMIFS(INDEX('Oxford Economics'!$A$7:$AZ$1000,0,IFERROR(MATCH(Q$5,'Oxford Economics'!$A$6:$AZ$6,0),MATCH(Q$5&amp;"",'Oxford Economics'!$A$6:$AZ$6,0))),'Oxford Economics'!$A$7:$A$1000,$C69,'Oxford Economics'!$B$7:$B$1000,Settings!$B$19)))),""))</f>
        <v>11680.42</v>
      </c>
      <c r="R69" s="38" t="n">
        <f aca="false">IF($A69="","",IFERROR(1/(1/IF($B69="Residential",SUMIFS(INDEX('Oxford Economics'!$A$7:$AZ$1000,0,IFERROR(MATCH(R$5,'Oxford Economics'!$A$6:$AZ$6,0),MATCH(R$5&amp;"",'Oxford Economics'!$A$6:$AZ$6,0))),'Oxford Economics'!$A$7:$A$1000,$C69,'Oxford Economics'!$B$7:$B$1000,Settings!$B$13)-SUMIFS(INDEX('Oxford Economics'!$A$7:$AZ$1000,0,IFERROR(MATCH(R$5,'Oxford Economics'!$A$6:$AZ$6,0),MATCH(R$5&amp;"",'Oxford Economics'!$A$6:$AZ$6,0))),'Oxford Economics'!$A$7:$A$1000,$C69,'Oxford Economics'!$B$7:$B$1000,Settings!$B$15),SUMIFS(INDEX('Oxford Economics'!$A$7:$AZ$1000,0,IFERROR(MATCH(R$5,'Oxford Economics'!$A$6:$AZ$6,0),MATCH(R$5&amp;"",'Oxford Economics'!$A$6:$AZ$6,0))),'Oxford Economics'!$A$7:$A$1000,$C69,'Oxford Economics'!$B$7:$B$1000,Settings!$B$15)+SUMIFS(INDEX('Oxford Economics'!$A$7:$AZ$1000,0,IFERROR(MATCH(R$5,'Oxford Economics'!$A$6:$AZ$6,0),MATCH(R$5&amp;"",'Oxford Economics'!$A$6:$AZ$6,0))),'Oxford Economics'!$A$7:$A$1000,$C69,'Oxford Economics'!$B$7:$B$1000,Settings!$B$17)+IF(Settings!$B$19="",0,SUMIFS(INDEX('Oxford Economics'!$A$7:$AZ$1000,0,IFERROR(MATCH(R$5,'Oxford Economics'!$A$6:$AZ$6,0),MATCH(R$5&amp;"",'Oxford Economics'!$A$6:$AZ$6,0))),'Oxford Economics'!$A$7:$A$1000,$C69,'Oxford Economics'!$B$7:$B$1000,Settings!$B$19)))),""))</f>
        <v>11928.08</v>
      </c>
      <c r="S69" s="38" t="n">
        <f aca="false">IF($A69="","",IFERROR(1/(1/IF($B69="Residential",SUMIFS(INDEX('Oxford Economics'!$A$7:$AZ$1000,0,IFERROR(MATCH(S$5,'Oxford Economics'!$A$6:$AZ$6,0),MATCH(S$5&amp;"",'Oxford Economics'!$A$6:$AZ$6,0))),'Oxford Economics'!$A$7:$A$1000,$C69,'Oxford Economics'!$B$7:$B$1000,Settings!$B$13)-SUMIFS(INDEX('Oxford Economics'!$A$7:$AZ$1000,0,IFERROR(MATCH(S$5,'Oxford Economics'!$A$6:$AZ$6,0),MATCH(S$5&amp;"",'Oxford Economics'!$A$6:$AZ$6,0))),'Oxford Economics'!$A$7:$A$1000,$C69,'Oxford Economics'!$B$7:$B$1000,Settings!$B$15),SUMIFS(INDEX('Oxford Economics'!$A$7:$AZ$1000,0,IFERROR(MATCH(S$5,'Oxford Economics'!$A$6:$AZ$6,0),MATCH(S$5&amp;"",'Oxford Economics'!$A$6:$AZ$6,0))),'Oxford Economics'!$A$7:$A$1000,$C69,'Oxford Economics'!$B$7:$B$1000,Settings!$B$15)+SUMIFS(INDEX('Oxford Economics'!$A$7:$AZ$1000,0,IFERROR(MATCH(S$5,'Oxford Economics'!$A$6:$AZ$6,0),MATCH(S$5&amp;"",'Oxford Economics'!$A$6:$AZ$6,0))),'Oxford Economics'!$A$7:$A$1000,$C69,'Oxford Economics'!$B$7:$B$1000,Settings!$B$17)+IF(Settings!$B$19="",0,SUMIFS(INDEX('Oxford Economics'!$A$7:$AZ$1000,0,IFERROR(MATCH(S$5,'Oxford Economics'!$A$6:$AZ$6,0),MATCH(S$5&amp;"",'Oxford Economics'!$A$6:$AZ$6,0))),'Oxford Economics'!$A$7:$A$1000,$C69,'Oxford Economics'!$B$7:$B$1000,Settings!$B$19)))),""))</f>
        <v>11824.3</v>
      </c>
      <c r="T69" s="38" t="n">
        <f aca="false">IF($A69="","",IFERROR(1/(1/IF($B69="Residential",SUMIFS(INDEX('Oxford Economics'!$A$7:$AZ$1000,0,IFERROR(MATCH(T$5,'Oxford Economics'!$A$6:$AZ$6,0),MATCH(T$5&amp;"",'Oxford Economics'!$A$6:$AZ$6,0))),'Oxford Economics'!$A$7:$A$1000,$C69,'Oxford Economics'!$B$7:$B$1000,Settings!$B$13)-SUMIFS(INDEX('Oxford Economics'!$A$7:$AZ$1000,0,IFERROR(MATCH(T$5,'Oxford Economics'!$A$6:$AZ$6,0),MATCH(T$5&amp;"",'Oxford Economics'!$A$6:$AZ$6,0))),'Oxford Economics'!$A$7:$A$1000,$C69,'Oxford Economics'!$B$7:$B$1000,Settings!$B$15),SUMIFS(INDEX('Oxford Economics'!$A$7:$AZ$1000,0,IFERROR(MATCH(T$5,'Oxford Economics'!$A$6:$AZ$6,0),MATCH(T$5&amp;"",'Oxford Economics'!$A$6:$AZ$6,0))),'Oxford Economics'!$A$7:$A$1000,$C69,'Oxford Economics'!$B$7:$B$1000,Settings!$B$15)+SUMIFS(INDEX('Oxford Economics'!$A$7:$AZ$1000,0,IFERROR(MATCH(T$5,'Oxford Economics'!$A$6:$AZ$6,0),MATCH(T$5&amp;"",'Oxford Economics'!$A$6:$AZ$6,0))),'Oxford Economics'!$A$7:$A$1000,$C69,'Oxford Economics'!$B$7:$B$1000,Settings!$B$17)+IF(Settings!$B$19="",0,SUMIFS(INDEX('Oxford Economics'!$A$7:$AZ$1000,0,IFERROR(MATCH(T$5,'Oxford Economics'!$A$6:$AZ$6,0),MATCH(T$5&amp;"",'Oxford Economics'!$A$6:$AZ$6,0))),'Oxford Economics'!$A$7:$A$1000,$C69,'Oxford Economics'!$B$7:$B$1000,Settings!$B$19)))),""))</f>
        <v>11812.62</v>
      </c>
      <c r="U69" s="38" t="n">
        <f aca="false">IF($A69="","",IFERROR(1/(1/IF($B69="Residential",SUMIFS(INDEX('Oxford Economics'!$A$7:$AZ$1000,0,IFERROR(MATCH(U$5,'Oxford Economics'!$A$6:$AZ$6,0),MATCH(U$5&amp;"",'Oxford Economics'!$A$6:$AZ$6,0))),'Oxford Economics'!$A$7:$A$1000,$C69,'Oxford Economics'!$B$7:$B$1000,Settings!$B$13)-SUMIFS(INDEX('Oxford Economics'!$A$7:$AZ$1000,0,IFERROR(MATCH(U$5,'Oxford Economics'!$A$6:$AZ$6,0),MATCH(U$5&amp;"",'Oxford Economics'!$A$6:$AZ$6,0))),'Oxford Economics'!$A$7:$A$1000,$C69,'Oxford Economics'!$B$7:$B$1000,Settings!$B$15),SUMIFS(INDEX('Oxford Economics'!$A$7:$AZ$1000,0,IFERROR(MATCH(U$5,'Oxford Economics'!$A$6:$AZ$6,0),MATCH(U$5&amp;"",'Oxford Economics'!$A$6:$AZ$6,0))),'Oxford Economics'!$A$7:$A$1000,$C69,'Oxford Economics'!$B$7:$B$1000,Settings!$B$15)+SUMIFS(INDEX('Oxford Economics'!$A$7:$AZ$1000,0,IFERROR(MATCH(U$5,'Oxford Economics'!$A$6:$AZ$6,0),MATCH(U$5&amp;"",'Oxford Economics'!$A$6:$AZ$6,0))),'Oxford Economics'!$A$7:$A$1000,$C69,'Oxford Economics'!$B$7:$B$1000,Settings!$B$17)+IF(Settings!$B$19="",0,SUMIFS(INDEX('Oxford Economics'!$A$7:$AZ$1000,0,IFERROR(MATCH(U$5,'Oxford Economics'!$A$6:$AZ$6,0),MATCH(U$5&amp;"",'Oxford Economics'!$A$6:$AZ$6,0))),'Oxford Economics'!$A$7:$A$1000,$C69,'Oxford Economics'!$B$7:$B$1000,Settings!$B$19)))),""))</f>
        <v>11664.33</v>
      </c>
      <c r="V69" s="38" t="n">
        <f aca="false">IF($A69="","",IFERROR(1/(1/IF($B69="Residential",SUMIFS(INDEX('Oxford Economics'!$A$7:$AZ$1000,0,IFERROR(MATCH(V$5,'Oxford Economics'!$A$6:$AZ$6,0),MATCH(V$5&amp;"",'Oxford Economics'!$A$6:$AZ$6,0))),'Oxford Economics'!$A$7:$A$1000,$C69,'Oxford Economics'!$B$7:$B$1000,Settings!$B$13)-SUMIFS(INDEX('Oxford Economics'!$A$7:$AZ$1000,0,IFERROR(MATCH(V$5,'Oxford Economics'!$A$6:$AZ$6,0),MATCH(V$5&amp;"",'Oxford Economics'!$A$6:$AZ$6,0))),'Oxford Economics'!$A$7:$A$1000,$C69,'Oxford Economics'!$B$7:$B$1000,Settings!$B$15),SUMIFS(INDEX('Oxford Economics'!$A$7:$AZ$1000,0,IFERROR(MATCH(V$5,'Oxford Economics'!$A$6:$AZ$6,0),MATCH(V$5&amp;"",'Oxford Economics'!$A$6:$AZ$6,0))),'Oxford Economics'!$A$7:$A$1000,$C69,'Oxford Economics'!$B$7:$B$1000,Settings!$B$15)+SUMIFS(INDEX('Oxford Economics'!$A$7:$AZ$1000,0,IFERROR(MATCH(V$5,'Oxford Economics'!$A$6:$AZ$6,0),MATCH(V$5&amp;"",'Oxford Economics'!$A$6:$AZ$6,0))),'Oxford Economics'!$A$7:$A$1000,$C69,'Oxford Economics'!$B$7:$B$1000,Settings!$B$17)+IF(Settings!$B$19="",0,SUMIFS(INDEX('Oxford Economics'!$A$7:$AZ$1000,0,IFERROR(MATCH(V$5,'Oxford Economics'!$A$6:$AZ$6,0),MATCH(V$5&amp;"",'Oxford Economics'!$A$6:$AZ$6,0))),'Oxford Economics'!$A$7:$A$1000,$C69,'Oxford Economics'!$B$7:$B$1000,Settings!$B$19)))),""))</f>
        <v>11407.7</v>
      </c>
      <c r="W69" s="38" t="n">
        <f aca="false">IF($A69="","",IFERROR(1/(1/IF($B69="Residential",SUMIFS(INDEX('Oxford Economics'!$A$7:$AZ$1000,0,IFERROR(MATCH(W$5,'Oxford Economics'!$A$6:$AZ$6,0),MATCH(W$5&amp;"",'Oxford Economics'!$A$6:$AZ$6,0))),'Oxford Economics'!$A$7:$A$1000,$C69,'Oxford Economics'!$B$7:$B$1000,Settings!$B$13)-SUMIFS(INDEX('Oxford Economics'!$A$7:$AZ$1000,0,IFERROR(MATCH(W$5,'Oxford Economics'!$A$6:$AZ$6,0),MATCH(W$5&amp;"",'Oxford Economics'!$A$6:$AZ$6,0))),'Oxford Economics'!$A$7:$A$1000,$C69,'Oxford Economics'!$B$7:$B$1000,Settings!$B$15),SUMIFS(INDEX('Oxford Economics'!$A$7:$AZ$1000,0,IFERROR(MATCH(W$5,'Oxford Economics'!$A$6:$AZ$6,0),MATCH(W$5&amp;"",'Oxford Economics'!$A$6:$AZ$6,0))),'Oxford Economics'!$A$7:$A$1000,$C69,'Oxford Economics'!$B$7:$B$1000,Settings!$B$15)+SUMIFS(INDEX('Oxford Economics'!$A$7:$AZ$1000,0,IFERROR(MATCH(W$5,'Oxford Economics'!$A$6:$AZ$6,0),MATCH(W$5&amp;"",'Oxford Economics'!$A$6:$AZ$6,0))),'Oxford Economics'!$A$7:$A$1000,$C69,'Oxford Economics'!$B$7:$B$1000,Settings!$B$17)+IF(Settings!$B$19="",0,SUMIFS(INDEX('Oxford Economics'!$A$7:$AZ$1000,0,IFERROR(MATCH(W$5,'Oxford Economics'!$A$6:$AZ$6,0),MATCH(W$5&amp;"",'Oxford Economics'!$A$6:$AZ$6,0))),'Oxford Economics'!$A$7:$A$1000,$C69,'Oxford Economics'!$B$7:$B$1000,Settings!$B$19)))),""))</f>
        <v>11452.77</v>
      </c>
      <c r="X69" s="38" t="n">
        <f aca="false">IF($A69="","",IFERROR(1/(1/IF($B69="Residential",SUMIFS(INDEX('Oxford Economics'!$A$7:$AZ$1000,0,IFERROR(MATCH(X$5,'Oxford Economics'!$A$6:$AZ$6,0),MATCH(X$5&amp;"",'Oxford Economics'!$A$6:$AZ$6,0))),'Oxford Economics'!$A$7:$A$1000,$C69,'Oxford Economics'!$B$7:$B$1000,Settings!$B$13)-SUMIFS(INDEX('Oxford Economics'!$A$7:$AZ$1000,0,IFERROR(MATCH(X$5,'Oxford Economics'!$A$6:$AZ$6,0),MATCH(X$5&amp;"",'Oxford Economics'!$A$6:$AZ$6,0))),'Oxford Economics'!$A$7:$A$1000,$C69,'Oxford Economics'!$B$7:$B$1000,Settings!$B$15),SUMIFS(INDEX('Oxford Economics'!$A$7:$AZ$1000,0,IFERROR(MATCH(X$5,'Oxford Economics'!$A$6:$AZ$6,0),MATCH(X$5&amp;"",'Oxford Economics'!$A$6:$AZ$6,0))),'Oxford Economics'!$A$7:$A$1000,$C69,'Oxford Economics'!$B$7:$B$1000,Settings!$B$15)+SUMIFS(INDEX('Oxford Economics'!$A$7:$AZ$1000,0,IFERROR(MATCH(X$5,'Oxford Economics'!$A$6:$AZ$6,0),MATCH(X$5&amp;"",'Oxford Economics'!$A$6:$AZ$6,0))),'Oxford Economics'!$A$7:$A$1000,$C69,'Oxford Economics'!$B$7:$B$1000,Settings!$B$17)+IF(Settings!$B$19="",0,SUMIFS(INDEX('Oxford Economics'!$A$7:$AZ$1000,0,IFERROR(MATCH(X$5,'Oxford Economics'!$A$6:$AZ$6,0),MATCH(X$5&amp;"",'Oxford Economics'!$A$6:$AZ$6,0))),'Oxford Economics'!$A$7:$A$1000,$C69,'Oxford Economics'!$B$7:$B$1000,Settings!$B$19)))),""))</f>
        <v>11648.99</v>
      </c>
      <c r="Y69" s="38" t="n">
        <f aca="false">IF($A69="","",IFERROR(1/(1/IF($B69="Residential",SUMIFS(INDEX('Oxford Economics'!$A$7:$AZ$1000,0,IFERROR(MATCH(Y$5,'Oxford Economics'!$A$6:$AZ$6,0),MATCH(Y$5&amp;"",'Oxford Economics'!$A$6:$AZ$6,0))),'Oxford Economics'!$A$7:$A$1000,$C69,'Oxford Economics'!$B$7:$B$1000,Settings!$B$13)-SUMIFS(INDEX('Oxford Economics'!$A$7:$AZ$1000,0,IFERROR(MATCH(Y$5,'Oxford Economics'!$A$6:$AZ$6,0),MATCH(Y$5&amp;"",'Oxford Economics'!$A$6:$AZ$6,0))),'Oxford Economics'!$A$7:$A$1000,$C69,'Oxford Economics'!$B$7:$B$1000,Settings!$B$15),SUMIFS(INDEX('Oxford Economics'!$A$7:$AZ$1000,0,IFERROR(MATCH(Y$5,'Oxford Economics'!$A$6:$AZ$6,0),MATCH(Y$5&amp;"",'Oxford Economics'!$A$6:$AZ$6,0))),'Oxford Economics'!$A$7:$A$1000,$C69,'Oxford Economics'!$B$7:$B$1000,Settings!$B$15)+SUMIFS(INDEX('Oxford Economics'!$A$7:$AZ$1000,0,IFERROR(MATCH(Y$5,'Oxford Economics'!$A$6:$AZ$6,0),MATCH(Y$5&amp;"",'Oxford Economics'!$A$6:$AZ$6,0))),'Oxford Economics'!$A$7:$A$1000,$C69,'Oxford Economics'!$B$7:$B$1000,Settings!$B$17)+IF(Settings!$B$19="",0,SUMIFS(INDEX('Oxford Economics'!$A$7:$AZ$1000,0,IFERROR(MATCH(Y$5,'Oxford Economics'!$A$6:$AZ$6,0),MATCH(Y$5&amp;"",'Oxford Economics'!$A$6:$AZ$6,0))),'Oxford Economics'!$A$7:$A$1000,$C69,'Oxford Economics'!$B$7:$B$1000,Settings!$B$19)))),""))</f>
        <v>11734.78</v>
      </c>
      <c r="Z69" s="38" t="n">
        <f aca="false">IF($A69="","",IFERROR(1/(1/IF($B69="Residential",SUMIFS(INDEX('Oxford Economics'!$A$7:$AZ$1000,0,IFERROR(MATCH(Z$5,'Oxford Economics'!$A$6:$AZ$6,0),MATCH(Z$5&amp;"",'Oxford Economics'!$A$6:$AZ$6,0))),'Oxford Economics'!$A$7:$A$1000,$C69,'Oxford Economics'!$B$7:$B$1000,Settings!$B$13)-SUMIFS(INDEX('Oxford Economics'!$A$7:$AZ$1000,0,IFERROR(MATCH(Z$5,'Oxford Economics'!$A$6:$AZ$6,0),MATCH(Z$5&amp;"",'Oxford Economics'!$A$6:$AZ$6,0))),'Oxford Economics'!$A$7:$A$1000,$C69,'Oxford Economics'!$B$7:$B$1000,Settings!$B$15),SUMIFS(INDEX('Oxford Economics'!$A$7:$AZ$1000,0,IFERROR(MATCH(Z$5,'Oxford Economics'!$A$6:$AZ$6,0),MATCH(Z$5&amp;"",'Oxford Economics'!$A$6:$AZ$6,0))),'Oxford Economics'!$A$7:$A$1000,$C69,'Oxford Economics'!$B$7:$B$1000,Settings!$B$15)+SUMIFS(INDEX('Oxford Economics'!$A$7:$AZ$1000,0,IFERROR(MATCH(Z$5,'Oxford Economics'!$A$6:$AZ$6,0),MATCH(Z$5&amp;"",'Oxford Economics'!$A$6:$AZ$6,0))),'Oxford Economics'!$A$7:$A$1000,$C69,'Oxford Economics'!$B$7:$B$1000,Settings!$B$17)+IF(Settings!$B$19="",0,SUMIFS(INDEX('Oxford Economics'!$A$7:$AZ$1000,0,IFERROR(MATCH(Z$5,'Oxford Economics'!$A$6:$AZ$6,0),MATCH(Z$5&amp;"",'Oxford Economics'!$A$6:$AZ$6,0))),'Oxford Economics'!$A$7:$A$1000,$C69,'Oxford Economics'!$B$7:$B$1000,Settings!$B$19)))),""))</f>
        <v>11792.48</v>
      </c>
      <c r="AA69" s="38" t="n">
        <f aca="false">IF($A69="","",IFERROR(1/(1/IF($B69="Residential",SUMIFS(INDEX('Oxford Economics'!$A$7:$AZ$1000,0,IFERROR(MATCH(AA$5,'Oxford Economics'!$A$6:$AZ$6,0),MATCH(AA$5&amp;"",'Oxford Economics'!$A$6:$AZ$6,0))),'Oxford Economics'!$A$7:$A$1000,$C69,'Oxford Economics'!$B$7:$B$1000,Settings!$B$13)-SUMIFS(INDEX('Oxford Economics'!$A$7:$AZ$1000,0,IFERROR(MATCH(AA$5,'Oxford Economics'!$A$6:$AZ$6,0),MATCH(AA$5&amp;"",'Oxford Economics'!$A$6:$AZ$6,0))),'Oxford Economics'!$A$7:$A$1000,$C69,'Oxford Economics'!$B$7:$B$1000,Settings!$B$15),SUMIFS(INDEX('Oxford Economics'!$A$7:$AZ$1000,0,IFERROR(MATCH(AA$5,'Oxford Economics'!$A$6:$AZ$6,0),MATCH(AA$5&amp;"",'Oxford Economics'!$A$6:$AZ$6,0))),'Oxford Economics'!$A$7:$A$1000,$C69,'Oxford Economics'!$B$7:$B$1000,Settings!$B$15)+SUMIFS(INDEX('Oxford Economics'!$A$7:$AZ$1000,0,IFERROR(MATCH(AA$5,'Oxford Economics'!$A$6:$AZ$6,0),MATCH(AA$5&amp;"",'Oxford Economics'!$A$6:$AZ$6,0))),'Oxford Economics'!$A$7:$A$1000,$C69,'Oxford Economics'!$B$7:$B$1000,Settings!$B$17)+IF(Settings!$B$19="",0,SUMIFS(INDEX('Oxford Economics'!$A$7:$AZ$1000,0,IFERROR(MATCH(AA$5,'Oxford Economics'!$A$6:$AZ$6,0),MATCH(AA$5&amp;"",'Oxford Economics'!$A$6:$AZ$6,0))),'Oxford Economics'!$A$7:$A$1000,$C69,'Oxford Economics'!$B$7:$B$1000,Settings!$B$19)))),""))</f>
        <v>11942.62</v>
      </c>
      <c r="AB69" s="38" t="n">
        <f aca="false">IF($A69="","",IFERROR(1/(1/IF($B69="Residential",SUMIFS(INDEX('Oxford Economics'!$A$7:$AZ$1000,0,IFERROR(MATCH(AB$5,'Oxford Economics'!$A$6:$AZ$6,0),MATCH(AB$5&amp;"",'Oxford Economics'!$A$6:$AZ$6,0))),'Oxford Economics'!$A$7:$A$1000,$C69,'Oxford Economics'!$B$7:$B$1000,Settings!$B$12)-SUMIFS(INDEX('Oxford Economics'!$A$7:$AZ$1000,0,IFERROR(MATCH(AB$5,'Oxford Economics'!$A$6:$AZ$6,0),MATCH(AB$5&amp;"",'Oxford Economics'!$A$6:$AZ$6,0))),'Oxford Economics'!$A$7:$A$1000,$C69,'Oxford Economics'!$B$7:$B$1000,Settings!$B$14),SUMIFS(INDEX('Oxford Economics'!$A$7:$AZ$1000,0,IFERROR(MATCH(AB$5,'Oxford Economics'!$A$6:$AZ$6,0),MATCH(AB$5&amp;"",'Oxford Economics'!$A$6:$AZ$6,0))),'Oxford Economics'!$A$7:$A$1000,$C69,'Oxford Economics'!$B$7:$B$1000,Settings!$B$14)+SUMIFS(INDEX('Oxford Economics'!$A$7:$AZ$1000,0,IFERROR(MATCH(AB$5,'Oxford Economics'!$A$6:$AZ$6,0),MATCH(AB$5&amp;"",'Oxford Economics'!$A$6:$AZ$6,0))),'Oxford Economics'!$A$7:$A$1000,$C69,'Oxford Economics'!$B$7:$B$1000,Settings!$B$16)+IF(Settings!$B$18="",0,SUMIFS(INDEX('Oxford Economics'!$A$7:$AZ$1000,0,IFERROR(MATCH(AB$5,'Oxford Economics'!$A$6:$AZ$6,0),MATCH(AB$5&amp;"",'Oxford Economics'!$A$6:$AZ$6,0))),'Oxford Economics'!$A$7:$A$1000,$C69,'Oxford Economics'!$B$7:$B$1000,Settings!$B$18)))),""))</f>
        <v>23046.31</v>
      </c>
      <c r="AC69" s="38" t="n">
        <f aca="false">IF($A69="","",IFERROR(1/(1/IF($B69="Residential",SUMIFS(INDEX('Oxford Economics'!$A$7:$AZ$1000,0,IFERROR(MATCH(AC$5,'Oxford Economics'!$A$6:$AZ$6,0),MATCH(AC$5&amp;"",'Oxford Economics'!$A$6:$AZ$6,0))),'Oxford Economics'!$A$7:$A$1000,$C69,'Oxford Economics'!$B$7:$B$1000,Settings!$B$12)-SUMIFS(INDEX('Oxford Economics'!$A$7:$AZ$1000,0,IFERROR(MATCH(AC$5,'Oxford Economics'!$A$6:$AZ$6,0),MATCH(AC$5&amp;"",'Oxford Economics'!$A$6:$AZ$6,0))),'Oxford Economics'!$A$7:$A$1000,$C69,'Oxford Economics'!$B$7:$B$1000,Settings!$B$14),SUMIFS(INDEX('Oxford Economics'!$A$7:$AZ$1000,0,IFERROR(MATCH(AC$5,'Oxford Economics'!$A$6:$AZ$6,0),MATCH(AC$5&amp;"",'Oxford Economics'!$A$6:$AZ$6,0))),'Oxford Economics'!$A$7:$A$1000,$C69,'Oxford Economics'!$B$7:$B$1000,Settings!$B$14)+SUMIFS(INDEX('Oxford Economics'!$A$7:$AZ$1000,0,IFERROR(MATCH(AC$5,'Oxford Economics'!$A$6:$AZ$6,0),MATCH(AC$5&amp;"",'Oxford Economics'!$A$6:$AZ$6,0))),'Oxford Economics'!$A$7:$A$1000,$C69,'Oxford Economics'!$B$7:$B$1000,Settings!$B$16)+IF(Settings!$B$18="",0,SUMIFS(INDEX('Oxford Economics'!$A$7:$AZ$1000,0,IFERROR(MATCH(AC$5,'Oxford Economics'!$A$6:$AZ$6,0),MATCH(AC$5&amp;"",'Oxford Economics'!$A$6:$AZ$6,0))),'Oxford Economics'!$A$7:$A$1000,$C69,'Oxford Economics'!$B$7:$B$1000,Settings!$B$18)))),""))</f>
        <v>22898.49</v>
      </c>
      <c r="AD69" s="38" t="n">
        <f aca="false">IF($A69="","",IFERROR(1/(1/IF($B69="Residential",SUMIFS(INDEX('Oxford Economics'!$A$7:$AZ$1000,0,IFERROR(MATCH(AD$5,'Oxford Economics'!$A$6:$AZ$6,0),MATCH(AD$5&amp;"",'Oxford Economics'!$A$6:$AZ$6,0))),'Oxford Economics'!$A$7:$A$1000,$C69,'Oxford Economics'!$B$7:$B$1000,Settings!$B$12)-SUMIFS(INDEX('Oxford Economics'!$A$7:$AZ$1000,0,IFERROR(MATCH(AD$5,'Oxford Economics'!$A$6:$AZ$6,0),MATCH(AD$5&amp;"",'Oxford Economics'!$A$6:$AZ$6,0))),'Oxford Economics'!$A$7:$A$1000,$C69,'Oxford Economics'!$B$7:$B$1000,Settings!$B$14),SUMIFS(INDEX('Oxford Economics'!$A$7:$AZ$1000,0,IFERROR(MATCH(AD$5,'Oxford Economics'!$A$6:$AZ$6,0),MATCH(AD$5&amp;"",'Oxford Economics'!$A$6:$AZ$6,0))),'Oxford Economics'!$A$7:$A$1000,$C69,'Oxford Economics'!$B$7:$B$1000,Settings!$B$14)+SUMIFS(INDEX('Oxford Economics'!$A$7:$AZ$1000,0,IFERROR(MATCH(AD$5,'Oxford Economics'!$A$6:$AZ$6,0),MATCH(AD$5&amp;"",'Oxford Economics'!$A$6:$AZ$6,0))),'Oxford Economics'!$A$7:$A$1000,$C69,'Oxford Economics'!$B$7:$B$1000,Settings!$B$16)+IF(Settings!$B$18="",0,SUMIFS(INDEX('Oxford Economics'!$A$7:$AZ$1000,0,IFERROR(MATCH(AD$5,'Oxford Economics'!$A$6:$AZ$6,0),MATCH(AD$5&amp;"",'Oxford Economics'!$A$6:$AZ$6,0))),'Oxford Economics'!$A$7:$A$1000,$C69,'Oxford Economics'!$B$7:$B$1000,Settings!$B$18)))),""))</f>
        <v>21890.47</v>
      </c>
      <c r="AE69" s="38" t="n">
        <f aca="false">IF($A69="","",IFERROR(1/(1/IF($B69="Residential",SUMIFS(INDEX('Oxford Economics'!$A$7:$AZ$1000,0,IFERROR(MATCH(AE$5,'Oxford Economics'!$A$6:$AZ$6,0),MATCH(AE$5&amp;"",'Oxford Economics'!$A$6:$AZ$6,0))),'Oxford Economics'!$A$7:$A$1000,$C69,'Oxford Economics'!$B$7:$B$1000,Settings!$B$12)-SUMIFS(INDEX('Oxford Economics'!$A$7:$AZ$1000,0,IFERROR(MATCH(AE$5,'Oxford Economics'!$A$6:$AZ$6,0),MATCH(AE$5&amp;"",'Oxford Economics'!$A$6:$AZ$6,0))),'Oxford Economics'!$A$7:$A$1000,$C69,'Oxford Economics'!$B$7:$B$1000,Settings!$B$14),SUMIFS(INDEX('Oxford Economics'!$A$7:$AZ$1000,0,IFERROR(MATCH(AE$5,'Oxford Economics'!$A$6:$AZ$6,0),MATCH(AE$5&amp;"",'Oxford Economics'!$A$6:$AZ$6,0))),'Oxford Economics'!$A$7:$A$1000,$C69,'Oxford Economics'!$B$7:$B$1000,Settings!$B$14)+SUMIFS(INDEX('Oxford Economics'!$A$7:$AZ$1000,0,IFERROR(MATCH(AE$5,'Oxford Economics'!$A$6:$AZ$6,0),MATCH(AE$5&amp;"",'Oxford Economics'!$A$6:$AZ$6,0))),'Oxford Economics'!$A$7:$A$1000,$C69,'Oxford Economics'!$B$7:$B$1000,Settings!$B$16)+IF(Settings!$B$18="",0,SUMIFS(INDEX('Oxford Economics'!$A$7:$AZ$1000,0,IFERROR(MATCH(AE$5,'Oxford Economics'!$A$6:$AZ$6,0),MATCH(AE$5&amp;"",'Oxford Economics'!$A$6:$AZ$6,0))),'Oxford Economics'!$A$7:$A$1000,$C69,'Oxford Economics'!$B$7:$B$1000,Settings!$B$18)))),""))</f>
        <v>21265.75</v>
      </c>
      <c r="AF69" s="38" t="n">
        <f aca="false">IF($A69="","",IFERROR(1/(1/IF($B69="Residential",SUMIFS(INDEX('Oxford Economics'!$A$7:$AZ$1000,0,IFERROR(MATCH(AF$5,'Oxford Economics'!$A$6:$AZ$6,0),MATCH(AF$5&amp;"",'Oxford Economics'!$A$6:$AZ$6,0))),'Oxford Economics'!$A$7:$A$1000,$C69,'Oxford Economics'!$B$7:$B$1000,Settings!$B$12)-SUMIFS(INDEX('Oxford Economics'!$A$7:$AZ$1000,0,IFERROR(MATCH(AF$5,'Oxford Economics'!$A$6:$AZ$6,0),MATCH(AF$5&amp;"",'Oxford Economics'!$A$6:$AZ$6,0))),'Oxford Economics'!$A$7:$A$1000,$C69,'Oxford Economics'!$B$7:$B$1000,Settings!$B$14),SUMIFS(INDEX('Oxford Economics'!$A$7:$AZ$1000,0,IFERROR(MATCH(AF$5,'Oxford Economics'!$A$6:$AZ$6,0),MATCH(AF$5&amp;"",'Oxford Economics'!$A$6:$AZ$6,0))),'Oxford Economics'!$A$7:$A$1000,$C69,'Oxford Economics'!$B$7:$B$1000,Settings!$B$14)+SUMIFS(INDEX('Oxford Economics'!$A$7:$AZ$1000,0,IFERROR(MATCH(AF$5,'Oxford Economics'!$A$6:$AZ$6,0),MATCH(AF$5&amp;"",'Oxford Economics'!$A$6:$AZ$6,0))),'Oxford Economics'!$A$7:$A$1000,$C69,'Oxford Economics'!$B$7:$B$1000,Settings!$B$16)+IF(Settings!$B$18="",0,SUMIFS(INDEX('Oxford Economics'!$A$7:$AZ$1000,0,IFERROR(MATCH(AF$5,'Oxford Economics'!$A$6:$AZ$6,0),MATCH(AF$5&amp;"",'Oxford Economics'!$A$6:$AZ$6,0))),'Oxford Economics'!$A$7:$A$1000,$C69,'Oxford Economics'!$B$7:$B$1000,Settings!$B$18)))),""))</f>
        <v>21014.39</v>
      </c>
      <c r="AG69" s="38" t="n">
        <f aca="false">IF($A69="","",IFERROR(1/(1/IF($B69="Residential",SUMIFS(INDEX('Oxford Economics'!$A$7:$AZ$1000,0,IFERROR(MATCH(AG$5,'Oxford Economics'!$A$6:$AZ$6,0),MATCH(AG$5&amp;"",'Oxford Economics'!$A$6:$AZ$6,0))),'Oxford Economics'!$A$7:$A$1000,$C69,'Oxford Economics'!$B$7:$B$1000,Settings!$B$12)-SUMIFS(INDEX('Oxford Economics'!$A$7:$AZ$1000,0,IFERROR(MATCH(AG$5,'Oxford Economics'!$A$6:$AZ$6,0),MATCH(AG$5&amp;"",'Oxford Economics'!$A$6:$AZ$6,0))),'Oxford Economics'!$A$7:$A$1000,$C69,'Oxford Economics'!$B$7:$B$1000,Settings!$B$14),SUMIFS(INDEX('Oxford Economics'!$A$7:$AZ$1000,0,IFERROR(MATCH(AG$5,'Oxford Economics'!$A$6:$AZ$6,0),MATCH(AG$5&amp;"",'Oxford Economics'!$A$6:$AZ$6,0))),'Oxford Economics'!$A$7:$A$1000,$C69,'Oxford Economics'!$B$7:$B$1000,Settings!$B$14)+SUMIFS(INDEX('Oxford Economics'!$A$7:$AZ$1000,0,IFERROR(MATCH(AG$5,'Oxford Economics'!$A$6:$AZ$6,0),MATCH(AG$5&amp;"",'Oxford Economics'!$A$6:$AZ$6,0))),'Oxford Economics'!$A$7:$A$1000,$C69,'Oxford Economics'!$B$7:$B$1000,Settings!$B$16)+IF(Settings!$B$18="",0,SUMIFS(INDEX('Oxford Economics'!$A$7:$AZ$1000,0,IFERROR(MATCH(AG$5,'Oxford Economics'!$A$6:$AZ$6,0),MATCH(AG$5&amp;"",'Oxford Economics'!$A$6:$AZ$6,0))),'Oxford Economics'!$A$7:$A$1000,$C69,'Oxford Economics'!$B$7:$B$1000,Settings!$B$18)))),""))</f>
        <v>21937.89</v>
      </c>
      <c r="AH69" s="38" t="n">
        <f aca="false">IF($A69="","",IFERROR(1/(1/IF($B69="Residential",SUMIFS(INDEX('Oxford Economics'!$A$7:$AZ$1000,0,IFERROR(MATCH(AH$5,'Oxford Economics'!$A$6:$AZ$6,0),MATCH(AH$5&amp;"",'Oxford Economics'!$A$6:$AZ$6,0))),'Oxford Economics'!$A$7:$A$1000,$C69,'Oxford Economics'!$B$7:$B$1000,Settings!$B$12)-SUMIFS(INDEX('Oxford Economics'!$A$7:$AZ$1000,0,IFERROR(MATCH(AH$5,'Oxford Economics'!$A$6:$AZ$6,0),MATCH(AH$5&amp;"",'Oxford Economics'!$A$6:$AZ$6,0))),'Oxford Economics'!$A$7:$A$1000,$C69,'Oxford Economics'!$B$7:$B$1000,Settings!$B$14),SUMIFS(INDEX('Oxford Economics'!$A$7:$AZ$1000,0,IFERROR(MATCH(AH$5,'Oxford Economics'!$A$6:$AZ$6,0),MATCH(AH$5&amp;"",'Oxford Economics'!$A$6:$AZ$6,0))),'Oxford Economics'!$A$7:$A$1000,$C69,'Oxford Economics'!$B$7:$B$1000,Settings!$B$14)+SUMIFS(INDEX('Oxford Economics'!$A$7:$AZ$1000,0,IFERROR(MATCH(AH$5,'Oxford Economics'!$A$6:$AZ$6,0),MATCH(AH$5&amp;"",'Oxford Economics'!$A$6:$AZ$6,0))),'Oxford Economics'!$A$7:$A$1000,$C69,'Oxford Economics'!$B$7:$B$1000,Settings!$B$16)+IF(Settings!$B$18="",0,SUMIFS(INDEX('Oxford Economics'!$A$7:$AZ$1000,0,IFERROR(MATCH(AH$5,'Oxford Economics'!$A$6:$AZ$6,0),MATCH(AH$5&amp;"",'Oxford Economics'!$A$6:$AZ$6,0))),'Oxford Economics'!$A$7:$A$1000,$C69,'Oxford Economics'!$B$7:$B$1000,Settings!$B$18)))),""))</f>
        <v>22946.99</v>
      </c>
      <c r="AI69" s="38" t="n">
        <f aca="false">IF($A69="","",IFERROR(1/(1/IF($B69="Residential",SUMIFS(INDEX('Oxford Economics'!$A$7:$AZ$1000,0,IFERROR(MATCH(AI$5,'Oxford Economics'!$A$6:$AZ$6,0),MATCH(AI$5&amp;"",'Oxford Economics'!$A$6:$AZ$6,0))),'Oxford Economics'!$A$7:$A$1000,$C69,'Oxford Economics'!$B$7:$B$1000,Settings!$B$12)-SUMIFS(INDEX('Oxford Economics'!$A$7:$AZ$1000,0,IFERROR(MATCH(AI$5,'Oxford Economics'!$A$6:$AZ$6,0),MATCH(AI$5&amp;"",'Oxford Economics'!$A$6:$AZ$6,0))),'Oxford Economics'!$A$7:$A$1000,$C69,'Oxford Economics'!$B$7:$B$1000,Settings!$B$14),SUMIFS(INDEX('Oxford Economics'!$A$7:$AZ$1000,0,IFERROR(MATCH(AI$5,'Oxford Economics'!$A$6:$AZ$6,0),MATCH(AI$5&amp;"",'Oxford Economics'!$A$6:$AZ$6,0))),'Oxford Economics'!$A$7:$A$1000,$C69,'Oxford Economics'!$B$7:$B$1000,Settings!$B$14)+SUMIFS(INDEX('Oxford Economics'!$A$7:$AZ$1000,0,IFERROR(MATCH(AI$5,'Oxford Economics'!$A$6:$AZ$6,0),MATCH(AI$5&amp;"",'Oxford Economics'!$A$6:$AZ$6,0))),'Oxford Economics'!$A$7:$A$1000,$C69,'Oxford Economics'!$B$7:$B$1000,Settings!$B$16)+IF(Settings!$B$18="",0,SUMIFS(INDEX('Oxford Economics'!$A$7:$AZ$1000,0,IFERROR(MATCH(AI$5,'Oxford Economics'!$A$6:$AZ$6,0),MATCH(AI$5&amp;"",'Oxford Economics'!$A$6:$AZ$6,0))),'Oxford Economics'!$A$7:$A$1000,$C69,'Oxford Economics'!$B$7:$B$1000,Settings!$B$18)))),""))</f>
        <v>24110.67</v>
      </c>
      <c r="AJ69" s="38" t="n">
        <f aca="false">IF($A69="","",IFERROR(1/(1/IF($B69="Residential",SUMIFS(INDEX('Oxford Economics'!$A$7:$AZ$1000,0,IFERROR(MATCH(AJ$5,'Oxford Economics'!$A$6:$AZ$6,0),MATCH(AJ$5&amp;"",'Oxford Economics'!$A$6:$AZ$6,0))),'Oxford Economics'!$A$7:$A$1000,$C69,'Oxford Economics'!$B$7:$B$1000,Settings!$B$12)-SUMIFS(INDEX('Oxford Economics'!$A$7:$AZ$1000,0,IFERROR(MATCH(AJ$5,'Oxford Economics'!$A$6:$AZ$6,0),MATCH(AJ$5&amp;"",'Oxford Economics'!$A$6:$AZ$6,0))),'Oxford Economics'!$A$7:$A$1000,$C69,'Oxford Economics'!$B$7:$B$1000,Settings!$B$14),SUMIFS(INDEX('Oxford Economics'!$A$7:$AZ$1000,0,IFERROR(MATCH(AJ$5,'Oxford Economics'!$A$6:$AZ$6,0),MATCH(AJ$5&amp;"",'Oxford Economics'!$A$6:$AZ$6,0))),'Oxford Economics'!$A$7:$A$1000,$C69,'Oxford Economics'!$B$7:$B$1000,Settings!$B$14)+SUMIFS(INDEX('Oxford Economics'!$A$7:$AZ$1000,0,IFERROR(MATCH(AJ$5,'Oxford Economics'!$A$6:$AZ$6,0),MATCH(AJ$5&amp;"",'Oxford Economics'!$A$6:$AZ$6,0))),'Oxford Economics'!$A$7:$A$1000,$C69,'Oxford Economics'!$B$7:$B$1000,Settings!$B$16)+IF(Settings!$B$18="",0,SUMIFS(INDEX('Oxford Economics'!$A$7:$AZ$1000,0,IFERROR(MATCH(AJ$5,'Oxford Economics'!$A$6:$AZ$6,0),MATCH(AJ$5&amp;"",'Oxford Economics'!$A$6:$AZ$6,0))),'Oxford Economics'!$A$7:$A$1000,$C69,'Oxford Economics'!$B$7:$B$1000,Settings!$B$18)))),""))</f>
        <v>25461.56</v>
      </c>
      <c r="AK69" s="38" t="n">
        <f aca="false">IF($A69="","",IFERROR(1/(1/IF($B69="Residential",SUMIFS(INDEX('Oxford Economics'!$A$7:$AZ$1000,0,IFERROR(MATCH(AK$5,'Oxford Economics'!$A$6:$AZ$6,0),MATCH(AK$5&amp;"",'Oxford Economics'!$A$6:$AZ$6,0))),'Oxford Economics'!$A$7:$A$1000,$C69,'Oxford Economics'!$B$7:$B$1000,Settings!$B$12)-SUMIFS(INDEX('Oxford Economics'!$A$7:$AZ$1000,0,IFERROR(MATCH(AK$5,'Oxford Economics'!$A$6:$AZ$6,0),MATCH(AK$5&amp;"",'Oxford Economics'!$A$6:$AZ$6,0))),'Oxford Economics'!$A$7:$A$1000,$C69,'Oxford Economics'!$B$7:$B$1000,Settings!$B$14),SUMIFS(INDEX('Oxford Economics'!$A$7:$AZ$1000,0,IFERROR(MATCH(AK$5,'Oxford Economics'!$A$6:$AZ$6,0),MATCH(AK$5&amp;"",'Oxford Economics'!$A$6:$AZ$6,0))),'Oxford Economics'!$A$7:$A$1000,$C69,'Oxford Economics'!$B$7:$B$1000,Settings!$B$14)+SUMIFS(INDEX('Oxford Economics'!$A$7:$AZ$1000,0,IFERROR(MATCH(AK$5,'Oxford Economics'!$A$6:$AZ$6,0),MATCH(AK$5&amp;"",'Oxford Economics'!$A$6:$AZ$6,0))),'Oxford Economics'!$A$7:$A$1000,$C69,'Oxford Economics'!$B$7:$B$1000,Settings!$B$16)+IF(Settings!$B$18="",0,SUMIFS(INDEX('Oxford Economics'!$A$7:$AZ$1000,0,IFERROR(MATCH(AK$5,'Oxford Economics'!$A$6:$AZ$6,0),MATCH(AK$5&amp;"",'Oxford Economics'!$A$6:$AZ$6,0))),'Oxford Economics'!$A$7:$A$1000,$C69,'Oxford Economics'!$B$7:$B$1000,Settings!$B$18)))),""))</f>
        <v>26186</v>
      </c>
      <c r="AL69" s="38" t="n">
        <f aca="false">IF($A69="","",IFERROR(1/(1/IF($B69="Residential",SUMIFS(INDEX('Oxford Economics'!$A$7:$AZ$1000,0,IFERROR(MATCH(AL$5,'Oxford Economics'!$A$6:$AZ$6,0),MATCH(AL$5&amp;"",'Oxford Economics'!$A$6:$AZ$6,0))),'Oxford Economics'!$A$7:$A$1000,$C69,'Oxford Economics'!$B$7:$B$1000,Settings!$B$12)-SUMIFS(INDEX('Oxford Economics'!$A$7:$AZ$1000,0,IFERROR(MATCH(AL$5,'Oxford Economics'!$A$6:$AZ$6,0),MATCH(AL$5&amp;"",'Oxford Economics'!$A$6:$AZ$6,0))),'Oxford Economics'!$A$7:$A$1000,$C69,'Oxford Economics'!$B$7:$B$1000,Settings!$B$14),SUMIFS(INDEX('Oxford Economics'!$A$7:$AZ$1000,0,IFERROR(MATCH(AL$5,'Oxford Economics'!$A$6:$AZ$6,0),MATCH(AL$5&amp;"",'Oxford Economics'!$A$6:$AZ$6,0))),'Oxford Economics'!$A$7:$A$1000,$C69,'Oxford Economics'!$B$7:$B$1000,Settings!$B$14)+SUMIFS(INDEX('Oxford Economics'!$A$7:$AZ$1000,0,IFERROR(MATCH(AL$5,'Oxford Economics'!$A$6:$AZ$6,0),MATCH(AL$5&amp;"",'Oxford Economics'!$A$6:$AZ$6,0))),'Oxford Economics'!$A$7:$A$1000,$C69,'Oxford Economics'!$B$7:$B$1000,Settings!$B$16)+IF(Settings!$B$18="",0,SUMIFS(INDEX('Oxford Economics'!$A$7:$AZ$1000,0,IFERROR(MATCH(AL$5,'Oxford Economics'!$A$6:$AZ$6,0),MATCH(AL$5&amp;"",'Oxford Economics'!$A$6:$AZ$6,0))),'Oxford Economics'!$A$7:$A$1000,$C69,'Oxford Economics'!$B$7:$B$1000,Settings!$B$18)))),""))</f>
        <v>26772.33</v>
      </c>
      <c r="AM69" s="38" t="n">
        <f aca="false">IF($A69="","",IFERROR(1/(1/IF($B69="Residential",SUMIFS(INDEX('Oxford Economics'!$A$7:$AZ$1000,0,IFERROR(MATCH(AM$5,'Oxford Economics'!$A$6:$AZ$6,0),MATCH(AM$5&amp;"",'Oxford Economics'!$A$6:$AZ$6,0))),'Oxford Economics'!$A$7:$A$1000,$C69,'Oxford Economics'!$B$7:$B$1000,Settings!$B$12)-SUMIFS(INDEX('Oxford Economics'!$A$7:$AZ$1000,0,IFERROR(MATCH(AM$5,'Oxford Economics'!$A$6:$AZ$6,0),MATCH(AM$5&amp;"",'Oxford Economics'!$A$6:$AZ$6,0))),'Oxford Economics'!$A$7:$A$1000,$C69,'Oxford Economics'!$B$7:$B$1000,Settings!$B$14),SUMIFS(INDEX('Oxford Economics'!$A$7:$AZ$1000,0,IFERROR(MATCH(AM$5,'Oxford Economics'!$A$6:$AZ$6,0),MATCH(AM$5&amp;"",'Oxford Economics'!$A$6:$AZ$6,0))),'Oxford Economics'!$A$7:$A$1000,$C69,'Oxford Economics'!$B$7:$B$1000,Settings!$B$14)+SUMIFS(INDEX('Oxford Economics'!$A$7:$AZ$1000,0,IFERROR(MATCH(AM$5,'Oxford Economics'!$A$6:$AZ$6,0),MATCH(AM$5&amp;"",'Oxford Economics'!$A$6:$AZ$6,0))),'Oxford Economics'!$A$7:$A$1000,$C69,'Oxford Economics'!$B$7:$B$1000,Settings!$B$16)+IF(Settings!$B$18="",0,SUMIFS(INDEX('Oxford Economics'!$A$7:$AZ$1000,0,IFERROR(MATCH(AM$5,'Oxford Economics'!$A$6:$AZ$6,0),MATCH(AM$5&amp;"",'Oxford Economics'!$A$6:$AZ$6,0))),'Oxford Economics'!$A$7:$A$1000,$C69,'Oxford Economics'!$B$7:$B$1000,Settings!$B$18)))),""))</f>
        <v>27633.52</v>
      </c>
    </row>
    <row r="70" customFormat="false" ht="15" hidden="false" customHeight="false" outlineLevel="0" collapsed="false">
      <c r="A70" s="37" t="str">
        <f aca="false">IF('Raw data'!$A70="","",'Raw data'!$A70)</f>
        <v>Switzerland</v>
      </c>
      <c r="B70" s="37" t="str">
        <f aca="false">IF($A70="","",'Raw data'!$C70)</f>
        <v>Commercial</v>
      </c>
      <c r="C70" s="37" t="str">
        <f aca="false">IF($A70="","",IF('Raw data'!$E70="",$A70,'Raw data'!$E70))</f>
        <v>Switzerland</v>
      </c>
      <c r="D70" s="38" t="n">
        <f aca="false">IF($A70="","",IF(AND(ISNUMBER(P70),ISNUMBER(AB70)),P70+AB70,""))</f>
        <v>33945.3</v>
      </c>
      <c r="E70" s="38" t="n">
        <f aca="false">IF($A70="","",IF(AND(ISNUMBER(Q70),ISNUMBER(AC70)),Q70+AC70,""))</f>
        <v>34578.91</v>
      </c>
      <c r="F70" s="38" t="n">
        <f aca="false">IF($A70="","",IF(AND(ISNUMBER(R70),ISNUMBER(AD70)),R70+AD70,""))</f>
        <v>33818.55</v>
      </c>
      <c r="G70" s="38" t="n">
        <f aca="false">IF($A70="","",IF(AND(ISNUMBER(S70),ISNUMBER(AE70)),S70+AE70,""))</f>
        <v>33090.05</v>
      </c>
      <c r="H70" s="38" t="n">
        <f aca="false">IF($A70="","",IF(AND(ISNUMBER(T70),ISNUMBER(AF70)),T70+AF70,""))</f>
        <v>32827.01</v>
      </c>
      <c r="I70" s="38" t="n">
        <f aca="false">IF($A70="","",IF(AND(ISNUMBER(U70),ISNUMBER(AG70)),U70+AG70,""))</f>
        <v>33602.22</v>
      </c>
      <c r="J70" s="38" t="n">
        <f aca="false">IF($A70="","",IF(AND(ISNUMBER(V70),ISNUMBER(AH70)),V70+AH70,""))</f>
        <v>34354.69</v>
      </c>
      <c r="K70" s="38" t="n">
        <f aca="false">IF($A70="","",IF(AND(ISNUMBER(W70),ISNUMBER(AI70)),W70+AI70,""))</f>
        <v>35563.44</v>
      </c>
      <c r="L70" s="38" t="n">
        <f aca="false">IF($A70="","",IF(AND(ISNUMBER(X70),ISNUMBER(AJ70)),X70+AJ70,""))</f>
        <v>37110.55</v>
      </c>
      <c r="M70" s="38" t="n">
        <f aca="false">IF($A70="","",IF(AND(ISNUMBER(Y70),ISNUMBER(AK70)),Y70+AK70,""))</f>
        <v>37920.78</v>
      </c>
      <c r="N70" s="38" t="n">
        <f aca="false">IF($A70="","",IF(AND(ISNUMBER(Z70),ISNUMBER(AL70)),Z70+AL70,""))</f>
        <v>38564.81</v>
      </c>
      <c r="O70" s="38" t="n">
        <f aca="false">IF($A70="","",IF(AND(ISNUMBER(AA70),ISNUMBER(AM70)),AA70+AM70,""))</f>
        <v>39576.14</v>
      </c>
      <c r="P70" s="38" t="n">
        <f aca="false">IF($A70="","",IFERROR(1/(1/IF($B70="Residential",SUMIFS(INDEX('Oxford Economics'!$A$7:$AZ$1000,0,IFERROR(MATCH(P$5,'Oxford Economics'!$A$6:$AZ$6,0),MATCH(P$5&amp;"",'Oxford Economics'!$A$6:$AZ$6,0))),'Oxford Economics'!$A$7:$A$1000,$C70,'Oxford Economics'!$B$7:$B$1000,Settings!$B$13)-SUMIFS(INDEX('Oxford Economics'!$A$7:$AZ$1000,0,IFERROR(MATCH(P$5,'Oxford Economics'!$A$6:$AZ$6,0),MATCH(P$5&amp;"",'Oxford Economics'!$A$6:$AZ$6,0))),'Oxford Economics'!$A$7:$A$1000,$C70,'Oxford Economics'!$B$7:$B$1000,Settings!$B$15),SUMIFS(INDEX('Oxford Economics'!$A$7:$AZ$1000,0,IFERROR(MATCH(P$5,'Oxford Economics'!$A$6:$AZ$6,0),MATCH(P$5&amp;"",'Oxford Economics'!$A$6:$AZ$6,0))),'Oxford Economics'!$A$7:$A$1000,$C70,'Oxford Economics'!$B$7:$B$1000,Settings!$B$15)+SUMIFS(INDEX('Oxford Economics'!$A$7:$AZ$1000,0,IFERROR(MATCH(P$5,'Oxford Economics'!$A$6:$AZ$6,0),MATCH(P$5&amp;"",'Oxford Economics'!$A$6:$AZ$6,0))),'Oxford Economics'!$A$7:$A$1000,$C70,'Oxford Economics'!$B$7:$B$1000,Settings!$B$17)+IF(Settings!$B$19="",0,SUMIFS(INDEX('Oxford Economics'!$A$7:$AZ$1000,0,IFERROR(MATCH(P$5,'Oxford Economics'!$A$6:$AZ$6,0),MATCH(P$5&amp;"",'Oxford Economics'!$A$6:$AZ$6,0))),'Oxford Economics'!$A$7:$A$1000,$C70,'Oxford Economics'!$B$7:$B$1000,Settings!$B$19)))),""))</f>
        <v>10898.99</v>
      </c>
      <c r="Q70" s="38" t="n">
        <f aca="false">IF($A70="","",IFERROR(1/(1/IF($B70="Residential",SUMIFS(INDEX('Oxford Economics'!$A$7:$AZ$1000,0,IFERROR(MATCH(Q$5,'Oxford Economics'!$A$6:$AZ$6,0),MATCH(Q$5&amp;"",'Oxford Economics'!$A$6:$AZ$6,0))),'Oxford Economics'!$A$7:$A$1000,$C70,'Oxford Economics'!$B$7:$B$1000,Settings!$B$13)-SUMIFS(INDEX('Oxford Economics'!$A$7:$AZ$1000,0,IFERROR(MATCH(Q$5,'Oxford Economics'!$A$6:$AZ$6,0),MATCH(Q$5&amp;"",'Oxford Economics'!$A$6:$AZ$6,0))),'Oxford Economics'!$A$7:$A$1000,$C70,'Oxford Economics'!$B$7:$B$1000,Settings!$B$15),SUMIFS(INDEX('Oxford Economics'!$A$7:$AZ$1000,0,IFERROR(MATCH(Q$5,'Oxford Economics'!$A$6:$AZ$6,0),MATCH(Q$5&amp;"",'Oxford Economics'!$A$6:$AZ$6,0))),'Oxford Economics'!$A$7:$A$1000,$C70,'Oxford Economics'!$B$7:$B$1000,Settings!$B$15)+SUMIFS(INDEX('Oxford Economics'!$A$7:$AZ$1000,0,IFERROR(MATCH(Q$5,'Oxford Economics'!$A$6:$AZ$6,0),MATCH(Q$5&amp;"",'Oxford Economics'!$A$6:$AZ$6,0))),'Oxford Economics'!$A$7:$A$1000,$C70,'Oxford Economics'!$B$7:$B$1000,Settings!$B$17)+IF(Settings!$B$19="",0,SUMIFS(INDEX('Oxford Economics'!$A$7:$AZ$1000,0,IFERROR(MATCH(Q$5,'Oxford Economics'!$A$6:$AZ$6,0),MATCH(Q$5&amp;"",'Oxford Economics'!$A$6:$AZ$6,0))),'Oxford Economics'!$A$7:$A$1000,$C70,'Oxford Economics'!$B$7:$B$1000,Settings!$B$19)))),""))</f>
        <v>11680.42</v>
      </c>
      <c r="R70" s="38" t="n">
        <f aca="false">IF($A70="","",IFERROR(1/(1/IF($B70="Residential",SUMIFS(INDEX('Oxford Economics'!$A$7:$AZ$1000,0,IFERROR(MATCH(R$5,'Oxford Economics'!$A$6:$AZ$6,0),MATCH(R$5&amp;"",'Oxford Economics'!$A$6:$AZ$6,0))),'Oxford Economics'!$A$7:$A$1000,$C70,'Oxford Economics'!$B$7:$B$1000,Settings!$B$13)-SUMIFS(INDEX('Oxford Economics'!$A$7:$AZ$1000,0,IFERROR(MATCH(R$5,'Oxford Economics'!$A$6:$AZ$6,0),MATCH(R$5&amp;"",'Oxford Economics'!$A$6:$AZ$6,0))),'Oxford Economics'!$A$7:$A$1000,$C70,'Oxford Economics'!$B$7:$B$1000,Settings!$B$15),SUMIFS(INDEX('Oxford Economics'!$A$7:$AZ$1000,0,IFERROR(MATCH(R$5,'Oxford Economics'!$A$6:$AZ$6,0),MATCH(R$5&amp;"",'Oxford Economics'!$A$6:$AZ$6,0))),'Oxford Economics'!$A$7:$A$1000,$C70,'Oxford Economics'!$B$7:$B$1000,Settings!$B$15)+SUMIFS(INDEX('Oxford Economics'!$A$7:$AZ$1000,0,IFERROR(MATCH(R$5,'Oxford Economics'!$A$6:$AZ$6,0),MATCH(R$5&amp;"",'Oxford Economics'!$A$6:$AZ$6,0))),'Oxford Economics'!$A$7:$A$1000,$C70,'Oxford Economics'!$B$7:$B$1000,Settings!$B$17)+IF(Settings!$B$19="",0,SUMIFS(INDEX('Oxford Economics'!$A$7:$AZ$1000,0,IFERROR(MATCH(R$5,'Oxford Economics'!$A$6:$AZ$6,0),MATCH(R$5&amp;"",'Oxford Economics'!$A$6:$AZ$6,0))),'Oxford Economics'!$A$7:$A$1000,$C70,'Oxford Economics'!$B$7:$B$1000,Settings!$B$19)))),""))</f>
        <v>11928.08</v>
      </c>
      <c r="S70" s="38" t="n">
        <f aca="false">IF($A70="","",IFERROR(1/(1/IF($B70="Residential",SUMIFS(INDEX('Oxford Economics'!$A$7:$AZ$1000,0,IFERROR(MATCH(S$5,'Oxford Economics'!$A$6:$AZ$6,0),MATCH(S$5&amp;"",'Oxford Economics'!$A$6:$AZ$6,0))),'Oxford Economics'!$A$7:$A$1000,$C70,'Oxford Economics'!$B$7:$B$1000,Settings!$B$13)-SUMIFS(INDEX('Oxford Economics'!$A$7:$AZ$1000,0,IFERROR(MATCH(S$5,'Oxford Economics'!$A$6:$AZ$6,0),MATCH(S$5&amp;"",'Oxford Economics'!$A$6:$AZ$6,0))),'Oxford Economics'!$A$7:$A$1000,$C70,'Oxford Economics'!$B$7:$B$1000,Settings!$B$15),SUMIFS(INDEX('Oxford Economics'!$A$7:$AZ$1000,0,IFERROR(MATCH(S$5,'Oxford Economics'!$A$6:$AZ$6,0),MATCH(S$5&amp;"",'Oxford Economics'!$A$6:$AZ$6,0))),'Oxford Economics'!$A$7:$A$1000,$C70,'Oxford Economics'!$B$7:$B$1000,Settings!$B$15)+SUMIFS(INDEX('Oxford Economics'!$A$7:$AZ$1000,0,IFERROR(MATCH(S$5,'Oxford Economics'!$A$6:$AZ$6,0),MATCH(S$5&amp;"",'Oxford Economics'!$A$6:$AZ$6,0))),'Oxford Economics'!$A$7:$A$1000,$C70,'Oxford Economics'!$B$7:$B$1000,Settings!$B$17)+IF(Settings!$B$19="",0,SUMIFS(INDEX('Oxford Economics'!$A$7:$AZ$1000,0,IFERROR(MATCH(S$5,'Oxford Economics'!$A$6:$AZ$6,0),MATCH(S$5&amp;"",'Oxford Economics'!$A$6:$AZ$6,0))),'Oxford Economics'!$A$7:$A$1000,$C70,'Oxford Economics'!$B$7:$B$1000,Settings!$B$19)))),""))</f>
        <v>11824.3</v>
      </c>
      <c r="T70" s="38" t="n">
        <f aca="false">IF($A70="","",IFERROR(1/(1/IF($B70="Residential",SUMIFS(INDEX('Oxford Economics'!$A$7:$AZ$1000,0,IFERROR(MATCH(T$5,'Oxford Economics'!$A$6:$AZ$6,0),MATCH(T$5&amp;"",'Oxford Economics'!$A$6:$AZ$6,0))),'Oxford Economics'!$A$7:$A$1000,$C70,'Oxford Economics'!$B$7:$B$1000,Settings!$B$13)-SUMIFS(INDEX('Oxford Economics'!$A$7:$AZ$1000,0,IFERROR(MATCH(T$5,'Oxford Economics'!$A$6:$AZ$6,0),MATCH(T$5&amp;"",'Oxford Economics'!$A$6:$AZ$6,0))),'Oxford Economics'!$A$7:$A$1000,$C70,'Oxford Economics'!$B$7:$B$1000,Settings!$B$15),SUMIFS(INDEX('Oxford Economics'!$A$7:$AZ$1000,0,IFERROR(MATCH(T$5,'Oxford Economics'!$A$6:$AZ$6,0),MATCH(T$5&amp;"",'Oxford Economics'!$A$6:$AZ$6,0))),'Oxford Economics'!$A$7:$A$1000,$C70,'Oxford Economics'!$B$7:$B$1000,Settings!$B$15)+SUMIFS(INDEX('Oxford Economics'!$A$7:$AZ$1000,0,IFERROR(MATCH(T$5,'Oxford Economics'!$A$6:$AZ$6,0),MATCH(T$5&amp;"",'Oxford Economics'!$A$6:$AZ$6,0))),'Oxford Economics'!$A$7:$A$1000,$C70,'Oxford Economics'!$B$7:$B$1000,Settings!$B$17)+IF(Settings!$B$19="",0,SUMIFS(INDEX('Oxford Economics'!$A$7:$AZ$1000,0,IFERROR(MATCH(T$5,'Oxford Economics'!$A$6:$AZ$6,0),MATCH(T$5&amp;"",'Oxford Economics'!$A$6:$AZ$6,0))),'Oxford Economics'!$A$7:$A$1000,$C70,'Oxford Economics'!$B$7:$B$1000,Settings!$B$19)))),""))</f>
        <v>11812.62</v>
      </c>
      <c r="U70" s="38" t="n">
        <f aca="false">IF($A70="","",IFERROR(1/(1/IF($B70="Residential",SUMIFS(INDEX('Oxford Economics'!$A$7:$AZ$1000,0,IFERROR(MATCH(U$5,'Oxford Economics'!$A$6:$AZ$6,0),MATCH(U$5&amp;"",'Oxford Economics'!$A$6:$AZ$6,0))),'Oxford Economics'!$A$7:$A$1000,$C70,'Oxford Economics'!$B$7:$B$1000,Settings!$B$13)-SUMIFS(INDEX('Oxford Economics'!$A$7:$AZ$1000,0,IFERROR(MATCH(U$5,'Oxford Economics'!$A$6:$AZ$6,0),MATCH(U$5&amp;"",'Oxford Economics'!$A$6:$AZ$6,0))),'Oxford Economics'!$A$7:$A$1000,$C70,'Oxford Economics'!$B$7:$B$1000,Settings!$B$15),SUMIFS(INDEX('Oxford Economics'!$A$7:$AZ$1000,0,IFERROR(MATCH(U$5,'Oxford Economics'!$A$6:$AZ$6,0),MATCH(U$5&amp;"",'Oxford Economics'!$A$6:$AZ$6,0))),'Oxford Economics'!$A$7:$A$1000,$C70,'Oxford Economics'!$B$7:$B$1000,Settings!$B$15)+SUMIFS(INDEX('Oxford Economics'!$A$7:$AZ$1000,0,IFERROR(MATCH(U$5,'Oxford Economics'!$A$6:$AZ$6,0),MATCH(U$5&amp;"",'Oxford Economics'!$A$6:$AZ$6,0))),'Oxford Economics'!$A$7:$A$1000,$C70,'Oxford Economics'!$B$7:$B$1000,Settings!$B$17)+IF(Settings!$B$19="",0,SUMIFS(INDEX('Oxford Economics'!$A$7:$AZ$1000,0,IFERROR(MATCH(U$5,'Oxford Economics'!$A$6:$AZ$6,0),MATCH(U$5&amp;"",'Oxford Economics'!$A$6:$AZ$6,0))),'Oxford Economics'!$A$7:$A$1000,$C70,'Oxford Economics'!$B$7:$B$1000,Settings!$B$19)))),""))</f>
        <v>11664.33</v>
      </c>
      <c r="V70" s="38" t="n">
        <f aca="false">IF($A70="","",IFERROR(1/(1/IF($B70="Residential",SUMIFS(INDEX('Oxford Economics'!$A$7:$AZ$1000,0,IFERROR(MATCH(V$5,'Oxford Economics'!$A$6:$AZ$6,0),MATCH(V$5&amp;"",'Oxford Economics'!$A$6:$AZ$6,0))),'Oxford Economics'!$A$7:$A$1000,$C70,'Oxford Economics'!$B$7:$B$1000,Settings!$B$13)-SUMIFS(INDEX('Oxford Economics'!$A$7:$AZ$1000,0,IFERROR(MATCH(V$5,'Oxford Economics'!$A$6:$AZ$6,0),MATCH(V$5&amp;"",'Oxford Economics'!$A$6:$AZ$6,0))),'Oxford Economics'!$A$7:$A$1000,$C70,'Oxford Economics'!$B$7:$B$1000,Settings!$B$15),SUMIFS(INDEX('Oxford Economics'!$A$7:$AZ$1000,0,IFERROR(MATCH(V$5,'Oxford Economics'!$A$6:$AZ$6,0),MATCH(V$5&amp;"",'Oxford Economics'!$A$6:$AZ$6,0))),'Oxford Economics'!$A$7:$A$1000,$C70,'Oxford Economics'!$B$7:$B$1000,Settings!$B$15)+SUMIFS(INDEX('Oxford Economics'!$A$7:$AZ$1000,0,IFERROR(MATCH(V$5,'Oxford Economics'!$A$6:$AZ$6,0),MATCH(V$5&amp;"",'Oxford Economics'!$A$6:$AZ$6,0))),'Oxford Economics'!$A$7:$A$1000,$C70,'Oxford Economics'!$B$7:$B$1000,Settings!$B$17)+IF(Settings!$B$19="",0,SUMIFS(INDEX('Oxford Economics'!$A$7:$AZ$1000,0,IFERROR(MATCH(V$5,'Oxford Economics'!$A$6:$AZ$6,0),MATCH(V$5&amp;"",'Oxford Economics'!$A$6:$AZ$6,0))),'Oxford Economics'!$A$7:$A$1000,$C70,'Oxford Economics'!$B$7:$B$1000,Settings!$B$19)))),""))</f>
        <v>11407.7</v>
      </c>
      <c r="W70" s="38" t="n">
        <f aca="false">IF($A70="","",IFERROR(1/(1/IF($B70="Residential",SUMIFS(INDEX('Oxford Economics'!$A$7:$AZ$1000,0,IFERROR(MATCH(W$5,'Oxford Economics'!$A$6:$AZ$6,0),MATCH(W$5&amp;"",'Oxford Economics'!$A$6:$AZ$6,0))),'Oxford Economics'!$A$7:$A$1000,$C70,'Oxford Economics'!$B$7:$B$1000,Settings!$B$13)-SUMIFS(INDEX('Oxford Economics'!$A$7:$AZ$1000,0,IFERROR(MATCH(W$5,'Oxford Economics'!$A$6:$AZ$6,0),MATCH(W$5&amp;"",'Oxford Economics'!$A$6:$AZ$6,0))),'Oxford Economics'!$A$7:$A$1000,$C70,'Oxford Economics'!$B$7:$B$1000,Settings!$B$15),SUMIFS(INDEX('Oxford Economics'!$A$7:$AZ$1000,0,IFERROR(MATCH(W$5,'Oxford Economics'!$A$6:$AZ$6,0),MATCH(W$5&amp;"",'Oxford Economics'!$A$6:$AZ$6,0))),'Oxford Economics'!$A$7:$A$1000,$C70,'Oxford Economics'!$B$7:$B$1000,Settings!$B$15)+SUMIFS(INDEX('Oxford Economics'!$A$7:$AZ$1000,0,IFERROR(MATCH(W$5,'Oxford Economics'!$A$6:$AZ$6,0),MATCH(W$5&amp;"",'Oxford Economics'!$A$6:$AZ$6,0))),'Oxford Economics'!$A$7:$A$1000,$C70,'Oxford Economics'!$B$7:$B$1000,Settings!$B$17)+IF(Settings!$B$19="",0,SUMIFS(INDEX('Oxford Economics'!$A$7:$AZ$1000,0,IFERROR(MATCH(W$5,'Oxford Economics'!$A$6:$AZ$6,0),MATCH(W$5&amp;"",'Oxford Economics'!$A$6:$AZ$6,0))),'Oxford Economics'!$A$7:$A$1000,$C70,'Oxford Economics'!$B$7:$B$1000,Settings!$B$19)))),""))</f>
        <v>11452.77</v>
      </c>
      <c r="X70" s="38" t="n">
        <f aca="false">IF($A70="","",IFERROR(1/(1/IF($B70="Residential",SUMIFS(INDEX('Oxford Economics'!$A$7:$AZ$1000,0,IFERROR(MATCH(X$5,'Oxford Economics'!$A$6:$AZ$6,0),MATCH(X$5&amp;"",'Oxford Economics'!$A$6:$AZ$6,0))),'Oxford Economics'!$A$7:$A$1000,$C70,'Oxford Economics'!$B$7:$B$1000,Settings!$B$13)-SUMIFS(INDEX('Oxford Economics'!$A$7:$AZ$1000,0,IFERROR(MATCH(X$5,'Oxford Economics'!$A$6:$AZ$6,0),MATCH(X$5&amp;"",'Oxford Economics'!$A$6:$AZ$6,0))),'Oxford Economics'!$A$7:$A$1000,$C70,'Oxford Economics'!$B$7:$B$1000,Settings!$B$15),SUMIFS(INDEX('Oxford Economics'!$A$7:$AZ$1000,0,IFERROR(MATCH(X$5,'Oxford Economics'!$A$6:$AZ$6,0),MATCH(X$5&amp;"",'Oxford Economics'!$A$6:$AZ$6,0))),'Oxford Economics'!$A$7:$A$1000,$C70,'Oxford Economics'!$B$7:$B$1000,Settings!$B$15)+SUMIFS(INDEX('Oxford Economics'!$A$7:$AZ$1000,0,IFERROR(MATCH(X$5,'Oxford Economics'!$A$6:$AZ$6,0),MATCH(X$5&amp;"",'Oxford Economics'!$A$6:$AZ$6,0))),'Oxford Economics'!$A$7:$A$1000,$C70,'Oxford Economics'!$B$7:$B$1000,Settings!$B$17)+IF(Settings!$B$19="",0,SUMIFS(INDEX('Oxford Economics'!$A$7:$AZ$1000,0,IFERROR(MATCH(X$5,'Oxford Economics'!$A$6:$AZ$6,0),MATCH(X$5&amp;"",'Oxford Economics'!$A$6:$AZ$6,0))),'Oxford Economics'!$A$7:$A$1000,$C70,'Oxford Economics'!$B$7:$B$1000,Settings!$B$19)))),""))</f>
        <v>11648.99</v>
      </c>
      <c r="Y70" s="38" t="n">
        <f aca="false">IF($A70="","",IFERROR(1/(1/IF($B70="Residential",SUMIFS(INDEX('Oxford Economics'!$A$7:$AZ$1000,0,IFERROR(MATCH(Y$5,'Oxford Economics'!$A$6:$AZ$6,0),MATCH(Y$5&amp;"",'Oxford Economics'!$A$6:$AZ$6,0))),'Oxford Economics'!$A$7:$A$1000,$C70,'Oxford Economics'!$B$7:$B$1000,Settings!$B$13)-SUMIFS(INDEX('Oxford Economics'!$A$7:$AZ$1000,0,IFERROR(MATCH(Y$5,'Oxford Economics'!$A$6:$AZ$6,0),MATCH(Y$5&amp;"",'Oxford Economics'!$A$6:$AZ$6,0))),'Oxford Economics'!$A$7:$A$1000,$C70,'Oxford Economics'!$B$7:$B$1000,Settings!$B$15),SUMIFS(INDEX('Oxford Economics'!$A$7:$AZ$1000,0,IFERROR(MATCH(Y$5,'Oxford Economics'!$A$6:$AZ$6,0),MATCH(Y$5&amp;"",'Oxford Economics'!$A$6:$AZ$6,0))),'Oxford Economics'!$A$7:$A$1000,$C70,'Oxford Economics'!$B$7:$B$1000,Settings!$B$15)+SUMIFS(INDEX('Oxford Economics'!$A$7:$AZ$1000,0,IFERROR(MATCH(Y$5,'Oxford Economics'!$A$6:$AZ$6,0),MATCH(Y$5&amp;"",'Oxford Economics'!$A$6:$AZ$6,0))),'Oxford Economics'!$A$7:$A$1000,$C70,'Oxford Economics'!$B$7:$B$1000,Settings!$B$17)+IF(Settings!$B$19="",0,SUMIFS(INDEX('Oxford Economics'!$A$7:$AZ$1000,0,IFERROR(MATCH(Y$5,'Oxford Economics'!$A$6:$AZ$6,0),MATCH(Y$5&amp;"",'Oxford Economics'!$A$6:$AZ$6,0))),'Oxford Economics'!$A$7:$A$1000,$C70,'Oxford Economics'!$B$7:$B$1000,Settings!$B$19)))),""))</f>
        <v>11734.78</v>
      </c>
      <c r="Z70" s="38" t="n">
        <f aca="false">IF($A70="","",IFERROR(1/(1/IF($B70="Residential",SUMIFS(INDEX('Oxford Economics'!$A$7:$AZ$1000,0,IFERROR(MATCH(Z$5,'Oxford Economics'!$A$6:$AZ$6,0),MATCH(Z$5&amp;"",'Oxford Economics'!$A$6:$AZ$6,0))),'Oxford Economics'!$A$7:$A$1000,$C70,'Oxford Economics'!$B$7:$B$1000,Settings!$B$13)-SUMIFS(INDEX('Oxford Economics'!$A$7:$AZ$1000,0,IFERROR(MATCH(Z$5,'Oxford Economics'!$A$6:$AZ$6,0),MATCH(Z$5&amp;"",'Oxford Economics'!$A$6:$AZ$6,0))),'Oxford Economics'!$A$7:$A$1000,$C70,'Oxford Economics'!$B$7:$B$1000,Settings!$B$15),SUMIFS(INDEX('Oxford Economics'!$A$7:$AZ$1000,0,IFERROR(MATCH(Z$5,'Oxford Economics'!$A$6:$AZ$6,0),MATCH(Z$5&amp;"",'Oxford Economics'!$A$6:$AZ$6,0))),'Oxford Economics'!$A$7:$A$1000,$C70,'Oxford Economics'!$B$7:$B$1000,Settings!$B$15)+SUMIFS(INDEX('Oxford Economics'!$A$7:$AZ$1000,0,IFERROR(MATCH(Z$5,'Oxford Economics'!$A$6:$AZ$6,0),MATCH(Z$5&amp;"",'Oxford Economics'!$A$6:$AZ$6,0))),'Oxford Economics'!$A$7:$A$1000,$C70,'Oxford Economics'!$B$7:$B$1000,Settings!$B$17)+IF(Settings!$B$19="",0,SUMIFS(INDEX('Oxford Economics'!$A$7:$AZ$1000,0,IFERROR(MATCH(Z$5,'Oxford Economics'!$A$6:$AZ$6,0),MATCH(Z$5&amp;"",'Oxford Economics'!$A$6:$AZ$6,0))),'Oxford Economics'!$A$7:$A$1000,$C70,'Oxford Economics'!$B$7:$B$1000,Settings!$B$19)))),""))</f>
        <v>11792.48</v>
      </c>
      <c r="AA70" s="38" t="n">
        <f aca="false">IF($A70="","",IFERROR(1/(1/IF($B70="Residential",SUMIFS(INDEX('Oxford Economics'!$A$7:$AZ$1000,0,IFERROR(MATCH(AA$5,'Oxford Economics'!$A$6:$AZ$6,0),MATCH(AA$5&amp;"",'Oxford Economics'!$A$6:$AZ$6,0))),'Oxford Economics'!$A$7:$A$1000,$C70,'Oxford Economics'!$B$7:$B$1000,Settings!$B$13)-SUMIFS(INDEX('Oxford Economics'!$A$7:$AZ$1000,0,IFERROR(MATCH(AA$5,'Oxford Economics'!$A$6:$AZ$6,0),MATCH(AA$5&amp;"",'Oxford Economics'!$A$6:$AZ$6,0))),'Oxford Economics'!$A$7:$A$1000,$C70,'Oxford Economics'!$B$7:$B$1000,Settings!$B$15),SUMIFS(INDEX('Oxford Economics'!$A$7:$AZ$1000,0,IFERROR(MATCH(AA$5,'Oxford Economics'!$A$6:$AZ$6,0),MATCH(AA$5&amp;"",'Oxford Economics'!$A$6:$AZ$6,0))),'Oxford Economics'!$A$7:$A$1000,$C70,'Oxford Economics'!$B$7:$B$1000,Settings!$B$15)+SUMIFS(INDEX('Oxford Economics'!$A$7:$AZ$1000,0,IFERROR(MATCH(AA$5,'Oxford Economics'!$A$6:$AZ$6,0),MATCH(AA$5&amp;"",'Oxford Economics'!$A$6:$AZ$6,0))),'Oxford Economics'!$A$7:$A$1000,$C70,'Oxford Economics'!$B$7:$B$1000,Settings!$B$17)+IF(Settings!$B$19="",0,SUMIFS(INDEX('Oxford Economics'!$A$7:$AZ$1000,0,IFERROR(MATCH(AA$5,'Oxford Economics'!$A$6:$AZ$6,0),MATCH(AA$5&amp;"",'Oxford Economics'!$A$6:$AZ$6,0))),'Oxford Economics'!$A$7:$A$1000,$C70,'Oxford Economics'!$B$7:$B$1000,Settings!$B$19)))),""))</f>
        <v>11942.62</v>
      </c>
      <c r="AB70" s="38" t="n">
        <f aca="false">IF($A70="","",IFERROR(1/(1/IF($B70="Residential",SUMIFS(INDEX('Oxford Economics'!$A$7:$AZ$1000,0,IFERROR(MATCH(AB$5,'Oxford Economics'!$A$6:$AZ$6,0),MATCH(AB$5&amp;"",'Oxford Economics'!$A$6:$AZ$6,0))),'Oxford Economics'!$A$7:$A$1000,$C70,'Oxford Economics'!$B$7:$B$1000,Settings!$B$12)-SUMIFS(INDEX('Oxford Economics'!$A$7:$AZ$1000,0,IFERROR(MATCH(AB$5,'Oxford Economics'!$A$6:$AZ$6,0),MATCH(AB$5&amp;"",'Oxford Economics'!$A$6:$AZ$6,0))),'Oxford Economics'!$A$7:$A$1000,$C70,'Oxford Economics'!$B$7:$B$1000,Settings!$B$14),SUMIFS(INDEX('Oxford Economics'!$A$7:$AZ$1000,0,IFERROR(MATCH(AB$5,'Oxford Economics'!$A$6:$AZ$6,0),MATCH(AB$5&amp;"",'Oxford Economics'!$A$6:$AZ$6,0))),'Oxford Economics'!$A$7:$A$1000,$C70,'Oxford Economics'!$B$7:$B$1000,Settings!$B$14)+SUMIFS(INDEX('Oxford Economics'!$A$7:$AZ$1000,0,IFERROR(MATCH(AB$5,'Oxford Economics'!$A$6:$AZ$6,0),MATCH(AB$5&amp;"",'Oxford Economics'!$A$6:$AZ$6,0))),'Oxford Economics'!$A$7:$A$1000,$C70,'Oxford Economics'!$B$7:$B$1000,Settings!$B$16)+IF(Settings!$B$18="",0,SUMIFS(INDEX('Oxford Economics'!$A$7:$AZ$1000,0,IFERROR(MATCH(AB$5,'Oxford Economics'!$A$6:$AZ$6,0),MATCH(AB$5&amp;"",'Oxford Economics'!$A$6:$AZ$6,0))),'Oxford Economics'!$A$7:$A$1000,$C70,'Oxford Economics'!$B$7:$B$1000,Settings!$B$18)))),""))</f>
        <v>23046.31</v>
      </c>
      <c r="AC70" s="38" t="n">
        <f aca="false">IF($A70="","",IFERROR(1/(1/IF($B70="Residential",SUMIFS(INDEX('Oxford Economics'!$A$7:$AZ$1000,0,IFERROR(MATCH(AC$5,'Oxford Economics'!$A$6:$AZ$6,0),MATCH(AC$5&amp;"",'Oxford Economics'!$A$6:$AZ$6,0))),'Oxford Economics'!$A$7:$A$1000,$C70,'Oxford Economics'!$B$7:$B$1000,Settings!$B$12)-SUMIFS(INDEX('Oxford Economics'!$A$7:$AZ$1000,0,IFERROR(MATCH(AC$5,'Oxford Economics'!$A$6:$AZ$6,0),MATCH(AC$5&amp;"",'Oxford Economics'!$A$6:$AZ$6,0))),'Oxford Economics'!$A$7:$A$1000,$C70,'Oxford Economics'!$B$7:$B$1000,Settings!$B$14),SUMIFS(INDEX('Oxford Economics'!$A$7:$AZ$1000,0,IFERROR(MATCH(AC$5,'Oxford Economics'!$A$6:$AZ$6,0),MATCH(AC$5&amp;"",'Oxford Economics'!$A$6:$AZ$6,0))),'Oxford Economics'!$A$7:$A$1000,$C70,'Oxford Economics'!$B$7:$B$1000,Settings!$B$14)+SUMIFS(INDEX('Oxford Economics'!$A$7:$AZ$1000,0,IFERROR(MATCH(AC$5,'Oxford Economics'!$A$6:$AZ$6,0),MATCH(AC$5&amp;"",'Oxford Economics'!$A$6:$AZ$6,0))),'Oxford Economics'!$A$7:$A$1000,$C70,'Oxford Economics'!$B$7:$B$1000,Settings!$B$16)+IF(Settings!$B$18="",0,SUMIFS(INDEX('Oxford Economics'!$A$7:$AZ$1000,0,IFERROR(MATCH(AC$5,'Oxford Economics'!$A$6:$AZ$6,0),MATCH(AC$5&amp;"",'Oxford Economics'!$A$6:$AZ$6,0))),'Oxford Economics'!$A$7:$A$1000,$C70,'Oxford Economics'!$B$7:$B$1000,Settings!$B$18)))),""))</f>
        <v>22898.49</v>
      </c>
      <c r="AD70" s="38" t="n">
        <f aca="false">IF($A70="","",IFERROR(1/(1/IF($B70="Residential",SUMIFS(INDEX('Oxford Economics'!$A$7:$AZ$1000,0,IFERROR(MATCH(AD$5,'Oxford Economics'!$A$6:$AZ$6,0),MATCH(AD$5&amp;"",'Oxford Economics'!$A$6:$AZ$6,0))),'Oxford Economics'!$A$7:$A$1000,$C70,'Oxford Economics'!$B$7:$B$1000,Settings!$B$12)-SUMIFS(INDEX('Oxford Economics'!$A$7:$AZ$1000,0,IFERROR(MATCH(AD$5,'Oxford Economics'!$A$6:$AZ$6,0),MATCH(AD$5&amp;"",'Oxford Economics'!$A$6:$AZ$6,0))),'Oxford Economics'!$A$7:$A$1000,$C70,'Oxford Economics'!$B$7:$B$1000,Settings!$B$14),SUMIFS(INDEX('Oxford Economics'!$A$7:$AZ$1000,0,IFERROR(MATCH(AD$5,'Oxford Economics'!$A$6:$AZ$6,0),MATCH(AD$5&amp;"",'Oxford Economics'!$A$6:$AZ$6,0))),'Oxford Economics'!$A$7:$A$1000,$C70,'Oxford Economics'!$B$7:$B$1000,Settings!$B$14)+SUMIFS(INDEX('Oxford Economics'!$A$7:$AZ$1000,0,IFERROR(MATCH(AD$5,'Oxford Economics'!$A$6:$AZ$6,0),MATCH(AD$5&amp;"",'Oxford Economics'!$A$6:$AZ$6,0))),'Oxford Economics'!$A$7:$A$1000,$C70,'Oxford Economics'!$B$7:$B$1000,Settings!$B$16)+IF(Settings!$B$18="",0,SUMIFS(INDEX('Oxford Economics'!$A$7:$AZ$1000,0,IFERROR(MATCH(AD$5,'Oxford Economics'!$A$6:$AZ$6,0),MATCH(AD$5&amp;"",'Oxford Economics'!$A$6:$AZ$6,0))),'Oxford Economics'!$A$7:$A$1000,$C70,'Oxford Economics'!$B$7:$B$1000,Settings!$B$18)))),""))</f>
        <v>21890.47</v>
      </c>
      <c r="AE70" s="38" t="n">
        <f aca="false">IF($A70="","",IFERROR(1/(1/IF($B70="Residential",SUMIFS(INDEX('Oxford Economics'!$A$7:$AZ$1000,0,IFERROR(MATCH(AE$5,'Oxford Economics'!$A$6:$AZ$6,0),MATCH(AE$5&amp;"",'Oxford Economics'!$A$6:$AZ$6,0))),'Oxford Economics'!$A$7:$A$1000,$C70,'Oxford Economics'!$B$7:$B$1000,Settings!$B$12)-SUMIFS(INDEX('Oxford Economics'!$A$7:$AZ$1000,0,IFERROR(MATCH(AE$5,'Oxford Economics'!$A$6:$AZ$6,0),MATCH(AE$5&amp;"",'Oxford Economics'!$A$6:$AZ$6,0))),'Oxford Economics'!$A$7:$A$1000,$C70,'Oxford Economics'!$B$7:$B$1000,Settings!$B$14),SUMIFS(INDEX('Oxford Economics'!$A$7:$AZ$1000,0,IFERROR(MATCH(AE$5,'Oxford Economics'!$A$6:$AZ$6,0),MATCH(AE$5&amp;"",'Oxford Economics'!$A$6:$AZ$6,0))),'Oxford Economics'!$A$7:$A$1000,$C70,'Oxford Economics'!$B$7:$B$1000,Settings!$B$14)+SUMIFS(INDEX('Oxford Economics'!$A$7:$AZ$1000,0,IFERROR(MATCH(AE$5,'Oxford Economics'!$A$6:$AZ$6,0),MATCH(AE$5&amp;"",'Oxford Economics'!$A$6:$AZ$6,0))),'Oxford Economics'!$A$7:$A$1000,$C70,'Oxford Economics'!$B$7:$B$1000,Settings!$B$16)+IF(Settings!$B$18="",0,SUMIFS(INDEX('Oxford Economics'!$A$7:$AZ$1000,0,IFERROR(MATCH(AE$5,'Oxford Economics'!$A$6:$AZ$6,0),MATCH(AE$5&amp;"",'Oxford Economics'!$A$6:$AZ$6,0))),'Oxford Economics'!$A$7:$A$1000,$C70,'Oxford Economics'!$B$7:$B$1000,Settings!$B$18)))),""))</f>
        <v>21265.75</v>
      </c>
      <c r="AF70" s="38" t="n">
        <f aca="false">IF($A70="","",IFERROR(1/(1/IF($B70="Residential",SUMIFS(INDEX('Oxford Economics'!$A$7:$AZ$1000,0,IFERROR(MATCH(AF$5,'Oxford Economics'!$A$6:$AZ$6,0),MATCH(AF$5&amp;"",'Oxford Economics'!$A$6:$AZ$6,0))),'Oxford Economics'!$A$7:$A$1000,$C70,'Oxford Economics'!$B$7:$B$1000,Settings!$B$12)-SUMIFS(INDEX('Oxford Economics'!$A$7:$AZ$1000,0,IFERROR(MATCH(AF$5,'Oxford Economics'!$A$6:$AZ$6,0),MATCH(AF$5&amp;"",'Oxford Economics'!$A$6:$AZ$6,0))),'Oxford Economics'!$A$7:$A$1000,$C70,'Oxford Economics'!$B$7:$B$1000,Settings!$B$14),SUMIFS(INDEX('Oxford Economics'!$A$7:$AZ$1000,0,IFERROR(MATCH(AF$5,'Oxford Economics'!$A$6:$AZ$6,0),MATCH(AF$5&amp;"",'Oxford Economics'!$A$6:$AZ$6,0))),'Oxford Economics'!$A$7:$A$1000,$C70,'Oxford Economics'!$B$7:$B$1000,Settings!$B$14)+SUMIFS(INDEX('Oxford Economics'!$A$7:$AZ$1000,0,IFERROR(MATCH(AF$5,'Oxford Economics'!$A$6:$AZ$6,0),MATCH(AF$5&amp;"",'Oxford Economics'!$A$6:$AZ$6,0))),'Oxford Economics'!$A$7:$A$1000,$C70,'Oxford Economics'!$B$7:$B$1000,Settings!$B$16)+IF(Settings!$B$18="",0,SUMIFS(INDEX('Oxford Economics'!$A$7:$AZ$1000,0,IFERROR(MATCH(AF$5,'Oxford Economics'!$A$6:$AZ$6,0),MATCH(AF$5&amp;"",'Oxford Economics'!$A$6:$AZ$6,0))),'Oxford Economics'!$A$7:$A$1000,$C70,'Oxford Economics'!$B$7:$B$1000,Settings!$B$18)))),""))</f>
        <v>21014.39</v>
      </c>
      <c r="AG70" s="38" t="n">
        <f aca="false">IF($A70="","",IFERROR(1/(1/IF($B70="Residential",SUMIFS(INDEX('Oxford Economics'!$A$7:$AZ$1000,0,IFERROR(MATCH(AG$5,'Oxford Economics'!$A$6:$AZ$6,0),MATCH(AG$5&amp;"",'Oxford Economics'!$A$6:$AZ$6,0))),'Oxford Economics'!$A$7:$A$1000,$C70,'Oxford Economics'!$B$7:$B$1000,Settings!$B$12)-SUMIFS(INDEX('Oxford Economics'!$A$7:$AZ$1000,0,IFERROR(MATCH(AG$5,'Oxford Economics'!$A$6:$AZ$6,0),MATCH(AG$5&amp;"",'Oxford Economics'!$A$6:$AZ$6,0))),'Oxford Economics'!$A$7:$A$1000,$C70,'Oxford Economics'!$B$7:$B$1000,Settings!$B$14),SUMIFS(INDEX('Oxford Economics'!$A$7:$AZ$1000,0,IFERROR(MATCH(AG$5,'Oxford Economics'!$A$6:$AZ$6,0),MATCH(AG$5&amp;"",'Oxford Economics'!$A$6:$AZ$6,0))),'Oxford Economics'!$A$7:$A$1000,$C70,'Oxford Economics'!$B$7:$B$1000,Settings!$B$14)+SUMIFS(INDEX('Oxford Economics'!$A$7:$AZ$1000,0,IFERROR(MATCH(AG$5,'Oxford Economics'!$A$6:$AZ$6,0),MATCH(AG$5&amp;"",'Oxford Economics'!$A$6:$AZ$6,0))),'Oxford Economics'!$A$7:$A$1000,$C70,'Oxford Economics'!$B$7:$B$1000,Settings!$B$16)+IF(Settings!$B$18="",0,SUMIFS(INDEX('Oxford Economics'!$A$7:$AZ$1000,0,IFERROR(MATCH(AG$5,'Oxford Economics'!$A$6:$AZ$6,0),MATCH(AG$5&amp;"",'Oxford Economics'!$A$6:$AZ$6,0))),'Oxford Economics'!$A$7:$A$1000,$C70,'Oxford Economics'!$B$7:$B$1000,Settings!$B$18)))),""))</f>
        <v>21937.89</v>
      </c>
      <c r="AH70" s="38" t="n">
        <f aca="false">IF($A70="","",IFERROR(1/(1/IF($B70="Residential",SUMIFS(INDEX('Oxford Economics'!$A$7:$AZ$1000,0,IFERROR(MATCH(AH$5,'Oxford Economics'!$A$6:$AZ$6,0),MATCH(AH$5&amp;"",'Oxford Economics'!$A$6:$AZ$6,0))),'Oxford Economics'!$A$7:$A$1000,$C70,'Oxford Economics'!$B$7:$B$1000,Settings!$B$12)-SUMIFS(INDEX('Oxford Economics'!$A$7:$AZ$1000,0,IFERROR(MATCH(AH$5,'Oxford Economics'!$A$6:$AZ$6,0),MATCH(AH$5&amp;"",'Oxford Economics'!$A$6:$AZ$6,0))),'Oxford Economics'!$A$7:$A$1000,$C70,'Oxford Economics'!$B$7:$B$1000,Settings!$B$14),SUMIFS(INDEX('Oxford Economics'!$A$7:$AZ$1000,0,IFERROR(MATCH(AH$5,'Oxford Economics'!$A$6:$AZ$6,0),MATCH(AH$5&amp;"",'Oxford Economics'!$A$6:$AZ$6,0))),'Oxford Economics'!$A$7:$A$1000,$C70,'Oxford Economics'!$B$7:$B$1000,Settings!$B$14)+SUMIFS(INDEX('Oxford Economics'!$A$7:$AZ$1000,0,IFERROR(MATCH(AH$5,'Oxford Economics'!$A$6:$AZ$6,0),MATCH(AH$5&amp;"",'Oxford Economics'!$A$6:$AZ$6,0))),'Oxford Economics'!$A$7:$A$1000,$C70,'Oxford Economics'!$B$7:$B$1000,Settings!$B$16)+IF(Settings!$B$18="",0,SUMIFS(INDEX('Oxford Economics'!$A$7:$AZ$1000,0,IFERROR(MATCH(AH$5,'Oxford Economics'!$A$6:$AZ$6,0),MATCH(AH$5&amp;"",'Oxford Economics'!$A$6:$AZ$6,0))),'Oxford Economics'!$A$7:$A$1000,$C70,'Oxford Economics'!$B$7:$B$1000,Settings!$B$18)))),""))</f>
        <v>22946.99</v>
      </c>
      <c r="AI70" s="38" t="n">
        <f aca="false">IF($A70="","",IFERROR(1/(1/IF($B70="Residential",SUMIFS(INDEX('Oxford Economics'!$A$7:$AZ$1000,0,IFERROR(MATCH(AI$5,'Oxford Economics'!$A$6:$AZ$6,0),MATCH(AI$5&amp;"",'Oxford Economics'!$A$6:$AZ$6,0))),'Oxford Economics'!$A$7:$A$1000,$C70,'Oxford Economics'!$B$7:$B$1000,Settings!$B$12)-SUMIFS(INDEX('Oxford Economics'!$A$7:$AZ$1000,0,IFERROR(MATCH(AI$5,'Oxford Economics'!$A$6:$AZ$6,0),MATCH(AI$5&amp;"",'Oxford Economics'!$A$6:$AZ$6,0))),'Oxford Economics'!$A$7:$A$1000,$C70,'Oxford Economics'!$B$7:$B$1000,Settings!$B$14),SUMIFS(INDEX('Oxford Economics'!$A$7:$AZ$1000,0,IFERROR(MATCH(AI$5,'Oxford Economics'!$A$6:$AZ$6,0),MATCH(AI$5&amp;"",'Oxford Economics'!$A$6:$AZ$6,0))),'Oxford Economics'!$A$7:$A$1000,$C70,'Oxford Economics'!$B$7:$B$1000,Settings!$B$14)+SUMIFS(INDEX('Oxford Economics'!$A$7:$AZ$1000,0,IFERROR(MATCH(AI$5,'Oxford Economics'!$A$6:$AZ$6,0),MATCH(AI$5&amp;"",'Oxford Economics'!$A$6:$AZ$6,0))),'Oxford Economics'!$A$7:$A$1000,$C70,'Oxford Economics'!$B$7:$B$1000,Settings!$B$16)+IF(Settings!$B$18="",0,SUMIFS(INDEX('Oxford Economics'!$A$7:$AZ$1000,0,IFERROR(MATCH(AI$5,'Oxford Economics'!$A$6:$AZ$6,0),MATCH(AI$5&amp;"",'Oxford Economics'!$A$6:$AZ$6,0))),'Oxford Economics'!$A$7:$A$1000,$C70,'Oxford Economics'!$B$7:$B$1000,Settings!$B$18)))),""))</f>
        <v>24110.67</v>
      </c>
      <c r="AJ70" s="38" t="n">
        <f aca="false">IF($A70="","",IFERROR(1/(1/IF($B70="Residential",SUMIFS(INDEX('Oxford Economics'!$A$7:$AZ$1000,0,IFERROR(MATCH(AJ$5,'Oxford Economics'!$A$6:$AZ$6,0),MATCH(AJ$5&amp;"",'Oxford Economics'!$A$6:$AZ$6,0))),'Oxford Economics'!$A$7:$A$1000,$C70,'Oxford Economics'!$B$7:$B$1000,Settings!$B$12)-SUMIFS(INDEX('Oxford Economics'!$A$7:$AZ$1000,0,IFERROR(MATCH(AJ$5,'Oxford Economics'!$A$6:$AZ$6,0),MATCH(AJ$5&amp;"",'Oxford Economics'!$A$6:$AZ$6,0))),'Oxford Economics'!$A$7:$A$1000,$C70,'Oxford Economics'!$B$7:$B$1000,Settings!$B$14),SUMIFS(INDEX('Oxford Economics'!$A$7:$AZ$1000,0,IFERROR(MATCH(AJ$5,'Oxford Economics'!$A$6:$AZ$6,0),MATCH(AJ$5&amp;"",'Oxford Economics'!$A$6:$AZ$6,0))),'Oxford Economics'!$A$7:$A$1000,$C70,'Oxford Economics'!$B$7:$B$1000,Settings!$B$14)+SUMIFS(INDEX('Oxford Economics'!$A$7:$AZ$1000,0,IFERROR(MATCH(AJ$5,'Oxford Economics'!$A$6:$AZ$6,0),MATCH(AJ$5&amp;"",'Oxford Economics'!$A$6:$AZ$6,0))),'Oxford Economics'!$A$7:$A$1000,$C70,'Oxford Economics'!$B$7:$B$1000,Settings!$B$16)+IF(Settings!$B$18="",0,SUMIFS(INDEX('Oxford Economics'!$A$7:$AZ$1000,0,IFERROR(MATCH(AJ$5,'Oxford Economics'!$A$6:$AZ$6,0),MATCH(AJ$5&amp;"",'Oxford Economics'!$A$6:$AZ$6,0))),'Oxford Economics'!$A$7:$A$1000,$C70,'Oxford Economics'!$B$7:$B$1000,Settings!$B$18)))),""))</f>
        <v>25461.56</v>
      </c>
      <c r="AK70" s="38" t="n">
        <f aca="false">IF($A70="","",IFERROR(1/(1/IF($B70="Residential",SUMIFS(INDEX('Oxford Economics'!$A$7:$AZ$1000,0,IFERROR(MATCH(AK$5,'Oxford Economics'!$A$6:$AZ$6,0),MATCH(AK$5&amp;"",'Oxford Economics'!$A$6:$AZ$6,0))),'Oxford Economics'!$A$7:$A$1000,$C70,'Oxford Economics'!$B$7:$B$1000,Settings!$B$12)-SUMIFS(INDEX('Oxford Economics'!$A$7:$AZ$1000,0,IFERROR(MATCH(AK$5,'Oxford Economics'!$A$6:$AZ$6,0),MATCH(AK$5&amp;"",'Oxford Economics'!$A$6:$AZ$6,0))),'Oxford Economics'!$A$7:$A$1000,$C70,'Oxford Economics'!$B$7:$B$1000,Settings!$B$14),SUMIFS(INDEX('Oxford Economics'!$A$7:$AZ$1000,0,IFERROR(MATCH(AK$5,'Oxford Economics'!$A$6:$AZ$6,0),MATCH(AK$5&amp;"",'Oxford Economics'!$A$6:$AZ$6,0))),'Oxford Economics'!$A$7:$A$1000,$C70,'Oxford Economics'!$B$7:$B$1000,Settings!$B$14)+SUMIFS(INDEX('Oxford Economics'!$A$7:$AZ$1000,0,IFERROR(MATCH(AK$5,'Oxford Economics'!$A$6:$AZ$6,0),MATCH(AK$5&amp;"",'Oxford Economics'!$A$6:$AZ$6,0))),'Oxford Economics'!$A$7:$A$1000,$C70,'Oxford Economics'!$B$7:$B$1000,Settings!$B$16)+IF(Settings!$B$18="",0,SUMIFS(INDEX('Oxford Economics'!$A$7:$AZ$1000,0,IFERROR(MATCH(AK$5,'Oxford Economics'!$A$6:$AZ$6,0),MATCH(AK$5&amp;"",'Oxford Economics'!$A$6:$AZ$6,0))),'Oxford Economics'!$A$7:$A$1000,$C70,'Oxford Economics'!$B$7:$B$1000,Settings!$B$18)))),""))</f>
        <v>26186</v>
      </c>
      <c r="AL70" s="38" t="n">
        <f aca="false">IF($A70="","",IFERROR(1/(1/IF($B70="Residential",SUMIFS(INDEX('Oxford Economics'!$A$7:$AZ$1000,0,IFERROR(MATCH(AL$5,'Oxford Economics'!$A$6:$AZ$6,0),MATCH(AL$5&amp;"",'Oxford Economics'!$A$6:$AZ$6,0))),'Oxford Economics'!$A$7:$A$1000,$C70,'Oxford Economics'!$B$7:$B$1000,Settings!$B$12)-SUMIFS(INDEX('Oxford Economics'!$A$7:$AZ$1000,0,IFERROR(MATCH(AL$5,'Oxford Economics'!$A$6:$AZ$6,0),MATCH(AL$5&amp;"",'Oxford Economics'!$A$6:$AZ$6,0))),'Oxford Economics'!$A$7:$A$1000,$C70,'Oxford Economics'!$B$7:$B$1000,Settings!$B$14),SUMIFS(INDEX('Oxford Economics'!$A$7:$AZ$1000,0,IFERROR(MATCH(AL$5,'Oxford Economics'!$A$6:$AZ$6,0),MATCH(AL$5&amp;"",'Oxford Economics'!$A$6:$AZ$6,0))),'Oxford Economics'!$A$7:$A$1000,$C70,'Oxford Economics'!$B$7:$B$1000,Settings!$B$14)+SUMIFS(INDEX('Oxford Economics'!$A$7:$AZ$1000,0,IFERROR(MATCH(AL$5,'Oxford Economics'!$A$6:$AZ$6,0),MATCH(AL$5&amp;"",'Oxford Economics'!$A$6:$AZ$6,0))),'Oxford Economics'!$A$7:$A$1000,$C70,'Oxford Economics'!$B$7:$B$1000,Settings!$B$16)+IF(Settings!$B$18="",0,SUMIFS(INDEX('Oxford Economics'!$A$7:$AZ$1000,0,IFERROR(MATCH(AL$5,'Oxford Economics'!$A$6:$AZ$6,0),MATCH(AL$5&amp;"",'Oxford Economics'!$A$6:$AZ$6,0))),'Oxford Economics'!$A$7:$A$1000,$C70,'Oxford Economics'!$B$7:$B$1000,Settings!$B$18)))),""))</f>
        <v>26772.33</v>
      </c>
      <c r="AM70" s="38" t="n">
        <f aca="false">IF($A70="","",IFERROR(1/(1/IF($B70="Residential",SUMIFS(INDEX('Oxford Economics'!$A$7:$AZ$1000,0,IFERROR(MATCH(AM$5,'Oxford Economics'!$A$6:$AZ$6,0),MATCH(AM$5&amp;"",'Oxford Economics'!$A$6:$AZ$6,0))),'Oxford Economics'!$A$7:$A$1000,$C70,'Oxford Economics'!$B$7:$B$1000,Settings!$B$12)-SUMIFS(INDEX('Oxford Economics'!$A$7:$AZ$1000,0,IFERROR(MATCH(AM$5,'Oxford Economics'!$A$6:$AZ$6,0),MATCH(AM$5&amp;"",'Oxford Economics'!$A$6:$AZ$6,0))),'Oxford Economics'!$A$7:$A$1000,$C70,'Oxford Economics'!$B$7:$B$1000,Settings!$B$14),SUMIFS(INDEX('Oxford Economics'!$A$7:$AZ$1000,0,IFERROR(MATCH(AM$5,'Oxford Economics'!$A$6:$AZ$6,0),MATCH(AM$5&amp;"",'Oxford Economics'!$A$6:$AZ$6,0))),'Oxford Economics'!$A$7:$A$1000,$C70,'Oxford Economics'!$B$7:$B$1000,Settings!$B$14)+SUMIFS(INDEX('Oxford Economics'!$A$7:$AZ$1000,0,IFERROR(MATCH(AM$5,'Oxford Economics'!$A$6:$AZ$6,0),MATCH(AM$5&amp;"",'Oxford Economics'!$A$6:$AZ$6,0))),'Oxford Economics'!$A$7:$A$1000,$C70,'Oxford Economics'!$B$7:$B$1000,Settings!$B$16)+IF(Settings!$B$18="",0,SUMIFS(INDEX('Oxford Economics'!$A$7:$AZ$1000,0,IFERROR(MATCH(AM$5,'Oxford Economics'!$A$6:$AZ$6,0),MATCH(AM$5&amp;"",'Oxford Economics'!$A$6:$AZ$6,0))),'Oxford Economics'!$A$7:$A$1000,$C70,'Oxford Economics'!$B$7:$B$1000,Settings!$B$18)))),""))</f>
        <v>27633.52</v>
      </c>
    </row>
    <row r="71" customFormat="false" ht="15" hidden="false" customHeight="false" outlineLevel="0" collapsed="false">
      <c r="A71" s="37" t="str">
        <f aca="false">IF('Raw data'!$A71="","",'Raw data'!$A71)</f>
        <v>Switzerland</v>
      </c>
      <c r="B71" s="37" t="str">
        <f aca="false">IF($A71="","",'Raw data'!$C71)</f>
        <v>Commercial</v>
      </c>
      <c r="C71" s="37" t="str">
        <f aca="false">IF($A71="","",IF('Raw data'!$E71="",$A71,'Raw data'!$E71))</f>
        <v>Switzerland</v>
      </c>
      <c r="D71" s="38" t="n">
        <f aca="false">IF($A71="","",IF(AND(ISNUMBER(P71),ISNUMBER(AB71)),P71+AB71,""))</f>
        <v>33945.3</v>
      </c>
      <c r="E71" s="38" t="n">
        <f aca="false">IF($A71="","",IF(AND(ISNUMBER(Q71),ISNUMBER(AC71)),Q71+AC71,""))</f>
        <v>34578.91</v>
      </c>
      <c r="F71" s="38" t="n">
        <f aca="false">IF($A71="","",IF(AND(ISNUMBER(R71),ISNUMBER(AD71)),R71+AD71,""))</f>
        <v>33818.55</v>
      </c>
      <c r="G71" s="38" t="n">
        <f aca="false">IF($A71="","",IF(AND(ISNUMBER(S71),ISNUMBER(AE71)),S71+AE71,""))</f>
        <v>33090.05</v>
      </c>
      <c r="H71" s="38" t="n">
        <f aca="false">IF($A71="","",IF(AND(ISNUMBER(T71),ISNUMBER(AF71)),T71+AF71,""))</f>
        <v>32827.01</v>
      </c>
      <c r="I71" s="38" t="n">
        <f aca="false">IF($A71="","",IF(AND(ISNUMBER(U71),ISNUMBER(AG71)),U71+AG71,""))</f>
        <v>33602.22</v>
      </c>
      <c r="J71" s="38" t="n">
        <f aca="false">IF($A71="","",IF(AND(ISNUMBER(V71),ISNUMBER(AH71)),V71+AH71,""))</f>
        <v>34354.69</v>
      </c>
      <c r="K71" s="38" t="n">
        <f aca="false">IF($A71="","",IF(AND(ISNUMBER(W71),ISNUMBER(AI71)),W71+AI71,""))</f>
        <v>35563.44</v>
      </c>
      <c r="L71" s="38" t="n">
        <f aca="false">IF($A71="","",IF(AND(ISNUMBER(X71),ISNUMBER(AJ71)),X71+AJ71,""))</f>
        <v>37110.55</v>
      </c>
      <c r="M71" s="38" t="n">
        <f aca="false">IF($A71="","",IF(AND(ISNUMBER(Y71),ISNUMBER(AK71)),Y71+AK71,""))</f>
        <v>37920.78</v>
      </c>
      <c r="N71" s="38" t="n">
        <f aca="false">IF($A71="","",IF(AND(ISNUMBER(Z71),ISNUMBER(AL71)),Z71+AL71,""))</f>
        <v>38564.81</v>
      </c>
      <c r="O71" s="38" t="n">
        <f aca="false">IF($A71="","",IF(AND(ISNUMBER(AA71),ISNUMBER(AM71)),AA71+AM71,""))</f>
        <v>39576.14</v>
      </c>
      <c r="P71" s="38" t="n">
        <f aca="false">IF($A71="","",IFERROR(1/(1/IF($B71="Residential",SUMIFS(INDEX('Oxford Economics'!$A$7:$AZ$1000,0,IFERROR(MATCH(P$5,'Oxford Economics'!$A$6:$AZ$6,0),MATCH(P$5&amp;"",'Oxford Economics'!$A$6:$AZ$6,0))),'Oxford Economics'!$A$7:$A$1000,$C71,'Oxford Economics'!$B$7:$B$1000,Settings!$B$13)-SUMIFS(INDEX('Oxford Economics'!$A$7:$AZ$1000,0,IFERROR(MATCH(P$5,'Oxford Economics'!$A$6:$AZ$6,0),MATCH(P$5&amp;"",'Oxford Economics'!$A$6:$AZ$6,0))),'Oxford Economics'!$A$7:$A$1000,$C71,'Oxford Economics'!$B$7:$B$1000,Settings!$B$15),SUMIFS(INDEX('Oxford Economics'!$A$7:$AZ$1000,0,IFERROR(MATCH(P$5,'Oxford Economics'!$A$6:$AZ$6,0),MATCH(P$5&amp;"",'Oxford Economics'!$A$6:$AZ$6,0))),'Oxford Economics'!$A$7:$A$1000,$C71,'Oxford Economics'!$B$7:$B$1000,Settings!$B$15)+SUMIFS(INDEX('Oxford Economics'!$A$7:$AZ$1000,0,IFERROR(MATCH(P$5,'Oxford Economics'!$A$6:$AZ$6,0),MATCH(P$5&amp;"",'Oxford Economics'!$A$6:$AZ$6,0))),'Oxford Economics'!$A$7:$A$1000,$C71,'Oxford Economics'!$B$7:$B$1000,Settings!$B$17)+IF(Settings!$B$19="",0,SUMIFS(INDEX('Oxford Economics'!$A$7:$AZ$1000,0,IFERROR(MATCH(P$5,'Oxford Economics'!$A$6:$AZ$6,0),MATCH(P$5&amp;"",'Oxford Economics'!$A$6:$AZ$6,0))),'Oxford Economics'!$A$7:$A$1000,$C71,'Oxford Economics'!$B$7:$B$1000,Settings!$B$19)))),""))</f>
        <v>10898.99</v>
      </c>
      <c r="Q71" s="38" t="n">
        <f aca="false">IF($A71="","",IFERROR(1/(1/IF($B71="Residential",SUMIFS(INDEX('Oxford Economics'!$A$7:$AZ$1000,0,IFERROR(MATCH(Q$5,'Oxford Economics'!$A$6:$AZ$6,0),MATCH(Q$5&amp;"",'Oxford Economics'!$A$6:$AZ$6,0))),'Oxford Economics'!$A$7:$A$1000,$C71,'Oxford Economics'!$B$7:$B$1000,Settings!$B$13)-SUMIFS(INDEX('Oxford Economics'!$A$7:$AZ$1000,0,IFERROR(MATCH(Q$5,'Oxford Economics'!$A$6:$AZ$6,0),MATCH(Q$5&amp;"",'Oxford Economics'!$A$6:$AZ$6,0))),'Oxford Economics'!$A$7:$A$1000,$C71,'Oxford Economics'!$B$7:$B$1000,Settings!$B$15),SUMIFS(INDEX('Oxford Economics'!$A$7:$AZ$1000,0,IFERROR(MATCH(Q$5,'Oxford Economics'!$A$6:$AZ$6,0),MATCH(Q$5&amp;"",'Oxford Economics'!$A$6:$AZ$6,0))),'Oxford Economics'!$A$7:$A$1000,$C71,'Oxford Economics'!$B$7:$B$1000,Settings!$B$15)+SUMIFS(INDEX('Oxford Economics'!$A$7:$AZ$1000,0,IFERROR(MATCH(Q$5,'Oxford Economics'!$A$6:$AZ$6,0),MATCH(Q$5&amp;"",'Oxford Economics'!$A$6:$AZ$6,0))),'Oxford Economics'!$A$7:$A$1000,$C71,'Oxford Economics'!$B$7:$B$1000,Settings!$B$17)+IF(Settings!$B$19="",0,SUMIFS(INDEX('Oxford Economics'!$A$7:$AZ$1000,0,IFERROR(MATCH(Q$5,'Oxford Economics'!$A$6:$AZ$6,0),MATCH(Q$5&amp;"",'Oxford Economics'!$A$6:$AZ$6,0))),'Oxford Economics'!$A$7:$A$1000,$C71,'Oxford Economics'!$B$7:$B$1000,Settings!$B$19)))),""))</f>
        <v>11680.42</v>
      </c>
      <c r="R71" s="38" t="n">
        <f aca="false">IF($A71="","",IFERROR(1/(1/IF($B71="Residential",SUMIFS(INDEX('Oxford Economics'!$A$7:$AZ$1000,0,IFERROR(MATCH(R$5,'Oxford Economics'!$A$6:$AZ$6,0),MATCH(R$5&amp;"",'Oxford Economics'!$A$6:$AZ$6,0))),'Oxford Economics'!$A$7:$A$1000,$C71,'Oxford Economics'!$B$7:$B$1000,Settings!$B$13)-SUMIFS(INDEX('Oxford Economics'!$A$7:$AZ$1000,0,IFERROR(MATCH(R$5,'Oxford Economics'!$A$6:$AZ$6,0),MATCH(R$5&amp;"",'Oxford Economics'!$A$6:$AZ$6,0))),'Oxford Economics'!$A$7:$A$1000,$C71,'Oxford Economics'!$B$7:$B$1000,Settings!$B$15),SUMIFS(INDEX('Oxford Economics'!$A$7:$AZ$1000,0,IFERROR(MATCH(R$5,'Oxford Economics'!$A$6:$AZ$6,0),MATCH(R$5&amp;"",'Oxford Economics'!$A$6:$AZ$6,0))),'Oxford Economics'!$A$7:$A$1000,$C71,'Oxford Economics'!$B$7:$B$1000,Settings!$B$15)+SUMIFS(INDEX('Oxford Economics'!$A$7:$AZ$1000,0,IFERROR(MATCH(R$5,'Oxford Economics'!$A$6:$AZ$6,0),MATCH(R$5&amp;"",'Oxford Economics'!$A$6:$AZ$6,0))),'Oxford Economics'!$A$7:$A$1000,$C71,'Oxford Economics'!$B$7:$B$1000,Settings!$B$17)+IF(Settings!$B$19="",0,SUMIFS(INDEX('Oxford Economics'!$A$7:$AZ$1000,0,IFERROR(MATCH(R$5,'Oxford Economics'!$A$6:$AZ$6,0),MATCH(R$5&amp;"",'Oxford Economics'!$A$6:$AZ$6,0))),'Oxford Economics'!$A$7:$A$1000,$C71,'Oxford Economics'!$B$7:$B$1000,Settings!$B$19)))),""))</f>
        <v>11928.08</v>
      </c>
      <c r="S71" s="38" t="n">
        <f aca="false">IF($A71="","",IFERROR(1/(1/IF($B71="Residential",SUMIFS(INDEX('Oxford Economics'!$A$7:$AZ$1000,0,IFERROR(MATCH(S$5,'Oxford Economics'!$A$6:$AZ$6,0),MATCH(S$5&amp;"",'Oxford Economics'!$A$6:$AZ$6,0))),'Oxford Economics'!$A$7:$A$1000,$C71,'Oxford Economics'!$B$7:$B$1000,Settings!$B$13)-SUMIFS(INDEX('Oxford Economics'!$A$7:$AZ$1000,0,IFERROR(MATCH(S$5,'Oxford Economics'!$A$6:$AZ$6,0),MATCH(S$5&amp;"",'Oxford Economics'!$A$6:$AZ$6,0))),'Oxford Economics'!$A$7:$A$1000,$C71,'Oxford Economics'!$B$7:$B$1000,Settings!$B$15),SUMIFS(INDEX('Oxford Economics'!$A$7:$AZ$1000,0,IFERROR(MATCH(S$5,'Oxford Economics'!$A$6:$AZ$6,0),MATCH(S$5&amp;"",'Oxford Economics'!$A$6:$AZ$6,0))),'Oxford Economics'!$A$7:$A$1000,$C71,'Oxford Economics'!$B$7:$B$1000,Settings!$B$15)+SUMIFS(INDEX('Oxford Economics'!$A$7:$AZ$1000,0,IFERROR(MATCH(S$5,'Oxford Economics'!$A$6:$AZ$6,0),MATCH(S$5&amp;"",'Oxford Economics'!$A$6:$AZ$6,0))),'Oxford Economics'!$A$7:$A$1000,$C71,'Oxford Economics'!$B$7:$B$1000,Settings!$B$17)+IF(Settings!$B$19="",0,SUMIFS(INDEX('Oxford Economics'!$A$7:$AZ$1000,0,IFERROR(MATCH(S$5,'Oxford Economics'!$A$6:$AZ$6,0),MATCH(S$5&amp;"",'Oxford Economics'!$A$6:$AZ$6,0))),'Oxford Economics'!$A$7:$A$1000,$C71,'Oxford Economics'!$B$7:$B$1000,Settings!$B$19)))),""))</f>
        <v>11824.3</v>
      </c>
      <c r="T71" s="38" t="n">
        <f aca="false">IF($A71="","",IFERROR(1/(1/IF($B71="Residential",SUMIFS(INDEX('Oxford Economics'!$A$7:$AZ$1000,0,IFERROR(MATCH(T$5,'Oxford Economics'!$A$6:$AZ$6,0),MATCH(T$5&amp;"",'Oxford Economics'!$A$6:$AZ$6,0))),'Oxford Economics'!$A$7:$A$1000,$C71,'Oxford Economics'!$B$7:$B$1000,Settings!$B$13)-SUMIFS(INDEX('Oxford Economics'!$A$7:$AZ$1000,0,IFERROR(MATCH(T$5,'Oxford Economics'!$A$6:$AZ$6,0),MATCH(T$5&amp;"",'Oxford Economics'!$A$6:$AZ$6,0))),'Oxford Economics'!$A$7:$A$1000,$C71,'Oxford Economics'!$B$7:$B$1000,Settings!$B$15),SUMIFS(INDEX('Oxford Economics'!$A$7:$AZ$1000,0,IFERROR(MATCH(T$5,'Oxford Economics'!$A$6:$AZ$6,0),MATCH(T$5&amp;"",'Oxford Economics'!$A$6:$AZ$6,0))),'Oxford Economics'!$A$7:$A$1000,$C71,'Oxford Economics'!$B$7:$B$1000,Settings!$B$15)+SUMIFS(INDEX('Oxford Economics'!$A$7:$AZ$1000,0,IFERROR(MATCH(T$5,'Oxford Economics'!$A$6:$AZ$6,0),MATCH(T$5&amp;"",'Oxford Economics'!$A$6:$AZ$6,0))),'Oxford Economics'!$A$7:$A$1000,$C71,'Oxford Economics'!$B$7:$B$1000,Settings!$B$17)+IF(Settings!$B$19="",0,SUMIFS(INDEX('Oxford Economics'!$A$7:$AZ$1000,0,IFERROR(MATCH(T$5,'Oxford Economics'!$A$6:$AZ$6,0),MATCH(T$5&amp;"",'Oxford Economics'!$A$6:$AZ$6,0))),'Oxford Economics'!$A$7:$A$1000,$C71,'Oxford Economics'!$B$7:$B$1000,Settings!$B$19)))),""))</f>
        <v>11812.62</v>
      </c>
      <c r="U71" s="38" t="n">
        <f aca="false">IF($A71="","",IFERROR(1/(1/IF($B71="Residential",SUMIFS(INDEX('Oxford Economics'!$A$7:$AZ$1000,0,IFERROR(MATCH(U$5,'Oxford Economics'!$A$6:$AZ$6,0),MATCH(U$5&amp;"",'Oxford Economics'!$A$6:$AZ$6,0))),'Oxford Economics'!$A$7:$A$1000,$C71,'Oxford Economics'!$B$7:$B$1000,Settings!$B$13)-SUMIFS(INDEX('Oxford Economics'!$A$7:$AZ$1000,0,IFERROR(MATCH(U$5,'Oxford Economics'!$A$6:$AZ$6,0),MATCH(U$5&amp;"",'Oxford Economics'!$A$6:$AZ$6,0))),'Oxford Economics'!$A$7:$A$1000,$C71,'Oxford Economics'!$B$7:$B$1000,Settings!$B$15),SUMIFS(INDEX('Oxford Economics'!$A$7:$AZ$1000,0,IFERROR(MATCH(U$5,'Oxford Economics'!$A$6:$AZ$6,0),MATCH(U$5&amp;"",'Oxford Economics'!$A$6:$AZ$6,0))),'Oxford Economics'!$A$7:$A$1000,$C71,'Oxford Economics'!$B$7:$B$1000,Settings!$B$15)+SUMIFS(INDEX('Oxford Economics'!$A$7:$AZ$1000,0,IFERROR(MATCH(U$5,'Oxford Economics'!$A$6:$AZ$6,0),MATCH(U$5&amp;"",'Oxford Economics'!$A$6:$AZ$6,0))),'Oxford Economics'!$A$7:$A$1000,$C71,'Oxford Economics'!$B$7:$B$1000,Settings!$B$17)+IF(Settings!$B$19="",0,SUMIFS(INDEX('Oxford Economics'!$A$7:$AZ$1000,0,IFERROR(MATCH(U$5,'Oxford Economics'!$A$6:$AZ$6,0),MATCH(U$5&amp;"",'Oxford Economics'!$A$6:$AZ$6,0))),'Oxford Economics'!$A$7:$A$1000,$C71,'Oxford Economics'!$B$7:$B$1000,Settings!$B$19)))),""))</f>
        <v>11664.33</v>
      </c>
      <c r="V71" s="38" t="n">
        <f aca="false">IF($A71="","",IFERROR(1/(1/IF($B71="Residential",SUMIFS(INDEX('Oxford Economics'!$A$7:$AZ$1000,0,IFERROR(MATCH(V$5,'Oxford Economics'!$A$6:$AZ$6,0),MATCH(V$5&amp;"",'Oxford Economics'!$A$6:$AZ$6,0))),'Oxford Economics'!$A$7:$A$1000,$C71,'Oxford Economics'!$B$7:$B$1000,Settings!$B$13)-SUMIFS(INDEX('Oxford Economics'!$A$7:$AZ$1000,0,IFERROR(MATCH(V$5,'Oxford Economics'!$A$6:$AZ$6,0),MATCH(V$5&amp;"",'Oxford Economics'!$A$6:$AZ$6,0))),'Oxford Economics'!$A$7:$A$1000,$C71,'Oxford Economics'!$B$7:$B$1000,Settings!$B$15),SUMIFS(INDEX('Oxford Economics'!$A$7:$AZ$1000,0,IFERROR(MATCH(V$5,'Oxford Economics'!$A$6:$AZ$6,0),MATCH(V$5&amp;"",'Oxford Economics'!$A$6:$AZ$6,0))),'Oxford Economics'!$A$7:$A$1000,$C71,'Oxford Economics'!$B$7:$B$1000,Settings!$B$15)+SUMIFS(INDEX('Oxford Economics'!$A$7:$AZ$1000,0,IFERROR(MATCH(V$5,'Oxford Economics'!$A$6:$AZ$6,0),MATCH(V$5&amp;"",'Oxford Economics'!$A$6:$AZ$6,0))),'Oxford Economics'!$A$7:$A$1000,$C71,'Oxford Economics'!$B$7:$B$1000,Settings!$B$17)+IF(Settings!$B$19="",0,SUMIFS(INDEX('Oxford Economics'!$A$7:$AZ$1000,0,IFERROR(MATCH(V$5,'Oxford Economics'!$A$6:$AZ$6,0),MATCH(V$5&amp;"",'Oxford Economics'!$A$6:$AZ$6,0))),'Oxford Economics'!$A$7:$A$1000,$C71,'Oxford Economics'!$B$7:$B$1000,Settings!$B$19)))),""))</f>
        <v>11407.7</v>
      </c>
      <c r="W71" s="38" t="n">
        <f aca="false">IF($A71="","",IFERROR(1/(1/IF($B71="Residential",SUMIFS(INDEX('Oxford Economics'!$A$7:$AZ$1000,0,IFERROR(MATCH(W$5,'Oxford Economics'!$A$6:$AZ$6,0),MATCH(W$5&amp;"",'Oxford Economics'!$A$6:$AZ$6,0))),'Oxford Economics'!$A$7:$A$1000,$C71,'Oxford Economics'!$B$7:$B$1000,Settings!$B$13)-SUMIFS(INDEX('Oxford Economics'!$A$7:$AZ$1000,0,IFERROR(MATCH(W$5,'Oxford Economics'!$A$6:$AZ$6,0),MATCH(W$5&amp;"",'Oxford Economics'!$A$6:$AZ$6,0))),'Oxford Economics'!$A$7:$A$1000,$C71,'Oxford Economics'!$B$7:$B$1000,Settings!$B$15),SUMIFS(INDEX('Oxford Economics'!$A$7:$AZ$1000,0,IFERROR(MATCH(W$5,'Oxford Economics'!$A$6:$AZ$6,0),MATCH(W$5&amp;"",'Oxford Economics'!$A$6:$AZ$6,0))),'Oxford Economics'!$A$7:$A$1000,$C71,'Oxford Economics'!$B$7:$B$1000,Settings!$B$15)+SUMIFS(INDEX('Oxford Economics'!$A$7:$AZ$1000,0,IFERROR(MATCH(W$5,'Oxford Economics'!$A$6:$AZ$6,0),MATCH(W$5&amp;"",'Oxford Economics'!$A$6:$AZ$6,0))),'Oxford Economics'!$A$7:$A$1000,$C71,'Oxford Economics'!$B$7:$B$1000,Settings!$B$17)+IF(Settings!$B$19="",0,SUMIFS(INDEX('Oxford Economics'!$A$7:$AZ$1000,0,IFERROR(MATCH(W$5,'Oxford Economics'!$A$6:$AZ$6,0),MATCH(W$5&amp;"",'Oxford Economics'!$A$6:$AZ$6,0))),'Oxford Economics'!$A$7:$A$1000,$C71,'Oxford Economics'!$B$7:$B$1000,Settings!$B$19)))),""))</f>
        <v>11452.77</v>
      </c>
      <c r="X71" s="38" t="n">
        <f aca="false">IF($A71="","",IFERROR(1/(1/IF($B71="Residential",SUMIFS(INDEX('Oxford Economics'!$A$7:$AZ$1000,0,IFERROR(MATCH(X$5,'Oxford Economics'!$A$6:$AZ$6,0),MATCH(X$5&amp;"",'Oxford Economics'!$A$6:$AZ$6,0))),'Oxford Economics'!$A$7:$A$1000,$C71,'Oxford Economics'!$B$7:$B$1000,Settings!$B$13)-SUMIFS(INDEX('Oxford Economics'!$A$7:$AZ$1000,0,IFERROR(MATCH(X$5,'Oxford Economics'!$A$6:$AZ$6,0),MATCH(X$5&amp;"",'Oxford Economics'!$A$6:$AZ$6,0))),'Oxford Economics'!$A$7:$A$1000,$C71,'Oxford Economics'!$B$7:$B$1000,Settings!$B$15),SUMIFS(INDEX('Oxford Economics'!$A$7:$AZ$1000,0,IFERROR(MATCH(X$5,'Oxford Economics'!$A$6:$AZ$6,0),MATCH(X$5&amp;"",'Oxford Economics'!$A$6:$AZ$6,0))),'Oxford Economics'!$A$7:$A$1000,$C71,'Oxford Economics'!$B$7:$B$1000,Settings!$B$15)+SUMIFS(INDEX('Oxford Economics'!$A$7:$AZ$1000,0,IFERROR(MATCH(X$5,'Oxford Economics'!$A$6:$AZ$6,0),MATCH(X$5&amp;"",'Oxford Economics'!$A$6:$AZ$6,0))),'Oxford Economics'!$A$7:$A$1000,$C71,'Oxford Economics'!$B$7:$B$1000,Settings!$B$17)+IF(Settings!$B$19="",0,SUMIFS(INDEX('Oxford Economics'!$A$7:$AZ$1000,0,IFERROR(MATCH(X$5,'Oxford Economics'!$A$6:$AZ$6,0),MATCH(X$5&amp;"",'Oxford Economics'!$A$6:$AZ$6,0))),'Oxford Economics'!$A$7:$A$1000,$C71,'Oxford Economics'!$B$7:$B$1000,Settings!$B$19)))),""))</f>
        <v>11648.99</v>
      </c>
      <c r="Y71" s="38" t="n">
        <f aca="false">IF($A71="","",IFERROR(1/(1/IF($B71="Residential",SUMIFS(INDEX('Oxford Economics'!$A$7:$AZ$1000,0,IFERROR(MATCH(Y$5,'Oxford Economics'!$A$6:$AZ$6,0),MATCH(Y$5&amp;"",'Oxford Economics'!$A$6:$AZ$6,0))),'Oxford Economics'!$A$7:$A$1000,$C71,'Oxford Economics'!$B$7:$B$1000,Settings!$B$13)-SUMIFS(INDEX('Oxford Economics'!$A$7:$AZ$1000,0,IFERROR(MATCH(Y$5,'Oxford Economics'!$A$6:$AZ$6,0),MATCH(Y$5&amp;"",'Oxford Economics'!$A$6:$AZ$6,0))),'Oxford Economics'!$A$7:$A$1000,$C71,'Oxford Economics'!$B$7:$B$1000,Settings!$B$15),SUMIFS(INDEX('Oxford Economics'!$A$7:$AZ$1000,0,IFERROR(MATCH(Y$5,'Oxford Economics'!$A$6:$AZ$6,0),MATCH(Y$5&amp;"",'Oxford Economics'!$A$6:$AZ$6,0))),'Oxford Economics'!$A$7:$A$1000,$C71,'Oxford Economics'!$B$7:$B$1000,Settings!$B$15)+SUMIFS(INDEX('Oxford Economics'!$A$7:$AZ$1000,0,IFERROR(MATCH(Y$5,'Oxford Economics'!$A$6:$AZ$6,0),MATCH(Y$5&amp;"",'Oxford Economics'!$A$6:$AZ$6,0))),'Oxford Economics'!$A$7:$A$1000,$C71,'Oxford Economics'!$B$7:$B$1000,Settings!$B$17)+IF(Settings!$B$19="",0,SUMIFS(INDEX('Oxford Economics'!$A$7:$AZ$1000,0,IFERROR(MATCH(Y$5,'Oxford Economics'!$A$6:$AZ$6,0),MATCH(Y$5&amp;"",'Oxford Economics'!$A$6:$AZ$6,0))),'Oxford Economics'!$A$7:$A$1000,$C71,'Oxford Economics'!$B$7:$B$1000,Settings!$B$19)))),""))</f>
        <v>11734.78</v>
      </c>
      <c r="Z71" s="38" t="n">
        <f aca="false">IF($A71="","",IFERROR(1/(1/IF($B71="Residential",SUMIFS(INDEX('Oxford Economics'!$A$7:$AZ$1000,0,IFERROR(MATCH(Z$5,'Oxford Economics'!$A$6:$AZ$6,0),MATCH(Z$5&amp;"",'Oxford Economics'!$A$6:$AZ$6,0))),'Oxford Economics'!$A$7:$A$1000,$C71,'Oxford Economics'!$B$7:$B$1000,Settings!$B$13)-SUMIFS(INDEX('Oxford Economics'!$A$7:$AZ$1000,0,IFERROR(MATCH(Z$5,'Oxford Economics'!$A$6:$AZ$6,0),MATCH(Z$5&amp;"",'Oxford Economics'!$A$6:$AZ$6,0))),'Oxford Economics'!$A$7:$A$1000,$C71,'Oxford Economics'!$B$7:$B$1000,Settings!$B$15),SUMIFS(INDEX('Oxford Economics'!$A$7:$AZ$1000,0,IFERROR(MATCH(Z$5,'Oxford Economics'!$A$6:$AZ$6,0),MATCH(Z$5&amp;"",'Oxford Economics'!$A$6:$AZ$6,0))),'Oxford Economics'!$A$7:$A$1000,$C71,'Oxford Economics'!$B$7:$B$1000,Settings!$B$15)+SUMIFS(INDEX('Oxford Economics'!$A$7:$AZ$1000,0,IFERROR(MATCH(Z$5,'Oxford Economics'!$A$6:$AZ$6,0),MATCH(Z$5&amp;"",'Oxford Economics'!$A$6:$AZ$6,0))),'Oxford Economics'!$A$7:$A$1000,$C71,'Oxford Economics'!$B$7:$B$1000,Settings!$B$17)+IF(Settings!$B$19="",0,SUMIFS(INDEX('Oxford Economics'!$A$7:$AZ$1000,0,IFERROR(MATCH(Z$5,'Oxford Economics'!$A$6:$AZ$6,0),MATCH(Z$5&amp;"",'Oxford Economics'!$A$6:$AZ$6,0))),'Oxford Economics'!$A$7:$A$1000,$C71,'Oxford Economics'!$B$7:$B$1000,Settings!$B$19)))),""))</f>
        <v>11792.48</v>
      </c>
      <c r="AA71" s="38" t="n">
        <f aca="false">IF($A71="","",IFERROR(1/(1/IF($B71="Residential",SUMIFS(INDEX('Oxford Economics'!$A$7:$AZ$1000,0,IFERROR(MATCH(AA$5,'Oxford Economics'!$A$6:$AZ$6,0),MATCH(AA$5&amp;"",'Oxford Economics'!$A$6:$AZ$6,0))),'Oxford Economics'!$A$7:$A$1000,$C71,'Oxford Economics'!$B$7:$B$1000,Settings!$B$13)-SUMIFS(INDEX('Oxford Economics'!$A$7:$AZ$1000,0,IFERROR(MATCH(AA$5,'Oxford Economics'!$A$6:$AZ$6,0),MATCH(AA$5&amp;"",'Oxford Economics'!$A$6:$AZ$6,0))),'Oxford Economics'!$A$7:$A$1000,$C71,'Oxford Economics'!$B$7:$B$1000,Settings!$B$15),SUMIFS(INDEX('Oxford Economics'!$A$7:$AZ$1000,0,IFERROR(MATCH(AA$5,'Oxford Economics'!$A$6:$AZ$6,0),MATCH(AA$5&amp;"",'Oxford Economics'!$A$6:$AZ$6,0))),'Oxford Economics'!$A$7:$A$1000,$C71,'Oxford Economics'!$B$7:$B$1000,Settings!$B$15)+SUMIFS(INDEX('Oxford Economics'!$A$7:$AZ$1000,0,IFERROR(MATCH(AA$5,'Oxford Economics'!$A$6:$AZ$6,0),MATCH(AA$5&amp;"",'Oxford Economics'!$A$6:$AZ$6,0))),'Oxford Economics'!$A$7:$A$1000,$C71,'Oxford Economics'!$B$7:$B$1000,Settings!$B$17)+IF(Settings!$B$19="",0,SUMIFS(INDEX('Oxford Economics'!$A$7:$AZ$1000,0,IFERROR(MATCH(AA$5,'Oxford Economics'!$A$6:$AZ$6,0),MATCH(AA$5&amp;"",'Oxford Economics'!$A$6:$AZ$6,0))),'Oxford Economics'!$A$7:$A$1000,$C71,'Oxford Economics'!$B$7:$B$1000,Settings!$B$19)))),""))</f>
        <v>11942.62</v>
      </c>
      <c r="AB71" s="38" t="n">
        <f aca="false">IF($A71="","",IFERROR(1/(1/IF($B71="Residential",SUMIFS(INDEX('Oxford Economics'!$A$7:$AZ$1000,0,IFERROR(MATCH(AB$5,'Oxford Economics'!$A$6:$AZ$6,0),MATCH(AB$5&amp;"",'Oxford Economics'!$A$6:$AZ$6,0))),'Oxford Economics'!$A$7:$A$1000,$C71,'Oxford Economics'!$B$7:$B$1000,Settings!$B$12)-SUMIFS(INDEX('Oxford Economics'!$A$7:$AZ$1000,0,IFERROR(MATCH(AB$5,'Oxford Economics'!$A$6:$AZ$6,0),MATCH(AB$5&amp;"",'Oxford Economics'!$A$6:$AZ$6,0))),'Oxford Economics'!$A$7:$A$1000,$C71,'Oxford Economics'!$B$7:$B$1000,Settings!$B$14),SUMIFS(INDEX('Oxford Economics'!$A$7:$AZ$1000,0,IFERROR(MATCH(AB$5,'Oxford Economics'!$A$6:$AZ$6,0),MATCH(AB$5&amp;"",'Oxford Economics'!$A$6:$AZ$6,0))),'Oxford Economics'!$A$7:$A$1000,$C71,'Oxford Economics'!$B$7:$B$1000,Settings!$B$14)+SUMIFS(INDEX('Oxford Economics'!$A$7:$AZ$1000,0,IFERROR(MATCH(AB$5,'Oxford Economics'!$A$6:$AZ$6,0),MATCH(AB$5&amp;"",'Oxford Economics'!$A$6:$AZ$6,0))),'Oxford Economics'!$A$7:$A$1000,$C71,'Oxford Economics'!$B$7:$B$1000,Settings!$B$16)+IF(Settings!$B$18="",0,SUMIFS(INDEX('Oxford Economics'!$A$7:$AZ$1000,0,IFERROR(MATCH(AB$5,'Oxford Economics'!$A$6:$AZ$6,0),MATCH(AB$5&amp;"",'Oxford Economics'!$A$6:$AZ$6,0))),'Oxford Economics'!$A$7:$A$1000,$C71,'Oxford Economics'!$B$7:$B$1000,Settings!$B$18)))),""))</f>
        <v>23046.31</v>
      </c>
      <c r="AC71" s="38" t="n">
        <f aca="false">IF($A71="","",IFERROR(1/(1/IF($B71="Residential",SUMIFS(INDEX('Oxford Economics'!$A$7:$AZ$1000,0,IFERROR(MATCH(AC$5,'Oxford Economics'!$A$6:$AZ$6,0),MATCH(AC$5&amp;"",'Oxford Economics'!$A$6:$AZ$6,0))),'Oxford Economics'!$A$7:$A$1000,$C71,'Oxford Economics'!$B$7:$B$1000,Settings!$B$12)-SUMIFS(INDEX('Oxford Economics'!$A$7:$AZ$1000,0,IFERROR(MATCH(AC$5,'Oxford Economics'!$A$6:$AZ$6,0),MATCH(AC$5&amp;"",'Oxford Economics'!$A$6:$AZ$6,0))),'Oxford Economics'!$A$7:$A$1000,$C71,'Oxford Economics'!$B$7:$B$1000,Settings!$B$14),SUMIFS(INDEX('Oxford Economics'!$A$7:$AZ$1000,0,IFERROR(MATCH(AC$5,'Oxford Economics'!$A$6:$AZ$6,0),MATCH(AC$5&amp;"",'Oxford Economics'!$A$6:$AZ$6,0))),'Oxford Economics'!$A$7:$A$1000,$C71,'Oxford Economics'!$B$7:$B$1000,Settings!$B$14)+SUMIFS(INDEX('Oxford Economics'!$A$7:$AZ$1000,0,IFERROR(MATCH(AC$5,'Oxford Economics'!$A$6:$AZ$6,0),MATCH(AC$5&amp;"",'Oxford Economics'!$A$6:$AZ$6,0))),'Oxford Economics'!$A$7:$A$1000,$C71,'Oxford Economics'!$B$7:$B$1000,Settings!$B$16)+IF(Settings!$B$18="",0,SUMIFS(INDEX('Oxford Economics'!$A$7:$AZ$1000,0,IFERROR(MATCH(AC$5,'Oxford Economics'!$A$6:$AZ$6,0),MATCH(AC$5&amp;"",'Oxford Economics'!$A$6:$AZ$6,0))),'Oxford Economics'!$A$7:$A$1000,$C71,'Oxford Economics'!$B$7:$B$1000,Settings!$B$18)))),""))</f>
        <v>22898.49</v>
      </c>
      <c r="AD71" s="38" t="n">
        <f aca="false">IF($A71="","",IFERROR(1/(1/IF($B71="Residential",SUMIFS(INDEX('Oxford Economics'!$A$7:$AZ$1000,0,IFERROR(MATCH(AD$5,'Oxford Economics'!$A$6:$AZ$6,0),MATCH(AD$5&amp;"",'Oxford Economics'!$A$6:$AZ$6,0))),'Oxford Economics'!$A$7:$A$1000,$C71,'Oxford Economics'!$B$7:$B$1000,Settings!$B$12)-SUMIFS(INDEX('Oxford Economics'!$A$7:$AZ$1000,0,IFERROR(MATCH(AD$5,'Oxford Economics'!$A$6:$AZ$6,0),MATCH(AD$5&amp;"",'Oxford Economics'!$A$6:$AZ$6,0))),'Oxford Economics'!$A$7:$A$1000,$C71,'Oxford Economics'!$B$7:$B$1000,Settings!$B$14),SUMIFS(INDEX('Oxford Economics'!$A$7:$AZ$1000,0,IFERROR(MATCH(AD$5,'Oxford Economics'!$A$6:$AZ$6,0),MATCH(AD$5&amp;"",'Oxford Economics'!$A$6:$AZ$6,0))),'Oxford Economics'!$A$7:$A$1000,$C71,'Oxford Economics'!$B$7:$B$1000,Settings!$B$14)+SUMIFS(INDEX('Oxford Economics'!$A$7:$AZ$1000,0,IFERROR(MATCH(AD$5,'Oxford Economics'!$A$6:$AZ$6,0),MATCH(AD$5&amp;"",'Oxford Economics'!$A$6:$AZ$6,0))),'Oxford Economics'!$A$7:$A$1000,$C71,'Oxford Economics'!$B$7:$B$1000,Settings!$B$16)+IF(Settings!$B$18="",0,SUMIFS(INDEX('Oxford Economics'!$A$7:$AZ$1000,0,IFERROR(MATCH(AD$5,'Oxford Economics'!$A$6:$AZ$6,0),MATCH(AD$5&amp;"",'Oxford Economics'!$A$6:$AZ$6,0))),'Oxford Economics'!$A$7:$A$1000,$C71,'Oxford Economics'!$B$7:$B$1000,Settings!$B$18)))),""))</f>
        <v>21890.47</v>
      </c>
      <c r="AE71" s="38" t="n">
        <f aca="false">IF($A71="","",IFERROR(1/(1/IF($B71="Residential",SUMIFS(INDEX('Oxford Economics'!$A$7:$AZ$1000,0,IFERROR(MATCH(AE$5,'Oxford Economics'!$A$6:$AZ$6,0),MATCH(AE$5&amp;"",'Oxford Economics'!$A$6:$AZ$6,0))),'Oxford Economics'!$A$7:$A$1000,$C71,'Oxford Economics'!$B$7:$B$1000,Settings!$B$12)-SUMIFS(INDEX('Oxford Economics'!$A$7:$AZ$1000,0,IFERROR(MATCH(AE$5,'Oxford Economics'!$A$6:$AZ$6,0),MATCH(AE$5&amp;"",'Oxford Economics'!$A$6:$AZ$6,0))),'Oxford Economics'!$A$7:$A$1000,$C71,'Oxford Economics'!$B$7:$B$1000,Settings!$B$14),SUMIFS(INDEX('Oxford Economics'!$A$7:$AZ$1000,0,IFERROR(MATCH(AE$5,'Oxford Economics'!$A$6:$AZ$6,0),MATCH(AE$5&amp;"",'Oxford Economics'!$A$6:$AZ$6,0))),'Oxford Economics'!$A$7:$A$1000,$C71,'Oxford Economics'!$B$7:$B$1000,Settings!$B$14)+SUMIFS(INDEX('Oxford Economics'!$A$7:$AZ$1000,0,IFERROR(MATCH(AE$5,'Oxford Economics'!$A$6:$AZ$6,0),MATCH(AE$5&amp;"",'Oxford Economics'!$A$6:$AZ$6,0))),'Oxford Economics'!$A$7:$A$1000,$C71,'Oxford Economics'!$B$7:$B$1000,Settings!$B$16)+IF(Settings!$B$18="",0,SUMIFS(INDEX('Oxford Economics'!$A$7:$AZ$1000,0,IFERROR(MATCH(AE$5,'Oxford Economics'!$A$6:$AZ$6,0),MATCH(AE$5&amp;"",'Oxford Economics'!$A$6:$AZ$6,0))),'Oxford Economics'!$A$7:$A$1000,$C71,'Oxford Economics'!$B$7:$B$1000,Settings!$B$18)))),""))</f>
        <v>21265.75</v>
      </c>
      <c r="AF71" s="38" t="n">
        <f aca="false">IF($A71="","",IFERROR(1/(1/IF($B71="Residential",SUMIFS(INDEX('Oxford Economics'!$A$7:$AZ$1000,0,IFERROR(MATCH(AF$5,'Oxford Economics'!$A$6:$AZ$6,0),MATCH(AF$5&amp;"",'Oxford Economics'!$A$6:$AZ$6,0))),'Oxford Economics'!$A$7:$A$1000,$C71,'Oxford Economics'!$B$7:$B$1000,Settings!$B$12)-SUMIFS(INDEX('Oxford Economics'!$A$7:$AZ$1000,0,IFERROR(MATCH(AF$5,'Oxford Economics'!$A$6:$AZ$6,0),MATCH(AF$5&amp;"",'Oxford Economics'!$A$6:$AZ$6,0))),'Oxford Economics'!$A$7:$A$1000,$C71,'Oxford Economics'!$B$7:$B$1000,Settings!$B$14),SUMIFS(INDEX('Oxford Economics'!$A$7:$AZ$1000,0,IFERROR(MATCH(AF$5,'Oxford Economics'!$A$6:$AZ$6,0),MATCH(AF$5&amp;"",'Oxford Economics'!$A$6:$AZ$6,0))),'Oxford Economics'!$A$7:$A$1000,$C71,'Oxford Economics'!$B$7:$B$1000,Settings!$B$14)+SUMIFS(INDEX('Oxford Economics'!$A$7:$AZ$1000,0,IFERROR(MATCH(AF$5,'Oxford Economics'!$A$6:$AZ$6,0),MATCH(AF$5&amp;"",'Oxford Economics'!$A$6:$AZ$6,0))),'Oxford Economics'!$A$7:$A$1000,$C71,'Oxford Economics'!$B$7:$B$1000,Settings!$B$16)+IF(Settings!$B$18="",0,SUMIFS(INDEX('Oxford Economics'!$A$7:$AZ$1000,0,IFERROR(MATCH(AF$5,'Oxford Economics'!$A$6:$AZ$6,0),MATCH(AF$5&amp;"",'Oxford Economics'!$A$6:$AZ$6,0))),'Oxford Economics'!$A$7:$A$1000,$C71,'Oxford Economics'!$B$7:$B$1000,Settings!$B$18)))),""))</f>
        <v>21014.39</v>
      </c>
      <c r="AG71" s="38" t="n">
        <f aca="false">IF($A71="","",IFERROR(1/(1/IF($B71="Residential",SUMIFS(INDEX('Oxford Economics'!$A$7:$AZ$1000,0,IFERROR(MATCH(AG$5,'Oxford Economics'!$A$6:$AZ$6,0),MATCH(AG$5&amp;"",'Oxford Economics'!$A$6:$AZ$6,0))),'Oxford Economics'!$A$7:$A$1000,$C71,'Oxford Economics'!$B$7:$B$1000,Settings!$B$12)-SUMIFS(INDEX('Oxford Economics'!$A$7:$AZ$1000,0,IFERROR(MATCH(AG$5,'Oxford Economics'!$A$6:$AZ$6,0),MATCH(AG$5&amp;"",'Oxford Economics'!$A$6:$AZ$6,0))),'Oxford Economics'!$A$7:$A$1000,$C71,'Oxford Economics'!$B$7:$B$1000,Settings!$B$14),SUMIFS(INDEX('Oxford Economics'!$A$7:$AZ$1000,0,IFERROR(MATCH(AG$5,'Oxford Economics'!$A$6:$AZ$6,0),MATCH(AG$5&amp;"",'Oxford Economics'!$A$6:$AZ$6,0))),'Oxford Economics'!$A$7:$A$1000,$C71,'Oxford Economics'!$B$7:$B$1000,Settings!$B$14)+SUMIFS(INDEX('Oxford Economics'!$A$7:$AZ$1000,0,IFERROR(MATCH(AG$5,'Oxford Economics'!$A$6:$AZ$6,0),MATCH(AG$5&amp;"",'Oxford Economics'!$A$6:$AZ$6,0))),'Oxford Economics'!$A$7:$A$1000,$C71,'Oxford Economics'!$B$7:$B$1000,Settings!$B$16)+IF(Settings!$B$18="",0,SUMIFS(INDEX('Oxford Economics'!$A$7:$AZ$1000,0,IFERROR(MATCH(AG$5,'Oxford Economics'!$A$6:$AZ$6,0),MATCH(AG$5&amp;"",'Oxford Economics'!$A$6:$AZ$6,0))),'Oxford Economics'!$A$7:$A$1000,$C71,'Oxford Economics'!$B$7:$B$1000,Settings!$B$18)))),""))</f>
        <v>21937.89</v>
      </c>
      <c r="AH71" s="38" t="n">
        <f aca="false">IF($A71="","",IFERROR(1/(1/IF($B71="Residential",SUMIFS(INDEX('Oxford Economics'!$A$7:$AZ$1000,0,IFERROR(MATCH(AH$5,'Oxford Economics'!$A$6:$AZ$6,0),MATCH(AH$5&amp;"",'Oxford Economics'!$A$6:$AZ$6,0))),'Oxford Economics'!$A$7:$A$1000,$C71,'Oxford Economics'!$B$7:$B$1000,Settings!$B$12)-SUMIFS(INDEX('Oxford Economics'!$A$7:$AZ$1000,0,IFERROR(MATCH(AH$5,'Oxford Economics'!$A$6:$AZ$6,0),MATCH(AH$5&amp;"",'Oxford Economics'!$A$6:$AZ$6,0))),'Oxford Economics'!$A$7:$A$1000,$C71,'Oxford Economics'!$B$7:$B$1000,Settings!$B$14),SUMIFS(INDEX('Oxford Economics'!$A$7:$AZ$1000,0,IFERROR(MATCH(AH$5,'Oxford Economics'!$A$6:$AZ$6,0),MATCH(AH$5&amp;"",'Oxford Economics'!$A$6:$AZ$6,0))),'Oxford Economics'!$A$7:$A$1000,$C71,'Oxford Economics'!$B$7:$B$1000,Settings!$B$14)+SUMIFS(INDEX('Oxford Economics'!$A$7:$AZ$1000,0,IFERROR(MATCH(AH$5,'Oxford Economics'!$A$6:$AZ$6,0),MATCH(AH$5&amp;"",'Oxford Economics'!$A$6:$AZ$6,0))),'Oxford Economics'!$A$7:$A$1000,$C71,'Oxford Economics'!$B$7:$B$1000,Settings!$B$16)+IF(Settings!$B$18="",0,SUMIFS(INDEX('Oxford Economics'!$A$7:$AZ$1000,0,IFERROR(MATCH(AH$5,'Oxford Economics'!$A$6:$AZ$6,0),MATCH(AH$5&amp;"",'Oxford Economics'!$A$6:$AZ$6,0))),'Oxford Economics'!$A$7:$A$1000,$C71,'Oxford Economics'!$B$7:$B$1000,Settings!$B$18)))),""))</f>
        <v>22946.99</v>
      </c>
      <c r="AI71" s="38" t="n">
        <f aca="false">IF($A71="","",IFERROR(1/(1/IF($B71="Residential",SUMIFS(INDEX('Oxford Economics'!$A$7:$AZ$1000,0,IFERROR(MATCH(AI$5,'Oxford Economics'!$A$6:$AZ$6,0),MATCH(AI$5&amp;"",'Oxford Economics'!$A$6:$AZ$6,0))),'Oxford Economics'!$A$7:$A$1000,$C71,'Oxford Economics'!$B$7:$B$1000,Settings!$B$12)-SUMIFS(INDEX('Oxford Economics'!$A$7:$AZ$1000,0,IFERROR(MATCH(AI$5,'Oxford Economics'!$A$6:$AZ$6,0),MATCH(AI$5&amp;"",'Oxford Economics'!$A$6:$AZ$6,0))),'Oxford Economics'!$A$7:$A$1000,$C71,'Oxford Economics'!$B$7:$B$1000,Settings!$B$14),SUMIFS(INDEX('Oxford Economics'!$A$7:$AZ$1000,0,IFERROR(MATCH(AI$5,'Oxford Economics'!$A$6:$AZ$6,0),MATCH(AI$5&amp;"",'Oxford Economics'!$A$6:$AZ$6,0))),'Oxford Economics'!$A$7:$A$1000,$C71,'Oxford Economics'!$B$7:$B$1000,Settings!$B$14)+SUMIFS(INDEX('Oxford Economics'!$A$7:$AZ$1000,0,IFERROR(MATCH(AI$5,'Oxford Economics'!$A$6:$AZ$6,0),MATCH(AI$5&amp;"",'Oxford Economics'!$A$6:$AZ$6,0))),'Oxford Economics'!$A$7:$A$1000,$C71,'Oxford Economics'!$B$7:$B$1000,Settings!$B$16)+IF(Settings!$B$18="",0,SUMIFS(INDEX('Oxford Economics'!$A$7:$AZ$1000,0,IFERROR(MATCH(AI$5,'Oxford Economics'!$A$6:$AZ$6,0),MATCH(AI$5&amp;"",'Oxford Economics'!$A$6:$AZ$6,0))),'Oxford Economics'!$A$7:$A$1000,$C71,'Oxford Economics'!$B$7:$B$1000,Settings!$B$18)))),""))</f>
        <v>24110.67</v>
      </c>
      <c r="AJ71" s="38" t="n">
        <f aca="false">IF($A71="","",IFERROR(1/(1/IF($B71="Residential",SUMIFS(INDEX('Oxford Economics'!$A$7:$AZ$1000,0,IFERROR(MATCH(AJ$5,'Oxford Economics'!$A$6:$AZ$6,0),MATCH(AJ$5&amp;"",'Oxford Economics'!$A$6:$AZ$6,0))),'Oxford Economics'!$A$7:$A$1000,$C71,'Oxford Economics'!$B$7:$B$1000,Settings!$B$12)-SUMIFS(INDEX('Oxford Economics'!$A$7:$AZ$1000,0,IFERROR(MATCH(AJ$5,'Oxford Economics'!$A$6:$AZ$6,0),MATCH(AJ$5&amp;"",'Oxford Economics'!$A$6:$AZ$6,0))),'Oxford Economics'!$A$7:$A$1000,$C71,'Oxford Economics'!$B$7:$B$1000,Settings!$B$14),SUMIFS(INDEX('Oxford Economics'!$A$7:$AZ$1000,0,IFERROR(MATCH(AJ$5,'Oxford Economics'!$A$6:$AZ$6,0),MATCH(AJ$5&amp;"",'Oxford Economics'!$A$6:$AZ$6,0))),'Oxford Economics'!$A$7:$A$1000,$C71,'Oxford Economics'!$B$7:$B$1000,Settings!$B$14)+SUMIFS(INDEX('Oxford Economics'!$A$7:$AZ$1000,0,IFERROR(MATCH(AJ$5,'Oxford Economics'!$A$6:$AZ$6,0),MATCH(AJ$5&amp;"",'Oxford Economics'!$A$6:$AZ$6,0))),'Oxford Economics'!$A$7:$A$1000,$C71,'Oxford Economics'!$B$7:$B$1000,Settings!$B$16)+IF(Settings!$B$18="",0,SUMIFS(INDEX('Oxford Economics'!$A$7:$AZ$1000,0,IFERROR(MATCH(AJ$5,'Oxford Economics'!$A$6:$AZ$6,0),MATCH(AJ$5&amp;"",'Oxford Economics'!$A$6:$AZ$6,0))),'Oxford Economics'!$A$7:$A$1000,$C71,'Oxford Economics'!$B$7:$B$1000,Settings!$B$18)))),""))</f>
        <v>25461.56</v>
      </c>
      <c r="AK71" s="38" t="n">
        <f aca="false">IF($A71="","",IFERROR(1/(1/IF($B71="Residential",SUMIFS(INDEX('Oxford Economics'!$A$7:$AZ$1000,0,IFERROR(MATCH(AK$5,'Oxford Economics'!$A$6:$AZ$6,0),MATCH(AK$5&amp;"",'Oxford Economics'!$A$6:$AZ$6,0))),'Oxford Economics'!$A$7:$A$1000,$C71,'Oxford Economics'!$B$7:$B$1000,Settings!$B$12)-SUMIFS(INDEX('Oxford Economics'!$A$7:$AZ$1000,0,IFERROR(MATCH(AK$5,'Oxford Economics'!$A$6:$AZ$6,0),MATCH(AK$5&amp;"",'Oxford Economics'!$A$6:$AZ$6,0))),'Oxford Economics'!$A$7:$A$1000,$C71,'Oxford Economics'!$B$7:$B$1000,Settings!$B$14),SUMIFS(INDEX('Oxford Economics'!$A$7:$AZ$1000,0,IFERROR(MATCH(AK$5,'Oxford Economics'!$A$6:$AZ$6,0),MATCH(AK$5&amp;"",'Oxford Economics'!$A$6:$AZ$6,0))),'Oxford Economics'!$A$7:$A$1000,$C71,'Oxford Economics'!$B$7:$B$1000,Settings!$B$14)+SUMIFS(INDEX('Oxford Economics'!$A$7:$AZ$1000,0,IFERROR(MATCH(AK$5,'Oxford Economics'!$A$6:$AZ$6,0),MATCH(AK$5&amp;"",'Oxford Economics'!$A$6:$AZ$6,0))),'Oxford Economics'!$A$7:$A$1000,$C71,'Oxford Economics'!$B$7:$B$1000,Settings!$B$16)+IF(Settings!$B$18="",0,SUMIFS(INDEX('Oxford Economics'!$A$7:$AZ$1000,0,IFERROR(MATCH(AK$5,'Oxford Economics'!$A$6:$AZ$6,0),MATCH(AK$5&amp;"",'Oxford Economics'!$A$6:$AZ$6,0))),'Oxford Economics'!$A$7:$A$1000,$C71,'Oxford Economics'!$B$7:$B$1000,Settings!$B$18)))),""))</f>
        <v>26186</v>
      </c>
      <c r="AL71" s="38" t="n">
        <f aca="false">IF($A71="","",IFERROR(1/(1/IF($B71="Residential",SUMIFS(INDEX('Oxford Economics'!$A$7:$AZ$1000,0,IFERROR(MATCH(AL$5,'Oxford Economics'!$A$6:$AZ$6,0),MATCH(AL$5&amp;"",'Oxford Economics'!$A$6:$AZ$6,0))),'Oxford Economics'!$A$7:$A$1000,$C71,'Oxford Economics'!$B$7:$B$1000,Settings!$B$12)-SUMIFS(INDEX('Oxford Economics'!$A$7:$AZ$1000,0,IFERROR(MATCH(AL$5,'Oxford Economics'!$A$6:$AZ$6,0),MATCH(AL$5&amp;"",'Oxford Economics'!$A$6:$AZ$6,0))),'Oxford Economics'!$A$7:$A$1000,$C71,'Oxford Economics'!$B$7:$B$1000,Settings!$B$14),SUMIFS(INDEX('Oxford Economics'!$A$7:$AZ$1000,0,IFERROR(MATCH(AL$5,'Oxford Economics'!$A$6:$AZ$6,0),MATCH(AL$5&amp;"",'Oxford Economics'!$A$6:$AZ$6,0))),'Oxford Economics'!$A$7:$A$1000,$C71,'Oxford Economics'!$B$7:$B$1000,Settings!$B$14)+SUMIFS(INDEX('Oxford Economics'!$A$7:$AZ$1000,0,IFERROR(MATCH(AL$5,'Oxford Economics'!$A$6:$AZ$6,0),MATCH(AL$5&amp;"",'Oxford Economics'!$A$6:$AZ$6,0))),'Oxford Economics'!$A$7:$A$1000,$C71,'Oxford Economics'!$B$7:$B$1000,Settings!$B$16)+IF(Settings!$B$18="",0,SUMIFS(INDEX('Oxford Economics'!$A$7:$AZ$1000,0,IFERROR(MATCH(AL$5,'Oxford Economics'!$A$6:$AZ$6,0),MATCH(AL$5&amp;"",'Oxford Economics'!$A$6:$AZ$6,0))),'Oxford Economics'!$A$7:$A$1000,$C71,'Oxford Economics'!$B$7:$B$1000,Settings!$B$18)))),""))</f>
        <v>26772.33</v>
      </c>
      <c r="AM71" s="38" t="n">
        <f aca="false">IF($A71="","",IFERROR(1/(1/IF($B71="Residential",SUMIFS(INDEX('Oxford Economics'!$A$7:$AZ$1000,0,IFERROR(MATCH(AM$5,'Oxford Economics'!$A$6:$AZ$6,0),MATCH(AM$5&amp;"",'Oxford Economics'!$A$6:$AZ$6,0))),'Oxford Economics'!$A$7:$A$1000,$C71,'Oxford Economics'!$B$7:$B$1000,Settings!$B$12)-SUMIFS(INDEX('Oxford Economics'!$A$7:$AZ$1000,0,IFERROR(MATCH(AM$5,'Oxford Economics'!$A$6:$AZ$6,0),MATCH(AM$5&amp;"",'Oxford Economics'!$A$6:$AZ$6,0))),'Oxford Economics'!$A$7:$A$1000,$C71,'Oxford Economics'!$B$7:$B$1000,Settings!$B$14),SUMIFS(INDEX('Oxford Economics'!$A$7:$AZ$1000,0,IFERROR(MATCH(AM$5,'Oxford Economics'!$A$6:$AZ$6,0),MATCH(AM$5&amp;"",'Oxford Economics'!$A$6:$AZ$6,0))),'Oxford Economics'!$A$7:$A$1000,$C71,'Oxford Economics'!$B$7:$B$1000,Settings!$B$14)+SUMIFS(INDEX('Oxford Economics'!$A$7:$AZ$1000,0,IFERROR(MATCH(AM$5,'Oxford Economics'!$A$6:$AZ$6,0),MATCH(AM$5&amp;"",'Oxford Economics'!$A$6:$AZ$6,0))),'Oxford Economics'!$A$7:$A$1000,$C71,'Oxford Economics'!$B$7:$B$1000,Settings!$B$16)+IF(Settings!$B$18="",0,SUMIFS(INDEX('Oxford Economics'!$A$7:$AZ$1000,0,IFERROR(MATCH(AM$5,'Oxford Economics'!$A$6:$AZ$6,0),MATCH(AM$5&amp;"",'Oxford Economics'!$A$6:$AZ$6,0))),'Oxford Economics'!$A$7:$A$1000,$C71,'Oxford Economics'!$B$7:$B$1000,Settings!$B$18)))),""))</f>
        <v>27633.52</v>
      </c>
    </row>
    <row r="72" customFormat="false" ht="15" hidden="false" customHeight="false" outlineLevel="0" collapsed="false">
      <c r="A72" s="37" t="str">
        <f aca="false">IF('Raw data'!$A72="","",'Raw data'!$A72)</f>
        <v>United Kingdom</v>
      </c>
      <c r="B72" s="37" t="str">
        <f aca="false">IF($A72="","",'Raw data'!$C72)</f>
        <v>Residential</v>
      </c>
      <c r="C72" s="37" t="str">
        <f aca="false">IF($A72="","",IF('Raw data'!$E72="",$A72,'Raw data'!$E72))</f>
        <v>United Kingdom</v>
      </c>
      <c r="D72" s="38" t="n">
        <f aca="false">IF($A72="","",IF(AND(ISNUMBER(P72),ISNUMBER(AB72)),P72+AB72,""))</f>
        <v>71856.63</v>
      </c>
      <c r="E72" s="38" t="n">
        <f aca="false">IF($A72="","",IF(AND(ISNUMBER(Q72),ISNUMBER(AC72)),Q72+AC72,""))</f>
        <v>85374.84</v>
      </c>
      <c r="F72" s="38" t="n">
        <f aca="false">IF($A72="","",IF(AND(ISNUMBER(R72),ISNUMBER(AD72)),R72+AD72,""))</f>
        <v>94129.61</v>
      </c>
      <c r="G72" s="38" t="n">
        <f aca="false">IF($A72="","",IF(AND(ISNUMBER(S72),ISNUMBER(AE72)),S72+AE72,""))</f>
        <v>89786.14</v>
      </c>
      <c r="H72" s="38" t="n">
        <f aca="false">IF($A72="","",IF(AND(ISNUMBER(T72),ISNUMBER(AF72)),T72+AF72,""))</f>
        <v>90226.58</v>
      </c>
      <c r="I72" s="38" t="n">
        <f aca="false">IF($A72="","",IF(AND(ISNUMBER(U72),ISNUMBER(AG72)),U72+AG72,""))</f>
        <v>91052.98</v>
      </c>
      <c r="J72" s="38" t="n">
        <f aca="false">IF($A72="","",IF(AND(ISNUMBER(V72),ISNUMBER(AH72)),V72+AH72,""))</f>
        <v>91931.91</v>
      </c>
      <c r="K72" s="38" t="n">
        <f aca="false">IF($A72="","",IF(AND(ISNUMBER(W72),ISNUMBER(AI72)),W72+AI72,""))</f>
        <v>94932.4</v>
      </c>
      <c r="L72" s="38" t="n">
        <f aca="false">IF($A72="","",IF(AND(ISNUMBER(X72),ISNUMBER(AJ72)),X72+AJ72,""))</f>
        <v>100185.24</v>
      </c>
      <c r="M72" s="38" t="n">
        <f aca="false">IF($A72="","",IF(AND(ISNUMBER(Y72),ISNUMBER(AK72)),Y72+AK72,""))</f>
        <v>105072.08</v>
      </c>
      <c r="N72" s="38" t="n">
        <f aca="false">IF($A72="","",IF(AND(ISNUMBER(Z72),ISNUMBER(AL72)),Z72+AL72,""))</f>
        <v>109831.59</v>
      </c>
      <c r="O72" s="38" t="n">
        <f aca="false">IF($A72="","",IF(AND(ISNUMBER(AA72),ISNUMBER(AM72)),AA72+AM72,""))</f>
        <v>113107.53</v>
      </c>
      <c r="P72" s="38" t="n">
        <f aca="false">IF($A72="","",IFERROR(1/(1/IF($B72="Residential",SUMIFS(INDEX('Oxford Economics'!$A$7:$AZ$1000,0,IFERROR(MATCH(P$5,'Oxford Economics'!$A$6:$AZ$6,0),MATCH(P$5&amp;"",'Oxford Economics'!$A$6:$AZ$6,0))),'Oxford Economics'!$A$7:$A$1000,$C72,'Oxford Economics'!$B$7:$B$1000,Settings!$B$13)-SUMIFS(INDEX('Oxford Economics'!$A$7:$AZ$1000,0,IFERROR(MATCH(P$5,'Oxford Economics'!$A$6:$AZ$6,0),MATCH(P$5&amp;"",'Oxford Economics'!$A$6:$AZ$6,0))),'Oxford Economics'!$A$7:$A$1000,$C72,'Oxford Economics'!$B$7:$B$1000,Settings!$B$15),SUMIFS(INDEX('Oxford Economics'!$A$7:$AZ$1000,0,IFERROR(MATCH(P$5,'Oxford Economics'!$A$6:$AZ$6,0),MATCH(P$5&amp;"",'Oxford Economics'!$A$6:$AZ$6,0))),'Oxford Economics'!$A$7:$A$1000,$C72,'Oxford Economics'!$B$7:$B$1000,Settings!$B$15)+SUMIFS(INDEX('Oxford Economics'!$A$7:$AZ$1000,0,IFERROR(MATCH(P$5,'Oxford Economics'!$A$6:$AZ$6,0),MATCH(P$5&amp;"",'Oxford Economics'!$A$6:$AZ$6,0))),'Oxford Economics'!$A$7:$A$1000,$C72,'Oxford Economics'!$B$7:$B$1000,Settings!$B$17)+IF(Settings!$B$19="",0,SUMIFS(INDEX('Oxford Economics'!$A$7:$AZ$1000,0,IFERROR(MATCH(P$5,'Oxford Economics'!$A$6:$AZ$6,0),MATCH(P$5&amp;"",'Oxford Economics'!$A$6:$AZ$6,0))),'Oxford Economics'!$A$7:$A$1000,$C72,'Oxford Economics'!$B$7:$B$1000,Settings!$B$19)))),""))</f>
        <v>29788.05</v>
      </c>
      <c r="Q72" s="38" t="n">
        <f aca="false">IF($A72="","",IFERROR(1/(1/IF($B72="Residential",SUMIFS(INDEX('Oxford Economics'!$A$7:$AZ$1000,0,IFERROR(MATCH(Q$5,'Oxford Economics'!$A$6:$AZ$6,0),MATCH(Q$5&amp;"",'Oxford Economics'!$A$6:$AZ$6,0))),'Oxford Economics'!$A$7:$A$1000,$C72,'Oxford Economics'!$B$7:$B$1000,Settings!$B$13)-SUMIFS(INDEX('Oxford Economics'!$A$7:$AZ$1000,0,IFERROR(MATCH(Q$5,'Oxford Economics'!$A$6:$AZ$6,0),MATCH(Q$5&amp;"",'Oxford Economics'!$A$6:$AZ$6,0))),'Oxford Economics'!$A$7:$A$1000,$C72,'Oxford Economics'!$B$7:$B$1000,Settings!$B$15),SUMIFS(INDEX('Oxford Economics'!$A$7:$AZ$1000,0,IFERROR(MATCH(Q$5,'Oxford Economics'!$A$6:$AZ$6,0),MATCH(Q$5&amp;"",'Oxford Economics'!$A$6:$AZ$6,0))),'Oxford Economics'!$A$7:$A$1000,$C72,'Oxford Economics'!$B$7:$B$1000,Settings!$B$15)+SUMIFS(INDEX('Oxford Economics'!$A$7:$AZ$1000,0,IFERROR(MATCH(Q$5,'Oxford Economics'!$A$6:$AZ$6,0),MATCH(Q$5&amp;"",'Oxford Economics'!$A$6:$AZ$6,0))),'Oxford Economics'!$A$7:$A$1000,$C72,'Oxford Economics'!$B$7:$B$1000,Settings!$B$17)+IF(Settings!$B$19="",0,SUMIFS(INDEX('Oxford Economics'!$A$7:$AZ$1000,0,IFERROR(MATCH(Q$5,'Oxford Economics'!$A$6:$AZ$6,0),MATCH(Q$5&amp;"",'Oxford Economics'!$A$6:$AZ$6,0))),'Oxford Economics'!$A$7:$A$1000,$C72,'Oxford Economics'!$B$7:$B$1000,Settings!$B$19)))),""))</f>
        <v>35851.7</v>
      </c>
      <c r="R72" s="38" t="n">
        <f aca="false">IF($A72="","",IFERROR(1/(1/IF($B72="Residential",SUMIFS(INDEX('Oxford Economics'!$A$7:$AZ$1000,0,IFERROR(MATCH(R$5,'Oxford Economics'!$A$6:$AZ$6,0),MATCH(R$5&amp;"",'Oxford Economics'!$A$6:$AZ$6,0))),'Oxford Economics'!$A$7:$A$1000,$C72,'Oxford Economics'!$B$7:$B$1000,Settings!$B$13)-SUMIFS(INDEX('Oxford Economics'!$A$7:$AZ$1000,0,IFERROR(MATCH(R$5,'Oxford Economics'!$A$6:$AZ$6,0),MATCH(R$5&amp;"",'Oxford Economics'!$A$6:$AZ$6,0))),'Oxford Economics'!$A$7:$A$1000,$C72,'Oxford Economics'!$B$7:$B$1000,Settings!$B$15),SUMIFS(INDEX('Oxford Economics'!$A$7:$AZ$1000,0,IFERROR(MATCH(R$5,'Oxford Economics'!$A$6:$AZ$6,0),MATCH(R$5&amp;"",'Oxford Economics'!$A$6:$AZ$6,0))),'Oxford Economics'!$A$7:$A$1000,$C72,'Oxford Economics'!$B$7:$B$1000,Settings!$B$15)+SUMIFS(INDEX('Oxford Economics'!$A$7:$AZ$1000,0,IFERROR(MATCH(R$5,'Oxford Economics'!$A$6:$AZ$6,0),MATCH(R$5&amp;"",'Oxford Economics'!$A$6:$AZ$6,0))),'Oxford Economics'!$A$7:$A$1000,$C72,'Oxford Economics'!$B$7:$B$1000,Settings!$B$17)+IF(Settings!$B$19="",0,SUMIFS(INDEX('Oxford Economics'!$A$7:$AZ$1000,0,IFERROR(MATCH(R$5,'Oxford Economics'!$A$6:$AZ$6,0),MATCH(R$5&amp;"",'Oxford Economics'!$A$6:$AZ$6,0))),'Oxford Economics'!$A$7:$A$1000,$C72,'Oxford Economics'!$B$7:$B$1000,Settings!$B$19)))),""))</f>
        <v>38236.67</v>
      </c>
      <c r="S72" s="38" t="n">
        <f aca="false">IF($A72="","",IFERROR(1/(1/IF($B72="Residential",SUMIFS(INDEX('Oxford Economics'!$A$7:$AZ$1000,0,IFERROR(MATCH(S$5,'Oxford Economics'!$A$6:$AZ$6,0),MATCH(S$5&amp;"",'Oxford Economics'!$A$6:$AZ$6,0))),'Oxford Economics'!$A$7:$A$1000,$C72,'Oxford Economics'!$B$7:$B$1000,Settings!$B$13)-SUMIFS(INDEX('Oxford Economics'!$A$7:$AZ$1000,0,IFERROR(MATCH(S$5,'Oxford Economics'!$A$6:$AZ$6,0),MATCH(S$5&amp;"",'Oxford Economics'!$A$6:$AZ$6,0))),'Oxford Economics'!$A$7:$A$1000,$C72,'Oxford Economics'!$B$7:$B$1000,Settings!$B$15),SUMIFS(INDEX('Oxford Economics'!$A$7:$AZ$1000,0,IFERROR(MATCH(S$5,'Oxford Economics'!$A$6:$AZ$6,0),MATCH(S$5&amp;"",'Oxford Economics'!$A$6:$AZ$6,0))),'Oxford Economics'!$A$7:$A$1000,$C72,'Oxford Economics'!$B$7:$B$1000,Settings!$B$15)+SUMIFS(INDEX('Oxford Economics'!$A$7:$AZ$1000,0,IFERROR(MATCH(S$5,'Oxford Economics'!$A$6:$AZ$6,0),MATCH(S$5&amp;"",'Oxford Economics'!$A$6:$AZ$6,0))),'Oxford Economics'!$A$7:$A$1000,$C72,'Oxford Economics'!$B$7:$B$1000,Settings!$B$17)+IF(Settings!$B$19="",0,SUMIFS(INDEX('Oxford Economics'!$A$7:$AZ$1000,0,IFERROR(MATCH(S$5,'Oxford Economics'!$A$6:$AZ$6,0),MATCH(S$5&amp;"",'Oxford Economics'!$A$6:$AZ$6,0))),'Oxford Economics'!$A$7:$A$1000,$C72,'Oxford Economics'!$B$7:$B$1000,Settings!$B$19)))),""))</f>
        <v>39838.1</v>
      </c>
      <c r="T72" s="38" t="n">
        <f aca="false">IF($A72="","",IFERROR(1/(1/IF($B72="Residential",SUMIFS(INDEX('Oxford Economics'!$A$7:$AZ$1000,0,IFERROR(MATCH(T$5,'Oxford Economics'!$A$6:$AZ$6,0),MATCH(T$5&amp;"",'Oxford Economics'!$A$6:$AZ$6,0))),'Oxford Economics'!$A$7:$A$1000,$C72,'Oxford Economics'!$B$7:$B$1000,Settings!$B$13)-SUMIFS(INDEX('Oxford Economics'!$A$7:$AZ$1000,0,IFERROR(MATCH(T$5,'Oxford Economics'!$A$6:$AZ$6,0),MATCH(T$5&amp;"",'Oxford Economics'!$A$6:$AZ$6,0))),'Oxford Economics'!$A$7:$A$1000,$C72,'Oxford Economics'!$B$7:$B$1000,Settings!$B$15),SUMIFS(INDEX('Oxford Economics'!$A$7:$AZ$1000,0,IFERROR(MATCH(T$5,'Oxford Economics'!$A$6:$AZ$6,0),MATCH(T$5&amp;"",'Oxford Economics'!$A$6:$AZ$6,0))),'Oxford Economics'!$A$7:$A$1000,$C72,'Oxford Economics'!$B$7:$B$1000,Settings!$B$15)+SUMIFS(INDEX('Oxford Economics'!$A$7:$AZ$1000,0,IFERROR(MATCH(T$5,'Oxford Economics'!$A$6:$AZ$6,0),MATCH(T$5&amp;"",'Oxford Economics'!$A$6:$AZ$6,0))),'Oxford Economics'!$A$7:$A$1000,$C72,'Oxford Economics'!$B$7:$B$1000,Settings!$B$17)+IF(Settings!$B$19="",0,SUMIFS(INDEX('Oxford Economics'!$A$7:$AZ$1000,0,IFERROR(MATCH(T$5,'Oxford Economics'!$A$6:$AZ$6,0),MATCH(T$5&amp;"",'Oxford Economics'!$A$6:$AZ$6,0))),'Oxford Economics'!$A$7:$A$1000,$C72,'Oxford Economics'!$B$7:$B$1000,Settings!$B$19)))),""))</f>
        <v>42717.87</v>
      </c>
      <c r="U72" s="38" t="n">
        <f aca="false">IF($A72="","",IFERROR(1/(1/IF($B72="Residential",SUMIFS(INDEX('Oxford Economics'!$A$7:$AZ$1000,0,IFERROR(MATCH(U$5,'Oxford Economics'!$A$6:$AZ$6,0),MATCH(U$5&amp;"",'Oxford Economics'!$A$6:$AZ$6,0))),'Oxford Economics'!$A$7:$A$1000,$C72,'Oxford Economics'!$B$7:$B$1000,Settings!$B$13)-SUMIFS(INDEX('Oxford Economics'!$A$7:$AZ$1000,0,IFERROR(MATCH(U$5,'Oxford Economics'!$A$6:$AZ$6,0),MATCH(U$5&amp;"",'Oxford Economics'!$A$6:$AZ$6,0))),'Oxford Economics'!$A$7:$A$1000,$C72,'Oxford Economics'!$B$7:$B$1000,Settings!$B$15),SUMIFS(INDEX('Oxford Economics'!$A$7:$AZ$1000,0,IFERROR(MATCH(U$5,'Oxford Economics'!$A$6:$AZ$6,0),MATCH(U$5&amp;"",'Oxford Economics'!$A$6:$AZ$6,0))),'Oxford Economics'!$A$7:$A$1000,$C72,'Oxford Economics'!$B$7:$B$1000,Settings!$B$15)+SUMIFS(INDEX('Oxford Economics'!$A$7:$AZ$1000,0,IFERROR(MATCH(U$5,'Oxford Economics'!$A$6:$AZ$6,0),MATCH(U$5&amp;"",'Oxford Economics'!$A$6:$AZ$6,0))),'Oxford Economics'!$A$7:$A$1000,$C72,'Oxford Economics'!$B$7:$B$1000,Settings!$B$17)+IF(Settings!$B$19="",0,SUMIFS(INDEX('Oxford Economics'!$A$7:$AZ$1000,0,IFERROR(MATCH(U$5,'Oxford Economics'!$A$6:$AZ$6,0),MATCH(U$5&amp;"",'Oxford Economics'!$A$6:$AZ$6,0))),'Oxford Economics'!$A$7:$A$1000,$C72,'Oxford Economics'!$B$7:$B$1000,Settings!$B$19)))),""))</f>
        <v>43377.35</v>
      </c>
      <c r="V72" s="38" t="n">
        <f aca="false">IF($A72="","",IFERROR(1/(1/IF($B72="Residential",SUMIFS(INDEX('Oxford Economics'!$A$7:$AZ$1000,0,IFERROR(MATCH(V$5,'Oxford Economics'!$A$6:$AZ$6,0),MATCH(V$5&amp;"",'Oxford Economics'!$A$6:$AZ$6,0))),'Oxford Economics'!$A$7:$A$1000,$C72,'Oxford Economics'!$B$7:$B$1000,Settings!$B$13)-SUMIFS(INDEX('Oxford Economics'!$A$7:$AZ$1000,0,IFERROR(MATCH(V$5,'Oxford Economics'!$A$6:$AZ$6,0),MATCH(V$5&amp;"",'Oxford Economics'!$A$6:$AZ$6,0))),'Oxford Economics'!$A$7:$A$1000,$C72,'Oxford Economics'!$B$7:$B$1000,Settings!$B$15),SUMIFS(INDEX('Oxford Economics'!$A$7:$AZ$1000,0,IFERROR(MATCH(V$5,'Oxford Economics'!$A$6:$AZ$6,0),MATCH(V$5&amp;"",'Oxford Economics'!$A$6:$AZ$6,0))),'Oxford Economics'!$A$7:$A$1000,$C72,'Oxford Economics'!$B$7:$B$1000,Settings!$B$15)+SUMIFS(INDEX('Oxford Economics'!$A$7:$AZ$1000,0,IFERROR(MATCH(V$5,'Oxford Economics'!$A$6:$AZ$6,0),MATCH(V$5&amp;"",'Oxford Economics'!$A$6:$AZ$6,0))),'Oxford Economics'!$A$7:$A$1000,$C72,'Oxford Economics'!$B$7:$B$1000,Settings!$B$17)+IF(Settings!$B$19="",0,SUMIFS(INDEX('Oxford Economics'!$A$7:$AZ$1000,0,IFERROR(MATCH(V$5,'Oxford Economics'!$A$6:$AZ$6,0),MATCH(V$5&amp;"",'Oxford Economics'!$A$6:$AZ$6,0))),'Oxford Economics'!$A$7:$A$1000,$C72,'Oxford Economics'!$B$7:$B$1000,Settings!$B$19)))),""))</f>
        <v>42110.67</v>
      </c>
      <c r="W72" s="38" t="n">
        <f aca="false">IF($A72="","",IFERROR(1/(1/IF($B72="Residential",SUMIFS(INDEX('Oxford Economics'!$A$7:$AZ$1000,0,IFERROR(MATCH(W$5,'Oxford Economics'!$A$6:$AZ$6,0),MATCH(W$5&amp;"",'Oxford Economics'!$A$6:$AZ$6,0))),'Oxford Economics'!$A$7:$A$1000,$C72,'Oxford Economics'!$B$7:$B$1000,Settings!$B$13)-SUMIFS(INDEX('Oxford Economics'!$A$7:$AZ$1000,0,IFERROR(MATCH(W$5,'Oxford Economics'!$A$6:$AZ$6,0),MATCH(W$5&amp;"",'Oxford Economics'!$A$6:$AZ$6,0))),'Oxford Economics'!$A$7:$A$1000,$C72,'Oxford Economics'!$B$7:$B$1000,Settings!$B$15),SUMIFS(INDEX('Oxford Economics'!$A$7:$AZ$1000,0,IFERROR(MATCH(W$5,'Oxford Economics'!$A$6:$AZ$6,0),MATCH(W$5&amp;"",'Oxford Economics'!$A$6:$AZ$6,0))),'Oxford Economics'!$A$7:$A$1000,$C72,'Oxford Economics'!$B$7:$B$1000,Settings!$B$15)+SUMIFS(INDEX('Oxford Economics'!$A$7:$AZ$1000,0,IFERROR(MATCH(W$5,'Oxford Economics'!$A$6:$AZ$6,0),MATCH(W$5&amp;"",'Oxford Economics'!$A$6:$AZ$6,0))),'Oxford Economics'!$A$7:$A$1000,$C72,'Oxford Economics'!$B$7:$B$1000,Settings!$B$17)+IF(Settings!$B$19="",0,SUMIFS(INDEX('Oxford Economics'!$A$7:$AZ$1000,0,IFERROR(MATCH(W$5,'Oxford Economics'!$A$6:$AZ$6,0),MATCH(W$5&amp;"",'Oxford Economics'!$A$6:$AZ$6,0))),'Oxford Economics'!$A$7:$A$1000,$C72,'Oxford Economics'!$B$7:$B$1000,Settings!$B$19)))),""))</f>
        <v>42460.1</v>
      </c>
      <c r="X72" s="38" t="n">
        <f aca="false">IF($A72="","",IFERROR(1/(1/IF($B72="Residential",SUMIFS(INDEX('Oxford Economics'!$A$7:$AZ$1000,0,IFERROR(MATCH(X$5,'Oxford Economics'!$A$6:$AZ$6,0),MATCH(X$5&amp;"",'Oxford Economics'!$A$6:$AZ$6,0))),'Oxford Economics'!$A$7:$A$1000,$C72,'Oxford Economics'!$B$7:$B$1000,Settings!$B$13)-SUMIFS(INDEX('Oxford Economics'!$A$7:$AZ$1000,0,IFERROR(MATCH(X$5,'Oxford Economics'!$A$6:$AZ$6,0),MATCH(X$5&amp;"",'Oxford Economics'!$A$6:$AZ$6,0))),'Oxford Economics'!$A$7:$A$1000,$C72,'Oxford Economics'!$B$7:$B$1000,Settings!$B$15),SUMIFS(INDEX('Oxford Economics'!$A$7:$AZ$1000,0,IFERROR(MATCH(X$5,'Oxford Economics'!$A$6:$AZ$6,0),MATCH(X$5&amp;"",'Oxford Economics'!$A$6:$AZ$6,0))),'Oxford Economics'!$A$7:$A$1000,$C72,'Oxford Economics'!$B$7:$B$1000,Settings!$B$15)+SUMIFS(INDEX('Oxford Economics'!$A$7:$AZ$1000,0,IFERROR(MATCH(X$5,'Oxford Economics'!$A$6:$AZ$6,0),MATCH(X$5&amp;"",'Oxford Economics'!$A$6:$AZ$6,0))),'Oxford Economics'!$A$7:$A$1000,$C72,'Oxford Economics'!$B$7:$B$1000,Settings!$B$17)+IF(Settings!$B$19="",0,SUMIFS(INDEX('Oxford Economics'!$A$7:$AZ$1000,0,IFERROR(MATCH(X$5,'Oxford Economics'!$A$6:$AZ$6,0),MATCH(X$5&amp;"",'Oxford Economics'!$A$6:$AZ$6,0))),'Oxford Economics'!$A$7:$A$1000,$C72,'Oxford Economics'!$B$7:$B$1000,Settings!$B$19)))),""))</f>
        <v>44717.35</v>
      </c>
      <c r="Y72" s="38" t="n">
        <f aca="false">IF($A72="","",IFERROR(1/(1/IF($B72="Residential",SUMIFS(INDEX('Oxford Economics'!$A$7:$AZ$1000,0,IFERROR(MATCH(Y$5,'Oxford Economics'!$A$6:$AZ$6,0),MATCH(Y$5&amp;"",'Oxford Economics'!$A$6:$AZ$6,0))),'Oxford Economics'!$A$7:$A$1000,$C72,'Oxford Economics'!$B$7:$B$1000,Settings!$B$13)-SUMIFS(INDEX('Oxford Economics'!$A$7:$AZ$1000,0,IFERROR(MATCH(Y$5,'Oxford Economics'!$A$6:$AZ$6,0),MATCH(Y$5&amp;"",'Oxford Economics'!$A$6:$AZ$6,0))),'Oxford Economics'!$A$7:$A$1000,$C72,'Oxford Economics'!$B$7:$B$1000,Settings!$B$15),SUMIFS(INDEX('Oxford Economics'!$A$7:$AZ$1000,0,IFERROR(MATCH(Y$5,'Oxford Economics'!$A$6:$AZ$6,0),MATCH(Y$5&amp;"",'Oxford Economics'!$A$6:$AZ$6,0))),'Oxford Economics'!$A$7:$A$1000,$C72,'Oxford Economics'!$B$7:$B$1000,Settings!$B$15)+SUMIFS(INDEX('Oxford Economics'!$A$7:$AZ$1000,0,IFERROR(MATCH(Y$5,'Oxford Economics'!$A$6:$AZ$6,0),MATCH(Y$5&amp;"",'Oxford Economics'!$A$6:$AZ$6,0))),'Oxford Economics'!$A$7:$A$1000,$C72,'Oxford Economics'!$B$7:$B$1000,Settings!$B$17)+IF(Settings!$B$19="",0,SUMIFS(INDEX('Oxford Economics'!$A$7:$AZ$1000,0,IFERROR(MATCH(Y$5,'Oxford Economics'!$A$6:$AZ$6,0),MATCH(Y$5&amp;"",'Oxford Economics'!$A$6:$AZ$6,0))),'Oxford Economics'!$A$7:$A$1000,$C72,'Oxford Economics'!$B$7:$B$1000,Settings!$B$19)))),""))</f>
        <v>46775.42</v>
      </c>
      <c r="Z72" s="38" t="n">
        <f aca="false">IF($A72="","",IFERROR(1/(1/IF($B72="Residential",SUMIFS(INDEX('Oxford Economics'!$A$7:$AZ$1000,0,IFERROR(MATCH(Z$5,'Oxford Economics'!$A$6:$AZ$6,0),MATCH(Z$5&amp;"",'Oxford Economics'!$A$6:$AZ$6,0))),'Oxford Economics'!$A$7:$A$1000,$C72,'Oxford Economics'!$B$7:$B$1000,Settings!$B$13)-SUMIFS(INDEX('Oxford Economics'!$A$7:$AZ$1000,0,IFERROR(MATCH(Z$5,'Oxford Economics'!$A$6:$AZ$6,0),MATCH(Z$5&amp;"",'Oxford Economics'!$A$6:$AZ$6,0))),'Oxford Economics'!$A$7:$A$1000,$C72,'Oxford Economics'!$B$7:$B$1000,Settings!$B$15),SUMIFS(INDEX('Oxford Economics'!$A$7:$AZ$1000,0,IFERROR(MATCH(Z$5,'Oxford Economics'!$A$6:$AZ$6,0),MATCH(Z$5&amp;"",'Oxford Economics'!$A$6:$AZ$6,0))),'Oxford Economics'!$A$7:$A$1000,$C72,'Oxford Economics'!$B$7:$B$1000,Settings!$B$15)+SUMIFS(INDEX('Oxford Economics'!$A$7:$AZ$1000,0,IFERROR(MATCH(Z$5,'Oxford Economics'!$A$6:$AZ$6,0),MATCH(Z$5&amp;"",'Oxford Economics'!$A$6:$AZ$6,0))),'Oxford Economics'!$A$7:$A$1000,$C72,'Oxford Economics'!$B$7:$B$1000,Settings!$B$17)+IF(Settings!$B$19="",0,SUMIFS(INDEX('Oxford Economics'!$A$7:$AZ$1000,0,IFERROR(MATCH(Z$5,'Oxford Economics'!$A$6:$AZ$6,0),MATCH(Z$5&amp;"",'Oxford Economics'!$A$6:$AZ$6,0))),'Oxford Economics'!$A$7:$A$1000,$C72,'Oxford Economics'!$B$7:$B$1000,Settings!$B$19)))),""))</f>
        <v>48745.1</v>
      </c>
      <c r="AA72" s="38" t="n">
        <f aca="false">IF($A72="","",IFERROR(1/(1/IF($B72="Residential",SUMIFS(INDEX('Oxford Economics'!$A$7:$AZ$1000,0,IFERROR(MATCH(AA$5,'Oxford Economics'!$A$6:$AZ$6,0),MATCH(AA$5&amp;"",'Oxford Economics'!$A$6:$AZ$6,0))),'Oxford Economics'!$A$7:$A$1000,$C72,'Oxford Economics'!$B$7:$B$1000,Settings!$B$13)-SUMIFS(INDEX('Oxford Economics'!$A$7:$AZ$1000,0,IFERROR(MATCH(AA$5,'Oxford Economics'!$A$6:$AZ$6,0),MATCH(AA$5&amp;"",'Oxford Economics'!$A$6:$AZ$6,0))),'Oxford Economics'!$A$7:$A$1000,$C72,'Oxford Economics'!$B$7:$B$1000,Settings!$B$15),SUMIFS(INDEX('Oxford Economics'!$A$7:$AZ$1000,0,IFERROR(MATCH(AA$5,'Oxford Economics'!$A$6:$AZ$6,0),MATCH(AA$5&amp;"",'Oxford Economics'!$A$6:$AZ$6,0))),'Oxford Economics'!$A$7:$A$1000,$C72,'Oxford Economics'!$B$7:$B$1000,Settings!$B$15)+SUMIFS(INDEX('Oxford Economics'!$A$7:$AZ$1000,0,IFERROR(MATCH(AA$5,'Oxford Economics'!$A$6:$AZ$6,0),MATCH(AA$5&amp;"",'Oxford Economics'!$A$6:$AZ$6,0))),'Oxford Economics'!$A$7:$A$1000,$C72,'Oxford Economics'!$B$7:$B$1000,Settings!$B$17)+IF(Settings!$B$19="",0,SUMIFS(INDEX('Oxford Economics'!$A$7:$AZ$1000,0,IFERROR(MATCH(AA$5,'Oxford Economics'!$A$6:$AZ$6,0),MATCH(AA$5&amp;"",'Oxford Economics'!$A$6:$AZ$6,0))),'Oxford Economics'!$A$7:$A$1000,$C72,'Oxford Economics'!$B$7:$B$1000,Settings!$B$19)))),""))</f>
        <v>49955.34</v>
      </c>
      <c r="AB72" s="38" t="n">
        <f aca="false">IF($A72="","",IFERROR(1/(1/IF($B72="Residential",SUMIFS(INDEX('Oxford Economics'!$A$7:$AZ$1000,0,IFERROR(MATCH(AB$5,'Oxford Economics'!$A$6:$AZ$6,0),MATCH(AB$5&amp;"",'Oxford Economics'!$A$6:$AZ$6,0))),'Oxford Economics'!$A$7:$A$1000,$C72,'Oxford Economics'!$B$7:$B$1000,Settings!$B$12)-SUMIFS(INDEX('Oxford Economics'!$A$7:$AZ$1000,0,IFERROR(MATCH(AB$5,'Oxford Economics'!$A$6:$AZ$6,0),MATCH(AB$5&amp;"",'Oxford Economics'!$A$6:$AZ$6,0))),'Oxford Economics'!$A$7:$A$1000,$C72,'Oxford Economics'!$B$7:$B$1000,Settings!$B$14),SUMIFS(INDEX('Oxford Economics'!$A$7:$AZ$1000,0,IFERROR(MATCH(AB$5,'Oxford Economics'!$A$6:$AZ$6,0),MATCH(AB$5&amp;"",'Oxford Economics'!$A$6:$AZ$6,0))),'Oxford Economics'!$A$7:$A$1000,$C72,'Oxford Economics'!$B$7:$B$1000,Settings!$B$14)+SUMIFS(INDEX('Oxford Economics'!$A$7:$AZ$1000,0,IFERROR(MATCH(AB$5,'Oxford Economics'!$A$6:$AZ$6,0),MATCH(AB$5&amp;"",'Oxford Economics'!$A$6:$AZ$6,0))),'Oxford Economics'!$A$7:$A$1000,$C72,'Oxford Economics'!$B$7:$B$1000,Settings!$B$16)+IF(Settings!$B$18="",0,SUMIFS(INDEX('Oxford Economics'!$A$7:$AZ$1000,0,IFERROR(MATCH(AB$5,'Oxford Economics'!$A$6:$AZ$6,0),MATCH(AB$5&amp;"",'Oxford Economics'!$A$6:$AZ$6,0))),'Oxford Economics'!$A$7:$A$1000,$C72,'Oxford Economics'!$B$7:$B$1000,Settings!$B$18)))),""))</f>
        <v>42068.58</v>
      </c>
      <c r="AC72" s="38" t="n">
        <f aca="false">IF($A72="","",IFERROR(1/(1/IF($B72="Residential",SUMIFS(INDEX('Oxford Economics'!$A$7:$AZ$1000,0,IFERROR(MATCH(AC$5,'Oxford Economics'!$A$6:$AZ$6,0),MATCH(AC$5&amp;"",'Oxford Economics'!$A$6:$AZ$6,0))),'Oxford Economics'!$A$7:$A$1000,$C72,'Oxford Economics'!$B$7:$B$1000,Settings!$B$12)-SUMIFS(INDEX('Oxford Economics'!$A$7:$AZ$1000,0,IFERROR(MATCH(AC$5,'Oxford Economics'!$A$6:$AZ$6,0),MATCH(AC$5&amp;"",'Oxford Economics'!$A$6:$AZ$6,0))),'Oxford Economics'!$A$7:$A$1000,$C72,'Oxford Economics'!$B$7:$B$1000,Settings!$B$14),SUMIFS(INDEX('Oxford Economics'!$A$7:$AZ$1000,0,IFERROR(MATCH(AC$5,'Oxford Economics'!$A$6:$AZ$6,0),MATCH(AC$5&amp;"",'Oxford Economics'!$A$6:$AZ$6,0))),'Oxford Economics'!$A$7:$A$1000,$C72,'Oxford Economics'!$B$7:$B$1000,Settings!$B$14)+SUMIFS(INDEX('Oxford Economics'!$A$7:$AZ$1000,0,IFERROR(MATCH(AC$5,'Oxford Economics'!$A$6:$AZ$6,0),MATCH(AC$5&amp;"",'Oxford Economics'!$A$6:$AZ$6,0))),'Oxford Economics'!$A$7:$A$1000,$C72,'Oxford Economics'!$B$7:$B$1000,Settings!$B$16)+IF(Settings!$B$18="",0,SUMIFS(INDEX('Oxford Economics'!$A$7:$AZ$1000,0,IFERROR(MATCH(AC$5,'Oxford Economics'!$A$6:$AZ$6,0),MATCH(AC$5&amp;"",'Oxford Economics'!$A$6:$AZ$6,0))),'Oxford Economics'!$A$7:$A$1000,$C72,'Oxford Economics'!$B$7:$B$1000,Settings!$B$18)))),""))</f>
        <v>49523.14</v>
      </c>
      <c r="AD72" s="38" t="n">
        <f aca="false">IF($A72="","",IFERROR(1/(1/IF($B72="Residential",SUMIFS(INDEX('Oxford Economics'!$A$7:$AZ$1000,0,IFERROR(MATCH(AD$5,'Oxford Economics'!$A$6:$AZ$6,0),MATCH(AD$5&amp;"",'Oxford Economics'!$A$6:$AZ$6,0))),'Oxford Economics'!$A$7:$A$1000,$C72,'Oxford Economics'!$B$7:$B$1000,Settings!$B$12)-SUMIFS(INDEX('Oxford Economics'!$A$7:$AZ$1000,0,IFERROR(MATCH(AD$5,'Oxford Economics'!$A$6:$AZ$6,0),MATCH(AD$5&amp;"",'Oxford Economics'!$A$6:$AZ$6,0))),'Oxford Economics'!$A$7:$A$1000,$C72,'Oxford Economics'!$B$7:$B$1000,Settings!$B$14),SUMIFS(INDEX('Oxford Economics'!$A$7:$AZ$1000,0,IFERROR(MATCH(AD$5,'Oxford Economics'!$A$6:$AZ$6,0),MATCH(AD$5&amp;"",'Oxford Economics'!$A$6:$AZ$6,0))),'Oxford Economics'!$A$7:$A$1000,$C72,'Oxford Economics'!$B$7:$B$1000,Settings!$B$14)+SUMIFS(INDEX('Oxford Economics'!$A$7:$AZ$1000,0,IFERROR(MATCH(AD$5,'Oxford Economics'!$A$6:$AZ$6,0),MATCH(AD$5&amp;"",'Oxford Economics'!$A$6:$AZ$6,0))),'Oxford Economics'!$A$7:$A$1000,$C72,'Oxford Economics'!$B$7:$B$1000,Settings!$B$16)+IF(Settings!$B$18="",0,SUMIFS(INDEX('Oxford Economics'!$A$7:$AZ$1000,0,IFERROR(MATCH(AD$5,'Oxford Economics'!$A$6:$AZ$6,0),MATCH(AD$5&amp;"",'Oxford Economics'!$A$6:$AZ$6,0))),'Oxford Economics'!$A$7:$A$1000,$C72,'Oxford Economics'!$B$7:$B$1000,Settings!$B$18)))),""))</f>
        <v>55892.94</v>
      </c>
      <c r="AE72" s="38" t="n">
        <f aca="false">IF($A72="","",IFERROR(1/(1/IF($B72="Residential",SUMIFS(INDEX('Oxford Economics'!$A$7:$AZ$1000,0,IFERROR(MATCH(AE$5,'Oxford Economics'!$A$6:$AZ$6,0),MATCH(AE$5&amp;"",'Oxford Economics'!$A$6:$AZ$6,0))),'Oxford Economics'!$A$7:$A$1000,$C72,'Oxford Economics'!$B$7:$B$1000,Settings!$B$12)-SUMIFS(INDEX('Oxford Economics'!$A$7:$AZ$1000,0,IFERROR(MATCH(AE$5,'Oxford Economics'!$A$6:$AZ$6,0),MATCH(AE$5&amp;"",'Oxford Economics'!$A$6:$AZ$6,0))),'Oxford Economics'!$A$7:$A$1000,$C72,'Oxford Economics'!$B$7:$B$1000,Settings!$B$14),SUMIFS(INDEX('Oxford Economics'!$A$7:$AZ$1000,0,IFERROR(MATCH(AE$5,'Oxford Economics'!$A$6:$AZ$6,0),MATCH(AE$5&amp;"",'Oxford Economics'!$A$6:$AZ$6,0))),'Oxford Economics'!$A$7:$A$1000,$C72,'Oxford Economics'!$B$7:$B$1000,Settings!$B$14)+SUMIFS(INDEX('Oxford Economics'!$A$7:$AZ$1000,0,IFERROR(MATCH(AE$5,'Oxford Economics'!$A$6:$AZ$6,0),MATCH(AE$5&amp;"",'Oxford Economics'!$A$6:$AZ$6,0))),'Oxford Economics'!$A$7:$A$1000,$C72,'Oxford Economics'!$B$7:$B$1000,Settings!$B$16)+IF(Settings!$B$18="",0,SUMIFS(INDEX('Oxford Economics'!$A$7:$AZ$1000,0,IFERROR(MATCH(AE$5,'Oxford Economics'!$A$6:$AZ$6,0),MATCH(AE$5&amp;"",'Oxford Economics'!$A$6:$AZ$6,0))),'Oxford Economics'!$A$7:$A$1000,$C72,'Oxford Economics'!$B$7:$B$1000,Settings!$B$18)))),""))</f>
        <v>49948.04</v>
      </c>
      <c r="AF72" s="38" t="n">
        <f aca="false">IF($A72="","",IFERROR(1/(1/IF($B72="Residential",SUMIFS(INDEX('Oxford Economics'!$A$7:$AZ$1000,0,IFERROR(MATCH(AF$5,'Oxford Economics'!$A$6:$AZ$6,0),MATCH(AF$5&amp;"",'Oxford Economics'!$A$6:$AZ$6,0))),'Oxford Economics'!$A$7:$A$1000,$C72,'Oxford Economics'!$B$7:$B$1000,Settings!$B$12)-SUMIFS(INDEX('Oxford Economics'!$A$7:$AZ$1000,0,IFERROR(MATCH(AF$5,'Oxford Economics'!$A$6:$AZ$6,0),MATCH(AF$5&amp;"",'Oxford Economics'!$A$6:$AZ$6,0))),'Oxford Economics'!$A$7:$A$1000,$C72,'Oxford Economics'!$B$7:$B$1000,Settings!$B$14),SUMIFS(INDEX('Oxford Economics'!$A$7:$AZ$1000,0,IFERROR(MATCH(AF$5,'Oxford Economics'!$A$6:$AZ$6,0),MATCH(AF$5&amp;"",'Oxford Economics'!$A$6:$AZ$6,0))),'Oxford Economics'!$A$7:$A$1000,$C72,'Oxford Economics'!$B$7:$B$1000,Settings!$B$14)+SUMIFS(INDEX('Oxford Economics'!$A$7:$AZ$1000,0,IFERROR(MATCH(AF$5,'Oxford Economics'!$A$6:$AZ$6,0),MATCH(AF$5&amp;"",'Oxford Economics'!$A$6:$AZ$6,0))),'Oxford Economics'!$A$7:$A$1000,$C72,'Oxford Economics'!$B$7:$B$1000,Settings!$B$16)+IF(Settings!$B$18="",0,SUMIFS(INDEX('Oxford Economics'!$A$7:$AZ$1000,0,IFERROR(MATCH(AF$5,'Oxford Economics'!$A$6:$AZ$6,0),MATCH(AF$5&amp;"",'Oxford Economics'!$A$6:$AZ$6,0))),'Oxford Economics'!$A$7:$A$1000,$C72,'Oxford Economics'!$B$7:$B$1000,Settings!$B$18)))),""))</f>
        <v>47508.71</v>
      </c>
      <c r="AG72" s="38" t="n">
        <f aca="false">IF($A72="","",IFERROR(1/(1/IF($B72="Residential",SUMIFS(INDEX('Oxford Economics'!$A$7:$AZ$1000,0,IFERROR(MATCH(AG$5,'Oxford Economics'!$A$6:$AZ$6,0),MATCH(AG$5&amp;"",'Oxford Economics'!$A$6:$AZ$6,0))),'Oxford Economics'!$A$7:$A$1000,$C72,'Oxford Economics'!$B$7:$B$1000,Settings!$B$12)-SUMIFS(INDEX('Oxford Economics'!$A$7:$AZ$1000,0,IFERROR(MATCH(AG$5,'Oxford Economics'!$A$6:$AZ$6,0),MATCH(AG$5&amp;"",'Oxford Economics'!$A$6:$AZ$6,0))),'Oxford Economics'!$A$7:$A$1000,$C72,'Oxford Economics'!$B$7:$B$1000,Settings!$B$14),SUMIFS(INDEX('Oxford Economics'!$A$7:$AZ$1000,0,IFERROR(MATCH(AG$5,'Oxford Economics'!$A$6:$AZ$6,0),MATCH(AG$5&amp;"",'Oxford Economics'!$A$6:$AZ$6,0))),'Oxford Economics'!$A$7:$A$1000,$C72,'Oxford Economics'!$B$7:$B$1000,Settings!$B$14)+SUMIFS(INDEX('Oxford Economics'!$A$7:$AZ$1000,0,IFERROR(MATCH(AG$5,'Oxford Economics'!$A$6:$AZ$6,0),MATCH(AG$5&amp;"",'Oxford Economics'!$A$6:$AZ$6,0))),'Oxford Economics'!$A$7:$A$1000,$C72,'Oxford Economics'!$B$7:$B$1000,Settings!$B$16)+IF(Settings!$B$18="",0,SUMIFS(INDEX('Oxford Economics'!$A$7:$AZ$1000,0,IFERROR(MATCH(AG$5,'Oxford Economics'!$A$6:$AZ$6,0),MATCH(AG$5&amp;"",'Oxford Economics'!$A$6:$AZ$6,0))),'Oxford Economics'!$A$7:$A$1000,$C72,'Oxford Economics'!$B$7:$B$1000,Settings!$B$18)))),""))</f>
        <v>47675.63</v>
      </c>
      <c r="AH72" s="38" t="n">
        <f aca="false">IF($A72="","",IFERROR(1/(1/IF($B72="Residential",SUMIFS(INDEX('Oxford Economics'!$A$7:$AZ$1000,0,IFERROR(MATCH(AH$5,'Oxford Economics'!$A$6:$AZ$6,0),MATCH(AH$5&amp;"",'Oxford Economics'!$A$6:$AZ$6,0))),'Oxford Economics'!$A$7:$A$1000,$C72,'Oxford Economics'!$B$7:$B$1000,Settings!$B$12)-SUMIFS(INDEX('Oxford Economics'!$A$7:$AZ$1000,0,IFERROR(MATCH(AH$5,'Oxford Economics'!$A$6:$AZ$6,0),MATCH(AH$5&amp;"",'Oxford Economics'!$A$6:$AZ$6,0))),'Oxford Economics'!$A$7:$A$1000,$C72,'Oxford Economics'!$B$7:$B$1000,Settings!$B$14),SUMIFS(INDEX('Oxford Economics'!$A$7:$AZ$1000,0,IFERROR(MATCH(AH$5,'Oxford Economics'!$A$6:$AZ$6,0),MATCH(AH$5&amp;"",'Oxford Economics'!$A$6:$AZ$6,0))),'Oxford Economics'!$A$7:$A$1000,$C72,'Oxford Economics'!$B$7:$B$1000,Settings!$B$14)+SUMIFS(INDEX('Oxford Economics'!$A$7:$AZ$1000,0,IFERROR(MATCH(AH$5,'Oxford Economics'!$A$6:$AZ$6,0),MATCH(AH$5&amp;"",'Oxford Economics'!$A$6:$AZ$6,0))),'Oxford Economics'!$A$7:$A$1000,$C72,'Oxford Economics'!$B$7:$B$1000,Settings!$B$16)+IF(Settings!$B$18="",0,SUMIFS(INDEX('Oxford Economics'!$A$7:$AZ$1000,0,IFERROR(MATCH(AH$5,'Oxford Economics'!$A$6:$AZ$6,0),MATCH(AH$5&amp;"",'Oxford Economics'!$A$6:$AZ$6,0))),'Oxford Economics'!$A$7:$A$1000,$C72,'Oxford Economics'!$B$7:$B$1000,Settings!$B$18)))),""))</f>
        <v>49821.24</v>
      </c>
      <c r="AI72" s="38" t="n">
        <f aca="false">IF($A72="","",IFERROR(1/(1/IF($B72="Residential",SUMIFS(INDEX('Oxford Economics'!$A$7:$AZ$1000,0,IFERROR(MATCH(AI$5,'Oxford Economics'!$A$6:$AZ$6,0),MATCH(AI$5&amp;"",'Oxford Economics'!$A$6:$AZ$6,0))),'Oxford Economics'!$A$7:$A$1000,$C72,'Oxford Economics'!$B$7:$B$1000,Settings!$B$12)-SUMIFS(INDEX('Oxford Economics'!$A$7:$AZ$1000,0,IFERROR(MATCH(AI$5,'Oxford Economics'!$A$6:$AZ$6,0),MATCH(AI$5&amp;"",'Oxford Economics'!$A$6:$AZ$6,0))),'Oxford Economics'!$A$7:$A$1000,$C72,'Oxford Economics'!$B$7:$B$1000,Settings!$B$14),SUMIFS(INDEX('Oxford Economics'!$A$7:$AZ$1000,0,IFERROR(MATCH(AI$5,'Oxford Economics'!$A$6:$AZ$6,0),MATCH(AI$5&amp;"",'Oxford Economics'!$A$6:$AZ$6,0))),'Oxford Economics'!$A$7:$A$1000,$C72,'Oxford Economics'!$B$7:$B$1000,Settings!$B$14)+SUMIFS(INDEX('Oxford Economics'!$A$7:$AZ$1000,0,IFERROR(MATCH(AI$5,'Oxford Economics'!$A$6:$AZ$6,0),MATCH(AI$5&amp;"",'Oxford Economics'!$A$6:$AZ$6,0))),'Oxford Economics'!$A$7:$A$1000,$C72,'Oxford Economics'!$B$7:$B$1000,Settings!$B$16)+IF(Settings!$B$18="",0,SUMIFS(INDEX('Oxford Economics'!$A$7:$AZ$1000,0,IFERROR(MATCH(AI$5,'Oxford Economics'!$A$6:$AZ$6,0),MATCH(AI$5&amp;"",'Oxford Economics'!$A$6:$AZ$6,0))),'Oxford Economics'!$A$7:$A$1000,$C72,'Oxford Economics'!$B$7:$B$1000,Settings!$B$18)))),""))</f>
        <v>52472.3</v>
      </c>
      <c r="AJ72" s="38" t="n">
        <f aca="false">IF($A72="","",IFERROR(1/(1/IF($B72="Residential",SUMIFS(INDEX('Oxford Economics'!$A$7:$AZ$1000,0,IFERROR(MATCH(AJ$5,'Oxford Economics'!$A$6:$AZ$6,0),MATCH(AJ$5&amp;"",'Oxford Economics'!$A$6:$AZ$6,0))),'Oxford Economics'!$A$7:$A$1000,$C72,'Oxford Economics'!$B$7:$B$1000,Settings!$B$12)-SUMIFS(INDEX('Oxford Economics'!$A$7:$AZ$1000,0,IFERROR(MATCH(AJ$5,'Oxford Economics'!$A$6:$AZ$6,0),MATCH(AJ$5&amp;"",'Oxford Economics'!$A$6:$AZ$6,0))),'Oxford Economics'!$A$7:$A$1000,$C72,'Oxford Economics'!$B$7:$B$1000,Settings!$B$14),SUMIFS(INDEX('Oxford Economics'!$A$7:$AZ$1000,0,IFERROR(MATCH(AJ$5,'Oxford Economics'!$A$6:$AZ$6,0),MATCH(AJ$5&amp;"",'Oxford Economics'!$A$6:$AZ$6,0))),'Oxford Economics'!$A$7:$A$1000,$C72,'Oxford Economics'!$B$7:$B$1000,Settings!$B$14)+SUMIFS(INDEX('Oxford Economics'!$A$7:$AZ$1000,0,IFERROR(MATCH(AJ$5,'Oxford Economics'!$A$6:$AZ$6,0),MATCH(AJ$5&amp;"",'Oxford Economics'!$A$6:$AZ$6,0))),'Oxford Economics'!$A$7:$A$1000,$C72,'Oxford Economics'!$B$7:$B$1000,Settings!$B$16)+IF(Settings!$B$18="",0,SUMIFS(INDEX('Oxford Economics'!$A$7:$AZ$1000,0,IFERROR(MATCH(AJ$5,'Oxford Economics'!$A$6:$AZ$6,0),MATCH(AJ$5&amp;"",'Oxford Economics'!$A$6:$AZ$6,0))),'Oxford Economics'!$A$7:$A$1000,$C72,'Oxford Economics'!$B$7:$B$1000,Settings!$B$18)))),""))</f>
        <v>55467.89</v>
      </c>
      <c r="AK72" s="38" t="n">
        <f aca="false">IF($A72="","",IFERROR(1/(1/IF($B72="Residential",SUMIFS(INDEX('Oxford Economics'!$A$7:$AZ$1000,0,IFERROR(MATCH(AK$5,'Oxford Economics'!$A$6:$AZ$6,0),MATCH(AK$5&amp;"",'Oxford Economics'!$A$6:$AZ$6,0))),'Oxford Economics'!$A$7:$A$1000,$C72,'Oxford Economics'!$B$7:$B$1000,Settings!$B$12)-SUMIFS(INDEX('Oxford Economics'!$A$7:$AZ$1000,0,IFERROR(MATCH(AK$5,'Oxford Economics'!$A$6:$AZ$6,0),MATCH(AK$5&amp;"",'Oxford Economics'!$A$6:$AZ$6,0))),'Oxford Economics'!$A$7:$A$1000,$C72,'Oxford Economics'!$B$7:$B$1000,Settings!$B$14),SUMIFS(INDEX('Oxford Economics'!$A$7:$AZ$1000,0,IFERROR(MATCH(AK$5,'Oxford Economics'!$A$6:$AZ$6,0),MATCH(AK$5&amp;"",'Oxford Economics'!$A$6:$AZ$6,0))),'Oxford Economics'!$A$7:$A$1000,$C72,'Oxford Economics'!$B$7:$B$1000,Settings!$B$14)+SUMIFS(INDEX('Oxford Economics'!$A$7:$AZ$1000,0,IFERROR(MATCH(AK$5,'Oxford Economics'!$A$6:$AZ$6,0),MATCH(AK$5&amp;"",'Oxford Economics'!$A$6:$AZ$6,0))),'Oxford Economics'!$A$7:$A$1000,$C72,'Oxford Economics'!$B$7:$B$1000,Settings!$B$16)+IF(Settings!$B$18="",0,SUMIFS(INDEX('Oxford Economics'!$A$7:$AZ$1000,0,IFERROR(MATCH(AK$5,'Oxford Economics'!$A$6:$AZ$6,0),MATCH(AK$5&amp;"",'Oxford Economics'!$A$6:$AZ$6,0))),'Oxford Economics'!$A$7:$A$1000,$C72,'Oxford Economics'!$B$7:$B$1000,Settings!$B$18)))),""))</f>
        <v>58296.66</v>
      </c>
      <c r="AL72" s="38" t="n">
        <f aca="false">IF($A72="","",IFERROR(1/(1/IF($B72="Residential",SUMIFS(INDEX('Oxford Economics'!$A$7:$AZ$1000,0,IFERROR(MATCH(AL$5,'Oxford Economics'!$A$6:$AZ$6,0),MATCH(AL$5&amp;"",'Oxford Economics'!$A$6:$AZ$6,0))),'Oxford Economics'!$A$7:$A$1000,$C72,'Oxford Economics'!$B$7:$B$1000,Settings!$B$12)-SUMIFS(INDEX('Oxford Economics'!$A$7:$AZ$1000,0,IFERROR(MATCH(AL$5,'Oxford Economics'!$A$6:$AZ$6,0),MATCH(AL$5&amp;"",'Oxford Economics'!$A$6:$AZ$6,0))),'Oxford Economics'!$A$7:$A$1000,$C72,'Oxford Economics'!$B$7:$B$1000,Settings!$B$14),SUMIFS(INDEX('Oxford Economics'!$A$7:$AZ$1000,0,IFERROR(MATCH(AL$5,'Oxford Economics'!$A$6:$AZ$6,0),MATCH(AL$5&amp;"",'Oxford Economics'!$A$6:$AZ$6,0))),'Oxford Economics'!$A$7:$A$1000,$C72,'Oxford Economics'!$B$7:$B$1000,Settings!$B$14)+SUMIFS(INDEX('Oxford Economics'!$A$7:$AZ$1000,0,IFERROR(MATCH(AL$5,'Oxford Economics'!$A$6:$AZ$6,0),MATCH(AL$5&amp;"",'Oxford Economics'!$A$6:$AZ$6,0))),'Oxford Economics'!$A$7:$A$1000,$C72,'Oxford Economics'!$B$7:$B$1000,Settings!$B$16)+IF(Settings!$B$18="",0,SUMIFS(INDEX('Oxford Economics'!$A$7:$AZ$1000,0,IFERROR(MATCH(AL$5,'Oxford Economics'!$A$6:$AZ$6,0),MATCH(AL$5&amp;"",'Oxford Economics'!$A$6:$AZ$6,0))),'Oxford Economics'!$A$7:$A$1000,$C72,'Oxford Economics'!$B$7:$B$1000,Settings!$B$18)))),""))</f>
        <v>61086.49</v>
      </c>
      <c r="AM72" s="38" t="n">
        <f aca="false">IF($A72="","",IFERROR(1/(1/IF($B72="Residential",SUMIFS(INDEX('Oxford Economics'!$A$7:$AZ$1000,0,IFERROR(MATCH(AM$5,'Oxford Economics'!$A$6:$AZ$6,0),MATCH(AM$5&amp;"",'Oxford Economics'!$A$6:$AZ$6,0))),'Oxford Economics'!$A$7:$A$1000,$C72,'Oxford Economics'!$B$7:$B$1000,Settings!$B$12)-SUMIFS(INDEX('Oxford Economics'!$A$7:$AZ$1000,0,IFERROR(MATCH(AM$5,'Oxford Economics'!$A$6:$AZ$6,0),MATCH(AM$5&amp;"",'Oxford Economics'!$A$6:$AZ$6,0))),'Oxford Economics'!$A$7:$A$1000,$C72,'Oxford Economics'!$B$7:$B$1000,Settings!$B$14),SUMIFS(INDEX('Oxford Economics'!$A$7:$AZ$1000,0,IFERROR(MATCH(AM$5,'Oxford Economics'!$A$6:$AZ$6,0),MATCH(AM$5&amp;"",'Oxford Economics'!$A$6:$AZ$6,0))),'Oxford Economics'!$A$7:$A$1000,$C72,'Oxford Economics'!$B$7:$B$1000,Settings!$B$14)+SUMIFS(INDEX('Oxford Economics'!$A$7:$AZ$1000,0,IFERROR(MATCH(AM$5,'Oxford Economics'!$A$6:$AZ$6,0),MATCH(AM$5&amp;"",'Oxford Economics'!$A$6:$AZ$6,0))),'Oxford Economics'!$A$7:$A$1000,$C72,'Oxford Economics'!$B$7:$B$1000,Settings!$B$16)+IF(Settings!$B$18="",0,SUMIFS(INDEX('Oxford Economics'!$A$7:$AZ$1000,0,IFERROR(MATCH(AM$5,'Oxford Economics'!$A$6:$AZ$6,0),MATCH(AM$5&amp;"",'Oxford Economics'!$A$6:$AZ$6,0))),'Oxford Economics'!$A$7:$A$1000,$C72,'Oxford Economics'!$B$7:$B$1000,Settings!$B$18)))),""))</f>
        <v>63152.19</v>
      </c>
    </row>
    <row r="73" customFormat="false" ht="15" hidden="false" customHeight="false" outlineLevel="0" collapsed="false">
      <c r="A73" s="37" t="str">
        <f aca="false">IF('Raw data'!$A73="","",'Raw data'!$A73)</f>
        <v>United Kingdom</v>
      </c>
      <c r="B73" s="37" t="str">
        <f aca="false">IF($A73="","",'Raw data'!$C73)</f>
        <v>Residential</v>
      </c>
      <c r="C73" s="37" t="str">
        <f aca="false">IF($A73="","",IF('Raw data'!$E73="",$A73,'Raw data'!$E73))</f>
        <v>United Kingdom</v>
      </c>
      <c r="D73" s="38" t="n">
        <f aca="false">IF($A73="","",IF(AND(ISNUMBER(P73),ISNUMBER(AB73)),P73+AB73,""))</f>
        <v>71856.63</v>
      </c>
      <c r="E73" s="38" t="n">
        <f aca="false">IF($A73="","",IF(AND(ISNUMBER(Q73),ISNUMBER(AC73)),Q73+AC73,""))</f>
        <v>85374.84</v>
      </c>
      <c r="F73" s="38" t="n">
        <f aca="false">IF($A73="","",IF(AND(ISNUMBER(R73),ISNUMBER(AD73)),R73+AD73,""))</f>
        <v>94129.61</v>
      </c>
      <c r="G73" s="38" t="n">
        <f aca="false">IF($A73="","",IF(AND(ISNUMBER(S73),ISNUMBER(AE73)),S73+AE73,""))</f>
        <v>89786.14</v>
      </c>
      <c r="H73" s="38" t="n">
        <f aca="false">IF($A73="","",IF(AND(ISNUMBER(T73),ISNUMBER(AF73)),T73+AF73,""))</f>
        <v>90226.58</v>
      </c>
      <c r="I73" s="38" t="n">
        <f aca="false">IF($A73="","",IF(AND(ISNUMBER(U73),ISNUMBER(AG73)),U73+AG73,""))</f>
        <v>91052.98</v>
      </c>
      <c r="J73" s="38" t="n">
        <f aca="false">IF($A73="","",IF(AND(ISNUMBER(V73),ISNUMBER(AH73)),V73+AH73,""))</f>
        <v>91931.91</v>
      </c>
      <c r="K73" s="38" t="n">
        <f aca="false">IF($A73="","",IF(AND(ISNUMBER(W73),ISNUMBER(AI73)),W73+AI73,""))</f>
        <v>94932.4</v>
      </c>
      <c r="L73" s="38" t="n">
        <f aca="false">IF($A73="","",IF(AND(ISNUMBER(X73),ISNUMBER(AJ73)),X73+AJ73,""))</f>
        <v>100185.24</v>
      </c>
      <c r="M73" s="38" t="n">
        <f aca="false">IF($A73="","",IF(AND(ISNUMBER(Y73),ISNUMBER(AK73)),Y73+AK73,""))</f>
        <v>105072.08</v>
      </c>
      <c r="N73" s="38" t="n">
        <f aca="false">IF($A73="","",IF(AND(ISNUMBER(Z73),ISNUMBER(AL73)),Z73+AL73,""))</f>
        <v>109831.59</v>
      </c>
      <c r="O73" s="38" t="n">
        <f aca="false">IF($A73="","",IF(AND(ISNUMBER(AA73),ISNUMBER(AM73)),AA73+AM73,""))</f>
        <v>113107.53</v>
      </c>
      <c r="P73" s="38" t="n">
        <f aca="false">IF($A73="","",IFERROR(1/(1/IF($B73="Residential",SUMIFS(INDEX('Oxford Economics'!$A$7:$AZ$1000,0,IFERROR(MATCH(P$5,'Oxford Economics'!$A$6:$AZ$6,0),MATCH(P$5&amp;"",'Oxford Economics'!$A$6:$AZ$6,0))),'Oxford Economics'!$A$7:$A$1000,$C73,'Oxford Economics'!$B$7:$B$1000,Settings!$B$13)-SUMIFS(INDEX('Oxford Economics'!$A$7:$AZ$1000,0,IFERROR(MATCH(P$5,'Oxford Economics'!$A$6:$AZ$6,0),MATCH(P$5&amp;"",'Oxford Economics'!$A$6:$AZ$6,0))),'Oxford Economics'!$A$7:$A$1000,$C73,'Oxford Economics'!$B$7:$B$1000,Settings!$B$15),SUMIFS(INDEX('Oxford Economics'!$A$7:$AZ$1000,0,IFERROR(MATCH(P$5,'Oxford Economics'!$A$6:$AZ$6,0),MATCH(P$5&amp;"",'Oxford Economics'!$A$6:$AZ$6,0))),'Oxford Economics'!$A$7:$A$1000,$C73,'Oxford Economics'!$B$7:$B$1000,Settings!$B$15)+SUMIFS(INDEX('Oxford Economics'!$A$7:$AZ$1000,0,IFERROR(MATCH(P$5,'Oxford Economics'!$A$6:$AZ$6,0),MATCH(P$5&amp;"",'Oxford Economics'!$A$6:$AZ$6,0))),'Oxford Economics'!$A$7:$A$1000,$C73,'Oxford Economics'!$B$7:$B$1000,Settings!$B$17)+IF(Settings!$B$19="",0,SUMIFS(INDEX('Oxford Economics'!$A$7:$AZ$1000,0,IFERROR(MATCH(P$5,'Oxford Economics'!$A$6:$AZ$6,0),MATCH(P$5&amp;"",'Oxford Economics'!$A$6:$AZ$6,0))),'Oxford Economics'!$A$7:$A$1000,$C73,'Oxford Economics'!$B$7:$B$1000,Settings!$B$19)))),""))</f>
        <v>29788.05</v>
      </c>
      <c r="Q73" s="38" t="n">
        <f aca="false">IF($A73="","",IFERROR(1/(1/IF($B73="Residential",SUMIFS(INDEX('Oxford Economics'!$A$7:$AZ$1000,0,IFERROR(MATCH(Q$5,'Oxford Economics'!$A$6:$AZ$6,0),MATCH(Q$5&amp;"",'Oxford Economics'!$A$6:$AZ$6,0))),'Oxford Economics'!$A$7:$A$1000,$C73,'Oxford Economics'!$B$7:$B$1000,Settings!$B$13)-SUMIFS(INDEX('Oxford Economics'!$A$7:$AZ$1000,0,IFERROR(MATCH(Q$5,'Oxford Economics'!$A$6:$AZ$6,0),MATCH(Q$5&amp;"",'Oxford Economics'!$A$6:$AZ$6,0))),'Oxford Economics'!$A$7:$A$1000,$C73,'Oxford Economics'!$B$7:$B$1000,Settings!$B$15),SUMIFS(INDEX('Oxford Economics'!$A$7:$AZ$1000,0,IFERROR(MATCH(Q$5,'Oxford Economics'!$A$6:$AZ$6,0),MATCH(Q$5&amp;"",'Oxford Economics'!$A$6:$AZ$6,0))),'Oxford Economics'!$A$7:$A$1000,$C73,'Oxford Economics'!$B$7:$B$1000,Settings!$B$15)+SUMIFS(INDEX('Oxford Economics'!$A$7:$AZ$1000,0,IFERROR(MATCH(Q$5,'Oxford Economics'!$A$6:$AZ$6,0),MATCH(Q$5&amp;"",'Oxford Economics'!$A$6:$AZ$6,0))),'Oxford Economics'!$A$7:$A$1000,$C73,'Oxford Economics'!$B$7:$B$1000,Settings!$B$17)+IF(Settings!$B$19="",0,SUMIFS(INDEX('Oxford Economics'!$A$7:$AZ$1000,0,IFERROR(MATCH(Q$5,'Oxford Economics'!$A$6:$AZ$6,0),MATCH(Q$5&amp;"",'Oxford Economics'!$A$6:$AZ$6,0))),'Oxford Economics'!$A$7:$A$1000,$C73,'Oxford Economics'!$B$7:$B$1000,Settings!$B$19)))),""))</f>
        <v>35851.7</v>
      </c>
      <c r="R73" s="38" t="n">
        <f aca="false">IF($A73="","",IFERROR(1/(1/IF($B73="Residential",SUMIFS(INDEX('Oxford Economics'!$A$7:$AZ$1000,0,IFERROR(MATCH(R$5,'Oxford Economics'!$A$6:$AZ$6,0),MATCH(R$5&amp;"",'Oxford Economics'!$A$6:$AZ$6,0))),'Oxford Economics'!$A$7:$A$1000,$C73,'Oxford Economics'!$B$7:$B$1000,Settings!$B$13)-SUMIFS(INDEX('Oxford Economics'!$A$7:$AZ$1000,0,IFERROR(MATCH(R$5,'Oxford Economics'!$A$6:$AZ$6,0),MATCH(R$5&amp;"",'Oxford Economics'!$A$6:$AZ$6,0))),'Oxford Economics'!$A$7:$A$1000,$C73,'Oxford Economics'!$B$7:$B$1000,Settings!$B$15),SUMIFS(INDEX('Oxford Economics'!$A$7:$AZ$1000,0,IFERROR(MATCH(R$5,'Oxford Economics'!$A$6:$AZ$6,0),MATCH(R$5&amp;"",'Oxford Economics'!$A$6:$AZ$6,0))),'Oxford Economics'!$A$7:$A$1000,$C73,'Oxford Economics'!$B$7:$B$1000,Settings!$B$15)+SUMIFS(INDEX('Oxford Economics'!$A$7:$AZ$1000,0,IFERROR(MATCH(R$5,'Oxford Economics'!$A$6:$AZ$6,0),MATCH(R$5&amp;"",'Oxford Economics'!$A$6:$AZ$6,0))),'Oxford Economics'!$A$7:$A$1000,$C73,'Oxford Economics'!$B$7:$B$1000,Settings!$B$17)+IF(Settings!$B$19="",0,SUMIFS(INDEX('Oxford Economics'!$A$7:$AZ$1000,0,IFERROR(MATCH(R$5,'Oxford Economics'!$A$6:$AZ$6,0),MATCH(R$5&amp;"",'Oxford Economics'!$A$6:$AZ$6,0))),'Oxford Economics'!$A$7:$A$1000,$C73,'Oxford Economics'!$B$7:$B$1000,Settings!$B$19)))),""))</f>
        <v>38236.67</v>
      </c>
      <c r="S73" s="38" t="n">
        <f aca="false">IF($A73="","",IFERROR(1/(1/IF($B73="Residential",SUMIFS(INDEX('Oxford Economics'!$A$7:$AZ$1000,0,IFERROR(MATCH(S$5,'Oxford Economics'!$A$6:$AZ$6,0),MATCH(S$5&amp;"",'Oxford Economics'!$A$6:$AZ$6,0))),'Oxford Economics'!$A$7:$A$1000,$C73,'Oxford Economics'!$B$7:$B$1000,Settings!$B$13)-SUMIFS(INDEX('Oxford Economics'!$A$7:$AZ$1000,0,IFERROR(MATCH(S$5,'Oxford Economics'!$A$6:$AZ$6,0),MATCH(S$5&amp;"",'Oxford Economics'!$A$6:$AZ$6,0))),'Oxford Economics'!$A$7:$A$1000,$C73,'Oxford Economics'!$B$7:$B$1000,Settings!$B$15),SUMIFS(INDEX('Oxford Economics'!$A$7:$AZ$1000,0,IFERROR(MATCH(S$5,'Oxford Economics'!$A$6:$AZ$6,0),MATCH(S$5&amp;"",'Oxford Economics'!$A$6:$AZ$6,0))),'Oxford Economics'!$A$7:$A$1000,$C73,'Oxford Economics'!$B$7:$B$1000,Settings!$B$15)+SUMIFS(INDEX('Oxford Economics'!$A$7:$AZ$1000,0,IFERROR(MATCH(S$5,'Oxford Economics'!$A$6:$AZ$6,0),MATCH(S$5&amp;"",'Oxford Economics'!$A$6:$AZ$6,0))),'Oxford Economics'!$A$7:$A$1000,$C73,'Oxford Economics'!$B$7:$B$1000,Settings!$B$17)+IF(Settings!$B$19="",0,SUMIFS(INDEX('Oxford Economics'!$A$7:$AZ$1000,0,IFERROR(MATCH(S$5,'Oxford Economics'!$A$6:$AZ$6,0),MATCH(S$5&amp;"",'Oxford Economics'!$A$6:$AZ$6,0))),'Oxford Economics'!$A$7:$A$1000,$C73,'Oxford Economics'!$B$7:$B$1000,Settings!$B$19)))),""))</f>
        <v>39838.1</v>
      </c>
      <c r="T73" s="38" t="n">
        <f aca="false">IF($A73="","",IFERROR(1/(1/IF($B73="Residential",SUMIFS(INDEX('Oxford Economics'!$A$7:$AZ$1000,0,IFERROR(MATCH(T$5,'Oxford Economics'!$A$6:$AZ$6,0),MATCH(T$5&amp;"",'Oxford Economics'!$A$6:$AZ$6,0))),'Oxford Economics'!$A$7:$A$1000,$C73,'Oxford Economics'!$B$7:$B$1000,Settings!$B$13)-SUMIFS(INDEX('Oxford Economics'!$A$7:$AZ$1000,0,IFERROR(MATCH(T$5,'Oxford Economics'!$A$6:$AZ$6,0),MATCH(T$5&amp;"",'Oxford Economics'!$A$6:$AZ$6,0))),'Oxford Economics'!$A$7:$A$1000,$C73,'Oxford Economics'!$B$7:$B$1000,Settings!$B$15),SUMIFS(INDEX('Oxford Economics'!$A$7:$AZ$1000,0,IFERROR(MATCH(T$5,'Oxford Economics'!$A$6:$AZ$6,0),MATCH(T$5&amp;"",'Oxford Economics'!$A$6:$AZ$6,0))),'Oxford Economics'!$A$7:$A$1000,$C73,'Oxford Economics'!$B$7:$B$1000,Settings!$B$15)+SUMIFS(INDEX('Oxford Economics'!$A$7:$AZ$1000,0,IFERROR(MATCH(T$5,'Oxford Economics'!$A$6:$AZ$6,0),MATCH(T$5&amp;"",'Oxford Economics'!$A$6:$AZ$6,0))),'Oxford Economics'!$A$7:$A$1000,$C73,'Oxford Economics'!$B$7:$B$1000,Settings!$B$17)+IF(Settings!$B$19="",0,SUMIFS(INDEX('Oxford Economics'!$A$7:$AZ$1000,0,IFERROR(MATCH(T$5,'Oxford Economics'!$A$6:$AZ$6,0),MATCH(T$5&amp;"",'Oxford Economics'!$A$6:$AZ$6,0))),'Oxford Economics'!$A$7:$A$1000,$C73,'Oxford Economics'!$B$7:$B$1000,Settings!$B$19)))),""))</f>
        <v>42717.87</v>
      </c>
      <c r="U73" s="38" t="n">
        <f aca="false">IF($A73="","",IFERROR(1/(1/IF($B73="Residential",SUMIFS(INDEX('Oxford Economics'!$A$7:$AZ$1000,0,IFERROR(MATCH(U$5,'Oxford Economics'!$A$6:$AZ$6,0),MATCH(U$5&amp;"",'Oxford Economics'!$A$6:$AZ$6,0))),'Oxford Economics'!$A$7:$A$1000,$C73,'Oxford Economics'!$B$7:$B$1000,Settings!$B$13)-SUMIFS(INDEX('Oxford Economics'!$A$7:$AZ$1000,0,IFERROR(MATCH(U$5,'Oxford Economics'!$A$6:$AZ$6,0),MATCH(U$5&amp;"",'Oxford Economics'!$A$6:$AZ$6,0))),'Oxford Economics'!$A$7:$A$1000,$C73,'Oxford Economics'!$B$7:$B$1000,Settings!$B$15),SUMIFS(INDEX('Oxford Economics'!$A$7:$AZ$1000,0,IFERROR(MATCH(U$5,'Oxford Economics'!$A$6:$AZ$6,0),MATCH(U$5&amp;"",'Oxford Economics'!$A$6:$AZ$6,0))),'Oxford Economics'!$A$7:$A$1000,$C73,'Oxford Economics'!$B$7:$B$1000,Settings!$B$15)+SUMIFS(INDEX('Oxford Economics'!$A$7:$AZ$1000,0,IFERROR(MATCH(U$5,'Oxford Economics'!$A$6:$AZ$6,0),MATCH(U$5&amp;"",'Oxford Economics'!$A$6:$AZ$6,0))),'Oxford Economics'!$A$7:$A$1000,$C73,'Oxford Economics'!$B$7:$B$1000,Settings!$B$17)+IF(Settings!$B$19="",0,SUMIFS(INDEX('Oxford Economics'!$A$7:$AZ$1000,0,IFERROR(MATCH(U$5,'Oxford Economics'!$A$6:$AZ$6,0),MATCH(U$5&amp;"",'Oxford Economics'!$A$6:$AZ$6,0))),'Oxford Economics'!$A$7:$A$1000,$C73,'Oxford Economics'!$B$7:$B$1000,Settings!$B$19)))),""))</f>
        <v>43377.35</v>
      </c>
      <c r="V73" s="38" t="n">
        <f aca="false">IF($A73="","",IFERROR(1/(1/IF($B73="Residential",SUMIFS(INDEX('Oxford Economics'!$A$7:$AZ$1000,0,IFERROR(MATCH(V$5,'Oxford Economics'!$A$6:$AZ$6,0),MATCH(V$5&amp;"",'Oxford Economics'!$A$6:$AZ$6,0))),'Oxford Economics'!$A$7:$A$1000,$C73,'Oxford Economics'!$B$7:$B$1000,Settings!$B$13)-SUMIFS(INDEX('Oxford Economics'!$A$7:$AZ$1000,0,IFERROR(MATCH(V$5,'Oxford Economics'!$A$6:$AZ$6,0),MATCH(V$5&amp;"",'Oxford Economics'!$A$6:$AZ$6,0))),'Oxford Economics'!$A$7:$A$1000,$C73,'Oxford Economics'!$B$7:$B$1000,Settings!$B$15),SUMIFS(INDEX('Oxford Economics'!$A$7:$AZ$1000,0,IFERROR(MATCH(V$5,'Oxford Economics'!$A$6:$AZ$6,0),MATCH(V$5&amp;"",'Oxford Economics'!$A$6:$AZ$6,0))),'Oxford Economics'!$A$7:$A$1000,$C73,'Oxford Economics'!$B$7:$B$1000,Settings!$B$15)+SUMIFS(INDEX('Oxford Economics'!$A$7:$AZ$1000,0,IFERROR(MATCH(V$5,'Oxford Economics'!$A$6:$AZ$6,0),MATCH(V$5&amp;"",'Oxford Economics'!$A$6:$AZ$6,0))),'Oxford Economics'!$A$7:$A$1000,$C73,'Oxford Economics'!$B$7:$B$1000,Settings!$B$17)+IF(Settings!$B$19="",0,SUMIFS(INDEX('Oxford Economics'!$A$7:$AZ$1000,0,IFERROR(MATCH(V$5,'Oxford Economics'!$A$6:$AZ$6,0),MATCH(V$5&amp;"",'Oxford Economics'!$A$6:$AZ$6,0))),'Oxford Economics'!$A$7:$A$1000,$C73,'Oxford Economics'!$B$7:$B$1000,Settings!$B$19)))),""))</f>
        <v>42110.67</v>
      </c>
      <c r="W73" s="38" t="n">
        <f aca="false">IF($A73="","",IFERROR(1/(1/IF($B73="Residential",SUMIFS(INDEX('Oxford Economics'!$A$7:$AZ$1000,0,IFERROR(MATCH(W$5,'Oxford Economics'!$A$6:$AZ$6,0),MATCH(W$5&amp;"",'Oxford Economics'!$A$6:$AZ$6,0))),'Oxford Economics'!$A$7:$A$1000,$C73,'Oxford Economics'!$B$7:$B$1000,Settings!$B$13)-SUMIFS(INDEX('Oxford Economics'!$A$7:$AZ$1000,0,IFERROR(MATCH(W$5,'Oxford Economics'!$A$6:$AZ$6,0),MATCH(W$5&amp;"",'Oxford Economics'!$A$6:$AZ$6,0))),'Oxford Economics'!$A$7:$A$1000,$C73,'Oxford Economics'!$B$7:$B$1000,Settings!$B$15),SUMIFS(INDEX('Oxford Economics'!$A$7:$AZ$1000,0,IFERROR(MATCH(W$5,'Oxford Economics'!$A$6:$AZ$6,0),MATCH(W$5&amp;"",'Oxford Economics'!$A$6:$AZ$6,0))),'Oxford Economics'!$A$7:$A$1000,$C73,'Oxford Economics'!$B$7:$B$1000,Settings!$B$15)+SUMIFS(INDEX('Oxford Economics'!$A$7:$AZ$1000,0,IFERROR(MATCH(W$5,'Oxford Economics'!$A$6:$AZ$6,0),MATCH(W$5&amp;"",'Oxford Economics'!$A$6:$AZ$6,0))),'Oxford Economics'!$A$7:$A$1000,$C73,'Oxford Economics'!$B$7:$B$1000,Settings!$B$17)+IF(Settings!$B$19="",0,SUMIFS(INDEX('Oxford Economics'!$A$7:$AZ$1000,0,IFERROR(MATCH(W$5,'Oxford Economics'!$A$6:$AZ$6,0),MATCH(W$5&amp;"",'Oxford Economics'!$A$6:$AZ$6,0))),'Oxford Economics'!$A$7:$A$1000,$C73,'Oxford Economics'!$B$7:$B$1000,Settings!$B$19)))),""))</f>
        <v>42460.1</v>
      </c>
      <c r="X73" s="38" t="n">
        <f aca="false">IF($A73="","",IFERROR(1/(1/IF($B73="Residential",SUMIFS(INDEX('Oxford Economics'!$A$7:$AZ$1000,0,IFERROR(MATCH(X$5,'Oxford Economics'!$A$6:$AZ$6,0),MATCH(X$5&amp;"",'Oxford Economics'!$A$6:$AZ$6,0))),'Oxford Economics'!$A$7:$A$1000,$C73,'Oxford Economics'!$B$7:$B$1000,Settings!$B$13)-SUMIFS(INDEX('Oxford Economics'!$A$7:$AZ$1000,0,IFERROR(MATCH(X$5,'Oxford Economics'!$A$6:$AZ$6,0),MATCH(X$5&amp;"",'Oxford Economics'!$A$6:$AZ$6,0))),'Oxford Economics'!$A$7:$A$1000,$C73,'Oxford Economics'!$B$7:$B$1000,Settings!$B$15),SUMIFS(INDEX('Oxford Economics'!$A$7:$AZ$1000,0,IFERROR(MATCH(X$5,'Oxford Economics'!$A$6:$AZ$6,0),MATCH(X$5&amp;"",'Oxford Economics'!$A$6:$AZ$6,0))),'Oxford Economics'!$A$7:$A$1000,$C73,'Oxford Economics'!$B$7:$B$1000,Settings!$B$15)+SUMIFS(INDEX('Oxford Economics'!$A$7:$AZ$1000,0,IFERROR(MATCH(X$5,'Oxford Economics'!$A$6:$AZ$6,0),MATCH(X$5&amp;"",'Oxford Economics'!$A$6:$AZ$6,0))),'Oxford Economics'!$A$7:$A$1000,$C73,'Oxford Economics'!$B$7:$B$1000,Settings!$B$17)+IF(Settings!$B$19="",0,SUMIFS(INDEX('Oxford Economics'!$A$7:$AZ$1000,0,IFERROR(MATCH(X$5,'Oxford Economics'!$A$6:$AZ$6,0),MATCH(X$5&amp;"",'Oxford Economics'!$A$6:$AZ$6,0))),'Oxford Economics'!$A$7:$A$1000,$C73,'Oxford Economics'!$B$7:$B$1000,Settings!$B$19)))),""))</f>
        <v>44717.35</v>
      </c>
      <c r="Y73" s="38" t="n">
        <f aca="false">IF($A73="","",IFERROR(1/(1/IF($B73="Residential",SUMIFS(INDEX('Oxford Economics'!$A$7:$AZ$1000,0,IFERROR(MATCH(Y$5,'Oxford Economics'!$A$6:$AZ$6,0),MATCH(Y$5&amp;"",'Oxford Economics'!$A$6:$AZ$6,0))),'Oxford Economics'!$A$7:$A$1000,$C73,'Oxford Economics'!$B$7:$B$1000,Settings!$B$13)-SUMIFS(INDEX('Oxford Economics'!$A$7:$AZ$1000,0,IFERROR(MATCH(Y$5,'Oxford Economics'!$A$6:$AZ$6,0),MATCH(Y$5&amp;"",'Oxford Economics'!$A$6:$AZ$6,0))),'Oxford Economics'!$A$7:$A$1000,$C73,'Oxford Economics'!$B$7:$B$1000,Settings!$B$15),SUMIFS(INDEX('Oxford Economics'!$A$7:$AZ$1000,0,IFERROR(MATCH(Y$5,'Oxford Economics'!$A$6:$AZ$6,0),MATCH(Y$5&amp;"",'Oxford Economics'!$A$6:$AZ$6,0))),'Oxford Economics'!$A$7:$A$1000,$C73,'Oxford Economics'!$B$7:$B$1000,Settings!$B$15)+SUMIFS(INDEX('Oxford Economics'!$A$7:$AZ$1000,0,IFERROR(MATCH(Y$5,'Oxford Economics'!$A$6:$AZ$6,0),MATCH(Y$5&amp;"",'Oxford Economics'!$A$6:$AZ$6,0))),'Oxford Economics'!$A$7:$A$1000,$C73,'Oxford Economics'!$B$7:$B$1000,Settings!$B$17)+IF(Settings!$B$19="",0,SUMIFS(INDEX('Oxford Economics'!$A$7:$AZ$1000,0,IFERROR(MATCH(Y$5,'Oxford Economics'!$A$6:$AZ$6,0),MATCH(Y$5&amp;"",'Oxford Economics'!$A$6:$AZ$6,0))),'Oxford Economics'!$A$7:$A$1000,$C73,'Oxford Economics'!$B$7:$B$1000,Settings!$B$19)))),""))</f>
        <v>46775.42</v>
      </c>
      <c r="Z73" s="38" t="n">
        <f aca="false">IF($A73="","",IFERROR(1/(1/IF($B73="Residential",SUMIFS(INDEX('Oxford Economics'!$A$7:$AZ$1000,0,IFERROR(MATCH(Z$5,'Oxford Economics'!$A$6:$AZ$6,0),MATCH(Z$5&amp;"",'Oxford Economics'!$A$6:$AZ$6,0))),'Oxford Economics'!$A$7:$A$1000,$C73,'Oxford Economics'!$B$7:$B$1000,Settings!$B$13)-SUMIFS(INDEX('Oxford Economics'!$A$7:$AZ$1000,0,IFERROR(MATCH(Z$5,'Oxford Economics'!$A$6:$AZ$6,0),MATCH(Z$5&amp;"",'Oxford Economics'!$A$6:$AZ$6,0))),'Oxford Economics'!$A$7:$A$1000,$C73,'Oxford Economics'!$B$7:$B$1000,Settings!$B$15),SUMIFS(INDEX('Oxford Economics'!$A$7:$AZ$1000,0,IFERROR(MATCH(Z$5,'Oxford Economics'!$A$6:$AZ$6,0),MATCH(Z$5&amp;"",'Oxford Economics'!$A$6:$AZ$6,0))),'Oxford Economics'!$A$7:$A$1000,$C73,'Oxford Economics'!$B$7:$B$1000,Settings!$B$15)+SUMIFS(INDEX('Oxford Economics'!$A$7:$AZ$1000,0,IFERROR(MATCH(Z$5,'Oxford Economics'!$A$6:$AZ$6,0),MATCH(Z$5&amp;"",'Oxford Economics'!$A$6:$AZ$6,0))),'Oxford Economics'!$A$7:$A$1000,$C73,'Oxford Economics'!$B$7:$B$1000,Settings!$B$17)+IF(Settings!$B$19="",0,SUMIFS(INDEX('Oxford Economics'!$A$7:$AZ$1000,0,IFERROR(MATCH(Z$5,'Oxford Economics'!$A$6:$AZ$6,0),MATCH(Z$5&amp;"",'Oxford Economics'!$A$6:$AZ$6,0))),'Oxford Economics'!$A$7:$A$1000,$C73,'Oxford Economics'!$B$7:$B$1000,Settings!$B$19)))),""))</f>
        <v>48745.1</v>
      </c>
      <c r="AA73" s="38" t="n">
        <f aca="false">IF($A73="","",IFERROR(1/(1/IF($B73="Residential",SUMIFS(INDEX('Oxford Economics'!$A$7:$AZ$1000,0,IFERROR(MATCH(AA$5,'Oxford Economics'!$A$6:$AZ$6,0),MATCH(AA$5&amp;"",'Oxford Economics'!$A$6:$AZ$6,0))),'Oxford Economics'!$A$7:$A$1000,$C73,'Oxford Economics'!$B$7:$B$1000,Settings!$B$13)-SUMIFS(INDEX('Oxford Economics'!$A$7:$AZ$1000,0,IFERROR(MATCH(AA$5,'Oxford Economics'!$A$6:$AZ$6,0),MATCH(AA$5&amp;"",'Oxford Economics'!$A$6:$AZ$6,0))),'Oxford Economics'!$A$7:$A$1000,$C73,'Oxford Economics'!$B$7:$B$1000,Settings!$B$15),SUMIFS(INDEX('Oxford Economics'!$A$7:$AZ$1000,0,IFERROR(MATCH(AA$5,'Oxford Economics'!$A$6:$AZ$6,0),MATCH(AA$5&amp;"",'Oxford Economics'!$A$6:$AZ$6,0))),'Oxford Economics'!$A$7:$A$1000,$C73,'Oxford Economics'!$B$7:$B$1000,Settings!$B$15)+SUMIFS(INDEX('Oxford Economics'!$A$7:$AZ$1000,0,IFERROR(MATCH(AA$5,'Oxford Economics'!$A$6:$AZ$6,0),MATCH(AA$5&amp;"",'Oxford Economics'!$A$6:$AZ$6,0))),'Oxford Economics'!$A$7:$A$1000,$C73,'Oxford Economics'!$B$7:$B$1000,Settings!$B$17)+IF(Settings!$B$19="",0,SUMIFS(INDEX('Oxford Economics'!$A$7:$AZ$1000,0,IFERROR(MATCH(AA$5,'Oxford Economics'!$A$6:$AZ$6,0),MATCH(AA$5&amp;"",'Oxford Economics'!$A$6:$AZ$6,0))),'Oxford Economics'!$A$7:$A$1000,$C73,'Oxford Economics'!$B$7:$B$1000,Settings!$B$19)))),""))</f>
        <v>49955.34</v>
      </c>
      <c r="AB73" s="38" t="n">
        <f aca="false">IF($A73="","",IFERROR(1/(1/IF($B73="Residential",SUMIFS(INDEX('Oxford Economics'!$A$7:$AZ$1000,0,IFERROR(MATCH(AB$5,'Oxford Economics'!$A$6:$AZ$6,0),MATCH(AB$5&amp;"",'Oxford Economics'!$A$6:$AZ$6,0))),'Oxford Economics'!$A$7:$A$1000,$C73,'Oxford Economics'!$B$7:$B$1000,Settings!$B$12)-SUMIFS(INDEX('Oxford Economics'!$A$7:$AZ$1000,0,IFERROR(MATCH(AB$5,'Oxford Economics'!$A$6:$AZ$6,0),MATCH(AB$5&amp;"",'Oxford Economics'!$A$6:$AZ$6,0))),'Oxford Economics'!$A$7:$A$1000,$C73,'Oxford Economics'!$B$7:$B$1000,Settings!$B$14),SUMIFS(INDEX('Oxford Economics'!$A$7:$AZ$1000,0,IFERROR(MATCH(AB$5,'Oxford Economics'!$A$6:$AZ$6,0),MATCH(AB$5&amp;"",'Oxford Economics'!$A$6:$AZ$6,0))),'Oxford Economics'!$A$7:$A$1000,$C73,'Oxford Economics'!$B$7:$B$1000,Settings!$B$14)+SUMIFS(INDEX('Oxford Economics'!$A$7:$AZ$1000,0,IFERROR(MATCH(AB$5,'Oxford Economics'!$A$6:$AZ$6,0),MATCH(AB$5&amp;"",'Oxford Economics'!$A$6:$AZ$6,0))),'Oxford Economics'!$A$7:$A$1000,$C73,'Oxford Economics'!$B$7:$B$1000,Settings!$B$16)+IF(Settings!$B$18="",0,SUMIFS(INDEX('Oxford Economics'!$A$7:$AZ$1000,0,IFERROR(MATCH(AB$5,'Oxford Economics'!$A$6:$AZ$6,0),MATCH(AB$5&amp;"",'Oxford Economics'!$A$6:$AZ$6,0))),'Oxford Economics'!$A$7:$A$1000,$C73,'Oxford Economics'!$B$7:$B$1000,Settings!$B$18)))),""))</f>
        <v>42068.58</v>
      </c>
      <c r="AC73" s="38" t="n">
        <f aca="false">IF($A73="","",IFERROR(1/(1/IF($B73="Residential",SUMIFS(INDEX('Oxford Economics'!$A$7:$AZ$1000,0,IFERROR(MATCH(AC$5,'Oxford Economics'!$A$6:$AZ$6,0),MATCH(AC$5&amp;"",'Oxford Economics'!$A$6:$AZ$6,0))),'Oxford Economics'!$A$7:$A$1000,$C73,'Oxford Economics'!$B$7:$B$1000,Settings!$B$12)-SUMIFS(INDEX('Oxford Economics'!$A$7:$AZ$1000,0,IFERROR(MATCH(AC$5,'Oxford Economics'!$A$6:$AZ$6,0),MATCH(AC$5&amp;"",'Oxford Economics'!$A$6:$AZ$6,0))),'Oxford Economics'!$A$7:$A$1000,$C73,'Oxford Economics'!$B$7:$B$1000,Settings!$B$14),SUMIFS(INDEX('Oxford Economics'!$A$7:$AZ$1000,0,IFERROR(MATCH(AC$5,'Oxford Economics'!$A$6:$AZ$6,0),MATCH(AC$5&amp;"",'Oxford Economics'!$A$6:$AZ$6,0))),'Oxford Economics'!$A$7:$A$1000,$C73,'Oxford Economics'!$B$7:$B$1000,Settings!$B$14)+SUMIFS(INDEX('Oxford Economics'!$A$7:$AZ$1000,0,IFERROR(MATCH(AC$5,'Oxford Economics'!$A$6:$AZ$6,0),MATCH(AC$5&amp;"",'Oxford Economics'!$A$6:$AZ$6,0))),'Oxford Economics'!$A$7:$A$1000,$C73,'Oxford Economics'!$B$7:$B$1000,Settings!$B$16)+IF(Settings!$B$18="",0,SUMIFS(INDEX('Oxford Economics'!$A$7:$AZ$1000,0,IFERROR(MATCH(AC$5,'Oxford Economics'!$A$6:$AZ$6,0),MATCH(AC$5&amp;"",'Oxford Economics'!$A$6:$AZ$6,0))),'Oxford Economics'!$A$7:$A$1000,$C73,'Oxford Economics'!$B$7:$B$1000,Settings!$B$18)))),""))</f>
        <v>49523.14</v>
      </c>
      <c r="AD73" s="38" t="n">
        <f aca="false">IF($A73="","",IFERROR(1/(1/IF($B73="Residential",SUMIFS(INDEX('Oxford Economics'!$A$7:$AZ$1000,0,IFERROR(MATCH(AD$5,'Oxford Economics'!$A$6:$AZ$6,0),MATCH(AD$5&amp;"",'Oxford Economics'!$A$6:$AZ$6,0))),'Oxford Economics'!$A$7:$A$1000,$C73,'Oxford Economics'!$B$7:$B$1000,Settings!$B$12)-SUMIFS(INDEX('Oxford Economics'!$A$7:$AZ$1000,0,IFERROR(MATCH(AD$5,'Oxford Economics'!$A$6:$AZ$6,0),MATCH(AD$5&amp;"",'Oxford Economics'!$A$6:$AZ$6,0))),'Oxford Economics'!$A$7:$A$1000,$C73,'Oxford Economics'!$B$7:$B$1000,Settings!$B$14),SUMIFS(INDEX('Oxford Economics'!$A$7:$AZ$1000,0,IFERROR(MATCH(AD$5,'Oxford Economics'!$A$6:$AZ$6,0),MATCH(AD$5&amp;"",'Oxford Economics'!$A$6:$AZ$6,0))),'Oxford Economics'!$A$7:$A$1000,$C73,'Oxford Economics'!$B$7:$B$1000,Settings!$B$14)+SUMIFS(INDEX('Oxford Economics'!$A$7:$AZ$1000,0,IFERROR(MATCH(AD$5,'Oxford Economics'!$A$6:$AZ$6,0),MATCH(AD$5&amp;"",'Oxford Economics'!$A$6:$AZ$6,0))),'Oxford Economics'!$A$7:$A$1000,$C73,'Oxford Economics'!$B$7:$B$1000,Settings!$B$16)+IF(Settings!$B$18="",0,SUMIFS(INDEX('Oxford Economics'!$A$7:$AZ$1000,0,IFERROR(MATCH(AD$5,'Oxford Economics'!$A$6:$AZ$6,0),MATCH(AD$5&amp;"",'Oxford Economics'!$A$6:$AZ$6,0))),'Oxford Economics'!$A$7:$A$1000,$C73,'Oxford Economics'!$B$7:$B$1000,Settings!$B$18)))),""))</f>
        <v>55892.94</v>
      </c>
      <c r="AE73" s="38" t="n">
        <f aca="false">IF($A73="","",IFERROR(1/(1/IF($B73="Residential",SUMIFS(INDEX('Oxford Economics'!$A$7:$AZ$1000,0,IFERROR(MATCH(AE$5,'Oxford Economics'!$A$6:$AZ$6,0),MATCH(AE$5&amp;"",'Oxford Economics'!$A$6:$AZ$6,0))),'Oxford Economics'!$A$7:$A$1000,$C73,'Oxford Economics'!$B$7:$B$1000,Settings!$B$12)-SUMIFS(INDEX('Oxford Economics'!$A$7:$AZ$1000,0,IFERROR(MATCH(AE$5,'Oxford Economics'!$A$6:$AZ$6,0),MATCH(AE$5&amp;"",'Oxford Economics'!$A$6:$AZ$6,0))),'Oxford Economics'!$A$7:$A$1000,$C73,'Oxford Economics'!$B$7:$B$1000,Settings!$B$14),SUMIFS(INDEX('Oxford Economics'!$A$7:$AZ$1000,0,IFERROR(MATCH(AE$5,'Oxford Economics'!$A$6:$AZ$6,0),MATCH(AE$5&amp;"",'Oxford Economics'!$A$6:$AZ$6,0))),'Oxford Economics'!$A$7:$A$1000,$C73,'Oxford Economics'!$B$7:$B$1000,Settings!$B$14)+SUMIFS(INDEX('Oxford Economics'!$A$7:$AZ$1000,0,IFERROR(MATCH(AE$5,'Oxford Economics'!$A$6:$AZ$6,0),MATCH(AE$5&amp;"",'Oxford Economics'!$A$6:$AZ$6,0))),'Oxford Economics'!$A$7:$A$1000,$C73,'Oxford Economics'!$B$7:$B$1000,Settings!$B$16)+IF(Settings!$B$18="",0,SUMIFS(INDEX('Oxford Economics'!$A$7:$AZ$1000,0,IFERROR(MATCH(AE$5,'Oxford Economics'!$A$6:$AZ$6,0),MATCH(AE$5&amp;"",'Oxford Economics'!$A$6:$AZ$6,0))),'Oxford Economics'!$A$7:$A$1000,$C73,'Oxford Economics'!$B$7:$B$1000,Settings!$B$18)))),""))</f>
        <v>49948.04</v>
      </c>
      <c r="AF73" s="38" t="n">
        <f aca="false">IF($A73="","",IFERROR(1/(1/IF($B73="Residential",SUMIFS(INDEX('Oxford Economics'!$A$7:$AZ$1000,0,IFERROR(MATCH(AF$5,'Oxford Economics'!$A$6:$AZ$6,0),MATCH(AF$5&amp;"",'Oxford Economics'!$A$6:$AZ$6,0))),'Oxford Economics'!$A$7:$A$1000,$C73,'Oxford Economics'!$B$7:$B$1000,Settings!$B$12)-SUMIFS(INDEX('Oxford Economics'!$A$7:$AZ$1000,0,IFERROR(MATCH(AF$5,'Oxford Economics'!$A$6:$AZ$6,0),MATCH(AF$5&amp;"",'Oxford Economics'!$A$6:$AZ$6,0))),'Oxford Economics'!$A$7:$A$1000,$C73,'Oxford Economics'!$B$7:$B$1000,Settings!$B$14),SUMIFS(INDEX('Oxford Economics'!$A$7:$AZ$1000,0,IFERROR(MATCH(AF$5,'Oxford Economics'!$A$6:$AZ$6,0),MATCH(AF$5&amp;"",'Oxford Economics'!$A$6:$AZ$6,0))),'Oxford Economics'!$A$7:$A$1000,$C73,'Oxford Economics'!$B$7:$B$1000,Settings!$B$14)+SUMIFS(INDEX('Oxford Economics'!$A$7:$AZ$1000,0,IFERROR(MATCH(AF$5,'Oxford Economics'!$A$6:$AZ$6,0),MATCH(AF$5&amp;"",'Oxford Economics'!$A$6:$AZ$6,0))),'Oxford Economics'!$A$7:$A$1000,$C73,'Oxford Economics'!$B$7:$B$1000,Settings!$B$16)+IF(Settings!$B$18="",0,SUMIFS(INDEX('Oxford Economics'!$A$7:$AZ$1000,0,IFERROR(MATCH(AF$5,'Oxford Economics'!$A$6:$AZ$6,0),MATCH(AF$5&amp;"",'Oxford Economics'!$A$6:$AZ$6,0))),'Oxford Economics'!$A$7:$A$1000,$C73,'Oxford Economics'!$B$7:$B$1000,Settings!$B$18)))),""))</f>
        <v>47508.71</v>
      </c>
      <c r="AG73" s="38" t="n">
        <f aca="false">IF($A73="","",IFERROR(1/(1/IF($B73="Residential",SUMIFS(INDEX('Oxford Economics'!$A$7:$AZ$1000,0,IFERROR(MATCH(AG$5,'Oxford Economics'!$A$6:$AZ$6,0),MATCH(AG$5&amp;"",'Oxford Economics'!$A$6:$AZ$6,0))),'Oxford Economics'!$A$7:$A$1000,$C73,'Oxford Economics'!$B$7:$B$1000,Settings!$B$12)-SUMIFS(INDEX('Oxford Economics'!$A$7:$AZ$1000,0,IFERROR(MATCH(AG$5,'Oxford Economics'!$A$6:$AZ$6,0),MATCH(AG$5&amp;"",'Oxford Economics'!$A$6:$AZ$6,0))),'Oxford Economics'!$A$7:$A$1000,$C73,'Oxford Economics'!$B$7:$B$1000,Settings!$B$14),SUMIFS(INDEX('Oxford Economics'!$A$7:$AZ$1000,0,IFERROR(MATCH(AG$5,'Oxford Economics'!$A$6:$AZ$6,0),MATCH(AG$5&amp;"",'Oxford Economics'!$A$6:$AZ$6,0))),'Oxford Economics'!$A$7:$A$1000,$C73,'Oxford Economics'!$B$7:$B$1000,Settings!$B$14)+SUMIFS(INDEX('Oxford Economics'!$A$7:$AZ$1000,0,IFERROR(MATCH(AG$5,'Oxford Economics'!$A$6:$AZ$6,0),MATCH(AG$5&amp;"",'Oxford Economics'!$A$6:$AZ$6,0))),'Oxford Economics'!$A$7:$A$1000,$C73,'Oxford Economics'!$B$7:$B$1000,Settings!$B$16)+IF(Settings!$B$18="",0,SUMIFS(INDEX('Oxford Economics'!$A$7:$AZ$1000,0,IFERROR(MATCH(AG$5,'Oxford Economics'!$A$6:$AZ$6,0),MATCH(AG$5&amp;"",'Oxford Economics'!$A$6:$AZ$6,0))),'Oxford Economics'!$A$7:$A$1000,$C73,'Oxford Economics'!$B$7:$B$1000,Settings!$B$18)))),""))</f>
        <v>47675.63</v>
      </c>
      <c r="AH73" s="38" t="n">
        <f aca="false">IF($A73="","",IFERROR(1/(1/IF($B73="Residential",SUMIFS(INDEX('Oxford Economics'!$A$7:$AZ$1000,0,IFERROR(MATCH(AH$5,'Oxford Economics'!$A$6:$AZ$6,0),MATCH(AH$5&amp;"",'Oxford Economics'!$A$6:$AZ$6,0))),'Oxford Economics'!$A$7:$A$1000,$C73,'Oxford Economics'!$B$7:$B$1000,Settings!$B$12)-SUMIFS(INDEX('Oxford Economics'!$A$7:$AZ$1000,0,IFERROR(MATCH(AH$5,'Oxford Economics'!$A$6:$AZ$6,0),MATCH(AH$5&amp;"",'Oxford Economics'!$A$6:$AZ$6,0))),'Oxford Economics'!$A$7:$A$1000,$C73,'Oxford Economics'!$B$7:$B$1000,Settings!$B$14),SUMIFS(INDEX('Oxford Economics'!$A$7:$AZ$1000,0,IFERROR(MATCH(AH$5,'Oxford Economics'!$A$6:$AZ$6,0),MATCH(AH$5&amp;"",'Oxford Economics'!$A$6:$AZ$6,0))),'Oxford Economics'!$A$7:$A$1000,$C73,'Oxford Economics'!$B$7:$B$1000,Settings!$B$14)+SUMIFS(INDEX('Oxford Economics'!$A$7:$AZ$1000,0,IFERROR(MATCH(AH$5,'Oxford Economics'!$A$6:$AZ$6,0),MATCH(AH$5&amp;"",'Oxford Economics'!$A$6:$AZ$6,0))),'Oxford Economics'!$A$7:$A$1000,$C73,'Oxford Economics'!$B$7:$B$1000,Settings!$B$16)+IF(Settings!$B$18="",0,SUMIFS(INDEX('Oxford Economics'!$A$7:$AZ$1000,0,IFERROR(MATCH(AH$5,'Oxford Economics'!$A$6:$AZ$6,0),MATCH(AH$5&amp;"",'Oxford Economics'!$A$6:$AZ$6,0))),'Oxford Economics'!$A$7:$A$1000,$C73,'Oxford Economics'!$B$7:$B$1000,Settings!$B$18)))),""))</f>
        <v>49821.24</v>
      </c>
      <c r="AI73" s="38" t="n">
        <f aca="false">IF($A73="","",IFERROR(1/(1/IF($B73="Residential",SUMIFS(INDEX('Oxford Economics'!$A$7:$AZ$1000,0,IFERROR(MATCH(AI$5,'Oxford Economics'!$A$6:$AZ$6,0),MATCH(AI$5&amp;"",'Oxford Economics'!$A$6:$AZ$6,0))),'Oxford Economics'!$A$7:$A$1000,$C73,'Oxford Economics'!$B$7:$B$1000,Settings!$B$12)-SUMIFS(INDEX('Oxford Economics'!$A$7:$AZ$1000,0,IFERROR(MATCH(AI$5,'Oxford Economics'!$A$6:$AZ$6,0),MATCH(AI$5&amp;"",'Oxford Economics'!$A$6:$AZ$6,0))),'Oxford Economics'!$A$7:$A$1000,$C73,'Oxford Economics'!$B$7:$B$1000,Settings!$B$14),SUMIFS(INDEX('Oxford Economics'!$A$7:$AZ$1000,0,IFERROR(MATCH(AI$5,'Oxford Economics'!$A$6:$AZ$6,0),MATCH(AI$5&amp;"",'Oxford Economics'!$A$6:$AZ$6,0))),'Oxford Economics'!$A$7:$A$1000,$C73,'Oxford Economics'!$B$7:$B$1000,Settings!$B$14)+SUMIFS(INDEX('Oxford Economics'!$A$7:$AZ$1000,0,IFERROR(MATCH(AI$5,'Oxford Economics'!$A$6:$AZ$6,0),MATCH(AI$5&amp;"",'Oxford Economics'!$A$6:$AZ$6,0))),'Oxford Economics'!$A$7:$A$1000,$C73,'Oxford Economics'!$B$7:$B$1000,Settings!$B$16)+IF(Settings!$B$18="",0,SUMIFS(INDEX('Oxford Economics'!$A$7:$AZ$1000,0,IFERROR(MATCH(AI$5,'Oxford Economics'!$A$6:$AZ$6,0),MATCH(AI$5&amp;"",'Oxford Economics'!$A$6:$AZ$6,0))),'Oxford Economics'!$A$7:$A$1000,$C73,'Oxford Economics'!$B$7:$B$1000,Settings!$B$18)))),""))</f>
        <v>52472.3</v>
      </c>
      <c r="AJ73" s="38" t="n">
        <f aca="false">IF($A73="","",IFERROR(1/(1/IF($B73="Residential",SUMIFS(INDEX('Oxford Economics'!$A$7:$AZ$1000,0,IFERROR(MATCH(AJ$5,'Oxford Economics'!$A$6:$AZ$6,0),MATCH(AJ$5&amp;"",'Oxford Economics'!$A$6:$AZ$6,0))),'Oxford Economics'!$A$7:$A$1000,$C73,'Oxford Economics'!$B$7:$B$1000,Settings!$B$12)-SUMIFS(INDEX('Oxford Economics'!$A$7:$AZ$1000,0,IFERROR(MATCH(AJ$5,'Oxford Economics'!$A$6:$AZ$6,0),MATCH(AJ$5&amp;"",'Oxford Economics'!$A$6:$AZ$6,0))),'Oxford Economics'!$A$7:$A$1000,$C73,'Oxford Economics'!$B$7:$B$1000,Settings!$B$14),SUMIFS(INDEX('Oxford Economics'!$A$7:$AZ$1000,0,IFERROR(MATCH(AJ$5,'Oxford Economics'!$A$6:$AZ$6,0),MATCH(AJ$5&amp;"",'Oxford Economics'!$A$6:$AZ$6,0))),'Oxford Economics'!$A$7:$A$1000,$C73,'Oxford Economics'!$B$7:$B$1000,Settings!$B$14)+SUMIFS(INDEX('Oxford Economics'!$A$7:$AZ$1000,0,IFERROR(MATCH(AJ$5,'Oxford Economics'!$A$6:$AZ$6,0),MATCH(AJ$5&amp;"",'Oxford Economics'!$A$6:$AZ$6,0))),'Oxford Economics'!$A$7:$A$1000,$C73,'Oxford Economics'!$B$7:$B$1000,Settings!$B$16)+IF(Settings!$B$18="",0,SUMIFS(INDEX('Oxford Economics'!$A$7:$AZ$1000,0,IFERROR(MATCH(AJ$5,'Oxford Economics'!$A$6:$AZ$6,0),MATCH(AJ$5&amp;"",'Oxford Economics'!$A$6:$AZ$6,0))),'Oxford Economics'!$A$7:$A$1000,$C73,'Oxford Economics'!$B$7:$B$1000,Settings!$B$18)))),""))</f>
        <v>55467.89</v>
      </c>
      <c r="AK73" s="38" t="n">
        <f aca="false">IF($A73="","",IFERROR(1/(1/IF($B73="Residential",SUMIFS(INDEX('Oxford Economics'!$A$7:$AZ$1000,0,IFERROR(MATCH(AK$5,'Oxford Economics'!$A$6:$AZ$6,0),MATCH(AK$5&amp;"",'Oxford Economics'!$A$6:$AZ$6,0))),'Oxford Economics'!$A$7:$A$1000,$C73,'Oxford Economics'!$B$7:$B$1000,Settings!$B$12)-SUMIFS(INDEX('Oxford Economics'!$A$7:$AZ$1000,0,IFERROR(MATCH(AK$5,'Oxford Economics'!$A$6:$AZ$6,0),MATCH(AK$5&amp;"",'Oxford Economics'!$A$6:$AZ$6,0))),'Oxford Economics'!$A$7:$A$1000,$C73,'Oxford Economics'!$B$7:$B$1000,Settings!$B$14),SUMIFS(INDEX('Oxford Economics'!$A$7:$AZ$1000,0,IFERROR(MATCH(AK$5,'Oxford Economics'!$A$6:$AZ$6,0),MATCH(AK$5&amp;"",'Oxford Economics'!$A$6:$AZ$6,0))),'Oxford Economics'!$A$7:$A$1000,$C73,'Oxford Economics'!$B$7:$B$1000,Settings!$B$14)+SUMIFS(INDEX('Oxford Economics'!$A$7:$AZ$1000,0,IFERROR(MATCH(AK$5,'Oxford Economics'!$A$6:$AZ$6,0),MATCH(AK$5&amp;"",'Oxford Economics'!$A$6:$AZ$6,0))),'Oxford Economics'!$A$7:$A$1000,$C73,'Oxford Economics'!$B$7:$B$1000,Settings!$B$16)+IF(Settings!$B$18="",0,SUMIFS(INDEX('Oxford Economics'!$A$7:$AZ$1000,0,IFERROR(MATCH(AK$5,'Oxford Economics'!$A$6:$AZ$6,0),MATCH(AK$5&amp;"",'Oxford Economics'!$A$6:$AZ$6,0))),'Oxford Economics'!$A$7:$A$1000,$C73,'Oxford Economics'!$B$7:$B$1000,Settings!$B$18)))),""))</f>
        <v>58296.66</v>
      </c>
      <c r="AL73" s="38" t="n">
        <f aca="false">IF($A73="","",IFERROR(1/(1/IF($B73="Residential",SUMIFS(INDEX('Oxford Economics'!$A$7:$AZ$1000,0,IFERROR(MATCH(AL$5,'Oxford Economics'!$A$6:$AZ$6,0),MATCH(AL$5&amp;"",'Oxford Economics'!$A$6:$AZ$6,0))),'Oxford Economics'!$A$7:$A$1000,$C73,'Oxford Economics'!$B$7:$B$1000,Settings!$B$12)-SUMIFS(INDEX('Oxford Economics'!$A$7:$AZ$1000,0,IFERROR(MATCH(AL$5,'Oxford Economics'!$A$6:$AZ$6,0),MATCH(AL$5&amp;"",'Oxford Economics'!$A$6:$AZ$6,0))),'Oxford Economics'!$A$7:$A$1000,$C73,'Oxford Economics'!$B$7:$B$1000,Settings!$B$14),SUMIFS(INDEX('Oxford Economics'!$A$7:$AZ$1000,0,IFERROR(MATCH(AL$5,'Oxford Economics'!$A$6:$AZ$6,0),MATCH(AL$5&amp;"",'Oxford Economics'!$A$6:$AZ$6,0))),'Oxford Economics'!$A$7:$A$1000,$C73,'Oxford Economics'!$B$7:$B$1000,Settings!$B$14)+SUMIFS(INDEX('Oxford Economics'!$A$7:$AZ$1000,0,IFERROR(MATCH(AL$5,'Oxford Economics'!$A$6:$AZ$6,0),MATCH(AL$5&amp;"",'Oxford Economics'!$A$6:$AZ$6,0))),'Oxford Economics'!$A$7:$A$1000,$C73,'Oxford Economics'!$B$7:$B$1000,Settings!$B$16)+IF(Settings!$B$18="",0,SUMIFS(INDEX('Oxford Economics'!$A$7:$AZ$1000,0,IFERROR(MATCH(AL$5,'Oxford Economics'!$A$6:$AZ$6,0),MATCH(AL$5&amp;"",'Oxford Economics'!$A$6:$AZ$6,0))),'Oxford Economics'!$A$7:$A$1000,$C73,'Oxford Economics'!$B$7:$B$1000,Settings!$B$18)))),""))</f>
        <v>61086.49</v>
      </c>
      <c r="AM73" s="38" t="n">
        <f aca="false">IF($A73="","",IFERROR(1/(1/IF($B73="Residential",SUMIFS(INDEX('Oxford Economics'!$A$7:$AZ$1000,0,IFERROR(MATCH(AM$5,'Oxford Economics'!$A$6:$AZ$6,0),MATCH(AM$5&amp;"",'Oxford Economics'!$A$6:$AZ$6,0))),'Oxford Economics'!$A$7:$A$1000,$C73,'Oxford Economics'!$B$7:$B$1000,Settings!$B$12)-SUMIFS(INDEX('Oxford Economics'!$A$7:$AZ$1000,0,IFERROR(MATCH(AM$5,'Oxford Economics'!$A$6:$AZ$6,0),MATCH(AM$5&amp;"",'Oxford Economics'!$A$6:$AZ$6,0))),'Oxford Economics'!$A$7:$A$1000,$C73,'Oxford Economics'!$B$7:$B$1000,Settings!$B$14),SUMIFS(INDEX('Oxford Economics'!$A$7:$AZ$1000,0,IFERROR(MATCH(AM$5,'Oxford Economics'!$A$6:$AZ$6,0),MATCH(AM$5&amp;"",'Oxford Economics'!$A$6:$AZ$6,0))),'Oxford Economics'!$A$7:$A$1000,$C73,'Oxford Economics'!$B$7:$B$1000,Settings!$B$14)+SUMIFS(INDEX('Oxford Economics'!$A$7:$AZ$1000,0,IFERROR(MATCH(AM$5,'Oxford Economics'!$A$6:$AZ$6,0),MATCH(AM$5&amp;"",'Oxford Economics'!$A$6:$AZ$6,0))),'Oxford Economics'!$A$7:$A$1000,$C73,'Oxford Economics'!$B$7:$B$1000,Settings!$B$16)+IF(Settings!$B$18="",0,SUMIFS(INDEX('Oxford Economics'!$A$7:$AZ$1000,0,IFERROR(MATCH(AM$5,'Oxford Economics'!$A$6:$AZ$6,0),MATCH(AM$5&amp;"",'Oxford Economics'!$A$6:$AZ$6,0))),'Oxford Economics'!$A$7:$A$1000,$C73,'Oxford Economics'!$B$7:$B$1000,Settings!$B$18)))),""))</f>
        <v>63152.19</v>
      </c>
    </row>
    <row r="74" customFormat="false" ht="15" hidden="false" customHeight="false" outlineLevel="0" collapsed="false">
      <c r="A74" s="37" t="str">
        <f aca="false">IF('Raw data'!$A74="","",'Raw data'!$A74)</f>
        <v>United Kingdom</v>
      </c>
      <c r="B74" s="37" t="str">
        <f aca="false">IF($A74="","",'Raw data'!$C74)</f>
        <v>Residential</v>
      </c>
      <c r="C74" s="37" t="str">
        <f aca="false">IF($A74="","",IF('Raw data'!$E74="",$A74,'Raw data'!$E74))</f>
        <v>United Kingdom</v>
      </c>
      <c r="D74" s="38" t="n">
        <f aca="false">IF($A74="","",IF(AND(ISNUMBER(P74),ISNUMBER(AB74)),P74+AB74,""))</f>
        <v>71856.63</v>
      </c>
      <c r="E74" s="38" t="n">
        <f aca="false">IF($A74="","",IF(AND(ISNUMBER(Q74),ISNUMBER(AC74)),Q74+AC74,""))</f>
        <v>85374.84</v>
      </c>
      <c r="F74" s="38" t="n">
        <f aca="false">IF($A74="","",IF(AND(ISNUMBER(R74),ISNUMBER(AD74)),R74+AD74,""))</f>
        <v>94129.61</v>
      </c>
      <c r="G74" s="38" t="n">
        <f aca="false">IF($A74="","",IF(AND(ISNUMBER(S74),ISNUMBER(AE74)),S74+AE74,""))</f>
        <v>89786.14</v>
      </c>
      <c r="H74" s="38" t="n">
        <f aca="false">IF($A74="","",IF(AND(ISNUMBER(T74),ISNUMBER(AF74)),T74+AF74,""))</f>
        <v>90226.58</v>
      </c>
      <c r="I74" s="38" t="n">
        <f aca="false">IF($A74="","",IF(AND(ISNUMBER(U74),ISNUMBER(AG74)),U74+AG74,""))</f>
        <v>91052.98</v>
      </c>
      <c r="J74" s="38" t="n">
        <f aca="false">IF($A74="","",IF(AND(ISNUMBER(V74),ISNUMBER(AH74)),V74+AH74,""))</f>
        <v>91931.91</v>
      </c>
      <c r="K74" s="38" t="n">
        <f aca="false">IF($A74="","",IF(AND(ISNUMBER(W74),ISNUMBER(AI74)),W74+AI74,""))</f>
        <v>94932.4</v>
      </c>
      <c r="L74" s="38" t="n">
        <f aca="false">IF($A74="","",IF(AND(ISNUMBER(X74),ISNUMBER(AJ74)),X74+AJ74,""))</f>
        <v>100185.24</v>
      </c>
      <c r="M74" s="38" t="n">
        <f aca="false">IF($A74="","",IF(AND(ISNUMBER(Y74),ISNUMBER(AK74)),Y74+AK74,""))</f>
        <v>105072.08</v>
      </c>
      <c r="N74" s="38" t="n">
        <f aca="false">IF($A74="","",IF(AND(ISNUMBER(Z74),ISNUMBER(AL74)),Z74+AL74,""))</f>
        <v>109831.59</v>
      </c>
      <c r="O74" s="38" t="n">
        <f aca="false">IF($A74="","",IF(AND(ISNUMBER(AA74),ISNUMBER(AM74)),AA74+AM74,""))</f>
        <v>113107.53</v>
      </c>
      <c r="P74" s="38" t="n">
        <f aca="false">IF($A74="","",IFERROR(1/(1/IF($B74="Residential",SUMIFS(INDEX('Oxford Economics'!$A$7:$AZ$1000,0,IFERROR(MATCH(P$5,'Oxford Economics'!$A$6:$AZ$6,0),MATCH(P$5&amp;"",'Oxford Economics'!$A$6:$AZ$6,0))),'Oxford Economics'!$A$7:$A$1000,$C74,'Oxford Economics'!$B$7:$B$1000,Settings!$B$13)-SUMIFS(INDEX('Oxford Economics'!$A$7:$AZ$1000,0,IFERROR(MATCH(P$5,'Oxford Economics'!$A$6:$AZ$6,0),MATCH(P$5&amp;"",'Oxford Economics'!$A$6:$AZ$6,0))),'Oxford Economics'!$A$7:$A$1000,$C74,'Oxford Economics'!$B$7:$B$1000,Settings!$B$15),SUMIFS(INDEX('Oxford Economics'!$A$7:$AZ$1000,0,IFERROR(MATCH(P$5,'Oxford Economics'!$A$6:$AZ$6,0),MATCH(P$5&amp;"",'Oxford Economics'!$A$6:$AZ$6,0))),'Oxford Economics'!$A$7:$A$1000,$C74,'Oxford Economics'!$B$7:$B$1000,Settings!$B$15)+SUMIFS(INDEX('Oxford Economics'!$A$7:$AZ$1000,0,IFERROR(MATCH(P$5,'Oxford Economics'!$A$6:$AZ$6,0),MATCH(P$5&amp;"",'Oxford Economics'!$A$6:$AZ$6,0))),'Oxford Economics'!$A$7:$A$1000,$C74,'Oxford Economics'!$B$7:$B$1000,Settings!$B$17)+IF(Settings!$B$19="",0,SUMIFS(INDEX('Oxford Economics'!$A$7:$AZ$1000,0,IFERROR(MATCH(P$5,'Oxford Economics'!$A$6:$AZ$6,0),MATCH(P$5&amp;"",'Oxford Economics'!$A$6:$AZ$6,0))),'Oxford Economics'!$A$7:$A$1000,$C74,'Oxford Economics'!$B$7:$B$1000,Settings!$B$19)))),""))</f>
        <v>29788.05</v>
      </c>
      <c r="Q74" s="38" t="n">
        <f aca="false">IF($A74="","",IFERROR(1/(1/IF($B74="Residential",SUMIFS(INDEX('Oxford Economics'!$A$7:$AZ$1000,0,IFERROR(MATCH(Q$5,'Oxford Economics'!$A$6:$AZ$6,0),MATCH(Q$5&amp;"",'Oxford Economics'!$A$6:$AZ$6,0))),'Oxford Economics'!$A$7:$A$1000,$C74,'Oxford Economics'!$B$7:$B$1000,Settings!$B$13)-SUMIFS(INDEX('Oxford Economics'!$A$7:$AZ$1000,0,IFERROR(MATCH(Q$5,'Oxford Economics'!$A$6:$AZ$6,0),MATCH(Q$5&amp;"",'Oxford Economics'!$A$6:$AZ$6,0))),'Oxford Economics'!$A$7:$A$1000,$C74,'Oxford Economics'!$B$7:$B$1000,Settings!$B$15),SUMIFS(INDEX('Oxford Economics'!$A$7:$AZ$1000,0,IFERROR(MATCH(Q$5,'Oxford Economics'!$A$6:$AZ$6,0),MATCH(Q$5&amp;"",'Oxford Economics'!$A$6:$AZ$6,0))),'Oxford Economics'!$A$7:$A$1000,$C74,'Oxford Economics'!$B$7:$B$1000,Settings!$B$15)+SUMIFS(INDEX('Oxford Economics'!$A$7:$AZ$1000,0,IFERROR(MATCH(Q$5,'Oxford Economics'!$A$6:$AZ$6,0),MATCH(Q$5&amp;"",'Oxford Economics'!$A$6:$AZ$6,0))),'Oxford Economics'!$A$7:$A$1000,$C74,'Oxford Economics'!$B$7:$B$1000,Settings!$B$17)+IF(Settings!$B$19="",0,SUMIFS(INDEX('Oxford Economics'!$A$7:$AZ$1000,0,IFERROR(MATCH(Q$5,'Oxford Economics'!$A$6:$AZ$6,0),MATCH(Q$5&amp;"",'Oxford Economics'!$A$6:$AZ$6,0))),'Oxford Economics'!$A$7:$A$1000,$C74,'Oxford Economics'!$B$7:$B$1000,Settings!$B$19)))),""))</f>
        <v>35851.7</v>
      </c>
      <c r="R74" s="38" t="n">
        <f aca="false">IF($A74="","",IFERROR(1/(1/IF($B74="Residential",SUMIFS(INDEX('Oxford Economics'!$A$7:$AZ$1000,0,IFERROR(MATCH(R$5,'Oxford Economics'!$A$6:$AZ$6,0),MATCH(R$5&amp;"",'Oxford Economics'!$A$6:$AZ$6,0))),'Oxford Economics'!$A$7:$A$1000,$C74,'Oxford Economics'!$B$7:$B$1000,Settings!$B$13)-SUMIFS(INDEX('Oxford Economics'!$A$7:$AZ$1000,0,IFERROR(MATCH(R$5,'Oxford Economics'!$A$6:$AZ$6,0),MATCH(R$5&amp;"",'Oxford Economics'!$A$6:$AZ$6,0))),'Oxford Economics'!$A$7:$A$1000,$C74,'Oxford Economics'!$B$7:$B$1000,Settings!$B$15),SUMIFS(INDEX('Oxford Economics'!$A$7:$AZ$1000,0,IFERROR(MATCH(R$5,'Oxford Economics'!$A$6:$AZ$6,0),MATCH(R$5&amp;"",'Oxford Economics'!$A$6:$AZ$6,0))),'Oxford Economics'!$A$7:$A$1000,$C74,'Oxford Economics'!$B$7:$B$1000,Settings!$B$15)+SUMIFS(INDEX('Oxford Economics'!$A$7:$AZ$1000,0,IFERROR(MATCH(R$5,'Oxford Economics'!$A$6:$AZ$6,0),MATCH(R$5&amp;"",'Oxford Economics'!$A$6:$AZ$6,0))),'Oxford Economics'!$A$7:$A$1000,$C74,'Oxford Economics'!$B$7:$B$1000,Settings!$B$17)+IF(Settings!$B$19="",0,SUMIFS(INDEX('Oxford Economics'!$A$7:$AZ$1000,0,IFERROR(MATCH(R$5,'Oxford Economics'!$A$6:$AZ$6,0),MATCH(R$5&amp;"",'Oxford Economics'!$A$6:$AZ$6,0))),'Oxford Economics'!$A$7:$A$1000,$C74,'Oxford Economics'!$B$7:$B$1000,Settings!$B$19)))),""))</f>
        <v>38236.67</v>
      </c>
      <c r="S74" s="38" t="n">
        <f aca="false">IF($A74="","",IFERROR(1/(1/IF($B74="Residential",SUMIFS(INDEX('Oxford Economics'!$A$7:$AZ$1000,0,IFERROR(MATCH(S$5,'Oxford Economics'!$A$6:$AZ$6,0),MATCH(S$5&amp;"",'Oxford Economics'!$A$6:$AZ$6,0))),'Oxford Economics'!$A$7:$A$1000,$C74,'Oxford Economics'!$B$7:$B$1000,Settings!$B$13)-SUMIFS(INDEX('Oxford Economics'!$A$7:$AZ$1000,0,IFERROR(MATCH(S$5,'Oxford Economics'!$A$6:$AZ$6,0),MATCH(S$5&amp;"",'Oxford Economics'!$A$6:$AZ$6,0))),'Oxford Economics'!$A$7:$A$1000,$C74,'Oxford Economics'!$B$7:$B$1000,Settings!$B$15),SUMIFS(INDEX('Oxford Economics'!$A$7:$AZ$1000,0,IFERROR(MATCH(S$5,'Oxford Economics'!$A$6:$AZ$6,0),MATCH(S$5&amp;"",'Oxford Economics'!$A$6:$AZ$6,0))),'Oxford Economics'!$A$7:$A$1000,$C74,'Oxford Economics'!$B$7:$B$1000,Settings!$B$15)+SUMIFS(INDEX('Oxford Economics'!$A$7:$AZ$1000,0,IFERROR(MATCH(S$5,'Oxford Economics'!$A$6:$AZ$6,0),MATCH(S$5&amp;"",'Oxford Economics'!$A$6:$AZ$6,0))),'Oxford Economics'!$A$7:$A$1000,$C74,'Oxford Economics'!$B$7:$B$1000,Settings!$B$17)+IF(Settings!$B$19="",0,SUMIFS(INDEX('Oxford Economics'!$A$7:$AZ$1000,0,IFERROR(MATCH(S$5,'Oxford Economics'!$A$6:$AZ$6,0),MATCH(S$5&amp;"",'Oxford Economics'!$A$6:$AZ$6,0))),'Oxford Economics'!$A$7:$A$1000,$C74,'Oxford Economics'!$B$7:$B$1000,Settings!$B$19)))),""))</f>
        <v>39838.1</v>
      </c>
      <c r="T74" s="38" t="n">
        <f aca="false">IF($A74="","",IFERROR(1/(1/IF($B74="Residential",SUMIFS(INDEX('Oxford Economics'!$A$7:$AZ$1000,0,IFERROR(MATCH(T$5,'Oxford Economics'!$A$6:$AZ$6,0),MATCH(T$5&amp;"",'Oxford Economics'!$A$6:$AZ$6,0))),'Oxford Economics'!$A$7:$A$1000,$C74,'Oxford Economics'!$B$7:$B$1000,Settings!$B$13)-SUMIFS(INDEX('Oxford Economics'!$A$7:$AZ$1000,0,IFERROR(MATCH(T$5,'Oxford Economics'!$A$6:$AZ$6,0),MATCH(T$5&amp;"",'Oxford Economics'!$A$6:$AZ$6,0))),'Oxford Economics'!$A$7:$A$1000,$C74,'Oxford Economics'!$B$7:$B$1000,Settings!$B$15),SUMIFS(INDEX('Oxford Economics'!$A$7:$AZ$1000,0,IFERROR(MATCH(T$5,'Oxford Economics'!$A$6:$AZ$6,0),MATCH(T$5&amp;"",'Oxford Economics'!$A$6:$AZ$6,0))),'Oxford Economics'!$A$7:$A$1000,$C74,'Oxford Economics'!$B$7:$B$1000,Settings!$B$15)+SUMIFS(INDEX('Oxford Economics'!$A$7:$AZ$1000,0,IFERROR(MATCH(T$5,'Oxford Economics'!$A$6:$AZ$6,0),MATCH(T$5&amp;"",'Oxford Economics'!$A$6:$AZ$6,0))),'Oxford Economics'!$A$7:$A$1000,$C74,'Oxford Economics'!$B$7:$B$1000,Settings!$B$17)+IF(Settings!$B$19="",0,SUMIFS(INDEX('Oxford Economics'!$A$7:$AZ$1000,0,IFERROR(MATCH(T$5,'Oxford Economics'!$A$6:$AZ$6,0),MATCH(T$5&amp;"",'Oxford Economics'!$A$6:$AZ$6,0))),'Oxford Economics'!$A$7:$A$1000,$C74,'Oxford Economics'!$B$7:$B$1000,Settings!$B$19)))),""))</f>
        <v>42717.87</v>
      </c>
      <c r="U74" s="38" t="n">
        <f aca="false">IF($A74="","",IFERROR(1/(1/IF($B74="Residential",SUMIFS(INDEX('Oxford Economics'!$A$7:$AZ$1000,0,IFERROR(MATCH(U$5,'Oxford Economics'!$A$6:$AZ$6,0),MATCH(U$5&amp;"",'Oxford Economics'!$A$6:$AZ$6,0))),'Oxford Economics'!$A$7:$A$1000,$C74,'Oxford Economics'!$B$7:$B$1000,Settings!$B$13)-SUMIFS(INDEX('Oxford Economics'!$A$7:$AZ$1000,0,IFERROR(MATCH(U$5,'Oxford Economics'!$A$6:$AZ$6,0),MATCH(U$5&amp;"",'Oxford Economics'!$A$6:$AZ$6,0))),'Oxford Economics'!$A$7:$A$1000,$C74,'Oxford Economics'!$B$7:$B$1000,Settings!$B$15),SUMIFS(INDEX('Oxford Economics'!$A$7:$AZ$1000,0,IFERROR(MATCH(U$5,'Oxford Economics'!$A$6:$AZ$6,0),MATCH(U$5&amp;"",'Oxford Economics'!$A$6:$AZ$6,0))),'Oxford Economics'!$A$7:$A$1000,$C74,'Oxford Economics'!$B$7:$B$1000,Settings!$B$15)+SUMIFS(INDEX('Oxford Economics'!$A$7:$AZ$1000,0,IFERROR(MATCH(U$5,'Oxford Economics'!$A$6:$AZ$6,0),MATCH(U$5&amp;"",'Oxford Economics'!$A$6:$AZ$6,0))),'Oxford Economics'!$A$7:$A$1000,$C74,'Oxford Economics'!$B$7:$B$1000,Settings!$B$17)+IF(Settings!$B$19="",0,SUMIFS(INDEX('Oxford Economics'!$A$7:$AZ$1000,0,IFERROR(MATCH(U$5,'Oxford Economics'!$A$6:$AZ$6,0),MATCH(U$5&amp;"",'Oxford Economics'!$A$6:$AZ$6,0))),'Oxford Economics'!$A$7:$A$1000,$C74,'Oxford Economics'!$B$7:$B$1000,Settings!$B$19)))),""))</f>
        <v>43377.35</v>
      </c>
      <c r="V74" s="38" t="n">
        <f aca="false">IF($A74="","",IFERROR(1/(1/IF($B74="Residential",SUMIFS(INDEX('Oxford Economics'!$A$7:$AZ$1000,0,IFERROR(MATCH(V$5,'Oxford Economics'!$A$6:$AZ$6,0),MATCH(V$5&amp;"",'Oxford Economics'!$A$6:$AZ$6,0))),'Oxford Economics'!$A$7:$A$1000,$C74,'Oxford Economics'!$B$7:$B$1000,Settings!$B$13)-SUMIFS(INDEX('Oxford Economics'!$A$7:$AZ$1000,0,IFERROR(MATCH(V$5,'Oxford Economics'!$A$6:$AZ$6,0),MATCH(V$5&amp;"",'Oxford Economics'!$A$6:$AZ$6,0))),'Oxford Economics'!$A$7:$A$1000,$C74,'Oxford Economics'!$B$7:$B$1000,Settings!$B$15),SUMIFS(INDEX('Oxford Economics'!$A$7:$AZ$1000,0,IFERROR(MATCH(V$5,'Oxford Economics'!$A$6:$AZ$6,0),MATCH(V$5&amp;"",'Oxford Economics'!$A$6:$AZ$6,0))),'Oxford Economics'!$A$7:$A$1000,$C74,'Oxford Economics'!$B$7:$B$1000,Settings!$B$15)+SUMIFS(INDEX('Oxford Economics'!$A$7:$AZ$1000,0,IFERROR(MATCH(V$5,'Oxford Economics'!$A$6:$AZ$6,0),MATCH(V$5&amp;"",'Oxford Economics'!$A$6:$AZ$6,0))),'Oxford Economics'!$A$7:$A$1000,$C74,'Oxford Economics'!$B$7:$B$1000,Settings!$B$17)+IF(Settings!$B$19="",0,SUMIFS(INDEX('Oxford Economics'!$A$7:$AZ$1000,0,IFERROR(MATCH(V$5,'Oxford Economics'!$A$6:$AZ$6,0),MATCH(V$5&amp;"",'Oxford Economics'!$A$6:$AZ$6,0))),'Oxford Economics'!$A$7:$A$1000,$C74,'Oxford Economics'!$B$7:$B$1000,Settings!$B$19)))),""))</f>
        <v>42110.67</v>
      </c>
      <c r="W74" s="38" t="n">
        <f aca="false">IF($A74="","",IFERROR(1/(1/IF($B74="Residential",SUMIFS(INDEX('Oxford Economics'!$A$7:$AZ$1000,0,IFERROR(MATCH(W$5,'Oxford Economics'!$A$6:$AZ$6,0),MATCH(W$5&amp;"",'Oxford Economics'!$A$6:$AZ$6,0))),'Oxford Economics'!$A$7:$A$1000,$C74,'Oxford Economics'!$B$7:$B$1000,Settings!$B$13)-SUMIFS(INDEX('Oxford Economics'!$A$7:$AZ$1000,0,IFERROR(MATCH(W$5,'Oxford Economics'!$A$6:$AZ$6,0),MATCH(W$5&amp;"",'Oxford Economics'!$A$6:$AZ$6,0))),'Oxford Economics'!$A$7:$A$1000,$C74,'Oxford Economics'!$B$7:$B$1000,Settings!$B$15),SUMIFS(INDEX('Oxford Economics'!$A$7:$AZ$1000,0,IFERROR(MATCH(W$5,'Oxford Economics'!$A$6:$AZ$6,0),MATCH(W$5&amp;"",'Oxford Economics'!$A$6:$AZ$6,0))),'Oxford Economics'!$A$7:$A$1000,$C74,'Oxford Economics'!$B$7:$B$1000,Settings!$B$15)+SUMIFS(INDEX('Oxford Economics'!$A$7:$AZ$1000,0,IFERROR(MATCH(W$5,'Oxford Economics'!$A$6:$AZ$6,0),MATCH(W$5&amp;"",'Oxford Economics'!$A$6:$AZ$6,0))),'Oxford Economics'!$A$7:$A$1000,$C74,'Oxford Economics'!$B$7:$B$1000,Settings!$B$17)+IF(Settings!$B$19="",0,SUMIFS(INDEX('Oxford Economics'!$A$7:$AZ$1000,0,IFERROR(MATCH(W$5,'Oxford Economics'!$A$6:$AZ$6,0),MATCH(W$5&amp;"",'Oxford Economics'!$A$6:$AZ$6,0))),'Oxford Economics'!$A$7:$A$1000,$C74,'Oxford Economics'!$B$7:$B$1000,Settings!$B$19)))),""))</f>
        <v>42460.1</v>
      </c>
      <c r="X74" s="38" t="n">
        <f aca="false">IF($A74="","",IFERROR(1/(1/IF($B74="Residential",SUMIFS(INDEX('Oxford Economics'!$A$7:$AZ$1000,0,IFERROR(MATCH(X$5,'Oxford Economics'!$A$6:$AZ$6,0),MATCH(X$5&amp;"",'Oxford Economics'!$A$6:$AZ$6,0))),'Oxford Economics'!$A$7:$A$1000,$C74,'Oxford Economics'!$B$7:$B$1000,Settings!$B$13)-SUMIFS(INDEX('Oxford Economics'!$A$7:$AZ$1000,0,IFERROR(MATCH(X$5,'Oxford Economics'!$A$6:$AZ$6,0),MATCH(X$5&amp;"",'Oxford Economics'!$A$6:$AZ$6,0))),'Oxford Economics'!$A$7:$A$1000,$C74,'Oxford Economics'!$B$7:$B$1000,Settings!$B$15),SUMIFS(INDEX('Oxford Economics'!$A$7:$AZ$1000,0,IFERROR(MATCH(X$5,'Oxford Economics'!$A$6:$AZ$6,0),MATCH(X$5&amp;"",'Oxford Economics'!$A$6:$AZ$6,0))),'Oxford Economics'!$A$7:$A$1000,$C74,'Oxford Economics'!$B$7:$B$1000,Settings!$B$15)+SUMIFS(INDEX('Oxford Economics'!$A$7:$AZ$1000,0,IFERROR(MATCH(X$5,'Oxford Economics'!$A$6:$AZ$6,0),MATCH(X$5&amp;"",'Oxford Economics'!$A$6:$AZ$6,0))),'Oxford Economics'!$A$7:$A$1000,$C74,'Oxford Economics'!$B$7:$B$1000,Settings!$B$17)+IF(Settings!$B$19="",0,SUMIFS(INDEX('Oxford Economics'!$A$7:$AZ$1000,0,IFERROR(MATCH(X$5,'Oxford Economics'!$A$6:$AZ$6,0),MATCH(X$5&amp;"",'Oxford Economics'!$A$6:$AZ$6,0))),'Oxford Economics'!$A$7:$A$1000,$C74,'Oxford Economics'!$B$7:$B$1000,Settings!$B$19)))),""))</f>
        <v>44717.35</v>
      </c>
      <c r="Y74" s="38" t="n">
        <f aca="false">IF($A74="","",IFERROR(1/(1/IF($B74="Residential",SUMIFS(INDEX('Oxford Economics'!$A$7:$AZ$1000,0,IFERROR(MATCH(Y$5,'Oxford Economics'!$A$6:$AZ$6,0),MATCH(Y$5&amp;"",'Oxford Economics'!$A$6:$AZ$6,0))),'Oxford Economics'!$A$7:$A$1000,$C74,'Oxford Economics'!$B$7:$B$1000,Settings!$B$13)-SUMIFS(INDEX('Oxford Economics'!$A$7:$AZ$1000,0,IFERROR(MATCH(Y$5,'Oxford Economics'!$A$6:$AZ$6,0),MATCH(Y$5&amp;"",'Oxford Economics'!$A$6:$AZ$6,0))),'Oxford Economics'!$A$7:$A$1000,$C74,'Oxford Economics'!$B$7:$B$1000,Settings!$B$15),SUMIFS(INDEX('Oxford Economics'!$A$7:$AZ$1000,0,IFERROR(MATCH(Y$5,'Oxford Economics'!$A$6:$AZ$6,0),MATCH(Y$5&amp;"",'Oxford Economics'!$A$6:$AZ$6,0))),'Oxford Economics'!$A$7:$A$1000,$C74,'Oxford Economics'!$B$7:$B$1000,Settings!$B$15)+SUMIFS(INDEX('Oxford Economics'!$A$7:$AZ$1000,0,IFERROR(MATCH(Y$5,'Oxford Economics'!$A$6:$AZ$6,0),MATCH(Y$5&amp;"",'Oxford Economics'!$A$6:$AZ$6,0))),'Oxford Economics'!$A$7:$A$1000,$C74,'Oxford Economics'!$B$7:$B$1000,Settings!$B$17)+IF(Settings!$B$19="",0,SUMIFS(INDEX('Oxford Economics'!$A$7:$AZ$1000,0,IFERROR(MATCH(Y$5,'Oxford Economics'!$A$6:$AZ$6,0),MATCH(Y$5&amp;"",'Oxford Economics'!$A$6:$AZ$6,0))),'Oxford Economics'!$A$7:$A$1000,$C74,'Oxford Economics'!$B$7:$B$1000,Settings!$B$19)))),""))</f>
        <v>46775.42</v>
      </c>
      <c r="Z74" s="38" t="n">
        <f aca="false">IF($A74="","",IFERROR(1/(1/IF($B74="Residential",SUMIFS(INDEX('Oxford Economics'!$A$7:$AZ$1000,0,IFERROR(MATCH(Z$5,'Oxford Economics'!$A$6:$AZ$6,0),MATCH(Z$5&amp;"",'Oxford Economics'!$A$6:$AZ$6,0))),'Oxford Economics'!$A$7:$A$1000,$C74,'Oxford Economics'!$B$7:$B$1000,Settings!$B$13)-SUMIFS(INDEX('Oxford Economics'!$A$7:$AZ$1000,0,IFERROR(MATCH(Z$5,'Oxford Economics'!$A$6:$AZ$6,0),MATCH(Z$5&amp;"",'Oxford Economics'!$A$6:$AZ$6,0))),'Oxford Economics'!$A$7:$A$1000,$C74,'Oxford Economics'!$B$7:$B$1000,Settings!$B$15),SUMIFS(INDEX('Oxford Economics'!$A$7:$AZ$1000,0,IFERROR(MATCH(Z$5,'Oxford Economics'!$A$6:$AZ$6,0),MATCH(Z$5&amp;"",'Oxford Economics'!$A$6:$AZ$6,0))),'Oxford Economics'!$A$7:$A$1000,$C74,'Oxford Economics'!$B$7:$B$1000,Settings!$B$15)+SUMIFS(INDEX('Oxford Economics'!$A$7:$AZ$1000,0,IFERROR(MATCH(Z$5,'Oxford Economics'!$A$6:$AZ$6,0),MATCH(Z$5&amp;"",'Oxford Economics'!$A$6:$AZ$6,0))),'Oxford Economics'!$A$7:$A$1000,$C74,'Oxford Economics'!$B$7:$B$1000,Settings!$B$17)+IF(Settings!$B$19="",0,SUMIFS(INDEX('Oxford Economics'!$A$7:$AZ$1000,0,IFERROR(MATCH(Z$5,'Oxford Economics'!$A$6:$AZ$6,0),MATCH(Z$5&amp;"",'Oxford Economics'!$A$6:$AZ$6,0))),'Oxford Economics'!$A$7:$A$1000,$C74,'Oxford Economics'!$B$7:$B$1000,Settings!$B$19)))),""))</f>
        <v>48745.1</v>
      </c>
      <c r="AA74" s="38" t="n">
        <f aca="false">IF($A74="","",IFERROR(1/(1/IF($B74="Residential",SUMIFS(INDEX('Oxford Economics'!$A$7:$AZ$1000,0,IFERROR(MATCH(AA$5,'Oxford Economics'!$A$6:$AZ$6,0),MATCH(AA$5&amp;"",'Oxford Economics'!$A$6:$AZ$6,0))),'Oxford Economics'!$A$7:$A$1000,$C74,'Oxford Economics'!$B$7:$B$1000,Settings!$B$13)-SUMIFS(INDEX('Oxford Economics'!$A$7:$AZ$1000,0,IFERROR(MATCH(AA$5,'Oxford Economics'!$A$6:$AZ$6,0),MATCH(AA$5&amp;"",'Oxford Economics'!$A$6:$AZ$6,0))),'Oxford Economics'!$A$7:$A$1000,$C74,'Oxford Economics'!$B$7:$B$1000,Settings!$B$15),SUMIFS(INDEX('Oxford Economics'!$A$7:$AZ$1000,0,IFERROR(MATCH(AA$5,'Oxford Economics'!$A$6:$AZ$6,0),MATCH(AA$5&amp;"",'Oxford Economics'!$A$6:$AZ$6,0))),'Oxford Economics'!$A$7:$A$1000,$C74,'Oxford Economics'!$B$7:$B$1000,Settings!$B$15)+SUMIFS(INDEX('Oxford Economics'!$A$7:$AZ$1000,0,IFERROR(MATCH(AA$5,'Oxford Economics'!$A$6:$AZ$6,0),MATCH(AA$5&amp;"",'Oxford Economics'!$A$6:$AZ$6,0))),'Oxford Economics'!$A$7:$A$1000,$C74,'Oxford Economics'!$B$7:$B$1000,Settings!$B$17)+IF(Settings!$B$19="",0,SUMIFS(INDEX('Oxford Economics'!$A$7:$AZ$1000,0,IFERROR(MATCH(AA$5,'Oxford Economics'!$A$6:$AZ$6,0),MATCH(AA$5&amp;"",'Oxford Economics'!$A$6:$AZ$6,0))),'Oxford Economics'!$A$7:$A$1000,$C74,'Oxford Economics'!$B$7:$B$1000,Settings!$B$19)))),""))</f>
        <v>49955.34</v>
      </c>
      <c r="AB74" s="38" t="n">
        <f aca="false">IF($A74="","",IFERROR(1/(1/IF($B74="Residential",SUMIFS(INDEX('Oxford Economics'!$A$7:$AZ$1000,0,IFERROR(MATCH(AB$5,'Oxford Economics'!$A$6:$AZ$6,0),MATCH(AB$5&amp;"",'Oxford Economics'!$A$6:$AZ$6,0))),'Oxford Economics'!$A$7:$A$1000,$C74,'Oxford Economics'!$B$7:$B$1000,Settings!$B$12)-SUMIFS(INDEX('Oxford Economics'!$A$7:$AZ$1000,0,IFERROR(MATCH(AB$5,'Oxford Economics'!$A$6:$AZ$6,0),MATCH(AB$5&amp;"",'Oxford Economics'!$A$6:$AZ$6,0))),'Oxford Economics'!$A$7:$A$1000,$C74,'Oxford Economics'!$B$7:$B$1000,Settings!$B$14),SUMIFS(INDEX('Oxford Economics'!$A$7:$AZ$1000,0,IFERROR(MATCH(AB$5,'Oxford Economics'!$A$6:$AZ$6,0),MATCH(AB$5&amp;"",'Oxford Economics'!$A$6:$AZ$6,0))),'Oxford Economics'!$A$7:$A$1000,$C74,'Oxford Economics'!$B$7:$B$1000,Settings!$B$14)+SUMIFS(INDEX('Oxford Economics'!$A$7:$AZ$1000,0,IFERROR(MATCH(AB$5,'Oxford Economics'!$A$6:$AZ$6,0),MATCH(AB$5&amp;"",'Oxford Economics'!$A$6:$AZ$6,0))),'Oxford Economics'!$A$7:$A$1000,$C74,'Oxford Economics'!$B$7:$B$1000,Settings!$B$16)+IF(Settings!$B$18="",0,SUMIFS(INDEX('Oxford Economics'!$A$7:$AZ$1000,0,IFERROR(MATCH(AB$5,'Oxford Economics'!$A$6:$AZ$6,0),MATCH(AB$5&amp;"",'Oxford Economics'!$A$6:$AZ$6,0))),'Oxford Economics'!$A$7:$A$1000,$C74,'Oxford Economics'!$B$7:$B$1000,Settings!$B$18)))),""))</f>
        <v>42068.58</v>
      </c>
      <c r="AC74" s="38" t="n">
        <f aca="false">IF($A74="","",IFERROR(1/(1/IF($B74="Residential",SUMIFS(INDEX('Oxford Economics'!$A$7:$AZ$1000,0,IFERROR(MATCH(AC$5,'Oxford Economics'!$A$6:$AZ$6,0),MATCH(AC$5&amp;"",'Oxford Economics'!$A$6:$AZ$6,0))),'Oxford Economics'!$A$7:$A$1000,$C74,'Oxford Economics'!$B$7:$B$1000,Settings!$B$12)-SUMIFS(INDEX('Oxford Economics'!$A$7:$AZ$1000,0,IFERROR(MATCH(AC$5,'Oxford Economics'!$A$6:$AZ$6,0),MATCH(AC$5&amp;"",'Oxford Economics'!$A$6:$AZ$6,0))),'Oxford Economics'!$A$7:$A$1000,$C74,'Oxford Economics'!$B$7:$B$1000,Settings!$B$14),SUMIFS(INDEX('Oxford Economics'!$A$7:$AZ$1000,0,IFERROR(MATCH(AC$5,'Oxford Economics'!$A$6:$AZ$6,0),MATCH(AC$5&amp;"",'Oxford Economics'!$A$6:$AZ$6,0))),'Oxford Economics'!$A$7:$A$1000,$C74,'Oxford Economics'!$B$7:$B$1000,Settings!$B$14)+SUMIFS(INDEX('Oxford Economics'!$A$7:$AZ$1000,0,IFERROR(MATCH(AC$5,'Oxford Economics'!$A$6:$AZ$6,0),MATCH(AC$5&amp;"",'Oxford Economics'!$A$6:$AZ$6,0))),'Oxford Economics'!$A$7:$A$1000,$C74,'Oxford Economics'!$B$7:$B$1000,Settings!$B$16)+IF(Settings!$B$18="",0,SUMIFS(INDEX('Oxford Economics'!$A$7:$AZ$1000,0,IFERROR(MATCH(AC$5,'Oxford Economics'!$A$6:$AZ$6,0),MATCH(AC$5&amp;"",'Oxford Economics'!$A$6:$AZ$6,0))),'Oxford Economics'!$A$7:$A$1000,$C74,'Oxford Economics'!$B$7:$B$1000,Settings!$B$18)))),""))</f>
        <v>49523.14</v>
      </c>
      <c r="AD74" s="38" t="n">
        <f aca="false">IF($A74="","",IFERROR(1/(1/IF($B74="Residential",SUMIFS(INDEX('Oxford Economics'!$A$7:$AZ$1000,0,IFERROR(MATCH(AD$5,'Oxford Economics'!$A$6:$AZ$6,0),MATCH(AD$5&amp;"",'Oxford Economics'!$A$6:$AZ$6,0))),'Oxford Economics'!$A$7:$A$1000,$C74,'Oxford Economics'!$B$7:$B$1000,Settings!$B$12)-SUMIFS(INDEX('Oxford Economics'!$A$7:$AZ$1000,0,IFERROR(MATCH(AD$5,'Oxford Economics'!$A$6:$AZ$6,0),MATCH(AD$5&amp;"",'Oxford Economics'!$A$6:$AZ$6,0))),'Oxford Economics'!$A$7:$A$1000,$C74,'Oxford Economics'!$B$7:$B$1000,Settings!$B$14),SUMIFS(INDEX('Oxford Economics'!$A$7:$AZ$1000,0,IFERROR(MATCH(AD$5,'Oxford Economics'!$A$6:$AZ$6,0),MATCH(AD$5&amp;"",'Oxford Economics'!$A$6:$AZ$6,0))),'Oxford Economics'!$A$7:$A$1000,$C74,'Oxford Economics'!$B$7:$B$1000,Settings!$B$14)+SUMIFS(INDEX('Oxford Economics'!$A$7:$AZ$1000,0,IFERROR(MATCH(AD$5,'Oxford Economics'!$A$6:$AZ$6,0),MATCH(AD$5&amp;"",'Oxford Economics'!$A$6:$AZ$6,0))),'Oxford Economics'!$A$7:$A$1000,$C74,'Oxford Economics'!$B$7:$B$1000,Settings!$B$16)+IF(Settings!$B$18="",0,SUMIFS(INDEX('Oxford Economics'!$A$7:$AZ$1000,0,IFERROR(MATCH(AD$5,'Oxford Economics'!$A$6:$AZ$6,0),MATCH(AD$5&amp;"",'Oxford Economics'!$A$6:$AZ$6,0))),'Oxford Economics'!$A$7:$A$1000,$C74,'Oxford Economics'!$B$7:$B$1000,Settings!$B$18)))),""))</f>
        <v>55892.94</v>
      </c>
      <c r="AE74" s="38" t="n">
        <f aca="false">IF($A74="","",IFERROR(1/(1/IF($B74="Residential",SUMIFS(INDEX('Oxford Economics'!$A$7:$AZ$1000,0,IFERROR(MATCH(AE$5,'Oxford Economics'!$A$6:$AZ$6,0),MATCH(AE$5&amp;"",'Oxford Economics'!$A$6:$AZ$6,0))),'Oxford Economics'!$A$7:$A$1000,$C74,'Oxford Economics'!$B$7:$B$1000,Settings!$B$12)-SUMIFS(INDEX('Oxford Economics'!$A$7:$AZ$1000,0,IFERROR(MATCH(AE$5,'Oxford Economics'!$A$6:$AZ$6,0),MATCH(AE$5&amp;"",'Oxford Economics'!$A$6:$AZ$6,0))),'Oxford Economics'!$A$7:$A$1000,$C74,'Oxford Economics'!$B$7:$B$1000,Settings!$B$14),SUMIFS(INDEX('Oxford Economics'!$A$7:$AZ$1000,0,IFERROR(MATCH(AE$5,'Oxford Economics'!$A$6:$AZ$6,0),MATCH(AE$5&amp;"",'Oxford Economics'!$A$6:$AZ$6,0))),'Oxford Economics'!$A$7:$A$1000,$C74,'Oxford Economics'!$B$7:$B$1000,Settings!$B$14)+SUMIFS(INDEX('Oxford Economics'!$A$7:$AZ$1000,0,IFERROR(MATCH(AE$5,'Oxford Economics'!$A$6:$AZ$6,0),MATCH(AE$5&amp;"",'Oxford Economics'!$A$6:$AZ$6,0))),'Oxford Economics'!$A$7:$A$1000,$C74,'Oxford Economics'!$B$7:$B$1000,Settings!$B$16)+IF(Settings!$B$18="",0,SUMIFS(INDEX('Oxford Economics'!$A$7:$AZ$1000,0,IFERROR(MATCH(AE$5,'Oxford Economics'!$A$6:$AZ$6,0),MATCH(AE$5&amp;"",'Oxford Economics'!$A$6:$AZ$6,0))),'Oxford Economics'!$A$7:$A$1000,$C74,'Oxford Economics'!$B$7:$B$1000,Settings!$B$18)))),""))</f>
        <v>49948.04</v>
      </c>
      <c r="AF74" s="38" t="n">
        <f aca="false">IF($A74="","",IFERROR(1/(1/IF($B74="Residential",SUMIFS(INDEX('Oxford Economics'!$A$7:$AZ$1000,0,IFERROR(MATCH(AF$5,'Oxford Economics'!$A$6:$AZ$6,0),MATCH(AF$5&amp;"",'Oxford Economics'!$A$6:$AZ$6,0))),'Oxford Economics'!$A$7:$A$1000,$C74,'Oxford Economics'!$B$7:$B$1000,Settings!$B$12)-SUMIFS(INDEX('Oxford Economics'!$A$7:$AZ$1000,0,IFERROR(MATCH(AF$5,'Oxford Economics'!$A$6:$AZ$6,0),MATCH(AF$5&amp;"",'Oxford Economics'!$A$6:$AZ$6,0))),'Oxford Economics'!$A$7:$A$1000,$C74,'Oxford Economics'!$B$7:$B$1000,Settings!$B$14),SUMIFS(INDEX('Oxford Economics'!$A$7:$AZ$1000,0,IFERROR(MATCH(AF$5,'Oxford Economics'!$A$6:$AZ$6,0),MATCH(AF$5&amp;"",'Oxford Economics'!$A$6:$AZ$6,0))),'Oxford Economics'!$A$7:$A$1000,$C74,'Oxford Economics'!$B$7:$B$1000,Settings!$B$14)+SUMIFS(INDEX('Oxford Economics'!$A$7:$AZ$1000,0,IFERROR(MATCH(AF$5,'Oxford Economics'!$A$6:$AZ$6,0),MATCH(AF$5&amp;"",'Oxford Economics'!$A$6:$AZ$6,0))),'Oxford Economics'!$A$7:$A$1000,$C74,'Oxford Economics'!$B$7:$B$1000,Settings!$B$16)+IF(Settings!$B$18="",0,SUMIFS(INDEX('Oxford Economics'!$A$7:$AZ$1000,0,IFERROR(MATCH(AF$5,'Oxford Economics'!$A$6:$AZ$6,0),MATCH(AF$5&amp;"",'Oxford Economics'!$A$6:$AZ$6,0))),'Oxford Economics'!$A$7:$A$1000,$C74,'Oxford Economics'!$B$7:$B$1000,Settings!$B$18)))),""))</f>
        <v>47508.71</v>
      </c>
      <c r="AG74" s="38" t="n">
        <f aca="false">IF($A74="","",IFERROR(1/(1/IF($B74="Residential",SUMIFS(INDEX('Oxford Economics'!$A$7:$AZ$1000,0,IFERROR(MATCH(AG$5,'Oxford Economics'!$A$6:$AZ$6,0),MATCH(AG$5&amp;"",'Oxford Economics'!$A$6:$AZ$6,0))),'Oxford Economics'!$A$7:$A$1000,$C74,'Oxford Economics'!$B$7:$B$1000,Settings!$B$12)-SUMIFS(INDEX('Oxford Economics'!$A$7:$AZ$1000,0,IFERROR(MATCH(AG$5,'Oxford Economics'!$A$6:$AZ$6,0),MATCH(AG$5&amp;"",'Oxford Economics'!$A$6:$AZ$6,0))),'Oxford Economics'!$A$7:$A$1000,$C74,'Oxford Economics'!$B$7:$B$1000,Settings!$B$14),SUMIFS(INDEX('Oxford Economics'!$A$7:$AZ$1000,0,IFERROR(MATCH(AG$5,'Oxford Economics'!$A$6:$AZ$6,0),MATCH(AG$5&amp;"",'Oxford Economics'!$A$6:$AZ$6,0))),'Oxford Economics'!$A$7:$A$1000,$C74,'Oxford Economics'!$B$7:$B$1000,Settings!$B$14)+SUMIFS(INDEX('Oxford Economics'!$A$7:$AZ$1000,0,IFERROR(MATCH(AG$5,'Oxford Economics'!$A$6:$AZ$6,0),MATCH(AG$5&amp;"",'Oxford Economics'!$A$6:$AZ$6,0))),'Oxford Economics'!$A$7:$A$1000,$C74,'Oxford Economics'!$B$7:$B$1000,Settings!$B$16)+IF(Settings!$B$18="",0,SUMIFS(INDEX('Oxford Economics'!$A$7:$AZ$1000,0,IFERROR(MATCH(AG$5,'Oxford Economics'!$A$6:$AZ$6,0),MATCH(AG$5&amp;"",'Oxford Economics'!$A$6:$AZ$6,0))),'Oxford Economics'!$A$7:$A$1000,$C74,'Oxford Economics'!$B$7:$B$1000,Settings!$B$18)))),""))</f>
        <v>47675.63</v>
      </c>
      <c r="AH74" s="38" t="n">
        <f aca="false">IF($A74="","",IFERROR(1/(1/IF($B74="Residential",SUMIFS(INDEX('Oxford Economics'!$A$7:$AZ$1000,0,IFERROR(MATCH(AH$5,'Oxford Economics'!$A$6:$AZ$6,0),MATCH(AH$5&amp;"",'Oxford Economics'!$A$6:$AZ$6,0))),'Oxford Economics'!$A$7:$A$1000,$C74,'Oxford Economics'!$B$7:$B$1000,Settings!$B$12)-SUMIFS(INDEX('Oxford Economics'!$A$7:$AZ$1000,0,IFERROR(MATCH(AH$5,'Oxford Economics'!$A$6:$AZ$6,0),MATCH(AH$5&amp;"",'Oxford Economics'!$A$6:$AZ$6,0))),'Oxford Economics'!$A$7:$A$1000,$C74,'Oxford Economics'!$B$7:$B$1000,Settings!$B$14),SUMIFS(INDEX('Oxford Economics'!$A$7:$AZ$1000,0,IFERROR(MATCH(AH$5,'Oxford Economics'!$A$6:$AZ$6,0),MATCH(AH$5&amp;"",'Oxford Economics'!$A$6:$AZ$6,0))),'Oxford Economics'!$A$7:$A$1000,$C74,'Oxford Economics'!$B$7:$B$1000,Settings!$B$14)+SUMIFS(INDEX('Oxford Economics'!$A$7:$AZ$1000,0,IFERROR(MATCH(AH$5,'Oxford Economics'!$A$6:$AZ$6,0),MATCH(AH$5&amp;"",'Oxford Economics'!$A$6:$AZ$6,0))),'Oxford Economics'!$A$7:$A$1000,$C74,'Oxford Economics'!$B$7:$B$1000,Settings!$B$16)+IF(Settings!$B$18="",0,SUMIFS(INDEX('Oxford Economics'!$A$7:$AZ$1000,0,IFERROR(MATCH(AH$5,'Oxford Economics'!$A$6:$AZ$6,0),MATCH(AH$5&amp;"",'Oxford Economics'!$A$6:$AZ$6,0))),'Oxford Economics'!$A$7:$A$1000,$C74,'Oxford Economics'!$B$7:$B$1000,Settings!$B$18)))),""))</f>
        <v>49821.24</v>
      </c>
      <c r="AI74" s="38" t="n">
        <f aca="false">IF($A74="","",IFERROR(1/(1/IF($B74="Residential",SUMIFS(INDEX('Oxford Economics'!$A$7:$AZ$1000,0,IFERROR(MATCH(AI$5,'Oxford Economics'!$A$6:$AZ$6,0),MATCH(AI$5&amp;"",'Oxford Economics'!$A$6:$AZ$6,0))),'Oxford Economics'!$A$7:$A$1000,$C74,'Oxford Economics'!$B$7:$B$1000,Settings!$B$12)-SUMIFS(INDEX('Oxford Economics'!$A$7:$AZ$1000,0,IFERROR(MATCH(AI$5,'Oxford Economics'!$A$6:$AZ$6,0),MATCH(AI$5&amp;"",'Oxford Economics'!$A$6:$AZ$6,0))),'Oxford Economics'!$A$7:$A$1000,$C74,'Oxford Economics'!$B$7:$B$1000,Settings!$B$14),SUMIFS(INDEX('Oxford Economics'!$A$7:$AZ$1000,0,IFERROR(MATCH(AI$5,'Oxford Economics'!$A$6:$AZ$6,0),MATCH(AI$5&amp;"",'Oxford Economics'!$A$6:$AZ$6,0))),'Oxford Economics'!$A$7:$A$1000,$C74,'Oxford Economics'!$B$7:$B$1000,Settings!$B$14)+SUMIFS(INDEX('Oxford Economics'!$A$7:$AZ$1000,0,IFERROR(MATCH(AI$5,'Oxford Economics'!$A$6:$AZ$6,0),MATCH(AI$5&amp;"",'Oxford Economics'!$A$6:$AZ$6,0))),'Oxford Economics'!$A$7:$A$1000,$C74,'Oxford Economics'!$B$7:$B$1000,Settings!$B$16)+IF(Settings!$B$18="",0,SUMIFS(INDEX('Oxford Economics'!$A$7:$AZ$1000,0,IFERROR(MATCH(AI$5,'Oxford Economics'!$A$6:$AZ$6,0),MATCH(AI$5&amp;"",'Oxford Economics'!$A$6:$AZ$6,0))),'Oxford Economics'!$A$7:$A$1000,$C74,'Oxford Economics'!$B$7:$B$1000,Settings!$B$18)))),""))</f>
        <v>52472.3</v>
      </c>
      <c r="AJ74" s="38" t="n">
        <f aca="false">IF($A74="","",IFERROR(1/(1/IF($B74="Residential",SUMIFS(INDEX('Oxford Economics'!$A$7:$AZ$1000,0,IFERROR(MATCH(AJ$5,'Oxford Economics'!$A$6:$AZ$6,0),MATCH(AJ$5&amp;"",'Oxford Economics'!$A$6:$AZ$6,0))),'Oxford Economics'!$A$7:$A$1000,$C74,'Oxford Economics'!$B$7:$B$1000,Settings!$B$12)-SUMIFS(INDEX('Oxford Economics'!$A$7:$AZ$1000,0,IFERROR(MATCH(AJ$5,'Oxford Economics'!$A$6:$AZ$6,0),MATCH(AJ$5&amp;"",'Oxford Economics'!$A$6:$AZ$6,0))),'Oxford Economics'!$A$7:$A$1000,$C74,'Oxford Economics'!$B$7:$B$1000,Settings!$B$14),SUMIFS(INDEX('Oxford Economics'!$A$7:$AZ$1000,0,IFERROR(MATCH(AJ$5,'Oxford Economics'!$A$6:$AZ$6,0),MATCH(AJ$5&amp;"",'Oxford Economics'!$A$6:$AZ$6,0))),'Oxford Economics'!$A$7:$A$1000,$C74,'Oxford Economics'!$B$7:$B$1000,Settings!$B$14)+SUMIFS(INDEX('Oxford Economics'!$A$7:$AZ$1000,0,IFERROR(MATCH(AJ$5,'Oxford Economics'!$A$6:$AZ$6,0),MATCH(AJ$5&amp;"",'Oxford Economics'!$A$6:$AZ$6,0))),'Oxford Economics'!$A$7:$A$1000,$C74,'Oxford Economics'!$B$7:$B$1000,Settings!$B$16)+IF(Settings!$B$18="",0,SUMIFS(INDEX('Oxford Economics'!$A$7:$AZ$1000,0,IFERROR(MATCH(AJ$5,'Oxford Economics'!$A$6:$AZ$6,0),MATCH(AJ$5&amp;"",'Oxford Economics'!$A$6:$AZ$6,0))),'Oxford Economics'!$A$7:$A$1000,$C74,'Oxford Economics'!$B$7:$B$1000,Settings!$B$18)))),""))</f>
        <v>55467.89</v>
      </c>
      <c r="AK74" s="38" t="n">
        <f aca="false">IF($A74="","",IFERROR(1/(1/IF($B74="Residential",SUMIFS(INDEX('Oxford Economics'!$A$7:$AZ$1000,0,IFERROR(MATCH(AK$5,'Oxford Economics'!$A$6:$AZ$6,0),MATCH(AK$5&amp;"",'Oxford Economics'!$A$6:$AZ$6,0))),'Oxford Economics'!$A$7:$A$1000,$C74,'Oxford Economics'!$B$7:$B$1000,Settings!$B$12)-SUMIFS(INDEX('Oxford Economics'!$A$7:$AZ$1000,0,IFERROR(MATCH(AK$5,'Oxford Economics'!$A$6:$AZ$6,0),MATCH(AK$5&amp;"",'Oxford Economics'!$A$6:$AZ$6,0))),'Oxford Economics'!$A$7:$A$1000,$C74,'Oxford Economics'!$B$7:$B$1000,Settings!$B$14),SUMIFS(INDEX('Oxford Economics'!$A$7:$AZ$1000,0,IFERROR(MATCH(AK$5,'Oxford Economics'!$A$6:$AZ$6,0),MATCH(AK$5&amp;"",'Oxford Economics'!$A$6:$AZ$6,0))),'Oxford Economics'!$A$7:$A$1000,$C74,'Oxford Economics'!$B$7:$B$1000,Settings!$B$14)+SUMIFS(INDEX('Oxford Economics'!$A$7:$AZ$1000,0,IFERROR(MATCH(AK$5,'Oxford Economics'!$A$6:$AZ$6,0),MATCH(AK$5&amp;"",'Oxford Economics'!$A$6:$AZ$6,0))),'Oxford Economics'!$A$7:$A$1000,$C74,'Oxford Economics'!$B$7:$B$1000,Settings!$B$16)+IF(Settings!$B$18="",0,SUMIFS(INDEX('Oxford Economics'!$A$7:$AZ$1000,0,IFERROR(MATCH(AK$5,'Oxford Economics'!$A$6:$AZ$6,0),MATCH(AK$5&amp;"",'Oxford Economics'!$A$6:$AZ$6,0))),'Oxford Economics'!$A$7:$A$1000,$C74,'Oxford Economics'!$B$7:$B$1000,Settings!$B$18)))),""))</f>
        <v>58296.66</v>
      </c>
      <c r="AL74" s="38" t="n">
        <f aca="false">IF($A74="","",IFERROR(1/(1/IF($B74="Residential",SUMIFS(INDEX('Oxford Economics'!$A$7:$AZ$1000,0,IFERROR(MATCH(AL$5,'Oxford Economics'!$A$6:$AZ$6,0),MATCH(AL$5&amp;"",'Oxford Economics'!$A$6:$AZ$6,0))),'Oxford Economics'!$A$7:$A$1000,$C74,'Oxford Economics'!$B$7:$B$1000,Settings!$B$12)-SUMIFS(INDEX('Oxford Economics'!$A$7:$AZ$1000,0,IFERROR(MATCH(AL$5,'Oxford Economics'!$A$6:$AZ$6,0),MATCH(AL$5&amp;"",'Oxford Economics'!$A$6:$AZ$6,0))),'Oxford Economics'!$A$7:$A$1000,$C74,'Oxford Economics'!$B$7:$B$1000,Settings!$B$14),SUMIFS(INDEX('Oxford Economics'!$A$7:$AZ$1000,0,IFERROR(MATCH(AL$5,'Oxford Economics'!$A$6:$AZ$6,0),MATCH(AL$5&amp;"",'Oxford Economics'!$A$6:$AZ$6,0))),'Oxford Economics'!$A$7:$A$1000,$C74,'Oxford Economics'!$B$7:$B$1000,Settings!$B$14)+SUMIFS(INDEX('Oxford Economics'!$A$7:$AZ$1000,0,IFERROR(MATCH(AL$5,'Oxford Economics'!$A$6:$AZ$6,0),MATCH(AL$5&amp;"",'Oxford Economics'!$A$6:$AZ$6,0))),'Oxford Economics'!$A$7:$A$1000,$C74,'Oxford Economics'!$B$7:$B$1000,Settings!$B$16)+IF(Settings!$B$18="",0,SUMIFS(INDEX('Oxford Economics'!$A$7:$AZ$1000,0,IFERROR(MATCH(AL$5,'Oxford Economics'!$A$6:$AZ$6,0),MATCH(AL$5&amp;"",'Oxford Economics'!$A$6:$AZ$6,0))),'Oxford Economics'!$A$7:$A$1000,$C74,'Oxford Economics'!$B$7:$B$1000,Settings!$B$18)))),""))</f>
        <v>61086.49</v>
      </c>
      <c r="AM74" s="38" t="n">
        <f aca="false">IF($A74="","",IFERROR(1/(1/IF($B74="Residential",SUMIFS(INDEX('Oxford Economics'!$A$7:$AZ$1000,0,IFERROR(MATCH(AM$5,'Oxford Economics'!$A$6:$AZ$6,0),MATCH(AM$5&amp;"",'Oxford Economics'!$A$6:$AZ$6,0))),'Oxford Economics'!$A$7:$A$1000,$C74,'Oxford Economics'!$B$7:$B$1000,Settings!$B$12)-SUMIFS(INDEX('Oxford Economics'!$A$7:$AZ$1000,0,IFERROR(MATCH(AM$5,'Oxford Economics'!$A$6:$AZ$6,0),MATCH(AM$5&amp;"",'Oxford Economics'!$A$6:$AZ$6,0))),'Oxford Economics'!$A$7:$A$1000,$C74,'Oxford Economics'!$B$7:$B$1000,Settings!$B$14),SUMIFS(INDEX('Oxford Economics'!$A$7:$AZ$1000,0,IFERROR(MATCH(AM$5,'Oxford Economics'!$A$6:$AZ$6,0),MATCH(AM$5&amp;"",'Oxford Economics'!$A$6:$AZ$6,0))),'Oxford Economics'!$A$7:$A$1000,$C74,'Oxford Economics'!$B$7:$B$1000,Settings!$B$14)+SUMIFS(INDEX('Oxford Economics'!$A$7:$AZ$1000,0,IFERROR(MATCH(AM$5,'Oxford Economics'!$A$6:$AZ$6,0),MATCH(AM$5&amp;"",'Oxford Economics'!$A$6:$AZ$6,0))),'Oxford Economics'!$A$7:$A$1000,$C74,'Oxford Economics'!$B$7:$B$1000,Settings!$B$16)+IF(Settings!$B$18="",0,SUMIFS(INDEX('Oxford Economics'!$A$7:$AZ$1000,0,IFERROR(MATCH(AM$5,'Oxford Economics'!$A$6:$AZ$6,0),MATCH(AM$5&amp;"",'Oxford Economics'!$A$6:$AZ$6,0))),'Oxford Economics'!$A$7:$A$1000,$C74,'Oxford Economics'!$B$7:$B$1000,Settings!$B$18)))),""))</f>
        <v>63152.19</v>
      </c>
    </row>
    <row r="75" customFormat="false" ht="15" hidden="false" customHeight="false" outlineLevel="0" collapsed="false">
      <c r="A75" s="37" t="str">
        <f aca="false">IF('Raw data'!$A75="","",'Raw data'!$A75)</f>
        <v>United Kingdom</v>
      </c>
      <c r="B75" s="37" t="str">
        <f aca="false">IF($A75="","",'Raw data'!$C75)</f>
        <v>Commercial</v>
      </c>
      <c r="C75" s="37" t="str">
        <f aca="false">IF($A75="","",IF('Raw data'!$E75="",$A75,'Raw data'!$E75))</f>
        <v>United Kingdom</v>
      </c>
      <c r="D75" s="38" t="n">
        <f aca="false">IF($A75="","",IF(AND(ISNUMBER(P75),ISNUMBER(AB75)),P75+AB75,""))</f>
        <v>67046.45</v>
      </c>
      <c r="E75" s="38" t="n">
        <f aca="false">IF($A75="","",IF(AND(ISNUMBER(Q75),ISNUMBER(AC75)),Q75+AC75,""))</f>
        <v>69888.18</v>
      </c>
      <c r="F75" s="38" t="n">
        <f aca="false">IF($A75="","",IF(AND(ISNUMBER(R75),ISNUMBER(AD75)),R75+AD75,""))</f>
        <v>70425.55</v>
      </c>
      <c r="G75" s="38" t="n">
        <f aca="false">IF($A75="","",IF(AND(ISNUMBER(S75),ISNUMBER(AE75)),S75+AE75,""))</f>
        <v>73486.01</v>
      </c>
      <c r="H75" s="38" t="n">
        <f aca="false">IF($A75="","",IF(AND(ISNUMBER(T75),ISNUMBER(AF75)),T75+AF75,""))</f>
        <v>72397.68</v>
      </c>
      <c r="I75" s="38" t="n">
        <f aca="false">IF($A75="","",IF(AND(ISNUMBER(U75),ISNUMBER(AG75)),U75+AG75,""))</f>
        <v>68667.69</v>
      </c>
      <c r="J75" s="38" t="n">
        <f aca="false">IF($A75="","",IF(AND(ISNUMBER(V75),ISNUMBER(AH75)),V75+AH75,""))</f>
        <v>68300.03</v>
      </c>
      <c r="K75" s="38" t="n">
        <f aca="false">IF($A75="","",IF(AND(ISNUMBER(W75),ISNUMBER(AI75)),W75+AI75,""))</f>
        <v>70373.25</v>
      </c>
      <c r="L75" s="38" t="n">
        <f aca="false">IF($A75="","",IF(AND(ISNUMBER(X75),ISNUMBER(AJ75)),X75+AJ75,""))</f>
        <v>73711.75</v>
      </c>
      <c r="M75" s="38" t="n">
        <f aca="false">IF($A75="","",IF(AND(ISNUMBER(Y75),ISNUMBER(AK75)),Y75+AK75,""))</f>
        <v>77542.9</v>
      </c>
      <c r="N75" s="38" t="n">
        <f aca="false">IF($A75="","",IF(AND(ISNUMBER(Z75),ISNUMBER(AL75)),Z75+AL75,""))</f>
        <v>80800.92</v>
      </c>
      <c r="O75" s="38" t="n">
        <f aca="false">IF($A75="","",IF(AND(ISNUMBER(AA75),ISNUMBER(AM75)),AA75+AM75,""))</f>
        <v>83236.1</v>
      </c>
      <c r="P75" s="38" t="n">
        <f aca="false">IF($A75="","",IFERROR(1/(1/IF($B75="Residential",SUMIFS(INDEX('Oxford Economics'!$A$7:$AZ$1000,0,IFERROR(MATCH(P$5,'Oxford Economics'!$A$6:$AZ$6,0),MATCH(P$5&amp;"",'Oxford Economics'!$A$6:$AZ$6,0))),'Oxford Economics'!$A$7:$A$1000,$C75,'Oxford Economics'!$B$7:$B$1000,Settings!$B$13)-SUMIFS(INDEX('Oxford Economics'!$A$7:$AZ$1000,0,IFERROR(MATCH(P$5,'Oxford Economics'!$A$6:$AZ$6,0),MATCH(P$5&amp;"",'Oxford Economics'!$A$6:$AZ$6,0))),'Oxford Economics'!$A$7:$A$1000,$C75,'Oxford Economics'!$B$7:$B$1000,Settings!$B$15),SUMIFS(INDEX('Oxford Economics'!$A$7:$AZ$1000,0,IFERROR(MATCH(P$5,'Oxford Economics'!$A$6:$AZ$6,0),MATCH(P$5&amp;"",'Oxford Economics'!$A$6:$AZ$6,0))),'Oxford Economics'!$A$7:$A$1000,$C75,'Oxford Economics'!$B$7:$B$1000,Settings!$B$15)+SUMIFS(INDEX('Oxford Economics'!$A$7:$AZ$1000,0,IFERROR(MATCH(P$5,'Oxford Economics'!$A$6:$AZ$6,0),MATCH(P$5&amp;"",'Oxford Economics'!$A$6:$AZ$6,0))),'Oxford Economics'!$A$7:$A$1000,$C75,'Oxford Economics'!$B$7:$B$1000,Settings!$B$17)+IF(Settings!$B$19="",0,SUMIFS(INDEX('Oxford Economics'!$A$7:$AZ$1000,0,IFERROR(MATCH(P$5,'Oxford Economics'!$A$6:$AZ$6,0),MATCH(P$5&amp;"",'Oxford Economics'!$A$6:$AZ$6,0))),'Oxford Economics'!$A$7:$A$1000,$C75,'Oxford Economics'!$B$7:$B$1000,Settings!$B$19)))),""))</f>
        <v>21598.12</v>
      </c>
      <c r="Q75" s="38" t="n">
        <f aca="false">IF($A75="","",IFERROR(1/(1/IF($B75="Residential",SUMIFS(INDEX('Oxford Economics'!$A$7:$AZ$1000,0,IFERROR(MATCH(Q$5,'Oxford Economics'!$A$6:$AZ$6,0),MATCH(Q$5&amp;"",'Oxford Economics'!$A$6:$AZ$6,0))),'Oxford Economics'!$A$7:$A$1000,$C75,'Oxford Economics'!$B$7:$B$1000,Settings!$B$13)-SUMIFS(INDEX('Oxford Economics'!$A$7:$AZ$1000,0,IFERROR(MATCH(Q$5,'Oxford Economics'!$A$6:$AZ$6,0),MATCH(Q$5&amp;"",'Oxford Economics'!$A$6:$AZ$6,0))),'Oxford Economics'!$A$7:$A$1000,$C75,'Oxford Economics'!$B$7:$B$1000,Settings!$B$15),SUMIFS(INDEX('Oxford Economics'!$A$7:$AZ$1000,0,IFERROR(MATCH(Q$5,'Oxford Economics'!$A$6:$AZ$6,0),MATCH(Q$5&amp;"",'Oxford Economics'!$A$6:$AZ$6,0))),'Oxford Economics'!$A$7:$A$1000,$C75,'Oxford Economics'!$B$7:$B$1000,Settings!$B$15)+SUMIFS(INDEX('Oxford Economics'!$A$7:$AZ$1000,0,IFERROR(MATCH(Q$5,'Oxford Economics'!$A$6:$AZ$6,0),MATCH(Q$5&amp;"",'Oxford Economics'!$A$6:$AZ$6,0))),'Oxford Economics'!$A$7:$A$1000,$C75,'Oxford Economics'!$B$7:$B$1000,Settings!$B$17)+IF(Settings!$B$19="",0,SUMIFS(INDEX('Oxford Economics'!$A$7:$AZ$1000,0,IFERROR(MATCH(Q$5,'Oxford Economics'!$A$6:$AZ$6,0),MATCH(Q$5&amp;"",'Oxford Economics'!$A$6:$AZ$6,0))),'Oxford Economics'!$A$7:$A$1000,$C75,'Oxford Economics'!$B$7:$B$1000,Settings!$B$19)))),""))</f>
        <v>24644.37</v>
      </c>
      <c r="R75" s="38" t="n">
        <f aca="false">IF($A75="","",IFERROR(1/(1/IF($B75="Residential",SUMIFS(INDEX('Oxford Economics'!$A$7:$AZ$1000,0,IFERROR(MATCH(R$5,'Oxford Economics'!$A$6:$AZ$6,0),MATCH(R$5&amp;"",'Oxford Economics'!$A$6:$AZ$6,0))),'Oxford Economics'!$A$7:$A$1000,$C75,'Oxford Economics'!$B$7:$B$1000,Settings!$B$13)-SUMIFS(INDEX('Oxford Economics'!$A$7:$AZ$1000,0,IFERROR(MATCH(R$5,'Oxford Economics'!$A$6:$AZ$6,0),MATCH(R$5&amp;"",'Oxford Economics'!$A$6:$AZ$6,0))),'Oxford Economics'!$A$7:$A$1000,$C75,'Oxford Economics'!$B$7:$B$1000,Settings!$B$15),SUMIFS(INDEX('Oxford Economics'!$A$7:$AZ$1000,0,IFERROR(MATCH(R$5,'Oxford Economics'!$A$6:$AZ$6,0),MATCH(R$5&amp;"",'Oxford Economics'!$A$6:$AZ$6,0))),'Oxford Economics'!$A$7:$A$1000,$C75,'Oxford Economics'!$B$7:$B$1000,Settings!$B$15)+SUMIFS(INDEX('Oxford Economics'!$A$7:$AZ$1000,0,IFERROR(MATCH(R$5,'Oxford Economics'!$A$6:$AZ$6,0),MATCH(R$5&amp;"",'Oxford Economics'!$A$6:$AZ$6,0))),'Oxford Economics'!$A$7:$A$1000,$C75,'Oxford Economics'!$B$7:$B$1000,Settings!$B$17)+IF(Settings!$B$19="",0,SUMIFS(INDEX('Oxford Economics'!$A$7:$AZ$1000,0,IFERROR(MATCH(R$5,'Oxford Economics'!$A$6:$AZ$6,0),MATCH(R$5&amp;"",'Oxford Economics'!$A$6:$AZ$6,0))),'Oxford Economics'!$A$7:$A$1000,$C75,'Oxford Economics'!$B$7:$B$1000,Settings!$B$19)))),""))</f>
        <v>25145.66</v>
      </c>
      <c r="S75" s="38" t="n">
        <f aca="false">IF($A75="","",IFERROR(1/(1/IF($B75="Residential",SUMIFS(INDEX('Oxford Economics'!$A$7:$AZ$1000,0,IFERROR(MATCH(S$5,'Oxford Economics'!$A$6:$AZ$6,0),MATCH(S$5&amp;"",'Oxford Economics'!$A$6:$AZ$6,0))),'Oxford Economics'!$A$7:$A$1000,$C75,'Oxford Economics'!$B$7:$B$1000,Settings!$B$13)-SUMIFS(INDEX('Oxford Economics'!$A$7:$AZ$1000,0,IFERROR(MATCH(S$5,'Oxford Economics'!$A$6:$AZ$6,0),MATCH(S$5&amp;"",'Oxford Economics'!$A$6:$AZ$6,0))),'Oxford Economics'!$A$7:$A$1000,$C75,'Oxford Economics'!$B$7:$B$1000,Settings!$B$15),SUMIFS(INDEX('Oxford Economics'!$A$7:$AZ$1000,0,IFERROR(MATCH(S$5,'Oxford Economics'!$A$6:$AZ$6,0),MATCH(S$5&amp;"",'Oxford Economics'!$A$6:$AZ$6,0))),'Oxford Economics'!$A$7:$A$1000,$C75,'Oxford Economics'!$B$7:$B$1000,Settings!$B$15)+SUMIFS(INDEX('Oxford Economics'!$A$7:$AZ$1000,0,IFERROR(MATCH(S$5,'Oxford Economics'!$A$6:$AZ$6,0),MATCH(S$5&amp;"",'Oxford Economics'!$A$6:$AZ$6,0))),'Oxford Economics'!$A$7:$A$1000,$C75,'Oxford Economics'!$B$7:$B$1000,Settings!$B$17)+IF(Settings!$B$19="",0,SUMIFS(INDEX('Oxford Economics'!$A$7:$AZ$1000,0,IFERROR(MATCH(S$5,'Oxford Economics'!$A$6:$AZ$6,0),MATCH(S$5&amp;"",'Oxford Economics'!$A$6:$AZ$6,0))),'Oxford Economics'!$A$7:$A$1000,$C75,'Oxford Economics'!$B$7:$B$1000,Settings!$B$19)))),""))</f>
        <v>27647.3</v>
      </c>
      <c r="T75" s="38" t="n">
        <f aca="false">IF($A75="","",IFERROR(1/(1/IF($B75="Residential",SUMIFS(INDEX('Oxford Economics'!$A$7:$AZ$1000,0,IFERROR(MATCH(T$5,'Oxford Economics'!$A$6:$AZ$6,0),MATCH(T$5&amp;"",'Oxford Economics'!$A$6:$AZ$6,0))),'Oxford Economics'!$A$7:$A$1000,$C75,'Oxford Economics'!$B$7:$B$1000,Settings!$B$13)-SUMIFS(INDEX('Oxford Economics'!$A$7:$AZ$1000,0,IFERROR(MATCH(T$5,'Oxford Economics'!$A$6:$AZ$6,0),MATCH(T$5&amp;"",'Oxford Economics'!$A$6:$AZ$6,0))),'Oxford Economics'!$A$7:$A$1000,$C75,'Oxford Economics'!$B$7:$B$1000,Settings!$B$15),SUMIFS(INDEX('Oxford Economics'!$A$7:$AZ$1000,0,IFERROR(MATCH(T$5,'Oxford Economics'!$A$6:$AZ$6,0),MATCH(T$5&amp;"",'Oxford Economics'!$A$6:$AZ$6,0))),'Oxford Economics'!$A$7:$A$1000,$C75,'Oxford Economics'!$B$7:$B$1000,Settings!$B$15)+SUMIFS(INDEX('Oxford Economics'!$A$7:$AZ$1000,0,IFERROR(MATCH(T$5,'Oxford Economics'!$A$6:$AZ$6,0),MATCH(T$5&amp;"",'Oxford Economics'!$A$6:$AZ$6,0))),'Oxford Economics'!$A$7:$A$1000,$C75,'Oxford Economics'!$B$7:$B$1000,Settings!$B$17)+IF(Settings!$B$19="",0,SUMIFS(INDEX('Oxford Economics'!$A$7:$AZ$1000,0,IFERROR(MATCH(T$5,'Oxford Economics'!$A$6:$AZ$6,0),MATCH(T$5&amp;"",'Oxford Economics'!$A$6:$AZ$6,0))),'Oxford Economics'!$A$7:$A$1000,$C75,'Oxford Economics'!$B$7:$B$1000,Settings!$B$19)))),""))</f>
        <v>28906.58</v>
      </c>
      <c r="U75" s="38" t="n">
        <f aca="false">IF($A75="","",IFERROR(1/(1/IF($B75="Residential",SUMIFS(INDEX('Oxford Economics'!$A$7:$AZ$1000,0,IFERROR(MATCH(U$5,'Oxford Economics'!$A$6:$AZ$6,0),MATCH(U$5&amp;"",'Oxford Economics'!$A$6:$AZ$6,0))),'Oxford Economics'!$A$7:$A$1000,$C75,'Oxford Economics'!$B$7:$B$1000,Settings!$B$13)-SUMIFS(INDEX('Oxford Economics'!$A$7:$AZ$1000,0,IFERROR(MATCH(U$5,'Oxford Economics'!$A$6:$AZ$6,0),MATCH(U$5&amp;"",'Oxford Economics'!$A$6:$AZ$6,0))),'Oxford Economics'!$A$7:$A$1000,$C75,'Oxford Economics'!$B$7:$B$1000,Settings!$B$15),SUMIFS(INDEX('Oxford Economics'!$A$7:$AZ$1000,0,IFERROR(MATCH(U$5,'Oxford Economics'!$A$6:$AZ$6,0),MATCH(U$5&amp;"",'Oxford Economics'!$A$6:$AZ$6,0))),'Oxford Economics'!$A$7:$A$1000,$C75,'Oxford Economics'!$B$7:$B$1000,Settings!$B$15)+SUMIFS(INDEX('Oxford Economics'!$A$7:$AZ$1000,0,IFERROR(MATCH(U$5,'Oxford Economics'!$A$6:$AZ$6,0),MATCH(U$5&amp;"",'Oxford Economics'!$A$6:$AZ$6,0))),'Oxford Economics'!$A$7:$A$1000,$C75,'Oxford Economics'!$B$7:$B$1000,Settings!$B$17)+IF(Settings!$B$19="",0,SUMIFS(INDEX('Oxford Economics'!$A$7:$AZ$1000,0,IFERROR(MATCH(U$5,'Oxford Economics'!$A$6:$AZ$6,0),MATCH(U$5&amp;"",'Oxford Economics'!$A$6:$AZ$6,0))),'Oxford Economics'!$A$7:$A$1000,$C75,'Oxford Economics'!$B$7:$B$1000,Settings!$B$19)))),""))</f>
        <v>27995.86</v>
      </c>
      <c r="V75" s="38" t="n">
        <f aca="false">IF($A75="","",IFERROR(1/(1/IF($B75="Residential",SUMIFS(INDEX('Oxford Economics'!$A$7:$AZ$1000,0,IFERROR(MATCH(V$5,'Oxford Economics'!$A$6:$AZ$6,0),MATCH(V$5&amp;"",'Oxford Economics'!$A$6:$AZ$6,0))),'Oxford Economics'!$A$7:$A$1000,$C75,'Oxford Economics'!$B$7:$B$1000,Settings!$B$13)-SUMIFS(INDEX('Oxford Economics'!$A$7:$AZ$1000,0,IFERROR(MATCH(V$5,'Oxford Economics'!$A$6:$AZ$6,0),MATCH(V$5&amp;"",'Oxford Economics'!$A$6:$AZ$6,0))),'Oxford Economics'!$A$7:$A$1000,$C75,'Oxford Economics'!$B$7:$B$1000,Settings!$B$15),SUMIFS(INDEX('Oxford Economics'!$A$7:$AZ$1000,0,IFERROR(MATCH(V$5,'Oxford Economics'!$A$6:$AZ$6,0),MATCH(V$5&amp;"",'Oxford Economics'!$A$6:$AZ$6,0))),'Oxford Economics'!$A$7:$A$1000,$C75,'Oxford Economics'!$B$7:$B$1000,Settings!$B$15)+SUMIFS(INDEX('Oxford Economics'!$A$7:$AZ$1000,0,IFERROR(MATCH(V$5,'Oxford Economics'!$A$6:$AZ$6,0),MATCH(V$5&amp;"",'Oxford Economics'!$A$6:$AZ$6,0))),'Oxford Economics'!$A$7:$A$1000,$C75,'Oxford Economics'!$B$7:$B$1000,Settings!$B$17)+IF(Settings!$B$19="",0,SUMIFS(INDEX('Oxford Economics'!$A$7:$AZ$1000,0,IFERROR(MATCH(V$5,'Oxford Economics'!$A$6:$AZ$6,0),MATCH(V$5&amp;"",'Oxford Economics'!$A$6:$AZ$6,0))),'Oxford Economics'!$A$7:$A$1000,$C75,'Oxford Economics'!$B$7:$B$1000,Settings!$B$19)))),""))</f>
        <v>27972.61</v>
      </c>
      <c r="W75" s="38" t="n">
        <f aca="false">IF($A75="","",IFERROR(1/(1/IF($B75="Residential",SUMIFS(INDEX('Oxford Economics'!$A$7:$AZ$1000,0,IFERROR(MATCH(W$5,'Oxford Economics'!$A$6:$AZ$6,0),MATCH(W$5&amp;"",'Oxford Economics'!$A$6:$AZ$6,0))),'Oxford Economics'!$A$7:$A$1000,$C75,'Oxford Economics'!$B$7:$B$1000,Settings!$B$13)-SUMIFS(INDEX('Oxford Economics'!$A$7:$AZ$1000,0,IFERROR(MATCH(W$5,'Oxford Economics'!$A$6:$AZ$6,0),MATCH(W$5&amp;"",'Oxford Economics'!$A$6:$AZ$6,0))),'Oxford Economics'!$A$7:$A$1000,$C75,'Oxford Economics'!$B$7:$B$1000,Settings!$B$15),SUMIFS(INDEX('Oxford Economics'!$A$7:$AZ$1000,0,IFERROR(MATCH(W$5,'Oxford Economics'!$A$6:$AZ$6,0),MATCH(W$5&amp;"",'Oxford Economics'!$A$6:$AZ$6,0))),'Oxford Economics'!$A$7:$A$1000,$C75,'Oxford Economics'!$B$7:$B$1000,Settings!$B$15)+SUMIFS(INDEX('Oxford Economics'!$A$7:$AZ$1000,0,IFERROR(MATCH(W$5,'Oxford Economics'!$A$6:$AZ$6,0),MATCH(W$5&amp;"",'Oxford Economics'!$A$6:$AZ$6,0))),'Oxford Economics'!$A$7:$A$1000,$C75,'Oxford Economics'!$B$7:$B$1000,Settings!$B$17)+IF(Settings!$B$19="",0,SUMIFS(INDEX('Oxford Economics'!$A$7:$AZ$1000,0,IFERROR(MATCH(W$5,'Oxford Economics'!$A$6:$AZ$6,0),MATCH(W$5&amp;"",'Oxford Economics'!$A$6:$AZ$6,0))),'Oxford Economics'!$A$7:$A$1000,$C75,'Oxford Economics'!$B$7:$B$1000,Settings!$B$19)))),""))</f>
        <v>29213.29</v>
      </c>
      <c r="X75" s="38" t="n">
        <f aca="false">IF($A75="","",IFERROR(1/(1/IF($B75="Residential",SUMIFS(INDEX('Oxford Economics'!$A$7:$AZ$1000,0,IFERROR(MATCH(X$5,'Oxford Economics'!$A$6:$AZ$6,0),MATCH(X$5&amp;"",'Oxford Economics'!$A$6:$AZ$6,0))),'Oxford Economics'!$A$7:$A$1000,$C75,'Oxford Economics'!$B$7:$B$1000,Settings!$B$13)-SUMIFS(INDEX('Oxford Economics'!$A$7:$AZ$1000,0,IFERROR(MATCH(X$5,'Oxford Economics'!$A$6:$AZ$6,0),MATCH(X$5&amp;"",'Oxford Economics'!$A$6:$AZ$6,0))),'Oxford Economics'!$A$7:$A$1000,$C75,'Oxford Economics'!$B$7:$B$1000,Settings!$B$15),SUMIFS(INDEX('Oxford Economics'!$A$7:$AZ$1000,0,IFERROR(MATCH(X$5,'Oxford Economics'!$A$6:$AZ$6,0),MATCH(X$5&amp;"",'Oxford Economics'!$A$6:$AZ$6,0))),'Oxford Economics'!$A$7:$A$1000,$C75,'Oxford Economics'!$B$7:$B$1000,Settings!$B$15)+SUMIFS(INDEX('Oxford Economics'!$A$7:$AZ$1000,0,IFERROR(MATCH(X$5,'Oxford Economics'!$A$6:$AZ$6,0),MATCH(X$5&amp;"",'Oxford Economics'!$A$6:$AZ$6,0))),'Oxford Economics'!$A$7:$A$1000,$C75,'Oxford Economics'!$B$7:$B$1000,Settings!$B$17)+IF(Settings!$B$19="",0,SUMIFS(INDEX('Oxford Economics'!$A$7:$AZ$1000,0,IFERROR(MATCH(X$5,'Oxford Economics'!$A$6:$AZ$6,0),MATCH(X$5&amp;"",'Oxford Economics'!$A$6:$AZ$6,0))),'Oxford Economics'!$A$7:$A$1000,$C75,'Oxford Economics'!$B$7:$B$1000,Settings!$B$19)))),""))</f>
        <v>31216.29</v>
      </c>
      <c r="Y75" s="38" t="n">
        <f aca="false">IF($A75="","",IFERROR(1/(1/IF($B75="Residential",SUMIFS(INDEX('Oxford Economics'!$A$7:$AZ$1000,0,IFERROR(MATCH(Y$5,'Oxford Economics'!$A$6:$AZ$6,0),MATCH(Y$5&amp;"",'Oxford Economics'!$A$6:$AZ$6,0))),'Oxford Economics'!$A$7:$A$1000,$C75,'Oxford Economics'!$B$7:$B$1000,Settings!$B$13)-SUMIFS(INDEX('Oxford Economics'!$A$7:$AZ$1000,0,IFERROR(MATCH(Y$5,'Oxford Economics'!$A$6:$AZ$6,0),MATCH(Y$5&amp;"",'Oxford Economics'!$A$6:$AZ$6,0))),'Oxford Economics'!$A$7:$A$1000,$C75,'Oxford Economics'!$B$7:$B$1000,Settings!$B$15),SUMIFS(INDEX('Oxford Economics'!$A$7:$AZ$1000,0,IFERROR(MATCH(Y$5,'Oxford Economics'!$A$6:$AZ$6,0),MATCH(Y$5&amp;"",'Oxford Economics'!$A$6:$AZ$6,0))),'Oxford Economics'!$A$7:$A$1000,$C75,'Oxford Economics'!$B$7:$B$1000,Settings!$B$15)+SUMIFS(INDEX('Oxford Economics'!$A$7:$AZ$1000,0,IFERROR(MATCH(Y$5,'Oxford Economics'!$A$6:$AZ$6,0),MATCH(Y$5&amp;"",'Oxford Economics'!$A$6:$AZ$6,0))),'Oxford Economics'!$A$7:$A$1000,$C75,'Oxford Economics'!$B$7:$B$1000,Settings!$B$17)+IF(Settings!$B$19="",0,SUMIFS(INDEX('Oxford Economics'!$A$7:$AZ$1000,0,IFERROR(MATCH(Y$5,'Oxford Economics'!$A$6:$AZ$6,0),MATCH(Y$5&amp;"",'Oxford Economics'!$A$6:$AZ$6,0))),'Oxford Economics'!$A$7:$A$1000,$C75,'Oxford Economics'!$B$7:$B$1000,Settings!$B$19)))),""))</f>
        <v>33459.68</v>
      </c>
      <c r="Z75" s="38" t="n">
        <f aca="false">IF($A75="","",IFERROR(1/(1/IF($B75="Residential",SUMIFS(INDEX('Oxford Economics'!$A$7:$AZ$1000,0,IFERROR(MATCH(Z$5,'Oxford Economics'!$A$6:$AZ$6,0),MATCH(Z$5&amp;"",'Oxford Economics'!$A$6:$AZ$6,0))),'Oxford Economics'!$A$7:$A$1000,$C75,'Oxford Economics'!$B$7:$B$1000,Settings!$B$13)-SUMIFS(INDEX('Oxford Economics'!$A$7:$AZ$1000,0,IFERROR(MATCH(Z$5,'Oxford Economics'!$A$6:$AZ$6,0),MATCH(Z$5&amp;"",'Oxford Economics'!$A$6:$AZ$6,0))),'Oxford Economics'!$A$7:$A$1000,$C75,'Oxford Economics'!$B$7:$B$1000,Settings!$B$15),SUMIFS(INDEX('Oxford Economics'!$A$7:$AZ$1000,0,IFERROR(MATCH(Z$5,'Oxford Economics'!$A$6:$AZ$6,0),MATCH(Z$5&amp;"",'Oxford Economics'!$A$6:$AZ$6,0))),'Oxford Economics'!$A$7:$A$1000,$C75,'Oxford Economics'!$B$7:$B$1000,Settings!$B$15)+SUMIFS(INDEX('Oxford Economics'!$A$7:$AZ$1000,0,IFERROR(MATCH(Z$5,'Oxford Economics'!$A$6:$AZ$6,0),MATCH(Z$5&amp;"",'Oxford Economics'!$A$6:$AZ$6,0))),'Oxford Economics'!$A$7:$A$1000,$C75,'Oxford Economics'!$B$7:$B$1000,Settings!$B$17)+IF(Settings!$B$19="",0,SUMIFS(INDEX('Oxford Economics'!$A$7:$AZ$1000,0,IFERROR(MATCH(Z$5,'Oxford Economics'!$A$6:$AZ$6,0),MATCH(Z$5&amp;"",'Oxford Economics'!$A$6:$AZ$6,0))),'Oxford Economics'!$A$7:$A$1000,$C75,'Oxford Economics'!$B$7:$B$1000,Settings!$B$19)))),""))</f>
        <v>35319.9</v>
      </c>
      <c r="AA75" s="38" t="n">
        <f aca="false">IF($A75="","",IFERROR(1/(1/IF($B75="Residential",SUMIFS(INDEX('Oxford Economics'!$A$7:$AZ$1000,0,IFERROR(MATCH(AA$5,'Oxford Economics'!$A$6:$AZ$6,0),MATCH(AA$5&amp;"",'Oxford Economics'!$A$6:$AZ$6,0))),'Oxford Economics'!$A$7:$A$1000,$C75,'Oxford Economics'!$B$7:$B$1000,Settings!$B$13)-SUMIFS(INDEX('Oxford Economics'!$A$7:$AZ$1000,0,IFERROR(MATCH(AA$5,'Oxford Economics'!$A$6:$AZ$6,0),MATCH(AA$5&amp;"",'Oxford Economics'!$A$6:$AZ$6,0))),'Oxford Economics'!$A$7:$A$1000,$C75,'Oxford Economics'!$B$7:$B$1000,Settings!$B$15),SUMIFS(INDEX('Oxford Economics'!$A$7:$AZ$1000,0,IFERROR(MATCH(AA$5,'Oxford Economics'!$A$6:$AZ$6,0),MATCH(AA$5&amp;"",'Oxford Economics'!$A$6:$AZ$6,0))),'Oxford Economics'!$A$7:$A$1000,$C75,'Oxford Economics'!$B$7:$B$1000,Settings!$B$15)+SUMIFS(INDEX('Oxford Economics'!$A$7:$AZ$1000,0,IFERROR(MATCH(AA$5,'Oxford Economics'!$A$6:$AZ$6,0),MATCH(AA$5&amp;"",'Oxford Economics'!$A$6:$AZ$6,0))),'Oxford Economics'!$A$7:$A$1000,$C75,'Oxford Economics'!$B$7:$B$1000,Settings!$B$17)+IF(Settings!$B$19="",0,SUMIFS(INDEX('Oxford Economics'!$A$7:$AZ$1000,0,IFERROR(MATCH(AA$5,'Oxford Economics'!$A$6:$AZ$6,0),MATCH(AA$5&amp;"",'Oxford Economics'!$A$6:$AZ$6,0))),'Oxford Economics'!$A$7:$A$1000,$C75,'Oxford Economics'!$B$7:$B$1000,Settings!$B$19)))),""))</f>
        <v>36367.33</v>
      </c>
      <c r="AB75" s="38" t="n">
        <f aca="false">IF($A75="","",IFERROR(1/(1/IF($B75="Residential",SUMIFS(INDEX('Oxford Economics'!$A$7:$AZ$1000,0,IFERROR(MATCH(AB$5,'Oxford Economics'!$A$6:$AZ$6,0),MATCH(AB$5&amp;"",'Oxford Economics'!$A$6:$AZ$6,0))),'Oxford Economics'!$A$7:$A$1000,$C75,'Oxford Economics'!$B$7:$B$1000,Settings!$B$12)-SUMIFS(INDEX('Oxford Economics'!$A$7:$AZ$1000,0,IFERROR(MATCH(AB$5,'Oxford Economics'!$A$6:$AZ$6,0),MATCH(AB$5&amp;"",'Oxford Economics'!$A$6:$AZ$6,0))),'Oxford Economics'!$A$7:$A$1000,$C75,'Oxford Economics'!$B$7:$B$1000,Settings!$B$14),SUMIFS(INDEX('Oxford Economics'!$A$7:$AZ$1000,0,IFERROR(MATCH(AB$5,'Oxford Economics'!$A$6:$AZ$6,0),MATCH(AB$5&amp;"",'Oxford Economics'!$A$6:$AZ$6,0))),'Oxford Economics'!$A$7:$A$1000,$C75,'Oxford Economics'!$B$7:$B$1000,Settings!$B$14)+SUMIFS(INDEX('Oxford Economics'!$A$7:$AZ$1000,0,IFERROR(MATCH(AB$5,'Oxford Economics'!$A$6:$AZ$6,0),MATCH(AB$5&amp;"",'Oxford Economics'!$A$6:$AZ$6,0))),'Oxford Economics'!$A$7:$A$1000,$C75,'Oxford Economics'!$B$7:$B$1000,Settings!$B$16)+IF(Settings!$B$18="",0,SUMIFS(INDEX('Oxford Economics'!$A$7:$AZ$1000,0,IFERROR(MATCH(AB$5,'Oxford Economics'!$A$6:$AZ$6,0),MATCH(AB$5&amp;"",'Oxford Economics'!$A$6:$AZ$6,0))),'Oxford Economics'!$A$7:$A$1000,$C75,'Oxford Economics'!$B$7:$B$1000,Settings!$B$18)))),""))</f>
        <v>45448.33</v>
      </c>
      <c r="AC75" s="38" t="n">
        <f aca="false">IF($A75="","",IFERROR(1/(1/IF($B75="Residential",SUMIFS(INDEX('Oxford Economics'!$A$7:$AZ$1000,0,IFERROR(MATCH(AC$5,'Oxford Economics'!$A$6:$AZ$6,0),MATCH(AC$5&amp;"",'Oxford Economics'!$A$6:$AZ$6,0))),'Oxford Economics'!$A$7:$A$1000,$C75,'Oxford Economics'!$B$7:$B$1000,Settings!$B$12)-SUMIFS(INDEX('Oxford Economics'!$A$7:$AZ$1000,0,IFERROR(MATCH(AC$5,'Oxford Economics'!$A$6:$AZ$6,0),MATCH(AC$5&amp;"",'Oxford Economics'!$A$6:$AZ$6,0))),'Oxford Economics'!$A$7:$A$1000,$C75,'Oxford Economics'!$B$7:$B$1000,Settings!$B$14),SUMIFS(INDEX('Oxford Economics'!$A$7:$AZ$1000,0,IFERROR(MATCH(AC$5,'Oxford Economics'!$A$6:$AZ$6,0),MATCH(AC$5&amp;"",'Oxford Economics'!$A$6:$AZ$6,0))),'Oxford Economics'!$A$7:$A$1000,$C75,'Oxford Economics'!$B$7:$B$1000,Settings!$B$14)+SUMIFS(INDEX('Oxford Economics'!$A$7:$AZ$1000,0,IFERROR(MATCH(AC$5,'Oxford Economics'!$A$6:$AZ$6,0),MATCH(AC$5&amp;"",'Oxford Economics'!$A$6:$AZ$6,0))),'Oxford Economics'!$A$7:$A$1000,$C75,'Oxford Economics'!$B$7:$B$1000,Settings!$B$16)+IF(Settings!$B$18="",0,SUMIFS(INDEX('Oxford Economics'!$A$7:$AZ$1000,0,IFERROR(MATCH(AC$5,'Oxford Economics'!$A$6:$AZ$6,0),MATCH(AC$5&amp;"",'Oxford Economics'!$A$6:$AZ$6,0))),'Oxford Economics'!$A$7:$A$1000,$C75,'Oxford Economics'!$B$7:$B$1000,Settings!$B$18)))),""))</f>
        <v>45243.81</v>
      </c>
      <c r="AD75" s="38" t="n">
        <f aca="false">IF($A75="","",IFERROR(1/(1/IF($B75="Residential",SUMIFS(INDEX('Oxford Economics'!$A$7:$AZ$1000,0,IFERROR(MATCH(AD$5,'Oxford Economics'!$A$6:$AZ$6,0),MATCH(AD$5&amp;"",'Oxford Economics'!$A$6:$AZ$6,0))),'Oxford Economics'!$A$7:$A$1000,$C75,'Oxford Economics'!$B$7:$B$1000,Settings!$B$12)-SUMIFS(INDEX('Oxford Economics'!$A$7:$AZ$1000,0,IFERROR(MATCH(AD$5,'Oxford Economics'!$A$6:$AZ$6,0),MATCH(AD$5&amp;"",'Oxford Economics'!$A$6:$AZ$6,0))),'Oxford Economics'!$A$7:$A$1000,$C75,'Oxford Economics'!$B$7:$B$1000,Settings!$B$14),SUMIFS(INDEX('Oxford Economics'!$A$7:$AZ$1000,0,IFERROR(MATCH(AD$5,'Oxford Economics'!$A$6:$AZ$6,0),MATCH(AD$5&amp;"",'Oxford Economics'!$A$6:$AZ$6,0))),'Oxford Economics'!$A$7:$A$1000,$C75,'Oxford Economics'!$B$7:$B$1000,Settings!$B$14)+SUMIFS(INDEX('Oxford Economics'!$A$7:$AZ$1000,0,IFERROR(MATCH(AD$5,'Oxford Economics'!$A$6:$AZ$6,0),MATCH(AD$5&amp;"",'Oxford Economics'!$A$6:$AZ$6,0))),'Oxford Economics'!$A$7:$A$1000,$C75,'Oxford Economics'!$B$7:$B$1000,Settings!$B$16)+IF(Settings!$B$18="",0,SUMIFS(INDEX('Oxford Economics'!$A$7:$AZ$1000,0,IFERROR(MATCH(AD$5,'Oxford Economics'!$A$6:$AZ$6,0),MATCH(AD$5&amp;"",'Oxford Economics'!$A$6:$AZ$6,0))),'Oxford Economics'!$A$7:$A$1000,$C75,'Oxford Economics'!$B$7:$B$1000,Settings!$B$18)))),""))</f>
        <v>45279.89</v>
      </c>
      <c r="AE75" s="38" t="n">
        <f aca="false">IF($A75="","",IFERROR(1/(1/IF($B75="Residential",SUMIFS(INDEX('Oxford Economics'!$A$7:$AZ$1000,0,IFERROR(MATCH(AE$5,'Oxford Economics'!$A$6:$AZ$6,0),MATCH(AE$5&amp;"",'Oxford Economics'!$A$6:$AZ$6,0))),'Oxford Economics'!$A$7:$A$1000,$C75,'Oxford Economics'!$B$7:$B$1000,Settings!$B$12)-SUMIFS(INDEX('Oxford Economics'!$A$7:$AZ$1000,0,IFERROR(MATCH(AE$5,'Oxford Economics'!$A$6:$AZ$6,0),MATCH(AE$5&amp;"",'Oxford Economics'!$A$6:$AZ$6,0))),'Oxford Economics'!$A$7:$A$1000,$C75,'Oxford Economics'!$B$7:$B$1000,Settings!$B$14),SUMIFS(INDEX('Oxford Economics'!$A$7:$AZ$1000,0,IFERROR(MATCH(AE$5,'Oxford Economics'!$A$6:$AZ$6,0),MATCH(AE$5&amp;"",'Oxford Economics'!$A$6:$AZ$6,0))),'Oxford Economics'!$A$7:$A$1000,$C75,'Oxford Economics'!$B$7:$B$1000,Settings!$B$14)+SUMIFS(INDEX('Oxford Economics'!$A$7:$AZ$1000,0,IFERROR(MATCH(AE$5,'Oxford Economics'!$A$6:$AZ$6,0),MATCH(AE$5&amp;"",'Oxford Economics'!$A$6:$AZ$6,0))),'Oxford Economics'!$A$7:$A$1000,$C75,'Oxford Economics'!$B$7:$B$1000,Settings!$B$16)+IF(Settings!$B$18="",0,SUMIFS(INDEX('Oxford Economics'!$A$7:$AZ$1000,0,IFERROR(MATCH(AE$5,'Oxford Economics'!$A$6:$AZ$6,0),MATCH(AE$5&amp;"",'Oxford Economics'!$A$6:$AZ$6,0))),'Oxford Economics'!$A$7:$A$1000,$C75,'Oxford Economics'!$B$7:$B$1000,Settings!$B$18)))),""))</f>
        <v>45838.71</v>
      </c>
      <c r="AF75" s="38" t="n">
        <f aca="false">IF($A75="","",IFERROR(1/(1/IF($B75="Residential",SUMIFS(INDEX('Oxford Economics'!$A$7:$AZ$1000,0,IFERROR(MATCH(AF$5,'Oxford Economics'!$A$6:$AZ$6,0),MATCH(AF$5&amp;"",'Oxford Economics'!$A$6:$AZ$6,0))),'Oxford Economics'!$A$7:$A$1000,$C75,'Oxford Economics'!$B$7:$B$1000,Settings!$B$12)-SUMIFS(INDEX('Oxford Economics'!$A$7:$AZ$1000,0,IFERROR(MATCH(AF$5,'Oxford Economics'!$A$6:$AZ$6,0),MATCH(AF$5&amp;"",'Oxford Economics'!$A$6:$AZ$6,0))),'Oxford Economics'!$A$7:$A$1000,$C75,'Oxford Economics'!$B$7:$B$1000,Settings!$B$14),SUMIFS(INDEX('Oxford Economics'!$A$7:$AZ$1000,0,IFERROR(MATCH(AF$5,'Oxford Economics'!$A$6:$AZ$6,0),MATCH(AF$5&amp;"",'Oxford Economics'!$A$6:$AZ$6,0))),'Oxford Economics'!$A$7:$A$1000,$C75,'Oxford Economics'!$B$7:$B$1000,Settings!$B$14)+SUMIFS(INDEX('Oxford Economics'!$A$7:$AZ$1000,0,IFERROR(MATCH(AF$5,'Oxford Economics'!$A$6:$AZ$6,0),MATCH(AF$5&amp;"",'Oxford Economics'!$A$6:$AZ$6,0))),'Oxford Economics'!$A$7:$A$1000,$C75,'Oxford Economics'!$B$7:$B$1000,Settings!$B$16)+IF(Settings!$B$18="",0,SUMIFS(INDEX('Oxford Economics'!$A$7:$AZ$1000,0,IFERROR(MATCH(AF$5,'Oxford Economics'!$A$6:$AZ$6,0),MATCH(AF$5&amp;"",'Oxford Economics'!$A$6:$AZ$6,0))),'Oxford Economics'!$A$7:$A$1000,$C75,'Oxford Economics'!$B$7:$B$1000,Settings!$B$18)))),""))</f>
        <v>43491.1</v>
      </c>
      <c r="AG75" s="38" t="n">
        <f aca="false">IF($A75="","",IFERROR(1/(1/IF($B75="Residential",SUMIFS(INDEX('Oxford Economics'!$A$7:$AZ$1000,0,IFERROR(MATCH(AG$5,'Oxford Economics'!$A$6:$AZ$6,0),MATCH(AG$5&amp;"",'Oxford Economics'!$A$6:$AZ$6,0))),'Oxford Economics'!$A$7:$A$1000,$C75,'Oxford Economics'!$B$7:$B$1000,Settings!$B$12)-SUMIFS(INDEX('Oxford Economics'!$A$7:$AZ$1000,0,IFERROR(MATCH(AG$5,'Oxford Economics'!$A$6:$AZ$6,0),MATCH(AG$5&amp;"",'Oxford Economics'!$A$6:$AZ$6,0))),'Oxford Economics'!$A$7:$A$1000,$C75,'Oxford Economics'!$B$7:$B$1000,Settings!$B$14),SUMIFS(INDEX('Oxford Economics'!$A$7:$AZ$1000,0,IFERROR(MATCH(AG$5,'Oxford Economics'!$A$6:$AZ$6,0),MATCH(AG$5&amp;"",'Oxford Economics'!$A$6:$AZ$6,0))),'Oxford Economics'!$A$7:$A$1000,$C75,'Oxford Economics'!$B$7:$B$1000,Settings!$B$14)+SUMIFS(INDEX('Oxford Economics'!$A$7:$AZ$1000,0,IFERROR(MATCH(AG$5,'Oxford Economics'!$A$6:$AZ$6,0),MATCH(AG$5&amp;"",'Oxford Economics'!$A$6:$AZ$6,0))),'Oxford Economics'!$A$7:$A$1000,$C75,'Oxford Economics'!$B$7:$B$1000,Settings!$B$16)+IF(Settings!$B$18="",0,SUMIFS(INDEX('Oxford Economics'!$A$7:$AZ$1000,0,IFERROR(MATCH(AG$5,'Oxford Economics'!$A$6:$AZ$6,0),MATCH(AG$5&amp;"",'Oxford Economics'!$A$6:$AZ$6,0))),'Oxford Economics'!$A$7:$A$1000,$C75,'Oxford Economics'!$B$7:$B$1000,Settings!$B$18)))),""))</f>
        <v>40671.83</v>
      </c>
      <c r="AH75" s="38" t="n">
        <f aca="false">IF($A75="","",IFERROR(1/(1/IF($B75="Residential",SUMIFS(INDEX('Oxford Economics'!$A$7:$AZ$1000,0,IFERROR(MATCH(AH$5,'Oxford Economics'!$A$6:$AZ$6,0),MATCH(AH$5&amp;"",'Oxford Economics'!$A$6:$AZ$6,0))),'Oxford Economics'!$A$7:$A$1000,$C75,'Oxford Economics'!$B$7:$B$1000,Settings!$B$12)-SUMIFS(INDEX('Oxford Economics'!$A$7:$AZ$1000,0,IFERROR(MATCH(AH$5,'Oxford Economics'!$A$6:$AZ$6,0),MATCH(AH$5&amp;"",'Oxford Economics'!$A$6:$AZ$6,0))),'Oxford Economics'!$A$7:$A$1000,$C75,'Oxford Economics'!$B$7:$B$1000,Settings!$B$14),SUMIFS(INDEX('Oxford Economics'!$A$7:$AZ$1000,0,IFERROR(MATCH(AH$5,'Oxford Economics'!$A$6:$AZ$6,0),MATCH(AH$5&amp;"",'Oxford Economics'!$A$6:$AZ$6,0))),'Oxford Economics'!$A$7:$A$1000,$C75,'Oxford Economics'!$B$7:$B$1000,Settings!$B$14)+SUMIFS(INDEX('Oxford Economics'!$A$7:$AZ$1000,0,IFERROR(MATCH(AH$5,'Oxford Economics'!$A$6:$AZ$6,0),MATCH(AH$5&amp;"",'Oxford Economics'!$A$6:$AZ$6,0))),'Oxford Economics'!$A$7:$A$1000,$C75,'Oxford Economics'!$B$7:$B$1000,Settings!$B$16)+IF(Settings!$B$18="",0,SUMIFS(INDEX('Oxford Economics'!$A$7:$AZ$1000,0,IFERROR(MATCH(AH$5,'Oxford Economics'!$A$6:$AZ$6,0),MATCH(AH$5&amp;"",'Oxford Economics'!$A$6:$AZ$6,0))),'Oxford Economics'!$A$7:$A$1000,$C75,'Oxford Economics'!$B$7:$B$1000,Settings!$B$18)))),""))</f>
        <v>40327.42</v>
      </c>
      <c r="AI75" s="38" t="n">
        <f aca="false">IF($A75="","",IFERROR(1/(1/IF($B75="Residential",SUMIFS(INDEX('Oxford Economics'!$A$7:$AZ$1000,0,IFERROR(MATCH(AI$5,'Oxford Economics'!$A$6:$AZ$6,0),MATCH(AI$5&amp;"",'Oxford Economics'!$A$6:$AZ$6,0))),'Oxford Economics'!$A$7:$A$1000,$C75,'Oxford Economics'!$B$7:$B$1000,Settings!$B$12)-SUMIFS(INDEX('Oxford Economics'!$A$7:$AZ$1000,0,IFERROR(MATCH(AI$5,'Oxford Economics'!$A$6:$AZ$6,0),MATCH(AI$5&amp;"",'Oxford Economics'!$A$6:$AZ$6,0))),'Oxford Economics'!$A$7:$A$1000,$C75,'Oxford Economics'!$B$7:$B$1000,Settings!$B$14),SUMIFS(INDEX('Oxford Economics'!$A$7:$AZ$1000,0,IFERROR(MATCH(AI$5,'Oxford Economics'!$A$6:$AZ$6,0),MATCH(AI$5&amp;"",'Oxford Economics'!$A$6:$AZ$6,0))),'Oxford Economics'!$A$7:$A$1000,$C75,'Oxford Economics'!$B$7:$B$1000,Settings!$B$14)+SUMIFS(INDEX('Oxford Economics'!$A$7:$AZ$1000,0,IFERROR(MATCH(AI$5,'Oxford Economics'!$A$6:$AZ$6,0),MATCH(AI$5&amp;"",'Oxford Economics'!$A$6:$AZ$6,0))),'Oxford Economics'!$A$7:$A$1000,$C75,'Oxford Economics'!$B$7:$B$1000,Settings!$B$16)+IF(Settings!$B$18="",0,SUMIFS(INDEX('Oxford Economics'!$A$7:$AZ$1000,0,IFERROR(MATCH(AI$5,'Oxford Economics'!$A$6:$AZ$6,0),MATCH(AI$5&amp;"",'Oxford Economics'!$A$6:$AZ$6,0))),'Oxford Economics'!$A$7:$A$1000,$C75,'Oxford Economics'!$B$7:$B$1000,Settings!$B$18)))),""))</f>
        <v>41159.96</v>
      </c>
      <c r="AJ75" s="38" t="n">
        <f aca="false">IF($A75="","",IFERROR(1/(1/IF($B75="Residential",SUMIFS(INDEX('Oxford Economics'!$A$7:$AZ$1000,0,IFERROR(MATCH(AJ$5,'Oxford Economics'!$A$6:$AZ$6,0),MATCH(AJ$5&amp;"",'Oxford Economics'!$A$6:$AZ$6,0))),'Oxford Economics'!$A$7:$A$1000,$C75,'Oxford Economics'!$B$7:$B$1000,Settings!$B$12)-SUMIFS(INDEX('Oxford Economics'!$A$7:$AZ$1000,0,IFERROR(MATCH(AJ$5,'Oxford Economics'!$A$6:$AZ$6,0),MATCH(AJ$5&amp;"",'Oxford Economics'!$A$6:$AZ$6,0))),'Oxford Economics'!$A$7:$A$1000,$C75,'Oxford Economics'!$B$7:$B$1000,Settings!$B$14),SUMIFS(INDEX('Oxford Economics'!$A$7:$AZ$1000,0,IFERROR(MATCH(AJ$5,'Oxford Economics'!$A$6:$AZ$6,0),MATCH(AJ$5&amp;"",'Oxford Economics'!$A$6:$AZ$6,0))),'Oxford Economics'!$A$7:$A$1000,$C75,'Oxford Economics'!$B$7:$B$1000,Settings!$B$14)+SUMIFS(INDEX('Oxford Economics'!$A$7:$AZ$1000,0,IFERROR(MATCH(AJ$5,'Oxford Economics'!$A$6:$AZ$6,0),MATCH(AJ$5&amp;"",'Oxford Economics'!$A$6:$AZ$6,0))),'Oxford Economics'!$A$7:$A$1000,$C75,'Oxford Economics'!$B$7:$B$1000,Settings!$B$16)+IF(Settings!$B$18="",0,SUMIFS(INDEX('Oxford Economics'!$A$7:$AZ$1000,0,IFERROR(MATCH(AJ$5,'Oxford Economics'!$A$6:$AZ$6,0),MATCH(AJ$5&amp;"",'Oxford Economics'!$A$6:$AZ$6,0))),'Oxford Economics'!$A$7:$A$1000,$C75,'Oxford Economics'!$B$7:$B$1000,Settings!$B$18)))),""))</f>
        <v>42495.46</v>
      </c>
      <c r="AK75" s="38" t="n">
        <f aca="false">IF($A75="","",IFERROR(1/(1/IF($B75="Residential",SUMIFS(INDEX('Oxford Economics'!$A$7:$AZ$1000,0,IFERROR(MATCH(AK$5,'Oxford Economics'!$A$6:$AZ$6,0),MATCH(AK$5&amp;"",'Oxford Economics'!$A$6:$AZ$6,0))),'Oxford Economics'!$A$7:$A$1000,$C75,'Oxford Economics'!$B$7:$B$1000,Settings!$B$12)-SUMIFS(INDEX('Oxford Economics'!$A$7:$AZ$1000,0,IFERROR(MATCH(AK$5,'Oxford Economics'!$A$6:$AZ$6,0),MATCH(AK$5&amp;"",'Oxford Economics'!$A$6:$AZ$6,0))),'Oxford Economics'!$A$7:$A$1000,$C75,'Oxford Economics'!$B$7:$B$1000,Settings!$B$14),SUMIFS(INDEX('Oxford Economics'!$A$7:$AZ$1000,0,IFERROR(MATCH(AK$5,'Oxford Economics'!$A$6:$AZ$6,0),MATCH(AK$5&amp;"",'Oxford Economics'!$A$6:$AZ$6,0))),'Oxford Economics'!$A$7:$A$1000,$C75,'Oxford Economics'!$B$7:$B$1000,Settings!$B$14)+SUMIFS(INDEX('Oxford Economics'!$A$7:$AZ$1000,0,IFERROR(MATCH(AK$5,'Oxford Economics'!$A$6:$AZ$6,0),MATCH(AK$5&amp;"",'Oxford Economics'!$A$6:$AZ$6,0))),'Oxford Economics'!$A$7:$A$1000,$C75,'Oxford Economics'!$B$7:$B$1000,Settings!$B$16)+IF(Settings!$B$18="",0,SUMIFS(INDEX('Oxford Economics'!$A$7:$AZ$1000,0,IFERROR(MATCH(AK$5,'Oxford Economics'!$A$6:$AZ$6,0),MATCH(AK$5&amp;"",'Oxford Economics'!$A$6:$AZ$6,0))),'Oxford Economics'!$A$7:$A$1000,$C75,'Oxford Economics'!$B$7:$B$1000,Settings!$B$18)))),""))</f>
        <v>44083.22</v>
      </c>
      <c r="AL75" s="38" t="n">
        <f aca="false">IF($A75="","",IFERROR(1/(1/IF($B75="Residential",SUMIFS(INDEX('Oxford Economics'!$A$7:$AZ$1000,0,IFERROR(MATCH(AL$5,'Oxford Economics'!$A$6:$AZ$6,0),MATCH(AL$5&amp;"",'Oxford Economics'!$A$6:$AZ$6,0))),'Oxford Economics'!$A$7:$A$1000,$C75,'Oxford Economics'!$B$7:$B$1000,Settings!$B$12)-SUMIFS(INDEX('Oxford Economics'!$A$7:$AZ$1000,0,IFERROR(MATCH(AL$5,'Oxford Economics'!$A$6:$AZ$6,0),MATCH(AL$5&amp;"",'Oxford Economics'!$A$6:$AZ$6,0))),'Oxford Economics'!$A$7:$A$1000,$C75,'Oxford Economics'!$B$7:$B$1000,Settings!$B$14),SUMIFS(INDEX('Oxford Economics'!$A$7:$AZ$1000,0,IFERROR(MATCH(AL$5,'Oxford Economics'!$A$6:$AZ$6,0),MATCH(AL$5&amp;"",'Oxford Economics'!$A$6:$AZ$6,0))),'Oxford Economics'!$A$7:$A$1000,$C75,'Oxford Economics'!$B$7:$B$1000,Settings!$B$14)+SUMIFS(INDEX('Oxford Economics'!$A$7:$AZ$1000,0,IFERROR(MATCH(AL$5,'Oxford Economics'!$A$6:$AZ$6,0),MATCH(AL$5&amp;"",'Oxford Economics'!$A$6:$AZ$6,0))),'Oxford Economics'!$A$7:$A$1000,$C75,'Oxford Economics'!$B$7:$B$1000,Settings!$B$16)+IF(Settings!$B$18="",0,SUMIFS(INDEX('Oxford Economics'!$A$7:$AZ$1000,0,IFERROR(MATCH(AL$5,'Oxford Economics'!$A$6:$AZ$6,0),MATCH(AL$5&amp;"",'Oxford Economics'!$A$6:$AZ$6,0))),'Oxford Economics'!$A$7:$A$1000,$C75,'Oxford Economics'!$B$7:$B$1000,Settings!$B$18)))),""))</f>
        <v>45481.02</v>
      </c>
      <c r="AM75" s="38" t="n">
        <f aca="false">IF($A75="","",IFERROR(1/(1/IF($B75="Residential",SUMIFS(INDEX('Oxford Economics'!$A$7:$AZ$1000,0,IFERROR(MATCH(AM$5,'Oxford Economics'!$A$6:$AZ$6,0),MATCH(AM$5&amp;"",'Oxford Economics'!$A$6:$AZ$6,0))),'Oxford Economics'!$A$7:$A$1000,$C75,'Oxford Economics'!$B$7:$B$1000,Settings!$B$12)-SUMIFS(INDEX('Oxford Economics'!$A$7:$AZ$1000,0,IFERROR(MATCH(AM$5,'Oxford Economics'!$A$6:$AZ$6,0),MATCH(AM$5&amp;"",'Oxford Economics'!$A$6:$AZ$6,0))),'Oxford Economics'!$A$7:$A$1000,$C75,'Oxford Economics'!$B$7:$B$1000,Settings!$B$14),SUMIFS(INDEX('Oxford Economics'!$A$7:$AZ$1000,0,IFERROR(MATCH(AM$5,'Oxford Economics'!$A$6:$AZ$6,0),MATCH(AM$5&amp;"",'Oxford Economics'!$A$6:$AZ$6,0))),'Oxford Economics'!$A$7:$A$1000,$C75,'Oxford Economics'!$B$7:$B$1000,Settings!$B$14)+SUMIFS(INDEX('Oxford Economics'!$A$7:$AZ$1000,0,IFERROR(MATCH(AM$5,'Oxford Economics'!$A$6:$AZ$6,0),MATCH(AM$5&amp;"",'Oxford Economics'!$A$6:$AZ$6,0))),'Oxford Economics'!$A$7:$A$1000,$C75,'Oxford Economics'!$B$7:$B$1000,Settings!$B$16)+IF(Settings!$B$18="",0,SUMIFS(INDEX('Oxford Economics'!$A$7:$AZ$1000,0,IFERROR(MATCH(AM$5,'Oxford Economics'!$A$6:$AZ$6,0),MATCH(AM$5&amp;"",'Oxford Economics'!$A$6:$AZ$6,0))),'Oxford Economics'!$A$7:$A$1000,$C75,'Oxford Economics'!$B$7:$B$1000,Settings!$B$18)))),""))</f>
        <v>46868.77</v>
      </c>
    </row>
    <row r="76" customFormat="false" ht="15" hidden="false" customHeight="false" outlineLevel="0" collapsed="false">
      <c r="A76" s="37" t="str">
        <f aca="false">IF('Raw data'!$A76="","",'Raw data'!$A76)</f>
        <v>United Kingdom</v>
      </c>
      <c r="B76" s="37" t="str">
        <f aca="false">IF($A76="","",'Raw data'!$C76)</f>
        <v>Commercial</v>
      </c>
      <c r="C76" s="37" t="str">
        <f aca="false">IF($A76="","",IF('Raw data'!$E76="",$A76,'Raw data'!$E76))</f>
        <v>United Kingdom</v>
      </c>
      <c r="D76" s="38" t="n">
        <f aca="false">IF($A76="","",IF(AND(ISNUMBER(P76),ISNUMBER(AB76)),P76+AB76,""))</f>
        <v>67046.45</v>
      </c>
      <c r="E76" s="38" t="n">
        <f aca="false">IF($A76="","",IF(AND(ISNUMBER(Q76),ISNUMBER(AC76)),Q76+AC76,""))</f>
        <v>69888.18</v>
      </c>
      <c r="F76" s="38" t="n">
        <f aca="false">IF($A76="","",IF(AND(ISNUMBER(R76),ISNUMBER(AD76)),R76+AD76,""))</f>
        <v>70425.55</v>
      </c>
      <c r="G76" s="38" t="n">
        <f aca="false">IF($A76="","",IF(AND(ISNUMBER(S76),ISNUMBER(AE76)),S76+AE76,""))</f>
        <v>73486.01</v>
      </c>
      <c r="H76" s="38" t="n">
        <f aca="false">IF($A76="","",IF(AND(ISNUMBER(T76),ISNUMBER(AF76)),T76+AF76,""))</f>
        <v>72397.68</v>
      </c>
      <c r="I76" s="38" t="n">
        <f aca="false">IF($A76="","",IF(AND(ISNUMBER(U76),ISNUMBER(AG76)),U76+AG76,""))</f>
        <v>68667.69</v>
      </c>
      <c r="J76" s="38" t="n">
        <f aca="false">IF($A76="","",IF(AND(ISNUMBER(V76),ISNUMBER(AH76)),V76+AH76,""))</f>
        <v>68300.03</v>
      </c>
      <c r="K76" s="38" t="n">
        <f aca="false">IF($A76="","",IF(AND(ISNUMBER(W76),ISNUMBER(AI76)),W76+AI76,""))</f>
        <v>70373.25</v>
      </c>
      <c r="L76" s="38" t="n">
        <f aca="false">IF($A76="","",IF(AND(ISNUMBER(X76),ISNUMBER(AJ76)),X76+AJ76,""))</f>
        <v>73711.75</v>
      </c>
      <c r="M76" s="38" t="n">
        <f aca="false">IF($A76="","",IF(AND(ISNUMBER(Y76),ISNUMBER(AK76)),Y76+AK76,""))</f>
        <v>77542.9</v>
      </c>
      <c r="N76" s="38" t="n">
        <f aca="false">IF($A76="","",IF(AND(ISNUMBER(Z76),ISNUMBER(AL76)),Z76+AL76,""))</f>
        <v>80800.92</v>
      </c>
      <c r="O76" s="38" t="n">
        <f aca="false">IF($A76="","",IF(AND(ISNUMBER(AA76),ISNUMBER(AM76)),AA76+AM76,""))</f>
        <v>83236.1</v>
      </c>
      <c r="P76" s="38" t="n">
        <f aca="false">IF($A76="","",IFERROR(1/(1/IF($B76="Residential",SUMIFS(INDEX('Oxford Economics'!$A$7:$AZ$1000,0,IFERROR(MATCH(P$5,'Oxford Economics'!$A$6:$AZ$6,0),MATCH(P$5&amp;"",'Oxford Economics'!$A$6:$AZ$6,0))),'Oxford Economics'!$A$7:$A$1000,$C76,'Oxford Economics'!$B$7:$B$1000,Settings!$B$13)-SUMIFS(INDEX('Oxford Economics'!$A$7:$AZ$1000,0,IFERROR(MATCH(P$5,'Oxford Economics'!$A$6:$AZ$6,0),MATCH(P$5&amp;"",'Oxford Economics'!$A$6:$AZ$6,0))),'Oxford Economics'!$A$7:$A$1000,$C76,'Oxford Economics'!$B$7:$B$1000,Settings!$B$15),SUMIFS(INDEX('Oxford Economics'!$A$7:$AZ$1000,0,IFERROR(MATCH(P$5,'Oxford Economics'!$A$6:$AZ$6,0),MATCH(P$5&amp;"",'Oxford Economics'!$A$6:$AZ$6,0))),'Oxford Economics'!$A$7:$A$1000,$C76,'Oxford Economics'!$B$7:$B$1000,Settings!$B$15)+SUMIFS(INDEX('Oxford Economics'!$A$7:$AZ$1000,0,IFERROR(MATCH(P$5,'Oxford Economics'!$A$6:$AZ$6,0),MATCH(P$5&amp;"",'Oxford Economics'!$A$6:$AZ$6,0))),'Oxford Economics'!$A$7:$A$1000,$C76,'Oxford Economics'!$B$7:$B$1000,Settings!$B$17)+IF(Settings!$B$19="",0,SUMIFS(INDEX('Oxford Economics'!$A$7:$AZ$1000,0,IFERROR(MATCH(P$5,'Oxford Economics'!$A$6:$AZ$6,0),MATCH(P$5&amp;"",'Oxford Economics'!$A$6:$AZ$6,0))),'Oxford Economics'!$A$7:$A$1000,$C76,'Oxford Economics'!$B$7:$B$1000,Settings!$B$19)))),""))</f>
        <v>21598.12</v>
      </c>
      <c r="Q76" s="38" t="n">
        <f aca="false">IF($A76="","",IFERROR(1/(1/IF($B76="Residential",SUMIFS(INDEX('Oxford Economics'!$A$7:$AZ$1000,0,IFERROR(MATCH(Q$5,'Oxford Economics'!$A$6:$AZ$6,0),MATCH(Q$5&amp;"",'Oxford Economics'!$A$6:$AZ$6,0))),'Oxford Economics'!$A$7:$A$1000,$C76,'Oxford Economics'!$B$7:$B$1000,Settings!$B$13)-SUMIFS(INDEX('Oxford Economics'!$A$7:$AZ$1000,0,IFERROR(MATCH(Q$5,'Oxford Economics'!$A$6:$AZ$6,0),MATCH(Q$5&amp;"",'Oxford Economics'!$A$6:$AZ$6,0))),'Oxford Economics'!$A$7:$A$1000,$C76,'Oxford Economics'!$B$7:$B$1000,Settings!$B$15),SUMIFS(INDEX('Oxford Economics'!$A$7:$AZ$1000,0,IFERROR(MATCH(Q$5,'Oxford Economics'!$A$6:$AZ$6,0),MATCH(Q$5&amp;"",'Oxford Economics'!$A$6:$AZ$6,0))),'Oxford Economics'!$A$7:$A$1000,$C76,'Oxford Economics'!$B$7:$B$1000,Settings!$B$15)+SUMIFS(INDEX('Oxford Economics'!$A$7:$AZ$1000,0,IFERROR(MATCH(Q$5,'Oxford Economics'!$A$6:$AZ$6,0),MATCH(Q$5&amp;"",'Oxford Economics'!$A$6:$AZ$6,0))),'Oxford Economics'!$A$7:$A$1000,$C76,'Oxford Economics'!$B$7:$B$1000,Settings!$B$17)+IF(Settings!$B$19="",0,SUMIFS(INDEX('Oxford Economics'!$A$7:$AZ$1000,0,IFERROR(MATCH(Q$5,'Oxford Economics'!$A$6:$AZ$6,0),MATCH(Q$5&amp;"",'Oxford Economics'!$A$6:$AZ$6,0))),'Oxford Economics'!$A$7:$A$1000,$C76,'Oxford Economics'!$B$7:$B$1000,Settings!$B$19)))),""))</f>
        <v>24644.37</v>
      </c>
      <c r="R76" s="38" t="n">
        <f aca="false">IF($A76="","",IFERROR(1/(1/IF($B76="Residential",SUMIFS(INDEX('Oxford Economics'!$A$7:$AZ$1000,0,IFERROR(MATCH(R$5,'Oxford Economics'!$A$6:$AZ$6,0),MATCH(R$5&amp;"",'Oxford Economics'!$A$6:$AZ$6,0))),'Oxford Economics'!$A$7:$A$1000,$C76,'Oxford Economics'!$B$7:$B$1000,Settings!$B$13)-SUMIFS(INDEX('Oxford Economics'!$A$7:$AZ$1000,0,IFERROR(MATCH(R$5,'Oxford Economics'!$A$6:$AZ$6,0),MATCH(R$5&amp;"",'Oxford Economics'!$A$6:$AZ$6,0))),'Oxford Economics'!$A$7:$A$1000,$C76,'Oxford Economics'!$B$7:$B$1000,Settings!$B$15),SUMIFS(INDEX('Oxford Economics'!$A$7:$AZ$1000,0,IFERROR(MATCH(R$5,'Oxford Economics'!$A$6:$AZ$6,0),MATCH(R$5&amp;"",'Oxford Economics'!$A$6:$AZ$6,0))),'Oxford Economics'!$A$7:$A$1000,$C76,'Oxford Economics'!$B$7:$B$1000,Settings!$B$15)+SUMIFS(INDEX('Oxford Economics'!$A$7:$AZ$1000,0,IFERROR(MATCH(R$5,'Oxford Economics'!$A$6:$AZ$6,0),MATCH(R$5&amp;"",'Oxford Economics'!$A$6:$AZ$6,0))),'Oxford Economics'!$A$7:$A$1000,$C76,'Oxford Economics'!$B$7:$B$1000,Settings!$B$17)+IF(Settings!$B$19="",0,SUMIFS(INDEX('Oxford Economics'!$A$7:$AZ$1000,0,IFERROR(MATCH(R$5,'Oxford Economics'!$A$6:$AZ$6,0),MATCH(R$5&amp;"",'Oxford Economics'!$A$6:$AZ$6,0))),'Oxford Economics'!$A$7:$A$1000,$C76,'Oxford Economics'!$B$7:$B$1000,Settings!$B$19)))),""))</f>
        <v>25145.66</v>
      </c>
      <c r="S76" s="38" t="n">
        <f aca="false">IF($A76="","",IFERROR(1/(1/IF($B76="Residential",SUMIFS(INDEX('Oxford Economics'!$A$7:$AZ$1000,0,IFERROR(MATCH(S$5,'Oxford Economics'!$A$6:$AZ$6,0),MATCH(S$5&amp;"",'Oxford Economics'!$A$6:$AZ$6,0))),'Oxford Economics'!$A$7:$A$1000,$C76,'Oxford Economics'!$B$7:$B$1000,Settings!$B$13)-SUMIFS(INDEX('Oxford Economics'!$A$7:$AZ$1000,0,IFERROR(MATCH(S$5,'Oxford Economics'!$A$6:$AZ$6,0),MATCH(S$5&amp;"",'Oxford Economics'!$A$6:$AZ$6,0))),'Oxford Economics'!$A$7:$A$1000,$C76,'Oxford Economics'!$B$7:$B$1000,Settings!$B$15),SUMIFS(INDEX('Oxford Economics'!$A$7:$AZ$1000,0,IFERROR(MATCH(S$5,'Oxford Economics'!$A$6:$AZ$6,0),MATCH(S$5&amp;"",'Oxford Economics'!$A$6:$AZ$6,0))),'Oxford Economics'!$A$7:$A$1000,$C76,'Oxford Economics'!$B$7:$B$1000,Settings!$B$15)+SUMIFS(INDEX('Oxford Economics'!$A$7:$AZ$1000,0,IFERROR(MATCH(S$5,'Oxford Economics'!$A$6:$AZ$6,0),MATCH(S$5&amp;"",'Oxford Economics'!$A$6:$AZ$6,0))),'Oxford Economics'!$A$7:$A$1000,$C76,'Oxford Economics'!$B$7:$B$1000,Settings!$B$17)+IF(Settings!$B$19="",0,SUMIFS(INDEX('Oxford Economics'!$A$7:$AZ$1000,0,IFERROR(MATCH(S$5,'Oxford Economics'!$A$6:$AZ$6,0),MATCH(S$5&amp;"",'Oxford Economics'!$A$6:$AZ$6,0))),'Oxford Economics'!$A$7:$A$1000,$C76,'Oxford Economics'!$B$7:$B$1000,Settings!$B$19)))),""))</f>
        <v>27647.3</v>
      </c>
      <c r="T76" s="38" t="n">
        <f aca="false">IF($A76="","",IFERROR(1/(1/IF($B76="Residential",SUMIFS(INDEX('Oxford Economics'!$A$7:$AZ$1000,0,IFERROR(MATCH(T$5,'Oxford Economics'!$A$6:$AZ$6,0),MATCH(T$5&amp;"",'Oxford Economics'!$A$6:$AZ$6,0))),'Oxford Economics'!$A$7:$A$1000,$C76,'Oxford Economics'!$B$7:$B$1000,Settings!$B$13)-SUMIFS(INDEX('Oxford Economics'!$A$7:$AZ$1000,0,IFERROR(MATCH(T$5,'Oxford Economics'!$A$6:$AZ$6,0),MATCH(T$5&amp;"",'Oxford Economics'!$A$6:$AZ$6,0))),'Oxford Economics'!$A$7:$A$1000,$C76,'Oxford Economics'!$B$7:$B$1000,Settings!$B$15),SUMIFS(INDEX('Oxford Economics'!$A$7:$AZ$1000,0,IFERROR(MATCH(T$5,'Oxford Economics'!$A$6:$AZ$6,0),MATCH(T$5&amp;"",'Oxford Economics'!$A$6:$AZ$6,0))),'Oxford Economics'!$A$7:$A$1000,$C76,'Oxford Economics'!$B$7:$B$1000,Settings!$B$15)+SUMIFS(INDEX('Oxford Economics'!$A$7:$AZ$1000,0,IFERROR(MATCH(T$5,'Oxford Economics'!$A$6:$AZ$6,0),MATCH(T$5&amp;"",'Oxford Economics'!$A$6:$AZ$6,0))),'Oxford Economics'!$A$7:$A$1000,$C76,'Oxford Economics'!$B$7:$B$1000,Settings!$B$17)+IF(Settings!$B$19="",0,SUMIFS(INDEX('Oxford Economics'!$A$7:$AZ$1000,0,IFERROR(MATCH(T$5,'Oxford Economics'!$A$6:$AZ$6,0),MATCH(T$5&amp;"",'Oxford Economics'!$A$6:$AZ$6,0))),'Oxford Economics'!$A$7:$A$1000,$C76,'Oxford Economics'!$B$7:$B$1000,Settings!$B$19)))),""))</f>
        <v>28906.58</v>
      </c>
      <c r="U76" s="38" t="n">
        <f aca="false">IF($A76="","",IFERROR(1/(1/IF($B76="Residential",SUMIFS(INDEX('Oxford Economics'!$A$7:$AZ$1000,0,IFERROR(MATCH(U$5,'Oxford Economics'!$A$6:$AZ$6,0),MATCH(U$5&amp;"",'Oxford Economics'!$A$6:$AZ$6,0))),'Oxford Economics'!$A$7:$A$1000,$C76,'Oxford Economics'!$B$7:$B$1000,Settings!$B$13)-SUMIFS(INDEX('Oxford Economics'!$A$7:$AZ$1000,0,IFERROR(MATCH(U$5,'Oxford Economics'!$A$6:$AZ$6,0),MATCH(U$5&amp;"",'Oxford Economics'!$A$6:$AZ$6,0))),'Oxford Economics'!$A$7:$A$1000,$C76,'Oxford Economics'!$B$7:$B$1000,Settings!$B$15),SUMIFS(INDEX('Oxford Economics'!$A$7:$AZ$1000,0,IFERROR(MATCH(U$5,'Oxford Economics'!$A$6:$AZ$6,0),MATCH(U$5&amp;"",'Oxford Economics'!$A$6:$AZ$6,0))),'Oxford Economics'!$A$7:$A$1000,$C76,'Oxford Economics'!$B$7:$B$1000,Settings!$B$15)+SUMIFS(INDEX('Oxford Economics'!$A$7:$AZ$1000,0,IFERROR(MATCH(U$5,'Oxford Economics'!$A$6:$AZ$6,0),MATCH(U$5&amp;"",'Oxford Economics'!$A$6:$AZ$6,0))),'Oxford Economics'!$A$7:$A$1000,$C76,'Oxford Economics'!$B$7:$B$1000,Settings!$B$17)+IF(Settings!$B$19="",0,SUMIFS(INDEX('Oxford Economics'!$A$7:$AZ$1000,0,IFERROR(MATCH(U$5,'Oxford Economics'!$A$6:$AZ$6,0),MATCH(U$5&amp;"",'Oxford Economics'!$A$6:$AZ$6,0))),'Oxford Economics'!$A$7:$A$1000,$C76,'Oxford Economics'!$B$7:$B$1000,Settings!$B$19)))),""))</f>
        <v>27995.86</v>
      </c>
      <c r="V76" s="38" t="n">
        <f aca="false">IF($A76="","",IFERROR(1/(1/IF($B76="Residential",SUMIFS(INDEX('Oxford Economics'!$A$7:$AZ$1000,0,IFERROR(MATCH(V$5,'Oxford Economics'!$A$6:$AZ$6,0),MATCH(V$5&amp;"",'Oxford Economics'!$A$6:$AZ$6,0))),'Oxford Economics'!$A$7:$A$1000,$C76,'Oxford Economics'!$B$7:$B$1000,Settings!$B$13)-SUMIFS(INDEX('Oxford Economics'!$A$7:$AZ$1000,0,IFERROR(MATCH(V$5,'Oxford Economics'!$A$6:$AZ$6,0),MATCH(V$5&amp;"",'Oxford Economics'!$A$6:$AZ$6,0))),'Oxford Economics'!$A$7:$A$1000,$C76,'Oxford Economics'!$B$7:$B$1000,Settings!$B$15),SUMIFS(INDEX('Oxford Economics'!$A$7:$AZ$1000,0,IFERROR(MATCH(V$5,'Oxford Economics'!$A$6:$AZ$6,0),MATCH(V$5&amp;"",'Oxford Economics'!$A$6:$AZ$6,0))),'Oxford Economics'!$A$7:$A$1000,$C76,'Oxford Economics'!$B$7:$B$1000,Settings!$B$15)+SUMIFS(INDEX('Oxford Economics'!$A$7:$AZ$1000,0,IFERROR(MATCH(V$5,'Oxford Economics'!$A$6:$AZ$6,0),MATCH(V$5&amp;"",'Oxford Economics'!$A$6:$AZ$6,0))),'Oxford Economics'!$A$7:$A$1000,$C76,'Oxford Economics'!$B$7:$B$1000,Settings!$B$17)+IF(Settings!$B$19="",0,SUMIFS(INDEX('Oxford Economics'!$A$7:$AZ$1000,0,IFERROR(MATCH(V$5,'Oxford Economics'!$A$6:$AZ$6,0),MATCH(V$5&amp;"",'Oxford Economics'!$A$6:$AZ$6,0))),'Oxford Economics'!$A$7:$A$1000,$C76,'Oxford Economics'!$B$7:$B$1000,Settings!$B$19)))),""))</f>
        <v>27972.61</v>
      </c>
      <c r="W76" s="38" t="n">
        <f aca="false">IF($A76="","",IFERROR(1/(1/IF($B76="Residential",SUMIFS(INDEX('Oxford Economics'!$A$7:$AZ$1000,0,IFERROR(MATCH(W$5,'Oxford Economics'!$A$6:$AZ$6,0),MATCH(W$5&amp;"",'Oxford Economics'!$A$6:$AZ$6,0))),'Oxford Economics'!$A$7:$A$1000,$C76,'Oxford Economics'!$B$7:$B$1000,Settings!$B$13)-SUMIFS(INDEX('Oxford Economics'!$A$7:$AZ$1000,0,IFERROR(MATCH(W$5,'Oxford Economics'!$A$6:$AZ$6,0),MATCH(W$5&amp;"",'Oxford Economics'!$A$6:$AZ$6,0))),'Oxford Economics'!$A$7:$A$1000,$C76,'Oxford Economics'!$B$7:$B$1000,Settings!$B$15),SUMIFS(INDEX('Oxford Economics'!$A$7:$AZ$1000,0,IFERROR(MATCH(W$5,'Oxford Economics'!$A$6:$AZ$6,0),MATCH(W$5&amp;"",'Oxford Economics'!$A$6:$AZ$6,0))),'Oxford Economics'!$A$7:$A$1000,$C76,'Oxford Economics'!$B$7:$B$1000,Settings!$B$15)+SUMIFS(INDEX('Oxford Economics'!$A$7:$AZ$1000,0,IFERROR(MATCH(W$5,'Oxford Economics'!$A$6:$AZ$6,0),MATCH(W$5&amp;"",'Oxford Economics'!$A$6:$AZ$6,0))),'Oxford Economics'!$A$7:$A$1000,$C76,'Oxford Economics'!$B$7:$B$1000,Settings!$B$17)+IF(Settings!$B$19="",0,SUMIFS(INDEX('Oxford Economics'!$A$7:$AZ$1000,0,IFERROR(MATCH(W$5,'Oxford Economics'!$A$6:$AZ$6,0),MATCH(W$5&amp;"",'Oxford Economics'!$A$6:$AZ$6,0))),'Oxford Economics'!$A$7:$A$1000,$C76,'Oxford Economics'!$B$7:$B$1000,Settings!$B$19)))),""))</f>
        <v>29213.29</v>
      </c>
      <c r="X76" s="38" t="n">
        <f aca="false">IF($A76="","",IFERROR(1/(1/IF($B76="Residential",SUMIFS(INDEX('Oxford Economics'!$A$7:$AZ$1000,0,IFERROR(MATCH(X$5,'Oxford Economics'!$A$6:$AZ$6,0),MATCH(X$5&amp;"",'Oxford Economics'!$A$6:$AZ$6,0))),'Oxford Economics'!$A$7:$A$1000,$C76,'Oxford Economics'!$B$7:$B$1000,Settings!$B$13)-SUMIFS(INDEX('Oxford Economics'!$A$7:$AZ$1000,0,IFERROR(MATCH(X$5,'Oxford Economics'!$A$6:$AZ$6,0),MATCH(X$5&amp;"",'Oxford Economics'!$A$6:$AZ$6,0))),'Oxford Economics'!$A$7:$A$1000,$C76,'Oxford Economics'!$B$7:$B$1000,Settings!$B$15),SUMIFS(INDEX('Oxford Economics'!$A$7:$AZ$1000,0,IFERROR(MATCH(X$5,'Oxford Economics'!$A$6:$AZ$6,0),MATCH(X$5&amp;"",'Oxford Economics'!$A$6:$AZ$6,0))),'Oxford Economics'!$A$7:$A$1000,$C76,'Oxford Economics'!$B$7:$B$1000,Settings!$B$15)+SUMIFS(INDEX('Oxford Economics'!$A$7:$AZ$1000,0,IFERROR(MATCH(X$5,'Oxford Economics'!$A$6:$AZ$6,0),MATCH(X$5&amp;"",'Oxford Economics'!$A$6:$AZ$6,0))),'Oxford Economics'!$A$7:$A$1000,$C76,'Oxford Economics'!$B$7:$B$1000,Settings!$B$17)+IF(Settings!$B$19="",0,SUMIFS(INDEX('Oxford Economics'!$A$7:$AZ$1000,0,IFERROR(MATCH(X$5,'Oxford Economics'!$A$6:$AZ$6,0),MATCH(X$5&amp;"",'Oxford Economics'!$A$6:$AZ$6,0))),'Oxford Economics'!$A$7:$A$1000,$C76,'Oxford Economics'!$B$7:$B$1000,Settings!$B$19)))),""))</f>
        <v>31216.29</v>
      </c>
      <c r="Y76" s="38" t="n">
        <f aca="false">IF($A76="","",IFERROR(1/(1/IF($B76="Residential",SUMIFS(INDEX('Oxford Economics'!$A$7:$AZ$1000,0,IFERROR(MATCH(Y$5,'Oxford Economics'!$A$6:$AZ$6,0),MATCH(Y$5&amp;"",'Oxford Economics'!$A$6:$AZ$6,0))),'Oxford Economics'!$A$7:$A$1000,$C76,'Oxford Economics'!$B$7:$B$1000,Settings!$B$13)-SUMIFS(INDEX('Oxford Economics'!$A$7:$AZ$1000,0,IFERROR(MATCH(Y$5,'Oxford Economics'!$A$6:$AZ$6,0),MATCH(Y$5&amp;"",'Oxford Economics'!$A$6:$AZ$6,0))),'Oxford Economics'!$A$7:$A$1000,$C76,'Oxford Economics'!$B$7:$B$1000,Settings!$B$15),SUMIFS(INDEX('Oxford Economics'!$A$7:$AZ$1000,0,IFERROR(MATCH(Y$5,'Oxford Economics'!$A$6:$AZ$6,0),MATCH(Y$5&amp;"",'Oxford Economics'!$A$6:$AZ$6,0))),'Oxford Economics'!$A$7:$A$1000,$C76,'Oxford Economics'!$B$7:$B$1000,Settings!$B$15)+SUMIFS(INDEX('Oxford Economics'!$A$7:$AZ$1000,0,IFERROR(MATCH(Y$5,'Oxford Economics'!$A$6:$AZ$6,0),MATCH(Y$5&amp;"",'Oxford Economics'!$A$6:$AZ$6,0))),'Oxford Economics'!$A$7:$A$1000,$C76,'Oxford Economics'!$B$7:$B$1000,Settings!$B$17)+IF(Settings!$B$19="",0,SUMIFS(INDEX('Oxford Economics'!$A$7:$AZ$1000,0,IFERROR(MATCH(Y$5,'Oxford Economics'!$A$6:$AZ$6,0),MATCH(Y$5&amp;"",'Oxford Economics'!$A$6:$AZ$6,0))),'Oxford Economics'!$A$7:$A$1000,$C76,'Oxford Economics'!$B$7:$B$1000,Settings!$B$19)))),""))</f>
        <v>33459.68</v>
      </c>
      <c r="Z76" s="38" t="n">
        <f aca="false">IF($A76="","",IFERROR(1/(1/IF($B76="Residential",SUMIFS(INDEX('Oxford Economics'!$A$7:$AZ$1000,0,IFERROR(MATCH(Z$5,'Oxford Economics'!$A$6:$AZ$6,0),MATCH(Z$5&amp;"",'Oxford Economics'!$A$6:$AZ$6,0))),'Oxford Economics'!$A$7:$A$1000,$C76,'Oxford Economics'!$B$7:$B$1000,Settings!$B$13)-SUMIFS(INDEX('Oxford Economics'!$A$7:$AZ$1000,0,IFERROR(MATCH(Z$5,'Oxford Economics'!$A$6:$AZ$6,0),MATCH(Z$5&amp;"",'Oxford Economics'!$A$6:$AZ$6,0))),'Oxford Economics'!$A$7:$A$1000,$C76,'Oxford Economics'!$B$7:$B$1000,Settings!$B$15),SUMIFS(INDEX('Oxford Economics'!$A$7:$AZ$1000,0,IFERROR(MATCH(Z$5,'Oxford Economics'!$A$6:$AZ$6,0),MATCH(Z$5&amp;"",'Oxford Economics'!$A$6:$AZ$6,0))),'Oxford Economics'!$A$7:$A$1000,$C76,'Oxford Economics'!$B$7:$B$1000,Settings!$B$15)+SUMIFS(INDEX('Oxford Economics'!$A$7:$AZ$1000,0,IFERROR(MATCH(Z$5,'Oxford Economics'!$A$6:$AZ$6,0),MATCH(Z$5&amp;"",'Oxford Economics'!$A$6:$AZ$6,0))),'Oxford Economics'!$A$7:$A$1000,$C76,'Oxford Economics'!$B$7:$B$1000,Settings!$B$17)+IF(Settings!$B$19="",0,SUMIFS(INDEX('Oxford Economics'!$A$7:$AZ$1000,0,IFERROR(MATCH(Z$5,'Oxford Economics'!$A$6:$AZ$6,0),MATCH(Z$5&amp;"",'Oxford Economics'!$A$6:$AZ$6,0))),'Oxford Economics'!$A$7:$A$1000,$C76,'Oxford Economics'!$B$7:$B$1000,Settings!$B$19)))),""))</f>
        <v>35319.9</v>
      </c>
      <c r="AA76" s="38" t="n">
        <f aca="false">IF($A76="","",IFERROR(1/(1/IF($B76="Residential",SUMIFS(INDEX('Oxford Economics'!$A$7:$AZ$1000,0,IFERROR(MATCH(AA$5,'Oxford Economics'!$A$6:$AZ$6,0),MATCH(AA$5&amp;"",'Oxford Economics'!$A$6:$AZ$6,0))),'Oxford Economics'!$A$7:$A$1000,$C76,'Oxford Economics'!$B$7:$B$1000,Settings!$B$13)-SUMIFS(INDEX('Oxford Economics'!$A$7:$AZ$1000,0,IFERROR(MATCH(AA$5,'Oxford Economics'!$A$6:$AZ$6,0),MATCH(AA$5&amp;"",'Oxford Economics'!$A$6:$AZ$6,0))),'Oxford Economics'!$A$7:$A$1000,$C76,'Oxford Economics'!$B$7:$B$1000,Settings!$B$15),SUMIFS(INDEX('Oxford Economics'!$A$7:$AZ$1000,0,IFERROR(MATCH(AA$5,'Oxford Economics'!$A$6:$AZ$6,0),MATCH(AA$5&amp;"",'Oxford Economics'!$A$6:$AZ$6,0))),'Oxford Economics'!$A$7:$A$1000,$C76,'Oxford Economics'!$B$7:$B$1000,Settings!$B$15)+SUMIFS(INDEX('Oxford Economics'!$A$7:$AZ$1000,0,IFERROR(MATCH(AA$5,'Oxford Economics'!$A$6:$AZ$6,0),MATCH(AA$5&amp;"",'Oxford Economics'!$A$6:$AZ$6,0))),'Oxford Economics'!$A$7:$A$1000,$C76,'Oxford Economics'!$B$7:$B$1000,Settings!$B$17)+IF(Settings!$B$19="",0,SUMIFS(INDEX('Oxford Economics'!$A$7:$AZ$1000,0,IFERROR(MATCH(AA$5,'Oxford Economics'!$A$6:$AZ$6,0),MATCH(AA$5&amp;"",'Oxford Economics'!$A$6:$AZ$6,0))),'Oxford Economics'!$A$7:$A$1000,$C76,'Oxford Economics'!$B$7:$B$1000,Settings!$B$19)))),""))</f>
        <v>36367.33</v>
      </c>
      <c r="AB76" s="38" t="n">
        <f aca="false">IF($A76="","",IFERROR(1/(1/IF($B76="Residential",SUMIFS(INDEX('Oxford Economics'!$A$7:$AZ$1000,0,IFERROR(MATCH(AB$5,'Oxford Economics'!$A$6:$AZ$6,0),MATCH(AB$5&amp;"",'Oxford Economics'!$A$6:$AZ$6,0))),'Oxford Economics'!$A$7:$A$1000,$C76,'Oxford Economics'!$B$7:$B$1000,Settings!$B$12)-SUMIFS(INDEX('Oxford Economics'!$A$7:$AZ$1000,0,IFERROR(MATCH(AB$5,'Oxford Economics'!$A$6:$AZ$6,0),MATCH(AB$5&amp;"",'Oxford Economics'!$A$6:$AZ$6,0))),'Oxford Economics'!$A$7:$A$1000,$C76,'Oxford Economics'!$B$7:$B$1000,Settings!$B$14),SUMIFS(INDEX('Oxford Economics'!$A$7:$AZ$1000,0,IFERROR(MATCH(AB$5,'Oxford Economics'!$A$6:$AZ$6,0),MATCH(AB$5&amp;"",'Oxford Economics'!$A$6:$AZ$6,0))),'Oxford Economics'!$A$7:$A$1000,$C76,'Oxford Economics'!$B$7:$B$1000,Settings!$B$14)+SUMIFS(INDEX('Oxford Economics'!$A$7:$AZ$1000,0,IFERROR(MATCH(AB$5,'Oxford Economics'!$A$6:$AZ$6,0),MATCH(AB$5&amp;"",'Oxford Economics'!$A$6:$AZ$6,0))),'Oxford Economics'!$A$7:$A$1000,$C76,'Oxford Economics'!$B$7:$B$1000,Settings!$B$16)+IF(Settings!$B$18="",0,SUMIFS(INDEX('Oxford Economics'!$A$7:$AZ$1000,0,IFERROR(MATCH(AB$5,'Oxford Economics'!$A$6:$AZ$6,0),MATCH(AB$5&amp;"",'Oxford Economics'!$A$6:$AZ$6,0))),'Oxford Economics'!$A$7:$A$1000,$C76,'Oxford Economics'!$B$7:$B$1000,Settings!$B$18)))),""))</f>
        <v>45448.33</v>
      </c>
      <c r="AC76" s="38" t="n">
        <f aca="false">IF($A76="","",IFERROR(1/(1/IF($B76="Residential",SUMIFS(INDEX('Oxford Economics'!$A$7:$AZ$1000,0,IFERROR(MATCH(AC$5,'Oxford Economics'!$A$6:$AZ$6,0),MATCH(AC$5&amp;"",'Oxford Economics'!$A$6:$AZ$6,0))),'Oxford Economics'!$A$7:$A$1000,$C76,'Oxford Economics'!$B$7:$B$1000,Settings!$B$12)-SUMIFS(INDEX('Oxford Economics'!$A$7:$AZ$1000,0,IFERROR(MATCH(AC$5,'Oxford Economics'!$A$6:$AZ$6,0),MATCH(AC$5&amp;"",'Oxford Economics'!$A$6:$AZ$6,0))),'Oxford Economics'!$A$7:$A$1000,$C76,'Oxford Economics'!$B$7:$B$1000,Settings!$B$14),SUMIFS(INDEX('Oxford Economics'!$A$7:$AZ$1000,0,IFERROR(MATCH(AC$5,'Oxford Economics'!$A$6:$AZ$6,0),MATCH(AC$5&amp;"",'Oxford Economics'!$A$6:$AZ$6,0))),'Oxford Economics'!$A$7:$A$1000,$C76,'Oxford Economics'!$B$7:$B$1000,Settings!$B$14)+SUMIFS(INDEX('Oxford Economics'!$A$7:$AZ$1000,0,IFERROR(MATCH(AC$5,'Oxford Economics'!$A$6:$AZ$6,0),MATCH(AC$5&amp;"",'Oxford Economics'!$A$6:$AZ$6,0))),'Oxford Economics'!$A$7:$A$1000,$C76,'Oxford Economics'!$B$7:$B$1000,Settings!$B$16)+IF(Settings!$B$18="",0,SUMIFS(INDEX('Oxford Economics'!$A$7:$AZ$1000,0,IFERROR(MATCH(AC$5,'Oxford Economics'!$A$6:$AZ$6,0),MATCH(AC$5&amp;"",'Oxford Economics'!$A$6:$AZ$6,0))),'Oxford Economics'!$A$7:$A$1000,$C76,'Oxford Economics'!$B$7:$B$1000,Settings!$B$18)))),""))</f>
        <v>45243.81</v>
      </c>
      <c r="AD76" s="38" t="n">
        <f aca="false">IF($A76="","",IFERROR(1/(1/IF($B76="Residential",SUMIFS(INDEX('Oxford Economics'!$A$7:$AZ$1000,0,IFERROR(MATCH(AD$5,'Oxford Economics'!$A$6:$AZ$6,0),MATCH(AD$5&amp;"",'Oxford Economics'!$A$6:$AZ$6,0))),'Oxford Economics'!$A$7:$A$1000,$C76,'Oxford Economics'!$B$7:$B$1000,Settings!$B$12)-SUMIFS(INDEX('Oxford Economics'!$A$7:$AZ$1000,0,IFERROR(MATCH(AD$5,'Oxford Economics'!$A$6:$AZ$6,0),MATCH(AD$5&amp;"",'Oxford Economics'!$A$6:$AZ$6,0))),'Oxford Economics'!$A$7:$A$1000,$C76,'Oxford Economics'!$B$7:$B$1000,Settings!$B$14),SUMIFS(INDEX('Oxford Economics'!$A$7:$AZ$1000,0,IFERROR(MATCH(AD$5,'Oxford Economics'!$A$6:$AZ$6,0),MATCH(AD$5&amp;"",'Oxford Economics'!$A$6:$AZ$6,0))),'Oxford Economics'!$A$7:$A$1000,$C76,'Oxford Economics'!$B$7:$B$1000,Settings!$B$14)+SUMIFS(INDEX('Oxford Economics'!$A$7:$AZ$1000,0,IFERROR(MATCH(AD$5,'Oxford Economics'!$A$6:$AZ$6,0),MATCH(AD$5&amp;"",'Oxford Economics'!$A$6:$AZ$6,0))),'Oxford Economics'!$A$7:$A$1000,$C76,'Oxford Economics'!$B$7:$B$1000,Settings!$B$16)+IF(Settings!$B$18="",0,SUMIFS(INDEX('Oxford Economics'!$A$7:$AZ$1000,0,IFERROR(MATCH(AD$5,'Oxford Economics'!$A$6:$AZ$6,0),MATCH(AD$5&amp;"",'Oxford Economics'!$A$6:$AZ$6,0))),'Oxford Economics'!$A$7:$A$1000,$C76,'Oxford Economics'!$B$7:$B$1000,Settings!$B$18)))),""))</f>
        <v>45279.89</v>
      </c>
      <c r="AE76" s="38" t="n">
        <f aca="false">IF($A76="","",IFERROR(1/(1/IF($B76="Residential",SUMIFS(INDEX('Oxford Economics'!$A$7:$AZ$1000,0,IFERROR(MATCH(AE$5,'Oxford Economics'!$A$6:$AZ$6,0),MATCH(AE$5&amp;"",'Oxford Economics'!$A$6:$AZ$6,0))),'Oxford Economics'!$A$7:$A$1000,$C76,'Oxford Economics'!$B$7:$B$1000,Settings!$B$12)-SUMIFS(INDEX('Oxford Economics'!$A$7:$AZ$1000,0,IFERROR(MATCH(AE$5,'Oxford Economics'!$A$6:$AZ$6,0),MATCH(AE$5&amp;"",'Oxford Economics'!$A$6:$AZ$6,0))),'Oxford Economics'!$A$7:$A$1000,$C76,'Oxford Economics'!$B$7:$B$1000,Settings!$B$14),SUMIFS(INDEX('Oxford Economics'!$A$7:$AZ$1000,0,IFERROR(MATCH(AE$5,'Oxford Economics'!$A$6:$AZ$6,0),MATCH(AE$5&amp;"",'Oxford Economics'!$A$6:$AZ$6,0))),'Oxford Economics'!$A$7:$A$1000,$C76,'Oxford Economics'!$B$7:$B$1000,Settings!$B$14)+SUMIFS(INDEX('Oxford Economics'!$A$7:$AZ$1000,0,IFERROR(MATCH(AE$5,'Oxford Economics'!$A$6:$AZ$6,0),MATCH(AE$5&amp;"",'Oxford Economics'!$A$6:$AZ$6,0))),'Oxford Economics'!$A$7:$A$1000,$C76,'Oxford Economics'!$B$7:$B$1000,Settings!$B$16)+IF(Settings!$B$18="",0,SUMIFS(INDEX('Oxford Economics'!$A$7:$AZ$1000,0,IFERROR(MATCH(AE$5,'Oxford Economics'!$A$6:$AZ$6,0),MATCH(AE$5&amp;"",'Oxford Economics'!$A$6:$AZ$6,0))),'Oxford Economics'!$A$7:$A$1000,$C76,'Oxford Economics'!$B$7:$B$1000,Settings!$B$18)))),""))</f>
        <v>45838.71</v>
      </c>
      <c r="AF76" s="38" t="n">
        <f aca="false">IF($A76="","",IFERROR(1/(1/IF($B76="Residential",SUMIFS(INDEX('Oxford Economics'!$A$7:$AZ$1000,0,IFERROR(MATCH(AF$5,'Oxford Economics'!$A$6:$AZ$6,0),MATCH(AF$5&amp;"",'Oxford Economics'!$A$6:$AZ$6,0))),'Oxford Economics'!$A$7:$A$1000,$C76,'Oxford Economics'!$B$7:$B$1000,Settings!$B$12)-SUMIFS(INDEX('Oxford Economics'!$A$7:$AZ$1000,0,IFERROR(MATCH(AF$5,'Oxford Economics'!$A$6:$AZ$6,0),MATCH(AF$5&amp;"",'Oxford Economics'!$A$6:$AZ$6,0))),'Oxford Economics'!$A$7:$A$1000,$C76,'Oxford Economics'!$B$7:$B$1000,Settings!$B$14),SUMIFS(INDEX('Oxford Economics'!$A$7:$AZ$1000,0,IFERROR(MATCH(AF$5,'Oxford Economics'!$A$6:$AZ$6,0),MATCH(AF$5&amp;"",'Oxford Economics'!$A$6:$AZ$6,0))),'Oxford Economics'!$A$7:$A$1000,$C76,'Oxford Economics'!$B$7:$B$1000,Settings!$B$14)+SUMIFS(INDEX('Oxford Economics'!$A$7:$AZ$1000,0,IFERROR(MATCH(AF$5,'Oxford Economics'!$A$6:$AZ$6,0),MATCH(AF$5&amp;"",'Oxford Economics'!$A$6:$AZ$6,0))),'Oxford Economics'!$A$7:$A$1000,$C76,'Oxford Economics'!$B$7:$B$1000,Settings!$B$16)+IF(Settings!$B$18="",0,SUMIFS(INDEX('Oxford Economics'!$A$7:$AZ$1000,0,IFERROR(MATCH(AF$5,'Oxford Economics'!$A$6:$AZ$6,0),MATCH(AF$5&amp;"",'Oxford Economics'!$A$6:$AZ$6,0))),'Oxford Economics'!$A$7:$A$1000,$C76,'Oxford Economics'!$B$7:$B$1000,Settings!$B$18)))),""))</f>
        <v>43491.1</v>
      </c>
      <c r="AG76" s="38" t="n">
        <f aca="false">IF($A76="","",IFERROR(1/(1/IF($B76="Residential",SUMIFS(INDEX('Oxford Economics'!$A$7:$AZ$1000,0,IFERROR(MATCH(AG$5,'Oxford Economics'!$A$6:$AZ$6,0),MATCH(AG$5&amp;"",'Oxford Economics'!$A$6:$AZ$6,0))),'Oxford Economics'!$A$7:$A$1000,$C76,'Oxford Economics'!$B$7:$B$1000,Settings!$B$12)-SUMIFS(INDEX('Oxford Economics'!$A$7:$AZ$1000,0,IFERROR(MATCH(AG$5,'Oxford Economics'!$A$6:$AZ$6,0),MATCH(AG$5&amp;"",'Oxford Economics'!$A$6:$AZ$6,0))),'Oxford Economics'!$A$7:$A$1000,$C76,'Oxford Economics'!$B$7:$B$1000,Settings!$B$14),SUMIFS(INDEX('Oxford Economics'!$A$7:$AZ$1000,0,IFERROR(MATCH(AG$5,'Oxford Economics'!$A$6:$AZ$6,0),MATCH(AG$5&amp;"",'Oxford Economics'!$A$6:$AZ$6,0))),'Oxford Economics'!$A$7:$A$1000,$C76,'Oxford Economics'!$B$7:$B$1000,Settings!$B$14)+SUMIFS(INDEX('Oxford Economics'!$A$7:$AZ$1000,0,IFERROR(MATCH(AG$5,'Oxford Economics'!$A$6:$AZ$6,0),MATCH(AG$5&amp;"",'Oxford Economics'!$A$6:$AZ$6,0))),'Oxford Economics'!$A$7:$A$1000,$C76,'Oxford Economics'!$B$7:$B$1000,Settings!$B$16)+IF(Settings!$B$18="",0,SUMIFS(INDEX('Oxford Economics'!$A$7:$AZ$1000,0,IFERROR(MATCH(AG$5,'Oxford Economics'!$A$6:$AZ$6,0),MATCH(AG$5&amp;"",'Oxford Economics'!$A$6:$AZ$6,0))),'Oxford Economics'!$A$7:$A$1000,$C76,'Oxford Economics'!$B$7:$B$1000,Settings!$B$18)))),""))</f>
        <v>40671.83</v>
      </c>
      <c r="AH76" s="38" t="n">
        <f aca="false">IF($A76="","",IFERROR(1/(1/IF($B76="Residential",SUMIFS(INDEX('Oxford Economics'!$A$7:$AZ$1000,0,IFERROR(MATCH(AH$5,'Oxford Economics'!$A$6:$AZ$6,0),MATCH(AH$5&amp;"",'Oxford Economics'!$A$6:$AZ$6,0))),'Oxford Economics'!$A$7:$A$1000,$C76,'Oxford Economics'!$B$7:$B$1000,Settings!$B$12)-SUMIFS(INDEX('Oxford Economics'!$A$7:$AZ$1000,0,IFERROR(MATCH(AH$5,'Oxford Economics'!$A$6:$AZ$6,0),MATCH(AH$5&amp;"",'Oxford Economics'!$A$6:$AZ$6,0))),'Oxford Economics'!$A$7:$A$1000,$C76,'Oxford Economics'!$B$7:$B$1000,Settings!$B$14),SUMIFS(INDEX('Oxford Economics'!$A$7:$AZ$1000,0,IFERROR(MATCH(AH$5,'Oxford Economics'!$A$6:$AZ$6,0),MATCH(AH$5&amp;"",'Oxford Economics'!$A$6:$AZ$6,0))),'Oxford Economics'!$A$7:$A$1000,$C76,'Oxford Economics'!$B$7:$B$1000,Settings!$B$14)+SUMIFS(INDEX('Oxford Economics'!$A$7:$AZ$1000,0,IFERROR(MATCH(AH$5,'Oxford Economics'!$A$6:$AZ$6,0),MATCH(AH$5&amp;"",'Oxford Economics'!$A$6:$AZ$6,0))),'Oxford Economics'!$A$7:$A$1000,$C76,'Oxford Economics'!$B$7:$B$1000,Settings!$B$16)+IF(Settings!$B$18="",0,SUMIFS(INDEX('Oxford Economics'!$A$7:$AZ$1000,0,IFERROR(MATCH(AH$5,'Oxford Economics'!$A$6:$AZ$6,0),MATCH(AH$5&amp;"",'Oxford Economics'!$A$6:$AZ$6,0))),'Oxford Economics'!$A$7:$A$1000,$C76,'Oxford Economics'!$B$7:$B$1000,Settings!$B$18)))),""))</f>
        <v>40327.42</v>
      </c>
      <c r="AI76" s="38" t="n">
        <f aca="false">IF($A76="","",IFERROR(1/(1/IF($B76="Residential",SUMIFS(INDEX('Oxford Economics'!$A$7:$AZ$1000,0,IFERROR(MATCH(AI$5,'Oxford Economics'!$A$6:$AZ$6,0),MATCH(AI$5&amp;"",'Oxford Economics'!$A$6:$AZ$6,0))),'Oxford Economics'!$A$7:$A$1000,$C76,'Oxford Economics'!$B$7:$B$1000,Settings!$B$12)-SUMIFS(INDEX('Oxford Economics'!$A$7:$AZ$1000,0,IFERROR(MATCH(AI$5,'Oxford Economics'!$A$6:$AZ$6,0),MATCH(AI$5&amp;"",'Oxford Economics'!$A$6:$AZ$6,0))),'Oxford Economics'!$A$7:$A$1000,$C76,'Oxford Economics'!$B$7:$B$1000,Settings!$B$14),SUMIFS(INDEX('Oxford Economics'!$A$7:$AZ$1000,0,IFERROR(MATCH(AI$5,'Oxford Economics'!$A$6:$AZ$6,0),MATCH(AI$5&amp;"",'Oxford Economics'!$A$6:$AZ$6,0))),'Oxford Economics'!$A$7:$A$1000,$C76,'Oxford Economics'!$B$7:$B$1000,Settings!$B$14)+SUMIFS(INDEX('Oxford Economics'!$A$7:$AZ$1000,0,IFERROR(MATCH(AI$5,'Oxford Economics'!$A$6:$AZ$6,0),MATCH(AI$5&amp;"",'Oxford Economics'!$A$6:$AZ$6,0))),'Oxford Economics'!$A$7:$A$1000,$C76,'Oxford Economics'!$B$7:$B$1000,Settings!$B$16)+IF(Settings!$B$18="",0,SUMIFS(INDEX('Oxford Economics'!$A$7:$AZ$1000,0,IFERROR(MATCH(AI$5,'Oxford Economics'!$A$6:$AZ$6,0),MATCH(AI$5&amp;"",'Oxford Economics'!$A$6:$AZ$6,0))),'Oxford Economics'!$A$7:$A$1000,$C76,'Oxford Economics'!$B$7:$B$1000,Settings!$B$18)))),""))</f>
        <v>41159.96</v>
      </c>
      <c r="AJ76" s="38" t="n">
        <f aca="false">IF($A76="","",IFERROR(1/(1/IF($B76="Residential",SUMIFS(INDEX('Oxford Economics'!$A$7:$AZ$1000,0,IFERROR(MATCH(AJ$5,'Oxford Economics'!$A$6:$AZ$6,0),MATCH(AJ$5&amp;"",'Oxford Economics'!$A$6:$AZ$6,0))),'Oxford Economics'!$A$7:$A$1000,$C76,'Oxford Economics'!$B$7:$B$1000,Settings!$B$12)-SUMIFS(INDEX('Oxford Economics'!$A$7:$AZ$1000,0,IFERROR(MATCH(AJ$5,'Oxford Economics'!$A$6:$AZ$6,0),MATCH(AJ$5&amp;"",'Oxford Economics'!$A$6:$AZ$6,0))),'Oxford Economics'!$A$7:$A$1000,$C76,'Oxford Economics'!$B$7:$B$1000,Settings!$B$14),SUMIFS(INDEX('Oxford Economics'!$A$7:$AZ$1000,0,IFERROR(MATCH(AJ$5,'Oxford Economics'!$A$6:$AZ$6,0),MATCH(AJ$5&amp;"",'Oxford Economics'!$A$6:$AZ$6,0))),'Oxford Economics'!$A$7:$A$1000,$C76,'Oxford Economics'!$B$7:$B$1000,Settings!$B$14)+SUMIFS(INDEX('Oxford Economics'!$A$7:$AZ$1000,0,IFERROR(MATCH(AJ$5,'Oxford Economics'!$A$6:$AZ$6,0),MATCH(AJ$5&amp;"",'Oxford Economics'!$A$6:$AZ$6,0))),'Oxford Economics'!$A$7:$A$1000,$C76,'Oxford Economics'!$B$7:$B$1000,Settings!$B$16)+IF(Settings!$B$18="",0,SUMIFS(INDEX('Oxford Economics'!$A$7:$AZ$1000,0,IFERROR(MATCH(AJ$5,'Oxford Economics'!$A$6:$AZ$6,0),MATCH(AJ$5&amp;"",'Oxford Economics'!$A$6:$AZ$6,0))),'Oxford Economics'!$A$7:$A$1000,$C76,'Oxford Economics'!$B$7:$B$1000,Settings!$B$18)))),""))</f>
        <v>42495.46</v>
      </c>
      <c r="AK76" s="38" t="n">
        <f aca="false">IF($A76="","",IFERROR(1/(1/IF($B76="Residential",SUMIFS(INDEX('Oxford Economics'!$A$7:$AZ$1000,0,IFERROR(MATCH(AK$5,'Oxford Economics'!$A$6:$AZ$6,0),MATCH(AK$5&amp;"",'Oxford Economics'!$A$6:$AZ$6,0))),'Oxford Economics'!$A$7:$A$1000,$C76,'Oxford Economics'!$B$7:$B$1000,Settings!$B$12)-SUMIFS(INDEX('Oxford Economics'!$A$7:$AZ$1000,0,IFERROR(MATCH(AK$5,'Oxford Economics'!$A$6:$AZ$6,0),MATCH(AK$5&amp;"",'Oxford Economics'!$A$6:$AZ$6,0))),'Oxford Economics'!$A$7:$A$1000,$C76,'Oxford Economics'!$B$7:$B$1000,Settings!$B$14),SUMIFS(INDEX('Oxford Economics'!$A$7:$AZ$1000,0,IFERROR(MATCH(AK$5,'Oxford Economics'!$A$6:$AZ$6,0),MATCH(AK$5&amp;"",'Oxford Economics'!$A$6:$AZ$6,0))),'Oxford Economics'!$A$7:$A$1000,$C76,'Oxford Economics'!$B$7:$B$1000,Settings!$B$14)+SUMIFS(INDEX('Oxford Economics'!$A$7:$AZ$1000,0,IFERROR(MATCH(AK$5,'Oxford Economics'!$A$6:$AZ$6,0),MATCH(AK$5&amp;"",'Oxford Economics'!$A$6:$AZ$6,0))),'Oxford Economics'!$A$7:$A$1000,$C76,'Oxford Economics'!$B$7:$B$1000,Settings!$B$16)+IF(Settings!$B$18="",0,SUMIFS(INDEX('Oxford Economics'!$A$7:$AZ$1000,0,IFERROR(MATCH(AK$5,'Oxford Economics'!$A$6:$AZ$6,0),MATCH(AK$5&amp;"",'Oxford Economics'!$A$6:$AZ$6,0))),'Oxford Economics'!$A$7:$A$1000,$C76,'Oxford Economics'!$B$7:$B$1000,Settings!$B$18)))),""))</f>
        <v>44083.22</v>
      </c>
      <c r="AL76" s="38" t="n">
        <f aca="false">IF($A76="","",IFERROR(1/(1/IF($B76="Residential",SUMIFS(INDEX('Oxford Economics'!$A$7:$AZ$1000,0,IFERROR(MATCH(AL$5,'Oxford Economics'!$A$6:$AZ$6,0),MATCH(AL$5&amp;"",'Oxford Economics'!$A$6:$AZ$6,0))),'Oxford Economics'!$A$7:$A$1000,$C76,'Oxford Economics'!$B$7:$B$1000,Settings!$B$12)-SUMIFS(INDEX('Oxford Economics'!$A$7:$AZ$1000,0,IFERROR(MATCH(AL$5,'Oxford Economics'!$A$6:$AZ$6,0),MATCH(AL$5&amp;"",'Oxford Economics'!$A$6:$AZ$6,0))),'Oxford Economics'!$A$7:$A$1000,$C76,'Oxford Economics'!$B$7:$B$1000,Settings!$B$14),SUMIFS(INDEX('Oxford Economics'!$A$7:$AZ$1000,0,IFERROR(MATCH(AL$5,'Oxford Economics'!$A$6:$AZ$6,0),MATCH(AL$5&amp;"",'Oxford Economics'!$A$6:$AZ$6,0))),'Oxford Economics'!$A$7:$A$1000,$C76,'Oxford Economics'!$B$7:$B$1000,Settings!$B$14)+SUMIFS(INDEX('Oxford Economics'!$A$7:$AZ$1000,0,IFERROR(MATCH(AL$5,'Oxford Economics'!$A$6:$AZ$6,0),MATCH(AL$5&amp;"",'Oxford Economics'!$A$6:$AZ$6,0))),'Oxford Economics'!$A$7:$A$1000,$C76,'Oxford Economics'!$B$7:$B$1000,Settings!$B$16)+IF(Settings!$B$18="",0,SUMIFS(INDEX('Oxford Economics'!$A$7:$AZ$1000,0,IFERROR(MATCH(AL$5,'Oxford Economics'!$A$6:$AZ$6,0),MATCH(AL$5&amp;"",'Oxford Economics'!$A$6:$AZ$6,0))),'Oxford Economics'!$A$7:$A$1000,$C76,'Oxford Economics'!$B$7:$B$1000,Settings!$B$18)))),""))</f>
        <v>45481.02</v>
      </c>
      <c r="AM76" s="38" t="n">
        <f aca="false">IF($A76="","",IFERROR(1/(1/IF($B76="Residential",SUMIFS(INDEX('Oxford Economics'!$A$7:$AZ$1000,0,IFERROR(MATCH(AM$5,'Oxford Economics'!$A$6:$AZ$6,0),MATCH(AM$5&amp;"",'Oxford Economics'!$A$6:$AZ$6,0))),'Oxford Economics'!$A$7:$A$1000,$C76,'Oxford Economics'!$B$7:$B$1000,Settings!$B$12)-SUMIFS(INDEX('Oxford Economics'!$A$7:$AZ$1000,0,IFERROR(MATCH(AM$5,'Oxford Economics'!$A$6:$AZ$6,0),MATCH(AM$5&amp;"",'Oxford Economics'!$A$6:$AZ$6,0))),'Oxford Economics'!$A$7:$A$1000,$C76,'Oxford Economics'!$B$7:$B$1000,Settings!$B$14),SUMIFS(INDEX('Oxford Economics'!$A$7:$AZ$1000,0,IFERROR(MATCH(AM$5,'Oxford Economics'!$A$6:$AZ$6,0),MATCH(AM$5&amp;"",'Oxford Economics'!$A$6:$AZ$6,0))),'Oxford Economics'!$A$7:$A$1000,$C76,'Oxford Economics'!$B$7:$B$1000,Settings!$B$14)+SUMIFS(INDEX('Oxford Economics'!$A$7:$AZ$1000,0,IFERROR(MATCH(AM$5,'Oxford Economics'!$A$6:$AZ$6,0),MATCH(AM$5&amp;"",'Oxford Economics'!$A$6:$AZ$6,0))),'Oxford Economics'!$A$7:$A$1000,$C76,'Oxford Economics'!$B$7:$B$1000,Settings!$B$16)+IF(Settings!$B$18="",0,SUMIFS(INDEX('Oxford Economics'!$A$7:$AZ$1000,0,IFERROR(MATCH(AM$5,'Oxford Economics'!$A$6:$AZ$6,0),MATCH(AM$5&amp;"",'Oxford Economics'!$A$6:$AZ$6,0))),'Oxford Economics'!$A$7:$A$1000,$C76,'Oxford Economics'!$B$7:$B$1000,Settings!$B$18)))),""))</f>
        <v>46868.77</v>
      </c>
    </row>
    <row r="77" customFormat="false" ht="15" hidden="false" customHeight="false" outlineLevel="0" collapsed="false">
      <c r="A77" s="37" t="str">
        <f aca="false">IF('Raw data'!$A77="","",'Raw data'!$A77)</f>
        <v>United Kingdom</v>
      </c>
      <c r="B77" s="37" t="str">
        <f aca="false">IF($A77="","",'Raw data'!$C77)</f>
        <v>Commercial</v>
      </c>
      <c r="C77" s="37" t="str">
        <f aca="false">IF($A77="","",IF('Raw data'!$E77="",$A77,'Raw data'!$E77))</f>
        <v>United Kingdom</v>
      </c>
      <c r="D77" s="38" t="n">
        <f aca="false">IF($A77="","",IF(AND(ISNUMBER(P77),ISNUMBER(AB77)),P77+AB77,""))</f>
        <v>67046.45</v>
      </c>
      <c r="E77" s="38" t="n">
        <f aca="false">IF($A77="","",IF(AND(ISNUMBER(Q77),ISNUMBER(AC77)),Q77+AC77,""))</f>
        <v>69888.18</v>
      </c>
      <c r="F77" s="38" t="n">
        <f aca="false">IF($A77="","",IF(AND(ISNUMBER(R77),ISNUMBER(AD77)),R77+AD77,""))</f>
        <v>70425.55</v>
      </c>
      <c r="G77" s="38" t="n">
        <f aca="false">IF($A77="","",IF(AND(ISNUMBER(S77),ISNUMBER(AE77)),S77+AE77,""))</f>
        <v>73486.01</v>
      </c>
      <c r="H77" s="38" t="n">
        <f aca="false">IF($A77="","",IF(AND(ISNUMBER(T77),ISNUMBER(AF77)),T77+AF77,""))</f>
        <v>72397.68</v>
      </c>
      <c r="I77" s="38" t="n">
        <f aca="false">IF($A77="","",IF(AND(ISNUMBER(U77),ISNUMBER(AG77)),U77+AG77,""))</f>
        <v>68667.69</v>
      </c>
      <c r="J77" s="38" t="n">
        <f aca="false">IF($A77="","",IF(AND(ISNUMBER(V77),ISNUMBER(AH77)),V77+AH77,""))</f>
        <v>68300.03</v>
      </c>
      <c r="K77" s="38" t="n">
        <f aca="false">IF($A77="","",IF(AND(ISNUMBER(W77),ISNUMBER(AI77)),W77+AI77,""))</f>
        <v>70373.25</v>
      </c>
      <c r="L77" s="38" t="n">
        <f aca="false">IF($A77="","",IF(AND(ISNUMBER(X77),ISNUMBER(AJ77)),X77+AJ77,""))</f>
        <v>73711.75</v>
      </c>
      <c r="M77" s="38" t="n">
        <f aca="false">IF($A77="","",IF(AND(ISNUMBER(Y77),ISNUMBER(AK77)),Y77+AK77,""))</f>
        <v>77542.9</v>
      </c>
      <c r="N77" s="38" t="n">
        <f aca="false">IF($A77="","",IF(AND(ISNUMBER(Z77),ISNUMBER(AL77)),Z77+AL77,""))</f>
        <v>80800.92</v>
      </c>
      <c r="O77" s="38" t="n">
        <f aca="false">IF($A77="","",IF(AND(ISNUMBER(AA77),ISNUMBER(AM77)),AA77+AM77,""))</f>
        <v>83236.1</v>
      </c>
      <c r="P77" s="38" t="n">
        <f aca="false">IF($A77="","",IFERROR(1/(1/IF($B77="Residential",SUMIFS(INDEX('Oxford Economics'!$A$7:$AZ$1000,0,IFERROR(MATCH(P$5,'Oxford Economics'!$A$6:$AZ$6,0),MATCH(P$5&amp;"",'Oxford Economics'!$A$6:$AZ$6,0))),'Oxford Economics'!$A$7:$A$1000,$C77,'Oxford Economics'!$B$7:$B$1000,Settings!$B$13)-SUMIFS(INDEX('Oxford Economics'!$A$7:$AZ$1000,0,IFERROR(MATCH(P$5,'Oxford Economics'!$A$6:$AZ$6,0),MATCH(P$5&amp;"",'Oxford Economics'!$A$6:$AZ$6,0))),'Oxford Economics'!$A$7:$A$1000,$C77,'Oxford Economics'!$B$7:$B$1000,Settings!$B$15),SUMIFS(INDEX('Oxford Economics'!$A$7:$AZ$1000,0,IFERROR(MATCH(P$5,'Oxford Economics'!$A$6:$AZ$6,0),MATCH(P$5&amp;"",'Oxford Economics'!$A$6:$AZ$6,0))),'Oxford Economics'!$A$7:$A$1000,$C77,'Oxford Economics'!$B$7:$B$1000,Settings!$B$15)+SUMIFS(INDEX('Oxford Economics'!$A$7:$AZ$1000,0,IFERROR(MATCH(P$5,'Oxford Economics'!$A$6:$AZ$6,0),MATCH(P$5&amp;"",'Oxford Economics'!$A$6:$AZ$6,0))),'Oxford Economics'!$A$7:$A$1000,$C77,'Oxford Economics'!$B$7:$B$1000,Settings!$B$17)+IF(Settings!$B$19="",0,SUMIFS(INDEX('Oxford Economics'!$A$7:$AZ$1000,0,IFERROR(MATCH(P$5,'Oxford Economics'!$A$6:$AZ$6,0),MATCH(P$5&amp;"",'Oxford Economics'!$A$6:$AZ$6,0))),'Oxford Economics'!$A$7:$A$1000,$C77,'Oxford Economics'!$B$7:$B$1000,Settings!$B$19)))),""))</f>
        <v>21598.12</v>
      </c>
      <c r="Q77" s="38" t="n">
        <f aca="false">IF($A77="","",IFERROR(1/(1/IF($B77="Residential",SUMIFS(INDEX('Oxford Economics'!$A$7:$AZ$1000,0,IFERROR(MATCH(Q$5,'Oxford Economics'!$A$6:$AZ$6,0),MATCH(Q$5&amp;"",'Oxford Economics'!$A$6:$AZ$6,0))),'Oxford Economics'!$A$7:$A$1000,$C77,'Oxford Economics'!$B$7:$B$1000,Settings!$B$13)-SUMIFS(INDEX('Oxford Economics'!$A$7:$AZ$1000,0,IFERROR(MATCH(Q$5,'Oxford Economics'!$A$6:$AZ$6,0),MATCH(Q$5&amp;"",'Oxford Economics'!$A$6:$AZ$6,0))),'Oxford Economics'!$A$7:$A$1000,$C77,'Oxford Economics'!$B$7:$B$1000,Settings!$B$15),SUMIFS(INDEX('Oxford Economics'!$A$7:$AZ$1000,0,IFERROR(MATCH(Q$5,'Oxford Economics'!$A$6:$AZ$6,0),MATCH(Q$5&amp;"",'Oxford Economics'!$A$6:$AZ$6,0))),'Oxford Economics'!$A$7:$A$1000,$C77,'Oxford Economics'!$B$7:$B$1000,Settings!$B$15)+SUMIFS(INDEX('Oxford Economics'!$A$7:$AZ$1000,0,IFERROR(MATCH(Q$5,'Oxford Economics'!$A$6:$AZ$6,0),MATCH(Q$5&amp;"",'Oxford Economics'!$A$6:$AZ$6,0))),'Oxford Economics'!$A$7:$A$1000,$C77,'Oxford Economics'!$B$7:$B$1000,Settings!$B$17)+IF(Settings!$B$19="",0,SUMIFS(INDEX('Oxford Economics'!$A$7:$AZ$1000,0,IFERROR(MATCH(Q$5,'Oxford Economics'!$A$6:$AZ$6,0),MATCH(Q$5&amp;"",'Oxford Economics'!$A$6:$AZ$6,0))),'Oxford Economics'!$A$7:$A$1000,$C77,'Oxford Economics'!$B$7:$B$1000,Settings!$B$19)))),""))</f>
        <v>24644.37</v>
      </c>
      <c r="R77" s="38" t="n">
        <f aca="false">IF($A77="","",IFERROR(1/(1/IF($B77="Residential",SUMIFS(INDEX('Oxford Economics'!$A$7:$AZ$1000,0,IFERROR(MATCH(R$5,'Oxford Economics'!$A$6:$AZ$6,0),MATCH(R$5&amp;"",'Oxford Economics'!$A$6:$AZ$6,0))),'Oxford Economics'!$A$7:$A$1000,$C77,'Oxford Economics'!$B$7:$B$1000,Settings!$B$13)-SUMIFS(INDEX('Oxford Economics'!$A$7:$AZ$1000,0,IFERROR(MATCH(R$5,'Oxford Economics'!$A$6:$AZ$6,0),MATCH(R$5&amp;"",'Oxford Economics'!$A$6:$AZ$6,0))),'Oxford Economics'!$A$7:$A$1000,$C77,'Oxford Economics'!$B$7:$B$1000,Settings!$B$15),SUMIFS(INDEX('Oxford Economics'!$A$7:$AZ$1000,0,IFERROR(MATCH(R$5,'Oxford Economics'!$A$6:$AZ$6,0),MATCH(R$5&amp;"",'Oxford Economics'!$A$6:$AZ$6,0))),'Oxford Economics'!$A$7:$A$1000,$C77,'Oxford Economics'!$B$7:$B$1000,Settings!$B$15)+SUMIFS(INDEX('Oxford Economics'!$A$7:$AZ$1000,0,IFERROR(MATCH(R$5,'Oxford Economics'!$A$6:$AZ$6,0),MATCH(R$5&amp;"",'Oxford Economics'!$A$6:$AZ$6,0))),'Oxford Economics'!$A$7:$A$1000,$C77,'Oxford Economics'!$B$7:$B$1000,Settings!$B$17)+IF(Settings!$B$19="",0,SUMIFS(INDEX('Oxford Economics'!$A$7:$AZ$1000,0,IFERROR(MATCH(R$5,'Oxford Economics'!$A$6:$AZ$6,0),MATCH(R$5&amp;"",'Oxford Economics'!$A$6:$AZ$6,0))),'Oxford Economics'!$A$7:$A$1000,$C77,'Oxford Economics'!$B$7:$B$1000,Settings!$B$19)))),""))</f>
        <v>25145.66</v>
      </c>
      <c r="S77" s="38" t="n">
        <f aca="false">IF($A77="","",IFERROR(1/(1/IF($B77="Residential",SUMIFS(INDEX('Oxford Economics'!$A$7:$AZ$1000,0,IFERROR(MATCH(S$5,'Oxford Economics'!$A$6:$AZ$6,0),MATCH(S$5&amp;"",'Oxford Economics'!$A$6:$AZ$6,0))),'Oxford Economics'!$A$7:$A$1000,$C77,'Oxford Economics'!$B$7:$B$1000,Settings!$B$13)-SUMIFS(INDEX('Oxford Economics'!$A$7:$AZ$1000,0,IFERROR(MATCH(S$5,'Oxford Economics'!$A$6:$AZ$6,0),MATCH(S$5&amp;"",'Oxford Economics'!$A$6:$AZ$6,0))),'Oxford Economics'!$A$7:$A$1000,$C77,'Oxford Economics'!$B$7:$B$1000,Settings!$B$15),SUMIFS(INDEX('Oxford Economics'!$A$7:$AZ$1000,0,IFERROR(MATCH(S$5,'Oxford Economics'!$A$6:$AZ$6,0),MATCH(S$5&amp;"",'Oxford Economics'!$A$6:$AZ$6,0))),'Oxford Economics'!$A$7:$A$1000,$C77,'Oxford Economics'!$B$7:$B$1000,Settings!$B$15)+SUMIFS(INDEX('Oxford Economics'!$A$7:$AZ$1000,0,IFERROR(MATCH(S$5,'Oxford Economics'!$A$6:$AZ$6,0),MATCH(S$5&amp;"",'Oxford Economics'!$A$6:$AZ$6,0))),'Oxford Economics'!$A$7:$A$1000,$C77,'Oxford Economics'!$B$7:$B$1000,Settings!$B$17)+IF(Settings!$B$19="",0,SUMIFS(INDEX('Oxford Economics'!$A$7:$AZ$1000,0,IFERROR(MATCH(S$5,'Oxford Economics'!$A$6:$AZ$6,0),MATCH(S$5&amp;"",'Oxford Economics'!$A$6:$AZ$6,0))),'Oxford Economics'!$A$7:$A$1000,$C77,'Oxford Economics'!$B$7:$B$1000,Settings!$B$19)))),""))</f>
        <v>27647.3</v>
      </c>
      <c r="T77" s="38" t="n">
        <f aca="false">IF($A77="","",IFERROR(1/(1/IF($B77="Residential",SUMIFS(INDEX('Oxford Economics'!$A$7:$AZ$1000,0,IFERROR(MATCH(T$5,'Oxford Economics'!$A$6:$AZ$6,0),MATCH(T$5&amp;"",'Oxford Economics'!$A$6:$AZ$6,0))),'Oxford Economics'!$A$7:$A$1000,$C77,'Oxford Economics'!$B$7:$B$1000,Settings!$B$13)-SUMIFS(INDEX('Oxford Economics'!$A$7:$AZ$1000,0,IFERROR(MATCH(T$5,'Oxford Economics'!$A$6:$AZ$6,0),MATCH(T$5&amp;"",'Oxford Economics'!$A$6:$AZ$6,0))),'Oxford Economics'!$A$7:$A$1000,$C77,'Oxford Economics'!$B$7:$B$1000,Settings!$B$15),SUMIFS(INDEX('Oxford Economics'!$A$7:$AZ$1000,0,IFERROR(MATCH(T$5,'Oxford Economics'!$A$6:$AZ$6,0),MATCH(T$5&amp;"",'Oxford Economics'!$A$6:$AZ$6,0))),'Oxford Economics'!$A$7:$A$1000,$C77,'Oxford Economics'!$B$7:$B$1000,Settings!$B$15)+SUMIFS(INDEX('Oxford Economics'!$A$7:$AZ$1000,0,IFERROR(MATCH(T$5,'Oxford Economics'!$A$6:$AZ$6,0),MATCH(T$5&amp;"",'Oxford Economics'!$A$6:$AZ$6,0))),'Oxford Economics'!$A$7:$A$1000,$C77,'Oxford Economics'!$B$7:$B$1000,Settings!$B$17)+IF(Settings!$B$19="",0,SUMIFS(INDEX('Oxford Economics'!$A$7:$AZ$1000,0,IFERROR(MATCH(T$5,'Oxford Economics'!$A$6:$AZ$6,0),MATCH(T$5&amp;"",'Oxford Economics'!$A$6:$AZ$6,0))),'Oxford Economics'!$A$7:$A$1000,$C77,'Oxford Economics'!$B$7:$B$1000,Settings!$B$19)))),""))</f>
        <v>28906.58</v>
      </c>
      <c r="U77" s="38" t="n">
        <f aca="false">IF($A77="","",IFERROR(1/(1/IF($B77="Residential",SUMIFS(INDEX('Oxford Economics'!$A$7:$AZ$1000,0,IFERROR(MATCH(U$5,'Oxford Economics'!$A$6:$AZ$6,0),MATCH(U$5&amp;"",'Oxford Economics'!$A$6:$AZ$6,0))),'Oxford Economics'!$A$7:$A$1000,$C77,'Oxford Economics'!$B$7:$B$1000,Settings!$B$13)-SUMIFS(INDEX('Oxford Economics'!$A$7:$AZ$1000,0,IFERROR(MATCH(U$5,'Oxford Economics'!$A$6:$AZ$6,0),MATCH(U$5&amp;"",'Oxford Economics'!$A$6:$AZ$6,0))),'Oxford Economics'!$A$7:$A$1000,$C77,'Oxford Economics'!$B$7:$B$1000,Settings!$B$15),SUMIFS(INDEX('Oxford Economics'!$A$7:$AZ$1000,0,IFERROR(MATCH(U$5,'Oxford Economics'!$A$6:$AZ$6,0),MATCH(U$5&amp;"",'Oxford Economics'!$A$6:$AZ$6,0))),'Oxford Economics'!$A$7:$A$1000,$C77,'Oxford Economics'!$B$7:$B$1000,Settings!$B$15)+SUMIFS(INDEX('Oxford Economics'!$A$7:$AZ$1000,0,IFERROR(MATCH(U$5,'Oxford Economics'!$A$6:$AZ$6,0),MATCH(U$5&amp;"",'Oxford Economics'!$A$6:$AZ$6,0))),'Oxford Economics'!$A$7:$A$1000,$C77,'Oxford Economics'!$B$7:$B$1000,Settings!$B$17)+IF(Settings!$B$19="",0,SUMIFS(INDEX('Oxford Economics'!$A$7:$AZ$1000,0,IFERROR(MATCH(U$5,'Oxford Economics'!$A$6:$AZ$6,0),MATCH(U$5&amp;"",'Oxford Economics'!$A$6:$AZ$6,0))),'Oxford Economics'!$A$7:$A$1000,$C77,'Oxford Economics'!$B$7:$B$1000,Settings!$B$19)))),""))</f>
        <v>27995.86</v>
      </c>
      <c r="V77" s="38" t="n">
        <f aca="false">IF($A77="","",IFERROR(1/(1/IF($B77="Residential",SUMIFS(INDEX('Oxford Economics'!$A$7:$AZ$1000,0,IFERROR(MATCH(V$5,'Oxford Economics'!$A$6:$AZ$6,0),MATCH(V$5&amp;"",'Oxford Economics'!$A$6:$AZ$6,0))),'Oxford Economics'!$A$7:$A$1000,$C77,'Oxford Economics'!$B$7:$B$1000,Settings!$B$13)-SUMIFS(INDEX('Oxford Economics'!$A$7:$AZ$1000,0,IFERROR(MATCH(V$5,'Oxford Economics'!$A$6:$AZ$6,0),MATCH(V$5&amp;"",'Oxford Economics'!$A$6:$AZ$6,0))),'Oxford Economics'!$A$7:$A$1000,$C77,'Oxford Economics'!$B$7:$B$1000,Settings!$B$15),SUMIFS(INDEX('Oxford Economics'!$A$7:$AZ$1000,0,IFERROR(MATCH(V$5,'Oxford Economics'!$A$6:$AZ$6,0),MATCH(V$5&amp;"",'Oxford Economics'!$A$6:$AZ$6,0))),'Oxford Economics'!$A$7:$A$1000,$C77,'Oxford Economics'!$B$7:$B$1000,Settings!$B$15)+SUMIFS(INDEX('Oxford Economics'!$A$7:$AZ$1000,0,IFERROR(MATCH(V$5,'Oxford Economics'!$A$6:$AZ$6,0),MATCH(V$5&amp;"",'Oxford Economics'!$A$6:$AZ$6,0))),'Oxford Economics'!$A$7:$A$1000,$C77,'Oxford Economics'!$B$7:$B$1000,Settings!$B$17)+IF(Settings!$B$19="",0,SUMIFS(INDEX('Oxford Economics'!$A$7:$AZ$1000,0,IFERROR(MATCH(V$5,'Oxford Economics'!$A$6:$AZ$6,0),MATCH(V$5&amp;"",'Oxford Economics'!$A$6:$AZ$6,0))),'Oxford Economics'!$A$7:$A$1000,$C77,'Oxford Economics'!$B$7:$B$1000,Settings!$B$19)))),""))</f>
        <v>27972.61</v>
      </c>
      <c r="W77" s="38" t="n">
        <f aca="false">IF($A77="","",IFERROR(1/(1/IF($B77="Residential",SUMIFS(INDEX('Oxford Economics'!$A$7:$AZ$1000,0,IFERROR(MATCH(W$5,'Oxford Economics'!$A$6:$AZ$6,0),MATCH(W$5&amp;"",'Oxford Economics'!$A$6:$AZ$6,0))),'Oxford Economics'!$A$7:$A$1000,$C77,'Oxford Economics'!$B$7:$B$1000,Settings!$B$13)-SUMIFS(INDEX('Oxford Economics'!$A$7:$AZ$1000,0,IFERROR(MATCH(W$5,'Oxford Economics'!$A$6:$AZ$6,0),MATCH(W$5&amp;"",'Oxford Economics'!$A$6:$AZ$6,0))),'Oxford Economics'!$A$7:$A$1000,$C77,'Oxford Economics'!$B$7:$B$1000,Settings!$B$15),SUMIFS(INDEX('Oxford Economics'!$A$7:$AZ$1000,0,IFERROR(MATCH(W$5,'Oxford Economics'!$A$6:$AZ$6,0),MATCH(W$5&amp;"",'Oxford Economics'!$A$6:$AZ$6,0))),'Oxford Economics'!$A$7:$A$1000,$C77,'Oxford Economics'!$B$7:$B$1000,Settings!$B$15)+SUMIFS(INDEX('Oxford Economics'!$A$7:$AZ$1000,0,IFERROR(MATCH(W$5,'Oxford Economics'!$A$6:$AZ$6,0),MATCH(W$5&amp;"",'Oxford Economics'!$A$6:$AZ$6,0))),'Oxford Economics'!$A$7:$A$1000,$C77,'Oxford Economics'!$B$7:$B$1000,Settings!$B$17)+IF(Settings!$B$19="",0,SUMIFS(INDEX('Oxford Economics'!$A$7:$AZ$1000,0,IFERROR(MATCH(W$5,'Oxford Economics'!$A$6:$AZ$6,0),MATCH(W$5&amp;"",'Oxford Economics'!$A$6:$AZ$6,0))),'Oxford Economics'!$A$7:$A$1000,$C77,'Oxford Economics'!$B$7:$B$1000,Settings!$B$19)))),""))</f>
        <v>29213.29</v>
      </c>
      <c r="X77" s="38" t="n">
        <f aca="false">IF($A77="","",IFERROR(1/(1/IF($B77="Residential",SUMIFS(INDEX('Oxford Economics'!$A$7:$AZ$1000,0,IFERROR(MATCH(X$5,'Oxford Economics'!$A$6:$AZ$6,0),MATCH(X$5&amp;"",'Oxford Economics'!$A$6:$AZ$6,0))),'Oxford Economics'!$A$7:$A$1000,$C77,'Oxford Economics'!$B$7:$B$1000,Settings!$B$13)-SUMIFS(INDEX('Oxford Economics'!$A$7:$AZ$1000,0,IFERROR(MATCH(X$5,'Oxford Economics'!$A$6:$AZ$6,0),MATCH(X$5&amp;"",'Oxford Economics'!$A$6:$AZ$6,0))),'Oxford Economics'!$A$7:$A$1000,$C77,'Oxford Economics'!$B$7:$B$1000,Settings!$B$15),SUMIFS(INDEX('Oxford Economics'!$A$7:$AZ$1000,0,IFERROR(MATCH(X$5,'Oxford Economics'!$A$6:$AZ$6,0),MATCH(X$5&amp;"",'Oxford Economics'!$A$6:$AZ$6,0))),'Oxford Economics'!$A$7:$A$1000,$C77,'Oxford Economics'!$B$7:$B$1000,Settings!$B$15)+SUMIFS(INDEX('Oxford Economics'!$A$7:$AZ$1000,0,IFERROR(MATCH(X$5,'Oxford Economics'!$A$6:$AZ$6,0),MATCH(X$5&amp;"",'Oxford Economics'!$A$6:$AZ$6,0))),'Oxford Economics'!$A$7:$A$1000,$C77,'Oxford Economics'!$B$7:$B$1000,Settings!$B$17)+IF(Settings!$B$19="",0,SUMIFS(INDEX('Oxford Economics'!$A$7:$AZ$1000,0,IFERROR(MATCH(X$5,'Oxford Economics'!$A$6:$AZ$6,0),MATCH(X$5&amp;"",'Oxford Economics'!$A$6:$AZ$6,0))),'Oxford Economics'!$A$7:$A$1000,$C77,'Oxford Economics'!$B$7:$B$1000,Settings!$B$19)))),""))</f>
        <v>31216.29</v>
      </c>
      <c r="Y77" s="38" t="n">
        <f aca="false">IF($A77="","",IFERROR(1/(1/IF($B77="Residential",SUMIFS(INDEX('Oxford Economics'!$A$7:$AZ$1000,0,IFERROR(MATCH(Y$5,'Oxford Economics'!$A$6:$AZ$6,0),MATCH(Y$5&amp;"",'Oxford Economics'!$A$6:$AZ$6,0))),'Oxford Economics'!$A$7:$A$1000,$C77,'Oxford Economics'!$B$7:$B$1000,Settings!$B$13)-SUMIFS(INDEX('Oxford Economics'!$A$7:$AZ$1000,0,IFERROR(MATCH(Y$5,'Oxford Economics'!$A$6:$AZ$6,0),MATCH(Y$5&amp;"",'Oxford Economics'!$A$6:$AZ$6,0))),'Oxford Economics'!$A$7:$A$1000,$C77,'Oxford Economics'!$B$7:$B$1000,Settings!$B$15),SUMIFS(INDEX('Oxford Economics'!$A$7:$AZ$1000,0,IFERROR(MATCH(Y$5,'Oxford Economics'!$A$6:$AZ$6,0),MATCH(Y$5&amp;"",'Oxford Economics'!$A$6:$AZ$6,0))),'Oxford Economics'!$A$7:$A$1000,$C77,'Oxford Economics'!$B$7:$B$1000,Settings!$B$15)+SUMIFS(INDEX('Oxford Economics'!$A$7:$AZ$1000,0,IFERROR(MATCH(Y$5,'Oxford Economics'!$A$6:$AZ$6,0),MATCH(Y$5&amp;"",'Oxford Economics'!$A$6:$AZ$6,0))),'Oxford Economics'!$A$7:$A$1000,$C77,'Oxford Economics'!$B$7:$B$1000,Settings!$B$17)+IF(Settings!$B$19="",0,SUMIFS(INDEX('Oxford Economics'!$A$7:$AZ$1000,0,IFERROR(MATCH(Y$5,'Oxford Economics'!$A$6:$AZ$6,0),MATCH(Y$5&amp;"",'Oxford Economics'!$A$6:$AZ$6,0))),'Oxford Economics'!$A$7:$A$1000,$C77,'Oxford Economics'!$B$7:$B$1000,Settings!$B$19)))),""))</f>
        <v>33459.68</v>
      </c>
      <c r="Z77" s="38" t="n">
        <f aca="false">IF($A77="","",IFERROR(1/(1/IF($B77="Residential",SUMIFS(INDEX('Oxford Economics'!$A$7:$AZ$1000,0,IFERROR(MATCH(Z$5,'Oxford Economics'!$A$6:$AZ$6,0),MATCH(Z$5&amp;"",'Oxford Economics'!$A$6:$AZ$6,0))),'Oxford Economics'!$A$7:$A$1000,$C77,'Oxford Economics'!$B$7:$B$1000,Settings!$B$13)-SUMIFS(INDEX('Oxford Economics'!$A$7:$AZ$1000,0,IFERROR(MATCH(Z$5,'Oxford Economics'!$A$6:$AZ$6,0),MATCH(Z$5&amp;"",'Oxford Economics'!$A$6:$AZ$6,0))),'Oxford Economics'!$A$7:$A$1000,$C77,'Oxford Economics'!$B$7:$B$1000,Settings!$B$15),SUMIFS(INDEX('Oxford Economics'!$A$7:$AZ$1000,0,IFERROR(MATCH(Z$5,'Oxford Economics'!$A$6:$AZ$6,0),MATCH(Z$5&amp;"",'Oxford Economics'!$A$6:$AZ$6,0))),'Oxford Economics'!$A$7:$A$1000,$C77,'Oxford Economics'!$B$7:$B$1000,Settings!$B$15)+SUMIFS(INDEX('Oxford Economics'!$A$7:$AZ$1000,0,IFERROR(MATCH(Z$5,'Oxford Economics'!$A$6:$AZ$6,0),MATCH(Z$5&amp;"",'Oxford Economics'!$A$6:$AZ$6,0))),'Oxford Economics'!$A$7:$A$1000,$C77,'Oxford Economics'!$B$7:$B$1000,Settings!$B$17)+IF(Settings!$B$19="",0,SUMIFS(INDEX('Oxford Economics'!$A$7:$AZ$1000,0,IFERROR(MATCH(Z$5,'Oxford Economics'!$A$6:$AZ$6,0),MATCH(Z$5&amp;"",'Oxford Economics'!$A$6:$AZ$6,0))),'Oxford Economics'!$A$7:$A$1000,$C77,'Oxford Economics'!$B$7:$B$1000,Settings!$B$19)))),""))</f>
        <v>35319.9</v>
      </c>
      <c r="AA77" s="38" t="n">
        <f aca="false">IF($A77="","",IFERROR(1/(1/IF($B77="Residential",SUMIFS(INDEX('Oxford Economics'!$A$7:$AZ$1000,0,IFERROR(MATCH(AA$5,'Oxford Economics'!$A$6:$AZ$6,0),MATCH(AA$5&amp;"",'Oxford Economics'!$A$6:$AZ$6,0))),'Oxford Economics'!$A$7:$A$1000,$C77,'Oxford Economics'!$B$7:$B$1000,Settings!$B$13)-SUMIFS(INDEX('Oxford Economics'!$A$7:$AZ$1000,0,IFERROR(MATCH(AA$5,'Oxford Economics'!$A$6:$AZ$6,0),MATCH(AA$5&amp;"",'Oxford Economics'!$A$6:$AZ$6,0))),'Oxford Economics'!$A$7:$A$1000,$C77,'Oxford Economics'!$B$7:$B$1000,Settings!$B$15),SUMIFS(INDEX('Oxford Economics'!$A$7:$AZ$1000,0,IFERROR(MATCH(AA$5,'Oxford Economics'!$A$6:$AZ$6,0),MATCH(AA$5&amp;"",'Oxford Economics'!$A$6:$AZ$6,0))),'Oxford Economics'!$A$7:$A$1000,$C77,'Oxford Economics'!$B$7:$B$1000,Settings!$B$15)+SUMIFS(INDEX('Oxford Economics'!$A$7:$AZ$1000,0,IFERROR(MATCH(AA$5,'Oxford Economics'!$A$6:$AZ$6,0),MATCH(AA$5&amp;"",'Oxford Economics'!$A$6:$AZ$6,0))),'Oxford Economics'!$A$7:$A$1000,$C77,'Oxford Economics'!$B$7:$B$1000,Settings!$B$17)+IF(Settings!$B$19="",0,SUMIFS(INDEX('Oxford Economics'!$A$7:$AZ$1000,0,IFERROR(MATCH(AA$5,'Oxford Economics'!$A$6:$AZ$6,0),MATCH(AA$5&amp;"",'Oxford Economics'!$A$6:$AZ$6,0))),'Oxford Economics'!$A$7:$A$1000,$C77,'Oxford Economics'!$B$7:$B$1000,Settings!$B$19)))),""))</f>
        <v>36367.33</v>
      </c>
      <c r="AB77" s="38" t="n">
        <f aca="false">IF($A77="","",IFERROR(1/(1/IF($B77="Residential",SUMIFS(INDEX('Oxford Economics'!$A$7:$AZ$1000,0,IFERROR(MATCH(AB$5,'Oxford Economics'!$A$6:$AZ$6,0),MATCH(AB$5&amp;"",'Oxford Economics'!$A$6:$AZ$6,0))),'Oxford Economics'!$A$7:$A$1000,$C77,'Oxford Economics'!$B$7:$B$1000,Settings!$B$12)-SUMIFS(INDEX('Oxford Economics'!$A$7:$AZ$1000,0,IFERROR(MATCH(AB$5,'Oxford Economics'!$A$6:$AZ$6,0),MATCH(AB$5&amp;"",'Oxford Economics'!$A$6:$AZ$6,0))),'Oxford Economics'!$A$7:$A$1000,$C77,'Oxford Economics'!$B$7:$B$1000,Settings!$B$14),SUMIFS(INDEX('Oxford Economics'!$A$7:$AZ$1000,0,IFERROR(MATCH(AB$5,'Oxford Economics'!$A$6:$AZ$6,0),MATCH(AB$5&amp;"",'Oxford Economics'!$A$6:$AZ$6,0))),'Oxford Economics'!$A$7:$A$1000,$C77,'Oxford Economics'!$B$7:$B$1000,Settings!$B$14)+SUMIFS(INDEX('Oxford Economics'!$A$7:$AZ$1000,0,IFERROR(MATCH(AB$5,'Oxford Economics'!$A$6:$AZ$6,0),MATCH(AB$5&amp;"",'Oxford Economics'!$A$6:$AZ$6,0))),'Oxford Economics'!$A$7:$A$1000,$C77,'Oxford Economics'!$B$7:$B$1000,Settings!$B$16)+IF(Settings!$B$18="",0,SUMIFS(INDEX('Oxford Economics'!$A$7:$AZ$1000,0,IFERROR(MATCH(AB$5,'Oxford Economics'!$A$6:$AZ$6,0),MATCH(AB$5&amp;"",'Oxford Economics'!$A$6:$AZ$6,0))),'Oxford Economics'!$A$7:$A$1000,$C77,'Oxford Economics'!$B$7:$B$1000,Settings!$B$18)))),""))</f>
        <v>45448.33</v>
      </c>
      <c r="AC77" s="38" t="n">
        <f aca="false">IF($A77="","",IFERROR(1/(1/IF($B77="Residential",SUMIFS(INDEX('Oxford Economics'!$A$7:$AZ$1000,0,IFERROR(MATCH(AC$5,'Oxford Economics'!$A$6:$AZ$6,0),MATCH(AC$5&amp;"",'Oxford Economics'!$A$6:$AZ$6,0))),'Oxford Economics'!$A$7:$A$1000,$C77,'Oxford Economics'!$B$7:$B$1000,Settings!$B$12)-SUMIFS(INDEX('Oxford Economics'!$A$7:$AZ$1000,0,IFERROR(MATCH(AC$5,'Oxford Economics'!$A$6:$AZ$6,0),MATCH(AC$5&amp;"",'Oxford Economics'!$A$6:$AZ$6,0))),'Oxford Economics'!$A$7:$A$1000,$C77,'Oxford Economics'!$B$7:$B$1000,Settings!$B$14),SUMIFS(INDEX('Oxford Economics'!$A$7:$AZ$1000,0,IFERROR(MATCH(AC$5,'Oxford Economics'!$A$6:$AZ$6,0),MATCH(AC$5&amp;"",'Oxford Economics'!$A$6:$AZ$6,0))),'Oxford Economics'!$A$7:$A$1000,$C77,'Oxford Economics'!$B$7:$B$1000,Settings!$B$14)+SUMIFS(INDEX('Oxford Economics'!$A$7:$AZ$1000,0,IFERROR(MATCH(AC$5,'Oxford Economics'!$A$6:$AZ$6,0),MATCH(AC$5&amp;"",'Oxford Economics'!$A$6:$AZ$6,0))),'Oxford Economics'!$A$7:$A$1000,$C77,'Oxford Economics'!$B$7:$B$1000,Settings!$B$16)+IF(Settings!$B$18="",0,SUMIFS(INDEX('Oxford Economics'!$A$7:$AZ$1000,0,IFERROR(MATCH(AC$5,'Oxford Economics'!$A$6:$AZ$6,0),MATCH(AC$5&amp;"",'Oxford Economics'!$A$6:$AZ$6,0))),'Oxford Economics'!$A$7:$A$1000,$C77,'Oxford Economics'!$B$7:$B$1000,Settings!$B$18)))),""))</f>
        <v>45243.81</v>
      </c>
      <c r="AD77" s="38" t="n">
        <f aca="false">IF($A77="","",IFERROR(1/(1/IF($B77="Residential",SUMIFS(INDEX('Oxford Economics'!$A$7:$AZ$1000,0,IFERROR(MATCH(AD$5,'Oxford Economics'!$A$6:$AZ$6,0),MATCH(AD$5&amp;"",'Oxford Economics'!$A$6:$AZ$6,0))),'Oxford Economics'!$A$7:$A$1000,$C77,'Oxford Economics'!$B$7:$B$1000,Settings!$B$12)-SUMIFS(INDEX('Oxford Economics'!$A$7:$AZ$1000,0,IFERROR(MATCH(AD$5,'Oxford Economics'!$A$6:$AZ$6,0),MATCH(AD$5&amp;"",'Oxford Economics'!$A$6:$AZ$6,0))),'Oxford Economics'!$A$7:$A$1000,$C77,'Oxford Economics'!$B$7:$B$1000,Settings!$B$14),SUMIFS(INDEX('Oxford Economics'!$A$7:$AZ$1000,0,IFERROR(MATCH(AD$5,'Oxford Economics'!$A$6:$AZ$6,0),MATCH(AD$5&amp;"",'Oxford Economics'!$A$6:$AZ$6,0))),'Oxford Economics'!$A$7:$A$1000,$C77,'Oxford Economics'!$B$7:$B$1000,Settings!$B$14)+SUMIFS(INDEX('Oxford Economics'!$A$7:$AZ$1000,0,IFERROR(MATCH(AD$5,'Oxford Economics'!$A$6:$AZ$6,0),MATCH(AD$5&amp;"",'Oxford Economics'!$A$6:$AZ$6,0))),'Oxford Economics'!$A$7:$A$1000,$C77,'Oxford Economics'!$B$7:$B$1000,Settings!$B$16)+IF(Settings!$B$18="",0,SUMIFS(INDEX('Oxford Economics'!$A$7:$AZ$1000,0,IFERROR(MATCH(AD$5,'Oxford Economics'!$A$6:$AZ$6,0),MATCH(AD$5&amp;"",'Oxford Economics'!$A$6:$AZ$6,0))),'Oxford Economics'!$A$7:$A$1000,$C77,'Oxford Economics'!$B$7:$B$1000,Settings!$B$18)))),""))</f>
        <v>45279.89</v>
      </c>
      <c r="AE77" s="38" t="n">
        <f aca="false">IF($A77="","",IFERROR(1/(1/IF($B77="Residential",SUMIFS(INDEX('Oxford Economics'!$A$7:$AZ$1000,0,IFERROR(MATCH(AE$5,'Oxford Economics'!$A$6:$AZ$6,0),MATCH(AE$5&amp;"",'Oxford Economics'!$A$6:$AZ$6,0))),'Oxford Economics'!$A$7:$A$1000,$C77,'Oxford Economics'!$B$7:$B$1000,Settings!$B$12)-SUMIFS(INDEX('Oxford Economics'!$A$7:$AZ$1000,0,IFERROR(MATCH(AE$5,'Oxford Economics'!$A$6:$AZ$6,0),MATCH(AE$5&amp;"",'Oxford Economics'!$A$6:$AZ$6,0))),'Oxford Economics'!$A$7:$A$1000,$C77,'Oxford Economics'!$B$7:$B$1000,Settings!$B$14),SUMIFS(INDEX('Oxford Economics'!$A$7:$AZ$1000,0,IFERROR(MATCH(AE$5,'Oxford Economics'!$A$6:$AZ$6,0),MATCH(AE$5&amp;"",'Oxford Economics'!$A$6:$AZ$6,0))),'Oxford Economics'!$A$7:$A$1000,$C77,'Oxford Economics'!$B$7:$B$1000,Settings!$B$14)+SUMIFS(INDEX('Oxford Economics'!$A$7:$AZ$1000,0,IFERROR(MATCH(AE$5,'Oxford Economics'!$A$6:$AZ$6,0),MATCH(AE$5&amp;"",'Oxford Economics'!$A$6:$AZ$6,0))),'Oxford Economics'!$A$7:$A$1000,$C77,'Oxford Economics'!$B$7:$B$1000,Settings!$B$16)+IF(Settings!$B$18="",0,SUMIFS(INDEX('Oxford Economics'!$A$7:$AZ$1000,0,IFERROR(MATCH(AE$5,'Oxford Economics'!$A$6:$AZ$6,0),MATCH(AE$5&amp;"",'Oxford Economics'!$A$6:$AZ$6,0))),'Oxford Economics'!$A$7:$A$1000,$C77,'Oxford Economics'!$B$7:$B$1000,Settings!$B$18)))),""))</f>
        <v>45838.71</v>
      </c>
      <c r="AF77" s="38" t="n">
        <f aca="false">IF($A77="","",IFERROR(1/(1/IF($B77="Residential",SUMIFS(INDEX('Oxford Economics'!$A$7:$AZ$1000,0,IFERROR(MATCH(AF$5,'Oxford Economics'!$A$6:$AZ$6,0),MATCH(AF$5&amp;"",'Oxford Economics'!$A$6:$AZ$6,0))),'Oxford Economics'!$A$7:$A$1000,$C77,'Oxford Economics'!$B$7:$B$1000,Settings!$B$12)-SUMIFS(INDEX('Oxford Economics'!$A$7:$AZ$1000,0,IFERROR(MATCH(AF$5,'Oxford Economics'!$A$6:$AZ$6,0),MATCH(AF$5&amp;"",'Oxford Economics'!$A$6:$AZ$6,0))),'Oxford Economics'!$A$7:$A$1000,$C77,'Oxford Economics'!$B$7:$B$1000,Settings!$B$14),SUMIFS(INDEX('Oxford Economics'!$A$7:$AZ$1000,0,IFERROR(MATCH(AF$5,'Oxford Economics'!$A$6:$AZ$6,0),MATCH(AF$5&amp;"",'Oxford Economics'!$A$6:$AZ$6,0))),'Oxford Economics'!$A$7:$A$1000,$C77,'Oxford Economics'!$B$7:$B$1000,Settings!$B$14)+SUMIFS(INDEX('Oxford Economics'!$A$7:$AZ$1000,0,IFERROR(MATCH(AF$5,'Oxford Economics'!$A$6:$AZ$6,0),MATCH(AF$5&amp;"",'Oxford Economics'!$A$6:$AZ$6,0))),'Oxford Economics'!$A$7:$A$1000,$C77,'Oxford Economics'!$B$7:$B$1000,Settings!$B$16)+IF(Settings!$B$18="",0,SUMIFS(INDEX('Oxford Economics'!$A$7:$AZ$1000,0,IFERROR(MATCH(AF$5,'Oxford Economics'!$A$6:$AZ$6,0),MATCH(AF$5&amp;"",'Oxford Economics'!$A$6:$AZ$6,0))),'Oxford Economics'!$A$7:$A$1000,$C77,'Oxford Economics'!$B$7:$B$1000,Settings!$B$18)))),""))</f>
        <v>43491.1</v>
      </c>
      <c r="AG77" s="38" t="n">
        <f aca="false">IF($A77="","",IFERROR(1/(1/IF($B77="Residential",SUMIFS(INDEX('Oxford Economics'!$A$7:$AZ$1000,0,IFERROR(MATCH(AG$5,'Oxford Economics'!$A$6:$AZ$6,0),MATCH(AG$5&amp;"",'Oxford Economics'!$A$6:$AZ$6,0))),'Oxford Economics'!$A$7:$A$1000,$C77,'Oxford Economics'!$B$7:$B$1000,Settings!$B$12)-SUMIFS(INDEX('Oxford Economics'!$A$7:$AZ$1000,0,IFERROR(MATCH(AG$5,'Oxford Economics'!$A$6:$AZ$6,0),MATCH(AG$5&amp;"",'Oxford Economics'!$A$6:$AZ$6,0))),'Oxford Economics'!$A$7:$A$1000,$C77,'Oxford Economics'!$B$7:$B$1000,Settings!$B$14),SUMIFS(INDEX('Oxford Economics'!$A$7:$AZ$1000,0,IFERROR(MATCH(AG$5,'Oxford Economics'!$A$6:$AZ$6,0),MATCH(AG$5&amp;"",'Oxford Economics'!$A$6:$AZ$6,0))),'Oxford Economics'!$A$7:$A$1000,$C77,'Oxford Economics'!$B$7:$B$1000,Settings!$B$14)+SUMIFS(INDEX('Oxford Economics'!$A$7:$AZ$1000,0,IFERROR(MATCH(AG$5,'Oxford Economics'!$A$6:$AZ$6,0),MATCH(AG$5&amp;"",'Oxford Economics'!$A$6:$AZ$6,0))),'Oxford Economics'!$A$7:$A$1000,$C77,'Oxford Economics'!$B$7:$B$1000,Settings!$B$16)+IF(Settings!$B$18="",0,SUMIFS(INDEX('Oxford Economics'!$A$7:$AZ$1000,0,IFERROR(MATCH(AG$5,'Oxford Economics'!$A$6:$AZ$6,0),MATCH(AG$5&amp;"",'Oxford Economics'!$A$6:$AZ$6,0))),'Oxford Economics'!$A$7:$A$1000,$C77,'Oxford Economics'!$B$7:$B$1000,Settings!$B$18)))),""))</f>
        <v>40671.83</v>
      </c>
      <c r="AH77" s="38" t="n">
        <f aca="false">IF($A77="","",IFERROR(1/(1/IF($B77="Residential",SUMIFS(INDEX('Oxford Economics'!$A$7:$AZ$1000,0,IFERROR(MATCH(AH$5,'Oxford Economics'!$A$6:$AZ$6,0),MATCH(AH$5&amp;"",'Oxford Economics'!$A$6:$AZ$6,0))),'Oxford Economics'!$A$7:$A$1000,$C77,'Oxford Economics'!$B$7:$B$1000,Settings!$B$12)-SUMIFS(INDEX('Oxford Economics'!$A$7:$AZ$1000,0,IFERROR(MATCH(AH$5,'Oxford Economics'!$A$6:$AZ$6,0),MATCH(AH$5&amp;"",'Oxford Economics'!$A$6:$AZ$6,0))),'Oxford Economics'!$A$7:$A$1000,$C77,'Oxford Economics'!$B$7:$B$1000,Settings!$B$14),SUMIFS(INDEX('Oxford Economics'!$A$7:$AZ$1000,0,IFERROR(MATCH(AH$5,'Oxford Economics'!$A$6:$AZ$6,0),MATCH(AH$5&amp;"",'Oxford Economics'!$A$6:$AZ$6,0))),'Oxford Economics'!$A$7:$A$1000,$C77,'Oxford Economics'!$B$7:$B$1000,Settings!$B$14)+SUMIFS(INDEX('Oxford Economics'!$A$7:$AZ$1000,0,IFERROR(MATCH(AH$5,'Oxford Economics'!$A$6:$AZ$6,0),MATCH(AH$5&amp;"",'Oxford Economics'!$A$6:$AZ$6,0))),'Oxford Economics'!$A$7:$A$1000,$C77,'Oxford Economics'!$B$7:$B$1000,Settings!$B$16)+IF(Settings!$B$18="",0,SUMIFS(INDEX('Oxford Economics'!$A$7:$AZ$1000,0,IFERROR(MATCH(AH$5,'Oxford Economics'!$A$6:$AZ$6,0),MATCH(AH$5&amp;"",'Oxford Economics'!$A$6:$AZ$6,0))),'Oxford Economics'!$A$7:$A$1000,$C77,'Oxford Economics'!$B$7:$B$1000,Settings!$B$18)))),""))</f>
        <v>40327.42</v>
      </c>
      <c r="AI77" s="38" t="n">
        <f aca="false">IF($A77="","",IFERROR(1/(1/IF($B77="Residential",SUMIFS(INDEX('Oxford Economics'!$A$7:$AZ$1000,0,IFERROR(MATCH(AI$5,'Oxford Economics'!$A$6:$AZ$6,0),MATCH(AI$5&amp;"",'Oxford Economics'!$A$6:$AZ$6,0))),'Oxford Economics'!$A$7:$A$1000,$C77,'Oxford Economics'!$B$7:$B$1000,Settings!$B$12)-SUMIFS(INDEX('Oxford Economics'!$A$7:$AZ$1000,0,IFERROR(MATCH(AI$5,'Oxford Economics'!$A$6:$AZ$6,0),MATCH(AI$5&amp;"",'Oxford Economics'!$A$6:$AZ$6,0))),'Oxford Economics'!$A$7:$A$1000,$C77,'Oxford Economics'!$B$7:$B$1000,Settings!$B$14),SUMIFS(INDEX('Oxford Economics'!$A$7:$AZ$1000,0,IFERROR(MATCH(AI$5,'Oxford Economics'!$A$6:$AZ$6,0),MATCH(AI$5&amp;"",'Oxford Economics'!$A$6:$AZ$6,0))),'Oxford Economics'!$A$7:$A$1000,$C77,'Oxford Economics'!$B$7:$B$1000,Settings!$B$14)+SUMIFS(INDEX('Oxford Economics'!$A$7:$AZ$1000,0,IFERROR(MATCH(AI$5,'Oxford Economics'!$A$6:$AZ$6,0),MATCH(AI$5&amp;"",'Oxford Economics'!$A$6:$AZ$6,0))),'Oxford Economics'!$A$7:$A$1000,$C77,'Oxford Economics'!$B$7:$B$1000,Settings!$B$16)+IF(Settings!$B$18="",0,SUMIFS(INDEX('Oxford Economics'!$A$7:$AZ$1000,0,IFERROR(MATCH(AI$5,'Oxford Economics'!$A$6:$AZ$6,0),MATCH(AI$5&amp;"",'Oxford Economics'!$A$6:$AZ$6,0))),'Oxford Economics'!$A$7:$A$1000,$C77,'Oxford Economics'!$B$7:$B$1000,Settings!$B$18)))),""))</f>
        <v>41159.96</v>
      </c>
      <c r="AJ77" s="38" t="n">
        <f aca="false">IF($A77="","",IFERROR(1/(1/IF($B77="Residential",SUMIFS(INDEX('Oxford Economics'!$A$7:$AZ$1000,0,IFERROR(MATCH(AJ$5,'Oxford Economics'!$A$6:$AZ$6,0),MATCH(AJ$5&amp;"",'Oxford Economics'!$A$6:$AZ$6,0))),'Oxford Economics'!$A$7:$A$1000,$C77,'Oxford Economics'!$B$7:$B$1000,Settings!$B$12)-SUMIFS(INDEX('Oxford Economics'!$A$7:$AZ$1000,0,IFERROR(MATCH(AJ$5,'Oxford Economics'!$A$6:$AZ$6,0),MATCH(AJ$5&amp;"",'Oxford Economics'!$A$6:$AZ$6,0))),'Oxford Economics'!$A$7:$A$1000,$C77,'Oxford Economics'!$B$7:$B$1000,Settings!$B$14),SUMIFS(INDEX('Oxford Economics'!$A$7:$AZ$1000,0,IFERROR(MATCH(AJ$5,'Oxford Economics'!$A$6:$AZ$6,0),MATCH(AJ$5&amp;"",'Oxford Economics'!$A$6:$AZ$6,0))),'Oxford Economics'!$A$7:$A$1000,$C77,'Oxford Economics'!$B$7:$B$1000,Settings!$B$14)+SUMIFS(INDEX('Oxford Economics'!$A$7:$AZ$1000,0,IFERROR(MATCH(AJ$5,'Oxford Economics'!$A$6:$AZ$6,0),MATCH(AJ$5&amp;"",'Oxford Economics'!$A$6:$AZ$6,0))),'Oxford Economics'!$A$7:$A$1000,$C77,'Oxford Economics'!$B$7:$B$1000,Settings!$B$16)+IF(Settings!$B$18="",0,SUMIFS(INDEX('Oxford Economics'!$A$7:$AZ$1000,0,IFERROR(MATCH(AJ$5,'Oxford Economics'!$A$6:$AZ$6,0),MATCH(AJ$5&amp;"",'Oxford Economics'!$A$6:$AZ$6,0))),'Oxford Economics'!$A$7:$A$1000,$C77,'Oxford Economics'!$B$7:$B$1000,Settings!$B$18)))),""))</f>
        <v>42495.46</v>
      </c>
      <c r="AK77" s="38" t="n">
        <f aca="false">IF($A77="","",IFERROR(1/(1/IF($B77="Residential",SUMIFS(INDEX('Oxford Economics'!$A$7:$AZ$1000,0,IFERROR(MATCH(AK$5,'Oxford Economics'!$A$6:$AZ$6,0),MATCH(AK$5&amp;"",'Oxford Economics'!$A$6:$AZ$6,0))),'Oxford Economics'!$A$7:$A$1000,$C77,'Oxford Economics'!$B$7:$B$1000,Settings!$B$12)-SUMIFS(INDEX('Oxford Economics'!$A$7:$AZ$1000,0,IFERROR(MATCH(AK$5,'Oxford Economics'!$A$6:$AZ$6,0),MATCH(AK$5&amp;"",'Oxford Economics'!$A$6:$AZ$6,0))),'Oxford Economics'!$A$7:$A$1000,$C77,'Oxford Economics'!$B$7:$B$1000,Settings!$B$14),SUMIFS(INDEX('Oxford Economics'!$A$7:$AZ$1000,0,IFERROR(MATCH(AK$5,'Oxford Economics'!$A$6:$AZ$6,0),MATCH(AK$5&amp;"",'Oxford Economics'!$A$6:$AZ$6,0))),'Oxford Economics'!$A$7:$A$1000,$C77,'Oxford Economics'!$B$7:$B$1000,Settings!$B$14)+SUMIFS(INDEX('Oxford Economics'!$A$7:$AZ$1000,0,IFERROR(MATCH(AK$5,'Oxford Economics'!$A$6:$AZ$6,0),MATCH(AK$5&amp;"",'Oxford Economics'!$A$6:$AZ$6,0))),'Oxford Economics'!$A$7:$A$1000,$C77,'Oxford Economics'!$B$7:$B$1000,Settings!$B$16)+IF(Settings!$B$18="",0,SUMIFS(INDEX('Oxford Economics'!$A$7:$AZ$1000,0,IFERROR(MATCH(AK$5,'Oxford Economics'!$A$6:$AZ$6,0),MATCH(AK$5&amp;"",'Oxford Economics'!$A$6:$AZ$6,0))),'Oxford Economics'!$A$7:$A$1000,$C77,'Oxford Economics'!$B$7:$B$1000,Settings!$B$18)))),""))</f>
        <v>44083.22</v>
      </c>
      <c r="AL77" s="38" t="n">
        <f aca="false">IF($A77="","",IFERROR(1/(1/IF($B77="Residential",SUMIFS(INDEX('Oxford Economics'!$A$7:$AZ$1000,0,IFERROR(MATCH(AL$5,'Oxford Economics'!$A$6:$AZ$6,0),MATCH(AL$5&amp;"",'Oxford Economics'!$A$6:$AZ$6,0))),'Oxford Economics'!$A$7:$A$1000,$C77,'Oxford Economics'!$B$7:$B$1000,Settings!$B$12)-SUMIFS(INDEX('Oxford Economics'!$A$7:$AZ$1000,0,IFERROR(MATCH(AL$5,'Oxford Economics'!$A$6:$AZ$6,0),MATCH(AL$5&amp;"",'Oxford Economics'!$A$6:$AZ$6,0))),'Oxford Economics'!$A$7:$A$1000,$C77,'Oxford Economics'!$B$7:$B$1000,Settings!$B$14),SUMIFS(INDEX('Oxford Economics'!$A$7:$AZ$1000,0,IFERROR(MATCH(AL$5,'Oxford Economics'!$A$6:$AZ$6,0),MATCH(AL$5&amp;"",'Oxford Economics'!$A$6:$AZ$6,0))),'Oxford Economics'!$A$7:$A$1000,$C77,'Oxford Economics'!$B$7:$B$1000,Settings!$B$14)+SUMIFS(INDEX('Oxford Economics'!$A$7:$AZ$1000,0,IFERROR(MATCH(AL$5,'Oxford Economics'!$A$6:$AZ$6,0),MATCH(AL$5&amp;"",'Oxford Economics'!$A$6:$AZ$6,0))),'Oxford Economics'!$A$7:$A$1000,$C77,'Oxford Economics'!$B$7:$B$1000,Settings!$B$16)+IF(Settings!$B$18="",0,SUMIFS(INDEX('Oxford Economics'!$A$7:$AZ$1000,0,IFERROR(MATCH(AL$5,'Oxford Economics'!$A$6:$AZ$6,0),MATCH(AL$5&amp;"",'Oxford Economics'!$A$6:$AZ$6,0))),'Oxford Economics'!$A$7:$A$1000,$C77,'Oxford Economics'!$B$7:$B$1000,Settings!$B$18)))),""))</f>
        <v>45481.02</v>
      </c>
      <c r="AM77" s="38" t="n">
        <f aca="false">IF($A77="","",IFERROR(1/(1/IF($B77="Residential",SUMIFS(INDEX('Oxford Economics'!$A$7:$AZ$1000,0,IFERROR(MATCH(AM$5,'Oxford Economics'!$A$6:$AZ$6,0),MATCH(AM$5&amp;"",'Oxford Economics'!$A$6:$AZ$6,0))),'Oxford Economics'!$A$7:$A$1000,$C77,'Oxford Economics'!$B$7:$B$1000,Settings!$B$12)-SUMIFS(INDEX('Oxford Economics'!$A$7:$AZ$1000,0,IFERROR(MATCH(AM$5,'Oxford Economics'!$A$6:$AZ$6,0),MATCH(AM$5&amp;"",'Oxford Economics'!$A$6:$AZ$6,0))),'Oxford Economics'!$A$7:$A$1000,$C77,'Oxford Economics'!$B$7:$B$1000,Settings!$B$14),SUMIFS(INDEX('Oxford Economics'!$A$7:$AZ$1000,0,IFERROR(MATCH(AM$5,'Oxford Economics'!$A$6:$AZ$6,0),MATCH(AM$5&amp;"",'Oxford Economics'!$A$6:$AZ$6,0))),'Oxford Economics'!$A$7:$A$1000,$C77,'Oxford Economics'!$B$7:$B$1000,Settings!$B$14)+SUMIFS(INDEX('Oxford Economics'!$A$7:$AZ$1000,0,IFERROR(MATCH(AM$5,'Oxford Economics'!$A$6:$AZ$6,0),MATCH(AM$5&amp;"",'Oxford Economics'!$A$6:$AZ$6,0))),'Oxford Economics'!$A$7:$A$1000,$C77,'Oxford Economics'!$B$7:$B$1000,Settings!$B$16)+IF(Settings!$B$18="",0,SUMIFS(INDEX('Oxford Economics'!$A$7:$AZ$1000,0,IFERROR(MATCH(AM$5,'Oxford Economics'!$A$6:$AZ$6,0),MATCH(AM$5&amp;"",'Oxford Economics'!$A$6:$AZ$6,0))),'Oxford Economics'!$A$7:$A$1000,$C77,'Oxford Economics'!$B$7:$B$1000,Settings!$B$18)))),""))</f>
        <v>46868.77</v>
      </c>
    </row>
    <row r="78" customFormat="false" ht="15" hidden="false" customHeight="false" outlineLevel="0" collapsed="false">
      <c r="A78" s="37" t="str">
        <f aca="false">IF('Raw data'!$A78="","",'Raw data'!$A78)</f>
        <v>France</v>
      </c>
      <c r="B78" s="37" t="str">
        <f aca="false">IF($A78="","",'Raw data'!$C78)</f>
        <v>Residential</v>
      </c>
      <c r="C78" s="37" t="str">
        <f aca="false">IF($A78="","",IF('Raw data'!$E78="",$A78,'Raw data'!$E78))</f>
        <v>France</v>
      </c>
      <c r="D78" s="38" t="n">
        <f aca="false">IF($A78="","",IF(AND(ISNUMBER(P78),ISNUMBER(AB78)),P78+AB78,""))</f>
        <v>51362.08</v>
      </c>
      <c r="E78" s="38" t="n">
        <f aca="false">IF($A78="","",IF(AND(ISNUMBER(Q78),ISNUMBER(AC78)),Q78+AC78,""))</f>
        <v>55749.15</v>
      </c>
      <c r="F78" s="38" t="n">
        <f aca="false">IF($A78="","",IF(AND(ISNUMBER(R78),ISNUMBER(AD78)),R78+AD78,""))</f>
        <v>53730.03</v>
      </c>
      <c r="G78" s="38" t="n">
        <f aca="false">IF($A78="","",IF(AND(ISNUMBER(S78),ISNUMBER(AE78)),S78+AE78,""))</f>
        <v>52407.61</v>
      </c>
      <c r="H78" s="38" t="n">
        <f aca="false">IF($A78="","",IF(AND(ISNUMBER(T78),ISNUMBER(AF78)),T78+AF78,""))</f>
        <v>47581.62</v>
      </c>
      <c r="I78" s="38" t="n">
        <f aca="false">IF($A78="","",IF(AND(ISNUMBER(U78),ISNUMBER(AG78)),U78+AG78,""))</f>
        <v>47504.24</v>
      </c>
      <c r="J78" s="38" t="n">
        <f aca="false">IF($A78="","",IF(AND(ISNUMBER(V78),ISNUMBER(AH78)),V78+AH78,""))</f>
        <v>47698.61</v>
      </c>
      <c r="K78" s="38" t="n">
        <f aca="false">IF($A78="","",IF(AND(ISNUMBER(W78),ISNUMBER(AI78)),W78+AI78,""))</f>
        <v>48102.06</v>
      </c>
      <c r="L78" s="38" t="n">
        <f aca="false">IF($A78="","",IF(AND(ISNUMBER(X78),ISNUMBER(AJ78)),X78+AJ78,""))</f>
        <v>48998.45</v>
      </c>
      <c r="M78" s="38" t="n">
        <f aca="false">IF($A78="","",IF(AND(ISNUMBER(Y78),ISNUMBER(AK78)),Y78+AK78,""))</f>
        <v>50214.66</v>
      </c>
      <c r="N78" s="38" t="n">
        <f aca="false">IF($A78="","",IF(AND(ISNUMBER(Z78),ISNUMBER(AL78)),Z78+AL78,""))</f>
        <v>51126.61</v>
      </c>
      <c r="O78" s="38" t="n">
        <f aca="false">IF($A78="","",IF(AND(ISNUMBER(AA78),ISNUMBER(AM78)),AA78+AM78,""))</f>
        <v>52450.51</v>
      </c>
      <c r="P78" s="38" t="n">
        <f aca="false">IF($A78="","",IFERROR(1/(1/IF($B78="Residential",SUMIFS(INDEX('Oxford Economics'!$A$7:$AZ$1000,0,IFERROR(MATCH(P$5,'Oxford Economics'!$A$6:$AZ$6,0),MATCH(P$5&amp;"",'Oxford Economics'!$A$6:$AZ$6,0))),'Oxford Economics'!$A$7:$A$1000,$C78,'Oxford Economics'!$B$7:$B$1000,Settings!$B$13)-SUMIFS(INDEX('Oxford Economics'!$A$7:$AZ$1000,0,IFERROR(MATCH(P$5,'Oxford Economics'!$A$6:$AZ$6,0),MATCH(P$5&amp;"",'Oxford Economics'!$A$6:$AZ$6,0))),'Oxford Economics'!$A$7:$A$1000,$C78,'Oxford Economics'!$B$7:$B$1000,Settings!$B$15),SUMIFS(INDEX('Oxford Economics'!$A$7:$AZ$1000,0,IFERROR(MATCH(P$5,'Oxford Economics'!$A$6:$AZ$6,0),MATCH(P$5&amp;"",'Oxford Economics'!$A$6:$AZ$6,0))),'Oxford Economics'!$A$7:$A$1000,$C78,'Oxford Economics'!$B$7:$B$1000,Settings!$B$15)+SUMIFS(INDEX('Oxford Economics'!$A$7:$AZ$1000,0,IFERROR(MATCH(P$5,'Oxford Economics'!$A$6:$AZ$6,0),MATCH(P$5&amp;"",'Oxford Economics'!$A$6:$AZ$6,0))),'Oxford Economics'!$A$7:$A$1000,$C78,'Oxford Economics'!$B$7:$B$1000,Settings!$B$17)+IF(Settings!$B$19="",0,SUMIFS(INDEX('Oxford Economics'!$A$7:$AZ$1000,0,IFERROR(MATCH(P$5,'Oxford Economics'!$A$6:$AZ$6,0),MATCH(P$5&amp;"",'Oxford Economics'!$A$6:$AZ$6,0))),'Oxford Economics'!$A$7:$A$1000,$C78,'Oxford Economics'!$B$7:$B$1000,Settings!$B$19)))),""))</f>
        <v>32052.65</v>
      </c>
      <c r="Q78" s="38" t="n">
        <f aca="false">IF($A78="","",IFERROR(1/(1/IF($B78="Residential",SUMIFS(INDEX('Oxford Economics'!$A$7:$AZ$1000,0,IFERROR(MATCH(Q$5,'Oxford Economics'!$A$6:$AZ$6,0),MATCH(Q$5&amp;"",'Oxford Economics'!$A$6:$AZ$6,0))),'Oxford Economics'!$A$7:$A$1000,$C78,'Oxford Economics'!$B$7:$B$1000,Settings!$B$13)-SUMIFS(INDEX('Oxford Economics'!$A$7:$AZ$1000,0,IFERROR(MATCH(Q$5,'Oxford Economics'!$A$6:$AZ$6,0),MATCH(Q$5&amp;"",'Oxford Economics'!$A$6:$AZ$6,0))),'Oxford Economics'!$A$7:$A$1000,$C78,'Oxford Economics'!$B$7:$B$1000,Settings!$B$15),SUMIFS(INDEX('Oxford Economics'!$A$7:$AZ$1000,0,IFERROR(MATCH(Q$5,'Oxford Economics'!$A$6:$AZ$6,0),MATCH(Q$5&amp;"",'Oxford Economics'!$A$6:$AZ$6,0))),'Oxford Economics'!$A$7:$A$1000,$C78,'Oxford Economics'!$B$7:$B$1000,Settings!$B$15)+SUMIFS(INDEX('Oxford Economics'!$A$7:$AZ$1000,0,IFERROR(MATCH(Q$5,'Oxford Economics'!$A$6:$AZ$6,0),MATCH(Q$5&amp;"",'Oxford Economics'!$A$6:$AZ$6,0))),'Oxford Economics'!$A$7:$A$1000,$C78,'Oxford Economics'!$B$7:$B$1000,Settings!$B$17)+IF(Settings!$B$19="",0,SUMIFS(INDEX('Oxford Economics'!$A$7:$AZ$1000,0,IFERROR(MATCH(Q$5,'Oxford Economics'!$A$6:$AZ$6,0),MATCH(Q$5&amp;"",'Oxford Economics'!$A$6:$AZ$6,0))),'Oxford Economics'!$A$7:$A$1000,$C78,'Oxford Economics'!$B$7:$B$1000,Settings!$B$19)))),""))</f>
        <v>34083.08</v>
      </c>
      <c r="R78" s="38" t="n">
        <f aca="false">IF($A78="","",IFERROR(1/(1/IF($B78="Residential",SUMIFS(INDEX('Oxford Economics'!$A$7:$AZ$1000,0,IFERROR(MATCH(R$5,'Oxford Economics'!$A$6:$AZ$6,0),MATCH(R$5&amp;"",'Oxford Economics'!$A$6:$AZ$6,0))),'Oxford Economics'!$A$7:$A$1000,$C78,'Oxford Economics'!$B$7:$B$1000,Settings!$B$13)-SUMIFS(INDEX('Oxford Economics'!$A$7:$AZ$1000,0,IFERROR(MATCH(R$5,'Oxford Economics'!$A$6:$AZ$6,0),MATCH(R$5&amp;"",'Oxford Economics'!$A$6:$AZ$6,0))),'Oxford Economics'!$A$7:$A$1000,$C78,'Oxford Economics'!$B$7:$B$1000,Settings!$B$15),SUMIFS(INDEX('Oxford Economics'!$A$7:$AZ$1000,0,IFERROR(MATCH(R$5,'Oxford Economics'!$A$6:$AZ$6,0),MATCH(R$5&amp;"",'Oxford Economics'!$A$6:$AZ$6,0))),'Oxford Economics'!$A$7:$A$1000,$C78,'Oxford Economics'!$B$7:$B$1000,Settings!$B$15)+SUMIFS(INDEX('Oxford Economics'!$A$7:$AZ$1000,0,IFERROR(MATCH(R$5,'Oxford Economics'!$A$6:$AZ$6,0),MATCH(R$5&amp;"",'Oxford Economics'!$A$6:$AZ$6,0))),'Oxford Economics'!$A$7:$A$1000,$C78,'Oxford Economics'!$B$7:$B$1000,Settings!$B$17)+IF(Settings!$B$19="",0,SUMIFS(INDEX('Oxford Economics'!$A$7:$AZ$1000,0,IFERROR(MATCH(R$5,'Oxford Economics'!$A$6:$AZ$6,0),MATCH(R$5&amp;"",'Oxford Economics'!$A$6:$AZ$6,0))),'Oxford Economics'!$A$7:$A$1000,$C78,'Oxford Economics'!$B$7:$B$1000,Settings!$B$19)))),""))</f>
        <v>33476.89</v>
      </c>
      <c r="S78" s="38" t="n">
        <f aca="false">IF($A78="","",IFERROR(1/(1/IF($B78="Residential",SUMIFS(INDEX('Oxford Economics'!$A$7:$AZ$1000,0,IFERROR(MATCH(S$5,'Oxford Economics'!$A$6:$AZ$6,0),MATCH(S$5&amp;"",'Oxford Economics'!$A$6:$AZ$6,0))),'Oxford Economics'!$A$7:$A$1000,$C78,'Oxford Economics'!$B$7:$B$1000,Settings!$B$13)-SUMIFS(INDEX('Oxford Economics'!$A$7:$AZ$1000,0,IFERROR(MATCH(S$5,'Oxford Economics'!$A$6:$AZ$6,0),MATCH(S$5&amp;"",'Oxford Economics'!$A$6:$AZ$6,0))),'Oxford Economics'!$A$7:$A$1000,$C78,'Oxford Economics'!$B$7:$B$1000,Settings!$B$15),SUMIFS(INDEX('Oxford Economics'!$A$7:$AZ$1000,0,IFERROR(MATCH(S$5,'Oxford Economics'!$A$6:$AZ$6,0),MATCH(S$5&amp;"",'Oxford Economics'!$A$6:$AZ$6,0))),'Oxford Economics'!$A$7:$A$1000,$C78,'Oxford Economics'!$B$7:$B$1000,Settings!$B$15)+SUMIFS(INDEX('Oxford Economics'!$A$7:$AZ$1000,0,IFERROR(MATCH(S$5,'Oxford Economics'!$A$6:$AZ$6,0),MATCH(S$5&amp;"",'Oxford Economics'!$A$6:$AZ$6,0))),'Oxford Economics'!$A$7:$A$1000,$C78,'Oxford Economics'!$B$7:$B$1000,Settings!$B$17)+IF(Settings!$B$19="",0,SUMIFS(INDEX('Oxford Economics'!$A$7:$AZ$1000,0,IFERROR(MATCH(S$5,'Oxford Economics'!$A$6:$AZ$6,0),MATCH(S$5&amp;"",'Oxford Economics'!$A$6:$AZ$6,0))),'Oxford Economics'!$A$7:$A$1000,$C78,'Oxford Economics'!$B$7:$B$1000,Settings!$B$19)))),""))</f>
        <v>36354.87</v>
      </c>
      <c r="T78" s="38" t="n">
        <f aca="false">IF($A78="","",IFERROR(1/(1/IF($B78="Residential",SUMIFS(INDEX('Oxford Economics'!$A$7:$AZ$1000,0,IFERROR(MATCH(T$5,'Oxford Economics'!$A$6:$AZ$6,0),MATCH(T$5&amp;"",'Oxford Economics'!$A$6:$AZ$6,0))),'Oxford Economics'!$A$7:$A$1000,$C78,'Oxford Economics'!$B$7:$B$1000,Settings!$B$13)-SUMIFS(INDEX('Oxford Economics'!$A$7:$AZ$1000,0,IFERROR(MATCH(T$5,'Oxford Economics'!$A$6:$AZ$6,0),MATCH(T$5&amp;"",'Oxford Economics'!$A$6:$AZ$6,0))),'Oxford Economics'!$A$7:$A$1000,$C78,'Oxford Economics'!$B$7:$B$1000,Settings!$B$15),SUMIFS(INDEX('Oxford Economics'!$A$7:$AZ$1000,0,IFERROR(MATCH(T$5,'Oxford Economics'!$A$6:$AZ$6,0),MATCH(T$5&amp;"",'Oxford Economics'!$A$6:$AZ$6,0))),'Oxford Economics'!$A$7:$A$1000,$C78,'Oxford Economics'!$B$7:$B$1000,Settings!$B$15)+SUMIFS(INDEX('Oxford Economics'!$A$7:$AZ$1000,0,IFERROR(MATCH(T$5,'Oxford Economics'!$A$6:$AZ$6,0),MATCH(T$5&amp;"",'Oxford Economics'!$A$6:$AZ$6,0))),'Oxford Economics'!$A$7:$A$1000,$C78,'Oxford Economics'!$B$7:$B$1000,Settings!$B$17)+IF(Settings!$B$19="",0,SUMIFS(INDEX('Oxford Economics'!$A$7:$AZ$1000,0,IFERROR(MATCH(T$5,'Oxford Economics'!$A$6:$AZ$6,0),MATCH(T$5&amp;"",'Oxford Economics'!$A$6:$AZ$6,0))),'Oxford Economics'!$A$7:$A$1000,$C78,'Oxford Economics'!$B$7:$B$1000,Settings!$B$19)))),""))</f>
        <v>36145.05</v>
      </c>
      <c r="U78" s="38" t="n">
        <f aca="false">IF($A78="","",IFERROR(1/(1/IF($B78="Residential",SUMIFS(INDEX('Oxford Economics'!$A$7:$AZ$1000,0,IFERROR(MATCH(U$5,'Oxford Economics'!$A$6:$AZ$6,0),MATCH(U$5&amp;"",'Oxford Economics'!$A$6:$AZ$6,0))),'Oxford Economics'!$A$7:$A$1000,$C78,'Oxford Economics'!$B$7:$B$1000,Settings!$B$13)-SUMIFS(INDEX('Oxford Economics'!$A$7:$AZ$1000,0,IFERROR(MATCH(U$5,'Oxford Economics'!$A$6:$AZ$6,0),MATCH(U$5&amp;"",'Oxford Economics'!$A$6:$AZ$6,0))),'Oxford Economics'!$A$7:$A$1000,$C78,'Oxford Economics'!$B$7:$B$1000,Settings!$B$15),SUMIFS(INDEX('Oxford Economics'!$A$7:$AZ$1000,0,IFERROR(MATCH(U$5,'Oxford Economics'!$A$6:$AZ$6,0),MATCH(U$5&amp;"",'Oxford Economics'!$A$6:$AZ$6,0))),'Oxford Economics'!$A$7:$A$1000,$C78,'Oxford Economics'!$B$7:$B$1000,Settings!$B$15)+SUMIFS(INDEX('Oxford Economics'!$A$7:$AZ$1000,0,IFERROR(MATCH(U$5,'Oxford Economics'!$A$6:$AZ$6,0),MATCH(U$5&amp;"",'Oxford Economics'!$A$6:$AZ$6,0))),'Oxford Economics'!$A$7:$A$1000,$C78,'Oxford Economics'!$B$7:$B$1000,Settings!$B$17)+IF(Settings!$B$19="",0,SUMIFS(INDEX('Oxford Economics'!$A$7:$AZ$1000,0,IFERROR(MATCH(U$5,'Oxford Economics'!$A$6:$AZ$6,0),MATCH(U$5&amp;"",'Oxford Economics'!$A$6:$AZ$6,0))),'Oxford Economics'!$A$7:$A$1000,$C78,'Oxford Economics'!$B$7:$B$1000,Settings!$B$19)))),""))</f>
        <v>36813.16</v>
      </c>
      <c r="V78" s="38" t="n">
        <f aca="false">IF($A78="","",IFERROR(1/(1/IF($B78="Residential",SUMIFS(INDEX('Oxford Economics'!$A$7:$AZ$1000,0,IFERROR(MATCH(V$5,'Oxford Economics'!$A$6:$AZ$6,0),MATCH(V$5&amp;"",'Oxford Economics'!$A$6:$AZ$6,0))),'Oxford Economics'!$A$7:$A$1000,$C78,'Oxford Economics'!$B$7:$B$1000,Settings!$B$13)-SUMIFS(INDEX('Oxford Economics'!$A$7:$AZ$1000,0,IFERROR(MATCH(V$5,'Oxford Economics'!$A$6:$AZ$6,0),MATCH(V$5&amp;"",'Oxford Economics'!$A$6:$AZ$6,0))),'Oxford Economics'!$A$7:$A$1000,$C78,'Oxford Economics'!$B$7:$B$1000,Settings!$B$15),SUMIFS(INDEX('Oxford Economics'!$A$7:$AZ$1000,0,IFERROR(MATCH(V$5,'Oxford Economics'!$A$6:$AZ$6,0),MATCH(V$5&amp;"",'Oxford Economics'!$A$6:$AZ$6,0))),'Oxford Economics'!$A$7:$A$1000,$C78,'Oxford Economics'!$B$7:$B$1000,Settings!$B$15)+SUMIFS(INDEX('Oxford Economics'!$A$7:$AZ$1000,0,IFERROR(MATCH(V$5,'Oxford Economics'!$A$6:$AZ$6,0),MATCH(V$5&amp;"",'Oxford Economics'!$A$6:$AZ$6,0))),'Oxford Economics'!$A$7:$A$1000,$C78,'Oxford Economics'!$B$7:$B$1000,Settings!$B$17)+IF(Settings!$B$19="",0,SUMIFS(INDEX('Oxford Economics'!$A$7:$AZ$1000,0,IFERROR(MATCH(V$5,'Oxford Economics'!$A$6:$AZ$6,0),MATCH(V$5&amp;"",'Oxford Economics'!$A$6:$AZ$6,0))),'Oxford Economics'!$A$7:$A$1000,$C78,'Oxford Economics'!$B$7:$B$1000,Settings!$B$19)))),""))</f>
        <v>37461.75</v>
      </c>
      <c r="W78" s="38" t="n">
        <f aca="false">IF($A78="","",IFERROR(1/(1/IF($B78="Residential",SUMIFS(INDEX('Oxford Economics'!$A$7:$AZ$1000,0,IFERROR(MATCH(W$5,'Oxford Economics'!$A$6:$AZ$6,0),MATCH(W$5&amp;"",'Oxford Economics'!$A$6:$AZ$6,0))),'Oxford Economics'!$A$7:$A$1000,$C78,'Oxford Economics'!$B$7:$B$1000,Settings!$B$13)-SUMIFS(INDEX('Oxford Economics'!$A$7:$AZ$1000,0,IFERROR(MATCH(W$5,'Oxford Economics'!$A$6:$AZ$6,0),MATCH(W$5&amp;"",'Oxford Economics'!$A$6:$AZ$6,0))),'Oxford Economics'!$A$7:$A$1000,$C78,'Oxford Economics'!$B$7:$B$1000,Settings!$B$15),SUMIFS(INDEX('Oxford Economics'!$A$7:$AZ$1000,0,IFERROR(MATCH(W$5,'Oxford Economics'!$A$6:$AZ$6,0),MATCH(W$5&amp;"",'Oxford Economics'!$A$6:$AZ$6,0))),'Oxford Economics'!$A$7:$A$1000,$C78,'Oxford Economics'!$B$7:$B$1000,Settings!$B$15)+SUMIFS(INDEX('Oxford Economics'!$A$7:$AZ$1000,0,IFERROR(MATCH(W$5,'Oxford Economics'!$A$6:$AZ$6,0),MATCH(W$5&amp;"",'Oxford Economics'!$A$6:$AZ$6,0))),'Oxford Economics'!$A$7:$A$1000,$C78,'Oxford Economics'!$B$7:$B$1000,Settings!$B$17)+IF(Settings!$B$19="",0,SUMIFS(INDEX('Oxford Economics'!$A$7:$AZ$1000,0,IFERROR(MATCH(W$5,'Oxford Economics'!$A$6:$AZ$6,0),MATCH(W$5&amp;"",'Oxford Economics'!$A$6:$AZ$6,0))),'Oxford Economics'!$A$7:$A$1000,$C78,'Oxford Economics'!$B$7:$B$1000,Settings!$B$19)))),""))</f>
        <v>38118.86</v>
      </c>
      <c r="X78" s="38" t="n">
        <f aca="false">IF($A78="","",IFERROR(1/(1/IF($B78="Residential",SUMIFS(INDEX('Oxford Economics'!$A$7:$AZ$1000,0,IFERROR(MATCH(X$5,'Oxford Economics'!$A$6:$AZ$6,0),MATCH(X$5&amp;"",'Oxford Economics'!$A$6:$AZ$6,0))),'Oxford Economics'!$A$7:$A$1000,$C78,'Oxford Economics'!$B$7:$B$1000,Settings!$B$13)-SUMIFS(INDEX('Oxford Economics'!$A$7:$AZ$1000,0,IFERROR(MATCH(X$5,'Oxford Economics'!$A$6:$AZ$6,0),MATCH(X$5&amp;"",'Oxford Economics'!$A$6:$AZ$6,0))),'Oxford Economics'!$A$7:$A$1000,$C78,'Oxford Economics'!$B$7:$B$1000,Settings!$B$15),SUMIFS(INDEX('Oxford Economics'!$A$7:$AZ$1000,0,IFERROR(MATCH(X$5,'Oxford Economics'!$A$6:$AZ$6,0),MATCH(X$5&amp;"",'Oxford Economics'!$A$6:$AZ$6,0))),'Oxford Economics'!$A$7:$A$1000,$C78,'Oxford Economics'!$B$7:$B$1000,Settings!$B$15)+SUMIFS(INDEX('Oxford Economics'!$A$7:$AZ$1000,0,IFERROR(MATCH(X$5,'Oxford Economics'!$A$6:$AZ$6,0),MATCH(X$5&amp;"",'Oxford Economics'!$A$6:$AZ$6,0))),'Oxford Economics'!$A$7:$A$1000,$C78,'Oxford Economics'!$B$7:$B$1000,Settings!$B$17)+IF(Settings!$B$19="",0,SUMIFS(INDEX('Oxford Economics'!$A$7:$AZ$1000,0,IFERROR(MATCH(X$5,'Oxford Economics'!$A$6:$AZ$6,0),MATCH(X$5&amp;"",'Oxford Economics'!$A$6:$AZ$6,0))),'Oxford Economics'!$A$7:$A$1000,$C78,'Oxford Economics'!$B$7:$B$1000,Settings!$B$19)))),""))</f>
        <v>38832.62</v>
      </c>
      <c r="Y78" s="38" t="n">
        <f aca="false">IF($A78="","",IFERROR(1/(1/IF($B78="Residential",SUMIFS(INDEX('Oxford Economics'!$A$7:$AZ$1000,0,IFERROR(MATCH(Y$5,'Oxford Economics'!$A$6:$AZ$6,0),MATCH(Y$5&amp;"",'Oxford Economics'!$A$6:$AZ$6,0))),'Oxford Economics'!$A$7:$A$1000,$C78,'Oxford Economics'!$B$7:$B$1000,Settings!$B$13)-SUMIFS(INDEX('Oxford Economics'!$A$7:$AZ$1000,0,IFERROR(MATCH(Y$5,'Oxford Economics'!$A$6:$AZ$6,0),MATCH(Y$5&amp;"",'Oxford Economics'!$A$6:$AZ$6,0))),'Oxford Economics'!$A$7:$A$1000,$C78,'Oxford Economics'!$B$7:$B$1000,Settings!$B$15),SUMIFS(INDEX('Oxford Economics'!$A$7:$AZ$1000,0,IFERROR(MATCH(Y$5,'Oxford Economics'!$A$6:$AZ$6,0),MATCH(Y$5&amp;"",'Oxford Economics'!$A$6:$AZ$6,0))),'Oxford Economics'!$A$7:$A$1000,$C78,'Oxford Economics'!$B$7:$B$1000,Settings!$B$15)+SUMIFS(INDEX('Oxford Economics'!$A$7:$AZ$1000,0,IFERROR(MATCH(Y$5,'Oxford Economics'!$A$6:$AZ$6,0),MATCH(Y$5&amp;"",'Oxford Economics'!$A$6:$AZ$6,0))),'Oxford Economics'!$A$7:$A$1000,$C78,'Oxford Economics'!$B$7:$B$1000,Settings!$B$17)+IF(Settings!$B$19="",0,SUMIFS(INDEX('Oxford Economics'!$A$7:$AZ$1000,0,IFERROR(MATCH(Y$5,'Oxford Economics'!$A$6:$AZ$6,0),MATCH(Y$5&amp;"",'Oxford Economics'!$A$6:$AZ$6,0))),'Oxford Economics'!$A$7:$A$1000,$C78,'Oxford Economics'!$B$7:$B$1000,Settings!$B$19)))),""))</f>
        <v>39676.57</v>
      </c>
      <c r="Z78" s="38" t="n">
        <f aca="false">IF($A78="","",IFERROR(1/(1/IF($B78="Residential",SUMIFS(INDEX('Oxford Economics'!$A$7:$AZ$1000,0,IFERROR(MATCH(Z$5,'Oxford Economics'!$A$6:$AZ$6,0),MATCH(Z$5&amp;"",'Oxford Economics'!$A$6:$AZ$6,0))),'Oxford Economics'!$A$7:$A$1000,$C78,'Oxford Economics'!$B$7:$B$1000,Settings!$B$13)-SUMIFS(INDEX('Oxford Economics'!$A$7:$AZ$1000,0,IFERROR(MATCH(Z$5,'Oxford Economics'!$A$6:$AZ$6,0),MATCH(Z$5&amp;"",'Oxford Economics'!$A$6:$AZ$6,0))),'Oxford Economics'!$A$7:$A$1000,$C78,'Oxford Economics'!$B$7:$B$1000,Settings!$B$15),SUMIFS(INDEX('Oxford Economics'!$A$7:$AZ$1000,0,IFERROR(MATCH(Z$5,'Oxford Economics'!$A$6:$AZ$6,0),MATCH(Z$5&amp;"",'Oxford Economics'!$A$6:$AZ$6,0))),'Oxford Economics'!$A$7:$A$1000,$C78,'Oxford Economics'!$B$7:$B$1000,Settings!$B$15)+SUMIFS(INDEX('Oxford Economics'!$A$7:$AZ$1000,0,IFERROR(MATCH(Z$5,'Oxford Economics'!$A$6:$AZ$6,0),MATCH(Z$5&amp;"",'Oxford Economics'!$A$6:$AZ$6,0))),'Oxford Economics'!$A$7:$A$1000,$C78,'Oxford Economics'!$B$7:$B$1000,Settings!$B$17)+IF(Settings!$B$19="",0,SUMIFS(INDEX('Oxford Economics'!$A$7:$AZ$1000,0,IFERROR(MATCH(Z$5,'Oxford Economics'!$A$6:$AZ$6,0),MATCH(Z$5&amp;"",'Oxford Economics'!$A$6:$AZ$6,0))),'Oxford Economics'!$A$7:$A$1000,$C78,'Oxford Economics'!$B$7:$B$1000,Settings!$B$19)))),""))</f>
        <v>40256.56</v>
      </c>
      <c r="AA78" s="38" t="n">
        <f aca="false">IF($A78="","",IFERROR(1/(1/IF($B78="Residential",SUMIFS(INDEX('Oxford Economics'!$A$7:$AZ$1000,0,IFERROR(MATCH(AA$5,'Oxford Economics'!$A$6:$AZ$6,0),MATCH(AA$5&amp;"",'Oxford Economics'!$A$6:$AZ$6,0))),'Oxford Economics'!$A$7:$A$1000,$C78,'Oxford Economics'!$B$7:$B$1000,Settings!$B$13)-SUMIFS(INDEX('Oxford Economics'!$A$7:$AZ$1000,0,IFERROR(MATCH(AA$5,'Oxford Economics'!$A$6:$AZ$6,0),MATCH(AA$5&amp;"",'Oxford Economics'!$A$6:$AZ$6,0))),'Oxford Economics'!$A$7:$A$1000,$C78,'Oxford Economics'!$B$7:$B$1000,Settings!$B$15),SUMIFS(INDEX('Oxford Economics'!$A$7:$AZ$1000,0,IFERROR(MATCH(AA$5,'Oxford Economics'!$A$6:$AZ$6,0),MATCH(AA$5&amp;"",'Oxford Economics'!$A$6:$AZ$6,0))),'Oxford Economics'!$A$7:$A$1000,$C78,'Oxford Economics'!$B$7:$B$1000,Settings!$B$15)+SUMIFS(INDEX('Oxford Economics'!$A$7:$AZ$1000,0,IFERROR(MATCH(AA$5,'Oxford Economics'!$A$6:$AZ$6,0),MATCH(AA$5&amp;"",'Oxford Economics'!$A$6:$AZ$6,0))),'Oxford Economics'!$A$7:$A$1000,$C78,'Oxford Economics'!$B$7:$B$1000,Settings!$B$17)+IF(Settings!$B$19="",0,SUMIFS(INDEX('Oxford Economics'!$A$7:$AZ$1000,0,IFERROR(MATCH(AA$5,'Oxford Economics'!$A$6:$AZ$6,0),MATCH(AA$5&amp;"",'Oxford Economics'!$A$6:$AZ$6,0))),'Oxford Economics'!$A$7:$A$1000,$C78,'Oxford Economics'!$B$7:$B$1000,Settings!$B$19)))),""))</f>
        <v>41210.91</v>
      </c>
      <c r="AB78" s="38" t="n">
        <f aca="false">IF($A78="","",IFERROR(1/(1/IF($B78="Residential",SUMIFS(INDEX('Oxford Economics'!$A$7:$AZ$1000,0,IFERROR(MATCH(AB$5,'Oxford Economics'!$A$6:$AZ$6,0),MATCH(AB$5&amp;"",'Oxford Economics'!$A$6:$AZ$6,0))),'Oxford Economics'!$A$7:$A$1000,$C78,'Oxford Economics'!$B$7:$B$1000,Settings!$B$12)-SUMIFS(INDEX('Oxford Economics'!$A$7:$AZ$1000,0,IFERROR(MATCH(AB$5,'Oxford Economics'!$A$6:$AZ$6,0),MATCH(AB$5&amp;"",'Oxford Economics'!$A$6:$AZ$6,0))),'Oxford Economics'!$A$7:$A$1000,$C78,'Oxford Economics'!$B$7:$B$1000,Settings!$B$14),SUMIFS(INDEX('Oxford Economics'!$A$7:$AZ$1000,0,IFERROR(MATCH(AB$5,'Oxford Economics'!$A$6:$AZ$6,0),MATCH(AB$5&amp;"",'Oxford Economics'!$A$6:$AZ$6,0))),'Oxford Economics'!$A$7:$A$1000,$C78,'Oxford Economics'!$B$7:$B$1000,Settings!$B$14)+SUMIFS(INDEX('Oxford Economics'!$A$7:$AZ$1000,0,IFERROR(MATCH(AB$5,'Oxford Economics'!$A$6:$AZ$6,0),MATCH(AB$5&amp;"",'Oxford Economics'!$A$6:$AZ$6,0))),'Oxford Economics'!$A$7:$A$1000,$C78,'Oxford Economics'!$B$7:$B$1000,Settings!$B$16)+IF(Settings!$B$18="",0,SUMIFS(INDEX('Oxford Economics'!$A$7:$AZ$1000,0,IFERROR(MATCH(AB$5,'Oxford Economics'!$A$6:$AZ$6,0),MATCH(AB$5&amp;"",'Oxford Economics'!$A$6:$AZ$6,0))),'Oxford Economics'!$A$7:$A$1000,$C78,'Oxford Economics'!$B$7:$B$1000,Settings!$B$18)))),""))</f>
        <v>19309.43</v>
      </c>
      <c r="AC78" s="38" t="n">
        <f aca="false">IF($A78="","",IFERROR(1/(1/IF($B78="Residential",SUMIFS(INDEX('Oxford Economics'!$A$7:$AZ$1000,0,IFERROR(MATCH(AC$5,'Oxford Economics'!$A$6:$AZ$6,0),MATCH(AC$5&amp;"",'Oxford Economics'!$A$6:$AZ$6,0))),'Oxford Economics'!$A$7:$A$1000,$C78,'Oxford Economics'!$B$7:$B$1000,Settings!$B$12)-SUMIFS(INDEX('Oxford Economics'!$A$7:$AZ$1000,0,IFERROR(MATCH(AC$5,'Oxford Economics'!$A$6:$AZ$6,0),MATCH(AC$5&amp;"",'Oxford Economics'!$A$6:$AZ$6,0))),'Oxford Economics'!$A$7:$A$1000,$C78,'Oxford Economics'!$B$7:$B$1000,Settings!$B$14),SUMIFS(INDEX('Oxford Economics'!$A$7:$AZ$1000,0,IFERROR(MATCH(AC$5,'Oxford Economics'!$A$6:$AZ$6,0),MATCH(AC$5&amp;"",'Oxford Economics'!$A$6:$AZ$6,0))),'Oxford Economics'!$A$7:$A$1000,$C78,'Oxford Economics'!$B$7:$B$1000,Settings!$B$14)+SUMIFS(INDEX('Oxford Economics'!$A$7:$AZ$1000,0,IFERROR(MATCH(AC$5,'Oxford Economics'!$A$6:$AZ$6,0),MATCH(AC$5&amp;"",'Oxford Economics'!$A$6:$AZ$6,0))),'Oxford Economics'!$A$7:$A$1000,$C78,'Oxford Economics'!$B$7:$B$1000,Settings!$B$16)+IF(Settings!$B$18="",0,SUMIFS(INDEX('Oxford Economics'!$A$7:$AZ$1000,0,IFERROR(MATCH(AC$5,'Oxford Economics'!$A$6:$AZ$6,0),MATCH(AC$5&amp;"",'Oxford Economics'!$A$6:$AZ$6,0))),'Oxford Economics'!$A$7:$A$1000,$C78,'Oxford Economics'!$B$7:$B$1000,Settings!$B$18)))),""))</f>
        <v>21666.07</v>
      </c>
      <c r="AD78" s="38" t="n">
        <f aca="false">IF($A78="","",IFERROR(1/(1/IF($B78="Residential",SUMIFS(INDEX('Oxford Economics'!$A$7:$AZ$1000,0,IFERROR(MATCH(AD$5,'Oxford Economics'!$A$6:$AZ$6,0),MATCH(AD$5&amp;"",'Oxford Economics'!$A$6:$AZ$6,0))),'Oxford Economics'!$A$7:$A$1000,$C78,'Oxford Economics'!$B$7:$B$1000,Settings!$B$12)-SUMIFS(INDEX('Oxford Economics'!$A$7:$AZ$1000,0,IFERROR(MATCH(AD$5,'Oxford Economics'!$A$6:$AZ$6,0),MATCH(AD$5&amp;"",'Oxford Economics'!$A$6:$AZ$6,0))),'Oxford Economics'!$A$7:$A$1000,$C78,'Oxford Economics'!$B$7:$B$1000,Settings!$B$14),SUMIFS(INDEX('Oxford Economics'!$A$7:$AZ$1000,0,IFERROR(MATCH(AD$5,'Oxford Economics'!$A$6:$AZ$6,0),MATCH(AD$5&amp;"",'Oxford Economics'!$A$6:$AZ$6,0))),'Oxford Economics'!$A$7:$A$1000,$C78,'Oxford Economics'!$B$7:$B$1000,Settings!$B$14)+SUMIFS(INDEX('Oxford Economics'!$A$7:$AZ$1000,0,IFERROR(MATCH(AD$5,'Oxford Economics'!$A$6:$AZ$6,0),MATCH(AD$5&amp;"",'Oxford Economics'!$A$6:$AZ$6,0))),'Oxford Economics'!$A$7:$A$1000,$C78,'Oxford Economics'!$B$7:$B$1000,Settings!$B$16)+IF(Settings!$B$18="",0,SUMIFS(INDEX('Oxford Economics'!$A$7:$AZ$1000,0,IFERROR(MATCH(AD$5,'Oxford Economics'!$A$6:$AZ$6,0),MATCH(AD$5&amp;"",'Oxford Economics'!$A$6:$AZ$6,0))),'Oxford Economics'!$A$7:$A$1000,$C78,'Oxford Economics'!$B$7:$B$1000,Settings!$B$18)))),""))</f>
        <v>20253.14</v>
      </c>
      <c r="AE78" s="38" t="n">
        <f aca="false">IF($A78="","",IFERROR(1/(1/IF($B78="Residential",SUMIFS(INDEX('Oxford Economics'!$A$7:$AZ$1000,0,IFERROR(MATCH(AE$5,'Oxford Economics'!$A$6:$AZ$6,0),MATCH(AE$5&amp;"",'Oxford Economics'!$A$6:$AZ$6,0))),'Oxford Economics'!$A$7:$A$1000,$C78,'Oxford Economics'!$B$7:$B$1000,Settings!$B$12)-SUMIFS(INDEX('Oxford Economics'!$A$7:$AZ$1000,0,IFERROR(MATCH(AE$5,'Oxford Economics'!$A$6:$AZ$6,0),MATCH(AE$5&amp;"",'Oxford Economics'!$A$6:$AZ$6,0))),'Oxford Economics'!$A$7:$A$1000,$C78,'Oxford Economics'!$B$7:$B$1000,Settings!$B$14),SUMIFS(INDEX('Oxford Economics'!$A$7:$AZ$1000,0,IFERROR(MATCH(AE$5,'Oxford Economics'!$A$6:$AZ$6,0),MATCH(AE$5&amp;"",'Oxford Economics'!$A$6:$AZ$6,0))),'Oxford Economics'!$A$7:$A$1000,$C78,'Oxford Economics'!$B$7:$B$1000,Settings!$B$14)+SUMIFS(INDEX('Oxford Economics'!$A$7:$AZ$1000,0,IFERROR(MATCH(AE$5,'Oxford Economics'!$A$6:$AZ$6,0),MATCH(AE$5&amp;"",'Oxford Economics'!$A$6:$AZ$6,0))),'Oxford Economics'!$A$7:$A$1000,$C78,'Oxford Economics'!$B$7:$B$1000,Settings!$B$16)+IF(Settings!$B$18="",0,SUMIFS(INDEX('Oxford Economics'!$A$7:$AZ$1000,0,IFERROR(MATCH(AE$5,'Oxford Economics'!$A$6:$AZ$6,0),MATCH(AE$5&amp;"",'Oxford Economics'!$A$6:$AZ$6,0))),'Oxford Economics'!$A$7:$A$1000,$C78,'Oxford Economics'!$B$7:$B$1000,Settings!$B$18)))),""))</f>
        <v>16052.74</v>
      </c>
      <c r="AF78" s="38" t="n">
        <f aca="false">IF($A78="","",IFERROR(1/(1/IF($B78="Residential",SUMIFS(INDEX('Oxford Economics'!$A$7:$AZ$1000,0,IFERROR(MATCH(AF$5,'Oxford Economics'!$A$6:$AZ$6,0),MATCH(AF$5&amp;"",'Oxford Economics'!$A$6:$AZ$6,0))),'Oxford Economics'!$A$7:$A$1000,$C78,'Oxford Economics'!$B$7:$B$1000,Settings!$B$12)-SUMIFS(INDEX('Oxford Economics'!$A$7:$AZ$1000,0,IFERROR(MATCH(AF$5,'Oxford Economics'!$A$6:$AZ$6,0),MATCH(AF$5&amp;"",'Oxford Economics'!$A$6:$AZ$6,0))),'Oxford Economics'!$A$7:$A$1000,$C78,'Oxford Economics'!$B$7:$B$1000,Settings!$B$14),SUMIFS(INDEX('Oxford Economics'!$A$7:$AZ$1000,0,IFERROR(MATCH(AF$5,'Oxford Economics'!$A$6:$AZ$6,0),MATCH(AF$5&amp;"",'Oxford Economics'!$A$6:$AZ$6,0))),'Oxford Economics'!$A$7:$A$1000,$C78,'Oxford Economics'!$B$7:$B$1000,Settings!$B$14)+SUMIFS(INDEX('Oxford Economics'!$A$7:$AZ$1000,0,IFERROR(MATCH(AF$5,'Oxford Economics'!$A$6:$AZ$6,0),MATCH(AF$5&amp;"",'Oxford Economics'!$A$6:$AZ$6,0))),'Oxford Economics'!$A$7:$A$1000,$C78,'Oxford Economics'!$B$7:$B$1000,Settings!$B$16)+IF(Settings!$B$18="",0,SUMIFS(INDEX('Oxford Economics'!$A$7:$AZ$1000,0,IFERROR(MATCH(AF$5,'Oxford Economics'!$A$6:$AZ$6,0),MATCH(AF$5&amp;"",'Oxford Economics'!$A$6:$AZ$6,0))),'Oxford Economics'!$A$7:$A$1000,$C78,'Oxford Economics'!$B$7:$B$1000,Settings!$B$18)))),""))</f>
        <v>11436.57</v>
      </c>
      <c r="AG78" s="38" t="n">
        <f aca="false">IF($A78="","",IFERROR(1/(1/IF($B78="Residential",SUMIFS(INDEX('Oxford Economics'!$A$7:$AZ$1000,0,IFERROR(MATCH(AG$5,'Oxford Economics'!$A$6:$AZ$6,0),MATCH(AG$5&amp;"",'Oxford Economics'!$A$6:$AZ$6,0))),'Oxford Economics'!$A$7:$A$1000,$C78,'Oxford Economics'!$B$7:$B$1000,Settings!$B$12)-SUMIFS(INDEX('Oxford Economics'!$A$7:$AZ$1000,0,IFERROR(MATCH(AG$5,'Oxford Economics'!$A$6:$AZ$6,0),MATCH(AG$5&amp;"",'Oxford Economics'!$A$6:$AZ$6,0))),'Oxford Economics'!$A$7:$A$1000,$C78,'Oxford Economics'!$B$7:$B$1000,Settings!$B$14),SUMIFS(INDEX('Oxford Economics'!$A$7:$AZ$1000,0,IFERROR(MATCH(AG$5,'Oxford Economics'!$A$6:$AZ$6,0),MATCH(AG$5&amp;"",'Oxford Economics'!$A$6:$AZ$6,0))),'Oxford Economics'!$A$7:$A$1000,$C78,'Oxford Economics'!$B$7:$B$1000,Settings!$B$14)+SUMIFS(INDEX('Oxford Economics'!$A$7:$AZ$1000,0,IFERROR(MATCH(AG$5,'Oxford Economics'!$A$6:$AZ$6,0),MATCH(AG$5&amp;"",'Oxford Economics'!$A$6:$AZ$6,0))),'Oxford Economics'!$A$7:$A$1000,$C78,'Oxford Economics'!$B$7:$B$1000,Settings!$B$16)+IF(Settings!$B$18="",0,SUMIFS(INDEX('Oxford Economics'!$A$7:$AZ$1000,0,IFERROR(MATCH(AG$5,'Oxford Economics'!$A$6:$AZ$6,0),MATCH(AG$5&amp;"",'Oxford Economics'!$A$6:$AZ$6,0))),'Oxford Economics'!$A$7:$A$1000,$C78,'Oxford Economics'!$B$7:$B$1000,Settings!$B$18)))),""))</f>
        <v>10691.08</v>
      </c>
      <c r="AH78" s="38" t="n">
        <f aca="false">IF($A78="","",IFERROR(1/(1/IF($B78="Residential",SUMIFS(INDEX('Oxford Economics'!$A$7:$AZ$1000,0,IFERROR(MATCH(AH$5,'Oxford Economics'!$A$6:$AZ$6,0),MATCH(AH$5&amp;"",'Oxford Economics'!$A$6:$AZ$6,0))),'Oxford Economics'!$A$7:$A$1000,$C78,'Oxford Economics'!$B$7:$B$1000,Settings!$B$12)-SUMIFS(INDEX('Oxford Economics'!$A$7:$AZ$1000,0,IFERROR(MATCH(AH$5,'Oxford Economics'!$A$6:$AZ$6,0),MATCH(AH$5&amp;"",'Oxford Economics'!$A$6:$AZ$6,0))),'Oxford Economics'!$A$7:$A$1000,$C78,'Oxford Economics'!$B$7:$B$1000,Settings!$B$14),SUMIFS(INDEX('Oxford Economics'!$A$7:$AZ$1000,0,IFERROR(MATCH(AH$5,'Oxford Economics'!$A$6:$AZ$6,0),MATCH(AH$5&amp;"",'Oxford Economics'!$A$6:$AZ$6,0))),'Oxford Economics'!$A$7:$A$1000,$C78,'Oxford Economics'!$B$7:$B$1000,Settings!$B$14)+SUMIFS(INDEX('Oxford Economics'!$A$7:$AZ$1000,0,IFERROR(MATCH(AH$5,'Oxford Economics'!$A$6:$AZ$6,0),MATCH(AH$5&amp;"",'Oxford Economics'!$A$6:$AZ$6,0))),'Oxford Economics'!$A$7:$A$1000,$C78,'Oxford Economics'!$B$7:$B$1000,Settings!$B$16)+IF(Settings!$B$18="",0,SUMIFS(INDEX('Oxford Economics'!$A$7:$AZ$1000,0,IFERROR(MATCH(AH$5,'Oxford Economics'!$A$6:$AZ$6,0),MATCH(AH$5&amp;"",'Oxford Economics'!$A$6:$AZ$6,0))),'Oxford Economics'!$A$7:$A$1000,$C78,'Oxford Economics'!$B$7:$B$1000,Settings!$B$18)))),""))</f>
        <v>10236.86</v>
      </c>
      <c r="AI78" s="38" t="n">
        <f aca="false">IF($A78="","",IFERROR(1/(1/IF($B78="Residential",SUMIFS(INDEX('Oxford Economics'!$A$7:$AZ$1000,0,IFERROR(MATCH(AI$5,'Oxford Economics'!$A$6:$AZ$6,0),MATCH(AI$5&amp;"",'Oxford Economics'!$A$6:$AZ$6,0))),'Oxford Economics'!$A$7:$A$1000,$C78,'Oxford Economics'!$B$7:$B$1000,Settings!$B$12)-SUMIFS(INDEX('Oxford Economics'!$A$7:$AZ$1000,0,IFERROR(MATCH(AI$5,'Oxford Economics'!$A$6:$AZ$6,0),MATCH(AI$5&amp;"",'Oxford Economics'!$A$6:$AZ$6,0))),'Oxford Economics'!$A$7:$A$1000,$C78,'Oxford Economics'!$B$7:$B$1000,Settings!$B$14),SUMIFS(INDEX('Oxford Economics'!$A$7:$AZ$1000,0,IFERROR(MATCH(AI$5,'Oxford Economics'!$A$6:$AZ$6,0),MATCH(AI$5&amp;"",'Oxford Economics'!$A$6:$AZ$6,0))),'Oxford Economics'!$A$7:$A$1000,$C78,'Oxford Economics'!$B$7:$B$1000,Settings!$B$14)+SUMIFS(INDEX('Oxford Economics'!$A$7:$AZ$1000,0,IFERROR(MATCH(AI$5,'Oxford Economics'!$A$6:$AZ$6,0),MATCH(AI$5&amp;"",'Oxford Economics'!$A$6:$AZ$6,0))),'Oxford Economics'!$A$7:$A$1000,$C78,'Oxford Economics'!$B$7:$B$1000,Settings!$B$16)+IF(Settings!$B$18="",0,SUMIFS(INDEX('Oxford Economics'!$A$7:$AZ$1000,0,IFERROR(MATCH(AI$5,'Oxford Economics'!$A$6:$AZ$6,0),MATCH(AI$5&amp;"",'Oxford Economics'!$A$6:$AZ$6,0))),'Oxford Economics'!$A$7:$A$1000,$C78,'Oxford Economics'!$B$7:$B$1000,Settings!$B$18)))),""))</f>
        <v>9983.2</v>
      </c>
      <c r="AJ78" s="38" t="n">
        <f aca="false">IF($A78="","",IFERROR(1/(1/IF($B78="Residential",SUMIFS(INDEX('Oxford Economics'!$A$7:$AZ$1000,0,IFERROR(MATCH(AJ$5,'Oxford Economics'!$A$6:$AZ$6,0),MATCH(AJ$5&amp;"",'Oxford Economics'!$A$6:$AZ$6,0))),'Oxford Economics'!$A$7:$A$1000,$C78,'Oxford Economics'!$B$7:$B$1000,Settings!$B$12)-SUMIFS(INDEX('Oxford Economics'!$A$7:$AZ$1000,0,IFERROR(MATCH(AJ$5,'Oxford Economics'!$A$6:$AZ$6,0),MATCH(AJ$5&amp;"",'Oxford Economics'!$A$6:$AZ$6,0))),'Oxford Economics'!$A$7:$A$1000,$C78,'Oxford Economics'!$B$7:$B$1000,Settings!$B$14),SUMIFS(INDEX('Oxford Economics'!$A$7:$AZ$1000,0,IFERROR(MATCH(AJ$5,'Oxford Economics'!$A$6:$AZ$6,0),MATCH(AJ$5&amp;"",'Oxford Economics'!$A$6:$AZ$6,0))),'Oxford Economics'!$A$7:$A$1000,$C78,'Oxford Economics'!$B$7:$B$1000,Settings!$B$14)+SUMIFS(INDEX('Oxford Economics'!$A$7:$AZ$1000,0,IFERROR(MATCH(AJ$5,'Oxford Economics'!$A$6:$AZ$6,0),MATCH(AJ$5&amp;"",'Oxford Economics'!$A$6:$AZ$6,0))),'Oxford Economics'!$A$7:$A$1000,$C78,'Oxford Economics'!$B$7:$B$1000,Settings!$B$16)+IF(Settings!$B$18="",0,SUMIFS(INDEX('Oxford Economics'!$A$7:$AZ$1000,0,IFERROR(MATCH(AJ$5,'Oxford Economics'!$A$6:$AZ$6,0),MATCH(AJ$5&amp;"",'Oxford Economics'!$A$6:$AZ$6,0))),'Oxford Economics'!$A$7:$A$1000,$C78,'Oxford Economics'!$B$7:$B$1000,Settings!$B$18)))),""))</f>
        <v>10165.83</v>
      </c>
      <c r="AK78" s="38" t="n">
        <f aca="false">IF($A78="","",IFERROR(1/(1/IF($B78="Residential",SUMIFS(INDEX('Oxford Economics'!$A$7:$AZ$1000,0,IFERROR(MATCH(AK$5,'Oxford Economics'!$A$6:$AZ$6,0),MATCH(AK$5&amp;"",'Oxford Economics'!$A$6:$AZ$6,0))),'Oxford Economics'!$A$7:$A$1000,$C78,'Oxford Economics'!$B$7:$B$1000,Settings!$B$12)-SUMIFS(INDEX('Oxford Economics'!$A$7:$AZ$1000,0,IFERROR(MATCH(AK$5,'Oxford Economics'!$A$6:$AZ$6,0),MATCH(AK$5&amp;"",'Oxford Economics'!$A$6:$AZ$6,0))),'Oxford Economics'!$A$7:$A$1000,$C78,'Oxford Economics'!$B$7:$B$1000,Settings!$B$14),SUMIFS(INDEX('Oxford Economics'!$A$7:$AZ$1000,0,IFERROR(MATCH(AK$5,'Oxford Economics'!$A$6:$AZ$6,0),MATCH(AK$5&amp;"",'Oxford Economics'!$A$6:$AZ$6,0))),'Oxford Economics'!$A$7:$A$1000,$C78,'Oxford Economics'!$B$7:$B$1000,Settings!$B$14)+SUMIFS(INDEX('Oxford Economics'!$A$7:$AZ$1000,0,IFERROR(MATCH(AK$5,'Oxford Economics'!$A$6:$AZ$6,0),MATCH(AK$5&amp;"",'Oxford Economics'!$A$6:$AZ$6,0))),'Oxford Economics'!$A$7:$A$1000,$C78,'Oxford Economics'!$B$7:$B$1000,Settings!$B$16)+IF(Settings!$B$18="",0,SUMIFS(INDEX('Oxford Economics'!$A$7:$AZ$1000,0,IFERROR(MATCH(AK$5,'Oxford Economics'!$A$6:$AZ$6,0),MATCH(AK$5&amp;"",'Oxford Economics'!$A$6:$AZ$6,0))),'Oxford Economics'!$A$7:$A$1000,$C78,'Oxford Economics'!$B$7:$B$1000,Settings!$B$18)))),""))</f>
        <v>10538.09</v>
      </c>
      <c r="AL78" s="38" t="n">
        <f aca="false">IF($A78="","",IFERROR(1/(1/IF($B78="Residential",SUMIFS(INDEX('Oxford Economics'!$A$7:$AZ$1000,0,IFERROR(MATCH(AL$5,'Oxford Economics'!$A$6:$AZ$6,0),MATCH(AL$5&amp;"",'Oxford Economics'!$A$6:$AZ$6,0))),'Oxford Economics'!$A$7:$A$1000,$C78,'Oxford Economics'!$B$7:$B$1000,Settings!$B$12)-SUMIFS(INDEX('Oxford Economics'!$A$7:$AZ$1000,0,IFERROR(MATCH(AL$5,'Oxford Economics'!$A$6:$AZ$6,0),MATCH(AL$5&amp;"",'Oxford Economics'!$A$6:$AZ$6,0))),'Oxford Economics'!$A$7:$A$1000,$C78,'Oxford Economics'!$B$7:$B$1000,Settings!$B$14),SUMIFS(INDEX('Oxford Economics'!$A$7:$AZ$1000,0,IFERROR(MATCH(AL$5,'Oxford Economics'!$A$6:$AZ$6,0),MATCH(AL$5&amp;"",'Oxford Economics'!$A$6:$AZ$6,0))),'Oxford Economics'!$A$7:$A$1000,$C78,'Oxford Economics'!$B$7:$B$1000,Settings!$B$14)+SUMIFS(INDEX('Oxford Economics'!$A$7:$AZ$1000,0,IFERROR(MATCH(AL$5,'Oxford Economics'!$A$6:$AZ$6,0),MATCH(AL$5&amp;"",'Oxford Economics'!$A$6:$AZ$6,0))),'Oxford Economics'!$A$7:$A$1000,$C78,'Oxford Economics'!$B$7:$B$1000,Settings!$B$16)+IF(Settings!$B$18="",0,SUMIFS(INDEX('Oxford Economics'!$A$7:$AZ$1000,0,IFERROR(MATCH(AL$5,'Oxford Economics'!$A$6:$AZ$6,0),MATCH(AL$5&amp;"",'Oxford Economics'!$A$6:$AZ$6,0))),'Oxford Economics'!$A$7:$A$1000,$C78,'Oxford Economics'!$B$7:$B$1000,Settings!$B$18)))),""))</f>
        <v>10870.05</v>
      </c>
      <c r="AM78" s="38" t="n">
        <f aca="false">IF($A78="","",IFERROR(1/(1/IF($B78="Residential",SUMIFS(INDEX('Oxford Economics'!$A$7:$AZ$1000,0,IFERROR(MATCH(AM$5,'Oxford Economics'!$A$6:$AZ$6,0),MATCH(AM$5&amp;"",'Oxford Economics'!$A$6:$AZ$6,0))),'Oxford Economics'!$A$7:$A$1000,$C78,'Oxford Economics'!$B$7:$B$1000,Settings!$B$12)-SUMIFS(INDEX('Oxford Economics'!$A$7:$AZ$1000,0,IFERROR(MATCH(AM$5,'Oxford Economics'!$A$6:$AZ$6,0),MATCH(AM$5&amp;"",'Oxford Economics'!$A$6:$AZ$6,0))),'Oxford Economics'!$A$7:$A$1000,$C78,'Oxford Economics'!$B$7:$B$1000,Settings!$B$14),SUMIFS(INDEX('Oxford Economics'!$A$7:$AZ$1000,0,IFERROR(MATCH(AM$5,'Oxford Economics'!$A$6:$AZ$6,0),MATCH(AM$5&amp;"",'Oxford Economics'!$A$6:$AZ$6,0))),'Oxford Economics'!$A$7:$A$1000,$C78,'Oxford Economics'!$B$7:$B$1000,Settings!$B$14)+SUMIFS(INDEX('Oxford Economics'!$A$7:$AZ$1000,0,IFERROR(MATCH(AM$5,'Oxford Economics'!$A$6:$AZ$6,0),MATCH(AM$5&amp;"",'Oxford Economics'!$A$6:$AZ$6,0))),'Oxford Economics'!$A$7:$A$1000,$C78,'Oxford Economics'!$B$7:$B$1000,Settings!$B$16)+IF(Settings!$B$18="",0,SUMIFS(INDEX('Oxford Economics'!$A$7:$AZ$1000,0,IFERROR(MATCH(AM$5,'Oxford Economics'!$A$6:$AZ$6,0),MATCH(AM$5&amp;"",'Oxford Economics'!$A$6:$AZ$6,0))),'Oxford Economics'!$A$7:$A$1000,$C78,'Oxford Economics'!$B$7:$B$1000,Settings!$B$18)))),""))</f>
        <v>11239.6</v>
      </c>
    </row>
    <row r="79" customFormat="false" ht="15" hidden="false" customHeight="false" outlineLevel="0" collapsed="false">
      <c r="A79" s="37" t="str">
        <f aca="false">IF('Raw data'!$A79="","",'Raw data'!$A79)</f>
        <v>France</v>
      </c>
      <c r="B79" s="37" t="str">
        <f aca="false">IF($A79="","",'Raw data'!$C79)</f>
        <v>Residential</v>
      </c>
      <c r="C79" s="37" t="str">
        <f aca="false">IF($A79="","",IF('Raw data'!$E79="",$A79,'Raw data'!$E79))</f>
        <v>France</v>
      </c>
      <c r="D79" s="38" t="n">
        <f aca="false">IF($A79="","",IF(AND(ISNUMBER(P79),ISNUMBER(AB79)),P79+AB79,""))</f>
        <v>51362.08</v>
      </c>
      <c r="E79" s="38" t="n">
        <f aca="false">IF($A79="","",IF(AND(ISNUMBER(Q79),ISNUMBER(AC79)),Q79+AC79,""))</f>
        <v>55749.15</v>
      </c>
      <c r="F79" s="38" t="n">
        <f aca="false">IF($A79="","",IF(AND(ISNUMBER(R79),ISNUMBER(AD79)),R79+AD79,""))</f>
        <v>53730.03</v>
      </c>
      <c r="G79" s="38" t="n">
        <f aca="false">IF($A79="","",IF(AND(ISNUMBER(S79),ISNUMBER(AE79)),S79+AE79,""))</f>
        <v>52407.61</v>
      </c>
      <c r="H79" s="38" t="n">
        <f aca="false">IF($A79="","",IF(AND(ISNUMBER(T79),ISNUMBER(AF79)),T79+AF79,""))</f>
        <v>47581.62</v>
      </c>
      <c r="I79" s="38" t="n">
        <f aca="false">IF($A79="","",IF(AND(ISNUMBER(U79),ISNUMBER(AG79)),U79+AG79,""))</f>
        <v>47504.24</v>
      </c>
      <c r="J79" s="38" t="n">
        <f aca="false">IF($A79="","",IF(AND(ISNUMBER(V79),ISNUMBER(AH79)),V79+AH79,""))</f>
        <v>47698.61</v>
      </c>
      <c r="K79" s="38" t="n">
        <f aca="false">IF($A79="","",IF(AND(ISNUMBER(W79),ISNUMBER(AI79)),W79+AI79,""))</f>
        <v>48102.06</v>
      </c>
      <c r="L79" s="38" t="n">
        <f aca="false">IF($A79="","",IF(AND(ISNUMBER(X79),ISNUMBER(AJ79)),X79+AJ79,""))</f>
        <v>48998.45</v>
      </c>
      <c r="M79" s="38" t="n">
        <f aca="false">IF($A79="","",IF(AND(ISNUMBER(Y79),ISNUMBER(AK79)),Y79+AK79,""))</f>
        <v>50214.66</v>
      </c>
      <c r="N79" s="38" t="n">
        <f aca="false">IF($A79="","",IF(AND(ISNUMBER(Z79),ISNUMBER(AL79)),Z79+AL79,""))</f>
        <v>51126.61</v>
      </c>
      <c r="O79" s="38" t="n">
        <f aca="false">IF($A79="","",IF(AND(ISNUMBER(AA79),ISNUMBER(AM79)),AA79+AM79,""))</f>
        <v>52450.51</v>
      </c>
      <c r="P79" s="38" t="n">
        <f aca="false">IF($A79="","",IFERROR(1/(1/IF($B79="Residential",SUMIFS(INDEX('Oxford Economics'!$A$7:$AZ$1000,0,IFERROR(MATCH(P$5,'Oxford Economics'!$A$6:$AZ$6,0),MATCH(P$5&amp;"",'Oxford Economics'!$A$6:$AZ$6,0))),'Oxford Economics'!$A$7:$A$1000,$C79,'Oxford Economics'!$B$7:$B$1000,Settings!$B$13)-SUMIFS(INDEX('Oxford Economics'!$A$7:$AZ$1000,0,IFERROR(MATCH(P$5,'Oxford Economics'!$A$6:$AZ$6,0),MATCH(P$5&amp;"",'Oxford Economics'!$A$6:$AZ$6,0))),'Oxford Economics'!$A$7:$A$1000,$C79,'Oxford Economics'!$B$7:$B$1000,Settings!$B$15),SUMIFS(INDEX('Oxford Economics'!$A$7:$AZ$1000,0,IFERROR(MATCH(P$5,'Oxford Economics'!$A$6:$AZ$6,0),MATCH(P$5&amp;"",'Oxford Economics'!$A$6:$AZ$6,0))),'Oxford Economics'!$A$7:$A$1000,$C79,'Oxford Economics'!$B$7:$B$1000,Settings!$B$15)+SUMIFS(INDEX('Oxford Economics'!$A$7:$AZ$1000,0,IFERROR(MATCH(P$5,'Oxford Economics'!$A$6:$AZ$6,0),MATCH(P$5&amp;"",'Oxford Economics'!$A$6:$AZ$6,0))),'Oxford Economics'!$A$7:$A$1000,$C79,'Oxford Economics'!$B$7:$B$1000,Settings!$B$17)+IF(Settings!$B$19="",0,SUMIFS(INDEX('Oxford Economics'!$A$7:$AZ$1000,0,IFERROR(MATCH(P$5,'Oxford Economics'!$A$6:$AZ$6,0),MATCH(P$5&amp;"",'Oxford Economics'!$A$6:$AZ$6,0))),'Oxford Economics'!$A$7:$A$1000,$C79,'Oxford Economics'!$B$7:$B$1000,Settings!$B$19)))),""))</f>
        <v>32052.65</v>
      </c>
      <c r="Q79" s="38" t="n">
        <f aca="false">IF($A79="","",IFERROR(1/(1/IF($B79="Residential",SUMIFS(INDEX('Oxford Economics'!$A$7:$AZ$1000,0,IFERROR(MATCH(Q$5,'Oxford Economics'!$A$6:$AZ$6,0),MATCH(Q$5&amp;"",'Oxford Economics'!$A$6:$AZ$6,0))),'Oxford Economics'!$A$7:$A$1000,$C79,'Oxford Economics'!$B$7:$B$1000,Settings!$B$13)-SUMIFS(INDEX('Oxford Economics'!$A$7:$AZ$1000,0,IFERROR(MATCH(Q$5,'Oxford Economics'!$A$6:$AZ$6,0),MATCH(Q$5&amp;"",'Oxford Economics'!$A$6:$AZ$6,0))),'Oxford Economics'!$A$7:$A$1000,$C79,'Oxford Economics'!$B$7:$B$1000,Settings!$B$15),SUMIFS(INDEX('Oxford Economics'!$A$7:$AZ$1000,0,IFERROR(MATCH(Q$5,'Oxford Economics'!$A$6:$AZ$6,0),MATCH(Q$5&amp;"",'Oxford Economics'!$A$6:$AZ$6,0))),'Oxford Economics'!$A$7:$A$1000,$C79,'Oxford Economics'!$B$7:$B$1000,Settings!$B$15)+SUMIFS(INDEX('Oxford Economics'!$A$7:$AZ$1000,0,IFERROR(MATCH(Q$5,'Oxford Economics'!$A$6:$AZ$6,0),MATCH(Q$5&amp;"",'Oxford Economics'!$A$6:$AZ$6,0))),'Oxford Economics'!$A$7:$A$1000,$C79,'Oxford Economics'!$B$7:$B$1000,Settings!$B$17)+IF(Settings!$B$19="",0,SUMIFS(INDEX('Oxford Economics'!$A$7:$AZ$1000,0,IFERROR(MATCH(Q$5,'Oxford Economics'!$A$6:$AZ$6,0),MATCH(Q$5&amp;"",'Oxford Economics'!$A$6:$AZ$6,0))),'Oxford Economics'!$A$7:$A$1000,$C79,'Oxford Economics'!$B$7:$B$1000,Settings!$B$19)))),""))</f>
        <v>34083.08</v>
      </c>
      <c r="R79" s="38" t="n">
        <f aca="false">IF($A79="","",IFERROR(1/(1/IF($B79="Residential",SUMIFS(INDEX('Oxford Economics'!$A$7:$AZ$1000,0,IFERROR(MATCH(R$5,'Oxford Economics'!$A$6:$AZ$6,0),MATCH(R$5&amp;"",'Oxford Economics'!$A$6:$AZ$6,0))),'Oxford Economics'!$A$7:$A$1000,$C79,'Oxford Economics'!$B$7:$B$1000,Settings!$B$13)-SUMIFS(INDEX('Oxford Economics'!$A$7:$AZ$1000,0,IFERROR(MATCH(R$5,'Oxford Economics'!$A$6:$AZ$6,0),MATCH(R$5&amp;"",'Oxford Economics'!$A$6:$AZ$6,0))),'Oxford Economics'!$A$7:$A$1000,$C79,'Oxford Economics'!$B$7:$B$1000,Settings!$B$15),SUMIFS(INDEX('Oxford Economics'!$A$7:$AZ$1000,0,IFERROR(MATCH(R$5,'Oxford Economics'!$A$6:$AZ$6,0),MATCH(R$5&amp;"",'Oxford Economics'!$A$6:$AZ$6,0))),'Oxford Economics'!$A$7:$A$1000,$C79,'Oxford Economics'!$B$7:$B$1000,Settings!$B$15)+SUMIFS(INDEX('Oxford Economics'!$A$7:$AZ$1000,0,IFERROR(MATCH(R$5,'Oxford Economics'!$A$6:$AZ$6,0),MATCH(R$5&amp;"",'Oxford Economics'!$A$6:$AZ$6,0))),'Oxford Economics'!$A$7:$A$1000,$C79,'Oxford Economics'!$B$7:$B$1000,Settings!$B$17)+IF(Settings!$B$19="",0,SUMIFS(INDEX('Oxford Economics'!$A$7:$AZ$1000,0,IFERROR(MATCH(R$5,'Oxford Economics'!$A$6:$AZ$6,0),MATCH(R$5&amp;"",'Oxford Economics'!$A$6:$AZ$6,0))),'Oxford Economics'!$A$7:$A$1000,$C79,'Oxford Economics'!$B$7:$B$1000,Settings!$B$19)))),""))</f>
        <v>33476.89</v>
      </c>
      <c r="S79" s="38" t="n">
        <f aca="false">IF($A79="","",IFERROR(1/(1/IF($B79="Residential",SUMIFS(INDEX('Oxford Economics'!$A$7:$AZ$1000,0,IFERROR(MATCH(S$5,'Oxford Economics'!$A$6:$AZ$6,0),MATCH(S$5&amp;"",'Oxford Economics'!$A$6:$AZ$6,0))),'Oxford Economics'!$A$7:$A$1000,$C79,'Oxford Economics'!$B$7:$B$1000,Settings!$B$13)-SUMIFS(INDEX('Oxford Economics'!$A$7:$AZ$1000,0,IFERROR(MATCH(S$5,'Oxford Economics'!$A$6:$AZ$6,0),MATCH(S$5&amp;"",'Oxford Economics'!$A$6:$AZ$6,0))),'Oxford Economics'!$A$7:$A$1000,$C79,'Oxford Economics'!$B$7:$B$1000,Settings!$B$15),SUMIFS(INDEX('Oxford Economics'!$A$7:$AZ$1000,0,IFERROR(MATCH(S$5,'Oxford Economics'!$A$6:$AZ$6,0),MATCH(S$5&amp;"",'Oxford Economics'!$A$6:$AZ$6,0))),'Oxford Economics'!$A$7:$A$1000,$C79,'Oxford Economics'!$B$7:$B$1000,Settings!$B$15)+SUMIFS(INDEX('Oxford Economics'!$A$7:$AZ$1000,0,IFERROR(MATCH(S$5,'Oxford Economics'!$A$6:$AZ$6,0),MATCH(S$5&amp;"",'Oxford Economics'!$A$6:$AZ$6,0))),'Oxford Economics'!$A$7:$A$1000,$C79,'Oxford Economics'!$B$7:$B$1000,Settings!$B$17)+IF(Settings!$B$19="",0,SUMIFS(INDEX('Oxford Economics'!$A$7:$AZ$1000,0,IFERROR(MATCH(S$5,'Oxford Economics'!$A$6:$AZ$6,0),MATCH(S$5&amp;"",'Oxford Economics'!$A$6:$AZ$6,0))),'Oxford Economics'!$A$7:$A$1000,$C79,'Oxford Economics'!$B$7:$B$1000,Settings!$B$19)))),""))</f>
        <v>36354.87</v>
      </c>
      <c r="T79" s="38" t="n">
        <f aca="false">IF($A79="","",IFERROR(1/(1/IF($B79="Residential",SUMIFS(INDEX('Oxford Economics'!$A$7:$AZ$1000,0,IFERROR(MATCH(T$5,'Oxford Economics'!$A$6:$AZ$6,0),MATCH(T$5&amp;"",'Oxford Economics'!$A$6:$AZ$6,0))),'Oxford Economics'!$A$7:$A$1000,$C79,'Oxford Economics'!$B$7:$B$1000,Settings!$B$13)-SUMIFS(INDEX('Oxford Economics'!$A$7:$AZ$1000,0,IFERROR(MATCH(T$5,'Oxford Economics'!$A$6:$AZ$6,0),MATCH(T$5&amp;"",'Oxford Economics'!$A$6:$AZ$6,0))),'Oxford Economics'!$A$7:$A$1000,$C79,'Oxford Economics'!$B$7:$B$1000,Settings!$B$15),SUMIFS(INDEX('Oxford Economics'!$A$7:$AZ$1000,0,IFERROR(MATCH(T$5,'Oxford Economics'!$A$6:$AZ$6,0),MATCH(T$5&amp;"",'Oxford Economics'!$A$6:$AZ$6,0))),'Oxford Economics'!$A$7:$A$1000,$C79,'Oxford Economics'!$B$7:$B$1000,Settings!$B$15)+SUMIFS(INDEX('Oxford Economics'!$A$7:$AZ$1000,0,IFERROR(MATCH(T$5,'Oxford Economics'!$A$6:$AZ$6,0),MATCH(T$5&amp;"",'Oxford Economics'!$A$6:$AZ$6,0))),'Oxford Economics'!$A$7:$A$1000,$C79,'Oxford Economics'!$B$7:$B$1000,Settings!$B$17)+IF(Settings!$B$19="",0,SUMIFS(INDEX('Oxford Economics'!$A$7:$AZ$1000,0,IFERROR(MATCH(T$5,'Oxford Economics'!$A$6:$AZ$6,0),MATCH(T$5&amp;"",'Oxford Economics'!$A$6:$AZ$6,0))),'Oxford Economics'!$A$7:$A$1000,$C79,'Oxford Economics'!$B$7:$B$1000,Settings!$B$19)))),""))</f>
        <v>36145.05</v>
      </c>
      <c r="U79" s="38" t="n">
        <f aca="false">IF($A79="","",IFERROR(1/(1/IF($B79="Residential",SUMIFS(INDEX('Oxford Economics'!$A$7:$AZ$1000,0,IFERROR(MATCH(U$5,'Oxford Economics'!$A$6:$AZ$6,0),MATCH(U$5&amp;"",'Oxford Economics'!$A$6:$AZ$6,0))),'Oxford Economics'!$A$7:$A$1000,$C79,'Oxford Economics'!$B$7:$B$1000,Settings!$B$13)-SUMIFS(INDEX('Oxford Economics'!$A$7:$AZ$1000,0,IFERROR(MATCH(U$5,'Oxford Economics'!$A$6:$AZ$6,0),MATCH(U$5&amp;"",'Oxford Economics'!$A$6:$AZ$6,0))),'Oxford Economics'!$A$7:$A$1000,$C79,'Oxford Economics'!$B$7:$B$1000,Settings!$B$15),SUMIFS(INDEX('Oxford Economics'!$A$7:$AZ$1000,0,IFERROR(MATCH(U$5,'Oxford Economics'!$A$6:$AZ$6,0),MATCH(U$5&amp;"",'Oxford Economics'!$A$6:$AZ$6,0))),'Oxford Economics'!$A$7:$A$1000,$C79,'Oxford Economics'!$B$7:$B$1000,Settings!$B$15)+SUMIFS(INDEX('Oxford Economics'!$A$7:$AZ$1000,0,IFERROR(MATCH(U$5,'Oxford Economics'!$A$6:$AZ$6,0),MATCH(U$5&amp;"",'Oxford Economics'!$A$6:$AZ$6,0))),'Oxford Economics'!$A$7:$A$1000,$C79,'Oxford Economics'!$B$7:$B$1000,Settings!$B$17)+IF(Settings!$B$19="",0,SUMIFS(INDEX('Oxford Economics'!$A$7:$AZ$1000,0,IFERROR(MATCH(U$5,'Oxford Economics'!$A$6:$AZ$6,0),MATCH(U$5&amp;"",'Oxford Economics'!$A$6:$AZ$6,0))),'Oxford Economics'!$A$7:$A$1000,$C79,'Oxford Economics'!$B$7:$B$1000,Settings!$B$19)))),""))</f>
        <v>36813.16</v>
      </c>
      <c r="V79" s="38" t="n">
        <f aca="false">IF($A79="","",IFERROR(1/(1/IF($B79="Residential",SUMIFS(INDEX('Oxford Economics'!$A$7:$AZ$1000,0,IFERROR(MATCH(V$5,'Oxford Economics'!$A$6:$AZ$6,0),MATCH(V$5&amp;"",'Oxford Economics'!$A$6:$AZ$6,0))),'Oxford Economics'!$A$7:$A$1000,$C79,'Oxford Economics'!$B$7:$B$1000,Settings!$B$13)-SUMIFS(INDEX('Oxford Economics'!$A$7:$AZ$1000,0,IFERROR(MATCH(V$5,'Oxford Economics'!$A$6:$AZ$6,0),MATCH(V$5&amp;"",'Oxford Economics'!$A$6:$AZ$6,0))),'Oxford Economics'!$A$7:$A$1000,$C79,'Oxford Economics'!$B$7:$B$1000,Settings!$B$15),SUMIFS(INDEX('Oxford Economics'!$A$7:$AZ$1000,0,IFERROR(MATCH(V$5,'Oxford Economics'!$A$6:$AZ$6,0),MATCH(V$5&amp;"",'Oxford Economics'!$A$6:$AZ$6,0))),'Oxford Economics'!$A$7:$A$1000,$C79,'Oxford Economics'!$B$7:$B$1000,Settings!$B$15)+SUMIFS(INDEX('Oxford Economics'!$A$7:$AZ$1000,0,IFERROR(MATCH(V$5,'Oxford Economics'!$A$6:$AZ$6,0),MATCH(V$5&amp;"",'Oxford Economics'!$A$6:$AZ$6,0))),'Oxford Economics'!$A$7:$A$1000,$C79,'Oxford Economics'!$B$7:$B$1000,Settings!$B$17)+IF(Settings!$B$19="",0,SUMIFS(INDEX('Oxford Economics'!$A$7:$AZ$1000,0,IFERROR(MATCH(V$5,'Oxford Economics'!$A$6:$AZ$6,0),MATCH(V$5&amp;"",'Oxford Economics'!$A$6:$AZ$6,0))),'Oxford Economics'!$A$7:$A$1000,$C79,'Oxford Economics'!$B$7:$B$1000,Settings!$B$19)))),""))</f>
        <v>37461.75</v>
      </c>
      <c r="W79" s="38" t="n">
        <f aca="false">IF($A79="","",IFERROR(1/(1/IF($B79="Residential",SUMIFS(INDEX('Oxford Economics'!$A$7:$AZ$1000,0,IFERROR(MATCH(W$5,'Oxford Economics'!$A$6:$AZ$6,0),MATCH(W$5&amp;"",'Oxford Economics'!$A$6:$AZ$6,0))),'Oxford Economics'!$A$7:$A$1000,$C79,'Oxford Economics'!$B$7:$B$1000,Settings!$B$13)-SUMIFS(INDEX('Oxford Economics'!$A$7:$AZ$1000,0,IFERROR(MATCH(W$5,'Oxford Economics'!$A$6:$AZ$6,0),MATCH(W$5&amp;"",'Oxford Economics'!$A$6:$AZ$6,0))),'Oxford Economics'!$A$7:$A$1000,$C79,'Oxford Economics'!$B$7:$B$1000,Settings!$B$15),SUMIFS(INDEX('Oxford Economics'!$A$7:$AZ$1000,0,IFERROR(MATCH(W$5,'Oxford Economics'!$A$6:$AZ$6,0),MATCH(W$5&amp;"",'Oxford Economics'!$A$6:$AZ$6,0))),'Oxford Economics'!$A$7:$A$1000,$C79,'Oxford Economics'!$B$7:$B$1000,Settings!$B$15)+SUMIFS(INDEX('Oxford Economics'!$A$7:$AZ$1000,0,IFERROR(MATCH(W$5,'Oxford Economics'!$A$6:$AZ$6,0),MATCH(W$5&amp;"",'Oxford Economics'!$A$6:$AZ$6,0))),'Oxford Economics'!$A$7:$A$1000,$C79,'Oxford Economics'!$B$7:$B$1000,Settings!$B$17)+IF(Settings!$B$19="",0,SUMIFS(INDEX('Oxford Economics'!$A$7:$AZ$1000,0,IFERROR(MATCH(W$5,'Oxford Economics'!$A$6:$AZ$6,0),MATCH(W$5&amp;"",'Oxford Economics'!$A$6:$AZ$6,0))),'Oxford Economics'!$A$7:$A$1000,$C79,'Oxford Economics'!$B$7:$B$1000,Settings!$B$19)))),""))</f>
        <v>38118.86</v>
      </c>
      <c r="X79" s="38" t="n">
        <f aca="false">IF($A79="","",IFERROR(1/(1/IF($B79="Residential",SUMIFS(INDEX('Oxford Economics'!$A$7:$AZ$1000,0,IFERROR(MATCH(X$5,'Oxford Economics'!$A$6:$AZ$6,0),MATCH(X$5&amp;"",'Oxford Economics'!$A$6:$AZ$6,0))),'Oxford Economics'!$A$7:$A$1000,$C79,'Oxford Economics'!$B$7:$B$1000,Settings!$B$13)-SUMIFS(INDEX('Oxford Economics'!$A$7:$AZ$1000,0,IFERROR(MATCH(X$5,'Oxford Economics'!$A$6:$AZ$6,0),MATCH(X$5&amp;"",'Oxford Economics'!$A$6:$AZ$6,0))),'Oxford Economics'!$A$7:$A$1000,$C79,'Oxford Economics'!$B$7:$B$1000,Settings!$B$15),SUMIFS(INDEX('Oxford Economics'!$A$7:$AZ$1000,0,IFERROR(MATCH(X$5,'Oxford Economics'!$A$6:$AZ$6,0),MATCH(X$5&amp;"",'Oxford Economics'!$A$6:$AZ$6,0))),'Oxford Economics'!$A$7:$A$1000,$C79,'Oxford Economics'!$B$7:$B$1000,Settings!$B$15)+SUMIFS(INDEX('Oxford Economics'!$A$7:$AZ$1000,0,IFERROR(MATCH(X$5,'Oxford Economics'!$A$6:$AZ$6,0),MATCH(X$5&amp;"",'Oxford Economics'!$A$6:$AZ$6,0))),'Oxford Economics'!$A$7:$A$1000,$C79,'Oxford Economics'!$B$7:$B$1000,Settings!$B$17)+IF(Settings!$B$19="",0,SUMIFS(INDEX('Oxford Economics'!$A$7:$AZ$1000,0,IFERROR(MATCH(X$5,'Oxford Economics'!$A$6:$AZ$6,0),MATCH(X$5&amp;"",'Oxford Economics'!$A$6:$AZ$6,0))),'Oxford Economics'!$A$7:$A$1000,$C79,'Oxford Economics'!$B$7:$B$1000,Settings!$B$19)))),""))</f>
        <v>38832.62</v>
      </c>
      <c r="Y79" s="38" t="n">
        <f aca="false">IF($A79="","",IFERROR(1/(1/IF($B79="Residential",SUMIFS(INDEX('Oxford Economics'!$A$7:$AZ$1000,0,IFERROR(MATCH(Y$5,'Oxford Economics'!$A$6:$AZ$6,0),MATCH(Y$5&amp;"",'Oxford Economics'!$A$6:$AZ$6,0))),'Oxford Economics'!$A$7:$A$1000,$C79,'Oxford Economics'!$B$7:$B$1000,Settings!$B$13)-SUMIFS(INDEX('Oxford Economics'!$A$7:$AZ$1000,0,IFERROR(MATCH(Y$5,'Oxford Economics'!$A$6:$AZ$6,0),MATCH(Y$5&amp;"",'Oxford Economics'!$A$6:$AZ$6,0))),'Oxford Economics'!$A$7:$A$1000,$C79,'Oxford Economics'!$B$7:$B$1000,Settings!$B$15),SUMIFS(INDEX('Oxford Economics'!$A$7:$AZ$1000,0,IFERROR(MATCH(Y$5,'Oxford Economics'!$A$6:$AZ$6,0),MATCH(Y$5&amp;"",'Oxford Economics'!$A$6:$AZ$6,0))),'Oxford Economics'!$A$7:$A$1000,$C79,'Oxford Economics'!$B$7:$B$1000,Settings!$B$15)+SUMIFS(INDEX('Oxford Economics'!$A$7:$AZ$1000,0,IFERROR(MATCH(Y$5,'Oxford Economics'!$A$6:$AZ$6,0),MATCH(Y$5&amp;"",'Oxford Economics'!$A$6:$AZ$6,0))),'Oxford Economics'!$A$7:$A$1000,$C79,'Oxford Economics'!$B$7:$B$1000,Settings!$B$17)+IF(Settings!$B$19="",0,SUMIFS(INDEX('Oxford Economics'!$A$7:$AZ$1000,0,IFERROR(MATCH(Y$5,'Oxford Economics'!$A$6:$AZ$6,0),MATCH(Y$5&amp;"",'Oxford Economics'!$A$6:$AZ$6,0))),'Oxford Economics'!$A$7:$A$1000,$C79,'Oxford Economics'!$B$7:$B$1000,Settings!$B$19)))),""))</f>
        <v>39676.57</v>
      </c>
      <c r="Z79" s="38" t="n">
        <f aca="false">IF($A79="","",IFERROR(1/(1/IF($B79="Residential",SUMIFS(INDEX('Oxford Economics'!$A$7:$AZ$1000,0,IFERROR(MATCH(Z$5,'Oxford Economics'!$A$6:$AZ$6,0),MATCH(Z$5&amp;"",'Oxford Economics'!$A$6:$AZ$6,0))),'Oxford Economics'!$A$7:$A$1000,$C79,'Oxford Economics'!$B$7:$B$1000,Settings!$B$13)-SUMIFS(INDEX('Oxford Economics'!$A$7:$AZ$1000,0,IFERROR(MATCH(Z$5,'Oxford Economics'!$A$6:$AZ$6,0),MATCH(Z$5&amp;"",'Oxford Economics'!$A$6:$AZ$6,0))),'Oxford Economics'!$A$7:$A$1000,$C79,'Oxford Economics'!$B$7:$B$1000,Settings!$B$15),SUMIFS(INDEX('Oxford Economics'!$A$7:$AZ$1000,0,IFERROR(MATCH(Z$5,'Oxford Economics'!$A$6:$AZ$6,0),MATCH(Z$5&amp;"",'Oxford Economics'!$A$6:$AZ$6,0))),'Oxford Economics'!$A$7:$A$1000,$C79,'Oxford Economics'!$B$7:$B$1000,Settings!$B$15)+SUMIFS(INDEX('Oxford Economics'!$A$7:$AZ$1000,0,IFERROR(MATCH(Z$5,'Oxford Economics'!$A$6:$AZ$6,0),MATCH(Z$5&amp;"",'Oxford Economics'!$A$6:$AZ$6,0))),'Oxford Economics'!$A$7:$A$1000,$C79,'Oxford Economics'!$B$7:$B$1000,Settings!$B$17)+IF(Settings!$B$19="",0,SUMIFS(INDEX('Oxford Economics'!$A$7:$AZ$1000,0,IFERROR(MATCH(Z$5,'Oxford Economics'!$A$6:$AZ$6,0),MATCH(Z$5&amp;"",'Oxford Economics'!$A$6:$AZ$6,0))),'Oxford Economics'!$A$7:$A$1000,$C79,'Oxford Economics'!$B$7:$B$1000,Settings!$B$19)))),""))</f>
        <v>40256.56</v>
      </c>
      <c r="AA79" s="38" t="n">
        <f aca="false">IF($A79="","",IFERROR(1/(1/IF($B79="Residential",SUMIFS(INDEX('Oxford Economics'!$A$7:$AZ$1000,0,IFERROR(MATCH(AA$5,'Oxford Economics'!$A$6:$AZ$6,0),MATCH(AA$5&amp;"",'Oxford Economics'!$A$6:$AZ$6,0))),'Oxford Economics'!$A$7:$A$1000,$C79,'Oxford Economics'!$B$7:$B$1000,Settings!$B$13)-SUMIFS(INDEX('Oxford Economics'!$A$7:$AZ$1000,0,IFERROR(MATCH(AA$5,'Oxford Economics'!$A$6:$AZ$6,0),MATCH(AA$5&amp;"",'Oxford Economics'!$A$6:$AZ$6,0))),'Oxford Economics'!$A$7:$A$1000,$C79,'Oxford Economics'!$B$7:$B$1000,Settings!$B$15),SUMIFS(INDEX('Oxford Economics'!$A$7:$AZ$1000,0,IFERROR(MATCH(AA$5,'Oxford Economics'!$A$6:$AZ$6,0),MATCH(AA$5&amp;"",'Oxford Economics'!$A$6:$AZ$6,0))),'Oxford Economics'!$A$7:$A$1000,$C79,'Oxford Economics'!$B$7:$B$1000,Settings!$B$15)+SUMIFS(INDEX('Oxford Economics'!$A$7:$AZ$1000,0,IFERROR(MATCH(AA$5,'Oxford Economics'!$A$6:$AZ$6,0),MATCH(AA$5&amp;"",'Oxford Economics'!$A$6:$AZ$6,0))),'Oxford Economics'!$A$7:$A$1000,$C79,'Oxford Economics'!$B$7:$B$1000,Settings!$B$17)+IF(Settings!$B$19="",0,SUMIFS(INDEX('Oxford Economics'!$A$7:$AZ$1000,0,IFERROR(MATCH(AA$5,'Oxford Economics'!$A$6:$AZ$6,0),MATCH(AA$5&amp;"",'Oxford Economics'!$A$6:$AZ$6,0))),'Oxford Economics'!$A$7:$A$1000,$C79,'Oxford Economics'!$B$7:$B$1000,Settings!$B$19)))),""))</f>
        <v>41210.91</v>
      </c>
      <c r="AB79" s="38" t="n">
        <f aca="false">IF($A79="","",IFERROR(1/(1/IF($B79="Residential",SUMIFS(INDEX('Oxford Economics'!$A$7:$AZ$1000,0,IFERROR(MATCH(AB$5,'Oxford Economics'!$A$6:$AZ$6,0),MATCH(AB$5&amp;"",'Oxford Economics'!$A$6:$AZ$6,0))),'Oxford Economics'!$A$7:$A$1000,$C79,'Oxford Economics'!$B$7:$B$1000,Settings!$B$12)-SUMIFS(INDEX('Oxford Economics'!$A$7:$AZ$1000,0,IFERROR(MATCH(AB$5,'Oxford Economics'!$A$6:$AZ$6,0),MATCH(AB$5&amp;"",'Oxford Economics'!$A$6:$AZ$6,0))),'Oxford Economics'!$A$7:$A$1000,$C79,'Oxford Economics'!$B$7:$B$1000,Settings!$B$14),SUMIFS(INDEX('Oxford Economics'!$A$7:$AZ$1000,0,IFERROR(MATCH(AB$5,'Oxford Economics'!$A$6:$AZ$6,0),MATCH(AB$5&amp;"",'Oxford Economics'!$A$6:$AZ$6,0))),'Oxford Economics'!$A$7:$A$1000,$C79,'Oxford Economics'!$B$7:$B$1000,Settings!$B$14)+SUMIFS(INDEX('Oxford Economics'!$A$7:$AZ$1000,0,IFERROR(MATCH(AB$5,'Oxford Economics'!$A$6:$AZ$6,0),MATCH(AB$5&amp;"",'Oxford Economics'!$A$6:$AZ$6,0))),'Oxford Economics'!$A$7:$A$1000,$C79,'Oxford Economics'!$B$7:$B$1000,Settings!$B$16)+IF(Settings!$B$18="",0,SUMIFS(INDEX('Oxford Economics'!$A$7:$AZ$1000,0,IFERROR(MATCH(AB$5,'Oxford Economics'!$A$6:$AZ$6,0),MATCH(AB$5&amp;"",'Oxford Economics'!$A$6:$AZ$6,0))),'Oxford Economics'!$A$7:$A$1000,$C79,'Oxford Economics'!$B$7:$B$1000,Settings!$B$18)))),""))</f>
        <v>19309.43</v>
      </c>
      <c r="AC79" s="38" t="n">
        <f aca="false">IF($A79="","",IFERROR(1/(1/IF($B79="Residential",SUMIFS(INDEX('Oxford Economics'!$A$7:$AZ$1000,0,IFERROR(MATCH(AC$5,'Oxford Economics'!$A$6:$AZ$6,0),MATCH(AC$5&amp;"",'Oxford Economics'!$A$6:$AZ$6,0))),'Oxford Economics'!$A$7:$A$1000,$C79,'Oxford Economics'!$B$7:$B$1000,Settings!$B$12)-SUMIFS(INDEX('Oxford Economics'!$A$7:$AZ$1000,0,IFERROR(MATCH(AC$5,'Oxford Economics'!$A$6:$AZ$6,0),MATCH(AC$5&amp;"",'Oxford Economics'!$A$6:$AZ$6,0))),'Oxford Economics'!$A$7:$A$1000,$C79,'Oxford Economics'!$B$7:$B$1000,Settings!$B$14),SUMIFS(INDEX('Oxford Economics'!$A$7:$AZ$1000,0,IFERROR(MATCH(AC$5,'Oxford Economics'!$A$6:$AZ$6,0),MATCH(AC$5&amp;"",'Oxford Economics'!$A$6:$AZ$6,0))),'Oxford Economics'!$A$7:$A$1000,$C79,'Oxford Economics'!$B$7:$B$1000,Settings!$B$14)+SUMIFS(INDEX('Oxford Economics'!$A$7:$AZ$1000,0,IFERROR(MATCH(AC$5,'Oxford Economics'!$A$6:$AZ$6,0),MATCH(AC$5&amp;"",'Oxford Economics'!$A$6:$AZ$6,0))),'Oxford Economics'!$A$7:$A$1000,$C79,'Oxford Economics'!$B$7:$B$1000,Settings!$B$16)+IF(Settings!$B$18="",0,SUMIFS(INDEX('Oxford Economics'!$A$7:$AZ$1000,0,IFERROR(MATCH(AC$5,'Oxford Economics'!$A$6:$AZ$6,0),MATCH(AC$5&amp;"",'Oxford Economics'!$A$6:$AZ$6,0))),'Oxford Economics'!$A$7:$A$1000,$C79,'Oxford Economics'!$B$7:$B$1000,Settings!$B$18)))),""))</f>
        <v>21666.07</v>
      </c>
      <c r="AD79" s="38" t="n">
        <f aca="false">IF($A79="","",IFERROR(1/(1/IF($B79="Residential",SUMIFS(INDEX('Oxford Economics'!$A$7:$AZ$1000,0,IFERROR(MATCH(AD$5,'Oxford Economics'!$A$6:$AZ$6,0),MATCH(AD$5&amp;"",'Oxford Economics'!$A$6:$AZ$6,0))),'Oxford Economics'!$A$7:$A$1000,$C79,'Oxford Economics'!$B$7:$B$1000,Settings!$B$12)-SUMIFS(INDEX('Oxford Economics'!$A$7:$AZ$1000,0,IFERROR(MATCH(AD$5,'Oxford Economics'!$A$6:$AZ$6,0),MATCH(AD$5&amp;"",'Oxford Economics'!$A$6:$AZ$6,0))),'Oxford Economics'!$A$7:$A$1000,$C79,'Oxford Economics'!$B$7:$B$1000,Settings!$B$14),SUMIFS(INDEX('Oxford Economics'!$A$7:$AZ$1000,0,IFERROR(MATCH(AD$5,'Oxford Economics'!$A$6:$AZ$6,0),MATCH(AD$5&amp;"",'Oxford Economics'!$A$6:$AZ$6,0))),'Oxford Economics'!$A$7:$A$1000,$C79,'Oxford Economics'!$B$7:$B$1000,Settings!$B$14)+SUMIFS(INDEX('Oxford Economics'!$A$7:$AZ$1000,0,IFERROR(MATCH(AD$5,'Oxford Economics'!$A$6:$AZ$6,0),MATCH(AD$5&amp;"",'Oxford Economics'!$A$6:$AZ$6,0))),'Oxford Economics'!$A$7:$A$1000,$C79,'Oxford Economics'!$B$7:$B$1000,Settings!$B$16)+IF(Settings!$B$18="",0,SUMIFS(INDEX('Oxford Economics'!$A$7:$AZ$1000,0,IFERROR(MATCH(AD$5,'Oxford Economics'!$A$6:$AZ$6,0),MATCH(AD$5&amp;"",'Oxford Economics'!$A$6:$AZ$6,0))),'Oxford Economics'!$A$7:$A$1000,$C79,'Oxford Economics'!$B$7:$B$1000,Settings!$B$18)))),""))</f>
        <v>20253.14</v>
      </c>
      <c r="AE79" s="38" t="n">
        <f aca="false">IF($A79="","",IFERROR(1/(1/IF($B79="Residential",SUMIFS(INDEX('Oxford Economics'!$A$7:$AZ$1000,0,IFERROR(MATCH(AE$5,'Oxford Economics'!$A$6:$AZ$6,0),MATCH(AE$5&amp;"",'Oxford Economics'!$A$6:$AZ$6,0))),'Oxford Economics'!$A$7:$A$1000,$C79,'Oxford Economics'!$B$7:$B$1000,Settings!$B$12)-SUMIFS(INDEX('Oxford Economics'!$A$7:$AZ$1000,0,IFERROR(MATCH(AE$5,'Oxford Economics'!$A$6:$AZ$6,0),MATCH(AE$5&amp;"",'Oxford Economics'!$A$6:$AZ$6,0))),'Oxford Economics'!$A$7:$A$1000,$C79,'Oxford Economics'!$B$7:$B$1000,Settings!$B$14),SUMIFS(INDEX('Oxford Economics'!$A$7:$AZ$1000,0,IFERROR(MATCH(AE$5,'Oxford Economics'!$A$6:$AZ$6,0),MATCH(AE$5&amp;"",'Oxford Economics'!$A$6:$AZ$6,0))),'Oxford Economics'!$A$7:$A$1000,$C79,'Oxford Economics'!$B$7:$B$1000,Settings!$B$14)+SUMIFS(INDEX('Oxford Economics'!$A$7:$AZ$1000,0,IFERROR(MATCH(AE$5,'Oxford Economics'!$A$6:$AZ$6,0),MATCH(AE$5&amp;"",'Oxford Economics'!$A$6:$AZ$6,0))),'Oxford Economics'!$A$7:$A$1000,$C79,'Oxford Economics'!$B$7:$B$1000,Settings!$B$16)+IF(Settings!$B$18="",0,SUMIFS(INDEX('Oxford Economics'!$A$7:$AZ$1000,0,IFERROR(MATCH(AE$5,'Oxford Economics'!$A$6:$AZ$6,0),MATCH(AE$5&amp;"",'Oxford Economics'!$A$6:$AZ$6,0))),'Oxford Economics'!$A$7:$A$1000,$C79,'Oxford Economics'!$B$7:$B$1000,Settings!$B$18)))),""))</f>
        <v>16052.74</v>
      </c>
      <c r="AF79" s="38" t="n">
        <f aca="false">IF($A79="","",IFERROR(1/(1/IF($B79="Residential",SUMIFS(INDEX('Oxford Economics'!$A$7:$AZ$1000,0,IFERROR(MATCH(AF$5,'Oxford Economics'!$A$6:$AZ$6,0),MATCH(AF$5&amp;"",'Oxford Economics'!$A$6:$AZ$6,0))),'Oxford Economics'!$A$7:$A$1000,$C79,'Oxford Economics'!$B$7:$B$1000,Settings!$B$12)-SUMIFS(INDEX('Oxford Economics'!$A$7:$AZ$1000,0,IFERROR(MATCH(AF$5,'Oxford Economics'!$A$6:$AZ$6,0),MATCH(AF$5&amp;"",'Oxford Economics'!$A$6:$AZ$6,0))),'Oxford Economics'!$A$7:$A$1000,$C79,'Oxford Economics'!$B$7:$B$1000,Settings!$B$14),SUMIFS(INDEX('Oxford Economics'!$A$7:$AZ$1000,0,IFERROR(MATCH(AF$5,'Oxford Economics'!$A$6:$AZ$6,0),MATCH(AF$5&amp;"",'Oxford Economics'!$A$6:$AZ$6,0))),'Oxford Economics'!$A$7:$A$1000,$C79,'Oxford Economics'!$B$7:$B$1000,Settings!$B$14)+SUMIFS(INDEX('Oxford Economics'!$A$7:$AZ$1000,0,IFERROR(MATCH(AF$5,'Oxford Economics'!$A$6:$AZ$6,0),MATCH(AF$5&amp;"",'Oxford Economics'!$A$6:$AZ$6,0))),'Oxford Economics'!$A$7:$A$1000,$C79,'Oxford Economics'!$B$7:$B$1000,Settings!$B$16)+IF(Settings!$B$18="",0,SUMIFS(INDEX('Oxford Economics'!$A$7:$AZ$1000,0,IFERROR(MATCH(AF$5,'Oxford Economics'!$A$6:$AZ$6,0),MATCH(AF$5&amp;"",'Oxford Economics'!$A$6:$AZ$6,0))),'Oxford Economics'!$A$7:$A$1000,$C79,'Oxford Economics'!$B$7:$B$1000,Settings!$B$18)))),""))</f>
        <v>11436.57</v>
      </c>
      <c r="AG79" s="38" t="n">
        <f aca="false">IF($A79="","",IFERROR(1/(1/IF($B79="Residential",SUMIFS(INDEX('Oxford Economics'!$A$7:$AZ$1000,0,IFERROR(MATCH(AG$5,'Oxford Economics'!$A$6:$AZ$6,0),MATCH(AG$5&amp;"",'Oxford Economics'!$A$6:$AZ$6,0))),'Oxford Economics'!$A$7:$A$1000,$C79,'Oxford Economics'!$B$7:$B$1000,Settings!$B$12)-SUMIFS(INDEX('Oxford Economics'!$A$7:$AZ$1000,0,IFERROR(MATCH(AG$5,'Oxford Economics'!$A$6:$AZ$6,0),MATCH(AG$5&amp;"",'Oxford Economics'!$A$6:$AZ$6,0))),'Oxford Economics'!$A$7:$A$1000,$C79,'Oxford Economics'!$B$7:$B$1000,Settings!$B$14),SUMIFS(INDEX('Oxford Economics'!$A$7:$AZ$1000,0,IFERROR(MATCH(AG$5,'Oxford Economics'!$A$6:$AZ$6,0),MATCH(AG$5&amp;"",'Oxford Economics'!$A$6:$AZ$6,0))),'Oxford Economics'!$A$7:$A$1000,$C79,'Oxford Economics'!$B$7:$B$1000,Settings!$B$14)+SUMIFS(INDEX('Oxford Economics'!$A$7:$AZ$1000,0,IFERROR(MATCH(AG$5,'Oxford Economics'!$A$6:$AZ$6,0),MATCH(AG$5&amp;"",'Oxford Economics'!$A$6:$AZ$6,0))),'Oxford Economics'!$A$7:$A$1000,$C79,'Oxford Economics'!$B$7:$B$1000,Settings!$B$16)+IF(Settings!$B$18="",0,SUMIFS(INDEX('Oxford Economics'!$A$7:$AZ$1000,0,IFERROR(MATCH(AG$5,'Oxford Economics'!$A$6:$AZ$6,0),MATCH(AG$5&amp;"",'Oxford Economics'!$A$6:$AZ$6,0))),'Oxford Economics'!$A$7:$A$1000,$C79,'Oxford Economics'!$B$7:$B$1000,Settings!$B$18)))),""))</f>
        <v>10691.08</v>
      </c>
      <c r="AH79" s="38" t="n">
        <f aca="false">IF($A79="","",IFERROR(1/(1/IF($B79="Residential",SUMIFS(INDEX('Oxford Economics'!$A$7:$AZ$1000,0,IFERROR(MATCH(AH$5,'Oxford Economics'!$A$6:$AZ$6,0),MATCH(AH$5&amp;"",'Oxford Economics'!$A$6:$AZ$6,0))),'Oxford Economics'!$A$7:$A$1000,$C79,'Oxford Economics'!$B$7:$B$1000,Settings!$B$12)-SUMIFS(INDEX('Oxford Economics'!$A$7:$AZ$1000,0,IFERROR(MATCH(AH$5,'Oxford Economics'!$A$6:$AZ$6,0),MATCH(AH$5&amp;"",'Oxford Economics'!$A$6:$AZ$6,0))),'Oxford Economics'!$A$7:$A$1000,$C79,'Oxford Economics'!$B$7:$B$1000,Settings!$B$14),SUMIFS(INDEX('Oxford Economics'!$A$7:$AZ$1000,0,IFERROR(MATCH(AH$5,'Oxford Economics'!$A$6:$AZ$6,0),MATCH(AH$5&amp;"",'Oxford Economics'!$A$6:$AZ$6,0))),'Oxford Economics'!$A$7:$A$1000,$C79,'Oxford Economics'!$B$7:$B$1000,Settings!$B$14)+SUMIFS(INDEX('Oxford Economics'!$A$7:$AZ$1000,0,IFERROR(MATCH(AH$5,'Oxford Economics'!$A$6:$AZ$6,0),MATCH(AH$5&amp;"",'Oxford Economics'!$A$6:$AZ$6,0))),'Oxford Economics'!$A$7:$A$1000,$C79,'Oxford Economics'!$B$7:$B$1000,Settings!$B$16)+IF(Settings!$B$18="",0,SUMIFS(INDEX('Oxford Economics'!$A$7:$AZ$1000,0,IFERROR(MATCH(AH$5,'Oxford Economics'!$A$6:$AZ$6,0),MATCH(AH$5&amp;"",'Oxford Economics'!$A$6:$AZ$6,0))),'Oxford Economics'!$A$7:$A$1000,$C79,'Oxford Economics'!$B$7:$B$1000,Settings!$B$18)))),""))</f>
        <v>10236.86</v>
      </c>
      <c r="AI79" s="38" t="n">
        <f aca="false">IF($A79="","",IFERROR(1/(1/IF($B79="Residential",SUMIFS(INDEX('Oxford Economics'!$A$7:$AZ$1000,0,IFERROR(MATCH(AI$5,'Oxford Economics'!$A$6:$AZ$6,0),MATCH(AI$5&amp;"",'Oxford Economics'!$A$6:$AZ$6,0))),'Oxford Economics'!$A$7:$A$1000,$C79,'Oxford Economics'!$B$7:$B$1000,Settings!$B$12)-SUMIFS(INDEX('Oxford Economics'!$A$7:$AZ$1000,0,IFERROR(MATCH(AI$5,'Oxford Economics'!$A$6:$AZ$6,0),MATCH(AI$5&amp;"",'Oxford Economics'!$A$6:$AZ$6,0))),'Oxford Economics'!$A$7:$A$1000,$C79,'Oxford Economics'!$B$7:$B$1000,Settings!$B$14),SUMIFS(INDEX('Oxford Economics'!$A$7:$AZ$1000,0,IFERROR(MATCH(AI$5,'Oxford Economics'!$A$6:$AZ$6,0),MATCH(AI$5&amp;"",'Oxford Economics'!$A$6:$AZ$6,0))),'Oxford Economics'!$A$7:$A$1000,$C79,'Oxford Economics'!$B$7:$B$1000,Settings!$B$14)+SUMIFS(INDEX('Oxford Economics'!$A$7:$AZ$1000,0,IFERROR(MATCH(AI$5,'Oxford Economics'!$A$6:$AZ$6,0),MATCH(AI$5&amp;"",'Oxford Economics'!$A$6:$AZ$6,0))),'Oxford Economics'!$A$7:$A$1000,$C79,'Oxford Economics'!$B$7:$B$1000,Settings!$B$16)+IF(Settings!$B$18="",0,SUMIFS(INDEX('Oxford Economics'!$A$7:$AZ$1000,0,IFERROR(MATCH(AI$5,'Oxford Economics'!$A$6:$AZ$6,0),MATCH(AI$5&amp;"",'Oxford Economics'!$A$6:$AZ$6,0))),'Oxford Economics'!$A$7:$A$1000,$C79,'Oxford Economics'!$B$7:$B$1000,Settings!$B$18)))),""))</f>
        <v>9983.2</v>
      </c>
      <c r="AJ79" s="38" t="n">
        <f aca="false">IF($A79="","",IFERROR(1/(1/IF($B79="Residential",SUMIFS(INDEX('Oxford Economics'!$A$7:$AZ$1000,0,IFERROR(MATCH(AJ$5,'Oxford Economics'!$A$6:$AZ$6,0),MATCH(AJ$5&amp;"",'Oxford Economics'!$A$6:$AZ$6,0))),'Oxford Economics'!$A$7:$A$1000,$C79,'Oxford Economics'!$B$7:$B$1000,Settings!$B$12)-SUMIFS(INDEX('Oxford Economics'!$A$7:$AZ$1000,0,IFERROR(MATCH(AJ$5,'Oxford Economics'!$A$6:$AZ$6,0),MATCH(AJ$5&amp;"",'Oxford Economics'!$A$6:$AZ$6,0))),'Oxford Economics'!$A$7:$A$1000,$C79,'Oxford Economics'!$B$7:$B$1000,Settings!$B$14),SUMIFS(INDEX('Oxford Economics'!$A$7:$AZ$1000,0,IFERROR(MATCH(AJ$5,'Oxford Economics'!$A$6:$AZ$6,0),MATCH(AJ$5&amp;"",'Oxford Economics'!$A$6:$AZ$6,0))),'Oxford Economics'!$A$7:$A$1000,$C79,'Oxford Economics'!$B$7:$B$1000,Settings!$B$14)+SUMIFS(INDEX('Oxford Economics'!$A$7:$AZ$1000,0,IFERROR(MATCH(AJ$5,'Oxford Economics'!$A$6:$AZ$6,0),MATCH(AJ$5&amp;"",'Oxford Economics'!$A$6:$AZ$6,0))),'Oxford Economics'!$A$7:$A$1000,$C79,'Oxford Economics'!$B$7:$B$1000,Settings!$B$16)+IF(Settings!$B$18="",0,SUMIFS(INDEX('Oxford Economics'!$A$7:$AZ$1000,0,IFERROR(MATCH(AJ$5,'Oxford Economics'!$A$6:$AZ$6,0),MATCH(AJ$5&amp;"",'Oxford Economics'!$A$6:$AZ$6,0))),'Oxford Economics'!$A$7:$A$1000,$C79,'Oxford Economics'!$B$7:$B$1000,Settings!$B$18)))),""))</f>
        <v>10165.83</v>
      </c>
      <c r="AK79" s="38" t="n">
        <f aca="false">IF($A79="","",IFERROR(1/(1/IF($B79="Residential",SUMIFS(INDEX('Oxford Economics'!$A$7:$AZ$1000,0,IFERROR(MATCH(AK$5,'Oxford Economics'!$A$6:$AZ$6,0),MATCH(AK$5&amp;"",'Oxford Economics'!$A$6:$AZ$6,0))),'Oxford Economics'!$A$7:$A$1000,$C79,'Oxford Economics'!$B$7:$B$1000,Settings!$B$12)-SUMIFS(INDEX('Oxford Economics'!$A$7:$AZ$1000,0,IFERROR(MATCH(AK$5,'Oxford Economics'!$A$6:$AZ$6,0),MATCH(AK$5&amp;"",'Oxford Economics'!$A$6:$AZ$6,0))),'Oxford Economics'!$A$7:$A$1000,$C79,'Oxford Economics'!$B$7:$B$1000,Settings!$B$14),SUMIFS(INDEX('Oxford Economics'!$A$7:$AZ$1000,0,IFERROR(MATCH(AK$5,'Oxford Economics'!$A$6:$AZ$6,0),MATCH(AK$5&amp;"",'Oxford Economics'!$A$6:$AZ$6,0))),'Oxford Economics'!$A$7:$A$1000,$C79,'Oxford Economics'!$B$7:$B$1000,Settings!$B$14)+SUMIFS(INDEX('Oxford Economics'!$A$7:$AZ$1000,0,IFERROR(MATCH(AK$5,'Oxford Economics'!$A$6:$AZ$6,0),MATCH(AK$5&amp;"",'Oxford Economics'!$A$6:$AZ$6,0))),'Oxford Economics'!$A$7:$A$1000,$C79,'Oxford Economics'!$B$7:$B$1000,Settings!$B$16)+IF(Settings!$B$18="",0,SUMIFS(INDEX('Oxford Economics'!$A$7:$AZ$1000,0,IFERROR(MATCH(AK$5,'Oxford Economics'!$A$6:$AZ$6,0),MATCH(AK$5&amp;"",'Oxford Economics'!$A$6:$AZ$6,0))),'Oxford Economics'!$A$7:$A$1000,$C79,'Oxford Economics'!$B$7:$B$1000,Settings!$B$18)))),""))</f>
        <v>10538.09</v>
      </c>
      <c r="AL79" s="38" t="n">
        <f aca="false">IF($A79="","",IFERROR(1/(1/IF($B79="Residential",SUMIFS(INDEX('Oxford Economics'!$A$7:$AZ$1000,0,IFERROR(MATCH(AL$5,'Oxford Economics'!$A$6:$AZ$6,0),MATCH(AL$5&amp;"",'Oxford Economics'!$A$6:$AZ$6,0))),'Oxford Economics'!$A$7:$A$1000,$C79,'Oxford Economics'!$B$7:$B$1000,Settings!$B$12)-SUMIFS(INDEX('Oxford Economics'!$A$7:$AZ$1000,0,IFERROR(MATCH(AL$5,'Oxford Economics'!$A$6:$AZ$6,0),MATCH(AL$5&amp;"",'Oxford Economics'!$A$6:$AZ$6,0))),'Oxford Economics'!$A$7:$A$1000,$C79,'Oxford Economics'!$B$7:$B$1000,Settings!$B$14),SUMIFS(INDEX('Oxford Economics'!$A$7:$AZ$1000,0,IFERROR(MATCH(AL$5,'Oxford Economics'!$A$6:$AZ$6,0),MATCH(AL$5&amp;"",'Oxford Economics'!$A$6:$AZ$6,0))),'Oxford Economics'!$A$7:$A$1000,$C79,'Oxford Economics'!$B$7:$B$1000,Settings!$B$14)+SUMIFS(INDEX('Oxford Economics'!$A$7:$AZ$1000,0,IFERROR(MATCH(AL$5,'Oxford Economics'!$A$6:$AZ$6,0),MATCH(AL$5&amp;"",'Oxford Economics'!$A$6:$AZ$6,0))),'Oxford Economics'!$A$7:$A$1000,$C79,'Oxford Economics'!$B$7:$B$1000,Settings!$B$16)+IF(Settings!$B$18="",0,SUMIFS(INDEX('Oxford Economics'!$A$7:$AZ$1000,0,IFERROR(MATCH(AL$5,'Oxford Economics'!$A$6:$AZ$6,0),MATCH(AL$5&amp;"",'Oxford Economics'!$A$6:$AZ$6,0))),'Oxford Economics'!$A$7:$A$1000,$C79,'Oxford Economics'!$B$7:$B$1000,Settings!$B$18)))),""))</f>
        <v>10870.05</v>
      </c>
      <c r="AM79" s="38" t="n">
        <f aca="false">IF($A79="","",IFERROR(1/(1/IF($B79="Residential",SUMIFS(INDEX('Oxford Economics'!$A$7:$AZ$1000,0,IFERROR(MATCH(AM$5,'Oxford Economics'!$A$6:$AZ$6,0),MATCH(AM$5&amp;"",'Oxford Economics'!$A$6:$AZ$6,0))),'Oxford Economics'!$A$7:$A$1000,$C79,'Oxford Economics'!$B$7:$B$1000,Settings!$B$12)-SUMIFS(INDEX('Oxford Economics'!$A$7:$AZ$1000,0,IFERROR(MATCH(AM$5,'Oxford Economics'!$A$6:$AZ$6,0),MATCH(AM$5&amp;"",'Oxford Economics'!$A$6:$AZ$6,0))),'Oxford Economics'!$A$7:$A$1000,$C79,'Oxford Economics'!$B$7:$B$1000,Settings!$B$14),SUMIFS(INDEX('Oxford Economics'!$A$7:$AZ$1000,0,IFERROR(MATCH(AM$5,'Oxford Economics'!$A$6:$AZ$6,0),MATCH(AM$5&amp;"",'Oxford Economics'!$A$6:$AZ$6,0))),'Oxford Economics'!$A$7:$A$1000,$C79,'Oxford Economics'!$B$7:$B$1000,Settings!$B$14)+SUMIFS(INDEX('Oxford Economics'!$A$7:$AZ$1000,0,IFERROR(MATCH(AM$5,'Oxford Economics'!$A$6:$AZ$6,0),MATCH(AM$5&amp;"",'Oxford Economics'!$A$6:$AZ$6,0))),'Oxford Economics'!$A$7:$A$1000,$C79,'Oxford Economics'!$B$7:$B$1000,Settings!$B$16)+IF(Settings!$B$18="",0,SUMIFS(INDEX('Oxford Economics'!$A$7:$AZ$1000,0,IFERROR(MATCH(AM$5,'Oxford Economics'!$A$6:$AZ$6,0),MATCH(AM$5&amp;"",'Oxford Economics'!$A$6:$AZ$6,0))),'Oxford Economics'!$A$7:$A$1000,$C79,'Oxford Economics'!$B$7:$B$1000,Settings!$B$18)))),""))</f>
        <v>11239.6</v>
      </c>
    </row>
    <row r="80" customFormat="false" ht="15" hidden="false" customHeight="false" outlineLevel="0" collapsed="false">
      <c r="A80" s="37" t="str">
        <f aca="false">IF('Raw data'!$A80="","",'Raw data'!$A80)</f>
        <v>France</v>
      </c>
      <c r="B80" s="37" t="str">
        <f aca="false">IF($A80="","",'Raw data'!$C80)</f>
        <v>Residential</v>
      </c>
      <c r="C80" s="37" t="str">
        <f aca="false">IF($A80="","",IF('Raw data'!$E80="",$A80,'Raw data'!$E80))</f>
        <v>France</v>
      </c>
      <c r="D80" s="38" t="n">
        <f aca="false">IF($A80="","",IF(AND(ISNUMBER(P80),ISNUMBER(AB80)),P80+AB80,""))</f>
        <v>51362.08</v>
      </c>
      <c r="E80" s="38" t="n">
        <f aca="false">IF($A80="","",IF(AND(ISNUMBER(Q80),ISNUMBER(AC80)),Q80+AC80,""))</f>
        <v>55749.15</v>
      </c>
      <c r="F80" s="38" t="n">
        <f aca="false">IF($A80="","",IF(AND(ISNUMBER(R80),ISNUMBER(AD80)),R80+AD80,""))</f>
        <v>53730.03</v>
      </c>
      <c r="G80" s="38" t="n">
        <f aca="false">IF($A80="","",IF(AND(ISNUMBER(S80),ISNUMBER(AE80)),S80+AE80,""))</f>
        <v>52407.61</v>
      </c>
      <c r="H80" s="38" t="n">
        <f aca="false">IF($A80="","",IF(AND(ISNUMBER(T80),ISNUMBER(AF80)),T80+AF80,""))</f>
        <v>47581.62</v>
      </c>
      <c r="I80" s="38" t="n">
        <f aca="false">IF($A80="","",IF(AND(ISNUMBER(U80),ISNUMBER(AG80)),U80+AG80,""))</f>
        <v>47504.24</v>
      </c>
      <c r="J80" s="38" t="n">
        <f aca="false">IF($A80="","",IF(AND(ISNUMBER(V80),ISNUMBER(AH80)),V80+AH80,""))</f>
        <v>47698.61</v>
      </c>
      <c r="K80" s="38" t="n">
        <f aca="false">IF($A80="","",IF(AND(ISNUMBER(W80),ISNUMBER(AI80)),W80+AI80,""))</f>
        <v>48102.06</v>
      </c>
      <c r="L80" s="38" t="n">
        <f aca="false">IF($A80="","",IF(AND(ISNUMBER(X80),ISNUMBER(AJ80)),X80+AJ80,""))</f>
        <v>48998.45</v>
      </c>
      <c r="M80" s="38" t="n">
        <f aca="false">IF($A80="","",IF(AND(ISNUMBER(Y80),ISNUMBER(AK80)),Y80+AK80,""))</f>
        <v>50214.66</v>
      </c>
      <c r="N80" s="38" t="n">
        <f aca="false">IF($A80="","",IF(AND(ISNUMBER(Z80),ISNUMBER(AL80)),Z80+AL80,""))</f>
        <v>51126.61</v>
      </c>
      <c r="O80" s="38" t="n">
        <f aca="false">IF($A80="","",IF(AND(ISNUMBER(AA80),ISNUMBER(AM80)),AA80+AM80,""))</f>
        <v>52450.51</v>
      </c>
      <c r="P80" s="38" t="n">
        <f aca="false">IF($A80="","",IFERROR(1/(1/IF($B80="Residential",SUMIFS(INDEX('Oxford Economics'!$A$7:$AZ$1000,0,IFERROR(MATCH(P$5,'Oxford Economics'!$A$6:$AZ$6,0),MATCH(P$5&amp;"",'Oxford Economics'!$A$6:$AZ$6,0))),'Oxford Economics'!$A$7:$A$1000,$C80,'Oxford Economics'!$B$7:$B$1000,Settings!$B$13)-SUMIFS(INDEX('Oxford Economics'!$A$7:$AZ$1000,0,IFERROR(MATCH(P$5,'Oxford Economics'!$A$6:$AZ$6,0),MATCH(P$5&amp;"",'Oxford Economics'!$A$6:$AZ$6,0))),'Oxford Economics'!$A$7:$A$1000,$C80,'Oxford Economics'!$B$7:$B$1000,Settings!$B$15),SUMIFS(INDEX('Oxford Economics'!$A$7:$AZ$1000,0,IFERROR(MATCH(P$5,'Oxford Economics'!$A$6:$AZ$6,0),MATCH(P$5&amp;"",'Oxford Economics'!$A$6:$AZ$6,0))),'Oxford Economics'!$A$7:$A$1000,$C80,'Oxford Economics'!$B$7:$B$1000,Settings!$B$15)+SUMIFS(INDEX('Oxford Economics'!$A$7:$AZ$1000,0,IFERROR(MATCH(P$5,'Oxford Economics'!$A$6:$AZ$6,0),MATCH(P$5&amp;"",'Oxford Economics'!$A$6:$AZ$6,0))),'Oxford Economics'!$A$7:$A$1000,$C80,'Oxford Economics'!$B$7:$B$1000,Settings!$B$17)+IF(Settings!$B$19="",0,SUMIFS(INDEX('Oxford Economics'!$A$7:$AZ$1000,0,IFERROR(MATCH(P$5,'Oxford Economics'!$A$6:$AZ$6,0),MATCH(P$5&amp;"",'Oxford Economics'!$A$6:$AZ$6,0))),'Oxford Economics'!$A$7:$A$1000,$C80,'Oxford Economics'!$B$7:$B$1000,Settings!$B$19)))),""))</f>
        <v>32052.65</v>
      </c>
      <c r="Q80" s="38" t="n">
        <f aca="false">IF($A80="","",IFERROR(1/(1/IF($B80="Residential",SUMIFS(INDEX('Oxford Economics'!$A$7:$AZ$1000,0,IFERROR(MATCH(Q$5,'Oxford Economics'!$A$6:$AZ$6,0),MATCH(Q$5&amp;"",'Oxford Economics'!$A$6:$AZ$6,0))),'Oxford Economics'!$A$7:$A$1000,$C80,'Oxford Economics'!$B$7:$B$1000,Settings!$B$13)-SUMIFS(INDEX('Oxford Economics'!$A$7:$AZ$1000,0,IFERROR(MATCH(Q$5,'Oxford Economics'!$A$6:$AZ$6,0),MATCH(Q$5&amp;"",'Oxford Economics'!$A$6:$AZ$6,0))),'Oxford Economics'!$A$7:$A$1000,$C80,'Oxford Economics'!$B$7:$B$1000,Settings!$B$15),SUMIFS(INDEX('Oxford Economics'!$A$7:$AZ$1000,0,IFERROR(MATCH(Q$5,'Oxford Economics'!$A$6:$AZ$6,0),MATCH(Q$5&amp;"",'Oxford Economics'!$A$6:$AZ$6,0))),'Oxford Economics'!$A$7:$A$1000,$C80,'Oxford Economics'!$B$7:$B$1000,Settings!$B$15)+SUMIFS(INDEX('Oxford Economics'!$A$7:$AZ$1000,0,IFERROR(MATCH(Q$5,'Oxford Economics'!$A$6:$AZ$6,0),MATCH(Q$5&amp;"",'Oxford Economics'!$A$6:$AZ$6,0))),'Oxford Economics'!$A$7:$A$1000,$C80,'Oxford Economics'!$B$7:$B$1000,Settings!$B$17)+IF(Settings!$B$19="",0,SUMIFS(INDEX('Oxford Economics'!$A$7:$AZ$1000,0,IFERROR(MATCH(Q$5,'Oxford Economics'!$A$6:$AZ$6,0),MATCH(Q$5&amp;"",'Oxford Economics'!$A$6:$AZ$6,0))),'Oxford Economics'!$A$7:$A$1000,$C80,'Oxford Economics'!$B$7:$B$1000,Settings!$B$19)))),""))</f>
        <v>34083.08</v>
      </c>
      <c r="R80" s="38" t="n">
        <f aca="false">IF($A80="","",IFERROR(1/(1/IF($B80="Residential",SUMIFS(INDEX('Oxford Economics'!$A$7:$AZ$1000,0,IFERROR(MATCH(R$5,'Oxford Economics'!$A$6:$AZ$6,0),MATCH(R$5&amp;"",'Oxford Economics'!$A$6:$AZ$6,0))),'Oxford Economics'!$A$7:$A$1000,$C80,'Oxford Economics'!$B$7:$B$1000,Settings!$B$13)-SUMIFS(INDEX('Oxford Economics'!$A$7:$AZ$1000,0,IFERROR(MATCH(R$5,'Oxford Economics'!$A$6:$AZ$6,0),MATCH(R$5&amp;"",'Oxford Economics'!$A$6:$AZ$6,0))),'Oxford Economics'!$A$7:$A$1000,$C80,'Oxford Economics'!$B$7:$B$1000,Settings!$B$15),SUMIFS(INDEX('Oxford Economics'!$A$7:$AZ$1000,0,IFERROR(MATCH(R$5,'Oxford Economics'!$A$6:$AZ$6,0),MATCH(R$5&amp;"",'Oxford Economics'!$A$6:$AZ$6,0))),'Oxford Economics'!$A$7:$A$1000,$C80,'Oxford Economics'!$B$7:$B$1000,Settings!$B$15)+SUMIFS(INDEX('Oxford Economics'!$A$7:$AZ$1000,0,IFERROR(MATCH(R$5,'Oxford Economics'!$A$6:$AZ$6,0),MATCH(R$5&amp;"",'Oxford Economics'!$A$6:$AZ$6,0))),'Oxford Economics'!$A$7:$A$1000,$C80,'Oxford Economics'!$B$7:$B$1000,Settings!$B$17)+IF(Settings!$B$19="",0,SUMIFS(INDEX('Oxford Economics'!$A$7:$AZ$1000,0,IFERROR(MATCH(R$5,'Oxford Economics'!$A$6:$AZ$6,0),MATCH(R$5&amp;"",'Oxford Economics'!$A$6:$AZ$6,0))),'Oxford Economics'!$A$7:$A$1000,$C80,'Oxford Economics'!$B$7:$B$1000,Settings!$B$19)))),""))</f>
        <v>33476.89</v>
      </c>
      <c r="S80" s="38" t="n">
        <f aca="false">IF($A80="","",IFERROR(1/(1/IF($B80="Residential",SUMIFS(INDEX('Oxford Economics'!$A$7:$AZ$1000,0,IFERROR(MATCH(S$5,'Oxford Economics'!$A$6:$AZ$6,0),MATCH(S$5&amp;"",'Oxford Economics'!$A$6:$AZ$6,0))),'Oxford Economics'!$A$7:$A$1000,$C80,'Oxford Economics'!$B$7:$B$1000,Settings!$B$13)-SUMIFS(INDEX('Oxford Economics'!$A$7:$AZ$1000,0,IFERROR(MATCH(S$5,'Oxford Economics'!$A$6:$AZ$6,0),MATCH(S$5&amp;"",'Oxford Economics'!$A$6:$AZ$6,0))),'Oxford Economics'!$A$7:$A$1000,$C80,'Oxford Economics'!$B$7:$B$1000,Settings!$B$15),SUMIFS(INDEX('Oxford Economics'!$A$7:$AZ$1000,0,IFERROR(MATCH(S$5,'Oxford Economics'!$A$6:$AZ$6,0),MATCH(S$5&amp;"",'Oxford Economics'!$A$6:$AZ$6,0))),'Oxford Economics'!$A$7:$A$1000,$C80,'Oxford Economics'!$B$7:$B$1000,Settings!$B$15)+SUMIFS(INDEX('Oxford Economics'!$A$7:$AZ$1000,0,IFERROR(MATCH(S$5,'Oxford Economics'!$A$6:$AZ$6,0),MATCH(S$5&amp;"",'Oxford Economics'!$A$6:$AZ$6,0))),'Oxford Economics'!$A$7:$A$1000,$C80,'Oxford Economics'!$B$7:$B$1000,Settings!$B$17)+IF(Settings!$B$19="",0,SUMIFS(INDEX('Oxford Economics'!$A$7:$AZ$1000,0,IFERROR(MATCH(S$5,'Oxford Economics'!$A$6:$AZ$6,0),MATCH(S$5&amp;"",'Oxford Economics'!$A$6:$AZ$6,0))),'Oxford Economics'!$A$7:$A$1000,$C80,'Oxford Economics'!$B$7:$B$1000,Settings!$B$19)))),""))</f>
        <v>36354.87</v>
      </c>
      <c r="T80" s="38" t="n">
        <f aca="false">IF($A80="","",IFERROR(1/(1/IF($B80="Residential",SUMIFS(INDEX('Oxford Economics'!$A$7:$AZ$1000,0,IFERROR(MATCH(T$5,'Oxford Economics'!$A$6:$AZ$6,0),MATCH(T$5&amp;"",'Oxford Economics'!$A$6:$AZ$6,0))),'Oxford Economics'!$A$7:$A$1000,$C80,'Oxford Economics'!$B$7:$B$1000,Settings!$B$13)-SUMIFS(INDEX('Oxford Economics'!$A$7:$AZ$1000,0,IFERROR(MATCH(T$5,'Oxford Economics'!$A$6:$AZ$6,0),MATCH(T$5&amp;"",'Oxford Economics'!$A$6:$AZ$6,0))),'Oxford Economics'!$A$7:$A$1000,$C80,'Oxford Economics'!$B$7:$B$1000,Settings!$B$15),SUMIFS(INDEX('Oxford Economics'!$A$7:$AZ$1000,0,IFERROR(MATCH(T$5,'Oxford Economics'!$A$6:$AZ$6,0),MATCH(T$5&amp;"",'Oxford Economics'!$A$6:$AZ$6,0))),'Oxford Economics'!$A$7:$A$1000,$C80,'Oxford Economics'!$B$7:$B$1000,Settings!$B$15)+SUMIFS(INDEX('Oxford Economics'!$A$7:$AZ$1000,0,IFERROR(MATCH(T$5,'Oxford Economics'!$A$6:$AZ$6,0),MATCH(T$5&amp;"",'Oxford Economics'!$A$6:$AZ$6,0))),'Oxford Economics'!$A$7:$A$1000,$C80,'Oxford Economics'!$B$7:$B$1000,Settings!$B$17)+IF(Settings!$B$19="",0,SUMIFS(INDEX('Oxford Economics'!$A$7:$AZ$1000,0,IFERROR(MATCH(T$5,'Oxford Economics'!$A$6:$AZ$6,0),MATCH(T$5&amp;"",'Oxford Economics'!$A$6:$AZ$6,0))),'Oxford Economics'!$A$7:$A$1000,$C80,'Oxford Economics'!$B$7:$B$1000,Settings!$B$19)))),""))</f>
        <v>36145.05</v>
      </c>
      <c r="U80" s="38" t="n">
        <f aca="false">IF($A80="","",IFERROR(1/(1/IF($B80="Residential",SUMIFS(INDEX('Oxford Economics'!$A$7:$AZ$1000,0,IFERROR(MATCH(U$5,'Oxford Economics'!$A$6:$AZ$6,0),MATCH(U$5&amp;"",'Oxford Economics'!$A$6:$AZ$6,0))),'Oxford Economics'!$A$7:$A$1000,$C80,'Oxford Economics'!$B$7:$B$1000,Settings!$B$13)-SUMIFS(INDEX('Oxford Economics'!$A$7:$AZ$1000,0,IFERROR(MATCH(U$5,'Oxford Economics'!$A$6:$AZ$6,0),MATCH(U$5&amp;"",'Oxford Economics'!$A$6:$AZ$6,0))),'Oxford Economics'!$A$7:$A$1000,$C80,'Oxford Economics'!$B$7:$B$1000,Settings!$B$15),SUMIFS(INDEX('Oxford Economics'!$A$7:$AZ$1000,0,IFERROR(MATCH(U$5,'Oxford Economics'!$A$6:$AZ$6,0),MATCH(U$5&amp;"",'Oxford Economics'!$A$6:$AZ$6,0))),'Oxford Economics'!$A$7:$A$1000,$C80,'Oxford Economics'!$B$7:$B$1000,Settings!$B$15)+SUMIFS(INDEX('Oxford Economics'!$A$7:$AZ$1000,0,IFERROR(MATCH(U$5,'Oxford Economics'!$A$6:$AZ$6,0),MATCH(U$5&amp;"",'Oxford Economics'!$A$6:$AZ$6,0))),'Oxford Economics'!$A$7:$A$1000,$C80,'Oxford Economics'!$B$7:$B$1000,Settings!$B$17)+IF(Settings!$B$19="",0,SUMIFS(INDEX('Oxford Economics'!$A$7:$AZ$1000,0,IFERROR(MATCH(U$5,'Oxford Economics'!$A$6:$AZ$6,0),MATCH(U$5&amp;"",'Oxford Economics'!$A$6:$AZ$6,0))),'Oxford Economics'!$A$7:$A$1000,$C80,'Oxford Economics'!$B$7:$B$1000,Settings!$B$19)))),""))</f>
        <v>36813.16</v>
      </c>
      <c r="V80" s="38" t="n">
        <f aca="false">IF($A80="","",IFERROR(1/(1/IF($B80="Residential",SUMIFS(INDEX('Oxford Economics'!$A$7:$AZ$1000,0,IFERROR(MATCH(V$5,'Oxford Economics'!$A$6:$AZ$6,0),MATCH(V$5&amp;"",'Oxford Economics'!$A$6:$AZ$6,0))),'Oxford Economics'!$A$7:$A$1000,$C80,'Oxford Economics'!$B$7:$B$1000,Settings!$B$13)-SUMIFS(INDEX('Oxford Economics'!$A$7:$AZ$1000,0,IFERROR(MATCH(V$5,'Oxford Economics'!$A$6:$AZ$6,0),MATCH(V$5&amp;"",'Oxford Economics'!$A$6:$AZ$6,0))),'Oxford Economics'!$A$7:$A$1000,$C80,'Oxford Economics'!$B$7:$B$1000,Settings!$B$15),SUMIFS(INDEX('Oxford Economics'!$A$7:$AZ$1000,0,IFERROR(MATCH(V$5,'Oxford Economics'!$A$6:$AZ$6,0),MATCH(V$5&amp;"",'Oxford Economics'!$A$6:$AZ$6,0))),'Oxford Economics'!$A$7:$A$1000,$C80,'Oxford Economics'!$B$7:$B$1000,Settings!$B$15)+SUMIFS(INDEX('Oxford Economics'!$A$7:$AZ$1000,0,IFERROR(MATCH(V$5,'Oxford Economics'!$A$6:$AZ$6,0),MATCH(V$5&amp;"",'Oxford Economics'!$A$6:$AZ$6,0))),'Oxford Economics'!$A$7:$A$1000,$C80,'Oxford Economics'!$B$7:$B$1000,Settings!$B$17)+IF(Settings!$B$19="",0,SUMIFS(INDEX('Oxford Economics'!$A$7:$AZ$1000,0,IFERROR(MATCH(V$5,'Oxford Economics'!$A$6:$AZ$6,0),MATCH(V$5&amp;"",'Oxford Economics'!$A$6:$AZ$6,0))),'Oxford Economics'!$A$7:$A$1000,$C80,'Oxford Economics'!$B$7:$B$1000,Settings!$B$19)))),""))</f>
        <v>37461.75</v>
      </c>
      <c r="W80" s="38" t="n">
        <f aca="false">IF($A80="","",IFERROR(1/(1/IF($B80="Residential",SUMIFS(INDEX('Oxford Economics'!$A$7:$AZ$1000,0,IFERROR(MATCH(W$5,'Oxford Economics'!$A$6:$AZ$6,0),MATCH(W$5&amp;"",'Oxford Economics'!$A$6:$AZ$6,0))),'Oxford Economics'!$A$7:$A$1000,$C80,'Oxford Economics'!$B$7:$B$1000,Settings!$B$13)-SUMIFS(INDEX('Oxford Economics'!$A$7:$AZ$1000,0,IFERROR(MATCH(W$5,'Oxford Economics'!$A$6:$AZ$6,0),MATCH(W$5&amp;"",'Oxford Economics'!$A$6:$AZ$6,0))),'Oxford Economics'!$A$7:$A$1000,$C80,'Oxford Economics'!$B$7:$B$1000,Settings!$B$15),SUMIFS(INDEX('Oxford Economics'!$A$7:$AZ$1000,0,IFERROR(MATCH(W$5,'Oxford Economics'!$A$6:$AZ$6,0),MATCH(W$5&amp;"",'Oxford Economics'!$A$6:$AZ$6,0))),'Oxford Economics'!$A$7:$A$1000,$C80,'Oxford Economics'!$B$7:$B$1000,Settings!$B$15)+SUMIFS(INDEX('Oxford Economics'!$A$7:$AZ$1000,0,IFERROR(MATCH(W$5,'Oxford Economics'!$A$6:$AZ$6,0),MATCH(W$5&amp;"",'Oxford Economics'!$A$6:$AZ$6,0))),'Oxford Economics'!$A$7:$A$1000,$C80,'Oxford Economics'!$B$7:$B$1000,Settings!$B$17)+IF(Settings!$B$19="",0,SUMIFS(INDEX('Oxford Economics'!$A$7:$AZ$1000,0,IFERROR(MATCH(W$5,'Oxford Economics'!$A$6:$AZ$6,0),MATCH(W$5&amp;"",'Oxford Economics'!$A$6:$AZ$6,0))),'Oxford Economics'!$A$7:$A$1000,$C80,'Oxford Economics'!$B$7:$B$1000,Settings!$B$19)))),""))</f>
        <v>38118.86</v>
      </c>
      <c r="X80" s="38" t="n">
        <f aca="false">IF($A80="","",IFERROR(1/(1/IF($B80="Residential",SUMIFS(INDEX('Oxford Economics'!$A$7:$AZ$1000,0,IFERROR(MATCH(X$5,'Oxford Economics'!$A$6:$AZ$6,0),MATCH(X$5&amp;"",'Oxford Economics'!$A$6:$AZ$6,0))),'Oxford Economics'!$A$7:$A$1000,$C80,'Oxford Economics'!$B$7:$B$1000,Settings!$B$13)-SUMIFS(INDEX('Oxford Economics'!$A$7:$AZ$1000,0,IFERROR(MATCH(X$5,'Oxford Economics'!$A$6:$AZ$6,0),MATCH(X$5&amp;"",'Oxford Economics'!$A$6:$AZ$6,0))),'Oxford Economics'!$A$7:$A$1000,$C80,'Oxford Economics'!$B$7:$B$1000,Settings!$B$15),SUMIFS(INDEX('Oxford Economics'!$A$7:$AZ$1000,0,IFERROR(MATCH(X$5,'Oxford Economics'!$A$6:$AZ$6,0),MATCH(X$5&amp;"",'Oxford Economics'!$A$6:$AZ$6,0))),'Oxford Economics'!$A$7:$A$1000,$C80,'Oxford Economics'!$B$7:$B$1000,Settings!$B$15)+SUMIFS(INDEX('Oxford Economics'!$A$7:$AZ$1000,0,IFERROR(MATCH(X$5,'Oxford Economics'!$A$6:$AZ$6,0),MATCH(X$5&amp;"",'Oxford Economics'!$A$6:$AZ$6,0))),'Oxford Economics'!$A$7:$A$1000,$C80,'Oxford Economics'!$B$7:$B$1000,Settings!$B$17)+IF(Settings!$B$19="",0,SUMIFS(INDEX('Oxford Economics'!$A$7:$AZ$1000,0,IFERROR(MATCH(X$5,'Oxford Economics'!$A$6:$AZ$6,0),MATCH(X$5&amp;"",'Oxford Economics'!$A$6:$AZ$6,0))),'Oxford Economics'!$A$7:$A$1000,$C80,'Oxford Economics'!$B$7:$B$1000,Settings!$B$19)))),""))</f>
        <v>38832.62</v>
      </c>
      <c r="Y80" s="38" t="n">
        <f aca="false">IF($A80="","",IFERROR(1/(1/IF($B80="Residential",SUMIFS(INDEX('Oxford Economics'!$A$7:$AZ$1000,0,IFERROR(MATCH(Y$5,'Oxford Economics'!$A$6:$AZ$6,0),MATCH(Y$5&amp;"",'Oxford Economics'!$A$6:$AZ$6,0))),'Oxford Economics'!$A$7:$A$1000,$C80,'Oxford Economics'!$B$7:$B$1000,Settings!$B$13)-SUMIFS(INDEX('Oxford Economics'!$A$7:$AZ$1000,0,IFERROR(MATCH(Y$5,'Oxford Economics'!$A$6:$AZ$6,0),MATCH(Y$5&amp;"",'Oxford Economics'!$A$6:$AZ$6,0))),'Oxford Economics'!$A$7:$A$1000,$C80,'Oxford Economics'!$B$7:$B$1000,Settings!$B$15),SUMIFS(INDEX('Oxford Economics'!$A$7:$AZ$1000,0,IFERROR(MATCH(Y$5,'Oxford Economics'!$A$6:$AZ$6,0),MATCH(Y$5&amp;"",'Oxford Economics'!$A$6:$AZ$6,0))),'Oxford Economics'!$A$7:$A$1000,$C80,'Oxford Economics'!$B$7:$B$1000,Settings!$B$15)+SUMIFS(INDEX('Oxford Economics'!$A$7:$AZ$1000,0,IFERROR(MATCH(Y$5,'Oxford Economics'!$A$6:$AZ$6,0),MATCH(Y$5&amp;"",'Oxford Economics'!$A$6:$AZ$6,0))),'Oxford Economics'!$A$7:$A$1000,$C80,'Oxford Economics'!$B$7:$B$1000,Settings!$B$17)+IF(Settings!$B$19="",0,SUMIFS(INDEX('Oxford Economics'!$A$7:$AZ$1000,0,IFERROR(MATCH(Y$5,'Oxford Economics'!$A$6:$AZ$6,0),MATCH(Y$5&amp;"",'Oxford Economics'!$A$6:$AZ$6,0))),'Oxford Economics'!$A$7:$A$1000,$C80,'Oxford Economics'!$B$7:$B$1000,Settings!$B$19)))),""))</f>
        <v>39676.57</v>
      </c>
      <c r="Z80" s="38" t="n">
        <f aca="false">IF($A80="","",IFERROR(1/(1/IF($B80="Residential",SUMIFS(INDEX('Oxford Economics'!$A$7:$AZ$1000,0,IFERROR(MATCH(Z$5,'Oxford Economics'!$A$6:$AZ$6,0),MATCH(Z$5&amp;"",'Oxford Economics'!$A$6:$AZ$6,0))),'Oxford Economics'!$A$7:$A$1000,$C80,'Oxford Economics'!$B$7:$B$1000,Settings!$B$13)-SUMIFS(INDEX('Oxford Economics'!$A$7:$AZ$1000,0,IFERROR(MATCH(Z$5,'Oxford Economics'!$A$6:$AZ$6,0),MATCH(Z$5&amp;"",'Oxford Economics'!$A$6:$AZ$6,0))),'Oxford Economics'!$A$7:$A$1000,$C80,'Oxford Economics'!$B$7:$B$1000,Settings!$B$15),SUMIFS(INDEX('Oxford Economics'!$A$7:$AZ$1000,0,IFERROR(MATCH(Z$5,'Oxford Economics'!$A$6:$AZ$6,0),MATCH(Z$5&amp;"",'Oxford Economics'!$A$6:$AZ$6,0))),'Oxford Economics'!$A$7:$A$1000,$C80,'Oxford Economics'!$B$7:$B$1000,Settings!$B$15)+SUMIFS(INDEX('Oxford Economics'!$A$7:$AZ$1000,0,IFERROR(MATCH(Z$5,'Oxford Economics'!$A$6:$AZ$6,0),MATCH(Z$5&amp;"",'Oxford Economics'!$A$6:$AZ$6,0))),'Oxford Economics'!$A$7:$A$1000,$C80,'Oxford Economics'!$B$7:$B$1000,Settings!$B$17)+IF(Settings!$B$19="",0,SUMIFS(INDEX('Oxford Economics'!$A$7:$AZ$1000,0,IFERROR(MATCH(Z$5,'Oxford Economics'!$A$6:$AZ$6,0),MATCH(Z$5&amp;"",'Oxford Economics'!$A$6:$AZ$6,0))),'Oxford Economics'!$A$7:$A$1000,$C80,'Oxford Economics'!$B$7:$B$1000,Settings!$B$19)))),""))</f>
        <v>40256.56</v>
      </c>
      <c r="AA80" s="38" t="n">
        <f aca="false">IF($A80="","",IFERROR(1/(1/IF($B80="Residential",SUMIFS(INDEX('Oxford Economics'!$A$7:$AZ$1000,0,IFERROR(MATCH(AA$5,'Oxford Economics'!$A$6:$AZ$6,0),MATCH(AA$5&amp;"",'Oxford Economics'!$A$6:$AZ$6,0))),'Oxford Economics'!$A$7:$A$1000,$C80,'Oxford Economics'!$B$7:$B$1000,Settings!$B$13)-SUMIFS(INDEX('Oxford Economics'!$A$7:$AZ$1000,0,IFERROR(MATCH(AA$5,'Oxford Economics'!$A$6:$AZ$6,0),MATCH(AA$5&amp;"",'Oxford Economics'!$A$6:$AZ$6,0))),'Oxford Economics'!$A$7:$A$1000,$C80,'Oxford Economics'!$B$7:$B$1000,Settings!$B$15),SUMIFS(INDEX('Oxford Economics'!$A$7:$AZ$1000,0,IFERROR(MATCH(AA$5,'Oxford Economics'!$A$6:$AZ$6,0),MATCH(AA$5&amp;"",'Oxford Economics'!$A$6:$AZ$6,0))),'Oxford Economics'!$A$7:$A$1000,$C80,'Oxford Economics'!$B$7:$B$1000,Settings!$B$15)+SUMIFS(INDEX('Oxford Economics'!$A$7:$AZ$1000,0,IFERROR(MATCH(AA$5,'Oxford Economics'!$A$6:$AZ$6,0),MATCH(AA$5&amp;"",'Oxford Economics'!$A$6:$AZ$6,0))),'Oxford Economics'!$A$7:$A$1000,$C80,'Oxford Economics'!$B$7:$B$1000,Settings!$B$17)+IF(Settings!$B$19="",0,SUMIFS(INDEX('Oxford Economics'!$A$7:$AZ$1000,0,IFERROR(MATCH(AA$5,'Oxford Economics'!$A$6:$AZ$6,0),MATCH(AA$5&amp;"",'Oxford Economics'!$A$6:$AZ$6,0))),'Oxford Economics'!$A$7:$A$1000,$C80,'Oxford Economics'!$B$7:$B$1000,Settings!$B$19)))),""))</f>
        <v>41210.91</v>
      </c>
      <c r="AB80" s="38" t="n">
        <f aca="false">IF($A80="","",IFERROR(1/(1/IF($B80="Residential",SUMIFS(INDEX('Oxford Economics'!$A$7:$AZ$1000,0,IFERROR(MATCH(AB$5,'Oxford Economics'!$A$6:$AZ$6,0),MATCH(AB$5&amp;"",'Oxford Economics'!$A$6:$AZ$6,0))),'Oxford Economics'!$A$7:$A$1000,$C80,'Oxford Economics'!$B$7:$B$1000,Settings!$B$12)-SUMIFS(INDEX('Oxford Economics'!$A$7:$AZ$1000,0,IFERROR(MATCH(AB$5,'Oxford Economics'!$A$6:$AZ$6,0),MATCH(AB$5&amp;"",'Oxford Economics'!$A$6:$AZ$6,0))),'Oxford Economics'!$A$7:$A$1000,$C80,'Oxford Economics'!$B$7:$B$1000,Settings!$B$14),SUMIFS(INDEX('Oxford Economics'!$A$7:$AZ$1000,0,IFERROR(MATCH(AB$5,'Oxford Economics'!$A$6:$AZ$6,0),MATCH(AB$5&amp;"",'Oxford Economics'!$A$6:$AZ$6,0))),'Oxford Economics'!$A$7:$A$1000,$C80,'Oxford Economics'!$B$7:$B$1000,Settings!$B$14)+SUMIFS(INDEX('Oxford Economics'!$A$7:$AZ$1000,0,IFERROR(MATCH(AB$5,'Oxford Economics'!$A$6:$AZ$6,0),MATCH(AB$5&amp;"",'Oxford Economics'!$A$6:$AZ$6,0))),'Oxford Economics'!$A$7:$A$1000,$C80,'Oxford Economics'!$B$7:$B$1000,Settings!$B$16)+IF(Settings!$B$18="",0,SUMIFS(INDEX('Oxford Economics'!$A$7:$AZ$1000,0,IFERROR(MATCH(AB$5,'Oxford Economics'!$A$6:$AZ$6,0),MATCH(AB$5&amp;"",'Oxford Economics'!$A$6:$AZ$6,0))),'Oxford Economics'!$A$7:$A$1000,$C80,'Oxford Economics'!$B$7:$B$1000,Settings!$B$18)))),""))</f>
        <v>19309.43</v>
      </c>
      <c r="AC80" s="38" t="n">
        <f aca="false">IF($A80="","",IFERROR(1/(1/IF($B80="Residential",SUMIFS(INDEX('Oxford Economics'!$A$7:$AZ$1000,0,IFERROR(MATCH(AC$5,'Oxford Economics'!$A$6:$AZ$6,0),MATCH(AC$5&amp;"",'Oxford Economics'!$A$6:$AZ$6,0))),'Oxford Economics'!$A$7:$A$1000,$C80,'Oxford Economics'!$B$7:$B$1000,Settings!$B$12)-SUMIFS(INDEX('Oxford Economics'!$A$7:$AZ$1000,0,IFERROR(MATCH(AC$5,'Oxford Economics'!$A$6:$AZ$6,0),MATCH(AC$5&amp;"",'Oxford Economics'!$A$6:$AZ$6,0))),'Oxford Economics'!$A$7:$A$1000,$C80,'Oxford Economics'!$B$7:$B$1000,Settings!$B$14),SUMIFS(INDEX('Oxford Economics'!$A$7:$AZ$1000,0,IFERROR(MATCH(AC$5,'Oxford Economics'!$A$6:$AZ$6,0),MATCH(AC$5&amp;"",'Oxford Economics'!$A$6:$AZ$6,0))),'Oxford Economics'!$A$7:$A$1000,$C80,'Oxford Economics'!$B$7:$B$1000,Settings!$B$14)+SUMIFS(INDEX('Oxford Economics'!$A$7:$AZ$1000,0,IFERROR(MATCH(AC$5,'Oxford Economics'!$A$6:$AZ$6,0),MATCH(AC$5&amp;"",'Oxford Economics'!$A$6:$AZ$6,0))),'Oxford Economics'!$A$7:$A$1000,$C80,'Oxford Economics'!$B$7:$B$1000,Settings!$B$16)+IF(Settings!$B$18="",0,SUMIFS(INDEX('Oxford Economics'!$A$7:$AZ$1000,0,IFERROR(MATCH(AC$5,'Oxford Economics'!$A$6:$AZ$6,0),MATCH(AC$5&amp;"",'Oxford Economics'!$A$6:$AZ$6,0))),'Oxford Economics'!$A$7:$A$1000,$C80,'Oxford Economics'!$B$7:$B$1000,Settings!$B$18)))),""))</f>
        <v>21666.07</v>
      </c>
      <c r="AD80" s="38" t="n">
        <f aca="false">IF($A80="","",IFERROR(1/(1/IF($B80="Residential",SUMIFS(INDEX('Oxford Economics'!$A$7:$AZ$1000,0,IFERROR(MATCH(AD$5,'Oxford Economics'!$A$6:$AZ$6,0),MATCH(AD$5&amp;"",'Oxford Economics'!$A$6:$AZ$6,0))),'Oxford Economics'!$A$7:$A$1000,$C80,'Oxford Economics'!$B$7:$B$1000,Settings!$B$12)-SUMIFS(INDEX('Oxford Economics'!$A$7:$AZ$1000,0,IFERROR(MATCH(AD$5,'Oxford Economics'!$A$6:$AZ$6,0),MATCH(AD$5&amp;"",'Oxford Economics'!$A$6:$AZ$6,0))),'Oxford Economics'!$A$7:$A$1000,$C80,'Oxford Economics'!$B$7:$B$1000,Settings!$B$14),SUMIFS(INDEX('Oxford Economics'!$A$7:$AZ$1000,0,IFERROR(MATCH(AD$5,'Oxford Economics'!$A$6:$AZ$6,0),MATCH(AD$5&amp;"",'Oxford Economics'!$A$6:$AZ$6,0))),'Oxford Economics'!$A$7:$A$1000,$C80,'Oxford Economics'!$B$7:$B$1000,Settings!$B$14)+SUMIFS(INDEX('Oxford Economics'!$A$7:$AZ$1000,0,IFERROR(MATCH(AD$5,'Oxford Economics'!$A$6:$AZ$6,0),MATCH(AD$5&amp;"",'Oxford Economics'!$A$6:$AZ$6,0))),'Oxford Economics'!$A$7:$A$1000,$C80,'Oxford Economics'!$B$7:$B$1000,Settings!$B$16)+IF(Settings!$B$18="",0,SUMIFS(INDEX('Oxford Economics'!$A$7:$AZ$1000,0,IFERROR(MATCH(AD$5,'Oxford Economics'!$A$6:$AZ$6,0),MATCH(AD$5&amp;"",'Oxford Economics'!$A$6:$AZ$6,0))),'Oxford Economics'!$A$7:$A$1000,$C80,'Oxford Economics'!$B$7:$B$1000,Settings!$B$18)))),""))</f>
        <v>20253.14</v>
      </c>
      <c r="AE80" s="38" t="n">
        <f aca="false">IF($A80="","",IFERROR(1/(1/IF($B80="Residential",SUMIFS(INDEX('Oxford Economics'!$A$7:$AZ$1000,0,IFERROR(MATCH(AE$5,'Oxford Economics'!$A$6:$AZ$6,0),MATCH(AE$5&amp;"",'Oxford Economics'!$A$6:$AZ$6,0))),'Oxford Economics'!$A$7:$A$1000,$C80,'Oxford Economics'!$B$7:$B$1000,Settings!$B$12)-SUMIFS(INDEX('Oxford Economics'!$A$7:$AZ$1000,0,IFERROR(MATCH(AE$5,'Oxford Economics'!$A$6:$AZ$6,0),MATCH(AE$5&amp;"",'Oxford Economics'!$A$6:$AZ$6,0))),'Oxford Economics'!$A$7:$A$1000,$C80,'Oxford Economics'!$B$7:$B$1000,Settings!$B$14),SUMIFS(INDEX('Oxford Economics'!$A$7:$AZ$1000,0,IFERROR(MATCH(AE$5,'Oxford Economics'!$A$6:$AZ$6,0),MATCH(AE$5&amp;"",'Oxford Economics'!$A$6:$AZ$6,0))),'Oxford Economics'!$A$7:$A$1000,$C80,'Oxford Economics'!$B$7:$B$1000,Settings!$B$14)+SUMIFS(INDEX('Oxford Economics'!$A$7:$AZ$1000,0,IFERROR(MATCH(AE$5,'Oxford Economics'!$A$6:$AZ$6,0),MATCH(AE$5&amp;"",'Oxford Economics'!$A$6:$AZ$6,0))),'Oxford Economics'!$A$7:$A$1000,$C80,'Oxford Economics'!$B$7:$B$1000,Settings!$B$16)+IF(Settings!$B$18="",0,SUMIFS(INDEX('Oxford Economics'!$A$7:$AZ$1000,0,IFERROR(MATCH(AE$5,'Oxford Economics'!$A$6:$AZ$6,0),MATCH(AE$5&amp;"",'Oxford Economics'!$A$6:$AZ$6,0))),'Oxford Economics'!$A$7:$A$1000,$C80,'Oxford Economics'!$B$7:$B$1000,Settings!$B$18)))),""))</f>
        <v>16052.74</v>
      </c>
      <c r="AF80" s="38" t="n">
        <f aca="false">IF($A80="","",IFERROR(1/(1/IF($B80="Residential",SUMIFS(INDEX('Oxford Economics'!$A$7:$AZ$1000,0,IFERROR(MATCH(AF$5,'Oxford Economics'!$A$6:$AZ$6,0),MATCH(AF$5&amp;"",'Oxford Economics'!$A$6:$AZ$6,0))),'Oxford Economics'!$A$7:$A$1000,$C80,'Oxford Economics'!$B$7:$B$1000,Settings!$B$12)-SUMIFS(INDEX('Oxford Economics'!$A$7:$AZ$1000,0,IFERROR(MATCH(AF$5,'Oxford Economics'!$A$6:$AZ$6,0),MATCH(AF$5&amp;"",'Oxford Economics'!$A$6:$AZ$6,0))),'Oxford Economics'!$A$7:$A$1000,$C80,'Oxford Economics'!$B$7:$B$1000,Settings!$B$14),SUMIFS(INDEX('Oxford Economics'!$A$7:$AZ$1000,0,IFERROR(MATCH(AF$5,'Oxford Economics'!$A$6:$AZ$6,0),MATCH(AF$5&amp;"",'Oxford Economics'!$A$6:$AZ$6,0))),'Oxford Economics'!$A$7:$A$1000,$C80,'Oxford Economics'!$B$7:$B$1000,Settings!$B$14)+SUMIFS(INDEX('Oxford Economics'!$A$7:$AZ$1000,0,IFERROR(MATCH(AF$5,'Oxford Economics'!$A$6:$AZ$6,0),MATCH(AF$5&amp;"",'Oxford Economics'!$A$6:$AZ$6,0))),'Oxford Economics'!$A$7:$A$1000,$C80,'Oxford Economics'!$B$7:$B$1000,Settings!$B$16)+IF(Settings!$B$18="",0,SUMIFS(INDEX('Oxford Economics'!$A$7:$AZ$1000,0,IFERROR(MATCH(AF$5,'Oxford Economics'!$A$6:$AZ$6,0),MATCH(AF$5&amp;"",'Oxford Economics'!$A$6:$AZ$6,0))),'Oxford Economics'!$A$7:$A$1000,$C80,'Oxford Economics'!$B$7:$B$1000,Settings!$B$18)))),""))</f>
        <v>11436.57</v>
      </c>
      <c r="AG80" s="38" t="n">
        <f aca="false">IF($A80="","",IFERROR(1/(1/IF($B80="Residential",SUMIFS(INDEX('Oxford Economics'!$A$7:$AZ$1000,0,IFERROR(MATCH(AG$5,'Oxford Economics'!$A$6:$AZ$6,0),MATCH(AG$5&amp;"",'Oxford Economics'!$A$6:$AZ$6,0))),'Oxford Economics'!$A$7:$A$1000,$C80,'Oxford Economics'!$B$7:$B$1000,Settings!$B$12)-SUMIFS(INDEX('Oxford Economics'!$A$7:$AZ$1000,0,IFERROR(MATCH(AG$5,'Oxford Economics'!$A$6:$AZ$6,0),MATCH(AG$5&amp;"",'Oxford Economics'!$A$6:$AZ$6,0))),'Oxford Economics'!$A$7:$A$1000,$C80,'Oxford Economics'!$B$7:$B$1000,Settings!$B$14),SUMIFS(INDEX('Oxford Economics'!$A$7:$AZ$1000,0,IFERROR(MATCH(AG$5,'Oxford Economics'!$A$6:$AZ$6,0),MATCH(AG$5&amp;"",'Oxford Economics'!$A$6:$AZ$6,0))),'Oxford Economics'!$A$7:$A$1000,$C80,'Oxford Economics'!$B$7:$B$1000,Settings!$B$14)+SUMIFS(INDEX('Oxford Economics'!$A$7:$AZ$1000,0,IFERROR(MATCH(AG$5,'Oxford Economics'!$A$6:$AZ$6,0),MATCH(AG$5&amp;"",'Oxford Economics'!$A$6:$AZ$6,0))),'Oxford Economics'!$A$7:$A$1000,$C80,'Oxford Economics'!$B$7:$B$1000,Settings!$B$16)+IF(Settings!$B$18="",0,SUMIFS(INDEX('Oxford Economics'!$A$7:$AZ$1000,0,IFERROR(MATCH(AG$5,'Oxford Economics'!$A$6:$AZ$6,0),MATCH(AG$5&amp;"",'Oxford Economics'!$A$6:$AZ$6,0))),'Oxford Economics'!$A$7:$A$1000,$C80,'Oxford Economics'!$B$7:$B$1000,Settings!$B$18)))),""))</f>
        <v>10691.08</v>
      </c>
      <c r="AH80" s="38" t="n">
        <f aca="false">IF($A80="","",IFERROR(1/(1/IF($B80="Residential",SUMIFS(INDEX('Oxford Economics'!$A$7:$AZ$1000,0,IFERROR(MATCH(AH$5,'Oxford Economics'!$A$6:$AZ$6,0),MATCH(AH$5&amp;"",'Oxford Economics'!$A$6:$AZ$6,0))),'Oxford Economics'!$A$7:$A$1000,$C80,'Oxford Economics'!$B$7:$B$1000,Settings!$B$12)-SUMIFS(INDEX('Oxford Economics'!$A$7:$AZ$1000,0,IFERROR(MATCH(AH$5,'Oxford Economics'!$A$6:$AZ$6,0),MATCH(AH$5&amp;"",'Oxford Economics'!$A$6:$AZ$6,0))),'Oxford Economics'!$A$7:$A$1000,$C80,'Oxford Economics'!$B$7:$B$1000,Settings!$B$14),SUMIFS(INDEX('Oxford Economics'!$A$7:$AZ$1000,0,IFERROR(MATCH(AH$5,'Oxford Economics'!$A$6:$AZ$6,0),MATCH(AH$5&amp;"",'Oxford Economics'!$A$6:$AZ$6,0))),'Oxford Economics'!$A$7:$A$1000,$C80,'Oxford Economics'!$B$7:$B$1000,Settings!$B$14)+SUMIFS(INDEX('Oxford Economics'!$A$7:$AZ$1000,0,IFERROR(MATCH(AH$5,'Oxford Economics'!$A$6:$AZ$6,0),MATCH(AH$5&amp;"",'Oxford Economics'!$A$6:$AZ$6,0))),'Oxford Economics'!$A$7:$A$1000,$C80,'Oxford Economics'!$B$7:$B$1000,Settings!$B$16)+IF(Settings!$B$18="",0,SUMIFS(INDEX('Oxford Economics'!$A$7:$AZ$1000,0,IFERROR(MATCH(AH$5,'Oxford Economics'!$A$6:$AZ$6,0),MATCH(AH$5&amp;"",'Oxford Economics'!$A$6:$AZ$6,0))),'Oxford Economics'!$A$7:$A$1000,$C80,'Oxford Economics'!$B$7:$B$1000,Settings!$B$18)))),""))</f>
        <v>10236.86</v>
      </c>
      <c r="AI80" s="38" t="n">
        <f aca="false">IF($A80="","",IFERROR(1/(1/IF($B80="Residential",SUMIFS(INDEX('Oxford Economics'!$A$7:$AZ$1000,0,IFERROR(MATCH(AI$5,'Oxford Economics'!$A$6:$AZ$6,0),MATCH(AI$5&amp;"",'Oxford Economics'!$A$6:$AZ$6,0))),'Oxford Economics'!$A$7:$A$1000,$C80,'Oxford Economics'!$B$7:$B$1000,Settings!$B$12)-SUMIFS(INDEX('Oxford Economics'!$A$7:$AZ$1000,0,IFERROR(MATCH(AI$5,'Oxford Economics'!$A$6:$AZ$6,0),MATCH(AI$5&amp;"",'Oxford Economics'!$A$6:$AZ$6,0))),'Oxford Economics'!$A$7:$A$1000,$C80,'Oxford Economics'!$B$7:$B$1000,Settings!$B$14),SUMIFS(INDEX('Oxford Economics'!$A$7:$AZ$1000,0,IFERROR(MATCH(AI$5,'Oxford Economics'!$A$6:$AZ$6,0),MATCH(AI$5&amp;"",'Oxford Economics'!$A$6:$AZ$6,0))),'Oxford Economics'!$A$7:$A$1000,$C80,'Oxford Economics'!$B$7:$B$1000,Settings!$B$14)+SUMIFS(INDEX('Oxford Economics'!$A$7:$AZ$1000,0,IFERROR(MATCH(AI$5,'Oxford Economics'!$A$6:$AZ$6,0),MATCH(AI$5&amp;"",'Oxford Economics'!$A$6:$AZ$6,0))),'Oxford Economics'!$A$7:$A$1000,$C80,'Oxford Economics'!$B$7:$B$1000,Settings!$B$16)+IF(Settings!$B$18="",0,SUMIFS(INDEX('Oxford Economics'!$A$7:$AZ$1000,0,IFERROR(MATCH(AI$5,'Oxford Economics'!$A$6:$AZ$6,0),MATCH(AI$5&amp;"",'Oxford Economics'!$A$6:$AZ$6,0))),'Oxford Economics'!$A$7:$A$1000,$C80,'Oxford Economics'!$B$7:$B$1000,Settings!$B$18)))),""))</f>
        <v>9983.2</v>
      </c>
      <c r="AJ80" s="38" t="n">
        <f aca="false">IF($A80="","",IFERROR(1/(1/IF($B80="Residential",SUMIFS(INDEX('Oxford Economics'!$A$7:$AZ$1000,0,IFERROR(MATCH(AJ$5,'Oxford Economics'!$A$6:$AZ$6,0),MATCH(AJ$5&amp;"",'Oxford Economics'!$A$6:$AZ$6,0))),'Oxford Economics'!$A$7:$A$1000,$C80,'Oxford Economics'!$B$7:$B$1000,Settings!$B$12)-SUMIFS(INDEX('Oxford Economics'!$A$7:$AZ$1000,0,IFERROR(MATCH(AJ$5,'Oxford Economics'!$A$6:$AZ$6,0),MATCH(AJ$5&amp;"",'Oxford Economics'!$A$6:$AZ$6,0))),'Oxford Economics'!$A$7:$A$1000,$C80,'Oxford Economics'!$B$7:$B$1000,Settings!$B$14),SUMIFS(INDEX('Oxford Economics'!$A$7:$AZ$1000,0,IFERROR(MATCH(AJ$5,'Oxford Economics'!$A$6:$AZ$6,0),MATCH(AJ$5&amp;"",'Oxford Economics'!$A$6:$AZ$6,0))),'Oxford Economics'!$A$7:$A$1000,$C80,'Oxford Economics'!$B$7:$B$1000,Settings!$B$14)+SUMIFS(INDEX('Oxford Economics'!$A$7:$AZ$1000,0,IFERROR(MATCH(AJ$5,'Oxford Economics'!$A$6:$AZ$6,0),MATCH(AJ$5&amp;"",'Oxford Economics'!$A$6:$AZ$6,0))),'Oxford Economics'!$A$7:$A$1000,$C80,'Oxford Economics'!$B$7:$B$1000,Settings!$B$16)+IF(Settings!$B$18="",0,SUMIFS(INDEX('Oxford Economics'!$A$7:$AZ$1000,0,IFERROR(MATCH(AJ$5,'Oxford Economics'!$A$6:$AZ$6,0),MATCH(AJ$5&amp;"",'Oxford Economics'!$A$6:$AZ$6,0))),'Oxford Economics'!$A$7:$A$1000,$C80,'Oxford Economics'!$B$7:$B$1000,Settings!$B$18)))),""))</f>
        <v>10165.83</v>
      </c>
      <c r="AK80" s="38" t="n">
        <f aca="false">IF($A80="","",IFERROR(1/(1/IF($B80="Residential",SUMIFS(INDEX('Oxford Economics'!$A$7:$AZ$1000,0,IFERROR(MATCH(AK$5,'Oxford Economics'!$A$6:$AZ$6,0),MATCH(AK$5&amp;"",'Oxford Economics'!$A$6:$AZ$6,0))),'Oxford Economics'!$A$7:$A$1000,$C80,'Oxford Economics'!$B$7:$B$1000,Settings!$B$12)-SUMIFS(INDEX('Oxford Economics'!$A$7:$AZ$1000,0,IFERROR(MATCH(AK$5,'Oxford Economics'!$A$6:$AZ$6,0),MATCH(AK$5&amp;"",'Oxford Economics'!$A$6:$AZ$6,0))),'Oxford Economics'!$A$7:$A$1000,$C80,'Oxford Economics'!$B$7:$B$1000,Settings!$B$14),SUMIFS(INDEX('Oxford Economics'!$A$7:$AZ$1000,0,IFERROR(MATCH(AK$5,'Oxford Economics'!$A$6:$AZ$6,0),MATCH(AK$5&amp;"",'Oxford Economics'!$A$6:$AZ$6,0))),'Oxford Economics'!$A$7:$A$1000,$C80,'Oxford Economics'!$B$7:$B$1000,Settings!$B$14)+SUMIFS(INDEX('Oxford Economics'!$A$7:$AZ$1000,0,IFERROR(MATCH(AK$5,'Oxford Economics'!$A$6:$AZ$6,0),MATCH(AK$5&amp;"",'Oxford Economics'!$A$6:$AZ$6,0))),'Oxford Economics'!$A$7:$A$1000,$C80,'Oxford Economics'!$B$7:$B$1000,Settings!$B$16)+IF(Settings!$B$18="",0,SUMIFS(INDEX('Oxford Economics'!$A$7:$AZ$1000,0,IFERROR(MATCH(AK$5,'Oxford Economics'!$A$6:$AZ$6,0),MATCH(AK$5&amp;"",'Oxford Economics'!$A$6:$AZ$6,0))),'Oxford Economics'!$A$7:$A$1000,$C80,'Oxford Economics'!$B$7:$B$1000,Settings!$B$18)))),""))</f>
        <v>10538.09</v>
      </c>
      <c r="AL80" s="38" t="n">
        <f aca="false">IF($A80="","",IFERROR(1/(1/IF($B80="Residential",SUMIFS(INDEX('Oxford Economics'!$A$7:$AZ$1000,0,IFERROR(MATCH(AL$5,'Oxford Economics'!$A$6:$AZ$6,0),MATCH(AL$5&amp;"",'Oxford Economics'!$A$6:$AZ$6,0))),'Oxford Economics'!$A$7:$A$1000,$C80,'Oxford Economics'!$B$7:$B$1000,Settings!$B$12)-SUMIFS(INDEX('Oxford Economics'!$A$7:$AZ$1000,0,IFERROR(MATCH(AL$5,'Oxford Economics'!$A$6:$AZ$6,0),MATCH(AL$5&amp;"",'Oxford Economics'!$A$6:$AZ$6,0))),'Oxford Economics'!$A$7:$A$1000,$C80,'Oxford Economics'!$B$7:$B$1000,Settings!$B$14),SUMIFS(INDEX('Oxford Economics'!$A$7:$AZ$1000,0,IFERROR(MATCH(AL$5,'Oxford Economics'!$A$6:$AZ$6,0),MATCH(AL$5&amp;"",'Oxford Economics'!$A$6:$AZ$6,0))),'Oxford Economics'!$A$7:$A$1000,$C80,'Oxford Economics'!$B$7:$B$1000,Settings!$B$14)+SUMIFS(INDEX('Oxford Economics'!$A$7:$AZ$1000,0,IFERROR(MATCH(AL$5,'Oxford Economics'!$A$6:$AZ$6,0),MATCH(AL$5&amp;"",'Oxford Economics'!$A$6:$AZ$6,0))),'Oxford Economics'!$A$7:$A$1000,$C80,'Oxford Economics'!$B$7:$B$1000,Settings!$B$16)+IF(Settings!$B$18="",0,SUMIFS(INDEX('Oxford Economics'!$A$7:$AZ$1000,0,IFERROR(MATCH(AL$5,'Oxford Economics'!$A$6:$AZ$6,0),MATCH(AL$5&amp;"",'Oxford Economics'!$A$6:$AZ$6,0))),'Oxford Economics'!$A$7:$A$1000,$C80,'Oxford Economics'!$B$7:$B$1000,Settings!$B$18)))),""))</f>
        <v>10870.05</v>
      </c>
      <c r="AM80" s="38" t="n">
        <f aca="false">IF($A80="","",IFERROR(1/(1/IF($B80="Residential",SUMIFS(INDEX('Oxford Economics'!$A$7:$AZ$1000,0,IFERROR(MATCH(AM$5,'Oxford Economics'!$A$6:$AZ$6,0),MATCH(AM$5&amp;"",'Oxford Economics'!$A$6:$AZ$6,0))),'Oxford Economics'!$A$7:$A$1000,$C80,'Oxford Economics'!$B$7:$B$1000,Settings!$B$12)-SUMIFS(INDEX('Oxford Economics'!$A$7:$AZ$1000,0,IFERROR(MATCH(AM$5,'Oxford Economics'!$A$6:$AZ$6,0),MATCH(AM$5&amp;"",'Oxford Economics'!$A$6:$AZ$6,0))),'Oxford Economics'!$A$7:$A$1000,$C80,'Oxford Economics'!$B$7:$B$1000,Settings!$B$14),SUMIFS(INDEX('Oxford Economics'!$A$7:$AZ$1000,0,IFERROR(MATCH(AM$5,'Oxford Economics'!$A$6:$AZ$6,0),MATCH(AM$5&amp;"",'Oxford Economics'!$A$6:$AZ$6,0))),'Oxford Economics'!$A$7:$A$1000,$C80,'Oxford Economics'!$B$7:$B$1000,Settings!$B$14)+SUMIFS(INDEX('Oxford Economics'!$A$7:$AZ$1000,0,IFERROR(MATCH(AM$5,'Oxford Economics'!$A$6:$AZ$6,0),MATCH(AM$5&amp;"",'Oxford Economics'!$A$6:$AZ$6,0))),'Oxford Economics'!$A$7:$A$1000,$C80,'Oxford Economics'!$B$7:$B$1000,Settings!$B$16)+IF(Settings!$B$18="",0,SUMIFS(INDEX('Oxford Economics'!$A$7:$AZ$1000,0,IFERROR(MATCH(AM$5,'Oxford Economics'!$A$6:$AZ$6,0),MATCH(AM$5&amp;"",'Oxford Economics'!$A$6:$AZ$6,0))),'Oxford Economics'!$A$7:$A$1000,$C80,'Oxford Economics'!$B$7:$B$1000,Settings!$B$18)))),""))</f>
        <v>11239.6</v>
      </c>
    </row>
    <row r="81" customFormat="false" ht="15" hidden="false" customHeight="false" outlineLevel="0" collapsed="false">
      <c r="A81" s="37" t="str">
        <f aca="false">IF('Raw data'!$A81="","",'Raw data'!$A81)</f>
        <v>France</v>
      </c>
      <c r="B81" s="37" t="str">
        <f aca="false">IF($A81="","",'Raw data'!$C81)</f>
        <v>Commercial</v>
      </c>
      <c r="C81" s="37" t="str">
        <f aca="false">IF($A81="","",IF('Raw data'!$E81="",$A81,'Raw data'!$E81))</f>
        <v>France</v>
      </c>
      <c r="D81" s="38" t="n">
        <f aca="false">IF($A81="","",IF(AND(ISNUMBER(P81),ISNUMBER(AB81)),P81+AB81,""))</f>
        <v>89594.8</v>
      </c>
      <c r="E81" s="38" t="n">
        <f aca="false">IF($A81="","",IF(AND(ISNUMBER(Q81),ISNUMBER(AC81)),Q81+AC81,""))</f>
        <v>94161.07</v>
      </c>
      <c r="F81" s="38" t="n">
        <f aca="false">IF($A81="","",IF(AND(ISNUMBER(R81),ISNUMBER(AD81)),R81+AD81,""))</f>
        <v>91159.33</v>
      </c>
      <c r="G81" s="38" t="n">
        <f aca="false">IF($A81="","",IF(AND(ISNUMBER(S81),ISNUMBER(AE81)),S81+AE81,""))</f>
        <v>94479.19</v>
      </c>
      <c r="H81" s="38" t="n">
        <f aca="false">IF($A81="","",IF(AND(ISNUMBER(T81),ISNUMBER(AF81)),T81+AF81,""))</f>
        <v>94583.6</v>
      </c>
      <c r="I81" s="38" t="n">
        <f aca="false">IF($A81="","",IF(AND(ISNUMBER(U81),ISNUMBER(AG81)),U81+AG81,""))</f>
        <v>92949.87</v>
      </c>
      <c r="J81" s="38" t="n">
        <f aca="false">IF($A81="","",IF(AND(ISNUMBER(V81),ISNUMBER(AH81)),V81+AH81,""))</f>
        <v>93918.48</v>
      </c>
      <c r="K81" s="38" t="n">
        <f aca="false">IF($A81="","",IF(AND(ISNUMBER(W81),ISNUMBER(AI81)),W81+AI81,""))</f>
        <v>94492.01</v>
      </c>
      <c r="L81" s="38" t="n">
        <f aca="false">IF($A81="","",IF(AND(ISNUMBER(X81),ISNUMBER(AJ81)),X81+AJ81,""))</f>
        <v>94816.89</v>
      </c>
      <c r="M81" s="38" t="n">
        <f aca="false">IF($A81="","",IF(AND(ISNUMBER(Y81),ISNUMBER(AK81)),Y81+AK81,""))</f>
        <v>96103.47</v>
      </c>
      <c r="N81" s="38" t="n">
        <f aca="false">IF($A81="","",IF(AND(ISNUMBER(Z81),ISNUMBER(AL81)),Z81+AL81,""))</f>
        <v>98103.02</v>
      </c>
      <c r="O81" s="38" t="n">
        <f aca="false">IF($A81="","",IF(AND(ISNUMBER(AA81),ISNUMBER(AM81)),AA81+AM81,""))</f>
        <v>99770.69</v>
      </c>
      <c r="P81" s="38" t="n">
        <f aca="false">IF($A81="","",IFERROR(1/(1/IF($B81="Residential",SUMIFS(INDEX('Oxford Economics'!$A$7:$AZ$1000,0,IFERROR(MATCH(P$5,'Oxford Economics'!$A$6:$AZ$6,0),MATCH(P$5&amp;"",'Oxford Economics'!$A$6:$AZ$6,0))),'Oxford Economics'!$A$7:$A$1000,$C81,'Oxford Economics'!$B$7:$B$1000,Settings!$B$13)-SUMIFS(INDEX('Oxford Economics'!$A$7:$AZ$1000,0,IFERROR(MATCH(P$5,'Oxford Economics'!$A$6:$AZ$6,0),MATCH(P$5&amp;"",'Oxford Economics'!$A$6:$AZ$6,0))),'Oxford Economics'!$A$7:$A$1000,$C81,'Oxford Economics'!$B$7:$B$1000,Settings!$B$15),SUMIFS(INDEX('Oxford Economics'!$A$7:$AZ$1000,0,IFERROR(MATCH(P$5,'Oxford Economics'!$A$6:$AZ$6,0),MATCH(P$5&amp;"",'Oxford Economics'!$A$6:$AZ$6,0))),'Oxford Economics'!$A$7:$A$1000,$C81,'Oxford Economics'!$B$7:$B$1000,Settings!$B$15)+SUMIFS(INDEX('Oxford Economics'!$A$7:$AZ$1000,0,IFERROR(MATCH(P$5,'Oxford Economics'!$A$6:$AZ$6,0),MATCH(P$5&amp;"",'Oxford Economics'!$A$6:$AZ$6,0))),'Oxford Economics'!$A$7:$A$1000,$C81,'Oxford Economics'!$B$7:$B$1000,Settings!$B$17)+IF(Settings!$B$19="",0,SUMIFS(INDEX('Oxford Economics'!$A$7:$AZ$1000,0,IFERROR(MATCH(P$5,'Oxford Economics'!$A$6:$AZ$6,0),MATCH(P$5&amp;"",'Oxford Economics'!$A$6:$AZ$6,0))),'Oxford Economics'!$A$7:$A$1000,$C81,'Oxford Economics'!$B$7:$B$1000,Settings!$B$19)))),""))</f>
        <v>47410.23</v>
      </c>
      <c r="Q81" s="38" t="n">
        <f aca="false">IF($A81="","",IFERROR(1/(1/IF($B81="Residential",SUMIFS(INDEX('Oxford Economics'!$A$7:$AZ$1000,0,IFERROR(MATCH(Q$5,'Oxford Economics'!$A$6:$AZ$6,0),MATCH(Q$5&amp;"",'Oxford Economics'!$A$6:$AZ$6,0))),'Oxford Economics'!$A$7:$A$1000,$C81,'Oxford Economics'!$B$7:$B$1000,Settings!$B$13)-SUMIFS(INDEX('Oxford Economics'!$A$7:$AZ$1000,0,IFERROR(MATCH(Q$5,'Oxford Economics'!$A$6:$AZ$6,0),MATCH(Q$5&amp;"",'Oxford Economics'!$A$6:$AZ$6,0))),'Oxford Economics'!$A$7:$A$1000,$C81,'Oxford Economics'!$B$7:$B$1000,Settings!$B$15),SUMIFS(INDEX('Oxford Economics'!$A$7:$AZ$1000,0,IFERROR(MATCH(Q$5,'Oxford Economics'!$A$6:$AZ$6,0),MATCH(Q$5&amp;"",'Oxford Economics'!$A$6:$AZ$6,0))),'Oxford Economics'!$A$7:$A$1000,$C81,'Oxford Economics'!$B$7:$B$1000,Settings!$B$15)+SUMIFS(INDEX('Oxford Economics'!$A$7:$AZ$1000,0,IFERROR(MATCH(Q$5,'Oxford Economics'!$A$6:$AZ$6,0),MATCH(Q$5&amp;"",'Oxford Economics'!$A$6:$AZ$6,0))),'Oxford Economics'!$A$7:$A$1000,$C81,'Oxford Economics'!$B$7:$B$1000,Settings!$B$17)+IF(Settings!$B$19="",0,SUMIFS(INDEX('Oxford Economics'!$A$7:$AZ$1000,0,IFERROR(MATCH(Q$5,'Oxford Economics'!$A$6:$AZ$6,0),MATCH(Q$5&amp;"",'Oxford Economics'!$A$6:$AZ$6,0))),'Oxford Economics'!$A$7:$A$1000,$C81,'Oxford Economics'!$B$7:$B$1000,Settings!$B$19)))),""))</f>
        <v>51400.31</v>
      </c>
      <c r="R81" s="38" t="n">
        <f aca="false">IF($A81="","",IFERROR(1/(1/IF($B81="Residential",SUMIFS(INDEX('Oxford Economics'!$A$7:$AZ$1000,0,IFERROR(MATCH(R$5,'Oxford Economics'!$A$6:$AZ$6,0),MATCH(R$5&amp;"",'Oxford Economics'!$A$6:$AZ$6,0))),'Oxford Economics'!$A$7:$A$1000,$C81,'Oxford Economics'!$B$7:$B$1000,Settings!$B$13)-SUMIFS(INDEX('Oxford Economics'!$A$7:$AZ$1000,0,IFERROR(MATCH(R$5,'Oxford Economics'!$A$6:$AZ$6,0),MATCH(R$5&amp;"",'Oxford Economics'!$A$6:$AZ$6,0))),'Oxford Economics'!$A$7:$A$1000,$C81,'Oxford Economics'!$B$7:$B$1000,Settings!$B$15),SUMIFS(INDEX('Oxford Economics'!$A$7:$AZ$1000,0,IFERROR(MATCH(R$5,'Oxford Economics'!$A$6:$AZ$6,0),MATCH(R$5&amp;"",'Oxford Economics'!$A$6:$AZ$6,0))),'Oxford Economics'!$A$7:$A$1000,$C81,'Oxford Economics'!$B$7:$B$1000,Settings!$B$15)+SUMIFS(INDEX('Oxford Economics'!$A$7:$AZ$1000,0,IFERROR(MATCH(R$5,'Oxford Economics'!$A$6:$AZ$6,0),MATCH(R$5&amp;"",'Oxford Economics'!$A$6:$AZ$6,0))),'Oxford Economics'!$A$7:$A$1000,$C81,'Oxford Economics'!$B$7:$B$1000,Settings!$B$17)+IF(Settings!$B$19="",0,SUMIFS(INDEX('Oxford Economics'!$A$7:$AZ$1000,0,IFERROR(MATCH(R$5,'Oxford Economics'!$A$6:$AZ$6,0),MATCH(R$5&amp;"",'Oxford Economics'!$A$6:$AZ$6,0))),'Oxford Economics'!$A$7:$A$1000,$C81,'Oxford Economics'!$B$7:$B$1000,Settings!$B$19)))),""))</f>
        <v>49518.14</v>
      </c>
      <c r="S81" s="38" t="n">
        <f aca="false">IF($A81="","",IFERROR(1/(1/IF($B81="Residential",SUMIFS(INDEX('Oxford Economics'!$A$7:$AZ$1000,0,IFERROR(MATCH(S$5,'Oxford Economics'!$A$6:$AZ$6,0),MATCH(S$5&amp;"",'Oxford Economics'!$A$6:$AZ$6,0))),'Oxford Economics'!$A$7:$A$1000,$C81,'Oxford Economics'!$B$7:$B$1000,Settings!$B$13)-SUMIFS(INDEX('Oxford Economics'!$A$7:$AZ$1000,0,IFERROR(MATCH(S$5,'Oxford Economics'!$A$6:$AZ$6,0),MATCH(S$5&amp;"",'Oxford Economics'!$A$6:$AZ$6,0))),'Oxford Economics'!$A$7:$A$1000,$C81,'Oxford Economics'!$B$7:$B$1000,Settings!$B$15),SUMIFS(INDEX('Oxford Economics'!$A$7:$AZ$1000,0,IFERROR(MATCH(S$5,'Oxford Economics'!$A$6:$AZ$6,0),MATCH(S$5&amp;"",'Oxford Economics'!$A$6:$AZ$6,0))),'Oxford Economics'!$A$7:$A$1000,$C81,'Oxford Economics'!$B$7:$B$1000,Settings!$B$15)+SUMIFS(INDEX('Oxford Economics'!$A$7:$AZ$1000,0,IFERROR(MATCH(S$5,'Oxford Economics'!$A$6:$AZ$6,0),MATCH(S$5&amp;"",'Oxford Economics'!$A$6:$AZ$6,0))),'Oxford Economics'!$A$7:$A$1000,$C81,'Oxford Economics'!$B$7:$B$1000,Settings!$B$17)+IF(Settings!$B$19="",0,SUMIFS(INDEX('Oxford Economics'!$A$7:$AZ$1000,0,IFERROR(MATCH(S$5,'Oxford Economics'!$A$6:$AZ$6,0),MATCH(S$5&amp;"",'Oxford Economics'!$A$6:$AZ$6,0))),'Oxford Economics'!$A$7:$A$1000,$C81,'Oxford Economics'!$B$7:$B$1000,Settings!$B$19)))),""))</f>
        <v>53778.22</v>
      </c>
      <c r="T81" s="38" t="n">
        <f aca="false">IF($A81="","",IFERROR(1/(1/IF($B81="Residential",SUMIFS(INDEX('Oxford Economics'!$A$7:$AZ$1000,0,IFERROR(MATCH(T$5,'Oxford Economics'!$A$6:$AZ$6,0),MATCH(T$5&amp;"",'Oxford Economics'!$A$6:$AZ$6,0))),'Oxford Economics'!$A$7:$A$1000,$C81,'Oxford Economics'!$B$7:$B$1000,Settings!$B$13)-SUMIFS(INDEX('Oxford Economics'!$A$7:$AZ$1000,0,IFERROR(MATCH(T$5,'Oxford Economics'!$A$6:$AZ$6,0),MATCH(T$5&amp;"",'Oxford Economics'!$A$6:$AZ$6,0))),'Oxford Economics'!$A$7:$A$1000,$C81,'Oxford Economics'!$B$7:$B$1000,Settings!$B$15),SUMIFS(INDEX('Oxford Economics'!$A$7:$AZ$1000,0,IFERROR(MATCH(T$5,'Oxford Economics'!$A$6:$AZ$6,0),MATCH(T$5&amp;"",'Oxford Economics'!$A$6:$AZ$6,0))),'Oxford Economics'!$A$7:$A$1000,$C81,'Oxford Economics'!$B$7:$B$1000,Settings!$B$15)+SUMIFS(INDEX('Oxford Economics'!$A$7:$AZ$1000,0,IFERROR(MATCH(T$5,'Oxford Economics'!$A$6:$AZ$6,0),MATCH(T$5&amp;"",'Oxford Economics'!$A$6:$AZ$6,0))),'Oxford Economics'!$A$7:$A$1000,$C81,'Oxford Economics'!$B$7:$B$1000,Settings!$B$17)+IF(Settings!$B$19="",0,SUMIFS(INDEX('Oxford Economics'!$A$7:$AZ$1000,0,IFERROR(MATCH(T$5,'Oxford Economics'!$A$6:$AZ$6,0),MATCH(T$5&amp;"",'Oxford Economics'!$A$6:$AZ$6,0))),'Oxford Economics'!$A$7:$A$1000,$C81,'Oxford Economics'!$B$7:$B$1000,Settings!$B$19)))),""))</f>
        <v>58852.35</v>
      </c>
      <c r="U81" s="38" t="n">
        <f aca="false">IF($A81="","",IFERROR(1/(1/IF($B81="Residential",SUMIFS(INDEX('Oxford Economics'!$A$7:$AZ$1000,0,IFERROR(MATCH(U$5,'Oxford Economics'!$A$6:$AZ$6,0),MATCH(U$5&amp;"",'Oxford Economics'!$A$6:$AZ$6,0))),'Oxford Economics'!$A$7:$A$1000,$C81,'Oxford Economics'!$B$7:$B$1000,Settings!$B$13)-SUMIFS(INDEX('Oxford Economics'!$A$7:$AZ$1000,0,IFERROR(MATCH(U$5,'Oxford Economics'!$A$6:$AZ$6,0),MATCH(U$5&amp;"",'Oxford Economics'!$A$6:$AZ$6,0))),'Oxford Economics'!$A$7:$A$1000,$C81,'Oxford Economics'!$B$7:$B$1000,Settings!$B$15),SUMIFS(INDEX('Oxford Economics'!$A$7:$AZ$1000,0,IFERROR(MATCH(U$5,'Oxford Economics'!$A$6:$AZ$6,0),MATCH(U$5&amp;"",'Oxford Economics'!$A$6:$AZ$6,0))),'Oxford Economics'!$A$7:$A$1000,$C81,'Oxford Economics'!$B$7:$B$1000,Settings!$B$15)+SUMIFS(INDEX('Oxford Economics'!$A$7:$AZ$1000,0,IFERROR(MATCH(U$5,'Oxford Economics'!$A$6:$AZ$6,0),MATCH(U$5&amp;"",'Oxford Economics'!$A$6:$AZ$6,0))),'Oxford Economics'!$A$7:$A$1000,$C81,'Oxford Economics'!$B$7:$B$1000,Settings!$B$17)+IF(Settings!$B$19="",0,SUMIFS(INDEX('Oxford Economics'!$A$7:$AZ$1000,0,IFERROR(MATCH(U$5,'Oxford Economics'!$A$6:$AZ$6,0),MATCH(U$5&amp;"",'Oxford Economics'!$A$6:$AZ$6,0))),'Oxford Economics'!$A$7:$A$1000,$C81,'Oxford Economics'!$B$7:$B$1000,Settings!$B$19)))),""))</f>
        <v>58962.14</v>
      </c>
      <c r="V81" s="38" t="n">
        <f aca="false">IF($A81="","",IFERROR(1/(1/IF($B81="Residential",SUMIFS(INDEX('Oxford Economics'!$A$7:$AZ$1000,0,IFERROR(MATCH(V$5,'Oxford Economics'!$A$6:$AZ$6,0),MATCH(V$5&amp;"",'Oxford Economics'!$A$6:$AZ$6,0))),'Oxford Economics'!$A$7:$A$1000,$C81,'Oxford Economics'!$B$7:$B$1000,Settings!$B$13)-SUMIFS(INDEX('Oxford Economics'!$A$7:$AZ$1000,0,IFERROR(MATCH(V$5,'Oxford Economics'!$A$6:$AZ$6,0),MATCH(V$5&amp;"",'Oxford Economics'!$A$6:$AZ$6,0))),'Oxford Economics'!$A$7:$A$1000,$C81,'Oxford Economics'!$B$7:$B$1000,Settings!$B$15),SUMIFS(INDEX('Oxford Economics'!$A$7:$AZ$1000,0,IFERROR(MATCH(V$5,'Oxford Economics'!$A$6:$AZ$6,0),MATCH(V$5&amp;"",'Oxford Economics'!$A$6:$AZ$6,0))),'Oxford Economics'!$A$7:$A$1000,$C81,'Oxford Economics'!$B$7:$B$1000,Settings!$B$15)+SUMIFS(INDEX('Oxford Economics'!$A$7:$AZ$1000,0,IFERROR(MATCH(V$5,'Oxford Economics'!$A$6:$AZ$6,0),MATCH(V$5&amp;"",'Oxford Economics'!$A$6:$AZ$6,0))),'Oxford Economics'!$A$7:$A$1000,$C81,'Oxford Economics'!$B$7:$B$1000,Settings!$B$17)+IF(Settings!$B$19="",0,SUMIFS(INDEX('Oxford Economics'!$A$7:$AZ$1000,0,IFERROR(MATCH(V$5,'Oxford Economics'!$A$6:$AZ$6,0),MATCH(V$5&amp;"",'Oxford Economics'!$A$6:$AZ$6,0))),'Oxford Economics'!$A$7:$A$1000,$C81,'Oxford Economics'!$B$7:$B$1000,Settings!$B$19)))),""))</f>
        <v>59929.88</v>
      </c>
      <c r="W81" s="38" t="n">
        <f aca="false">IF($A81="","",IFERROR(1/(1/IF($B81="Residential",SUMIFS(INDEX('Oxford Economics'!$A$7:$AZ$1000,0,IFERROR(MATCH(W$5,'Oxford Economics'!$A$6:$AZ$6,0),MATCH(W$5&amp;"",'Oxford Economics'!$A$6:$AZ$6,0))),'Oxford Economics'!$A$7:$A$1000,$C81,'Oxford Economics'!$B$7:$B$1000,Settings!$B$13)-SUMIFS(INDEX('Oxford Economics'!$A$7:$AZ$1000,0,IFERROR(MATCH(W$5,'Oxford Economics'!$A$6:$AZ$6,0),MATCH(W$5&amp;"",'Oxford Economics'!$A$6:$AZ$6,0))),'Oxford Economics'!$A$7:$A$1000,$C81,'Oxford Economics'!$B$7:$B$1000,Settings!$B$15),SUMIFS(INDEX('Oxford Economics'!$A$7:$AZ$1000,0,IFERROR(MATCH(W$5,'Oxford Economics'!$A$6:$AZ$6,0),MATCH(W$5&amp;"",'Oxford Economics'!$A$6:$AZ$6,0))),'Oxford Economics'!$A$7:$A$1000,$C81,'Oxford Economics'!$B$7:$B$1000,Settings!$B$15)+SUMIFS(INDEX('Oxford Economics'!$A$7:$AZ$1000,0,IFERROR(MATCH(W$5,'Oxford Economics'!$A$6:$AZ$6,0),MATCH(W$5&amp;"",'Oxford Economics'!$A$6:$AZ$6,0))),'Oxford Economics'!$A$7:$A$1000,$C81,'Oxford Economics'!$B$7:$B$1000,Settings!$B$17)+IF(Settings!$B$19="",0,SUMIFS(INDEX('Oxford Economics'!$A$7:$AZ$1000,0,IFERROR(MATCH(W$5,'Oxford Economics'!$A$6:$AZ$6,0),MATCH(W$5&amp;"",'Oxford Economics'!$A$6:$AZ$6,0))),'Oxford Economics'!$A$7:$A$1000,$C81,'Oxford Economics'!$B$7:$B$1000,Settings!$B$19)))),""))</f>
        <v>60976.74</v>
      </c>
      <c r="X81" s="38" t="n">
        <f aca="false">IF($A81="","",IFERROR(1/(1/IF($B81="Residential",SUMIFS(INDEX('Oxford Economics'!$A$7:$AZ$1000,0,IFERROR(MATCH(X$5,'Oxford Economics'!$A$6:$AZ$6,0),MATCH(X$5&amp;"",'Oxford Economics'!$A$6:$AZ$6,0))),'Oxford Economics'!$A$7:$A$1000,$C81,'Oxford Economics'!$B$7:$B$1000,Settings!$B$13)-SUMIFS(INDEX('Oxford Economics'!$A$7:$AZ$1000,0,IFERROR(MATCH(X$5,'Oxford Economics'!$A$6:$AZ$6,0),MATCH(X$5&amp;"",'Oxford Economics'!$A$6:$AZ$6,0))),'Oxford Economics'!$A$7:$A$1000,$C81,'Oxford Economics'!$B$7:$B$1000,Settings!$B$15),SUMIFS(INDEX('Oxford Economics'!$A$7:$AZ$1000,0,IFERROR(MATCH(X$5,'Oxford Economics'!$A$6:$AZ$6,0),MATCH(X$5&amp;"",'Oxford Economics'!$A$6:$AZ$6,0))),'Oxford Economics'!$A$7:$A$1000,$C81,'Oxford Economics'!$B$7:$B$1000,Settings!$B$15)+SUMIFS(INDEX('Oxford Economics'!$A$7:$AZ$1000,0,IFERROR(MATCH(X$5,'Oxford Economics'!$A$6:$AZ$6,0),MATCH(X$5&amp;"",'Oxford Economics'!$A$6:$AZ$6,0))),'Oxford Economics'!$A$7:$A$1000,$C81,'Oxford Economics'!$B$7:$B$1000,Settings!$B$17)+IF(Settings!$B$19="",0,SUMIFS(INDEX('Oxford Economics'!$A$7:$AZ$1000,0,IFERROR(MATCH(X$5,'Oxford Economics'!$A$6:$AZ$6,0),MATCH(X$5&amp;"",'Oxford Economics'!$A$6:$AZ$6,0))),'Oxford Economics'!$A$7:$A$1000,$C81,'Oxford Economics'!$B$7:$B$1000,Settings!$B$19)))),""))</f>
        <v>61471.62</v>
      </c>
      <c r="Y81" s="38" t="n">
        <f aca="false">IF($A81="","",IFERROR(1/(1/IF($B81="Residential",SUMIFS(INDEX('Oxford Economics'!$A$7:$AZ$1000,0,IFERROR(MATCH(Y$5,'Oxford Economics'!$A$6:$AZ$6,0),MATCH(Y$5&amp;"",'Oxford Economics'!$A$6:$AZ$6,0))),'Oxford Economics'!$A$7:$A$1000,$C81,'Oxford Economics'!$B$7:$B$1000,Settings!$B$13)-SUMIFS(INDEX('Oxford Economics'!$A$7:$AZ$1000,0,IFERROR(MATCH(Y$5,'Oxford Economics'!$A$6:$AZ$6,0),MATCH(Y$5&amp;"",'Oxford Economics'!$A$6:$AZ$6,0))),'Oxford Economics'!$A$7:$A$1000,$C81,'Oxford Economics'!$B$7:$B$1000,Settings!$B$15),SUMIFS(INDEX('Oxford Economics'!$A$7:$AZ$1000,0,IFERROR(MATCH(Y$5,'Oxford Economics'!$A$6:$AZ$6,0),MATCH(Y$5&amp;"",'Oxford Economics'!$A$6:$AZ$6,0))),'Oxford Economics'!$A$7:$A$1000,$C81,'Oxford Economics'!$B$7:$B$1000,Settings!$B$15)+SUMIFS(INDEX('Oxford Economics'!$A$7:$AZ$1000,0,IFERROR(MATCH(Y$5,'Oxford Economics'!$A$6:$AZ$6,0),MATCH(Y$5&amp;"",'Oxford Economics'!$A$6:$AZ$6,0))),'Oxford Economics'!$A$7:$A$1000,$C81,'Oxford Economics'!$B$7:$B$1000,Settings!$B$17)+IF(Settings!$B$19="",0,SUMIFS(INDEX('Oxford Economics'!$A$7:$AZ$1000,0,IFERROR(MATCH(Y$5,'Oxford Economics'!$A$6:$AZ$6,0),MATCH(Y$5&amp;"",'Oxford Economics'!$A$6:$AZ$6,0))),'Oxford Economics'!$A$7:$A$1000,$C81,'Oxford Economics'!$B$7:$B$1000,Settings!$B$19)))),""))</f>
        <v>62598.49</v>
      </c>
      <c r="Z81" s="38" t="n">
        <f aca="false">IF($A81="","",IFERROR(1/(1/IF($B81="Residential",SUMIFS(INDEX('Oxford Economics'!$A$7:$AZ$1000,0,IFERROR(MATCH(Z$5,'Oxford Economics'!$A$6:$AZ$6,0),MATCH(Z$5&amp;"",'Oxford Economics'!$A$6:$AZ$6,0))),'Oxford Economics'!$A$7:$A$1000,$C81,'Oxford Economics'!$B$7:$B$1000,Settings!$B$13)-SUMIFS(INDEX('Oxford Economics'!$A$7:$AZ$1000,0,IFERROR(MATCH(Z$5,'Oxford Economics'!$A$6:$AZ$6,0),MATCH(Z$5&amp;"",'Oxford Economics'!$A$6:$AZ$6,0))),'Oxford Economics'!$A$7:$A$1000,$C81,'Oxford Economics'!$B$7:$B$1000,Settings!$B$15),SUMIFS(INDEX('Oxford Economics'!$A$7:$AZ$1000,0,IFERROR(MATCH(Z$5,'Oxford Economics'!$A$6:$AZ$6,0),MATCH(Z$5&amp;"",'Oxford Economics'!$A$6:$AZ$6,0))),'Oxford Economics'!$A$7:$A$1000,$C81,'Oxford Economics'!$B$7:$B$1000,Settings!$B$15)+SUMIFS(INDEX('Oxford Economics'!$A$7:$AZ$1000,0,IFERROR(MATCH(Z$5,'Oxford Economics'!$A$6:$AZ$6,0),MATCH(Z$5&amp;"",'Oxford Economics'!$A$6:$AZ$6,0))),'Oxford Economics'!$A$7:$A$1000,$C81,'Oxford Economics'!$B$7:$B$1000,Settings!$B$17)+IF(Settings!$B$19="",0,SUMIFS(INDEX('Oxford Economics'!$A$7:$AZ$1000,0,IFERROR(MATCH(Z$5,'Oxford Economics'!$A$6:$AZ$6,0),MATCH(Z$5&amp;"",'Oxford Economics'!$A$6:$AZ$6,0))),'Oxford Economics'!$A$7:$A$1000,$C81,'Oxford Economics'!$B$7:$B$1000,Settings!$B$19)))),""))</f>
        <v>64151.44</v>
      </c>
      <c r="AA81" s="38" t="n">
        <f aca="false">IF($A81="","",IFERROR(1/(1/IF($B81="Residential",SUMIFS(INDEX('Oxford Economics'!$A$7:$AZ$1000,0,IFERROR(MATCH(AA$5,'Oxford Economics'!$A$6:$AZ$6,0),MATCH(AA$5&amp;"",'Oxford Economics'!$A$6:$AZ$6,0))),'Oxford Economics'!$A$7:$A$1000,$C81,'Oxford Economics'!$B$7:$B$1000,Settings!$B$13)-SUMIFS(INDEX('Oxford Economics'!$A$7:$AZ$1000,0,IFERROR(MATCH(AA$5,'Oxford Economics'!$A$6:$AZ$6,0),MATCH(AA$5&amp;"",'Oxford Economics'!$A$6:$AZ$6,0))),'Oxford Economics'!$A$7:$A$1000,$C81,'Oxford Economics'!$B$7:$B$1000,Settings!$B$15),SUMIFS(INDEX('Oxford Economics'!$A$7:$AZ$1000,0,IFERROR(MATCH(AA$5,'Oxford Economics'!$A$6:$AZ$6,0),MATCH(AA$5&amp;"",'Oxford Economics'!$A$6:$AZ$6,0))),'Oxford Economics'!$A$7:$A$1000,$C81,'Oxford Economics'!$B$7:$B$1000,Settings!$B$15)+SUMIFS(INDEX('Oxford Economics'!$A$7:$AZ$1000,0,IFERROR(MATCH(AA$5,'Oxford Economics'!$A$6:$AZ$6,0),MATCH(AA$5&amp;"",'Oxford Economics'!$A$6:$AZ$6,0))),'Oxford Economics'!$A$7:$A$1000,$C81,'Oxford Economics'!$B$7:$B$1000,Settings!$B$17)+IF(Settings!$B$19="",0,SUMIFS(INDEX('Oxford Economics'!$A$7:$AZ$1000,0,IFERROR(MATCH(AA$5,'Oxford Economics'!$A$6:$AZ$6,0),MATCH(AA$5&amp;"",'Oxford Economics'!$A$6:$AZ$6,0))),'Oxford Economics'!$A$7:$A$1000,$C81,'Oxford Economics'!$B$7:$B$1000,Settings!$B$19)))),""))</f>
        <v>65166.17</v>
      </c>
      <c r="AB81" s="38" t="n">
        <f aca="false">IF($A81="","",IFERROR(1/(1/IF($B81="Residential",SUMIFS(INDEX('Oxford Economics'!$A$7:$AZ$1000,0,IFERROR(MATCH(AB$5,'Oxford Economics'!$A$6:$AZ$6,0),MATCH(AB$5&amp;"",'Oxford Economics'!$A$6:$AZ$6,0))),'Oxford Economics'!$A$7:$A$1000,$C81,'Oxford Economics'!$B$7:$B$1000,Settings!$B$12)-SUMIFS(INDEX('Oxford Economics'!$A$7:$AZ$1000,0,IFERROR(MATCH(AB$5,'Oxford Economics'!$A$6:$AZ$6,0),MATCH(AB$5&amp;"",'Oxford Economics'!$A$6:$AZ$6,0))),'Oxford Economics'!$A$7:$A$1000,$C81,'Oxford Economics'!$B$7:$B$1000,Settings!$B$14),SUMIFS(INDEX('Oxford Economics'!$A$7:$AZ$1000,0,IFERROR(MATCH(AB$5,'Oxford Economics'!$A$6:$AZ$6,0),MATCH(AB$5&amp;"",'Oxford Economics'!$A$6:$AZ$6,0))),'Oxford Economics'!$A$7:$A$1000,$C81,'Oxford Economics'!$B$7:$B$1000,Settings!$B$14)+SUMIFS(INDEX('Oxford Economics'!$A$7:$AZ$1000,0,IFERROR(MATCH(AB$5,'Oxford Economics'!$A$6:$AZ$6,0),MATCH(AB$5&amp;"",'Oxford Economics'!$A$6:$AZ$6,0))),'Oxford Economics'!$A$7:$A$1000,$C81,'Oxford Economics'!$B$7:$B$1000,Settings!$B$16)+IF(Settings!$B$18="",0,SUMIFS(INDEX('Oxford Economics'!$A$7:$AZ$1000,0,IFERROR(MATCH(AB$5,'Oxford Economics'!$A$6:$AZ$6,0),MATCH(AB$5&amp;"",'Oxford Economics'!$A$6:$AZ$6,0))),'Oxford Economics'!$A$7:$A$1000,$C81,'Oxford Economics'!$B$7:$B$1000,Settings!$B$18)))),""))</f>
        <v>42184.57</v>
      </c>
      <c r="AC81" s="38" t="n">
        <f aca="false">IF($A81="","",IFERROR(1/(1/IF($B81="Residential",SUMIFS(INDEX('Oxford Economics'!$A$7:$AZ$1000,0,IFERROR(MATCH(AC$5,'Oxford Economics'!$A$6:$AZ$6,0),MATCH(AC$5&amp;"",'Oxford Economics'!$A$6:$AZ$6,0))),'Oxford Economics'!$A$7:$A$1000,$C81,'Oxford Economics'!$B$7:$B$1000,Settings!$B$12)-SUMIFS(INDEX('Oxford Economics'!$A$7:$AZ$1000,0,IFERROR(MATCH(AC$5,'Oxford Economics'!$A$6:$AZ$6,0),MATCH(AC$5&amp;"",'Oxford Economics'!$A$6:$AZ$6,0))),'Oxford Economics'!$A$7:$A$1000,$C81,'Oxford Economics'!$B$7:$B$1000,Settings!$B$14),SUMIFS(INDEX('Oxford Economics'!$A$7:$AZ$1000,0,IFERROR(MATCH(AC$5,'Oxford Economics'!$A$6:$AZ$6,0),MATCH(AC$5&amp;"",'Oxford Economics'!$A$6:$AZ$6,0))),'Oxford Economics'!$A$7:$A$1000,$C81,'Oxford Economics'!$B$7:$B$1000,Settings!$B$14)+SUMIFS(INDEX('Oxford Economics'!$A$7:$AZ$1000,0,IFERROR(MATCH(AC$5,'Oxford Economics'!$A$6:$AZ$6,0),MATCH(AC$5&amp;"",'Oxford Economics'!$A$6:$AZ$6,0))),'Oxford Economics'!$A$7:$A$1000,$C81,'Oxford Economics'!$B$7:$B$1000,Settings!$B$16)+IF(Settings!$B$18="",0,SUMIFS(INDEX('Oxford Economics'!$A$7:$AZ$1000,0,IFERROR(MATCH(AC$5,'Oxford Economics'!$A$6:$AZ$6,0),MATCH(AC$5&amp;"",'Oxford Economics'!$A$6:$AZ$6,0))),'Oxford Economics'!$A$7:$A$1000,$C81,'Oxford Economics'!$B$7:$B$1000,Settings!$B$18)))),""))</f>
        <v>42760.76</v>
      </c>
      <c r="AD81" s="38" t="n">
        <f aca="false">IF($A81="","",IFERROR(1/(1/IF($B81="Residential",SUMIFS(INDEX('Oxford Economics'!$A$7:$AZ$1000,0,IFERROR(MATCH(AD$5,'Oxford Economics'!$A$6:$AZ$6,0),MATCH(AD$5&amp;"",'Oxford Economics'!$A$6:$AZ$6,0))),'Oxford Economics'!$A$7:$A$1000,$C81,'Oxford Economics'!$B$7:$B$1000,Settings!$B$12)-SUMIFS(INDEX('Oxford Economics'!$A$7:$AZ$1000,0,IFERROR(MATCH(AD$5,'Oxford Economics'!$A$6:$AZ$6,0),MATCH(AD$5&amp;"",'Oxford Economics'!$A$6:$AZ$6,0))),'Oxford Economics'!$A$7:$A$1000,$C81,'Oxford Economics'!$B$7:$B$1000,Settings!$B$14),SUMIFS(INDEX('Oxford Economics'!$A$7:$AZ$1000,0,IFERROR(MATCH(AD$5,'Oxford Economics'!$A$6:$AZ$6,0),MATCH(AD$5&amp;"",'Oxford Economics'!$A$6:$AZ$6,0))),'Oxford Economics'!$A$7:$A$1000,$C81,'Oxford Economics'!$B$7:$B$1000,Settings!$B$14)+SUMIFS(INDEX('Oxford Economics'!$A$7:$AZ$1000,0,IFERROR(MATCH(AD$5,'Oxford Economics'!$A$6:$AZ$6,0),MATCH(AD$5&amp;"",'Oxford Economics'!$A$6:$AZ$6,0))),'Oxford Economics'!$A$7:$A$1000,$C81,'Oxford Economics'!$B$7:$B$1000,Settings!$B$16)+IF(Settings!$B$18="",0,SUMIFS(INDEX('Oxford Economics'!$A$7:$AZ$1000,0,IFERROR(MATCH(AD$5,'Oxford Economics'!$A$6:$AZ$6,0),MATCH(AD$5&amp;"",'Oxford Economics'!$A$6:$AZ$6,0))),'Oxford Economics'!$A$7:$A$1000,$C81,'Oxford Economics'!$B$7:$B$1000,Settings!$B$18)))),""))</f>
        <v>41641.19</v>
      </c>
      <c r="AE81" s="38" t="n">
        <f aca="false">IF($A81="","",IFERROR(1/(1/IF($B81="Residential",SUMIFS(INDEX('Oxford Economics'!$A$7:$AZ$1000,0,IFERROR(MATCH(AE$5,'Oxford Economics'!$A$6:$AZ$6,0),MATCH(AE$5&amp;"",'Oxford Economics'!$A$6:$AZ$6,0))),'Oxford Economics'!$A$7:$A$1000,$C81,'Oxford Economics'!$B$7:$B$1000,Settings!$B$12)-SUMIFS(INDEX('Oxford Economics'!$A$7:$AZ$1000,0,IFERROR(MATCH(AE$5,'Oxford Economics'!$A$6:$AZ$6,0),MATCH(AE$5&amp;"",'Oxford Economics'!$A$6:$AZ$6,0))),'Oxford Economics'!$A$7:$A$1000,$C81,'Oxford Economics'!$B$7:$B$1000,Settings!$B$14),SUMIFS(INDEX('Oxford Economics'!$A$7:$AZ$1000,0,IFERROR(MATCH(AE$5,'Oxford Economics'!$A$6:$AZ$6,0),MATCH(AE$5&amp;"",'Oxford Economics'!$A$6:$AZ$6,0))),'Oxford Economics'!$A$7:$A$1000,$C81,'Oxford Economics'!$B$7:$B$1000,Settings!$B$14)+SUMIFS(INDEX('Oxford Economics'!$A$7:$AZ$1000,0,IFERROR(MATCH(AE$5,'Oxford Economics'!$A$6:$AZ$6,0),MATCH(AE$5&amp;"",'Oxford Economics'!$A$6:$AZ$6,0))),'Oxford Economics'!$A$7:$A$1000,$C81,'Oxford Economics'!$B$7:$B$1000,Settings!$B$16)+IF(Settings!$B$18="",0,SUMIFS(INDEX('Oxford Economics'!$A$7:$AZ$1000,0,IFERROR(MATCH(AE$5,'Oxford Economics'!$A$6:$AZ$6,0),MATCH(AE$5&amp;"",'Oxford Economics'!$A$6:$AZ$6,0))),'Oxford Economics'!$A$7:$A$1000,$C81,'Oxford Economics'!$B$7:$B$1000,Settings!$B$18)))),""))</f>
        <v>40700.97</v>
      </c>
      <c r="AF81" s="38" t="n">
        <f aca="false">IF($A81="","",IFERROR(1/(1/IF($B81="Residential",SUMIFS(INDEX('Oxford Economics'!$A$7:$AZ$1000,0,IFERROR(MATCH(AF$5,'Oxford Economics'!$A$6:$AZ$6,0),MATCH(AF$5&amp;"",'Oxford Economics'!$A$6:$AZ$6,0))),'Oxford Economics'!$A$7:$A$1000,$C81,'Oxford Economics'!$B$7:$B$1000,Settings!$B$12)-SUMIFS(INDEX('Oxford Economics'!$A$7:$AZ$1000,0,IFERROR(MATCH(AF$5,'Oxford Economics'!$A$6:$AZ$6,0),MATCH(AF$5&amp;"",'Oxford Economics'!$A$6:$AZ$6,0))),'Oxford Economics'!$A$7:$A$1000,$C81,'Oxford Economics'!$B$7:$B$1000,Settings!$B$14),SUMIFS(INDEX('Oxford Economics'!$A$7:$AZ$1000,0,IFERROR(MATCH(AF$5,'Oxford Economics'!$A$6:$AZ$6,0),MATCH(AF$5&amp;"",'Oxford Economics'!$A$6:$AZ$6,0))),'Oxford Economics'!$A$7:$A$1000,$C81,'Oxford Economics'!$B$7:$B$1000,Settings!$B$14)+SUMIFS(INDEX('Oxford Economics'!$A$7:$AZ$1000,0,IFERROR(MATCH(AF$5,'Oxford Economics'!$A$6:$AZ$6,0),MATCH(AF$5&amp;"",'Oxford Economics'!$A$6:$AZ$6,0))),'Oxford Economics'!$A$7:$A$1000,$C81,'Oxford Economics'!$B$7:$B$1000,Settings!$B$16)+IF(Settings!$B$18="",0,SUMIFS(INDEX('Oxford Economics'!$A$7:$AZ$1000,0,IFERROR(MATCH(AF$5,'Oxford Economics'!$A$6:$AZ$6,0),MATCH(AF$5&amp;"",'Oxford Economics'!$A$6:$AZ$6,0))),'Oxford Economics'!$A$7:$A$1000,$C81,'Oxford Economics'!$B$7:$B$1000,Settings!$B$18)))),""))</f>
        <v>35731.25</v>
      </c>
      <c r="AG81" s="38" t="n">
        <f aca="false">IF($A81="","",IFERROR(1/(1/IF($B81="Residential",SUMIFS(INDEX('Oxford Economics'!$A$7:$AZ$1000,0,IFERROR(MATCH(AG$5,'Oxford Economics'!$A$6:$AZ$6,0),MATCH(AG$5&amp;"",'Oxford Economics'!$A$6:$AZ$6,0))),'Oxford Economics'!$A$7:$A$1000,$C81,'Oxford Economics'!$B$7:$B$1000,Settings!$B$12)-SUMIFS(INDEX('Oxford Economics'!$A$7:$AZ$1000,0,IFERROR(MATCH(AG$5,'Oxford Economics'!$A$6:$AZ$6,0),MATCH(AG$5&amp;"",'Oxford Economics'!$A$6:$AZ$6,0))),'Oxford Economics'!$A$7:$A$1000,$C81,'Oxford Economics'!$B$7:$B$1000,Settings!$B$14),SUMIFS(INDEX('Oxford Economics'!$A$7:$AZ$1000,0,IFERROR(MATCH(AG$5,'Oxford Economics'!$A$6:$AZ$6,0),MATCH(AG$5&amp;"",'Oxford Economics'!$A$6:$AZ$6,0))),'Oxford Economics'!$A$7:$A$1000,$C81,'Oxford Economics'!$B$7:$B$1000,Settings!$B$14)+SUMIFS(INDEX('Oxford Economics'!$A$7:$AZ$1000,0,IFERROR(MATCH(AG$5,'Oxford Economics'!$A$6:$AZ$6,0),MATCH(AG$5&amp;"",'Oxford Economics'!$A$6:$AZ$6,0))),'Oxford Economics'!$A$7:$A$1000,$C81,'Oxford Economics'!$B$7:$B$1000,Settings!$B$16)+IF(Settings!$B$18="",0,SUMIFS(INDEX('Oxford Economics'!$A$7:$AZ$1000,0,IFERROR(MATCH(AG$5,'Oxford Economics'!$A$6:$AZ$6,0),MATCH(AG$5&amp;"",'Oxford Economics'!$A$6:$AZ$6,0))),'Oxford Economics'!$A$7:$A$1000,$C81,'Oxford Economics'!$B$7:$B$1000,Settings!$B$18)))),""))</f>
        <v>33987.73</v>
      </c>
      <c r="AH81" s="38" t="n">
        <f aca="false">IF($A81="","",IFERROR(1/(1/IF($B81="Residential",SUMIFS(INDEX('Oxford Economics'!$A$7:$AZ$1000,0,IFERROR(MATCH(AH$5,'Oxford Economics'!$A$6:$AZ$6,0),MATCH(AH$5&amp;"",'Oxford Economics'!$A$6:$AZ$6,0))),'Oxford Economics'!$A$7:$A$1000,$C81,'Oxford Economics'!$B$7:$B$1000,Settings!$B$12)-SUMIFS(INDEX('Oxford Economics'!$A$7:$AZ$1000,0,IFERROR(MATCH(AH$5,'Oxford Economics'!$A$6:$AZ$6,0),MATCH(AH$5&amp;"",'Oxford Economics'!$A$6:$AZ$6,0))),'Oxford Economics'!$A$7:$A$1000,$C81,'Oxford Economics'!$B$7:$B$1000,Settings!$B$14),SUMIFS(INDEX('Oxford Economics'!$A$7:$AZ$1000,0,IFERROR(MATCH(AH$5,'Oxford Economics'!$A$6:$AZ$6,0),MATCH(AH$5&amp;"",'Oxford Economics'!$A$6:$AZ$6,0))),'Oxford Economics'!$A$7:$A$1000,$C81,'Oxford Economics'!$B$7:$B$1000,Settings!$B$14)+SUMIFS(INDEX('Oxford Economics'!$A$7:$AZ$1000,0,IFERROR(MATCH(AH$5,'Oxford Economics'!$A$6:$AZ$6,0),MATCH(AH$5&amp;"",'Oxford Economics'!$A$6:$AZ$6,0))),'Oxford Economics'!$A$7:$A$1000,$C81,'Oxford Economics'!$B$7:$B$1000,Settings!$B$16)+IF(Settings!$B$18="",0,SUMIFS(INDEX('Oxford Economics'!$A$7:$AZ$1000,0,IFERROR(MATCH(AH$5,'Oxford Economics'!$A$6:$AZ$6,0),MATCH(AH$5&amp;"",'Oxford Economics'!$A$6:$AZ$6,0))),'Oxford Economics'!$A$7:$A$1000,$C81,'Oxford Economics'!$B$7:$B$1000,Settings!$B$18)))),""))</f>
        <v>33988.6</v>
      </c>
      <c r="AI81" s="38" t="n">
        <f aca="false">IF($A81="","",IFERROR(1/(1/IF($B81="Residential",SUMIFS(INDEX('Oxford Economics'!$A$7:$AZ$1000,0,IFERROR(MATCH(AI$5,'Oxford Economics'!$A$6:$AZ$6,0),MATCH(AI$5&amp;"",'Oxford Economics'!$A$6:$AZ$6,0))),'Oxford Economics'!$A$7:$A$1000,$C81,'Oxford Economics'!$B$7:$B$1000,Settings!$B$12)-SUMIFS(INDEX('Oxford Economics'!$A$7:$AZ$1000,0,IFERROR(MATCH(AI$5,'Oxford Economics'!$A$6:$AZ$6,0),MATCH(AI$5&amp;"",'Oxford Economics'!$A$6:$AZ$6,0))),'Oxford Economics'!$A$7:$A$1000,$C81,'Oxford Economics'!$B$7:$B$1000,Settings!$B$14),SUMIFS(INDEX('Oxford Economics'!$A$7:$AZ$1000,0,IFERROR(MATCH(AI$5,'Oxford Economics'!$A$6:$AZ$6,0),MATCH(AI$5&amp;"",'Oxford Economics'!$A$6:$AZ$6,0))),'Oxford Economics'!$A$7:$A$1000,$C81,'Oxford Economics'!$B$7:$B$1000,Settings!$B$14)+SUMIFS(INDEX('Oxford Economics'!$A$7:$AZ$1000,0,IFERROR(MATCH(AI$5,'Oxford Economics'!$A$6:$AZ$6,0),MATCH(AI$5&amp;"",'Oxford Economics'!$A$6:$AZ$6,0))),'Oxford Economics'!$A$7:$A$1000,$C81,'Oxford Economics'!$B$7:$B$1000,Settings!$B$16)+IF(Settings!$B$18="",0,SUMIFS(INDEX('Oxford Economics'!$A$7:$AZ$1000,0,IFERROR(MATCH(AI$5,'Oxford Economics'!$A$6:$AZ$6,0),MATCH(AI$5&amp;"",'Oxford Economics'!$A$6:$AZ$6,0))),'Oxford Economics'!$A$7:$A$1000,$C81,'Oxford Economics'!$B$7:$B$1000,Settings!$B$18)))),""))</f>
        <v>33515.27</v>
      </c>
      <c r="AJ81" s="38" t="n">
        <f aca="false">IF($A81="","",IFERROR(1/(1/IF($B81="Residential",SUMIFS(INDEX('Oxford Economics'!$A$7:$AZ$1000,0,IFERROR(MATCH(AJ$5,'Oxford Economics'!$A$6:$AZ$6,0),MATCH(AJ$5&amp;"",'Oxford Economics'!$A$6:$AZ$6,0))),'Oxford Economics'!$A$7:$A$1000,$C81,'Oxford Economics'!$B$7:$B$1000,Settings!$B$12)-SUMIFS(INDEX('Oxford Economics'!$A$7:$AZ$1000,0,IFERROR(MATCH(AJ$5,'Oxford Economics'!$A$6:$AZ$6,0),MATCH(AJ$5&amp;"",'Oxford Economics'!$A$6:$AZ$6,0))),'Oxford Economics'!$A$7:$A$1000,$C81,'Oxford Economics'!$B$7:$B$1000,Settings!$B$14),SUMIFS(INDEX('Oxford Economics'!$A$7:$AZ$1000,0,IFERROR(MATCH(AJ$5,'Oxford Economics'!$A$6:$AZ$6,0),MATCH(AJ$5&amp;"",'Oxford Economics'!$A$6:$AZ$6,0))),'Oxford Economics'!$A$7:$A$1000,$C81,'Oxford Economics'!$B$7:$B$1000,Settings!$B$14)+SUMIFS(INDEX('Oxford Economics'!$A$7:$AZ$1000,0,IFERROR(MATCH(AJ$5,'Oxford Economics'!$A$6:$AZ$6,0),MATCH(AJ$5&amp;"",'Oxford Economics'!$A$6:$AZ$6,0))),'Oxford Economics'!$A$7:$A$1000,$C81,'Oxford Economics'!$B$7:$B$1000,Settings!$B$16)+IF(Settings!$B$18="",0,SUMIFS(INDEX('Oxford Economics'!$A$7:$AZ$1000,0,IFERROR(MATCH(AJ$5,'Oxford Economics'!$A$6:$AZ$6,0),MATCH(AJ$5&amp;"",'Oxford Economics'!$A$6:$AZ$6,0))),'Oxford Economics'!$A$7:$A$1000,$C81,'Oxford Economics'!$B$7:$B$1000,Settings!$B$18)))),""))</f>
        <v>33345.27</v>
      </c>
      <c r="AK81" s="38" t="n">
        <f aca="false">IF($A81="","",IFERROR(1/(1/IF($B81="Residential",SUMIFS(INDEX('Oxford Economics'!$A$7:$AZ$1000,0,IFERROR(MATCH(AK$5,'Oxford Economics'!$A$6:$AZ$6,0),MATCH(AK$5&amp;"",'Oxford Economics'!$A$6:$AZ$6,0))),'Oxford Economics'!$A$7:$A$1000,$C81,'Oxford Economics'!$B$7:$B$1000,Settings!$B$12)-SUMIFS(INDEX('Oxford Economics'!$A$7:$AZ$1000,0,IFERROR(MATCH(AK$5,'Oxford Economics'!$A$6:$AZ$6,0),MATCH(AK$5&amp;"",'Oxford Economics'!$A$6:$AZ$6,0))),'Oxford Economics'!$A$7:$A$1000,$C81,'Oxford Economics'!$B$7:$B$1000,Settings!$B$14),SUMIFS(INDEX('Oxford Economics'!$A$7:$AZ$1000,0,IFERROR(MATCH(AK$5,'Oxford Economics'!$A$6:$AZ$6,0),MATCH(AK$5&amp;"",'Oxford Economics'!$A$6:$AZ$6,0))),'Oxford Economics'!$A$7:$A$1000,$C81,'Oxford Economics'!$B$7:$B$1000,Settings!$B$14)+SUMIFS(INDEX('Oxford Economics'!$A$7:$AZ$1000,0,IFERROR(MATCH(AK$5,'Oxford Economics'!$A$6:$AZ$6,0),MATCH(AK$5&amp;"",'Oxford Economics'!$A$6:$AZ$6,0))),'Oxford Economics'!$A$7:$A$1000,$C81,'Oxford Economics'!$B$7:$B$1000,Settings!$B$16)+IF(Settings!$B$18="",0,SUMIFS(INDEX('Oxford Economics'!$A$7:$AZ$1000,0,IFERROR(MATCH(AK$5,'Oxford Economics'!$A$6:$AZ$6,0),MATCH(AK$5&amp;"",'Oxford Economics'!$A$6:$AZ$6,0))),'Oxford Economics'!$A$7:$A$1000,$C81,'Oxford Economics'!$B$7:$B$1000,Settings!$B$18)))),""))</f>
        <v>33504.98</v>
      </c>
      <c r="AL81" s="38" t="n">
        <f aca="false">IF($A81="","",IFERROR(1/(1/IF($B81="Residential",SUMIFS(INDEX('Oxford Economics'!$A$7:$AZ$1000,0,IFERROR(MATCH(AL$5,'Oxford Economics'!$A$6:$AZ$6,0),MATCH(AL$5&amp;"",'Oxford Economics'!$A$6:$AZ$6,0))),'Oxford Economics'!$A$7:$A$1000,$C81,'Oxford Economics'!$B$7:$B$1000,Settings!$B$12)-SUMIFS(INDEX('Oxford Economics'!$A$7:$AZ$1000,0,IFERROR(MATCH(AL$5,'Oxford Economics'!$A$6:$AZ$6,0),MATCH(AL$5&amp;"",'Oxford Economics'!$A$6:$AZ$6,0))),'Oxford Economics'!$A$7:$A$1000,$C81,'Oxford Economics'!$B$7:$B$1000,Settings!$B$14),SUMIFS(INDEX('Oxford Economics'!$A$7:$AZ$1000,0,IFERROR(MATCH(AL$5,'Oxford Economics'!$A$6:$AZ$6,0),MATCH(AL$5&amp;"",'Oxford Economics'!$A$6:$AZ$6,0))),'Oxford Economics'!$A$7:$A$1000,$C81,'Oxford Economics'!$B$7:$B$1000,Settings!$B$14)+SUMIFS(INDEX('Oxford Economics'!$A$7:$AZ$1000,0,IFERROR(MATCH(AL$5,'Oxford Economics'!$A$6:$AZ$6,0),MATCH(AL$5&amp;"",'Oxford Economics'!$A$6:$AZ$6,0))),'Oxford Economics'!$A$7:$A$1000,$C81,'Oxford Economics'!$B$7:$B$1000,Settings!$B$16)+IF(Settings!$B$18="",0,SUMIFS(INDEX('Oxford Economics'!$A$7:$AZ$1000,0,IFERROR(MATCH(AL$5,'Oxford Economics'!$A$6:$AZ$6,0),MATCH(AL$5&amp;"",'Oxford Economics'!$A$6:$AZ$6,0))),'Oxford Economics'!$A$7:$A$1000,$C81,'Oxford Economics'!$B$7:$B$1000,Settings!$B$18)))),""))</f>
        <v>33951.58</v>
      </c>
      <c r="AM81" s="38" t="n">
        <f aca="false">IF($A81="","",IFERROR(1/(1/IF($B81="Residential",SUMIFS(INDEX('Oxford Economics'!$A$7:$AZ$1000,0,IFERROR(MATCH(AM$5,'Oxford Economics'!$A$6:$AZ$6,0),MATCH(AM$5&amp;"",'Oxford Economics'!$A$6:$AZ$6,0))),'Oxford Economics'!$A$7:$A$1000,$C81,'Oxford Economics'!$B$7:$B$1000,Settings!$B$12)-SUMIFS(INDEX('Oxford Economics'!$A$7:$AZ$1000,0,IFERROR(MATCH(AM$5,'Oxford Economics'!$A$6:$AZ$6,0),MATCH(AM$5&amp;"",'Oxford Economics'!$A$6:$AZ$6,0))),'Oxford Economics'!$A$7:$A$1000,$C81,'Oxford Economics'!$B$7:$B$1000,Settings!$B$14),SUMIFS(INDEX('Oxford Economics'!$A$7:$AZ$1000,0,IFERROR(MATCH(AM$5,'Oxford Economics'!$A$6:$AZ$6,0),MATCH(AM$5&amp;"",'Oxford Economics'!$A$6:$AZ$6,0))),'Oxford Economics'!$A$7:$A$1000,$C81,'Oxford Economics'!$B$7:$B$1000,Settings!$B$14)+SUMIFS(INDEX('Oxford Economics'!$A$7:$AZ$1000,0,IFERROR(MATCH(AM$5,'Oxford Economics'!$A$6:$AZ$6,0),MATCH(AM$5&amp;"",'Oxford Economics'!$A$6:$AZ$6,0))),'Oxford Economics'!$A$7:$A$1000,$C81,'Oxford Economics'!$B$7:$B$1000,Settings!$B$16)+IF(Settings!$B$18="",0,SUMIFS(INDEX('Oxford Economics'!$A$7:$AZ$1000,0,IFERROR(MATCH(AM$5,'Oxford Economics'!$A$6:$AZ$6,0),MATCH(AM$5&amp;"",'Oxford Economics'!$A$6:$AZ$6,0))),'Oxford Economics'!$A$7:$A$1000,$C81,'Oxford Economics'!$B$7:$B$1000,Settings!$B$18)))),""))</f>
        <v>34604.52</v>
      </c>
    </row>
    <row r="82" customFormat="false" ht="15" hidden="false" customHeight="false" outlineLevel="0" collapsed="false">
      <c r="A82" s="37" t="str">
        <f aca="false">IF('Raw data'!$A82="","",'Raw data'!$A82)</f>
        <v>France</v>
      </c>
      <c r="B82" s="37" t="str">
        <f aca="false">IF($A82="","",'Raw data'!$C82)</f>
        <v>Commercial</v>
      </c>
      <c r="C82" s="37" t="str">
        <f aca="false">IF($A82="","",IF('Raw data'!$E82="",$A82,'Raw data'!$E82))</f>
        <v>France</v>
      </c>
      <c r="D82" s="38" t="n">
        <f aca="false">IF($A82="","",IF(AND(ISNUMBER(P82),ISNUMBER(AB82)),P82+AB82,""))</f>
        <v>89594.8</v>
      </c>
      <c r="E82" s="38" t="n">
        <f aca="false">IF($A82="","",IF(AND(ISNUMBER(Q82),ISNUMBER(AC82)),Q82+AC82,""))</f>
        <v>94161.07</v>
      </c>
      <c r="F82" s="38" t="n">
        <f aca="false">IF($A82="","",IF(AND(ISNUMBER(R82),ISNUMBER(AD82)),R82+AD82,""))</f>
        <v>91159.33</v>
      </c>
      <c r="G82" s="38" t="n">
        <f aca="false">IF($A82="","",IF(AND(ISNUMBER(S82),ISNUMBER(AE82)),S82+AE82,""))</f>
        <v>94479.19</v>
      </c>
      <c r="H82" s="38" t="n">
        <f aca="false">IF($A82="","",IF(AND(ISNUMBER(T82),ISNUMBER(AF82)),T82+AF82,""))</f>
        <v>94583.6</v>
      </c>
      <c r="I82" s="38" t="n">
        <f aca="false">IF($A82="","",IF(AND(ISNUMBER(U82),ISNUMBER(AG82)),U82+AG82,""))</f>
        <v>92949.87</v>
      </c>
      <c r="J82" s="38" t="n">
        <f aca="false">IF($A82="","",IF(AND(ISNUMBER(V82),ISNUMBER(AH82)),V82+AH82,""))</f>
        <v>93918.48</v>
      </c>
      <c r="K82" s="38" t="n">
        <f aca="false">IF($A82="","",IF(AND(ISNUMBER(W82),ISNUMBER(AI82)),W82+AI82,""))</f>
        <v>94492.01</v>
      </c>
      <c r="L82" s="38" t="n">
        <f aca="false">IF($A82="","",IF(AND(ISNUMBER(X82),ISNUMBER(AJ82)),X82+AJ82,""))</f>
        <v>94816.89</v>
      </c>
      <c r="M82" s="38" t="n">
        <f aca="false">IF($A82="","",IF(AND(ISNUMBER(Y82),ISNUMBER(AK82)),Y82+AK82,""))</f>
        <v>96103.47</v>
      </c>
      <c r="N82" s="38" t="n">
        <f aca="false">IF($A82="","",IF(AND(ISNUMBER(Z82),ISNUMBER(AL82)),Z82+AL82,""))</f>
        <v>98103.02</v>
      </c>
      <c r="O82" s="38" t="n">
        <f aca="false">IF($A82="","",IF(AND(ISNUMBER(AA82),ISNUMBER(AM82)),AA82+AM82,""))</f>
        <v>99770.69</v>
      </c>
      <c r="P82" s="38" t="n">
        <f aca="false">IF($A82="","",IFERROR(1/(1/IF($B82="Residential",SUMIFS(INDEX('Oxford Economics'!$A$7:$AZ$1000,0,IFERROR(MATCH(P$5,'Oxford Economics'!$A$6:$AZ$6,0),MATCH(P$5&amp;"",'Oxford Economics'!$A$6:$AZ$6,0))),'Oxford Economics'!$A$7:$A$1000,$C82,'Oxford Economics'!$B$7:$B$1000,Settings!$B$13)-SUMIFS(INDEX('Oxford Economics'!$A$7:$AZ$1000,0,IFERROR(MATCH(P$5,'Oxford Economics'!$A$6:$AZ$6,0),MATCH(P$5&amp;"",'Oxford Economics'!$A$6:$AZ$6,0))),'Oxford Economics'!$A$7:$A$1000,$C82,'Oxford Economics'!$B$7:$B$1000,Settings!$B$15),SUMIFS(INDEX('Oxford Economics'!$A$7:$AZ$1000,0,IFERROR(MATCH(P$5,'Oxford Economics'!$A$6:$AZ$6,0),MATCH(P$5&amp;"",'Oxford Economics'!$A$6:$AZ$6,0))),'Oxford Economics'!$A$7:$A$1000,$C82,'Oxford Economics'!$B$7:$B$1000,Settings!$B$15)+SUMIFS(INDEX('Oxford Economics'!$A$7:$AZ$1000,0,IFERROR(MATCH(P$5,'Oxford Economics'!$A$6:$AZ$6,0),MATCH(P$5&amp;"",'Oxford Economics'!$A$6:$AZ$6,0))),'Oxford Economics'!$A$7:$A$1000,$C82,'Oxford Economics'!$B$7:$B$1000,Settings!$B$17)+IF(Settings!$B$19="",0,SUMIFS(INDEX('Oxford Economics'!$A$7:$AZ$1000,0,IFERROR(MATCH(P$5,'Oxford Economics'!$A$6:$AZ$6,0),MATCH(P$5&amp;"",'Oxford Economics'!$A$6:$AZ$6,0))),'Oxford Economics'!$A$7:$A$1000,$C82,'Oxford Economics'!$B$7:$B$1000,Settings!$B$19)))),""))</f>
        <v>47410.23</v>
      </c>
      <c r="Q82" s="38" t="n">
        <f aca="false">IF($A82="","",IFERROR(1/(1/IF($B82="Residential",SUMIFS(INDEX('Oxford Economics'!$A$7:$AZ$1000,0,IFERROR(MATCH(Q$5,'Oxford Economics'!$A$6:$AZ$6,0),MATCH(Q$5&amp;"",'Oxford Economics'!$A$6:$AZ$6,0))),'Oxford Economics'!$A$7:$A$1000,$C82,'Oxford Economics'!$B$7:$B$1000,Settings!$B$13)-SUMIFS(INDEX('Oxford Economics'!$A$7:$AZ$1000,0,IFERROR(MATCH(Q$5,'Oxford Economics'!$A$6:$AZ$6,0),MATCH(Q$5&amp;"",'Oxford Economics'!$A$6:$AZ$6,0))),'Oxford Economics'!$A$7:$A$1000,$C82,'Oxford Economics'!$B$7:$B$1000,Settings!$B$15),SUMIFS(INDEX('Oxford Economics'!$A$7:$AZ$1000,0,IFERROR(MATCH(Q$5,'Oxford Economics'!$A$6:$AZ$6,0),MATCH(Q$5&amp;"",'Oxford Economics'!$A$6:$AZ$6,0))),'Oxford Economics'!$A$7:$A$1000,$C82,'Oxford Economics'!$B$7:$B$1000,Settings!$B$15)+SUMIFS(INDEX('Oxford Economics'!$A$7:$AZ$1000,0,IFERROR(MATCH(Q$5,'Oxford Economics'!$A$6:$AZ$6,0),MATCH(Q$5&amp;"",'Oxford Economics'!$A$6:$AZ$6,0))),'Oxford Economics'!$A$7:$A$1000,$C82,'Oxford Economics'!$B$7:$B$1000,Settings!$B$17)+IF(Settings!$B$19="",0,SUMIFS(INDEX('Oxford Economics'!$A$7:$AZ$1000,0,IFERROR(MATCH(Q$5,'Oxford Economics'!$A$6:$AZ$6,0),MATCH(Q$5&amp;"",'Oxford Economics'!$A$6:$AZ$6,0))),'Oxford Economics'!$A$7:$A$1000,$C82,'Oxford Economics'!$B$7:$B$1000,Settings!$B$19)))),""))</f>
        <v>51400.31</v>
      </c>
      <c r="R82" s="38" t="n">
        <f aca="false">IF($A82="","",IFERROR(1/(1/IF($B82="Residential",SUMIFS(INDEX('Oxford Economics'!$A$7:$AZ$1000,0,IFERROR(MATCH(R$5,'Oxford Economics'!$A$6:$AZ$6,0),MATCH(R$5&amp;"",'Oxford Economics'!$A$6:$AZ$6,0))),'Oxford Economics'!$A$7:$A$1000,$C82,'Oxford Economics'!$B$7:$B$1000,Settings!$B$13)-SUMIFS(INDEX('Oxford Economics'!$A$7:$AZ$1000,0,IFERROR(MATCH(R$5,'Oxford Economics'!$A$6:$AZ$6,0),MATCH(R$5&amp;"",'Oxford Economics'!$A$6:$AZ$6,0))),'Oxford Economics'!$A$7:$A$1000,$C82,'Oxford Economics'!$B$7:$B$1000,Settings!$B$15),SUMIFS(INDEX('Oxford Economics'!$A$7:$AZ$1000,0,IFERROR(MATCH(R$5,'Oxford Economics'!$A$6:$AZ$6,0),MATCH(R$5&amp;"",'Oxford Economics'!$A$6:$AZ$6,0))),'Oxford Economics'!$A$7:$A$1000,$C82,'Oxford Economics'!$B$7:$B$1000,Settings!$B$15)+SUMIFS(INDEX('Oxford Economics'!$A$7:$AZ$1000,0,IFERROR(MATCH(R$5,'Oxford Economics'!$A$6:$AZ$6,0),MATCH(R$5&amp;"",'Oxford Economics'!$A$6:$AZ$6,0))),'Oxford Economics'!$A$7:$A$1000,$C82,'Oxford Economics'!$B$7:$B$1000,Settings!$B$17)+IF(Settings!$B$19="",0,SUMIFS(INDEX('Oxford Economics'!$A$7:$AZ$1000,0,IFERROR(MATCH(R$5,'Oxford Economics'!$A$6:$AZ$6,0),MATCH(R$5&amp;"",'Oxford Economics'!$A$6:$AZ$6,0))),'Oxford Economics'!$A$7:$A$1000,$C82,'Oxford Economics'!$B$7:$B$1000,Settings!$B$19)))),""))</f>
        <v>49518.14</v>
      </c>
      <c r="S82" s="38" t="n">
        <f aca="false">IF($A82="","",IFERROR(1/(1/IF($B82="Residential",SUMIFS(INDEX('Oxford Economics'!$A$7:$AZ$1000,0,IFERROR(MATCH(S$5,'Oxford Economics'!$A$6:$AZ$6,0),MATCH(S$5&amp;"",'Oxford Economics'!$A$6:$AZ$6,0))),'Oxford Economics'!$A$7:$A$1000,$C82,'Oxford Economics'!$B$7:$B$1000,Settings!$B$13)-SUMIFS(INDEX('Oxford Economics'!$A$7:$AZ$1000,0,IFERROR(MATCH(S$5,'Oxford Economics'!$A$6:$AZ$6,0),MATCH(S$5&amp;"",'Oxford Economics'!$A$6:$AZ$6,0))),'Oxford Economics'!$A$7:$A$1000,$C82,'Oxford Economics'!$B$7:$B$1000,Settings!$B$15),SUMIFS(INDEX('Oxford Economics'!$A$7:$AZ$1000,0,IFERROR(MATCH(S$5,'Oxford Economics'!$A$6:$AZ$6,0),MATCH(S$5&amp;"",'Oxford Economics'!$A$6:$AZ$6,0))),'Oxford Economics'!$A$7:$A$1000,$C82,'Oxford Economics'!$B$7:$B$1000,Settings!$B$15)+SUMIFS(INDEX('Oxford Economics'!$A$7:$AZ$1000,0,IFERROR(MATCH(S$5,'Oxford Economics'!$A$6:$AZ$6,0),MATCH(S$5&amp;"",'Oxford Economics'!$A$6:$AZ$6,0))),'Oxford Economics'!$A$7:$A$1000,$C82,'Oxford Economics'!$B$7:$B$1000,Settings!$B$17)+IF(Settings!$B$19="",0,SUMIFS(INDEX('Oxford Economics'!$A$7:$AZ$1000,0,IFERROR(MATCH(S$5,'Oxford Economics'!$A$6:$AZ$6,0),MATCH(S$5&amp;"",'Oxford Economics'!$A$6:$AZ$6,0))),'Oxford Economics'!$A$7:$A$1000,$C82,'Oxford Economics'!$B$7:$B$1000,Settings!$B$19)))),""))</f>
        <v>53778.22</v>
      </c>
      <c r="T82" s="38" t="n">
        <f aca="false">IF($A82="","",IFERROR(1/(1/IF($B82="Residential",SUMIFS(INDEX('Oxford Economics'!$A$7:$AZ$1000,0,IFERROR(MATCH(T$5,'Oxford Economics'!$A$6:$AZ$6,0),MATCH(T$5&amp;"",'Oxford Economics'!$A$6:$AZ$6,0))),'Oxford Economics'!$A$7:$A$1000,$C82,'Oxford Economics'!$B$7:$B$1000,Settings!$B$13)-SUMIFS(INDEX('Oxford Economics'!$A$7:$AZ$1000,0,IFERROR(MATCH(T$5,'Oxford Economics'!$A$6:$AZ$6,0),MATCH(T$5&amp;"",'Oxford Economics'!$A$6:$AZ$6,0))),'Oxford Economics'!$A$7:$A$1000,$C82,'Oxford Economics'!$B$7:$B$1000,Settings!$B$15),SUMIFS(INDEX('Oxford Economics'!$A$7:$AZ$1000,0,IFERROR(MATCH(T$5,'Oxford Economics'!$A$6:$AZ$6,0),MATCH(T$5&amp;"",'Oxford Economics'!$A$6:$AZ$6,0))),'Oxford Economics'!$A$7:$A$1000,$C82,'Oxford Economics'!$B$7:$B$1000,Settings!$B$15)+SUMIFS(INDEX('Oxford Economics'!$A$7:$AZ$1000,0,IFERROR(MATCH(T$5,'Oxford Economics'!$A$6:$AZ$6,0),MATCH(T$5&amp;"",'Oxford Economics'!$A$6:$AZ$6,0))),'Oxford Economics'!$A$7:$A$1000,$C82,'Oxford Economics'!$B$7:$B$1000,Settings!$B$17)+IF(Settings!$B$19="",0,SUMIFS(INDEX('Oxford Economics'!$A$7:$AZ$1000,0,IFERROR(MATCH(T$5,'Oxford Economics'!$A$6:$AZ$6,0),MATCH(T$5&amp;"",'Oxford Economics'!$A$6:$AZ$6,0))),'Oxford Economics'!$A$7:$A$1000,$C82,'Oxford Economics'!$B$7:$B$1000,Settings!$B$19)))),""))</f>
        <v>58852.35</v>
      </c>
      <c r="U82" s="38" t="n">
        <f aca="false">IF($A82="","",IFERROR(1/(1/IF($B82="Residential",SUMIFS(INDEX('Oxford Economics'!$A$7:$AZ$1000,0,IFERROR(MATCH(U$5,'Oxford Economics'!$A$6:$AZ$6,0),MATCH(U$5&amp;"",'Oxford Economics'!$A$6:$AZ$6,0))),'Oxford Economics'!$A$7:$A$1000,$C82,'Oxford Economics'!$B$7:$B$1000,Settings!$B$13)-SUMIFS(INDEX('Oxford Economics'!$A$7:$AZ$1000,0,IFERROR(MATCH(U$5,'Oxford Economics'!$A$6:$AZ$6,0),MATCH(U$5&amp;"",'Oxford Economics'!$A$6:$AZ$6,0))),'Oxford Economics'!$A$7:$A$1000,$C82,'Oxford Economics'!$B$7:$B$1000,Settings!$B$15),SUMIFS(INDEX('Oxford Economics'!$A$7:$AZ$1000,0,IFERROR(MATCH(U$5,'Oxford Economics'!$A$6:$AZ$6,0),MATCH(U$5&amp;"",'Oxford Economics'!$A$6:$AZ$6,0))),'Oxford Economics'!$A$7:$A$1000,$C82,'Oxford Economics'!$B$7:$B$1000,Settings!$B$15)+SUMIFS(INDEX('Oxford Economics'!$A$7:$AZ$1000,0,IFERROR(MATCH(U$5,'Oxford Economics'!$A$6:$AZ$6,0),MATCH(U$5&amp;"",'Oxford Economics'!$A$6:$AZ$6,0))),'Oxford Economics'!$A$7:$A$1000,$C82,'Oxford Economics'!$B$7:$B$1000,Settings!$B$17)+IF(Settings!$B$19="",0,SUMIFS(INDEX('Oxford Economics'!$A$7:$AZ$1000,0,IFERROR(MATCH(U$5,'Oxford Economics'!$A$6:$AZ$6,0),MATCH(U$5&amp;"",'Oxford Economics'!$A$6:$AZ$6,0))),'Oxford Economics'!$A$7:$A$1000,$C82,'Oxford Economics'!$B$7:$B$1000,Settings!$B$19)))),""))</f>
        <v>58962.14</v>
      </c>
      <c r="V82" s="38" t="n">
        <f aca="false">IF($A82="","",IFERROR(1/(1/IF($B82="Residential",SUMIFS(INDEX('Oxford Economics'!$A$7:$AZ$1000,0,IFERROR(MATCH(V$5,'Oxford Economics'!$A$6:$AZ$6,0),MATCH(V$5&amp;"",'Oxford Economics'!$A$6:$AZ$6,0))),'Oxford Economics'!$A$7:$A$1000,$C82,'Oxford Economics'!$B$7:$B$1000,Settings!$B$13)-SUMIFS(INDEX('Oxford Economics'!$A$7:$AZ$1000,0,IFERROR(MATCH(V$5,'Oxford Economics'!$A$6:$AZ$6,0),MATCH(V$5&amp;"",'Oxford Economics'!$A$6:$AZ$6,0))),'Oxford Economics'!$A$7:$A$1000,$C82,'Oxford Economics'!$B$7:$B$1000,Settings!$B$15),SUMIFS(INDEX('Oxford Economics'!$A$7:$AZ$1000,0,IFERROR(MATCH(V$5,'Oxford Economics'!$A$6:$AZ$6,0),MATCH(V$5&amp;"",'Oxford Economics'!$A$6:$AZ$6,0))),'Oxford Economics'!$A$7:$A$1000,$C82,'Oxford Economics'!$B$7:$B$1000,Settings!$B$15)+SUMIFS(INDEX('Oxford Economics'!$A$7:$AZ$1000,0,IFERROR(MATCH(V$5,'Oxford Economics'!$A$6:$AZ$6,0),MATCH(V$5&amp;"",'Oxford Economics'!$A$6:$AZ$6,0))),'Oxford Economics'!$A$7:$A$1000,$C82,'Oxford Economics'!$B$7:$B$1000,Settings!$B$17)+IF(Settings!$B$19="",0,SUMIFS(INDEX('Oxford Economics'!$A$7:$AZ$1000,0,IFERROR(MATCH(V$5,'Oxford Economics'!$A$6:$AZ$6,0),MATCH(V$5&amp;"",'Oxford Economics'!$A$6:$AZ$6,0))),'Oxford Economics'!$A$7:$A$1000,$C82,'Oxford Economics'!$B$7:$B$1000,Settings!$B$19)))),""))</f>
        <v>59929.88</v>
      </c>
      <c r="W82" s="38" t="n">
        <f aca="false">IF($A82="","",IFERROR(1/(1/IF($B82="Residential",SUMIFS(INDEX('Oxford Economics'!$A$7:$AZ$1000,0,IFERROR(MATCH(W$5,'Oxford Economics'!$A$6:$AZ$6,0),MATCH(W$5&amp;"",'Oxford Economics'!$A$6:$AZ$6,0))),'Oxford Economics'!$A$7:$A$1000,$C82,'Oxford Economics'!$B$7:$B$1000,Settings!$B$13)-SUMIFS(INDEX('Oxford Economics'!$A$7:$AZ$1000,0,IFERROR(MATCH(W$5,'Oxford Economics'!$A$6:$AZ$6,0),MATCH(W$5&amp;"",'Oxford Economics'!$A$6:$AZ$6,0))),'Oxford Economics'!$A$7:$A$1000,$C82,'Oxford Economics'!$B$7:$B$1000,Settings!$B$15),SUMIFS(INDEX('Oxford Economics'!$A$7:$AZ$1000,0,IFERROR(MATCH(W$5,'Oxford Economics'!$A$6:$AZ$6,0),MATCH(W$5&amp;"",'Oxford Economics'!$A$6:$AZ$6,0))),'Oxford Economics'!$A$7:$A$1000,$C82,'Oxford Economics'!$B$7:$B$1000,Settings!$B$15)+SUMIFS(INDEX('Oxford Economics'!$A$7:$AZ$1000,0,IFERROR(MATCH(W$5,'Oxford Economics'!$A$6:$AZ$6,0),MATCH(W$5&amp;"",'Oxford Economics'!$A$6:$AZ$6,0))),'Oxford Economics'!$A$7:$A$1000,$C82,'Oxford Economics'!$B$7:$B$1000,Settings!$B$17)+IF(Settings!$B$19="",0,SUMIFS(INDEX('Oxford Economics'!$A$7:$AZ$1000,0,IFERROR(MATCH(W$5,'Oxford Economics'!$A$6:$AZ$6,0),MATCH(W$5&amp;"",'Oxford Economics'!$A$6:$AZ$6,0))),'Oxford Economics'!$A$7:$A$1000,$C82,'Oxford Economics'!$B$7:$B$1000,Settings!$B$19)))),""))</f>
        <v>60976.74</v>
      </c>
      <c r="X82" s="38" t="n">
        <f aca="false">IF($A82="","",IFERROR(1/(1/IF($B82="Residential",SUMIFS(INDEX('Oxford Economics'!$A$7:$AZ$1000,0,IFERROR(MATCH(X$5,'Oxford Economics'!$A$6:$AZ$6,0),MATCH(X$5&amp;"",'Oxford Economics'!$A$6:$AZ$6,0))),'Oxford Economics'!$A$7:$A$1000,$C82,'Oxford Economics'!$B$7:$B$1000,Settings!$B$13)-SUMIFS(INDEX('Oxford Economics'!$A$7:$AZ$1000,0,IFERROR(MATCH(X$5,'Oxford Economics'!$A$6:$AZ$6,0),MATCH(X$5&amp;"",'Oxford Economics'!$A$6:$AZ$6,0))),'Oxford Economics'!$A$7:$A$1000,$C82,'Oxford Economics'!$B$7:$B$1000,Settings!$B$15),SUMIFS(INDEX('Oxford Economics'!$A$7:$AZ$1000,0,IFERROR(MATCH(X$5,'Oxford Economics'!$A$6:$AZ$6,0),MATCH(X$5&amp;"",'Oxford Economics'!$A$6:$AZ$6,0))),'Oxford Economics'!$A$7:$A$1000,$C82,'Oxford Economics'!$B$7:$B$1000,Settings!$B$15)+SUMIFS(INDEX('Oxford Economics'!$A$7:$AZ$1000,0,IFERROR(MATCH(X$5,'Oxford Economics'!$A$6:$AZ$6,0),MATCH(X$5&amp;"",'Oxford Economics'!$A$6:$AZ$6,0))),'Oxford Economics'!$A$7:$A$1000,$C82,'Oxford Economics'!$B$7:$B$1000,Settings!$B$17)+IF(Settings!$B$19="",0,SUMIFS(INDEX('Oxford Economics'!$A$7:$AZ$1000,0,IFERROR(MATCH(X$5,'Oxford Economics'!$A$6:$AZ$6,0),MATCH(X$5&amp;"",'Oxford Economics'!$A$6:$AZ$6,0))),'Oxford Economics'!$A$7:$A$1000,$C82,'Oxford Economics'!$B$7:$B$1000,Settings!$B$19)))),""))</f>
        <v>61471.62</v>
      </c>
      <c r="Y82" s="38" t="n">
        <f aca="false">IF($A82="","",IFERROR(1/(1/IF($B82="Residential",SUMIFS(INDEX('Oxford Economics'!$A$7:$AZ$1000,0,IFERROR(MATCH(Y$5,'Oxford Economics'!$A$6:$AZ$6,0),MATCH(Y$5&amp;"",'Oxford Economics'!$A$6:$AZ$6,0))),'Oxford Economics'!$A$7:$A$1000,$C82,'Oxford Economics'!$B$7:$B$1000,Settings!$B$13)-SUMIFS(INDEX('Oxford Economics'!$A$7:$AZ$1000,0,IFERROR(MATCH(Y$5,'Oxford Economics'!$A$6:$AZ$6,0),MATCH(Y$5&amp;"",'Oxford Economics'!$A$6:$AZ$6,0))),'Oxford Economics'!$A$7:$A$1000,$C82,'Oxford Economics'!$B$7:$B$1000,Settings!$B$15),SUMIFS(INDEX('Oxford Economics'!$A$7:$AZ$1000,0,IFERROR(MATCH(Y$5,'Oxford Economics'!$A$6:$AZ$6,0),MATCH(Y$5&amp;"",'Oxford Economics'!$A$6:$AZ$6,0))),'Oxford Economics'!$A$7:$A$1000,$C82,'Oxford Economics'!$B$7:$B$1000,Settings!$B$15)+SUMIFS(INDEX('Oxford Economics'!$A$7:$AZ$1000,0,IFERROR(MATCH(Y$5,'Oxford Economics'!$A$6:$AZ$6,0),MATCH(Y$5&amp;"",'Oxford Economics'!$A$6:$AZ$6,0))),'Oxford Economics'!$A$7:$A$1000,$C82,'Oxford Economics'!$B$7:$B$1000,Settings!$B$17)+IF(Settings!$B$19="",0,SUMIFS(INDEX('Oxford Economics'!$A$7:$AZ$1000,0,IFERROR(MATCH(Y$5,'Oxford Economics'!$A$6:$AZ$6,0),MATCH(Y$5&amp;"",'Oxford Economics'!$A$6:$AZ$6,0))),'Oxford Economics'!$A$7:$A$1000,$C82,'Oxford Economics'!$B$7:$B$1000,Settings!$B$19)))),""))</f>
        <v>62598.49</v>
      </c>
      <c r="Z82" s="38" t="n">
        <f aca="false">IF($A82="","",IFERROR(1/(1/IF($B82="Residential",SUMIFS(INDEX('Oxford Economics'!$A$7:$AZ$1000,0,IFERROR(MATCH(Z$5,'Oxford Economics'!$A$6:$AZ$6,0),MATCH(Z$5&amp;"",'Oxford Economics'!$A$6:$AZ$6,0))),'Oxford Economics'!$A$7:$A$1000,$C82,'Oxford Economics'!$B$7:$B$1000,Settings!$B$13)-SUMIFS(INDEX('Oxford Economics'!$A$7:$AZ$1000,0,IFERROR(MATCH(Z$5,'Oxford Economics'!$A$6:$AZ$6,0),MATCH(Z$5&amp;"",'Oxford Economics'!$A$6:$AZ$6,0))),'Oxford Economics'!$A$7:$A$1000,$C82,'Oxford Economics'!$B$7:$B$1000,Settings!$B$15),SUMIFS(INDEX('Oxford Economics'!$A$7:$AZ$1000,0,IFERROR(MATCH(Z$5,'Oxford Economics'!$A$6:$AZ$6,0),MATCH(Z$5&amp;"",'Oxford Economics'!$A$6:$AZ$6,0))),'Oxford Economics'!$A$7:$A$1000,$C82,'Oxford Economics'!$B$7:$B$1000,Settings!$B$15)+SUMIFS(INDEX('Oxford Economics'!$A$7:$AZ$1000,0,IFERROR(MATCH(Z$5,'Oxford Economics'!$A$6:$AZ$6,0),MATCH(Z$5&amp;"",'Oxford Economics'!$A$6:$AZ$6,0))),'Oxford Economics'!$A$7:$A$1000,$C82,'Oxford Economics'!$B$7:$B$1000,Settings!$B$17)+IF(Settings!$B$19="",0,SUMIFS(INDEX('Oxford Economics'!$A$7:$AZ$1000,0,IFERROR(MATCH(Z$5,'Oxford Economics'!$A$6:$AZ$6,0),MATCH(Z$5&amp;"",'Oxford Economics'!$A$6:$AZ$6,0))),'Oxford Economics'!$A$7:$A$1000,$C82,'Oxford Economics'!$B$7:$B$1000,Settings!$B$19)))),""))</f>
        <v>64151.44</v>
      </c>
      <c r="AA82" s="38" t="n">
        <f aca="false">IF($A82="","",IFERROR(1/(1/IF($B82="Residential",SUMIFS(INDEX('Oxford Economics'!$A$7:$AZ$1000,0,IFERROR(MATCH(AA$5,'Oxford Economics'!$A$6:$AZ$6,0),MATCH(AA$5&amp;"",'Oxford Economics'!$A$6:$AZ$6,0))),'Oxford Economics'!$A$7:$A$1000,$C82,'Oxford Economics'!$B$7:$B$1000,Settings!$B$13)-SUMIFS(INDEX('Oxford Economics'!$A$7:$AZ$1000,0,IFERROR(MATCH(AA$5,'Oxford Economics'!$A$6:$AZ$6,0),MATCH(AA$5&amp;"",'Oxford Economics'!$A$6:$AZ$6,0))),'Oxford Economics'!$A$7:$A$1000,$C82,'Oxford Economics'!$B$7:$B$1000,Settings!$B$15),SUMIFS(INDEX('Oxford Economics'!$A$7:$AZ$1000,0,IFERROR(MATCH(AA$5,'Oxford Economics'!$A$6:$AZ$6,0),MATCH(AA$5&amp;"",'Oxford Economics'!$A$6:$AZ$6,0))),'Oxford Economics'!$A$7:$A$1000,$C82,'Oxford Economics'!$B$7:$B$1000,Settings!$B$15)+SUMIFS(INDEX('Oxford Economics'!$A$7:$AZ$1000,0,IFERROR(MATCH(AA$5,'Oxford Economics'!$A$6:$AZ$6,0),MATCH(AA$5&amp;"",'Oxford Economics'!$A$6:$AZ$6,0))),'Oxford Economics'!$A$7:$A$1000,$C82,'Oxford Economics'!$B$7:$B$1000,Settings!$B$17)+IF(Settings!$B$19="",0,SUMIFS(INDEX('Oxford Economics'!$A$7:$AZ$1000,0,IFERROR(MATCH(AA$5,'Oxford Economics'!$A$6:$AZ$6,0),MATCH(AA$5&amp;"",'Oxford Economics'!$A$6:$AZ$6,0))),'Oxford Economics'!$A$7:$A$1000,$C82,'Oxford Economics'!$B$7:$B$1000,Settings!$B$19)))),""))</f>
        <v>65166.17</v>
      </c>
      <c r="AB82" s="38" t="n">
        <f aca="false">IF($A82="","",IFERROR(1/(1/IF($B82="Residential",SUMIFS(INDEX('Oxford Economics'!$A$7:$AZ$1000,0,IFERROR(MATCH(AB$5,'Oxford Economics'!$A$6:$AZ$6,0),MATCH(AB$5&amp;"",'Oxford Economics'!$A$6:$AZ$6,0))),'Oxford Economics'!$A$7:$A$1000,$C82,'Oxford Economics'!$B$7:$B$1000,Settings!$B$12)-SUMIFS(INDEX('Oxford Economics'!$A$7:$AZ$1000,0,IFERROR(MATCH(AB$5,'Oxford Economics'!$A$6:$AZ$6,0),MATCH(AB$5&amp;"",'Oxford Economics'!$A$6:$AZ$6,0))),'Oxford Economics'!$A$7:$A$1000,$C82,'Oxford Economics'!$B$7:$B$1000,Settings!$B$14),SUMIFS(INDEX('Oxford Economics'!$A$7:$AZ$1000,0,IFERROR(MATCH(AB$5,'Oxford Economics'!$A$6:$AZ$6,0),MATCH(AB$5&amp;"",'Oxford Economics'!$A$6:$AZ$6,0))),'Oxford Economics'!$A$7:$A$1000,$C82,'Oxford Economics'!$B$7:$B$1000,Settings!$B$14)+SUMIFS(INDEX('Oxford Economics'!$A$7:$AZ$1000,0,IFERROR(MATCH(AB$5,'Oxford Economics'!$A$6:$AZ$6,0),MATCH(AB$5&amp;"",'Oxford Economics'!$A$6:$AZ$6,0))),'Oxford Economics'!$A$7:$A$1000,$C82,'Oxford Economics'!$B$7:$B$1000,Settings!$B$16)+IF(Settings!$B$18="",0,SUMIFS(INDEX('Oxford Economics'!$A$7:$AZ$1000,0,IFERROR(MATCH(AB$5,'Oxford Economics'!$A$6:$AZ$6,0),MATCH(AB$5&amp;"",'Oxford Economics'!$A$6:$AZ$6,0))),'Oxford Economics'!$A$7:$A$1000,$C82,'Oxford Economics'!$B$7:$B$1000,Settings!$B$18)))),""))</f>
        <v>42184.57</v>
      </c>
      <c r="AC82" s="38" t="n">
        <f aca="false">IF($A82="","",IFERROR(1/(1/IF($B82="Residential",SUMIFS(INDEX('Oxford Economics'!$A$7:$AZ$1000,0,IFERROR(MATCH(AC$5,'Oxford Economics'!$A$6:$AZ$6,0),MATCH(AC$5&amp;"",'Oxford Economics'!$A$6:$AZ$6,0))),'Oxford Economics'!$A$7:$A$1000,$C82,'Oxford Economics'!$B$7:$B$1000,Settings!$B$12)-SUMIFS(INDEX('Oxford Economics'!$A$7:$AZ$1000,0,IFERROR(MATCH(AC$5,'Oxford Economics'!$A$6:$AZ$6,0),MATCH(AC$5&amp;"",'Oxford Economics'!$A$6:$AZ$6,0))),'Oxford Economics'!$A$7:$A$1000,$C82,'Oxford Economics'!$B$7:$B$1000,Settings!$B$14),SUMIFS(INDEX('Oxford Economics'!$A$7:$AZ$1000,0,IFERROR(MATCH(AC$5,'Oxford Economics'!$A$6:$AZ$6,0),MATCH(AC$5&amp;"",'Oxford Economics'!$A$6:$AZ$6,0))),'Oxford Economics'!$A$7:$A$1000,$C82,'Oxford Economics'!$B$7:$B$1000,Settings!$B$14)+SUMIFS(INDEX('Oxford Economics'!$A$7:$AZ$1000,0,IFERROR(MATCH(AC$5,'Oxford Economics'!$A$6:$AZ$6,0),MATCH(AC$5&amp;"",'Oxford Economics'!$A$6:$AZ$6,0))),'Oxford Economics'!$A$7:$A$1000,$C82,'Oxford Economics'!$B$7:$B$1000,Settings!$B$16)+IF(Settings!$B$18="",0,SUMIFS(INDEX('Oxford Economics'!$A$7:$AZ$1000,0,IFERROR(MATCH(AC$5,'Oxford Economics'!$A$6:$AZ$6,0),MATCH(AC$5&amp;"",'Oxford Economics'!$A$6:$AZ$6,0))),'Oxford Economics'!$A$7:$A$1000,$C82,'Oxford Economics'!$B$7:$B$1000,Settings!$B$18)))),""))</f>
        <v>42760.76</v>
      </c>
      <c r="AD82" s="38" t="n">
        <f aca="false">IF($A82="","",IFERROR(1/(1/IF($B82="Residential",SUMIFS(INDEX('Oxford Economics'!$A$7:$AZ$1000,0,IFERROR(MATCH(AD$5,'Oxford Economics'!$A$6:$AZ$6,0),MATCH(AD$5&amp;"",'Oxford Economics'!$A$6:$AZ$6,0))),'Oxford Economics'!$A$7:$A$1000,$C82,'Oxford Economics'!$B$7:$B$1000,Settings!$B$12)-SUMIFS(INDEX('Oxford Economics'!$A$7:$AZ$1000,0,IFERROR(MATCH(AD$5,'Oxford Economics'!$A$6:$AZ$6,0),MATCH(AD$5&amp;"",'Oxford Economics'!$A$6:$AZ$6,0))),'Oxford Economics'!$A$7:$A$1000,$C82,'Oxford Economics'!$B$7:$B$1000,Settings!$B$14),SUMIFS(INDEX('Oxford Economics'!$A$7:$AZ$1000,0,IFERROR(MATCH(AD$5,'Oxford Economics'!$A$6:$AZ$6,0),MATCH(AD$5&amp;"",'Oxford Economics'!$A$6:$AZ$6,0))),'Oxford Economics'!$A$7:$A$1000,$C82,'Oxford Economics'!$B$7:$B$1000,Settings!$B$14)+SUMIFS(INDEX('Oxford Economics'!$A$7:$AZ$1000,0,IFERROR(MATCH(AD$5,'Oxford Economics'!$A$6:$AZ$6,0),MATCH(AD$5&amp;"",'Oxford Economics'!$A$6:$AZ$6,0))),'Oxford Economics'!$A$7:$A$1000,$C82,'Oxford Economics'!$B$7:$B$1000,Settings!$B$16)+IF(Settings!$B$18="",0,SUMIFS(INDEX('Oxford Economics'!$A$7:$AZ$1000,0,IFERROR(MATCH(AD$5,'Oxford Economics'!$A$6:$AZ$6,0),MATCH(AD$5&amp;"",'Oxford Economics'!$A$6:$AZ$6,0))),'Oxford Economics'!$A$7:$A$1000,$C82,'Oxford Economics'!$B$7:$B$1000,Settings!$B$18)))),""))</f>
        <v>41641.19</v>
      </c>
      <c r="AE82" s="38" t="n">
        <f aca="false">IF($A82="","",IFERROR(1/(1/IF($B82="Residential",SUMIFS(INDEX('Oxford Economics'!$A$7:$AZ$1000,0,IFERROR(MATCH(AE$5,'Oxford Economics'!$A$6:$AZ$6,0),MATCH(AE$5&amp;"",'Oxford Economics'!$A$6:$AZ$6,0))),'Oxford Economics'!$A$7:$A$1000,$C82,'Oxford Economics'!$B$7:$B$1000,Settings!$B$12)-SUMIFS(INDEX('Oxford Economics'!$A$7:$AZ$1000,0,IFERROR(MATCH(AE$5,'Oxford Economics'!$A$6:$AZ$6,0),MATCH(AE$5&amp;"",'Oxford Economics'!$A$6:$AZ$6,0))),'Oxford Economics'!$A$7:$A$1000,$C82,'Oxford Economics'!$B$7:$B$1000,Settings!$B$14),SUMIFS(INDEX('Oxford Economics'!$A$7:$AZ$1000,0,IFERROR(MATCH(AE$5,'Oxford Economics'!$A$6:$AZ$6,0),MATCH(AE$5&amp;"",'Oxford Economics'!$A$6:$AZ$6,0))),'Oxford Economics'!$A$7:$A$1000,$C82,'Oxford Economics'!$B$7:$B$1000,Settings!$B$14)+SUMIFS(INDEX('Oxford Economics'!$A$7:$AZ$1000,0,IFERROR(MATCH(AE$5,'Oxford Economics'!$A$6:$AZ$6,0),MATCH(AE$5&amp;"",'Oxford Economics'!$A$6:$AZ$6,0))),'Oxford Economics'!$A$7:$A$1000,$C82,'Oxford Economics'!$B$7:$B$1000,Settings!$B$16)+IF(Settings!$B$18="",0,SUMIFS(INDEX('Oxford Economics'!$A$7:$AZ$1000,0,IFERROR(MATCH(AE$5,'Oxford Economics'!$A$6:$AZ$6,0),MATCH(AE$5&amp;"",'Oxford Economics'!$A$6:$AZ$6,0))),'Oxford Economics'!$A$7:$A$1000,$C82,'Oxford Economics'!$B$7:$B$1000,Settings!$B$18)))),""))</f>
        <v>40700.97</v>
      </c>
      <c r="AF82" s="38" t="n">
        <f aca="false">IF($A82="","",IFERROR(1/(1/IF($B82="Residential",SUMIFS(INDEX('Oxford Economics'!$A$7:$AZ$1000,0,IFERROR(MATCH(AF$5,'Oxford Economics'!$A$6:$AZ$6,0),MATCH(AF$5&amp;"",'Oxford Economics'!$A$6:$AZ$6,0))),'Oxford Economics'!$A$7:$A$1000,$C82,'Oxford Economics'!$B$7:$B$1000,Settings!$B$12)-SUMIFS(INDEX('Oxford Economics'!$A$7:$AZ$1000,0,IFERROR(MATCH(AF$5,'Oxford Economics'!$A$6:$AZ$6,0),MATCH(AF$5&amp;"",'Oxford Economics'!$A$6:$AZ$6,0))),'Oxford Economics'!$A$7:$A$1000,$C82,'Oxford Economics'!$B$7:$B$1000,Settings!$B$14),SUMIFS(INDEX('Oxford Economics'!$A$7:$AZ$1000,0,IFERROR(MATCH(AF$5,'Oxford Economics'!$A$6:$AZ$6,0),MATCH(AF$5&amp;"",'Oxford Economics'!$A$6:$AZ$6,0))),'Oxford Economics'!$A$7:$A$1000,$C82,'Oxford Economics'!$B$7:$B$1000,Settings!$B$14)+SUMIFS(INDEX('Oxford Economics'!$A$7:$AZ$1000,0,IFERROR(MATCH(AF$5,'Oxford Economics'!$A$6:$AZ$6,0),MATCH(AF$5&amp;"",'Oxford Economics'!$A$6:$AZ$6,0))),'Oxford Economics'!$A$7:$A$1000,$C82,'Oxford Economics'!$B$7:$B$1000,Settings!$B$16)+IF(Settings!$B$18="",0,SUMIFS(INDEX('Oxford Economics'!$A$7:$AZ$1000,0,IFERROR(MATCH(AF$5,'Oxford Economics'!$A$6:$AZ$6,0),MATCH(AF$5&amp;"",'Oxford Economics'!$A$6:$AZ$6,0))),'Oxford Economics'!$A$7:$A$1000,$C82,'Oxford Economics'!$B$7:$B$1000,Settings!$B$18)))),""))</f>
        <v>35731.25</v>
      </c>
      <c r="AG82" s="38" t="n">
        <f aca="false">IF($A82="","",IFERROR(1/(1/IF($B82="Residential",SUMIFS(INDEX('Oxford Economics'!$A$7:$AZ$1000,0,IFERROR(MATCH(AG$5,'Oxford Economics'!$A$6:$AZ$6,0),MATCH(AG$5&amp;"",'Oxford Economics'!$A$6:$AZ$6,0))),'Oxford Economics'!$A$7:$A$1000,$C82,'Oxford Economics'!$B$7:$B$1000,Settings!$B$12)-SUMIFS(INDEX('Oxford Economics'!$A$7:$AZ$1000,0,IFERROR(MATCH(AG$5,'Oxford Economics'!$A$6:$AZ$6,0),MATCH(AG$5&amp;"",'Oxford Economics'!$A$6:$AZ$6,0))),'Oxford Economics'!$A$7:$A$1000,$C82,'Oxford Economics'!$B$7:$B$1000,Settings!$B$14),SUMIFS(INDEX('Oxford Economics'!$A$7:$AZ$1000,0,IFERROR(MATCH(AG$5,'Oxford Economics'!$A$6:$AZ$6,0),MATCH(AG$5&amp;"",'Oxford Economics'!$A$6:$AZ$6,0))),'Oxford Economics'!$A$7:$A$1000,$C82,'Oxford Economics'!$B$7:$B$1000,Settings!$B$14)+SUMIFS(INDEX('Oxford Economics'!$A$7:$AZ$1000,0,IFERROR(MATCH(AG$5,'Oxford Economics'!$A$6:$AZ$6,0),MATCH(AG$5&amp;"",'Oxford Economics'!$A$6:$AZ$6,0))),'Oxford Economics'!$A$7:$A$1000,$C82,'Oxford Economics'!$B$7:$B$1000,Settings!$B$16)+IF(Settings!$B$18="",0,SUMIFS(INDEX('Oxford Economics'!$A$7:$AZ$1000,0,IFERROR(MATCH(AG$5,'Oxford Economics'!$A$6:$AZ$6,0),MATCH(AG$5&amp;"",'Oxford Economics'!$A$6:$AZ$6,0))),'Oxford Economics'!$A$7:$A$1000,$C82,'Oxford Economics'!$B$7:$B$1000,Settings!$B$18)))),""))</f>
        <v>33987.73</v>
      </c>
      <c r="AH82" s="38" t="n">
        <f aca="false">IF($A82="","",IFERROR(1/(1/IF($B82="Residential",SUMIFS(INDEX('Oxford Economics'!$A$7:$AZ$1000,0,IFERROR(MATCH(AH$5,'Oxford Economics'!$A$6:$AZ$6,0),MATCH(AH$5&amp;"",'Oxford Economics'!$A$6:$AZ$6,0))),'Oxford Economics'!$A$7:$A$1000,$C82,'Oxford Economics'!$B$7:$B$1000,Settings!$B$12)-SUMIFS(INDEX('Oxford Economics'!$A$7:$AZ$1000,0,IFERROR(MATCH(AH$5,'Oxford Economics'!$A$6:$AZ$6,0),MATCH(AH$5&amp;"",'Oxford Economics'!$A$6:$AZ$6,0))),'Oxford Economics'!$A$7:$A$1000,$C82,'Oxford Economics'!$B$7:$B$1000,Settings!$B$14),SUMIFS(INDEX('Oxford Economics'!$A$7:$AZ$1000,0,IFERROR(MATCH(AH$5,'Oxford Economics'!$A$6:$AZ$6,0),MATCH(AH$5&amp;"",'Oxford Economics'!$A$6:$AZ$6,0))),'Oxford Economics'!$A$7:$A$1000,$C82,'Oxford Economics'!$B$7:$B$1000,Settings!$B$14)+SUMIFS(INDEX('Oxford Economics'!$A$7:$AZ$1000,0,IFERROR(MATCH(AH$5,'Oxford Economics'!$A$6:$AZ$6,0),MATCH(AH$5&amp;"",'Oxford Economics'!$A$6:$AZ$6,0))),'Oxford Economics'!$A$7:$A$1000,$C82,'Oxford Economics'!$B$7:$B$1000,Settings!$B$16)+IF(Settings!$B$18="",0,SUMIFS(INDEX('Oxford Economics'!$A$7:$AZ$1000,0,IFERROR(MATCH(AH$5,'Oxford Economics'!$A$6:$AZ$6,0),MATCH(AH$5&amp;"",'Oxford Economics'!$A$6:$AZ$6,0))),'Oxford Economics'!$A$7:$A$1000,$C82,'Oxford Economics'!$B$7:$B$1000,Settings!$B$18)))),""))</f>
        <v>33988.6</v>
      </c>
      <c r="AI82" s="38" t="n">
        <f aca="false">IF($A82="","",IFERROR(1/(1/IF($B82="Residential",SUMIFS(INDEX('Oxford Economics'!$A$7:$AZ$1000,0,IFERROR(MATCH(AI$5,'Oxford Economics'!$A$6:$AZ$6,0),MATCH(AI$5&amp;"",'Oxford Economics'!$A$6:$AZ$6,0))),'Oxford Economics'!$A$7:$A$1000,$C82,'Oxford Economics'!$B$7:$B$1000,Settings!$B$12)-SUMIFS(INDEX('Oxford Economics'!$A$7:$AZ$1000,0,IFERROR(MATCH(AI$5,'Oxford Economics'!$A$6:$AZ$6,0),MATCH(AI$5&amp;"",'Oxford Economics'!$A$6:$AZ$6,0))),'Oxford Economics'!$A$7:$A$1000,$C82,'Oxford Economics'!$B$7:$B$1000,Settings!$B$14),SUMIFS(INDEX('Oxford Economics'!$A$7:$AZ$1000,0,IFERROR(MATCH(AI$5,'Oxford Economics'!$A$6:$AZ$6,0),MATCH(AI$5&amp;"",'Oxford Economics'!$A$6:$AZ$6,0))),'Oxford Economics'!$A$7:$A$1000,$C82,'Oxford Economics'!$B$7:$B$1000,Settings!$B$14)+SUMIFS(INDEX('Oxford Economics'!$A$7:$AZ$1000,0,IFERROR(MATCH(AI$5,'Oxford Economics'!$A$6:$AZ$6,0),MATCH(AI$5&amp;"",'Oxford Economics'!$A$6:$AZ$6,0))),'Oxford Economics'!$A$7:$A$1000,$C82,'Oxford Economics'!$B$7:$B$1000,Settings!$B$16)+IF(Settings!$B$18="",0,SUMIFS(INDEX('Oxford Economics'!$A$7:$AZ$1000,0,IFERROR(MATCH(AI$5,'Oxford Economics'!$A$6:$AZ$6,0),MATCH(AI$5&amp;"",'Oxford Economics'!$A$6:$AZ$6,0))),'Oxford Economics'!$A$7:$A$1000,$C82,'Oxford Economics'!$B$7:$B$1000,Settings!$B$18)))),""))</f>
        <v>33515.27</v>
      </c>
      <c r="AJ82" s="38" t="n">
        <f aca="false">IF($A82="","",IFERROR(1/(1/IF($B82="Residential",SUMIFS(INDEX('Oxford Economics'!$A$7:$AZ$1000,0,IFERROR(MATCH(AJ$5,'Oxford Economics'!$A$6:$AZ$6,0),MATCH(AJ$5&amp;"",'Oxford Economics'!$A$6:$AZ$6,0))),'Oxford Economics'!$A$7:$A$1000,$C82,'Oxford Economics'!$B$7:$B$1000,Settings!$B$12)-SUMIFS(INDEX('Oxford Economics'!$A$7:$AZ$1000,0,IFERROR(MATCH(AJ$5,'Oxford Economics'!$A$6:$AZ$6,0),MATCH(AJ$5&amp;"",'Oxford Economics'!$A$6:$AZ$6,0))),'Oxford Economics'!$A$7:$A$1000,$C82,'Oxford Economics'!$B$7:$B$1000,Settings!$B$14),SUMIFS(INDEX('Oxford Economics'!$A$7:$AZ$1000,0,IFERROR(MATCH(AJ$5,'Oxford Economics'!$A$6:$AZ$6,0),MATCH(AJ$5&amp;"",'Oxford Economics'!$A$6:$AZ$6,0))),'Oxford Economics'!$A$7:$A$1000,$C82,'Oxford Economics'!$B$7:$B$1000,Settings!$B$14)+SUMIFS(INDEX('Oxford Economics'!$A$7:$AZ$1000,0,IFERROR(MATCH(AJ$5,'Oxford Economics'!$A$6:$AZ$6,0),MATCH(AJ$5&amp;"",'Oxford Economics'!$A$6:$AZ$6,0))),'Oxford Economics'!$A$7:$A$1000,$C82,'Oxford Economics'!$B$7:$B$1000,Settings!$B$16)+IF(Settings!$B$18="",0,SUMIFS(INDEX('Oxford Economics'!$A$7:$AZ$1000,0,IFERROR(MATCH(AJ$5,'Oxford Economics'!$A$6:$AZ$6,0),MATCH(AJ$5&amp;"",'Oxford Economics'!$A$6:$AZ$6,0))),'Oxford Economics'!$A$7:$A$1000,$C82,'Oxford Economics'!$B$7:$B$1000,Settings!$B$18)))),""))</f>
        <v>33345.27</v>
      </c>
      <c r="AK82" s="38" t="n">
        <f aca="false">IF($A82="","",IFERROR(1/(1/IF($B82="Residential",SUMIFS(INDEX('Oxford Economics'!$A$7:$AZ$1000,0,IFERROR(MATCH(AK$5,'Oxford Economics'!$A$6:$AZ$6,0),MATCH(AK$5&amp;"",'Oxford Economics'!$A$6:$AZ$6,0))),'Oxford Economics'!$A$7:$A$1000,$C82,'Oxford Economics'!$B$7:$B$1000,Settings!$B$12)-SUMIFS(INDEX('Oxford Economics'!$A$7:$AZ$1000,0,IFERROR(MATCH(AK$5,'Oxford Economics'!$A$6:$AZ$6,0),MATCH(AK$5&amp;"",'Oxford Economics'!$A$6:$AZ$6,0))),'Oxford Economics'!$A$7:$A$1000,$C82,'Oxford Economics'!$B$7:$B$1000,Settings!$B$14),SUMIFS(INDEX('Oxford Economics'!$A$7:$AZ$1000,0,IFERROR(MATCH(AK$5,'Oxford Economics'!$A$6:$AZ$6,0),MATCH(AK$5&amp;"",'Oxford Economics'!$A$6:$AZ$6,0))),'Oxford Economics'!$A$7:$A$1000,$C82,'Oxford Economics'!$B$7:$B$1000,Settings!$B$14)+SUMIFS(INDEX('Oxford Economics'!$A$7:$AZ$1000,0,IFERROR(MATCH(AK$5,'Oxford Economics'!$A$6:$AZ$6,0),MATCH(AK$5&amp;"",'Oxford Economics'!$A$6:$AZ$6,0))),'Oxford Economics'!$A$7:$A$1000,$C82,'Oxford Economics'!$B$7:$B$1000,Settings!$B$16)+IF(Settings!$B$18="",0,SUMIFS(INDEX('Oxford Economics'!$A$7:$AZ$1000,0,IFERROR(MATCH(AK$5,'Oxford Economics'!$A$6:$AZ$6,0),MATCH(AK$5&amp;"",'Oxford Economics'!$A$6:$AZ$6,0))),'Oxford Economics'!$A$7:$A$1000,$C82,'Oxford Economics'!$B$7:$B$1000,Settings!$B$18)))),""))</f>
        <v>33504.98</v>
      </c>
      <c r="AL82" s="38" t="n">
        <f aca="false">IF($A82="","",IFERROR(1/(1/IF($B82="Residential",SUMIFS(INDEX('Oxford Economics'!$A$7:$AZ$1000,0,IFERROR(MATCH(AL$5,'Oxford Economics'!$A$6:$AZ$6,0),MATCH(AL$5&amp;"",'Oxford Economics'!$A$6:$AZ$6,0))),'Oxford Economics'!$A$7:$A$1000,$C82,'Oxford Economics'!$B$7:$B$1000,Settings!$B$12)-SUMIFS(INDEX('Oxford Economics'!$A$7:$AZ$1000,0,IFERROR(MATCH(AL$5,'Oxford Economics'!$A$6:$AZ$6,0),MATCH(AL$5&amp;"",'Oxford Economics'!$A$6:$AZ$6,0))),'Oxford Economics'!$A$7:$A$1000,$C82,'Oxford Economics'!$B$7:$B$1000,Settings!$B$14),SUMIFS(INDEX('Oxford Economics'!$A$7:$AZ$1000,0,IFERROR(MATCH(AL$5,'Oxford Economics'!$A$6:$AZ$6,0),MATCH(AL$5&amp;"",'Oxford Economics'!$A$6:$AZ$6,0))),'Oxford Economics'!$A$7:$A$1000,$C82,'Oxford Economics'!$B$7:$B$1000,Settings!$B$14)+SUMIFS(INDEX('Oxford Economics'!$A$7:$AZ$1000,0,IFERROR(MATCH(AL$5,'Oxford Economics'!$A$6:$AZ$6,0),MATCH(AL$5&amp;"",'Oxford Economics'!$A$6:$AZ$6,0))),'Oxford Economics'!$A$7:$A$1000,$C82,'Oxford Economics'!$B$7:$B$1000,Settings!$B$16)+IF(Settings!$B$18="",0,SUMIFS(INDEX('Oxford Economics'!$A$7:$AZ$1000,0,IFERROR(MATCH(AL$5,'Oxford Economics'!$A$6:$AZ$6,0),MATCH(AL$5&amp;"",'Oxford Economics'!$A$6:$AZ$6,0))),'Oxford Economics'!$A$7:$A$1000,$C82,'Oxford Economics'!$B$7:$B$1000,Settings!$B$18)))),""))</f>
        <v>33951.58</v>
      </c>
      <c r="AM82" s="38" t="n">
        <f aca="false">IF($A82="","",IFERROR(1/(1/IF($B82="Residential",SUMIFS(INDEX('Oxford Economics'!$A$7:$AZ$1000,0,IFERROR(MATCH(AM$5,'Oxford Economics'!$A$6:$AZ$6,0),MATCH(AM$5&amp;"",'Oxford Economics'!$A$6:$AZ$6,0))),'Oxford Economics'!$A$7:$A$1000,$C82,'Oxford Economics'!$B$7:$B$1000,Settings!$B$12)-SUMIFS(INDEX('Oxford Economics'!$A$7:$AZ$1000,0,IFERROR(MATCH(AM$5,'Oxford Economics'!$A$6:$AZ$6,0),MATCH(AM$5&amp;"",'Oxford Economics'!$A$6:$AZ$6,0))),'Oxford Economics'!$A$7:$A$1000,$C82,'Oxford Economics'!$B$7:$B$1000,Settings!$B$14),SUMIFS(INDEX('Oxford Economics'!$A$7:$AZ$1000,0,IFERROR(MATCH(AM$5,'Oxford Economics'!$A$6:$AZ$6,0),MATCH(AM$5&amp;"",'Oxford Economics'!$A$6:$AZ$6,0))),'Oxford Economics'!$A$7:$A$1000,$C82,'Oxford Economics'!$B$7:$B$1000,Settings!$B$14)+SUMIFS(INDEX('Oxford Economics'!$A$7:$AZ$1000,0,IFERROR(MATCH(AM$5,'Oxford Economics'!$A$6:$AZ$6,0),MATCH(AM$5&amp;"",'Oxford Economics'!$A$6:$AZ$6,0))),'Oxford Economics'!$A$7:$A$1000,$C82,'Oxford Economics'!$B$7:$B$1000,Settings!$B$16)+IF(Settings!$B$18="",0,SUMIFS(INDEX('Oxford Economics'!$A$7:$AZ$1000,0,IFERROR(MATCH(AM$5,'Oxford Economics'!$A$6:$AZ$6,0),MATCH(AM$5&amp;"",'Oxford Economics'!$A$6:$AZ$6,0))),'Oxford Economics'!$A$7:$A$1000,$C82,'Oxford Economics'!$B$7:$B$1000,Settings!$B$18)))),""))</f>
        <v>34604.52</v>
      </c>
    </row>
    <row r="83" customFormat="false" ht="15" hidden="false" customHeight="false" outlineLevel="0" collapsed="false">
      <c r="A83" s="37" t="str">
        <f aca="false">IF('Raw data'!$A83="","",'Raw data'!$A83)</f>
        <v>France</v>
      </c>
      <c r="B83" s="37" t="str">
        <f aca="false">IF($A83="","",'Raw data'!$C83)</f>
        <v>Commercial</v>
      </c>
      <c r="C83" s="37" t="str">
        <f aca="false">IF($A83="","",IF('Raw data'!$E83="",$A83,'Raw data'!$E83))</f>
        <v>France</v>
      </c>
      <c r="D83" s="38" t="n">
        <f aca="false">IF($A83="","",IF(AND(ISNUMBER(P83),ISNUMBER(AB83)),P83+AB83,""))</f>
        <v>89594.8</v>
      </c>
      <c r="E83" s="38" t="n">
        <f aca="false">IF($A83="","",IF(AND(ISNUMBER(Q83),ISNUMBER(AC83)),Q83+AC83,""))</f>
        <v>94161.07</v>
      </c>
      <c r="F83" s="38" t="n">
        <f aca="false">IF($A83="","",IF(AND(ISNUMBER(R83),ISNUMBER(AD83)),R83+AD83,""))</f>
        <v>91159.33</v>
      </c>
      <c r="G83" s="38" t="n">
        <f aca="false">IF($A83="","",IF(AND(ISNUMBER(S83),ISNUMBER(AE83)),S83+AE83,""))</f>
        <v>94479.19</v>
      </c>
      <c r="H83" s="38" t="n">
        <f aca="false">IF($A83="","",IF(AND(ISNUMBER(T83),ISNUMBER(AF83)),T83+AF83,""))</f>
        <v>94583.6</v>
      </c>
      <c r="I83" s="38" t="n">
        <f aca="false">IF($A83="","",IF(AND(ISNUMBER(U83),ISNUMBER(AG83)),U83+AG83,""))</f>
        <v>92949.87</v>
      </c>
      <c r="J83" s="38" t="n">
        <f aca="false">IF($A83="","",IF(AND(ISNUMBER(V83),ISNUMBER(AH83)),V83+AH83,""))</f>
        <v>93918.48</v>
      </c>
      <c r="K83" s="38" t="n">
        <f aca="false">IF($A83="","",IF(AND(ISNUMBER(W83),ISNUMBER(AI83)),W83+AI83,""))</f>
        <v>94492.01</v>
      </c>
      <c r="L83" s="38" t="n">
        <f aca="false">IF($A83="","",IF(AND(ISNUMBER(X83),ISNUMBER(AJ83)),X83+AJ83,""))</f>
        <v>94816.89</v>
      </c>
      <c r="M83" s="38" t="n">
        <f aca="false">IF($A83="","",IF(AND(ISNUMBER(Y83),ISNUMBER(AK83)),Y83+AK83,""))</f>
        <v>96103.47</v>
      </c>
      <c r="N83" s="38" t="n">
        <f aca="false">IF($A83="","",IF(AND(ISNUMBER(Z83),ISNUMBER(AL83)),Z83+AL83,""))</f>
        <v>98103.02</v>
      </c>
      <c r="O83" s="38" t="n">
        <f aca="false">IF($A83="","",IF(AND(ISNUMBER(AA83),ISNUMBER(AM83)),AA83+AM83,""))</f>
        <v>99770.69</v>
      </c>
      <c r="P83" s="38" t="n">
        <f aca="false">IF($A83="","",IFERROR(1/(1/IF($B83="Residential",SUMIFS(INDEX('Oxford Economics'!$A$7:$AZ$1000,0,IFERROR(MATCH(P$5,'Oxford Economics'!$A$6:$AZ$6,0),MATCH(P$5&amp;"",'Oxford Economics'!$A$6:$AZ$6,0))),'Oxford Economics'!$A$7:$A$1000,$C83,'Oxford Economics'!$B$7:$B$1000,Settings!$B$13)-SUMIFS(INDEX('Oxford Economics'!$A$7:$AZ$1000,0,IFERROR(MATCH(P$5,'Oxford Economics'!$A$6:$AZ$6,0),MATCH(P$5&amp;"",'Oxford Economics'!$A$6:$AZ$6,0))),'Oxford Economics'!$A$7:$A$1000,$C83,'Oxford Economics'!$B$7:$B$1000,Settings!$B$15),SUMIFS(INDEX('Oxford Economics'!$A$7:$AZ$1000,0,IFERROR(MATCH(P$5,'Oxford Economics'!$A$6:$AZ$6,0),MATCH(P$5&amp;"",'Oxford Economics'!$A$6:$AZ$6,0))),'Oxford Economics'!$A$7:$A$1000,$C83,'Oxford Economics'!$B$7:$B$1000,Settings!$B$15)+SUMIFS(INDEX('Oxford Economics'!$A$7:$AZ$1000,0,IFERROR(MATCH(P$5,'Oxford Economics'!$A$6:$AZ$6,0),MATCH(P$5&amp;"",'Oxford Economics'!$A$6:$AZ$6,0))),'Oxford Economics'!$A$7:$A$1000,$C83,'Oxford Economics'!$B$7:$B$1000,Settings!$B$17)+IF(Settings!$B$19="",0,SUMIFS(INDEX('Oxford Economics'!$A$7:$AZ$1000,0,IFERROR(MATCH(P$5,'Oxford Economics'!$A$6:$AZ$6,0),MATCH(P$5&amp;"",'Oxford Economics'!$A$6:$AZ$6,0))),'Oxford Economics'!$A$7:$A$1000,$C83,'Oxford Economics'!$B$7:$B$1000,Settings!$B$19)))),""))</f>
        <v>47410.23</v>
      </c>
      <c r="Q83" s="38" t="n">
        <f aca="false">IF($A83="","",IFERROR(1/(1/IF($B83="Residential",SUMIFS(INDEX('Oxford Economics'!$A$7:$AZ$1000,0,IFERROR(MATCH(Q$5,'Oxford Economics'!$A$6:$AZ$6,0),MATCH(Q$5&amp;"",'Oxford Economics'!$A$6:$AZ$6,0))),'Oxford Economics'!$A$7:$A$1000,$C83,'Oxford Economics'!$B$7:$B$1000,Settings!$B$13)-SUMIFS(INDEX('Oxford Economics'!$A$7:$AZ$1000,0,IFERROR(MATCH(Q$5,'Oxford Economics'!$A$6:$AZ$6,0),MATCH(Q$5&amp;"",'Oxford Economics'!$A$6:$AZ$6,0))),'Oxford Economics'!$A$7:$A$1000,$C83,'Oxford Economics'!$B$7:$B$1000,Settings!$B$15),SUMIFS(INDEX('Oxford Economics'!$A$7:$AZ$1000,0,IFERROR(MATCH(Q$5,'Oxford Economics'!$A$6:$AZ$6,0),MATCH(Q$5&amp;"",'Oxford Economics'!$A$6:$AZ$6,0))),'Oxford Economics'!$A$7:$A$1000,$C83,'Oxford Economics'!$B$7:$B$1000,Settings!$B$15)+SUMIFS(INDEX('Oxford Economics'!$A$7:$AZ$1000,0,IFERROR(MATCH(Q$5,'Oxford Economics'!$A$6:$AZ$6,0),MATCH(Q$5&amp;"",'Oxford Economics'!$A$6:$AZ$6,0))),'Oxford Economics'!$A$7:$A$1000,$C83,'Oxford Economics'!$B$7:$B$1000,Settings!$B$17)+IF(Settings!$B$19="",0,SUMIFS(INDEX('Oxford Economics'!$A$7:$AZ$1000,0,IFERROR(MATCH(Q$5,'Oxford Economics'!$A$6:$AZ$6,0),MATCH(Q$5&amp;"",'Oxford Economics'!$A$6:$AZ$6,0))),'Oxford Economics'!$A$7:$A$1000,$C83,'Oxford Economics'!$B$7:$B$1000,Settings!$B$19)))),""))</f>
        <v>51400.31</v>
      </c>
      <c r="R83" s="38" t="n">
        <f aca="false">IF($A83="","",IFERROR(1/(1/IF($B83="Residential",SUMIFS(INDEX('Oxford Economics'!$A$7:$AZ$1000,0,IFERROR(MATCH(R$5,'Oxford Economics'!$A$6:$AZ$6,0),MATCH(R$5&amp;"",'Oxford Economics'!$A$6:$AZ$6,0))),'Oxford Economics'!$A$7:$A$1000,$C83,'Oxford Economics'!$B$7:$B$1000,Settings!$B$13)-SUMIFS(INDEX('Oxford Economics'!$A$7:$AZ$1000,0,IFERROR(MATCH(R$5,'Oxford Economics'!$A$6:$AZ$6,0),MATCH(R$5&amp;"",'Oxford Economics'!$A$6:$AZ$6,0))),'Oxford Economics'!$A$7:$A$1000,$C83,'Oxford Economics'!$B$7:$B$1000,Settings!$B$15),SUMIFS(INDEX('Oxford Economics'!$A$7:$AZ$1000,0,IFERROR(MATCH(R$5,'Oxford Economics'!$A$6:$AZ$6,0),MATCH(R$5&amp;"",'Oxford Economics'!$A$6:$AZ$6,0))),'Oxford Economics'!$A$7:$A$1000,$C83,'Oxford Economics'!$B$7:$B$1000,Settings!$B$15)+SUMIFS(INDEX('Oxford Economics'!$A$7:$AZ$1000,0,IFERROR(MATCH(R$5,'Oxford Economics'!$A$6:$AZ$6,0),MATCH(R$5&amp;"",'Oxford Economics'!$A$6:$AZ$6,0))),'Oxford Economics'!$A$7:$A$1000,$C83,'Oxford Economics'!$B$7:$B$1000,Settings!$B$17)+IF(Settings!$B$19="",0,SUMIFS(INDEX('Oxford Economics'!$A$7:$AZ$1000,0,IFERROR(MATCH(R$5,'Oxford Economics'!$A$6:$AZ$6,0),MATCH(R$5&amp;"",'Oxford Economics'!$A$6:$AZ$6,0))),'Oxford Economics'!$A$7:$A$1000,$C83,'Oxford Economics'!$B$7:$B$1000,Settings!$B$19)))),""))</f>
        <v>49518.14</v>
      </c>
      <c r="S83" s="38" t="n">
        <f aca="false">IF($A83="","",IFERROR(1/(1/IF($B83="Residential",SUMIFS(INDEX('Oxford Economics'!$A$7:$AZ$1000,0,IFERROR(MATCH(S$5,'Oxford Economics'!$A$6:$AZ$6,0),MATCH(S$5&amp;"",'Oxford Economics'!$A$6:$AZ$6,0))),'Oxford Economics'!$A$7:$A$1000,$C83,'Oxford Economics'!$B$7:$B$1000,Settings!$B$13)-SUMIFS(INDEX('Oxford Economics'!$A$7:$AZ$1000,0,IFERROR(MATCH(S$5,'Oxford Economics'!$A$6:$AZ$6,0),MATCH(S$5&amp;"",'Oxford Economics'!$A$6:$AZ$6,0))),'Oxford Economics'!$A$7:$A$1000,$C83,'Oxford Economics'!$B$7:$B$1000,Settings!$B$15),SUMIFS(INDEX('Oxford Economics'!$A$7:$AZ$1000,0,IFERROR(MATCH(S$5,'Oxford Economics'!$A$6:$AZ$6,0),MATCH(S$5&amp;"",'Oxford Economics'!$A$6:$AZ$6,0))),'Oxford Economics'!$A$7:$A$1000,$C83,'Oxford Economics'!$B$7:$B$1000,Settings!$B$15)+SUMIFS(INDEX('Oxford Economics'!$A$7:$AZ$1000,0,IFERROR(MATCH(S$5,'Oxford Economics'!$A$6:$AZ$6,0),MATCH(S$5&amp;"",'Oxford Economics'!$A$6:$AZ$6,0))),'Oxford Economics'!$A$7:$A$1000,$C83,'Oxford Economics'!$B$7:$B$1000,Settings!$B$17)+IF(Settings!$B$19="",0,SUMIFS(INDEX('Oxford Economics'!$A$7:$AZ$1000,0,IFERROR(MATCH(S$5,'Oxford Economics'!$A$6:$AZ$6,0),MATCH(S$5&amp;"",'Oxford Economics'!$A$6:$AZ$6,0))),'Oxford Economics'!$A$7:$A$1000,$C83,'Oxford Economics'!$B$7:$B$1000,Settings!$B$19)))),""))</f>
        <v>53778.22</v>
      </c>
      <c r="T83" s="38" t="n">
        <f aca="false">IF($A83="","",IFERROR(1/(1/IF($B83="Residential",SUMIFS(INDEX('Oxford Economics'!$A$7:$AZ$1000,0,IFERROR(MATCH(T$5,'Oxford Economics'!$A$6:$AZ$6,0),MATCH(T$5&amp;"",'Oxford Economics'!$A$6:$AZ$6,0))),'Oxford Economics'!$A$7:$A$1000,$C83,'Oxford Economics'!$B$7:$B$1000,Settings!$B$13)-SUMIFS(INDEX('Oxford Economics'!$A$7:$AZ$1000,0,IFERROR(MATCH(T$5,'Oxford Economics'!$A$6:$AZ$6,0),MATCH(T$5&amp;"",'Oxford Economics'!$A$6:$AZ$6,0))),'Oxford Economics'!$A$7:$A$1000,$C83,'Oxford Economics'!$B$7:$B$1000,Settings!$B$15),SUMIFS(INDEX('Oxford Economics'!$A$7:$AZ$1000,0,IFERROR(MATCH(T$5,'Oxford Economics'!$A$6:$AZ$6,0),MATCH(T$5&amp;"",'Oxford Economics'!$A$6:$AZ$6,0))),'Oxford Economics'!$A$7:$A$1000,$C83,'Oxford Economics'!$B$7:$B$1000,Settings!$B$15)+SUMIFS(INDEX('Oxford Economics'!$A$7:$AZ$1000,0,IFERROR(MATCH(T$5,'Oxford Economics'!$A$6:$AZ$6,0),MATCH(T$5&amp;"",'Oxford Economics'!$A$6:$AZ$6,0))),'Oxford Economics'!$A$7:$A$1000,$C83,'Oxford Economics'!$B$7:$B$1000,Settings!$B$17)+IF(Settings!$B$19="",0,SUMIFS(INDEX('Oxford Economics'!$A$7:$AZ$1000,0,IFERROR(MATCH(T$5,'Oxford Economics'!$A$6:$AZ$6,0),MATCH(T$5&amp;"",'Oxford Economics'!$A$6:$AZ$6,0))),'Oxford Economics'!$A$7:$A$1000,$C83,'Oxford Economics'!$B$7:$B$1000,Settings!$B$19)))),""))</f>
        <v>58852.35</v>
      </c>
      <c r="U83" s="38" t="n">
        <f aca="false">IF($A83="","",IFERROR(1/(1/IF($B83="Residential",SUMIFS(INDEX('Oxford Economics'!$A$7:$AZ$1000,0,IFERROR(MATCH(U$5,'Oxford Economics'!$A$6:$AZ$6,0),MATCH(U$5&amp;"",'Oxford Economics'!$A$6:$AZ$6,0))),'Oxford Economics'!$A$7:$A$1000,$C83,'Oxford Economics'!$B$7:$B$1000,Settings!$B$13)-SUMIFS(INDEX('Oxford Economics'!$A$7:$AZ$1000,0,IFERROR(MATCH(U$5,'Oxford Economics'!$A$6:$AZ$6,0),MATCH(U$5&amp;"",'Oxford Economics'!$A$6:$AZ$6,0))),'Oxford Economics'!$A$7:$A$1000,$C83,'Oxford Economics'!$B$7:$B$1000,Settings!$B$15),SUMIFS(INDEX('Oxford Economics'!$A$7:$AZ$1000,0,IFERROR(MATCH(U$5,'Oxford Economics'!$A$6:$AZ$6,0),MATCH(U$5&amp;"",'Oxford Economics'!$A$6:$AZ$6,0))),'Oxford Economics'!$A$7:$A$1000,$C83,'Oxford Economics'!$B$7:$B$1000,Settings!$B$15)+SUMIFS(INDEX('Oxford Economics'!$A$7:$AZ$1000,0,IFERROR(MATCH(U$5,'Oxford Economics'!$A$6:$AZ$6,0),MATCH(U$5&amp;"",'Oxford Economics'!$A$6:$AZ$6,0))),'Oxford Economics'!$A$7:$A$1000,$C83,'Oxford Economics'!$B$7:$B$1000,Settings!$B$17)+IF(Settings!$B$19="",0,SUMIFS(INDEX('Oxford Economics'!$A$7:$AZ$1000,0,IFERROR(MATCH(U$5,'Oxford Economics'!$A$6:$AZ$6,0),MATCH(U$5&amp;"",'Oxford Economics'!$A$6:$AZ$6,0))),'Oxford Economics'!$A$7:$A$1000,$C83,'Oxford Economics'!$B$7:$B$1000,Settings!$B$19)))),""))</f>
        <v>58962.14</v>
      </c>
      <c r="V83" s="38" t="n">
        <f aca="false">IF($A83="","",IFERROR(1/(1/IF($B83="Residential",SUMIFS(INDEX('Oxford Economics'!$A$7:$AZ$1000,0,IFERROR(MATCH(V$5,'Oxford Economics'!$A$6:$AZ$6,0),MATCH(V$5&amp;"",'Oxford Economics'!$A$6:$AZ$6,0))),'Oxford Economics'!$A$7:$A$1000,$C83,'Oxford Economics'!$B$7:$B$1000,Settings!$B$13)-SUMIFS(INDEX('Oxford Economics'!$A$7:$AZ$1000,0,IFERROR(MATCH(V$5,'Oxford Economics'!$A$6:$AZ$6,0),MATCH(V$5&amp;"",'Oxford Economics'!$A$6:$AZ$6,0))),'Oxford Economics'!$A$7:$A$1000,$C83,'Oxford Economics'!$B$7:$B$1000,Settings!$B$15),SUMIFS(INDEX('Oxford Economics'!$A$7:$AZ$1000,0,IFERROR(MATCH(V$5,'Oxford Economics'!$A$6:$AZ$6,0),MATCH(V$5&amp;"",'Oxford Economics'!$A$6:$AZ$6,0))),'Oxford Economics'!$A$7:$A$1000,$C83,'Oxford Economics'!$B$7:$B$1000,Settings!$B$15)+SUMIFS(INDEX('Oxford Economics'!$A$7:$AZ$1000,0,IFERROR(MATCH(V$5,'Oxford Economics'!$A$6:$AZ$6,0),MATCH(V$5&amp;"",'Oxford Economics'!$A$6:$AZ$6,0))),'Oxford Economics'!$A$7:$A$1000,$C83,'Oxford Economics'!$B$7:$B$1000,Settings!$B$17)+IF(Settings!$B$19="",0,SUMIFS(INDEX('Oxford Economics'!$A$7:$AZ$1000,0,IFERROR(MATCH(V$5,'Oxford Economics'!$A$6:$AZ$6,0),MATCH(V$5&amp;"",'Oxford Economics'!$A$6:$AZ$6,0))),'Oxford Economics'!$A$7:$A$1000,$C83,'Oxford Economics'!$B$7:$B$1000,Settings!$B$19)))),""))</f>
        <v>59929.88</v>
      </c>
      <c r="W83" s="38" t="n">
        <f aca="false">IF($A83="","",IFERROR(1/(1/IF($B83="Residential",SUMIFS(INDEX('Oxford Economics'!$A$7:$AZ$1000,0,IFERROR(MATCH(W$5,'Oxford Economics'!$A$6:$AZ$6,0),MATCH(W$5&amp;"",'Oxford Economics'!$A$6:$AZ$6,0))),'Oxford Economics'!$A$7:$A$1000,$C83,'Oxford Economics'!$B$7:$B$1000,Settings!$B$13)-SUMIFS(INDEX('Oxford Economics'!$A$7:$AZ$1000,0,IFERROR(MATCH(W$5,'Oxford Economics'!$A$6:$AZ$6,0),MATCH(W$5&amp;"",'Oxford Economics'!$A$6:$AZ$6,0))),'Oxford Economics'!$A$7:$A$1000,$C83,'Oxford Economics'!$B$7:$B$1000,Settings!$B$15),SUMIFS(INDEX('Oxford Economics'!$A$7:$AZ$1000,0,IFERROR(MATCH(W$5,'Oxford Economics'!$A$6:$AZ$6,0),MATCH(W$5&amp;"",'Oxford Economics'!$A$6:$AZ$6,0))),'Oxford Economics'!$A$7:$A$1000,$C83,'Oxford Economics'!$B$7:$B$1000,Settings!$B$15)+SUMIFS(INDEX('Oxford Economics'!$A$7:$AZ$1000,0,IFERROR(MATCH(W$5,'Oxford Economics'!$A$6:$AZ$6,0),MATCH(W$5&amp;"",'Oxford Economics'!$A$6:$AZ$6,0))),'Oxford Economics'!$A$7:$A$1000,$C83,'Oxford Economics'!$B$7:$B$1000,Settings!$B$17)+IF(Settings!$B$19="",0,SUMIFS(INDEX('Oxford Economics'!$A$7:$AZ$1000,0,IFERROR(MATCH(W$5,'Oxford Economics'!$A$6:$AZ$6,0),MATCH(W$5&amp;"",'Oxford Economics'!$A$6:$AZ$6,0))),'Oxford Economics'!$A$7:$A$1000,$C83,'Oxford Economics'!$B$7:$B$1000,Settings!$B$19)))),""))</f>
        <v>60976.74</v>
      </c>
      <c r="X83" s="38" t="n">
        <f aca="false">IF($A83="","",IFERROR(1/(1/IF($B83="Residential",SUMIFS(INDEX('Oxford Economics'!$A$7:$AZ$1000,0,IFERROR(MATCH(X$5,'Oxford Economics'!$A$6:$AZ$6,0),MATCH(X$5&amp;"",'Oxford Economics'!$A$6:$AZ$6,0))),'Oxford Economics'!$A$7:$A$1000,$C83,'Oxford Economics'!$B$7:$B$1000,Settings!$B$13)-SUMIFS(INDEX('Oxford Economics'!$A$7:$AZ$1000,0,IFERROR(MATCH(X$5,'Oxford Economics'!$A$6:$AZ$6,0),MATCH(X$5&amp;"",'Oxford Economics'!$A$6:$AZ$6,0))),'Oxford Economics'!$A$7:$A$1000,$C83,'Oxford Economics'!$B$7:$B$1000,Settings!$B$15),SUMIFS(INDEX('Oxford Economics'!$A$7:$AZ$1000,0,IFERROR(MATCH(X$5,'Oxford Economics'!$A$6:$AZ$6,0),MATCH(X$5&amp;"",'Oxford Economics'!$A$6:$AZ$6,0))),'Oxford Economics'!$A$7:$A$1000,$C83,'Oxford Economics'!$B$7:$B$1000,Settings!$B$15)+SUMIFS(INDEX('Oxford Economics'!$A$7:$AZ$1000,0,IFERROR(MATCH(X$5,'Oxford Economics'!$A$6:$AZ$6,0),MATCH(X$5&amp;"",'Oxford Economics'!$A$6:$AZ$6,0))),'Oxford Economics'!$A$7:$A$1000,$C83,'Oxford Economics'!$B$7:$B$1000,Settings!$B$17)+IF(Settings!$B$19="",0,SUMIFS(INDEX('Oxford Economics'!$A$7:$AZ$1000,0,IFERROR(MATCH(X$5,'Oxford Economics'!$A$6:$AZ$6,0),MATCH(X$5&amp;"",'Oxford Economics'!$A$6:$AZ$6,0))),'Oxford Economics'!$A$7:$A$1000,$C83,'Oxford Economics'!$B$7:$B$1000,Settings!$B$19)))),""))</f>
        <v>61471.62</v>
      </c>
      <c r="Y83" s="38" t="n">
        <f aca="false">IF($A83="","",IFERROR(1/(1/IF($B83="Residential",SUMIFS(INDEX('Oxford Economics'!$A$7:$AZ$1000,0,IFERROR(MATCH(Y$5,'Oxford Economics'!$A$6:$AZ$6,0),MATCH(Y$5&amp;"",'Oxford Economics'!$A$6:$AZ$6,0))),'Oxford Economics'!$A$7:$A$1000,$C83,'Oxford Economics'!$B$7:$B$1000,Settings!$B$13)-SUMIFS(INDEX('Oxford Economics'!$A$7:$AZ$1000,0,IFERROR(MATCH(Y$5,'Oxford Economics'!$A$6:$AZ$6,0),MATCH(Y$5&amp;"",'Oxford Economics'!$A$6:$AZ$6,0))),'Oxford Economics'!$A$7:$A$1000,$C83,'Oxford Economics'!$B$7:$B$1000,Settings!$B$15),SUMIFS(INDEX('Oxford Economics'!$A$7:$AZ$1000,0,IFERROR(MATCH(Y$5,'Oxford Economics'!$A$6:$AZ$6,0),MATCH(Y$5&amp;"",'Oxford Economics'!$A$6:$AZ$6,0))),'Oxford Economics'!$A$7:$A$1000,$C83,'Oxford Economics'!$B$7:$B$1000,Settings!$B$15)+SUMIFS(INDEX('Oxford Economics'!$A$7:$AZ$1000,0,IFERROR(MATCH(Y$5,'Oxford Economics'!$A$6:$AZ$6,0),MATCH(Y$5&amp;"",'Oxford Economics'!$A$6:$AZ$6,0))),'Oxford Economics'!$A$7:$A$1000,$C83,'Oxford Economics'!$B$7:$B$1000,Settings!$B$17)+IF(Settings!$B$19="",0,SUMIFS(INDEX('Oxford Economics'!$A$7:$AZ$1000,0,IFERROR(MATCH(Y$5,'Oxford Economics'!$A$6:$AZ$6,0),MATCH(Y$5&amp;"",'Oxford Economics'!$A$6:$AZ$6,0))),'Oxford Economics'!$A$7:$A$1000,$C83,'Oxford Economics'!$B$7:$B$1000,Settings!$B$19)))),""))</f>
        <v>62598.49</v>
      </c>
      <c r="Z83" s="38" t="n">
        <f aca="false">IF($A83="","",IFERROR(1/(1/IF($B83="Residential",SUMIFS(INDEX('Oxford Economics'!$A$7:$AZ$1000,0,IFERROR(MATCH(Z$5,'Oxford Economics'!$A$6:$AZ$6,0),MATCH(Z$5&amp;"",'Oxford Economics'!$A$6:$AZ$6,0))),'Oxford Economics'!$A$7:$A$1000,$C83,'Oxford Economics'!$B$7:$B$1000,Settings!$B$13)-SUMIFS(INDEX('Oxford Economics'!$A$7:$AZ$1000,0,IFERROR(MATCH(Z$5,'Oxford Economics'!$A$6:$AZ$6,0),MATCH(Z$5&amp;"",'Oxford Economics'!$A$6:$AZ$6,0))),'Oxford Economics'!$A$7:$A$1000,$C83,'Oxford Economics'!$B$7:$B$1000,Settings!$B$15),SUMIFS(INDEX('Oxford Economics'!$A$7:$AZ$1000,0,IFERROR(MATCH(Z$5,'Oxford Economics'!$A$6:$AZ$6,0),MATCH(Z$5&amp;"",'Oxford Economics'!$A$6:$AZ$6,0))),'Oxford Economics'!$A$7:$A$1000,$C83,'Oxford Economics'!$B$7:$B$1000,Settings!$B$15)+SUMIFS(INDEX('Oxford Economics'!$A$7:$AZ$1000,0,IFERROR(MATCH(Z$5,'Oxford Economics'!$A$6:$AZ$6,0),MATCH(Z$5&amp;"",'Oxford Economics'!$A$6:$AZ$6,0))),'Oxford Economics'!$A$7:$A$1000,$C83,'Oxford Economics'!$B$7:$B$1000,Settings!$B$17)+IF(Settings!$B$19="",0,SUMIFS(INDEX('Oxford Economics'!$A$7:$AZ$1000,0,IFERROR(MATCH(Z$5,'Oxford Economics'!$A$6:$AZ$6,0),MATCH(Z$5&amp;"",'Oxford Economics'!$A$6:$AZ$6,0))),'Oxford Economics'!$A$7:$A$1000,$C83,'Oxford Economics'!$B$7:$B$1000,Settings!$B$19)))),""))</f>
        <v>64151.44</v>
      </c>
      <c r="AA83" s="38" t="n">
        <f aca="false">IF($A83="","",IFERROR(1/(1/IF($B83="Residential",SUMIFS(INDEX('Oxford Economics'!$A$7:$AZ$1000,0,IFERROR(MATCH(AA$5,'Oxford Economics'!$A$6:$AZ$6,0),MATCH(AA$5&amp;"",'Oxford Economics'!$A$6:$AZ$6,0))),'Oxford Economics'!$A$7:$A$1000,$C83,'Oxford Economics'!$B$7:$B$1000,Settings!$B$13)-SUMIFS(INDEX('Oxford Economics'!$A$7:$AZ$1000,0,IFERROR(MATCH(AA$5,'Oxford Economics'!$A$6:$AZ$6,0),MATCH(AA$5&amp;"",'Oxford Economics'!$A$6:$AZ$6,0))),'Oxford Economics'!$A$7:$A$1000,$C83,'Oxford Economics'!$B$7:$B$1000,Settings!$B$15),SUMIFS(INDEX('Oxford Economics'!$A$7:$AZ$1000,0,IFERROR(MATCH(AA$5,'Oxford Economics'!$A$6:$AZ$6,0),MATCH(AA$5&amp;"",'Oxford Economics'!$A$6:$AZ$6,0))),'Oxford Economics'!$A$7:$A$1000,$C83,'Oxford Economics'!$B$7:$B$1000,Settings!$B$15)+SUMIFS(INDEX('Oxford Economics'!$A$7:$AZ$1000,0,IFERROR(MATCH(AA$5,'Oxford Economics'!$A$6:$AZ$6,0),MATCH(AA$5&amp;"",'Oxford Economics'!$A$6:$AZ$6,0))),'Oxford Economics'!$A$7:$A$1000,$C83,'Oxford Economics'!$B$7:$B$1000,Settings!$B$17)+IF(Settings!$B$19="",0,SUMIFS(INDEX('Oxford Economics'!$A$7:$AZ$1000,0,IFERROR(MATCH(AA$5,'Oxford Economics'!$A$6:$AZ$6,0),MATCH(AA$5&amp;"",'Oxford Economics'!$A$6:$AZ$6,0))),'Oxford Economics'!$A$7:$A$1000,$C83,'Oxford Economics'!$B$7:$B$1000,Settings!$B$19)))),""))</f>
        <v>65166.17</v>
      </c>
      <c r="AB83" s="38" t="n">
        <f aca="false">IF($A83="","",IFERROR(1/(1/IF($B83="Residential",SUMIFS(INDEX('Oxford Economics'!$A$7:$AZ$1000,0,IFERROR(MATCH(AB$5,'Oxford Economics'!$A$6:$AZ$6,0),MATCH(AB$5&amp;"",'Oxford Economics'!$A$6:$AZ$6,0))),'Oxford Economics'!$A$7:$A$1000,$C83,'Oxford Economics'!$B$7:$B$1000,Settings!$B$12)-SUMIFS(INDEX('Oxford Economics'!$A$7:$AZ$1000,0,IFERROR(MATCH(AB$5,'Oxford Economics'!$A$6:$AZ$6,0),MATCH(AB$5&amp;"",'Oxford Economics'!$A$6:$AZ$6,0))),'Oxford Economics'!$A$7:$A$1000,$C83,'Oxford Economics'!$B$7:$B$1000,Settings!$B$14),SUMIFS(INDEX('Oxford Economics'!$A$7:$AZ$1000,0,IFERROR(MATCH(AB$5,'Oxford Economics'!$A$6:$AZ$6,0),MATCH(AB$5&amp;"",'Oxford Economics'!$A$6:$AZ$6,0))),'Oxford Economics'!$A$7:$A$1000,$C83,'Oxford Economics'!$B$7:$B$1000,Settings!$B$14)+SUMIFS(INDEX('Oxford Economics'!$A$7:$AZ$1000,0,IFERROR(MATCH(AB$5,'Oxford Economics'!$A$6:$AZ$6,0),MATCH(AB$5&amp;"",'Oxford Economics'!$A$6:$AZ$6,0))),'Oxford Economics'!$A$7:$A$1000,$C83,'Oxford Economics'!$B$7:$B$1000,Settings!$B$16)+IF(Settings!$B$18="",0,SUMIFS(INDEX('Oxford Economics'!$A$7:$AZ$1000,0,IFERROR(MATCH(AB$5,'Oxford Economics'!$A$6:$AZ$6,0),MATCH(AB$5&amp;"",'Oxford Economics'!$A$6:$AZ$6,0))),'Oxford Economics'!$A$7:$A$1000,$C83,'Oxford Economics'!$B$7:$B$1000,Settings!$B$18)))),""))</f>
        <v>42184.57</v>
      </c>
      <c r="AC83" s="38" t="n">
        <f aca="false">IF($A83="","",IFERROR(1/(1/IF($B83="Residential",SUMIFS(INDEX('Oxford Economics'!$A$7:$AZ$1000,0,IFERROR(MATCH(AC$5,'Oxford Economics'!$A$6:$AZ$6,0),MATCH(AC$5&amp;"",'Oxford Economics'!$A$6:$AZ$6,0))),'Oxford Economics'!$A$7:$A$1000,$C83,'Oxford Economics'!$B$7:$B$1000,Settings!$B$12)-SUMIFS(INDEX('Oxford Economics'!$A$7:$AZ$1000,0,IFERROR(MATCH(AC$5,'Oxford Economics'!$A$6:$AZ$6,0),MATCH(AC$5&amp;"",'Oxford Economics'!$A$6:$AZ$6,0))),'Oxford Economics'!$A$7:$A$1000,$C83,'Oxford Economics'!$B$7:$B$1000,Settings!$B$14),SUMIFS(INDEX('Oxford Economics'!$A$7:$AZ$1000,0,IFERROR(MATCH(AC$5,'Oxford Economics'!$A$6:$AZ$6,0),MATCH(AC$5&amp;"",'Oxford Economics'!$A$6:$AZ$6,0))),'Oxford Economics'!$A$7:$A$1000,$C83,'Oxford Economics'!$B$7:$B$1000,Settings!$B$14)+SUMIFS(INDEX('Oxford Economics'!$A$7:$AZ$1000,0,IFERROR(MATCH(AC$5,'Oxford Economics'!$A$6:$AZ$6,0),MATCH(AC$5&amp;"",'Oxford Economics'!$A$6:$AZ$6,0))),'Oxford Economics'!$A$7:$A$1000,$C83,'Oxford Economics'!$B$7:$B$1000,Settings!$B$16)+IF(Settings!$B$18="",0,SUMIFS(INDEX('Oxford Economics'!$A$7:$AZ$1000,0,IFERROR(MATCH(AC$5,'Oxford Economics'!$A$6:$AZ$6,0),MATCH(AC$5&amp;"",'Oxford Economics'!$A$6:$AZ$6,0))),'Oxford Economics'!$A$7:$A$1000,$C83,'Oxford Economics'!$B$7:$B$1000,Settings!$B$18)))),""))</f>
        <v>42760.76</v>
      </c>
      <c r="AD83" s="38" t="n">
        <f aca="false">IF($A83="","",IFERROR(1/(1/IF($B83="Residential",SUMIFS(INDEX('Oxford Economics'!$A$7:$AZ$1000,0,IFERROR(MATCH(AD$5,'Oxford Economics'!$A$6:$AZ$6,0),MATCH(AD$5&amp;"",'Oxford Economics'!$A$6:$AZ$6,0))),'Oxford Economics'!$A$7:$A$1000,$C83,'Oxford Economics'!$B$7:$B$1000,Settings!$B$12)-SUMIFS(INDEX('Oxford Economics'!$A$7:$AZ$1000,0,IFERROR(MATCH(AD$5,'Oxford Economics'!$A$6:$AZ$6,0),MATCH(AD$5&amp;"",'Oxford Economics'!$A$6:$AZ$6,0))),'Oxford Economics'!$A$7:$A$1000,$C83,'Oxford Economics'!$B$7:$B$1000,Settings!$B$14),SUMIFS(INDEX('Oxford Economics'!$A$7:$AZ$1000,0,IFERROR(MATCH(AD$5,'Oxford Economics'!$A$6:$AZ$6,0),MATCH(AD$5&amp;"",'Oxford Economics'!$A$6:$AZ$6,0))),'Oxford Economics'!$A$7:$A$1000,$C83,'Oxford Economics'!$B$7:$B$1000,Settings!$B$14)+SUMIFS(INDEX('Oxford Economics'!$A$7:$AZ$1000,0,IFERROR(MATCH(AD$5,'Oxford Economics'!$A$6:$AZ$6,0),MATCH(AD$5&amp;"",'Oxford Economics'!$A$6:$AZ$6,0))),'Oxford Economics'!$A$7:$A$1000,$C83,'Oxford Economics'!$B$7:$B$1000,Settings!$B$16)+IF(Settings!$B$18="",0,SUMIFS(INDEX('Oxford Economics'!$A$7:$AZ$1000,0,IFERROR(MATCH(AD$5,'Oxford Economics'!$A$6:$AZ$6,0),MATCH(AD$5&amp;"",'Oxford Economics'!$A$6:$AZ$6,0))),'Oxford Economics'!$A$7:$A$1000,$C83,'Oxford Economics'!$B$7:$B$1000,Settings!$B$18)))),""))</f>
        <v>41641.19</v>
      </c>
      <c r="AE83" s="38" t="n">
        <f aca="false">IF($A83="","",IFERROR(1/(1/IF($B83="Residential",SUMIFS(INDEX('Oxford Economics'!$A$7:$AZ$1000,0,IFERROR(MATCH(AE$5,'Oxford Economics'!$A$6:$AZ$6,0),MATCH(AE$5&amp;"",'Oxford Economics'!$A$6:$AZ$6,0))),'Oxford Economics'!$A$7:$A$1000,$C83,'Oxford Economics'!$B$7:$B$1000,Settings!$B$12)-SUMIFS(INDEX('Oxford Economics'!$A$7:$AZ$1000,0,IFERROR(MATCH(AE$5,'Oxford Economics'!$A$6:$AZ$6,0),MATCH(AE$5&amp;"",'Oxford Economics'!$A$6:$AZ$6,0))),'Oxford Economics'!$A$7:$A$1000,$C83,'Oxford Economics'!$B$7:$B$1000,Settings!$B$14),SUMIFS(INDEX('Oxford Economics'!$A$7:$AZ$1000,0,IFERROR(MATCH(AE$5,'Oxford Economics'!$A$6:$AZ$6,0),MATCH(AE$5&amp;"",'Oxford Economics'!$A$6:$AZ$6,0))),'Oxford Economics'!$A$7:$A$1000,$C83,'Oxford Economics'!$B$7:$B$1000,Settings!$B$14)+SUMIFS(INDEX('Oxford Economics'!$A$7:$AZ$1000,0,IFERROR(MATCH(AE$5,'Oxford Economics'!$A$6:$AZ$6,0),MATCH(AE$5&amp;"",'Oxford Economics'!$A$6:$AZ$6,0))),'Oxford Economics'!$A$7:$A$1000,$C83,'Oxford Economics'!$B$7:$B$1000,Settings!$B$16)+IF(Settings!$B$18="",0,SUMIFS(INDEX('Oxford Economics'!$A$7:$AZ$1000,0,IFERROR(MATCH(AE$5,'Oxford Economics'!$A$6:$AZ$6,0),MATCH(AE$5&amp;"",'Oxford Economics'!$A$6:$AZ$6,0))),'Oxford Economics'!$A$7:$A$1000,$C83,'Oxford Economics'!$B$7:$B$1000,Settings!$B$18)))),""))</f>
        <v>40700.97</v>
      </c>
      <c r="AF83" s="38" t="n">
        <f aca="false">IF($A83="","",IFERROR(1/(1/IF($B83="Residential",SUMIFS(INDEX('Oxford Economics'!$A$7:$AZ$1000,0,IFERROR(MATCH(AF$5,'Oxford Economics'!$A$6:$AZ$6,0),MATCH(AF$5&amp;"",'Oxford Economics'!$A$6:$AZ$6,0))),'Oxford Economics'!$A$7:$A$1000,$C83,'Oxford Economics'!$B$7:$B$1000,Settings!$B$12)-SUMIFS(INDEX('Oxford Economics'!$A$7:$AZ$1000,0,IFERROR(MATCH(AF$5,'Oxford Economics'!$A$6:$AZ$6,0),MATCH(AF$5&amp;"",'Oxford Economics'!$A$6:$AZ$6,0))),'Oxford Economics'!$A$7:$A$1000,$C83,'Oxford Economics'!$B$7:$B$1000,Settings!$B$14),SUMIFS(INDEX('Oxford Economics'!$A$7:$AZ$1000,0,IFERROR(MATCH(AF$5,'Oxford Economics'!$A$6:$AZ$6,0),MATCH(AF$5&amp;"",'Oxford Economics'!$A$6:$AZ$6,0))),'Oxford Economics'!$A$7:$A$1000,$C83,'Oxford Economics'!$B$7:$B$1000,Settings!$B$14)+SUMIFS(INDEX('Oxford Economics'!$A$7:$AZ$1000,0,IFERROR(MATCH(AF$5,'Oxford Economics'!$A$6:$AZ$6,0),MATCH(AF$5&amp;"",'Oxford Economics'!$A$6:$AZ$6,0))),'Oxford Economics'!$A$7:$A$1000,$C83,'Oxford Economics'!$B$7:$B$1000,Settings!$B$16)+IF(Settings!$B$18="",0,SUMIFS(INDEX('Oxford Economics'!$A$7:$AZ$1000,0,IFERROR(MATCH(AF$5,'Oxford Economics'!$A$6:$AZ$6,0),MATCH(AF$5&amp;"",'Oxford Economics'!$A$6:$AZ$6,0))),'Oxford Economics'!$A$7:$A$1000,$C83,'Oxford Economics'!$B$7:$B$1000,Settings!$B$18)))),""))</f>
        <v>35731.25</v>
      </c>
      <c r="AG83" s="38" t="n">
        <f aca="false">IF($A83="","",IFERROR(1/(1/IF($B83="Residential",SUMIFS(INDEX('Oxford Economics'!$A$7:$AZ$1000,0,IFERROR(MATCH(AG$5,'Oxford Economics'!$A$6:$AZ$6,0),MATCH(AG$5&amp;"",'Oxford Economics'!$A$6:$AZ$6,0))),'Oxford Economics'!$A$7:$A$1000,$C83,'Oxford Economics'!$B$7:$B$1000,Settings!$B$12)-SUMIFS(INDEX('Oxford Economics'!$A$7:$AZ$1000,0,IFERROR(MATCH(AG$5,'Oxford Economics'!$A$6:$AZ$6,0),MATCH(AG$5&amp;"",'Oxford Economics'!$A$6:$AZ$6,0))),'Oxford Economics'!$A$7:$A$1000,$C83,'Oxford Economics'!$B$7:$B$1000,Settings!$B$14),SUMIFS(INDEX('Oxford Economics'!$A$7:$AZ$1000,0,IFERROR(MATCH(AG$5,'Oxford Economics'!$A$6:$AZ$6,0),MATCH(AG$5&amp;"",'Oxford Economics'!$A$6:$AZ$6,0))),'Oxford Economics'!$A$7:$A$1000,$C83,'Oxford Economics'!$B$7:$B$1000,Settings!$B$14)+SUMIFS(INDEX('Oxford Economics'!$A$7:$AZ$1000,0,IFERROR(MATCH(AG$5,'Oxford Economics'!$A$6:$AZ$6,0),MATCH(AG$5&amp;"",'Oxford Economics'!$A$6:$AZ$6,0))),'Oxford Economics'!$A$7:$A$1000,$C83,'Oxford Economics'!$B$7:$B$1000,Settings!$B$16)+IF(Settings!$B$18="",0,SUMIFS(INDEX('Oxford Economics'!$A$7:$AZ$1000,0,IFERROR(MATCH(AG$5,'Oxford Economics'!$A$6:$AZ$6,0),MATCH(AG$5&amp;"",'Oxford Economics'!$A$6:$AZ$6,0))),'Oxford Economics'!$A$7:$A$1000,$C83,'Oxford Economics'!$B$7:$B$1000,Settings!$B$18)))),""))</f>
        <v>33987.73</v>
      </c>
      <c r="AH83" s="38" t="n">
        <f aca="false">IF($A83="","",IFERROR(1/(1/IF($B83="Residential",SUMIFS(INDEX('Oxford Economics'!$A$7:$AZ$1000,0,IFERROR(MATCH(AH$5,'Oxford Economics'!$A$6:$AZ$6,0),MATCH(AH$5&amp;"",'Oxford Economics'!$A$6:$AZ$6,0))),'Oxford Economics'!$A$7:$A$1000,$C83,'Oxford Economics'!$B$7:$B$1000,Settings!$B$12)-SUMIFS(INDEX('Oxford Economics'!$A$7:$AZ$1000,0,IFERROR(MATCH(AH$5,'Oxford Economics'!$A$6:$AZ$6,0),MATCH(AH$5&amp;"",'Oxford Economics'!$A$6:$AZ$6,0))),'Oxford Economics'!$A$7:$A$1000,$C83,'Oxford Economics'!$B$7:$B$1000,Settings!$B$14),SUMIFS(INDEX('Oxford Economics'!$A$7:$AZ$1000,0,IFERROR(MATCH(AH$5,'Oxford Economics'!$A$6:$AZ$6,0),MATCH(AH$5&amp;"",'Oxford Economics'!$A$6:$AZ$6,0))),'Oxford Economics'!$A$7:$A$1000,$C83,'Oxford Economics'!$B$7:$B$1000,Settings!$B$14)+SUMIFS(INDEX('Oxford Economics'!$A$7:$AZ$1000,0,IFERROR(MATCH(AH$5,'Oxford Economics'!$A$6:$AZ$6,0),MATCH(AH$5&amp;"",'Oxford Economics'!$A$6:$AZ$6,0))),'Oxford Economics'!$A$7:$A$1000,$C83,'Oxford Economics'!$B$7:$B$1000,Settings!$B$16)+IF(Settings!$B$18="",0,SUMIFS(INDEX('Oxford Economics'!$A$7:$AZ$1000,0,IFERROR(MATCH(AH$5,'Oxford Economics'!$A$6:$AZ$6,0),MATCH(AH$5&amp;"",'Oxford Economics'!$A$6:$AZ$6,0))),'Oxford Economics'!$A$7:$A$1000,$C83,'Oxford Economics'!$B$7:$B$1000,Settings!$B$18)))),""))</f>
        <v>33988.6</v>
      </c>
      <c r="AI83" s="38" t="n">
        <f aca="false">IF($A83="","",IFERROR(1/(1/IF($B83="Residential",SUMIFS(INDEX('Oxford Economics'!$A$7:$AZ$1000,0,IFERROR(MATCH(AI$5,'Oxford Economics'!$A$6:$AZ$6,0),MATCH(AI$5&amp;"",'Oxford Economics'!$A$6:$AZ$6,0))),'Oxford Economics'!$A$7:$A$1000,$C83,'Oxford Economics'!$B$7:$B$1000,Settings!$B$12)-SUMIFS(INDEX('Oxford Economics'!$A$7:$AZ$1000,0,IFERROR(MATCH(AI$5,'Oxford Economics'!$A$6:$AZ$6,0),MATCH(AI$5&amp;"",'Oxford Economics'!$A$6:$AZ$6,0))),'Oxford Economics'!$A$7:$A$1000,$C83,'Oxford Economics'!$B$7:$B$1000,Settings!$B$14),SUMIFS(INDEX('Oxford Economics'!$A$7:$AZ$1000,0,IFERROR(MATCH(AI$5,'Oxford Economics'!$A$6:$AZ$6,0),MATCH(AI$5&amp;"",'Oxford Economics'!$A$6:$AZ$6,0))),'Oxford Economics'!$A$7:$A$1000,$C83,'Oxford Economics'!$B$7:$B$1000,Settings!$B$14)+SUMIFS(INDEX('Oxford Economics'!$A$7:$AZ$1000,0,IFERROR(MATCH(AI$5,'Oxford Economics'!$A$6:$AZ$6,0),MATCH(AI$5&amp;"",'Oxford Economics'!$A$6:$AZ$6,0))),'Oxford Economics'!$A$7:$A$1000,$C83,'Oxford Economics'!$B$7:$B$1000,Settings!$B$16)+IF(Settings!$B$18="",0,SUMIFS(INDEX('Oxford Economics'!$A$7:$AZ$1000,0,IFERROR(MATCH(AI$5,'Oxford Economics'!$A$6:$AZ$6,0),MATCH(AI$5&amp;"",'Oxford Economics'!$A$6:$AZ$6,0))),'Oxford Economics'!$A$7:$A$1000,$C83,'Oxford Economics'!$B$7:$B$1000,Settings!$B$18)))),""))</f>
        <v>33515.27</v>
      </c>
      <c r="AJ83" s="38" t="n">
        <f aca="false">IF($A83="","",IFERROR(1/(1/IF($B83="Residential",SUMIFS(INDEX('Oxford Economics'!$A$7:$AZ$1000,0,IFERROR(MATCH(AJ$5,'Oxford Economics'!$A$6:$AZ$6,0),MATCH(AJ$5&amp;"",'Oxford Economics'!$A$6:$AZ$6,0))),'Oxford Economics'!$A$7:$A$1000,$C83,'Oxford Economics'!$B$7:$B$1000,Settings!$B$12)-SUMIFS(INDEX('Oxford Economics'!$A$7:$AZ$1000,0,IFERROR(MATCH(AJ$5,'Oxford Economics'!$A$6:$AZ$6,0),MATCH(AJ$5&amp;"",'Oxford Economics'!$A$6:$AZ$6,0))),'Oxford Economics'!$A$7:$A$1000,$C83,'Oxford Economics'!$B$7:$B$1000,Settings!$B$14),SUMIFS(INDEX('Oxford Economics'!$A$7:$AZ$1000,0,IFERROR(MATCH(AJ$5,'Oxford Economics'!$A$6:$AZ$6,0),MATCH(AJ$5&amp;"",'Oxford Economics'!$A$6:$AZ$6,0))),'Oxford Economics'!$A$7:$A$1000,$C83,'Oxford Economics'!$B$7:$B$1000,Settings!$B$14)+SUMIFS(INDEX('Oxford Economics'!$A$7:$AZ$1000,0,IFERROR(MATCH(AJ$5,'Oxford Economics'!$A$6:$AZ$6,0),MATCH(AJ$5&amp;"",'Oxford Economics'!$A$6:$AZ$6,0))),'Oxford Economics'!$A$7:$A$1000,$C83,'Oxford Economics'!$B$7:$B$1000,Settings!$B$16)+IF(Settings!$B$18="",0,SUMIFS(INDEX('Oxford Economics'!$A$7:$AZ$1000,0,IFERROR(MATCH(AJ$5,'Oxford Economics'!$A$6:$AZ$6,0),MATCH(AJ$5&amp;"",'Oxford Economics'!$A$6:$AZ$6,0))),'Oxford Economics'!$A$7:$A$1000,$C83,'Oxford Economics'!$B$7:$B$1000,Settings!$B$18)))),""))</f>
        <v>33345.27</v>
      </c>
      <c r="AK83" s="38" t="n">
        <f aca="false">IF($A83="","",IFERROR(1/(1/IF($B83="Residential",SUMIFS(INDEX('Oxford Economics'!$A$7:$AZ$1000,0,IFERROR(MATCH(AK$5,'Oxford Economics'!$A$6:$AZ$6,0),MATCH(AK$5&amp;"",'Oxford Economics'!$A$6:$AZ$6,0))),'Oxford Economics'!$A$7:$A$1000,$C83,'Oxford Economics'!$B$7:$B$1000,Settings!$B$12)-SUMIFS(INDEX('Oxford Economics'!$A$7:$AZ$1000,0,IFERROR(MATCH(AK$5,'Oxford Economics'!$A$6:$AZ$6,0),MATCH(AK$5&amp;"",'Oxford Economics'!$A$6:$AZ$6,0))),'Oxford Economics'!$A$7:$A$1000,$C83,'Oxford Economics'!$B$7:$B$1000,Settings!$B$14),SUMIFS(INDEX('Oxford Economics'!$A$7:$AZ$1000,0,IFERROR(MATCH(AK$5,'Oxford Economics'!$A$6:$AZ$6,0),MATCH(AK$5&amp;"",'Oxford Economics'!$A$6:$AZ$6,0))),'Oxford Economics'!$A$7:$A$1000,$C83,'Oxford Economics'!$B$7:$B$1000,Settings!$B$14)+SUMIFS(INDEX('Oxford Economics'!$A$7:$AZ$1000,0,IFERROR(MATCH(AK$5,'Oxford Economics'!$A$6:$AZ$6,0),MATCH(AK$5&amp;"",'Oxford Economics'!$A$6:$AZ$6,0))),'Oxford Economics'!$A$7:$A$1000,$C83,'Oxford Economics'!$B$7:$B$1000,Settings!$B$16)+IF(Settings!$B$18="",0,SUMIFS(INDEX('Oxford Economics'!$A$7:$AZ$1000,0,IFERROR(MATCH(AK$5,'Oxford Economics'!$A$6:$AZ$6,0),MATCH(AK$5&amp;"",'Oxford Economics'!$A$6:$AZ$6,0))),'Oxford Economics'!$A$7:$A$1000,$C83,'Oxford Economics'!$B$7:$B$1000,Settings!$B$18)))),""))</f>
        <v>33504.98</v>
      </c>
      <c r="AL83" s="38" t="n">
        <f aca="false">IF($A83="","",IFERROR(1/(1/IF($B83="Residential",SUMIFS(INDEX('Oxford Economics'!$A$7:$AZ$1000,0,IFERROR(MATCH(AL$5,'Oxford Economics'!$A$6:$AZ$6,0),MATCH(AL$5&amp;"",'Oxford Economics'!$A$6:$AZ$6,0))),'Oxford Economics'!$A$7:$A$1000,$C83,'Oxford Economics'!$B$7:$B$1000,Settings!$B$12)-SUMIFS(INDEX('Oxford Economics'!$A$7:$AZ$1000,0,IFERROR(MATCH(AL$5,'Oxford Economics'!$A$6:$AZ$6,0),MATCH(AL$5&amp;"",'Oxford Economics'!$A$6:$AZ$6,0))),'Oxford Economics'!$A$7:$A$1000,$C83,'Oxford Economics'!$B$7:$B$1000,Settings!$B$14),SUMIFS(INDEX('Oxford Economics'!$A$7:$AZ$1000,0,IFERROR(MATCH(AL$5,'Oxford Economics'!$A$6:$AZ$6,0),MATCH(AL$5&amp;"",'Oxford Economics'!$A$6:$AZ$6,0))),'Oxford Economics'!$A$7:$A$1000,$C83,'Oxford Economics'!$B$7:$B$1000,Settings!$B$14)+SUMIFS(INDEX('Oxford Economics'!$A$7:$AZ$1000,0,IFERROR(MATCH(AL$5,'Oxford Economics'!$A$6:$AZ$6,0),MATCH(AL$5&amp;"",'Oxford Economics'!$A$6:$AZ$6,0))),'Oxford Economics'!$A$7:$A$1000,$C83,'Oxford Economics'!$B$7:$B$1000,Settings!$B$16)+IF(Settings!$B$18="",0,SUMIFS(INDEX('Oxford Economics'!$A$7:$AZ$1000,0,IFERROR(MATCH(AL$5,'Oxford Economics'!$A$6:$AZ$6,0),MATCH(AL$5&amp;"",'Oxford Economics'!$A$6:$AZ$6,0))),'Oxford Economics'!$A$7:$A$1000,$C83,'Oxford Economics'!$B$7:$B$1000,Settings!$B$18)))),""))</f>
        <v>33951.58</v>
      </c>
      <c r="AM83" s="38" t="n">
        <f aca="false">IF($A83="","",IFERROR(1/(1/IF($B83="Residential",SUMIFS(INDEX('Oxford Economics'!$A$7:$AZ$1000,0,IFERROR(MATCH(AM$5,'Oxford Economics'!$A$6:$AZ$6,0),MATCH(AM$5&amp;"",'Oxford Economics'!$A$6:$AZ$6,0))),'Oxford Economics'!$A$7:$A$1000,$C83,'Oxford Economics'!$B$7:$B$1000,Settings!$B$12)-SUMIFS(INDEX('Oxford Economics'!$A$7:$AZ$1000,0,IFERROR(MATCH(AM$5,'Oxford Economics'!$A$6:$AZ$6,0),MATCH(AM$5&amp;"",'Oxford Economics'!$A$6:$AZ$6,0))),'Oxford Economics'!$A$7:$A$1000,$C83,'Oxford Economics'!$B$7:$B$1000,Settings!$B$14),SUMIFS(INDEX('Oxford Economics'!$A$7:$AZ$1000,0,IFERROR(MATCH(AM$5,'Oxford Economics'!$A$6:$AZ$6,0),MATCH(AM$5&amp;"",'Oxford Economics'!$A$6:$AZ$6,0))),'Oxford Economics'!$A$7:$A$1000,$C83,'Oxford Economics'!$B$7:$B$1000,Settings!$B$14)+SUMIFS(INDEX('Oxford Economics'!$A$7:$AZ$1000,0,IFERROR(MATCH(AM$5,'Oxford Economics'!$A$6:$AZ$6,0),MATCH(AM$5&amp;"",'Oxford Economics'!$A$6:$AZ$6,0))),'Oxford Economics'!$A$7:$A$1000,$C83,'Oxford Economics'!$B$7:$B$1000,Settings!$B$16)+IF(Settings!$B$18="",0,SUMIFS(INDEX('Oxford Economics'!$A$7:$AZ$1000,0,IFERROR(MATCH(AM$5,'Oxford Economics'!$A$6:$AZ$6,0),MATCH(AM$5&amp;"",'Oxford Economics'!$A$6:$AZ$6,0))),'Oxford Economics'!$A$7:$A$1000,$C83,'Oxford Economics'!$B$7:$B$1000,Settings!$B$18)))),""))</f>
        <v>34604.52</v>
      </c>
    </row>
    <row r="84" customFormat="false" ht="15" hidden="false" customHeight="false" outlineLevel="0" collapsed="false">
      <c r="A84" s="37" t="str">
        <f aca="false">IF('Raw data'!$A84="","",'Raw data'!$A84)</f>
        <v>Italy</v>
      </c>
      <c r="B84" s="37" t="str">
        <f aca="false">IF($A84="","",'Raw data'!$C84)</f>
        <v>Residential</v>
      </c>
      <c r="C84" s="37" t="str">
        <f aca="false">IF($A84="","",IF('Raw data'!$E84="",$A84,'Raw data'!$E84))</f>
        <v>Italy</v>
      </c>
      <c r="D84" s="38" t="n">
        <f aca="false">IF($A84="","",IF(AND(ISNUMBER(P84),ISNUMBER(AB84)),P84+AB84,""))</f>
        <v>16621.24</v>
      </c>
      <c r="E84" s="38" t="n">
        <f aca="false">IF($A84="","",IF(AND(ISNUMBER(Q84),ISNUMBER(AC84)),Q84+AC84,""))</f>
        <v>21648.74</v>
      </c>
      <c r="F84" s="38" t="n">
        <f aca="false">IF($A84="","",IF(AND(ISNUMBER(R84),ISNUMBER(AD84)),R84+AD84,""))</f>
        <v>25555.35</v>
      </c>
      <c r="G84" s="38" t="n">
        <f aca="false">IF($A84="","",IF(AND(ISNUMBER(S84),ISNUMBER(AE84)),S84+AE84,""))</f>
        <v>28605.7</v>
      </c>
      <c r="H84" s="38" t="n">
        <f aca="false">IF($A84="","",IF(AND(ISNUMBER(T84),ISNUMBER(AF84)),T84+AF84,""))</f>
        <v>29129.08</v>
      </c>
      <c r="I84" s="38" t="n">
        <f aca="false">IF($A84="","",IF(AND(ISNUMBER(U84),ISNUMBER(AG84)),U84+AG84,""))</f>
        <v>27391</v>
      </c>
      <c r="J84" s="38" t="n">
        <f aca="false">IF($A84="","",IF(AND(ISNUMBER(V84),ISNUMBER(AH84)),V84+AH84,""))</f>
        <v>26617.93</v>
      </c>
      <c r="K84" s="38" t="n">
        <f aca="false">IF($A84="","",IF(AND(ISNUMBER(W84),ISNUMBER(AI84)),W84+AI84,""))</f>
        <v>25218.25</v>
      </c>
      <c r="L84" s="38" t="n">
        <f aca="false">IF($A84="","",IF(AND(ISNUMBER(X84),ISNUMBER(AJ84)),X84+AJ84,""))</f>
        <v>24089.79</v>
      </c>
      <c r="M84" s="38" t="n">
        <f aca="false">IF($A84="","",IF(AND(ISNUMBER(Y84),ISNUMBER(AK84)),Y84+AK84,""))</f>
        <v>23929.75</v>
      </c>
      <c r="N84" s="38" t="n">
        <f aca="false">IF($A84="","",IF(AND(ISNUMBER(Z84),ISNUMBER(AL84)),Z84+AL84,""))</f>
        <v>24090.8</v>
      </c>
      <c r="O84" s="38" t="n">
        <f aca="false">IF($A84="","",IF(AND(ISNUMBER(AA84),ISNUMBER(AM84)),AA84+AM84,""))</f>
        <v>23768.24</v>
      </c>
      <c r="P84" s="38" t="n">
        <f aca="false">IF($A84="","",IFERROR(1/(1/IF($B84="Residential",SUMIFS(INDEX('Oxford Economics'!$A$7:$AZ$1000,0,IFERROR(MATCH(P$5,'Oxford Economics'!$A$6:$AZ$6,0),MATCH(P$5&amp;"",'Oxford Economics'!$A$6:$AZ$6,0))),'Oxford Economics'!$A$7:$A$1000,$C84,'Oxford Economics'!$B$7:$B$1000,Settings!$B$13)-SUMIFS(INDEX('Oxford Economics'!$A$7:$AZ$1000,0,IFERROR(MATCH(P$5,'Oxford Economics'!$A$6:$AZ$6,0),MATCH(P$5&amp;"",'Oxford Economics'!$A$6:$AZ$6,0))),'Oxford Economics'!$A$7:$A$1000,$C84,'Oxford Economics'!$B$7:$B$1000,Settings!$B$15),SUMIFS(INDEX('Oxford Economics'!$A$7:$AZ$1000,0,IFERROR(MATCH(P$5,'Oxford Economics'!$A$6:$AZ$6,0),MATCH(P$5&amp;"",'Oxford Economics'!$A$6:$AZ$6,0))),'Oxford Economics'!$A$7:$A$1000,$C84,'Oxford Economics'!$B$7:$B$1000,Settings!$B$15)+SUMIFS(INDEX('Oxford Economics'!$A$7:$AZ$1000,0,IFERROR(MATCH(P$5,'Oxford Economics'!$A$6:$AZ$6,0),MATCH(P$5&amp;"",'Oxford Economics'!$A$6:$AZ$6,0))),'Oxford Economics'!$A$7:$A$1000,$C84,'Oxford Economics'!$B$7:$B$1000,Settings!$B$17)+IF(Settings!$B$19="",0,SUMIFS(INDEX('Oxford Economics'!$A$7:$AZ$1000,0,IFERROR(MATCH(P$5,'Oxford Economics'!$A$6:$AZ$6,0),MATCH(P$5&amp;"",'Oxford Economics'!$A$6:$AZ$6,0))),'Oxford Economics'!$A$7:$A$1000,$C84,'Oxford Economics'!$B$7:$B$1000,Settings!$B$19)))),""))</f>
        <v>13008.11</v>
      </c>
      <c r="Q84" s="38" t="n">
        <f aca="false">IF($A84="","",IFERROR(1/(1/IF($B84="Residential",SUMIFS(INDEX('Oxford Economics'!$A$7:$AZ$1000,0,IFERROR(MATCH(Q$5,'Oxford Economics'!$A$6:$AZ$6,0),MATCH(Q$5&amp;"",'Oxford Economics'!$A$6:$AZ$6,0))),'Oxford Economics'!$A$7:$A$1000,$C84,'Oxford Economics'!$B$7:$B$1000,Settings!$B$13)-SUMIFS(INDEX('Oxford Economics'!$A$7:$AZ$1000,0,IFERROR(MATCH(Q$5,'Oxford Economics'!$A$6:$AZ$6,0),MATCH(Q$5&amp;"",'Oxford Economics'!$A$6:$AZ$6,0))),'Oxford Economics'!$A$7:$A$1000,$C84,'Oxford Economics'!$B$7:$B$1000,Settings!$B$15),SUMIFS(INDEX('Oxford Economics'!$A$7:$AZ$1000,0,IFERROR(MATCH(Q$5,'Oxford Economics'!$A$6:$AZ$6,0),MATCH(Q$5&amp;"",'Oxford Economics'!$A$6:$AZ$6,0))),'Oxford Economics'!$A$7:$A$1000,$C84,'Oxford Economics'!$B$7:$B$1000,Settings!$B$15)+SUMIFS(INDEX('Oxford Economics'!$A$7:$AZ$1000,0,IFERROR(MATCH(Q$5,'Oxford Economics'!$A$6:$AZ$6,0),MATCH(Q$5&amp;"",'Oxford Economics'!$A$6:$AZ$6,0))),'Oxford Economics'!$A$7:$A$1000,$C84,'Oxford Economics'!$B$7:$B$1000,Settings!$B$17)+IF(Settings!$B$19="",0,SUMIFS(INDEX('Oxford Economics'!$A$7:$AZ$1000,0,IFERROR(MATCH(Q$5,'Oxford Economics'!$A$6:$AZ$6,0),MATCH(Q$5&amp;"",'Oxford Economics'!$A$6:$AZ$6,0))),'Oxford Economics'!$A$7:$A$1000,$C84,'Oxford Economics'!$B$7:$B$1000,Settings!$B$19)))),""))</f>
        <v>17124.8</v>
      </c>
      <c r="R84" s="38" t="n">
        <f aca="false">IF($A84="","",IFERROR(1/(1/IF($B84="Residential",SUMIFS(INDEX('Oxford Economics'!$A$7:$AZ$1000,0,IFERROR(MATCH(R$5,'Oxford Economics'!$A$6:$AZ$6,0),MATCH(R$5&amp;"",'Oxford Economics'!$A$6:$AZ$6,0))),'Oxford Economics'!$A$7:$A$1000,$C84,'Oxford Economics'!$B$7:$B$1000,Settings!$B$13)-SUMIFS(INDEX('Oxford Economics'!$A$7:$AZ$1000,0,IFERROR(MATCH(R$5,'Oxford Economics'!$A$6:$AZ$6,0),MATCH(R$5&amp;"",'Oxford Economics'!$A$6:$AZ$6,0))),'Oxford Economics'!$A$7:$A$1000,$C84,'Oxford Economics'!$B$7:$B$1000,Settings!$B$15),SUMIFS(INDEX('Oxford Economics'!$A$7:$AZ$1000,0,IFERROR(MATCH(R$5,'Oxford Economics'!$A$6:$AZ$6,0),MATCH(R$5&amp;"",'Oxford Economics'!$A$6:$AZ$6,0))),'Oxford Economics'!$A$7:$A$1000,$C84,'Oxford Economics'!$B$7:$B$1000,Settings!$B$15)+SUMIFS(INDEX('Oxford Economics'!$A$7:$AZ$1000,0,IFERROR(MATCH(R$5,'Oxford Economics'!$A$6:$AZ$6,0),MATCH(R$5&amp;"",'Oxford Economics'!$A$6:$AZ$6,0))),'Oxford Economics'!$A$7:$A$1000,$C84,'Oxford Economics'!$B$7:$B$1000,Settings!$B$17)+IF(Settings!$B$19="",0,SUMIFS(INDEX('Oxford Economics'!$A$7:$AZ$1000,0,IFERROR(MATCH(R$5,'Oxford Economics'!$A$6:$AZ$6,0),MATCH(R$5&amp;"",'Oxford Economics'!$A$6:$AZ$6,0))),'Oxford Economics'!$A$7:$A$1000,$C84,'Oxford Economics'!$B$7:$B$1000,Settings!$B$19)))),""))</f>
        <v>21058.04</v>
      </c>
      <c r="S84" s="38" t="n">
        <f aca="false">IF($A84="","",IFERROR(1/(1/IF($B84="Residential",SUMIFS(INDEX('Oxford Economics'!$A$7:$AZ$1000,0,IFERROR(MATCH(S$5,'Oxford Economics'!$A$6:$AZ$6,0),MATCH(S$5&amp;"",'Oxford Economics'!$A$6:$AZ$6,0))),'Oxford Economics'!$A$7:$A$1000,$C84,'Oxford Economics'!$B$7:$B$1000,Settings!$B$13)-SUMIFS(INDEX('Oxford Economics'!$A$7:$AZ$1000,0,IFERROR(MATCH(S$5,'Oxford Economics'!$A$6:$AZ$6,0),MATCH(S$5&amp;"",'Oxford Economics'!$A$6:$AZ$6,0))),'Oxford Economics'!$A$7:$A$1000,$C84,'Oxford Economics'!$B$7:$B$1000,Settings!$B$15),SUMIFS(INDEX('Oxford Economics'!$A$7:$AZ$1000,0,IFERROR(MATCH(S$5,'Oxford Economics'!$A$6:$AZ$6,0),MATCH(S$5&amp;"",'Oxford Economics'!$A$6:$AZ$6,0))),'Oxford Economics'!$A$7:$A$1000,$C84,'Oxford Economics'!$B$7:$B$1000,Settings!$B$15)+SUMIFS(INDEX('Oxford Economics'!$A$7:$AZ$1000,0,IFERROR(MATCH(S$5,'Oxford Economics'!$A$6:$AZ$6,0),MATCH(S$5&amp;"",'Oxford Economics'!$A$6:$AZ$6,0))),'Oxford Economics'!$A$7:$A$1000,$C84,'Oxford Economics'!$B$7:$B$1000,Settings!$B$17)+IF(Settings!$B$19="",0,SUMIFS(INDEX('Oxford Economics'!$A$7:$AZ$1000,0,IFERROR(MATCH(S$5,'Oxford Economics'!$A$6:$AZ$6,0),MATCH(S$5&amp;"",'Oxford Economics'!$A$6:$AZ$6,0))),'Oxford Economics'!$A$7:$A$1000,$C84,'Oxford Economics'!$B$7:$B$1000,Settings!$B$19)))),""))</f>
        <v>23305.68</v>
      </c>
      <c r="T84" s="38" t="n">
        <f aca="false">IF($A84="","",IFERROR(1/(1/IF($B84="Residential",SUMIFS(INDEX('Oxford Economics'!$A$7:$AZ$1000,0,IFERROR(MATCH(T$5,'Oxford Economics'!$A$6:$AZ$6,0),MATCH(T$5&amp;"",'Oxford Economics'!$A$6:$AZ$6,0))),'Oxford Economics'!$A$7:$A$1000,$C84,'Oxford Economics'!$B$7:$B$1000,Settings!$B$13)-SUMIFS(INDEX('Oxford Economics'!$A$7:$AZ$1000,0,IFERROR(MATCH(T$5,'Oxford Economics'!$A$6:$AZ$6,0),MATCH(T$5&amp;"",'Oxford Economics'!$A$6:$AZ$6,0))),'Oxford Economics'!$A$7:$A$1000,$C84,'Oxford Economics'!$B$7:$B$1000,Settings!$B$15),SUMIFS(INDEX('Oxford Economics'!$A$7:$AZ$1000,0,IFERROR(MATCH(T$5,'Oxford Economics'!$A$6:$AZ$6,0),MATCH(T$5&amp;"",'Oxford Economics'!$A$6:$AZ$6,0))),'Oxford Economics'!$A$7:$A$1000,$C84,'Oxford Economics'!$B$7:$B$1000,Settings!$B$15)+SUMIFS(INDEX('Oxford Economics'!$A$7:$AZ$1000,0,IFERROR(MATCH(T$5,'Oxford Economics'!$A$6:$AZ$6,0),MATCH(T$5&amp;"",'Oxford Economics'!$A$6:$AZ$6,0))),'Oxford Economics'!$A$7:$A$1000,$C84,'Oxford Economics'!$B$7:$B$1000,Settings!$B$17)+IF(Settings!$B$19="",0,SUMIFS(INDEX('Oxford Economics'!$A$7:$AZ$1000,0,IFERROR(MATCH(T$5,'Oxford Economics'!$A$6:$AZ$6,0),MATCH(T$5&amp;"",'Oxford Economics'!$A$6:$AZ$6,0))),'Oxford Economics'!$A$7:$A$1000,$C84,'Oxford Economics'!$B$7:$B$1000,Settings!$B$19)))),""))</f>
        <v>23100.52</v>
      </c>
      <c r="U84" s="38" t="n">
        <f aca="false">IF($A84="","",IFERROR(1/(1/IF($B84="Residential",SUMIFS(INDEX('Oxford Economics'!$A$7:$AZ$1000,0,IFERROR(MATCH(U$5,'Oxford Economics'!$A$6:$AZ$6,0),MATCH(U$5&amp;"",'Oxford Economics'!$A$6:$AZ$6,0))),'Oxford Economics'!$A$7:$A$1000,$C84,'Oxford Economics'!$B$7:$B$1000,Settings!$B$13)-SUMIFS(INDEX('Oxford Economics'!$A$7:$AZ$1000,0,IFERROR(MATCH(U$5,'Oxford Economics'!$A$6:$AZ$6,0),MATCH(U$5&amp;"",'Oxford Economics'!$A$6:$AZ$6,0))),'Oxford Economics'!$A$7:$A$1000,$C84,'Oxford Economics'!$B$7:$B$1000,Settings!$B$15),SUMIFS(INDEX('Oxford Economics'!$A$7:$AZ$1000,0,IFERROR(MATCH(U$5,'Oxford Economics'!$A$6:$AZ$6,0),MATCH(U$5&amp;"",'Oxford Economics'!$A$6:$AZ$6,0))),'Oxford Economics'!$A$7:$A$1000,$C84,'Oxford Economics'!$B$7:$B$1000,Settings!$B$15)+SUMIFS(INDEX('Oxford Economics'!$A$7:$AZ$1000,0,IFERROR(MATCH(U$5,'Oxford Economics'!$A$6:$AZ$6,0),MATCH(U$5&amp;"",'Oxford Economics'!$A$6:$AZ$6,0))),'Oxford Economics'!$A$7:$A$1000,$C84,'Oxford Economics'!$B$7:$B$1000,Settings!$B$17)+IF(Settings!$B$19="",0,SUMIFS(INDEX('Oxford Economics'!$A$7:$AZ$1000,0,IFERROR(MATCH(U$5,'Oxford Economics'!$A$6:$AZ$6,0),MATCH(U$5&amp;"",'Oxford Economics'!$A$6:$AZ$6,0))),'Oxford Economics'!$A$7:$A$1000,$C84,'Oxford Economics'!$B$7:$B$1000,Settings!$B$19)))),""))</f>
        <v>21681.32</v>
      </c>
      <c r="V84" s="38" t="n">
        <f aca="false">IF($A84="","",IFERROR(1/(1/IF($B84="Residential",SUMIFS(INDEX('Oxford Economics'!$A$7:$AZ$1000,0,IFERROR(MATCH(V$5,'Oxford Economics'!$A$6:$AZ$6,0),MATCH(V$5&amp;"",'Oxford Economics'!$A$6:$AZ$6,0))),'Oxford Economics'!$A$7:$A$1000,$C84,'Oxford Economics'!$B$7:$B$1000,Settings!$B$13)-SUMIFS(INDEX('Oxford Economics'!$A$7:$AZ$1000,0,IFERROR(MATCH(V$5,'Oxford Economics'!$A$6:$AZ$6,0),MATCH(V$5&amp;"",'Oxford Economics'!$A$6:$AZ$6,0))),'Oxford Economics'!$A$7:$A$1000,$C84,'Oxford Economics'!$B$7:$B$1000,Settings!$B$15),SUMIFS(INDEX('Oxford Economics'!$A$7:$AZ$1000,0,IFERROR(MATCH(V$5,'Oxford Economics'!$A$6:$AZ$6,0),MATCH(V$5&amp;"",'Oxford Economics'!$A$6:$AZ$6,0))),'Oxford Economics'!$A$7:$A$1000,$C84,'Oxford Economics'!$B$7:$B$1000,Settings!$B$15)+SUMIFS(INDEX('Oxford Economics'!$A$7:$AZ$1000,0,IFERROR(MATCH(V$5,'Oxford Economics'!$A$6:$AZ$6,0),MATCH(V$5&amp;"",'Oxford Economics'!$A$6:$AZ$6,0))),'Oxford Economics'!$A$7:$A$1000,$C84,'Oxford Economics'!$B$7:$B$1000,Settings!$B$17)+IF(Settings!$B$19="",0,SUMIFS(INDEX('Oxford Economics'!$A$7:$AZ$1000,0,IFERROR(MATCH(V$5,'Oxford Economics'!$A$6:$AZ$6,0),MATCH(V$5&amp;"",'Oxford Economics'!$A$6:$AZ$6,0))),'Oxford Economics'!$A$7:$A$1000,$C84,'Oxford Economics'!$B$7:$B$1000,Settings!$B$19)))),""))</f>
        <v>20783.71</v>
      </c>
      <c r="W84" s="38" t="n">
        <f aca="false">IF($A84="","",IFERROR(1/(1/IF($B84="Residential",SUMIFS(INDEX('Oxford Economics'!$A$7:$AZ$1000,0,IFERROR(MATCH(W$5,'Oxford Economics'!$A$6:$AZ$6,0),MATCH(W$5&amp;"",'Oxford Economics'!$A$6:$AZ$6,0))),'Oxford Economics'!$A$7:$A$1000,$C84,'Oxford Economics'!$B$7:$B$1000,Settings!$B$13)-SUMIFS(INDEX('Oxford Economics'!$A$7:$AZ$1000,0,IFERROR(MATCH(W$5,'Oxford Economics'!$A$6:$AZ$6,0),MATCH(W$5&amp;"",'Oxford Economics'!$A$6:$AZ$6,0))),'Oxford Economics'!$A$7:$A$1000,$C84,'Oxford Economics'!$B$7:$B$1000,Settings!$B$15),SUMIFS(INDEX('Oxford Economics'!$A$7:$AZ$1000,0,IFERROR(MATCH(W$5,'Oxford Economics'!$A$6:$AZ$6,0),MATCH(W$5&amp;"",'Oxford Economics'!$A$6:$AZ$6,0))),'Oxford Economics'!$A$7:$A$1000,$C84,'Oxford Economics'!$B$7:$B$1000,Settings!$B$15)+SUMIFS(INDEX('Oxford Economics'!$A$7:$AZ$1000,0,IFERROR(MATCH(W$5,'Oxford Economics'!$A$6:$AZ$6,0),MATCH(W$5&amp;"",'Oxford Economics'!$A$6:$AZ$6,0))),'Oxford Economics'!$A$7:$A$1000,$C84,'Oxford Economics'!$B$7:$B$1000,Settings!$B$17)+IF(Settings!$B$19="",0,SUMIFS(INDEX('Oxford Economics'!$A$7:$AZ$1000,0,IFERROR(MATCH(W$5,'Oxford Economics'!$A$6:$AZ$6,0),MATCH(W$5&amp;"",'Oxford Economics'!$A$6:$AZ$6,0))),'Oxford Economics'!$A$7:$A$1000,$C84,'Oxford Economics'!$B$7:$B$1000,Settings!$B$19)))),""))</f>
        <v>19831.64</v>
      </c>
      <c r="X84" s="38" t="n">
        <f aca="false">IF($A84="","",IFERROR(1/(1/IF($B84="Residential",SUMIFS(INDEX('Oxford Economics'!$A$7:$AZ$1000,0,IFERROR(MATCH(X$5,'Oxford Economics'!$A$6:$AZ$6,0),MATCH(X$5&amp;"",'Oxford Economics'!$A$6:$AZ$6,0))),'Oxford Economics'!$A$7:$A$1000,$C84,'Oxford Economics'!$B$7:$B$1000,Settings!$B$13)-SUMIFS(INDEX('Oxford Economics'!$A$7:$AZ$1000,0,IFERROR(MATCH(X$5,'Oxford Economics'!$A$6:$AZ$6,0),MATCH(X$5&amp;"",'Oxford Economics'!$A$6:$AZ$6,0))),'Oxford Economics'!$A$7:$A$1000,$C84,'Oxford Economics'!$B$7:$B$1000,Settings!$B$15),SUMIFS(INDEX('Oxford Economics'!$A$7:$AZ$1000,0,IFERROR(MATCH(X$5,'Oxford Economics'!$A$6:$AZ$6,0),MATCH(X$5&amp;"",'Oxford Economics'!$A$6:$AZ$6,0))),'Oxford Economics'!$A$7:$A$1000,$C84,'Oxford Economics'!$B$7:$B$1000,Settings!$B$15)+SUMIFS(INDEX('Oxford Economics'!$A$7:$AZ$1000,0,IFERROR(MATCH(X$5,'Oxford Economics'!$A$6:$AZ$6,0),MATCH(X$5&amp;"",'Oxford Economics'!$A$6:$AZ$6,0))),'Oxford Economics'!$A$7:$A$1000,$C84,'Oxford Economics'!$B$7:$B$1000,Settings!$B$17)+IF(Settings!$B$19="",0,SUMIFS(INDEX('Oxford Economics'!$A$7:$AZ$1000,0,IFERROR(MATCH(X$5,'Oxford Economics'!$A$6:$AZ$6,0),MATCH(X$5&amp;"",'Oxford Economics'!$A$6:$AZ$6,0))),'Oxford Economics'!$A$7:$A$1000,$C84,'Oxford Economics'!$B$7:$B$1000,Settings!$B$19)))),""))</f>
        <v>19222.89</v>
      </c>
      <c r="Y84" s="38" t="n">
        <f aca="false">IF($A84="","",IFERROR(1/(1/IF($B84="Residential",SUMIFS(INDEX('Oxford Economics'!$A$7:$AZ$1000,0,IFERROR(MATCH(Y$5,'Oxford Economics'!$A$6:$AZ$6,0),MATCH(Y$5&amp;"",'Oxford Economics'!$A$6:$AZ$6,0))),'Oxford Economics'!$A$7:$A$1000,$C84,'Oxford Economics'!$B$7:$B$1000,Settings!$B$13)-SUMIFS(INDEX('Oxford Economics'!$A$7:$AZ$1000,0,IFERROR(MATCH(Y$5,'Oxford Economics'!$A$6:$AZ$6,0),MATCH(Y$5&amp;"",'Oxford Economics'!$A$6:$AZ$6,0))),'Oxford Economics'!$A$7:$A$1000,$C84,'Oxford Economics'!$B$7:$B$1000,Settings!$B$15),SUMIFS(INDEX('Oxford Economics'!$A$7:$AZ$1000,0,IFERROR(MATCH(Y$5,'Oxford Economics'!$A$6:$AZ$6,0),MATCH(Y$5&amp;"",'Oxford Economics'!$A$6:$AZ$6,0))),'Oxford Economics'!$A$7:$A$1000,$C84,'Oxford Economics'!$B$7:$B$1000,Settings!$B$15)+SUMIFS(INDEX('Oxford Economics'!$A$7:$AZ$1000,0,IFERROR(MATCH(Y$5,'Oxford Economics'!$A$6:$AZ$6,0),MATCH(Y$5&amp;"",'Oxford Economics'!$A$6:$AZ$6,0))),'Oxford Economics'!$A$7:$A$1000,$C84,'Oxford Economics'!$B$7:$B$1000,Settings!$B$17)+IF(Settings!$B$19="",0,SUMIFS(INDEX('Oxford Economics'!$A$7:$AZ$1000,0,IFERROR(MATCH(Y$5,'Oxford Economics'!$A$6:$AZ$6,0),MATCH(Y$5&amp;"",'Oxford Economics'!$A$6:$AZ$6,0))),'Oxford Economics'!$A$7:$A$1000,$C84,'Oxford Economics'!$B$7:$B$1000,Settings!$B$19)))),""))</f>
        <v>19386.41</v>
      </c>
      <c r="Z84" s="38" t="n">
        <f aca="false">IF($A84="","",IFERROR(1/(1/IF($B84="Residential",SUMIFS(INDEX('Oxford Economics'!$A$7:$AZ$1000,0,IFERROR(MATCH(Z$5,'Oxford Economics'!$A$6:$AZ$6,0),MATCH(Z$5&amp;"",'Oxford Economics'!$A$6:$AZ$6,0))),'Oxford Economics'!$A$7:$A$1000,$C84,'Oxford Economics'!$B$7:$B$1000,Settings!$B$13)-SUMIFS(INDEX('Oxford Economics'!$A$7:$AZ$1000,0,IFERROR(MATCH(Z$5,'Oxford Economics'!$A$6:$AZ$6,0),MATCH(Z$5&amp;"",'Oxford Economics'!$A$6:$AZ$6,0))),'Oxford Economics'!$A$7:$A$1000,$C84,'Oxford Economics'!$B$7:$B$1000,Settings!$B$15),SUMIFS(INDEX('Oxford Economics'!$A$7:$AZ$1000,0,IFERROR(MATCH(Z$5,'Oxford Economics'!$A$6:$AZ$6,0),MATCH(Z$5&amp;"",'Oxford Economics'!$A$6:$AZ$6,0))),'Oxford Economics'!$A$7:$A$1000,$C84,'Oxford Economics'!$B$7:$B$1000,Settings!$B$15)+SUMIFS(INDEX('Oxford Economics'!$A$7:$AZ$1000,0,IFERROR(MATCH(Z$5,'Oxford Economics'!$A$6:$AZ$6,0),MATCH(Z$5&amp;"",'Oxford Economics'!$A$6:$AZ$6,0))),'Oxford Economics'!$A$7:$A$1000,$C84,'Oxford Economics'!$B$7:$B$1000,Settings!$B$17)+IF(Settings!$B$19="",0,SUMIFS(INDEX('Oxford Economics'!$A$7:$AZ$1000,0,IFERROR(MATCH(Z$5,'Oxford Economics'!$A$6:$AZ$6,0),MATCH(Z$5&amp;"",'Oxford Economics'!$A$6:$AZ$6,0))),'Oxford Economics'!$A$7:$A$1000,$C84,'Oxford Economics'!$B$7:$B$1000,Settings!$B$19)))),""))</f>
        <v>19725.88</v>
      </c>
      <c r="AA84" s="38" t="n">
        <f aca="false">IF($A84="","",IFERROR(1/(1/IF($B84="Residential",SUMIFS(INDEX('Oxford Economics'!$A$7:$AZ$1000,0,IFERROR(MATCH(AA$5,'Oxford Economics'!$A$6:$AZ$6,0),MATCH(AA$5&amp;"",'Oxford Economics'!$A$6:$AZ$6,0))),'Oxford Economics'!$A$7:$A$1000,$C84,'Oxford Economics'!$B$7:$B$1000,Settings!$B$13)-SUMIFS(INDEX('Oxford Economics'!$A$7:$AZ$1000,0,IFERROR(MATCH(AA$5,'Oxford Economics'!$A$6:$AZ$6,0),MATCH(AA$5&amp;"",'Oxford Economics'!$A$6:$AZ$6,0))),'Oxford Economics'!$A$7:$A$1000,$C84,'Oxford Economics'!$B$7:$B$1000,Settings!$B$15),SUMIFS(INDEX('Oxford Economics'!$A$7:$AZ$1000,0,IFERROR(MATCH(AA$5,'Oxford Economics'!$A$6:$AZ$6,0),MATCH(AA$5&amp;"",'Oxford Economics'!$A$6:$AZ$6,0))),'Oxford Economics'!$A$7:$A$1000,$C84,'Oxford Economics'!$B$7:$B$1000,Settings!$B$15)+SUMIFS(INDEX('Oxford Economics'!$A$7:$AZ$1000,0,IFERROR(MATCH(AA$5,'Oxford Economics'!$A$6:$AZ$6,0),MATCH(AA$5&amp;"",'Oxford Economics'!$A$6:$AZ$6,0))),'Oxford Economics'!$A$7:$A$1000,$C84,'Oxford Economics'!$B$7:$B$1000,Settings!$B$17)+IF(Settings!$B$19="",0,SUMIFS(INDEX('Oxford Economics'!$A$7:$AZ$1000,0,IFERROR(MATCH(AA$5,'Oxford Economics'!$A$6:$AZ$6,0),MATCH(AA$5&amp;"",'Oxford Economics'!$A$6:$AZ$6,0))),'Oxford Economics'!$A$7:$A$1000,$C84,'Oxford Economics'!$B$7:$B$1000,Settings!$B$19)))),""))</f>
        <v>19500.6</v>
      </c>
      <c r="AB84" s="38" t="n">
        <f aca="false">IF($A84="","",IFERROR(1/(1/IF($B84="Residential",SUMIFS(INDEX('Oxford Economics'!$A$7:$AZ$1000,0,IFERROR(MATCH(AB$5,'Oxford Economics'!$A$6:$AZ$6,0),MATCH(AB$5&amp;"",'Oxford Economics'!$A$6:$AZ$6,0))),'Oxford Economics'!$A$7:$A$1000,$C84,'Oxford Economics'!$B$7:$B$1000,Settings!$B$12)-SUMIFS(INDEX('Oxford Economics'!$A$7:$AZ$1000,0,IFERROR(MATCH(AB$5,'Oxford Economics'!$A$6:$AZ$6,0),MATCH(AB$5&amp;"",'Oxford Economics'!$A$6:$AZ$6,0))),'Oxford Economics'!$A$7:$A$1000,$C84,'Oxford Economics'!$B$7:$B$1000,Settings!$B$14),SUMIFS(INDEX('Oxford Economics'!$A$7:$AZ$1000,0,IFERROR(MATCH(AB$5,'Oxford Economics'!$A$6:$AZ$6,0),MATCH(AB$5&amp;"",'Oxford Economics'!$A$6:$AZ$6,0))),'Oxford Economics'!$A$7:$A$1000,$C84,'Oxford Economics'!$B$7:$B$1000,Settings!$B$14)+SUMIFS(INDEX('Oxford Economics'!$A$7:$AZ$1000,0,IFERROR(MATCH(AB$5,'Oxford Economics'!$A$6:$AZ$6,0),MATCH(AB$5&amp;"",'Oxford Economics'!$A$6:$AZ$6,0))),'Oxford Economics'!$A$7:$A$1000,$C84,'Oxford Economics'!$B$7:$B$1000,Settings!$B$16)+IF(Settings!$B$18="",0,SUMIFS(INDEX('Oxford Economics'!$A$7:$AZ$1000,0,IFERROR(MATCH(AB$5,'Oxford Economics'!$A$6:$AZ$6,0),MATCH(AB$5&amp;"",'Oxford Economics'!$A$6:$AZ$6,0))),'Oxford Economics'!$A$7:$A$1000,$C84,'Oxford Economics'!$B$7:$B$1000,Settings!$B$18)))),""))</f>
        <v>3613.13</v>
      </c>
      <c r="AC84" s="38" t="n">
        <f aca="false">IF($A84="","",IFERROR(1/(1/IF($B84="Residential",SUMIFS(INDEX('Oxford Economics'!$A$7:$AZ$1000,0,IFERROR(MATCH(AC$5,'Oxford Economics'!$A$6:$AZ$6,0),MATCH(AC$5&amp;"",'Oxford Economics'!$A$6:$AZ$6,0))),'Oxford Economics'!$A$7:$A$1000,$C84,'Oxford Economics'!$B$7:$B$1000,Settings!$B$12)-SUMIFS(INDEX('Oxford Economics'!$A$7:$AZ$1000,0,IFERROR(MATCH(AC$5,'Oxford Economics'!$A$6:$AZ$6,0),MATCH(AC$5&amp;"",'Oxford Economics'!$A$6:$AZ$6,0))),'Oxford Economics'!$A$7:$A$1000,$C84,'Oxford Economics'!$B$7:$B$1000,Settings!$B$14),SUMIFS(INDEX('Oxford Economics'!$A$7:$AZ$1000,0,IFERROR(MATCH(AC$5,'Oxford Economics'!$A$6:$AZ$6,0),MATCH(AC$5&amp;"",'Oxford Economics'!$A$6:$AZ$6,0))),'Oxford Economics'!$A$7:$A$1000,$C84,'Oxford Economics'!$B$7:$B$1000,Settings!$B$14)+SUMIFS(INDEX('Oxford Economics'!$A$7:$AZ$1000,0,IFERROR(MATCH(AC$5,'Oxford Economics'!$A$6:$AZ$6,0),MATCH(AC$5&amp;"",'Oxford Economics'!$A$6:$AZ$6,0))),'Oxford Economics'!$A$7:$A$1000,$C84,'Oxford Economics'!$B$7:$B$1000,Settings!$B$16)+IF(Settings!$B$18="",0,SUMIFS(INDEX('Oxford Economics'!$A$7:$AZ$1000,0,IFERROR(MATCH(AC$5,'Oxford Economics'!$A$6:$AZ$6,0),MATCH(AC$5&amp;"",'Oxford Economics'!$A$6:$AZ$6,0))),'Oxford Economics'!$A$7:$A$1000,$C84,'Oxford Economics'!$B$7:$B$1000,Settings!$B$18)))),""))</f>
        <v>4523.94</v>
      </c>
      <c r="AD84" s="38" t="n">
        <f aca="false">IF($A84="","",IFERROR(1/(1/IF($B84="Residential",SUMIFS(INDEX('Oxford Economics'!$A$7:$AZ$1000,0,IFERROR(MATCH(AD$5,'Oxford Economics'!$A$6:$AZ$6,0),MATCH(AD$5&amp;"",'Oxford Economics'!$A$6:$AZ$6,0))),'Oxford Economics'!$A$7:$A$1000,$C84,'Oxford Economics'!$B$7:$B$1000,Settings!$B$12)-SUMIFS(INDEX('Oxford Economics'!$A$7:$AZ$1000,0,IFERROR(MATCH(AD$5,'Oxford Economics'!$A$6:$AZ$6,0),MATCH(AD$5&amp;"",'Oxford Economics'!$A$6:$AZ$6,0))),'Oxford Economics'!$A$7:$A$1000,$C84,'Oxford Economics'!$B$7:$B$1000,Settings!$B$14),SUMIFS(INDEX('Oxford Economics'!$A$7:$AZ$1000,0,IFERROR(MATCH(AD$5,'Oxford Economics'!$A$6:$AZ$6,0),MATCH(AD$5&amp;"",'Oxford Economics'!$A$6:$AZ$6,0))),'Oxford Economics'!$A$7:$A$1000,$C84,'Oxford Economics'!$B$7:$B$1000,Settings!$B$14)+SUMIFS(INDEX('Oxford Economics'!$A$7:$AZ$1000,0,IFERROR(MATCH(AD$5,'Oxford Economics'!$A$6:$AZ$6,0),MATCH(AD$5&amp;"",'Oxford Economics'!$A$6:$AZ$6,0))),'Oxford Economics'!$A$7:$A$1000,$C84,'Oxford Economics'!$B$7:$B$1000,Settings!$B$16)+IF(Settings!$B$18="",0,SUMIFS(INDEX('Oxford Economics'!$A$7:$AZ$1000,0,IFERROR(MATCH(AD$5,'Oxford Economics'!$A$6:$AZ$6,0),MATCH(AD$5&amp;"",'Oxford Economics'!$A$6:$AZ$6,0))),'Oxford Economics'!$A$7:$A$1000,$C84,'Oxford Economics'!$B$7:$B$1000,Settings!$B$18)))),""))</f>
        <v>4497.31</v>
      </c>
      <c r="AE84" s="38" t="n">
        <f aca="false">IF($A84="","",IFERROR(1/(1/IF($B84="Residential",SUMIFS(INDEX('Oxford Economics'!$A$7:$AZ$1000,0,IFERROR(MATCH(AE$5,'Oxford Economics'!$A$6:$AZ$6,0),MATCH(AE$5&amp;"",'Oxford Economics'!$A$6:$AZ$6,0))),'Oxford Economics'!$A$7:$A$1000,$C84,'Oxford Economics'!$B$7:$B$1000,Settings!$B$12)-SUMIFS(INDEX('Oxford Economics'!$A$7:$AZ$1000,0,IFERROR(MATCH(AE$5,'Oxford Economics'!$A$6:$AZ$6,0),MATCH(AE$5&amp;"",'Oxford Economics'!$A$6:$AZ$6,0))),'Oxford Economics'!$A$7:$A$1000,$C84,'Oxford Economics'!$B$7:$B$1000,Settings!$B$14),SUMIFS(INDEX('Oxford Economics'!$A$7:$AZ$1000,0,IFERROR(MATCH(AE$5,'Oxford Economics'!$A$6:$AZ$6,0),MATCH(AE$5&amp;"",'Oxford Economics'!$A$6:$AZ$6,0))),'Oxford Economics'!$A$7:$A$1000,$C84,'Oxford Economics'!$B$7:$B$1000,Settings!$B$14)+SUMIFS(INDEX('Oxford Economics'!$A$7:$AZ$1000,0,IFERROR(MATCH(AE$5,'Oxford Economics'!$A$6:$AZ$6,0),MATCH(AE$5&amp;"",'Oxford Economics'!$A$6:$AZ$6,0))),'Oxford Economics'!$A$7:$A$1000,$C84,'Oxford Economics'!$B$7:$B$1000,Settings!$B$16)+IF(Settings!$B$18="",0,SUMIFS(INDEX('Oxford Economics'!$A$7:$AZ$1000,0,IFERROR(MATCH(AE$5,'Oxford Economics'!$A$6:$AZ$6,0),MATCH(AE$5&amp;"",'Oxford Economics'!$A$6:$AZ$6,0))),'Oxford Economics'!$A$7:$A$1000,$C84,'Oxford Economics'!$B$7:$B$1000,Settings!$B$18)))),""))</f>
        <v>5300.02</v>
      </c>
      <c r="AF84" s="38" t="n">
        <f aca="false">IF($A84="","",IFERROR(1/(1/IF($B84="Residential",SUMIFS(INDEX('Oxford Economics'!$A$7:$AZ$1000,0,IFERROR(MATCH(AF$5,'Oxford Economics'!$A$6:$AZ$6,0),MATCH(AF$5&amp;"",'Oxford Economics'!$A$6:$AZ$6,0))),'Oxford Economics'!$A$7:$A$1000,$C84,'Oxford Economics'!$B$7:$B$1000,Settings!$B$12)-SUMIFS(INDEX('Oxford Economics'!$A$7:$AZ$1000,0,IFERROR(MATCH(AF$5,'Oxford Economics'!$A$6:$AZ$6,0),MATCH(AF$5&amp;"",'Oxford Economics'!$A$6:$AZ$6,0))),'Oxford Economics'!$A$7:$A$1000,$C84,'Oxford Economics'!$B$7:$B$1000,Settings!$B$14),SUMIFS(INDEX('Oxford Economics'!$A$7:$AZ$1000,0,IFERROR(MATCH(AF$5,'Oxford Economics'!$A$6:$AZ$6,0),MATCH(AF$5&amp;"",'Oxford Economics'!$A$6:$AZ$6,0))),'Oxford Economics'!$A$7:$A$1000,$C84,'Oxford Economics'!$B$7:$B$1000,Settings!$B$14)+SUMIFS(INDEX('Oxford Economics'!$A$7:$AZ$1000,0,IFERROR(MATCH(AF$5,'Oxford Economics'!$A$6:$AZ$6,0),MATCH(AF$5&amp;"",'Oxford Economics'!$A$6:$AZ$6,0))),'Oxford Economics'!$A$7:$A$1000,$C84,'Oxford Economics'!$B$7:$B$1000,Settings!$B$16)+IF(Settings!$B$18="",0,SUMIFS(INDEX('Oxford Economics'!$A$7:$AZ$1000,0,IFERROR(MATCH(AF$5,'Oxford Economics'!$A$6:$AZ$6,0),MATCH(AF$5&amp;"",'Oxford Economics'!$A$6:$AZ$6,0))),'Oxford Economics'!$A$7:$A$1000,$C84,'Oxford Economics'!$B$7:$B$1000,Settings!$B$18)))),""))</f>
        <v>6028.56</v>
      </c>
      <c r="AG84" s="38" t="n">
        <f aca="false">IF($A84="","",IFERROR(1/(1/IF($B84="Residential",SUMIFS(INDEX('Oxford Economics'!$A$7:$AZ$1000,0,IFERROR(MATCH(AG$5,'Oxford Economics'!$A$6:$AZ$6,0),MATCH(AG$5&amp;"",'Oxford Economics'!$A$6:$AZ$6,0))),'Oxford Economics'!$A$7:$A$1000,$C84,'Oxford Economics'!$B$7:$B$1000,Settings!$B$12)-SUMIFS(INDEX('Oxford Economics'!$A$7:$AZ$1000,0,IFERROR(MATCH(AG$5,'Oxford Economics'!$A$6:$AZ$6,0),MATCH(AG$5&amp;"",'Oxford Economics'!$A$6:$AZ$6,0))),'Oxford Economics'!$A$7:$A$1000,$C84,'Oxford Economics'!$B$7:$B$1000,Settings!$B$14),SUMIFS(INDEX('Oxford Economics'!$A$7:$AZ$1000,0,IFERROR(MATCH(AG$5,'Oxford Economics'!$A$6:$AZ$6,0),MATCH(AG$5&amp;"",'Oxford Economics'!$A$6:$AZ$6,0))),'Oxford Economics'!$A$7:$A$1000,$C84,'Oxford Economics'!$B$7:$B$1000,Settings!$B$14)+SUMIFS(INDEX('Oxford Economics'!$A$7:$AZ$1000,0,IFERROR(MATCH(AG$5,'Oxford Economics'!$A$6:$AZ$6,0),MATCH(AG$5&amp;"",'Oxford Economics'!$A$6:$AZ$6,0))),'Oxford Economics'!$A$7:$A$1000,$C84,'Oxford Economics'!$B$7:$B$1000,Settings!$B$16)+IF(Settings!$B$18="",0,SUMIFS(INDEX('Oxford Economics'!$A$7:$AZ$1000,0,IFERROR(MATCH(AG$5,'Oxford Economics'!$A$6:$AZ$6,0),MATCH(AG$5&amp;"",'Oxford Economics'!$A$6:$AZ$6,0))),'Oxford Economics'!$A$7:$A$1000,$C84,'Oxford Economics'!$B$7:$B$1000,Settings!$B$18)))),""))</f>
        <v>5709.68</v>
      </c>
      <c r="AH84" s="38" t="n">
        <f aca="false">IF($A84="","",IFERROR(1/(1/IF($B84="Residential",SUMIFS(INDEX('Oxford Economics'!$A$7:$AZ$1000,0,IFERROR(MATCH(AH$5,'Oxford Economics'!$A$6:$AZ$6,0),MATCH(AH$5&amp;"",'Oxford Economics'!$A$6:$AZ$6,0))),'Oxford Economics'!$A$7:$A$1000,$C84,'Oxford Economics'!$B$7:$B$1000,Settings!$B$12)-SUMIFS(INDEX('Oxford Economics'!$A$7:$AZ$1000,0,IFERROR(MATCH(AH$5,'Oxford Economics'!$A$6:$AZ$6,0),MATCH(AH$5&amp;"",'Oxford Economics'!$A$6:$AZ$6,0))),'Oxford Economics'!$A$7:$A$1000,$C84,'Oxford Economics'!$B$7:$B$1000,Settings!$B$14),SUMIFS(INDEX('Oxford Economics'!$A$7:$AZ$1000,0,IFERROR(MATCH(AH$5,'Oxford Economics'!$A$6:$AZ$6,0),MATCH(AH$5&amp;"",'Oxford Economics'!$A$6:$AZ$6,0))),'Oxford Economics'!$A$7:$A$1000,$C84,'Oxford Economics'!$B$7:$B$1000,Settings!$B$14)+SUMIFS(INDEX('Oxford Economics'!$A$7:$AZ$1000,0,IFERROR(MATCH(AH$5,'Oxford Economics'!$A$6:$AZ$6,0),MATCH(AH$5&amp;"",'Oxford Economics'!$A$6:$AZ$6,0))),'Oxford Economics'!$A$7:$A$1000,$C84,'Oxford Economics'!$B$7:$B$1000,Settings!$B$16)+IF(Settings!$B$18="",0,SUMIFS(INDEX('Oxford Economics'!$A$7:$AZ$1000,0,IFERROR(MATCH(AH$5,'Oxford Economics'!$A$6:$AZ$6,0),MATCH(AH$5&amp;"",'Oxford Economics'!$A$6:$AZ$6,0))),'Oxford Economics'!$A$7:$A$1000,$C84,'Oxford Economics'!$B$7:$B$1000,Settings!$B$18)))),""))</f>
        <v>5834.22</v>
      </c>
      <c r="AI84" s="38" t="n">
        <f aca="false">IF($A84="","",IFERROR(1/(1/IF($B84="Residential",SUMIFS(INDEX('Oxford Economics'!$A$7:$AZ$1000,0,IFERROR(MATCH(AI$5,'Oxford Economics'!$A$6:$AZ$6,0),MATCH(AI$5&amp;"",'Oxford Economics'!$A$6:$AZ$6,0))),'Oxford Economics'!$A$7:$A$1000,$C84,'Oxford Economics'!$B$7:$B$1000,Settings!$B$12)-SUMIFS(INDEX('Oxford Economics'!$A$7:$AZ$1000,0,IFERROR(MATCH(AI$5,'Oxford Economics'!$A$6:$AZ$6,0),MATCH(AI$5&amp;"",'Oxford Economics'!$A$6:$AZ$6,0))),'Oxford Economics'!$A$7:$A$1000,$C84,'Oxford Economics'!$B$7:$B$1000,Settings!$B$14),SUMIFS(INDEX('Oxford Economics'!$A$7:$AZ$1000,0,IFERROR(MATCH(AI$5,'Oxford Economics'!$A$6:$AZ$6,0),MATCH(AI$5&amp;"",'Oxford Economics'!$A$6:$AZ$6,0))),'Oxford Economics'!$A$7:$A$1000,$C84,'Oxford Economics'!$B$7:$B$1000,Settings!$B$14)+SUMIFS(INDEX('Oxford Economics'!$A$7:$AZ$1000,0,IFERROR(MATCH(AI$5,'Oxford Economics'!$A$6:$AZ$6,0),MATCH(AI$5&amp;"",'Oxford Economics'!$A$6:$AZ$6,0))),'Oxford Economics'!$A$7:$A$1000,$C84,'Oxford Economics'!$B$7:$B$1000,Settings!$B$16)+IF(Settings!$B$18="",0,SUMIFS(INDEX('Oxford Economics'!$A$7:$AZ$1000,0,IFERROR(MATCH(AI$5,'Oxford Economics'!$A$6:$AZ$6,0),MATCH(AI$5&amp;"",'Oxford Economics'!$A$6:$AZ$6,0))),'Oxford Economics'!$A$7:$A$1000,$C84,'Oxford Economics'!$B$7:$B$1000,Settings!$B$18)))),""))</f>
        <v>5386.61</v>
      </c>
      <c r="AJ84" s="38" t="n">
        <f aca="false">IF($A84="","",IFERROR(1/(1/IF($B84="Residential",SUMIFS(INDEX('Oxford Economics'!$A$7:$AZ$1000,0,IFERROR(MATCH(AJ$5,'Oxford Economics'!$A$6:$AZ$6,0),MATCH(AJ$5&amp;"",'Oxford Economics'!$A$6:$AZ$6,0))),'Oxford Economics'!$A$7:$A$1000,$C84,'Oxford Economics'!$B$7:$B$1000,Settings!$B$12)-SUMIFS(INDEX('Oxford Economics'!$A$7:$AZ$1000,0,IFERROR(MATCH(AJ$5,'Oxford Economics'!$A$6:$AZ$6,0),MATCH(AJ$5&amp;"",'Oxford Economics'!$A$6:$AZ$6,0))),'Oxford Economics'!$A$7:$A$1000,$C84,'Oxford Economics'!$B$7:$B$1000,Settings!$B$14),SUMIFS(INDEX('Oxford Economics'!$A$7:$AZ$1000,0,IFERROR(MATCH(AJ$5,'Oxford Economics'!$A$6:$AZ$6,0),MATCH(AJ$5&amp;"",'Oxford Economics'!$A$6:$AZ$6,0))),'Oxford Economics'!$A$7:$A$1000,$C84,'Oxford Economics'!$B$7:$B$1000,Settings!$B$14)+SUMIFS(INDEX('Oxford Economics'!$A$7:$AZ$1000,0,IFERROR(MATCH(AJ$5,'Oxford Economics'!$A$6:$AZ$6,0),MATCH(AJ$5&amp;"",'Oxford Economics'!$A$6:$AZ$6,0))),'Oxford Economics'!$A$7:$A$1000,$C84,'Oxford Economics'!$B$7:$B$1000,Settings!$B$16)+IF(Settings!$B$18="",0,SUMIFS(INDEX('Oxford Economics'!$A$7:$AZ$1000,0,IFERROR(MATCH(AJ$5,'Oxford Economics'!$A$6:$AZ$6,0),MATCH(AJ$5&amp;"",'Oxford Economics'!$A$6:$AZ$6,0))),'Oxford Economics'!$A$7:$A$1000,$C84,'Oxford Economics'!$B$7:$B$1000,Settings!$B$18)))),""))</f>
        <v>4866.9</v>
      </c>
      <c r="AK84" s="38" t="n">
        <f aca="false">IF($A84="","",IFERROR(1/(1/IF($B84="Residential",SUMIFS(INDEX('Oxford Economics'!$A$7:$AZ$1000,0,IFERROR(MATCH(AK$5,'Oxford Economics'!$A$6:$AZ$6,0),MATCH(AK$5&amp;"",'Oxford Economics'!$A$6:$AZ$6,0))),'Oxford Economics'!$A$7:$A$1000,$C84,'Oxford Economics'!$B$7:$B$1000,Settings!$B$12)-SUMIFS(INDEX('Oxford Economics'!$A$7:$AZ$1000,0,IFERROR(MATCH(AK$5,'Oxford Economics'!$A$6:$AZ$6,0),MATCH(AK$5&amp;"",'Oxford Economics'!$A$6:$AZ$6,0))),'Oxford Economics'!$A$7:$A$1000,$C84,'Oxford Economics'!$B$7:$B$1000,Settings!$B$14),SUMIFS(INDEX('Oxford Economics'!$A$7:$AZ$1000,0,IFERROR(MATCH(AK$5,'Oxford Economics'!$A$6:$AZ$6,0),MATCH(AK$5&amp;"",'Oxford Economics'!$A$6:$AZ$6,0))),'Oxford Economics'!$A$7:$A$1000,$C84,'Oxford Economics'!$B$7:$B$1000,Settings!$B$14)+SUMIFS(INDEX('Oxford Economics'!$A$7:$AZ$1000,0,IFERROR(MATCH(AK$5,'Oxford Economics'!$A$6:$AZ$6,0),MATCH(AK$5&amp;"",'Oxford Economics'!$A$6:$AZ$6,0))),'Oxford Economics'!$A$7:$A$1000,$C84,'Oxford Economics'!$B$7:$B$1000,Settings!$B$16)+IF(Settings!$B$18="",0,SUMIFS(INDEX('Oxford Economics'!$A$7:$AZ$1000,0,IFERROR(MATCH(AK$5,'Oxford Economics'!$A$6:$AZ$6,0),MATCH(AK$5&amp;"",'Oxford Economics'!$A$6:$AZ$6,0))),'Oxford Economics'!$A$7:$A$1000,$C84,'Oxford Economics'!$B$7:$B$1000,Settings!$B$18)))),""))</f>
        <v>4543.34</v>
      </c>
      <c r="AL84" s="38" t="n">
        <f aca="false">IF($A84="","",IFERROR(1/(1/IF($B84="Residential",SUMIFS(INDEX('Oxford Economics'!$A$7:$AZ$1000,0,IFERROR(MATCH(AL$5,'Oxford Economics'!$A$6:$AZ$6,0),MATCH(AL$5&amp;"",'Oxford Economics'!$A$6:$AZ$6,0))),'Oxford Economics'!$A$7:$A$1000,$C84,'Oxford Economics'!$B$7:$B$1000,Settings!$B$12)-SUMIFS(INDEX('Oxford Economics'!$A$7:$AZ$1000,0,IFERROR(MATCH(AL$5,'Oxford Economics'!$A$6:$AZ$6,0),MATCH(AL$5&amp;"",'Oxford Economics'!$A$6:$AZ$6,0))),'Oxford Economics'!$A$7:$A$1000,$C84,'Oxford Economics'!$B$7:$B$1000,Settings!$B$14),SUMIFS(INDEX('Oxford Economics'!$A$7:$AZ$1000,0,IFERROR(MATCH(AL$5,'Oxford Economics'!$A$6:$AZ$6,0),MATCH(AL$5&amp;"",'Oxford Economics'!$A$6:$AZ$6,0))),'Oxford Economics'!$A$7:$A$1000,$C84,'Oxford Economics'!$B$7:$B$1000,Settings!$B$14)+SUMIFS(INDEX('Oxford Economics'!$A$7:$AZ$1000,0,IFERROR(MATCH(AL$5,'Oxford Economics'!$A$6:$AZ$6,0),MATCH(AL$5&amp;"",'Oxford Economics'!$A$6:$AZ$6,0))),'Oxford Economics'!$A$7:$A$1000,$C84,'Oxford Economics'!$B$7:$B$1000,Settings!$B$16)+IF(Settings!$B$18="",0,SUMIFS(INDEX('Oxford Economics'!$A$7:$AZ$1000,0,IFERROR(MATCH(AL$5,'Oxford Economics'!$A$6:$AZ$6,0),MATCH(AL$5&amp;"",'Oxford Economics'!$A$6:$AZ$6,0))),'Oxford Economics'!$A$7:$A$1000,$C84,'Oxford Economics'!$B$7:$B$1000,Settings!$B$18)))),""))</f>
        <v>4364.92</v>
      </c>
      <c r="AM84" s="38" t="n">
        <f aca="false">IF($A84="","",IFERROR(1/(1/IF($B84="Residential",SUMIFS(INDEX('Oxford Economics'!$A$7:$AZ$1000,0,IFERROR(MATCH(AM$5,'Oxford Economics'!$A$6:$AZ$6,0),MATCH(AM$5&amp;"",'Oxford Economics'!$A$6:$AZ$6,0))),'Oxford Economics'!$A$7:$A$1000,$C84,'Oxford Economics'!$B$7:$B$1000,Settings!$B$12)-SUMIFS(INDEX('Oxford Economics'!$A$7:$AZ$1000,0,IFERROR(MATCH(AM$5,'Oxford Economics'!$A$6:$AZ$6,0),MATCH(AM$5&amp;"",'Oxford Economics'!$A$6:$AZ$6,0))),'Oxford Economics'!$A$7:$A$1000,$C84,'Oxford Economics'!$B$7:$B$1000,Settings!$B$14),SUMIFS(INDEX('Oxford Economics'!$A$7:$AZ$1000,0,IFERROR(MATCH(AM$5,'Oxford Economics'!$A$6:$AZ$6,0),MATCH(AM$5&amp;"",'Oxford Economics'!$A$6:$AZ$6,0))),'Oxford Economics'!$A$7:$A$1000,$C84,'Oxford Economics'!$B$7:$B$1000,Settings!$B$14)+SUMIFS(INDEX('Oxford Economics'!$A$7:$AZ$1000,0,IFERROR(MATCH(AM$5,'Oxford Economics'!$A$6:$AZ$6,0),MATCH(AM$5&amp;"",'Oxford Economics'!$A$6:$AZ$6,0))),'Oxford Economics'!$A$7:$A$1000,$C84,'Oxford Economics'!$B$7:$B$1000,Settings!$B$16)+IF(Settings!$B$18="",0,SUMIFS(INDEX('Oxford Economics'!$A$7:$AZ$1000,0,IFERROR(MATCH(AM$5,'Oxford Economics'!$A$6:$AZ$6,0),MATCH(AM$5&amp;"",'Oxford Economics'!$A$6:$AZ$6,0))),'Oxford Economics'!$A$7:$A$1000,$C84,'Oxford Economics'!$B$7:$B$1000,Settings!$B$18)))),""))</f>
        <v>4267.64</v>
      </c>
    </row>
    <row r="85" customFormat="false" ht="15" hidden="false" customHeight="false" outlineLevel="0" collapsed="false">
      <c r="A85" s="37" t="str">
        <f aca="false">IF('Raw data'!$A85="","",'Raw data'!$A85)</f>
        <v>Italy</v>
      </c>
      <c r="B85" s="37" t="str">
        <f aca="false">IF($A85="","",'Raw data'!$C85)</f>
        <v>Residential</v>
      </c>
      <c r="C85" s="37" t="str">
        <f aca="false">IF($A85="","",IF('Raw data'!$E85="",$A85,'Raw data'!$E85))</f>
        <v>Italy</v>
      </c>
      <c r="D85" s="38" t="n">
        <f aca="false">IF($A85="","",IF(AND(ISNUMBER(P85),ISNUMBER(AB85)),P85+AB85,""))</f>
        <v>16621.24</v>
      </c>
      <c r="E85" s="38" t="n">
        <f aca="false">IF($A85="","",IF(AND(ISNUMBER(Q85),ISNUMBER(AC85)),Q85+AC85,""))</f>
        <v>21648.74</v>
      </c>
      <c r="F85" s="38" t="n">
        <f aca="false">IF($A85="","",IF(AND(ISNUMBER(R85),ISNUMBER(AD85)),R85+AD85,""))</f>
        <v>25555.35</v>
      </c>
      <c r="G85" s="38" t="n">
        <f aca="false">IF($A85="","",IF(AND(ISNUMBER(S85),ISNUMBER(AE85)),S85+AE85,""))</f>
        <v>28605.7</v>
      </c>
      <c r="H85" s="38" t="n">
        <f aca="false">IF($A85="","",IF(AND(ISNUMBER(T85),ISNUMBER(AF85)),T85+AF85,""))</f>
        <v>29129.08</v>
      </c>
      <c r="I85" s="38" t="n">
        <f aca="false">IF($A85="","",IF(AND(ISNUMBER(U85),ISNUMBER(AG85)),U85+AG85,""))</f>
        <v>27391</v>
      </c>
      <c r="J85" s="38" t="n">
        <f aca="false">IF($A85="","",IF(AND(ISNUMBER(V85),ISNUMBER(AH85)),V85+AH85,""))</f>
        <v>26617.93</v>
      </c>
      <c r="K85" s="38" t="n">
        <f aca="false">IF($A85="","",IF(AND(ISNUMBER(W85),ISNUMBER(AI85)),W85+AI85,""))</f>
        <v>25218.25</v>
      </c>
      <c r="L85" s="38" t="n">
        <f aca="false">IF($A85="","",IF(AND(ISNUMBER(X85),ISNUMBER(AJ85)),X85+AJ85,""))</f>
        <v>24089.79</v>
      </c>
      <c r="M85" s="38" t="n">
        <f aca="false">IF($A85="","",IF(AND(ISNUMBER(Y85),ISNUMBER(AK85)),Y85+AK85,""))</f>
        <v>23929.75</v>
      </c>
      <c r="N85" s="38" t="n">
        <f aca="false">IF($A85="","",IF(AND(ISNUMBER(Z85),ISNUMBER(AL85)),Z85+AL85,""))</f>
        <v>24090.8</v>
      </c>
      <c r="O85" s="38" t="n">
        <f aca="false">IF($A85="","",IF(AND(ISNUMBER(AA85),ISNUMBER(AM85)),AA85+AM85,""))</f>
        <v>23768.24</v>
      </c>
      <c r="P85" s="38" t="n">
        <f aca="false">IF($A85="","",IFERROR(1/(1/IF($B85="Residential",SUMIFS(INDEX('Oxford Economics'!$A$7:$AZ$1000,0,IFERROR(MATCH(P$5,'Oxford Economics'!$A$6:$AZ$6,0),MATCH(P$5&amp;"",'Oxford Economics'!$A$6:$AZ$6,0))),'Oxford Economics'!$A$7:$A$1000,$C85,'Oxford Economics'!$B$7:$B$1000,Settings!$B$13)-SUMIFS(INDEX('Oxford Economics'!$A$7:$AZ$1000,0,IFERROR(MATCH(P$5,'Oxford Economics'!$A$6:$AZ$6,0),MATCH(P$5&amp;"",'Oxford Economics'!$A$6:$AZ$6,0))),'Oxford Economics'!$A$7:$A$1000,$C85,'Oxford Economics'!$B$7:$B$1000,Settings!$B$15),SUMIFS(INDEX('Oxford Economics'!$A$7:$AZ$1000,0,IFERROR(MATCH(P$5,'Oxford Economics'!$A$6:$AZ$6,0),MATCH(P$5&amp;"",'Oxford Economics'!$A$6:$AZ$6,0))),'Oxford Economics'!$A$7:$A$1000,$C85,'Oxford Economics'!$B$7:$B$1000,Settings!$B$15)+SUMIFS(INDEX('Oxford Economics'!$A$7:$AZ$1000,0,IFERROR(MATCH(P$5,'Oxford Economics'!$A$6:$AZ$6,0),MATCH(P$5&amp;"",'Oxford Economics'!$A$6:$AZ$6,0))),'Oxford Economics'!$A$7:$A$1000,$C85,'Oxford Economics'!$B$7:$B$1000,Settings!$B$17)+IF(Settings!$B$19="",0,SUMIFS(INDEX('Oxford Economics'!$A$7:$AZ$1000,0,IFERROR(MATCH(P$5,'Oxford Economics'!$A$6:$AZ$6,0),MATCH(P$5&amp;"",'Oxford Economics'!$A$6:$AZ$6,0))),'Oxford Economics'!$A$7:$A$1000,$C85,'Oxford Economics'!$B$7:$B$1000,Settings!$B$19)))),""))</f>
        <v>13008.11</v>
      </c>
      <c r="Q85" s="38" t="n">
        <f aca="false">IF($A85="","",IFERROR(1/(1/IF($B85="Residential",SUMIFS(INDEX('Oxford Economics'!$A$7:$AZ$1000,0,IFERROR(MATCH(Q$5,'Oxford Economics'!$A$6:$AZ$6,0),MATCH(Q$5&amp;"",'Oxford Economics'!$A$6:$AZ$6,0))),'Oxford Economics'!$A$7:$A$1000,$C85,'Oxford Economics'!$B$7:$B$1000,Settings!$B$13)-SUMIFS(INDEX('Oxford Economics'!$A$7:$AZ$1000,0,IFERROR(MATCH(Q$5,'Oxford Economics'!$A$6:$AZ$6,0),MATCH(Q$5&amp;"",'Oxford Economics'!$A$6:$AZ$6,0))),'Oxford Economics'!$A$7:$A$1000,$C85,'Oxford Economics'!$B$7:$B$1000,Settings!$B$15),SUMIFS(INDEX('Oxford Economics'!$A$7:$AZ$1000,0,IFERROR(MATCH(Q$5,'Oxford Economics'!$A$6:$AZ$6,0),MATCH(Q$5&amp;"",'Oxford Economics'!$A$6:$AZ$6,0))),'Oxford Economics'!$A$7:$A$1000,$C85,'Oxford Economics'!$B$7:$B$1000,Settings!$B$15)+SUMIFS(INDEX('Oxford Economics'!$A$7:$AZ$1000,0,IFERROR(MATCH(Q$5,'Oxford Economics'!$A$6:$AZ$6,0),MATCH(Q$5&amp;"",'Oxford Economics'!$A$6:$AZ$6,0))),'Oxford Economics'!$A$7:$A$1000,$C85,'Oxford Economics'!$B$7:$B$1000,Settings!$B$17)+IF(Settings!$B$19="",0,SUMIFS(INDEX('Oxford Economics'!$A$7:$AZ$1000,0,IFERROR(MATCH(Q$5,'Oxford Economics'!$A$6:$AZ$6,0),MATCH(Q$5&amp;"",'Oxford Economics'!$A$6:$AZ$6,0))),'Oxford Economics'!$A$7:$A$1000,$C85,'Oxford Economics'!$B$7:$B$1000,Settings!$B$19)))),""))</f>
        <v>17124.8</v>
      </c>
      <c r="R85" s="38" t="n">
        <f aca="false">IF($A85="","",IFERROR(1/(1/IF($B85="Residential",SUMIFS(INDEX('Oxford Economics'!$A$7:$AZ$1000,0,IFERROR(MATCH(R$5,'Oxford Economics'!$A$6:$AZ$6,0),MATCH(R$5&amp;"",'Oxford Economics'!$A$6:$AZ$6,0))),'Oxford Economics'!$A$7:$A$1000,$C85,'Oxford Economics'!$B$7:$B$1000,Settings!$B$13)-SUMIFS(INDEX('Oxford Economics'!$A$7:$AZ$1000,0,IFERROR(MATCH(R$5,'Oxford Economics'!$A$6:$AZ$6,0),MATCH(R$5&amp;"",'Oxford Economics'!$A$6:$AZ$6,0))),'Oxford Economics'!$A$7:$A$1000,$C85,'Oxford Economics'!$B$7:$B$1000,Settings!$B$15),SUMIFS(INDEX('Oxford Economics'!$A$7:$AZ$1000,0,IFERROR(MATCH(R$5,'Oxford Economics'!$A$6:$AZ$6,0),MATCH(R$5&amp;"",'Oxford Economics'!$A$6:$AZ$6,0))),'Oxford Economics'!$A$7:$A$1000,$C85,'Oxford Economics'!$B$7:$B$1000,Settings!$B$15)+SUMIFS(INDEX('Oxford Economics'!$A$7:$AZ$1000,0,IFERROR(MATCH(R$5,'Oxford Economics'!$A$6:$AZ$6,0),MATCH(R$5&amp;"",'Oxford Economics'!$A$6:$AZ$6,0))),'Oxford Economics'!$A$7:$A$1000,$C85,'Oxford Economics'!$B$7:$B$1000,Settings!$B$17)+IF(Settings!$B$19="",0,SUMIFS(INDEX('Oxford Economics'!$A$7:$AZ$1000,0,IFERROR(MATCH(R$5,'Oxford Economics'!$A$6:$AZ$6,0),MATCH(R$5&amp;"",'Oxford Economics'!$A$6:$AZ$6,0))),'Oxford Economics'!$A$7:$A$1000,$C85,'Oxford Economics'!$B$7:$B$1000,Settings!$B$19)))),""))</f>
        <v>21058.04</v>
      </c>
      <c r="S85" s="38" t="n">
        <f aca="false">IF($A85="","",IFERROR(1/(1/IF($B85="Residential",SUMIFS(INDEX('Oxford Economics'!$A$7:$AZ$1000,0,IFERROR(MATCH(S$5,'Oxford Economics'!$A$6:$AZ$6,0),MATCH(S$5&amp;"",'Oxford Economics'!$A$6:$AZ$6,0))),'Oxford Economics'!$A$7:$A$1000,$C85,'Oxford Economics'!$B$7:$B$1000,Settings!$B$13)-SUMIFS(INDEX('Oxford Economics'!$A$7:$AZ$1000,0,IFERROR(MATCH(S$5,'Oxford Economics'!$A$6:$AZ$6,0),MATCH(S$5&amp;"",'Oxford Economics'!$A$6:$AZ$6,0))),'Oxford Economics'!$A$7:$A$1000,$C85,'Oxford Economics'!$B$7:$B$1000,Settings!$B$15),SUMIFS(INDEX('Oxford Economics'!$A$7:$AZ$1000,0,IFERROR(MATCH(S$5,'Oxford Economics'!$A$6:$AZ$6,0),MATCH(S$5&amp;"",'Oxford Economics'!$A$6:$AZ$6,0))),'Oxford Economics'!$A$7:$A$1000,$C85,'Oxford Economics'!$B$7:$B$1000,Settings!$B$15)+SUMIFS(INDEX('Oxford Economics'!$A$7:$AZ$1000,0,IFERROR(MATCH(S$5,'Oxford Economics'!$A$6:$AZ$6,0),MATCH(S$5&amp;"",'Oxford Economics'!$A$6:$AZ$6,0))),'Oxford Economics'!$A$7:$A$1000,$C85,'Oxford Economics'!$B$7:$B$1000,Settings!$B$17)+IF(Settings!$B$19="",0,SUMIFS(INDEX('Oxford Economics'!$A$7:$AZ$1000,0,IFERROR(MATCH(S$5,'Oxford Economics'!$A$6:$AZ$6,0),MATCH(S$5&amp;"",'Oxford Economics'!$A$6:$AZ$6,0))),'Oxford Economics'!$A$7:$A$1000,$C85,'Oxford Economics'!$B$7:$B$1000,Settings!$B$19)))),""))</f>
        <v>23305.68</v>
      </c>
      <c r="T85" s="38" t="n">
        <f aca="false">IF($A85="","",IFERROR(1/(1/IF($B85="Residential",SUMIFS(INDEX('Oxford Economics'!$A$7:$AZ$1000,0,IFERROR(MATCH(T$5,'Oxford Economics'!$A$6:$AZ$6,0),MATCH(T$5&amp;"",'Oxford Economics'!$A$6:$AZ$6,0))),'Oxford Economics'!$A$7:$A$1000,$C85,'Oxford Economics'!$B$7:$B$1000,Settings!$B$13)-SUMIFS(INDEX('Oxford Economics'!$A$7:$AZ$1000,0,IFERROR(MATCH(T$5,'Oxford Economics'!$A$6:$AZ$6,0),MATCH(T$5&amp;"",'Oxford Economics'!$A$6:$AZ$6,0))),'Oxford Economics'!$A$7:$A$1000,$C85,'Oxford Economics'!$B$7:$B$1000,Settings!$B$15),SUMIFS(INDEX('Oxford Economics'!$A$7:$AZ$1000,0,IFERROR(MATCH(T$5,'Oxford Economics'!$A$6:$AZ$6,0),MATCH(T$5&amp;"",'Oxford Economics'!$A$6:$AZ$6,0))),'Oxford Economics'!$A$7:$A$1000,$C85,'Oxford Economics'!$B$7:$B$1000,Settings!$B$15)+SUMIFS(INDEX('Oxford Economics'!$A$7:$AZ$1000,0,IFERROR(MATCH(T$5,'Oxford Economics'!$A$6:$AZ$6,0),MATCH(T$5&amp;"",'Oxford Economics'!$A$6:$AZ$6,0))),'Oxford Economics'!$A$7:$A$1000,$C85,'Oxford Economics'!$B$7:$B$1000,Settings!$B$17)+IF(Settings!$B$19="",0,SUMIFS(INDEX('Oxford Economics'!$A$7:$AZ$1000,0,IFERROR(MATCH(T$5,'Oxford Economics'!$A$6:$AZ$6,0),MATCH(T$5&amp;"",'Oxford Economics'!$A$6:$AZ$6,0))),'Oxford Economics'!$A$7:$A$1000,$C85,'Oxford Economics'!$B$7:$B$1000,Settings!$B$19)))),""))</f>
        <v>23100.52</v>
      </c>
      <c r="U85" s="38" t="n">
        <f aca="false">IF($A85="","",IFERROR(1/(1/IF($B85="Residential",SUMIFS(INDEX('Oxford Economics'!$A$7:$AZ$1000,0,IFERROR(MATCH(U$5,'Oxford Economics'!$A$6:$AZ$6,0),MATCH(U$5&amp;"",'Oxford Economics'!$A$6:$AZ$6,0))),'Oxford Economics'!$A$7:$A$1000,$C85,'Oxford Economics'!$B$7:$B$1000,Settings!$B$13)-SUMIFS(INDEX('Oxford Economics'!$A$7:$AZ$1000,0,IFERROR(MATCH(U$5,'Oxford Economics'!$A$6:$AZ$6,0),MATCH(U$5&amp;"",'Oxford Economics'!$A$6:$AZ$6,0))),'Oxford Economics'!$A$7:$A$1000,$C85,'Oxford Economics'!$B$7:$B$1000,Settings!$B$15),SUMIFS(INDEX('Oxford Economics'!$A$7:$AZ$1000,0,IFERROR(MATCH(U$5,'Oxford Economics'!$A$6:$AZ$6,0),MATCH(U$5&amp;"",'Oxford Economics'!$A$6:$AZ$6,0))),'Oxford Economics'!$A$7:$A$1000,$C85,'Oxford Economics'!$B$7:$B$1000,Settings!$B$15)+SUMIFS(INDEX('Oxford Economics'!$A$7:$AZ$1000,0,IFERROR(MATCH(U$5,'Oxford Economics'!$A$6:$AZ$6,0),MATCH(U$5&amp;"",'Oxford Economics'!$A$6:$AZ$6,0))),'Oxford Economics'!$A$7:$A$1000,$C85,'Oxford Economics'!$B$7:$B$1000,Settings!$B$17)+IF(Settings!$B$19="",0,SUMIFS(INDEX('Oxford Economics'!$A$7:$AZ$1000,0,IFERROR(MATCH(U$5,'Oxford Economics'!$A$6:$AZ$6,0),MATCH(U$5&amp;"",'Oxford Economics'!$A$6:$AZ$6,0))),'Oxford Economics'!$A$7:$A$1000,$C85,'Oxford Economics'!$B$7:$B$1000,Settings!$B$19)))),""))</f>
        <v>21681.32</v>
      </c>
      <c r="V85" s="38" t="n">
        <f aca="false">IF($A85="","",IFERROR(1/(1/IF($B85="Residential",SUMIFS(INDEX('Oxford Economics'!$A$7:$AZ$1000,0,IFERROR(MATCH(V$5,'Oxford Economics'!$A$6:$AZ$6,0),MATCH(V$5&amp;"",'Oxford Economics'!$A$6:$AZ$6,0))),'Oxford Economics'!$A$7:$A$1000,$C85,'Oxford Economics'!$B$7:$B$1000,Settings!$B$13)-SUMIFS(INDEX('Oxford Economics'!$A$7:$AZ$1000,0,IFERROR(MATCH(V$5,'Oxford Economics'!$A$6:$AZ$6,0),MATCH(V$5&amp;"",'Oxford Economics'!$A$6:$AZ$6,0))),'Oxford Economics'!$A$7:$A$1000,$C85,'Oxford Economics'!$B$7:$B$1000,Settings!$B$15),SUMIFS(INDEX('Oxford Economics'!$A$7:$AZ$1000,0,IFERROR(MATCH(V$5,'Oxford Economics'!$A$6:$AZ$6,0),MATCH(V$5&amp;"",'Oxford Economics'!$A$6:$AZ$6,0))),'Oxford Economics'!$A$7:$A$1000,$C85,'Oxford Economics'!$B$7:$B$1000,Settings!$B$15)+SUMIFS(INDEX('Oxford Economics'!$A$7:$AZ$1000,0,IFERROR(MATCH(V$5,'Oxford Economics'!$A$6:$AZ$6,0),MATCH(V$5&amp;"",'Oxford Economics'!$A$6:$AZ$6,0))),'Oxford Economics'!$A$7:$A$1000,$C85,'Oxford Economics'!$B$7:$B$1000,Settings!$B$17)+IF(Settings!$B$19="",0,SUMIFS(INDEX('Oxford Economics'!$A$7:$AZ$1000,0,IFERROR(MATCH(V$5,'Oxford Economics'!$A$6:$AZ$6,0),MATCH(V$5&amp;"",'Oxford Economics'!$A$6:$AZ$6,0))),'Oxford Economics'!$A$7:$A$1000,$C85,'Oxford Economics'!$B$7:$B$1000,Settings!$B$19)))),""))</f>
        <v>20783.71</v>
      </c>
      <c r="W85" s="38" t="n">
        <f aca="false">IF($A85="","",IFERROR(1/(1/IF($B85="Residential",SUMIFS(INDEX('Oxford Economics'!$A$7:$AZ$1000,0,IFERROR(MATCH(W$5,'Oxford Economics'!$A$6:$AZ$6,0),MATCH(W$5&amp;"",'Oxford Economics'!$A$6:$AZ$6,0))),'Oxford Economics'!$A$7:$A$1000,$C85,'Oxford Economics'!$B$7:$B$1000,Settings!$B$13)-SUMIFS(INDEX('Oxford Economics'!$A$7:$AZ$1000,0,IFERROR(MATCH(W$5,'Oxford Economics'!$A$6:$AZ$6,0),MATCH(W$5&amp;"",'Oxford Economics'!$A$6:$AZ$6,0))),'Oxford Economics'!$A$7:$A$1000,$C85,'Oxford Economics'!$B$7:$B$1000,Settings!$B$15),SUMIFS(INDEX('Oxford Economics'!$A$7:$AZ$1000,0,IFERROR(MATCH(W$5,'Oxford Economics'!$A$6:$AZ$6,0),MATCH(W$5&amp;"",'Oxford Economics'!$A$6:$AZ$6,0))),'Oxford Economics'!$A$7:$A$1000,$C85,'Oxford Economics'!$B$7:$B$1000,Settings!$B$15)+SUMIFS(INDEX('Oxford Economics'!$A$7:$AZ$1000,0,IFERROR(MATCH(W$5,'Oxford Economics'!$A$6:$AZ$6,0),MATCH(W$5&amp;"",'Oxford Economics'!$A$6:$AZ$6,0))),'Oxford Economics'!$A$7:$A$1000,$C85,'Oxford Economics'!$B$7:$B$1000,Settings!$B$17)+IF(Settings!$B$19="",0,SUMIFS(INDEX('Oxford Economics'!$A$7:$AZ$1000,0,IFERROR(MATCH(W$5,'Oxford Economics'!$A$6:$AZ$6,0),MATCH(W$5&amp;"",'Oxford Economics'!$A$6:$AZ$6,0))),'Oxford Economics'!$A$7:$A$1000,$C85,'Oxford Economics'!$B$7:$B$1000,Settings!$B$19)))),""))</f>
        <v>19831.64</v>
      </c>
      <c r="X85" s="38" t="n">
        <f aca="false">IF($A85="","",IFERROR(1/(1/IF($B85="Residential",SUMIFS(INDEX('Oxford Economics'!$A$7:$AZ$1000,0,IFERROR(MATCH(X$5,'Oxford Economics'!$A$6:$AZ$6,0),MATCH(X$5&amp;"",'Oxford Economics'!$A$6:$AZ$6,0))),'Oxford Economics'!$A$7:$A$1000,$C85,'Oxford Economics'!$B$7:$B$1000,Settings!$B$13)-SUMIFS(INDEX('Oxford Economics'!$A$7:$AZ$1000,0,IFERROR(MATCH(X$5,'Oxford Economics'!$A$6:$AZ$6,0),MATCH(X$5&amp;"",'Oxford Economics'!$A$6:$AZ$6,0))),'Oxford Economics'!$A$7:$A$1000,$C85,'Oxford Economics'!$B$7:$B$1000,Settings!$B$15),SUMIFS(INDEX('Oxford Economics'!$A$7:$AZ$1000,0,IFERROR(MATCH(X$5,'Oxford Economics'!$A$6:$AZ$6,0),MATCH(X$5&amp;"",'Oxford Economics'!$A$6:$AZ$6,0))),'Oxford Economics'!$A$7:$A$1000,$C85,'Oxford Economics'!$B$7:$B$1000,Settings!$B$15)+SUMIFS(INDEX('Oxford Economics'!$A$7:$AZ$1000,0,IFERROR(MATCH(X$5,'Oxford Economics'!$A$6:$AZ$6,0),MATCH(X$5&amp;"",'Oxford Economics'!$A$6:$AZ$6,0))),'Oxford Economics'!$A$7:$A$1000,$C85,'Oxford Economics'!$B$7:$B$1000,Settings!$B$17)+IF(Settings!$B$19="",0,SUMIFS(INDEX('Oxford Economics'!$A$7:$AZ$1000,0,IFERROR(MATCH(X$5,'Oxford Economics'!$A$6:$AZ$6,0),MATCH(X$5&amp;"",'Oxford Economics'!$A$6:$AZ$6,0))),'Oxford Economics'!$A$7:$A$1000,$C85,'Oxford Economics'!$B$7:$B$1000,Settings!$B$19)))),""))</f>
        <v>19222.89</v>
      </c>
      <c r="Y85" s="38" t="n">
        <f aca="false">IF($A85="","",IFERROR(1/(1/IF($B85="Residential",SUMIFS(INDEX('Oxford Economics'!$A$7:$AZ$1000,0,IFERROR(MATCH(Y$5,'Oxford Economics'!$A$6:$AZ$6,0),MATCH(Y$5&amp;"",'Oxford Economics'!$A$6:$AZ$6,0))),'Oxford Economics'!$A$7:$A$1000,$C85,'Oxford Economics'!$B$7:$B$1000,Settings!$B$13)-SUMIFS(INDEX('Oxford Economics'!$A$7:$AZ$1000,0,IFERROR(MATCH(Y$5,'Oxford Economics'!$A$6:$AZ$6,0),MATCH(Y$5&amp;"",'Oxford Economics'!$A$6:$AZ$6,0))),'Oxford Economics'!$A$7:$A$1000,$C85,'Oxford Economics'!$B$7:$B$1000,Settings!$B$15),SUMIFS(INDEX('Oxford Economics'!$A$7:$AZ$1000,0,IFERROR(MATCH(Y$5,'Oxford Economics'!$A$6:$AZ$6,0),MATCH(Y$5&amp;"",'Oxford Economics'!$A$6:$AZ$6,0))),'Oxford Economics'!$A$7:$A$1000,$C85,'Oxford Economics'!$B$7:$B$1000,Settings!$B$15)+SUMIFS(INDEX('Oxford Economics'!$A$7:$AZ$1000,0,IFERROR(MATCH(Y$5,'Oxford Economics'!$A$6:$AZ$6,0),MATCH(Y$5&amp;"",'Oxford Economics'!$A$6:$AZ$6,0))),'Oxford Economics'!$A$7:$A$1000,$C85,'Oxford Economics'!$B$7:$B$1000,Settings!$B$17)+IF(Settings!$B$19="",0,SUMIFS(INDEX('Oxford Economics'!$A$7:$AZ$1000,0,IFERROR(MATCH(Y$5,'Oxford Economics'!$A$6:$AZ$6,0),MATCH(Y$5&amp;"",'Oxford Economics'!$A$6:$AZ$6,0))),'Oxford Economics'!$A$7:$A$1000,$C85,'Oxford Economics'!$B$7:$B$1000,Settings!$B$19)))),""))</f>
        <v>19386.41</v>
      </c>
      <c r="Z85" s="38" t="n">
        <f aca="false">IF($A85="","",IFERROR(1/(1/IF($B85="Residential",SUMIFS(INDEX('Oxford Economics'!$A$7:$AZ$1000,0,IFERROR(MATCH(Z$5,'Oxford Economics'!$A$6:$AZ$6,0),MATCH(Z$5&amp;"",'Oxford Economics'!$A$6:$AZ$6,0))),'Oxford Economics'!$A$7:$A$1000,$C85,'Oxford Economics'!$B$7:$B$1000,Settings!$B$13)-SUMIFS(INDEX('Oxford Economics'!$A$7:$AZ$1000,0,IFERROR(MATCH(Z$5,'Oxford Economics'!$A$6:$AZ$6,0),MATCH(Z$5&amp;"",'Oxford Economics'!$A$6:$AZ$6,0))),'Oxford Economics'!$A$7:$A$1000,$C85,'Oxford Economics'!$B$7:$B$1000,Settings!$B$15),SUMIFS(INDEX('Oxford Economics'!$A$7:$AZ$1000,0,IFERROR(MATCH(Z$5,'Oxford Economics'!$A$6:$AZ$6,0),MATCH(Z$5&amp;"",'Oxford Economics'!$A$6:$AZ$6,0))),'Oxford Economics'!$A$7:$A$1000,$C85,'Oxford Economics'!$B$7:$B$1000,Settings!$B$15)+SUMIFS(INDEX('Oxford Economics'!$A$7:$AZ$1000,0,IFERROR(MATCH(Z$5,'Oxford Economics'!$A$6:$AZ$6,0),MATCH(Z$5&amp;"",'Oxford Economics'!$A$6:$AZ$6,0))),'Oxford Economics'!$A$7:$A$1000,$C85,'Oxford Economics'!$B$7:$B$1000,Settings!$B$17)+IF(Settings!$B$19="",0,SUMIFS(INDEX('Oxford Economics'!$A$7:$AZ$1000,0,IFERROR(MATCH(Z$5,'Oxford Economics'!$A$6:$AZ$6,0),MATCH(Z$5&amp;"",'Oxford Economics'!$A$6:$AZ$6,0))),'Oxford Economics'!$A$7:$A$1000,$C85,'Oxford Economics'!$B$7:$B$1000,Settings!$B$19)))),""))</f>
        <v>19725.88</v>
      </c>
      <c r="AA85" s="38" t="n">
        <f aca="false">IF($A85="","",IFERROR(1/(1/IF($B85="Residential",SUMIFS(INDEX('Oxford Economics'!$A$7:$AZ$1000,0,IFERROR(MATCH(AA$5,'Oxford Economics'!$A$6:$AZ$6,0),MATCH(AA$5&amp;"",'Oxford Economics'!$A$6:$AZ$6,0))),'Oxford Economics'!$A$7:$A$1000,$C85,'Oxford Economics'!$B$7:$B$1000,Settings!$B$13)-SUMIFS(INDEX('Oxford Economics'!$A$7:$AZ$1000,0,IFERROR(MATCH(AA$5,'Oxford Economics'!$A$6:$AZ$6,0),MATCH(AA$5&amp;"",'Oxford Economics'!$A$6:$AZ$6,0))),'Oxford Economics'!$A$7:$A$1000,$C85,'Oxford Economics'!$B$7:$B$1000,Settings!$B$15),SUMIFS(INDEX('Oxford Economics'!$A$7:$AZ$1000,0,IFERROR(MATCH(AA$5,'Oxford Economics'!$A$6:$AZ$6,0),MATCH(AA$5&amp;"",'Oxford Economics'!$A$6:$AZ$6,0))),'Oxford Economics'!$A$7:$A$1000,$C85,'Oxford Economics'!$B$7:$B$1000,Settings!$B$15)+SUMIFS(INDEX('Oxford Economics'!$A$7:$AZ$1000,0,IFERROR(MATCH(AA$5,'Oxford Economics'!$A$6:$AZ$6,0),MATCH(AA$5&amp;"",'Oxford Economics'!$A$6:$AZ$6,0))),'Oxford Economics'!$A$7:$A$1000,$C85,'Oxford Economics'!$B$7:$B$1000,Settings!$B$17)+IF(Settings!$B$19="",0,SUMIFS(INDEX('Oxford Economics'!$A$7:$AZ$1000,0,IFERROR(MATCH(AA$5,'Oxford Economics'!$A$6:$AZ$6,0),MATCH(AA$5&amp;"",'Oxford Economics'!$A$6:$AZ$6,0))),'Oxford Economics'!$A$7:$A$1000,$C85,'Oxford Economics'!$B$7:$B$1000,Settings!$B$19)))),""))</f>
        <v>19500.6</v>
      </c>
      <c r="AB85" s="38" t="n">
        <f aca="false">IF($A85="","",IFERROR(1/(1/IF($B85="Residential",SUMIFS(INDEX('Oxford Economics'!$A$7:$AZ$1000,0,IFERROR(MATCH(AB$5,'Oxford Economics'!$A$6:$AZ$6,0),MATCH(AB$5&amp;"",'Oxford Economics'!$A$6:$AZ$6,0))),'Oxford Economics'!$A$7:$A$1000,$C85,'Oxford Economics'!$B$7:$B$1000,Settings!$B$12)-SUMIFS(INDEX('Oxford Economics'!$A$7:$AZ$1000,0,IFERROR(MATCH(AB$5,'Oxford Economics'!$A$6:$AZ$6,0),MATCH(AB$5&amp;"",'Oxford Economics'!$A$6:$AZ$6,0))),'Oxford Economics'!$A$7:$A$1000,$C85,'Oxford Economics'!$B$7:$B$1000,Settings!$B$14),SUMIFS(INDEX('Oxford Economics'!$A$7:$AZ$1000,0,IFERROR(MATCH(AB$5,'Oxford Economics'!$A$6:$AZ$6,0),MATCH(AB$5&amp;"",'Oxford Economics'!$A$6:$AZ$6,0))),'Oxford Economics'!$A$7:$A$1000,$C85,'Oxford Economics'!$B$7:$B$1000,Settings!$B$14)+SUMIFS(INDEX('Oxford Economics'!$A$7:$AZ$1000,0,IFERROR(MATCH(AB$5,'Oxford Economics'!$A$6:$AZ$6,0),MATCH(AB$5&amp;"",'Oxford Economics'!$A$6:$AZ$6,0))),'Oxford Economics'!$A$7:$A$1000,$C85,'Oxford Economics'!$B$7:$B$1000,Settings!$B$16)+IF(Settings!$B$18="",0,SUMIFS(INDEX('Oxford Economics'!$A$7:$AZ$1000,0,IFERROR(MATCH(AB$5,'Oxford Economics'!$A$6:$AZ$6,0),MATCH(AB$5&amp;"",'Oxford Economics'!$A$6:$AZ$6,0))),'Oxford Economics'!$A$7:$A$1000,$C85,'Oxford Economics'!$B$7:$B$1000,Settings!$B$18)))),""))</f>
        <v>3613.13</v>
      </c>
      <c r="AC85" s="38" t="n">
        <f aca="false">IF($A85="","",IFERROR(1/(1/IF($B85="Residential",SUMIFS(INDEX('Oxford Economics'!$A$7:$AZ$1000,0,IFERROR(MATCH(AC$5,'Oxford Economics'!$A$6:$AZ$6,0),MATCH(AC$5&amp;"",'Oxford Economics'!$A$6:$AZ$6,0))),'Oxford Economics'!$A$7:$A$1000,$C85,'Oxford Economics'!$B$7:$B$1000,Settings!$B$12)-SUMIFS(INDEX('Oxford Economics'!$A$7:$AZ$1000,0,IFERROR(MATCH(AC$5,'Oxford Economics'!$A$6:$AZ$6,0),MATCH(AC$5&amp;"",'Oxford Economics'!$A$6:$AZ$6,0))),'Oxford Economics'!$A$7:$A$1000,$C85,'Oxford Economics'!$B$7:$B$1000,Settings!$B$14),SUMIFS(INDEX('Oxford Economics'!$A$7:$AZ$1000,0,IFERROR(MATCH(AC$5,'Oxford Economics'!$A$6:$AZ$6,0),MATCH(AC$5&amp;"",'Oxford Economics'!$A$6:$AZ$6,0))),'Oxford Economics'!$A$7:$A$1000,$C85,'Oxford Economics'!$B$7:$B$1000,Settings!$B$14)+SUMIFS(INDEX('Oxford Economics'!$A$7:$AZ$1000,0,IFERROR(MATCH(AC$5,'Oxford Economics'!$A$6:$AZ$6,0),MATCH(AC$5&amp;"",'Oxford Economics'!$A$6:$AZ$6,0))),'Oxford Economics'!$A$7:$A$1000,$C85,'Oxford Economics'!$B$7:$B$1000,Settings!$B$16)+IF(Settings!$B$18="",0,SUMIFS(INDEX('Oxford Economics'!$A$7:$AZ$1000,0,IFERROR(MATCH(AC$5,'Oxford Economics'!$A$6:$AZ$6,0),MATCH(AC$5&amp;"",'Oxford Economics'!$A$6:$AZ$6,0))),'Oxford Economics'!$A$7:$A$1000,$C85,'Oxford Economics'!$B$7:$B$1000,Settings!$B$18)))),""))</f>
        <v>4523.94</v>
      </c>
      <c r="AD85" s="38" t="n">
        <f aca="false">IF($A85="","",IFERROR(1/(1/IF($B85="Residential",SUMIFS(INDEX('Oxford Economics'!$A$7:$AZ$1000,0,IFERROR(MATCH(AD$5,'Oxford Economics'!$A$6:$AZ$6,0),MATCH(AD$5&amp;"",'Oxford Economics'!$A$6:$AZ$6,0))),'Oxford Economics'!$A$7:$A$1000,$C85,'Oxford Economics'!$B$7:$B$1000,Settings!$B$12)-SUMIFS(INDEX('Oxford Economics'!$A$7:$AZ$1000,0,IFERROR(MATCH(AD$5,'Oxford Economics'!$A$6:$AZ$6,0),MATCH(AD$5&amp;"",'Oxford Economics'!$A$6:$AZ$6,0))),'Oxford Economics'!$A$7:$A$1000,$C85,'Oxford Economics'!$B$7:$B$1000,Settings!$B$14),SUMIFS(INDEX('Oxford Economics'!$A$7:$AZ$1000,0,IFERROR(MATCH(AD$5,'Oxford Economics'!$A$6:$AZ$6,0),MATCH(AD$5&amp;"",'Oxford Economics'!$A$6:$AZ$6,0))),'Oxford Economics'!$A$7:$A$1000,$C85,'Oxford Economics'!$B$7:$B$1000,Settings!$B$14)+SUMIFS(INDEX('Oxford Economics'!$A$7:$AZ$1000,0,IFERROR(MATCH(AD$5,'Oxford Economics'!$A$6:$AZ$6,0),MATCH(AD$5&amp;"",'Oxford Economics'!$A$6:$AZ$6,0))),'Oxford Economics'!$A$7:$A$1000,$C85,'Oxford Economics'!$B$7:$B$1000,Settings!$B$16)+IF(Settings!$B$18="",0,SUMIFS(INDEX('Oxford Economics'!$A$7:$AZ$1000,0,IFERROR(MATCH(AD$5,'Oxford Economics'!$A$6:$AZ$6,0),MATCH(AD$5&amp;"",'Oxford Economics'!$A$6:$AZ$6,0))),'Oxford Economics'!$A$7:$A$1000,$C85,'Oxford Economics'!$B$7:$B$1000,Settings!$B$18)))),""))</f>
        <v>4497.31</v>
      </c>
      <c r="AE85" s="38" t="n">
        <f aca="false">IF($A85="","",IFERROR(1/(1/IF($B85="Residential",SUMIFS(INDEX('Oxford Economics'!$A$7:$AZ$1000,0,IFERROR(MATCH(AE$5,'Oxford Economics'!$A$6:$AZ$6,0),MATCH(AE$5&amp;"",'Oxford Economics'!$A$6:$AZ$6,0))),'Oxford Economics'!$A$7:$A$1000,$C85,'Oxford Economics'!$B$7:$B$1000,Settings!$B$12)-SUMIFS(INDEX('Oxford Economics'!$A$7:$AZ$1000,0,IFERROR(MATCH(AE$5,'Oxford Economics'!$A$6:$AZ$6,0),MATCH(AE$5&amp;"",'Oxford Economics'!$A$6:$AZ$6,0))),'Oxford Economics'!$A$7:$A$1000,$C85,'Oxford Economics'!$B$7:$B$1000,Settings!$B$14),SUMIFS(INDEX('Oxford Economics'!$A$7:$AZ$1000,0,IFERROR(MATCH(AE$5,'Oxford Economics'!$A$6:$AZ$6,0),MATCH(AE$5&amp;"",'Oxford Economics'!$A$6:$AZ$6,0))),'Oxford Economics'!$A$7:$A$1000,$C85,'Oxford Economics'!$B$7:$B$1000,Settings!$B$14)+SUMIFS(INDEX('Oxford Economics'!$A$7:$AZ$1000,0,IFERROR(MATCH(AE$5,'Oxford Economics'!$A$6:$AZ$6,0),MATCH(AE$5&amp;"",'Oxford Economics'!$A$6:$AZ$6,0))),'Oxford Economics'!$A$7:$A$1000,$C85,'Oxford Economics'!$B$7:$B$1000,Settings!$B$16)+IF(Settings!$B$18="",0,SUMIFS(INDEX('Oxford Economics'!$A$7:$AZ$1000,0,IFERROR(MATCH(AE$5,'Oxford Economics'!$A$6:$AZ$6,0),MATCH(AE$5&amp;"",'Oxford Economics'!$A$6:$AZ$6,0))),'Oxford Economics'!$A$7:$A$1000,$C85,'Oxford Economics'!$B$7:$B$1000,Settings!$B$18)))),""))</f>
        <v>5300.02</v>
      </c>
      <c r="AF85" s="38" t="n">
        <f aca="false">IF($A85="","",IFERROR(1/(1/IF($B85="Residential",SUMIFS(INDEX('Oxford Economics'!$A$7:$AZ$1000,0,IFERROR(MATCH(AF$5,'Oxford Economics'!$A$6:$AZ$6,0),MATCH(AF$5&amp;"",'Oxford Economics'!$A$6:$AZ$6,0))),'Oxford Economics'!$A$7:$A$1000,$C85,'Oxford Economics'!$B$7:$B$1000,Settings!$B$12)-SUMIFS(INDEX('Oxford Economics'!$A$7:$AZ$1000,0,IFERROR(MATCH(AF$5,'Oxford Economics'!$A$6:$AZ$6,0),MATCH(AF$5&amp;"",'Oxford Economics'!$A$6:$AZ$6,0))),'Oxford Economics'!$A$7:$A$1000,$C85,'Oxford Economics'!$B$7:$B$1000,Settings!$B$14),SUMIFS(INDEX('Oxford Economics'!$A$7:$AZ$1000,0,IFERROR(MATCH(AF$5,'Oxford Economics'!$A$6:$AZ$6,0),MATCH(AF$5&amp;"",'Oxford Economics'!$A$6:$AZ$6,0))),'Oxford Economics'!$A$7:$A$1000,$C85,'Oxford Economics'!$B$7:$B$1000,Settings!$B$14)+SUMIFS(INDEX('Oxford Economics'!$A$7:$AZ$1000,0,IFERROR(MATCH(AF$5,'Oxford Economics'!$A$6:$AZ$6,0),MATCH(AF$5&amp;"",'Oxford Economics'!$A$6:$AZ$6,0))),'Oxford Economics'!$A$7:$A$1000,$C85,'Oxford Economics'!$B$7:$B$1000,Settings!$B$16)+IF(Settings!$B$18="",0,SUMIFS(INDEX('Oxford Economics'!$A$7:$AZ$1000,0,IFERROR(MATCH(AF$5,'Oxford Economics'!$A$6:$AZ$6,0),MATCH(AF$5&amp;"",'Oxford Economics'!$A$6:$AZ$6,0))),'Oxford Economics'!$A$7:$A$1000,$C85,'Oxford Economics'!$B$7:$B$1000,Settings!$B$18)))),""))</f>
        <v>6028.56</v>
      </c>
      <c r="AG85" s="38" t="n">
        <f aca="false">IF($A85="","",IFERROR(1/(1/IF($B85="Residential",SUMIFS(INDEX('Oxford Economics'!$A$7:$AZ$1000,0,IFERROR(MATCH(AG$5,'Oxford Economics'!$A$6:$AZ$6,0),MATCH(AG$5&amp;"",'Oxford Economics'!$A$6:$AZ$6,0))),'Oxford Economics'!$A$7:$A$1000,$C85,'Oxford Economics'!$B$7:$B$1000,Settings!$B$12)-SUMIFS(INDEX('Oxford Economics'!$A$7:$AZ$1000,0,IFERROR(MATCH(AG$5,'Oxford Economics'!$A$6:$AZ$6,0),MATCH(AG$5&amp;"",'Oxford Economics'!$A$6:$AZ$6,0))),'Oxford Economics'!$A$7:$A$1000,$C85,'Oxford Economics'!$B$7:$B$1000,Settings!$B$14),SUMIFS(INDEX('Oxford Economics'!$A$7:$AZ$1000,0,IFERROR(MATCH(AG$5,'Oxford Economics'!$A$6:$AZ$6,0),MATCH(AG$5&amp;"",'Oxford Economics'!$A$6:$AZ$6,0))),'Oxford Economics'!$A$7:$A$1000,$C85,'Oxford Economics'!$B$7:$B$1000,Settings!$B$14)+SUMIFS(INDEX('Oxford Economics'!$A$7:$AZ$1000,0,IFERROR(MATCH(AG$5,'Oxford Economics'!$A$6:$AZ$6,0),MATCH(AG$5&amp;"",'Oxford Economics'!$A$6:$AZ$6,0))),'Oxford Economics'!$A$7:$A$1000,$C85,'Oxford Economics'!$B$7:$B$1000,Settings!$B$16)+IF(Settings!$B$18="",0,SUMIFS(INDEX('Oxford Economics'!$A$7:$AZ$1000,0,IFERROR(MATCH(AG$5,'Oxford Economics'!$A$6:$AZ$6,0),MATCH(AG$5&amp;"",'Oxford Economics'!$A$6:$AZ$6,0))),'Oxford Economics'!$A$7:$A$1000,$C85,'Oxford Economics'!$B$7:$B$1000,Settings!$B$18)))),""))</f>
        <v>5709.68</v>
      </c>
      <c r="AH85" s="38" t="n">
        <f aca="false">IF($A85="","",IFERROR(1/(1/IF($B85="Residential",SUMIFS(INDEX('Oxford Economics'!$A$7:$AZ$1000,0,IFERROR(MATCH(AH$5,'Oxford Economics'!$A$6:$AZ$6,0),MATCH(AH$5&amp;"",'Oxford Economics'!$A$6:$AZ$6,0))),'Oxford Economics'!$A$7:$A$1000,$C85,'Oxford Economics'!$B$7:$B$1000,Settings!$B$12)-SUMIFS(INDEX('Oxford Economics'!$A$7:$AZ$1000,0,IFERROR(MATCH(AH$5,'Oxford Economics'!$A$6:$AZ$6,0),MATCH(AH$5&amp;"",'Oxford Economics'!$A$6:$AZ$6,0))),'Oxford Economics'!$A$7:$A$1000,$C85,'Oxford Economics'!$B$7:$B$1000,Settings!$B$14),SUMIFS(INDEX('Oxford Economics'!$A$7:$AZ$1000,0,IFERROR(MATCH(AH$5,'Oxford Economics'!$A$6:$AZ$6,0),MATCH(AH$5&amp;"",'Oxford Economics'!$A$6:$AZ$6,0))),'Oxford Economics'!$A$7:$A$1000,$C85,'Oxford Economics'!$B$7:$B$1000,Settings!$B$14)+SUMIFS(INDEX('Oxford Economics'!$A$7:$AZ$1000,0,IFERROR(MATCH(AH$5,'Oxford Economics'!$A$6:$AZ$6,0),MATCH(AH$5&amp;"",'Oxford Economics'!$A$6:$AZ$6,0))),'Oxford Economics'!$A$7:$A$1000,$C85,'Oxford Economics'!$B$7:$B$1000,Settings!$B$16)+IF(Settings!$B$18="",0,SUMIFS(INDEX('Oxford Economics'!$A$7:$AZ$1000,0,IFERROR(MATCH(AH$5,'Oxford Economics'!$A$6:$AZ$6,0),MATCH(AH$5&amp;"",'Oxford Economics'!$A$6:$AZ$6,0))),'Oxford Economics'!$A$7:$A$1000,$C85,'Oxford Economics'!$B$7:$B$1000,Settings!$B$18)))),""))</f>
        <v>5834.22</v>
      </c>
      <c r="AI85" s="38" t="n">
        <f aca="false">IF($A85="","",IFERROR(1/(1/IF($B85="Residential",SUMIFS(INDEX('Oxford Economics'!$A$7:$AZ$1000,0,IFERROR(MATCH(AI$5,'Oxford Economics'!$A$6:$AZ$6,0),MATCH(AI$5&amp;"",'Oxford Economics'!$A$6:$AZ$6,0))),'Oxford Economics'!$A$7:$A$1000,$C85,'Oxford Economics'!$B$7:$B$1000,Settings!$B$12)-SUMIFS(INDEX('Oxford Economics'!$A$7:$AZ$1000,0,IFERROR(MATCH(AI$5,'Oxford Economics'!$A$6:$AZ$6,0),MATCH(AI$5&amp;"",'Oxford Economics'!$A$6:$AZ$6,0))),'Oxford Economics'!$A$7:$A$1000,$C85,'Oxford Economics'!$B$7:$B$1000,Settings!$B$14),SUMIFS(INDEX('Oxford Economics'!$A$7:$AZ$1000,0,IFERROR(MATCH(AI$5,'Oxford Economics'!$A$6:$AZ$6,0),MATCH(AI$5&amp;"",'Oxford Economics'!$A$6:$AZ$6,0))),'Oxford Economics'!$A$7:$A$1000,$C85,'Oxford Economics'!$B$7:$B$1000,Settings!$B$14)+SUMIFS(INDEX('Oxford Economics'!$A$7:$AZ$1000,0,IFERROR(MATCH(AI$5,'Oxford Economics'!$A$6:$AZ$6,0),MATCH(AI$5&amp;"",'Oxford Economics'!$A$6:$AZ$6,0))),'Oxford Economics'!$A$7:$A$1000,$C85,'Oxford Economics'!$B$7:$B$1000,Settings!$B$16)+IF(Settings!$B$18="",0,SUMIFS(INDEX('Oxford Economics'!$A$7:$AZ$1000,0,IFERROR(MATCH(AI$5,'Oxford Economics'!$A$6:$AZ$6,0),MATCH(AI$5&amp;"",'Oxford Economics'!$A$6:$AZ$6,0))),'Oxford Economics'!$A$7:$A$1000,$C85,'Oxford Economics'!$B$7:$B$1000,Settings!$B$18)))),""))</f>
        <v>5386.61</v>
      </c>
      <c r="AJ85" s="38" t="n">
        <f aca="false">IF($A85="","",IFERROR(1/(1/IF($B85="Residential",SUMIFS(INDEX('Oxford Economics'!$A$7:$AZ$1000,0,IFERROR(MATCH(AJ$5,'Oxford Economics'!$A$6:$AZ$6,0),MATCH(AJ$5&amp;"",'Oxford Economics'!$A$6:$AZ$6,0))),'Oxford Economics'!$A$7:$A$1000,$C85,'Oxford Economics'!$B$7:$B$1000,Settings!$B$12)-SUMIFS(INDEX('Oxford Economics'!$A$7:$AZ$1000,0,IFERROR(MATCH(AJ$5,'Oxford Economics'!$A$6:$AZ$6,0),MATCH(AJ$5&amp;"",'Oxford Economics'!$A$6:$AZ$6,0))),'Oxford Economics'!$A$7:$A$1000,$C85,'Oxford Economics'!$B$7:$B$1000,Settings!$B$14),SUMIFS(INDEX('Oxford Economics'!$A$7:$AZ$1000,0,IFERROR(MATCH(AJ$5,'Oxford Economics'!$A$6:$AZ$6,0),MATCH(AJ$5&amp;"",'Oxford Economics'!$A$6:$AZ$6,0))),'Oxford Economics'!$A$7:$A$1000,$C85,'Oxford Economics'!$B$7:$B$1000,Settings!$B$14)+SUMIFS(INDEX('Oxford Economics'!$A$7:$AZ$1000,0,IFERROR(MATCH(AJ$5,'Oxford Economics'!$A$6:$AZ$6,0),MATCH(AJ$5&amp;"",'Oxford Economics'!$A$6:$AZ$6,0))),'Oxford Economics'!$A$7:$A$1000,$C85,'Oxford Economics'!$B$7:$B$1000,Settings!$B$16)+IF(Settings!$B$18="",0,SUMIFS(INDEX('Oxford Economics'!$A$7:$AZ$1000,0,IFERROR(MATCH(AJ$5,'Oxford Economics'!$A$6:$AZ$6,0),MATCH(AJ$5&amp;"",'Oxford Economics'!$A$6:$AZ$6,0))),'Oxford Economics'!$A$7:$A$1000,$C85,'Oxford Economics'!$B$7:$B$1000,Settings!$B$18)))),""))</f>
        <v>4866.9</v>
      </c>
      <c r="AK85" s="38" t="n">
        <f aca="false">IF($A85="","",IFERROR(1/(1/IF($B85="Residential",SUMIFS(INDEX('Oxford Economics'!$A$7:$AZ$1000,0,IFERROR(MATCH(AK$5,'Oxford Economics'!$A$6:$AZ$6,0),MATCH(AK$5&amp;"",'Oxford Economics'!$A$6:$AZ$6,0))),'Oxford Economics'!$A$7:$A$1000,$C85,'Oxford Economics'!$B$7:$B$1000,Settings!$B$12)-SUMIFS(INDEX('Oxford Economics'!$A$7:$AZ$1000,0,IFERROR(MATCH(AK$5,'Oxford Economics'!$A$6:$AZ$6,0),MATCH(AK$5&amp;"",'Oxford Economics'!$A$6:$AZ$6,0))),'Oxford Economics'!$A$7:$A$1000,$C85,'Oxford Economics'!$B$7:$B$1000,Settings!$B$14),SUMIFS(INDEX('Oxford Economics'!$A$7:$AZ$1000,0,IFERROR(MATCH(AK$5,'Oxford Economics'!$A$6:$AZ$6,0),MATCH(AK$5&amp;"",'Oxford Economics'!$A$6:$AZ$6,0))),'Oxford Economics'!$A$7:$A$1000,$C85,'Oxford Economics'!$B$7:$B$1000,Settings!$B$14)+SUMIFS(INDEX('Oxford Economics'!$A$7:$AZ$1000,0,IFERROR(MATCH(AK$5,'Oxford Economics'!$A$6:$AZ$6,0),MATCH(AK$5&amp;"",'Oxford Economics'!$A$6:$AZ$6,0))),'Oxford Economics'!$A$7:$A$1000,$C85,'Oxford Economics'!$B$7:$B$1000,Settings!$B$16)+IF(Settings!$B$18="",0,SUMIFS(INDEX('Oxford Economics'!$A$7:$AZ$1000,0,IFERROR(MATCH(AK$5,'Oxford Economics'!$A$6:$AZ$6,0),MATCH(AK$5&amp;"",'Oxford Economics'!$A$6:$AZ$6,0))),'Oxford Economics'!$A$7:$A$1000,$C85,'Oxford Economics'!$B$7:$B$1000,Settings!$B$18)))),""))</f>
        <v>4543.34</v>
      </c>
      <c r="AL85" s="38" t="n">
        <f aca="false">IF($A85="","",IFERROR(1/(1/IF($B85="Residential",SUMIFS(INDEX('Oxford Economics'!$A$7:$AZ$1000,0,IFERROR(MATCH(AL$5,'Oxford Economics'!$A$6:$AZ$6,0),MATCH(AL$5&amp;"",'Oxford Economics'!$A$6:$AZ$6,0))),'Oxford Economics'!$A$7:$A$1000,$C85,'Oxford Economics'!$B$7:$B$1000,Settings!$B$12)-SUMIFS(INDEX('Oxford Economics'!$A$7:$AZ$1000,0,IFERROR(MATCH(AL$5,'Oxford Economics'!$A$6:$AZ$6,0),MATCH(AL$5&amp;"",'Oxford Economics'!$A$6:$AZ$6,0))),'Oxford Economics'!$A$7:$A$1000,$C85,'Oxford Economics'!$B$7:$B$1000,Settings!$B$14),SUMIFS(INDEX('Oxford Economics'!$A$7:$AZ$1000,0,IFERROR(MATCH(AL$5,'Oxford Economics'!$A$6:$AZ$6,0),MATCH(AL$5&amp;"",'Oxford Economics'!$A$6:$AZ$6,0))),'Oxford Economics'!$A$7:$A$1000,$C85,'Oxford Economics'!$B$7:$B$1000,Settings!$B$14)+SUMIFS(INDEX('Oxford Economics'!$A$7:$AZ$1000,0,IFERROR(MATCH(AL$5,'Oxford Economics'!$A$6:$AZ$6,0),MATCH(AL$5&amp;"",'Oxford Economics'!$A$6:$AZ$6,0))),'Oxford Economics'!$A$7:$A$1000,$C85,'Oxford Economics'!$B$7:$B$1000,Settings!$B$16)+IF(Settings!$B$18="",0,SUMIFS(INDEX('Oxford Economics'!$A$7:$AZ$1000,0,IFERROR(MATCH(AL$5,'Oxford Economics'!$A$6:$AZ$6,0),MATCH(AL$5&amp;"",'Oxford Economics'!$A$6:$AZ$6,0))),'Oxford Economics'!$A$7:$A$1000,$C85,'Oxford Economics'!$B$7:$B$1000,Settings!$B$18)))),""))</f>
        <v>4364.92</v>
      </c>
      <c r="AM85" s="38" t="n">
        <f aca="false">IF($A85="","",IFERROR(1/(1/IF($B85="Residential",SUMIFS(INDEX('Oxford Economics'!$A$7:$AZ$1000,0,IFERROR(MATCH(AM$5,'Oxford Economics'!$A$6:$AZ$6,0),MATCH(AM$5&amp;"",'Oxford Economics'!$A$6:$AZ$6,0))),'Oxford Economics'!$A$7:$A$1000,$C85,'Oxford Economics'!$B$7:$B$1000,Settings!$B$12)-SUMIFS(INDEX('Oxford Economics'!$A$7:$AZ$1000,0,IFERROR(MATCH(AM$5,'Oxford Economics'!$A$6:$AZ$6,0),MATCH(AM$5&amp;"",'Oxford Economics'!$A$6:$AZ$6,0))),'Oxford Economics'!$A$7:$A$1000,$C85,'Oxford Economics'!$B$7:$B$1000,Settings!$B$14),SUMIFS(INDEX('Oxford Economics'!$A$7:$AZ$1000,0,IFERROR(MATCH(AM$5,'Oxford Economics'!$A$6:$AZ$6,0),MATCH(AM$5&amp;"",'Oxford Economics'!$A$6:$AZ$6,0))),'Oxford Economics'!$A$7:$A$1000,$C85,'Oxford Economics'!$B$7:$B$1000,Settings!$B$14)+SUMIFS(INDEX('Oxford Economics'!$A$7:$AZ$1000,0,IFERROR(MATCH(AM$5,'Oxford Economics'!$A$6:$AZ$6,0),MATCH(AM$5&amp;"",'Oxford Economics'!$A$6:$AZ$6,0))),'Oxford Economics'!$A$7:$A$1000,$C85,'Oxford Economics'!$B$7:$B$1000,Settings!$B$16)+IF(Settings!$B$18="",0,SUMIFS(INDEX('Oxford Economics'!$A$7:$AZ$1000,0,IFERROR(MATCH(AM$5,'Oxford Economics'!$A$6:$AZ$6,0),MATCH(AM$5&amp;"",'Oxford Economics'!$A$6:$AZ$6,0))),'Oxford Economics'!$A$7:$A$1000,$C85,'Oxford Economics'!$B$7:$B$1000,Settings!$B$18)))),""))</f>
        <v>4267.64</v>
      </c>
    </row>
    <row r="86" customFormat="false" ht="15" hidden="false" customHeight="false" outlineLevel="0" collapsed="false">
      <c r="A86" s="37" t="str">
        <f aca="false">IF('Raw data'!$A86="","",'Raw data'!$A86)</f>
        <v>Italy</v>
      </c>
      <c r="B86" s="37" t="str">
        <f aca="false">IF($A86="","",'Raw data'!$C86)</f>
        <v>Residential</v>
      </c>
      <c r="C86" s="37" t="str">
        <f aca="false">IF($A86="","",IF('Raw data'!$E86="",$A86,'Raw data'!$E86))</f>
        <v>Italy</v>
      </c>
      <c r="D86" s="38" t="n">
        <f aca="false">IF($A86="","",IF(AND(ISNUMBER(P86),ISNUMBER(AB86)),P86+AB86,""))</f>
        <v>16621.24</v>
      </c>
      <c r="E86" s="38" t="n">
        <f aca="false">IF($A86="","",IF(AND(ISNUMBER(Q86),ISNUMBER(AC86)),Q86+AC86,""))</f>
        <v>21648.74</v>
      </c>
      <c r="F86" s="38" t="n">
        <f aca="false">IF($A86="","",IF(AND(ISNUMBER(R86),ISNUMBER(AD86)),R86+AD86,""))</f>
        <v>25555.35</v>
      </c>
      <c r="G86" s="38" t="n">
        <f aca="false">IF($A86="","",IF(AND(ISNUMBER(S86),ISNUMBER(AE86)),S86+AE86,""))</f>
        <v>28605.7</v>
      </c>
      <c r="H86" s="38" t="n">
        <f aca="false">IF($A86="","",IF(AND(ISNUMBER(T86),ISNUMBER(AF86)),T86+AF86,""))</f>
        <v>29129.08</v>
      </c>
      <c r="I86" s="38" t="n">
        <f aca="false">IF($A86="","",IF(AND(ISNUMBER(U86),ISNUMBER(AG86)),U86+AG86,""))</f>
        <v>27391</v>
      </c>
      <c r="J86" s="38" t="n">
        <f aca="false">IF($A86="","",IF(AND(ISNUMBER(V86),ISNUMBER(AH86)),V86+AH86,""))</f>
        <v>26617.93</v>
      </c>
      <c r="K86" s="38" t="n">
        <f aca="false">IF($A86="","",IF(AND(ISNUMBER(W86),ISNUMBER(AI86)),W86+AI86,""))</f>
        <v>25218.25</v>
      </c>
      <c r="L86" s="38" t="n">
        <f aca="false">IF($A86="","",IF(AND(ISNUMBER(X86),ISNUMBER(AJ86)),X86+AJ86,""))</f>
        <v>24089.79</v>
      </c>
      <c r="M86" s="38" t="n">
        <f aca="false">IF($A86="","",IF(AND(ISNUMBER(Y86),ISNUMBER(AK86)),Y86+AK86,""))</f>
        <v>23929.75</v>
      </c>
      <c r="N86" s="38" t="n">
        <f aca="false">IF($A86="","",IF(AND(ISNUMBER(Z86),ISNUMBER(AL86)),Z86+AL86,""))</f>
        <v>24090.8</v>
      </c>
      <c r="O86" s="38" t="n">
        <f aca="false">IF($A86="","",IF(AND(ISNUMBER(AA86),ISNUMBER(AM86)),AA86+AM86,""))</f>
        <v>23768.24</v>
      </c>
      <c r="P86" s="38" t="n">
        <f aca="false">IF($A86="","",IFERROR(1/(1/IF($B86="Residential",SUMIFS(INDEX('Oxford Economics'!$A$7:$AZ$1000,0,IFERROR(MATCH(P$5,'Oxford Economics'!$A$6:$AZ$6,0),MATCH(P$5&amp;"",'Oxford Economics'!$A$6:$AZ$6,0))),'Oxford Economics'!$A$7:$A$1000,$C86,'Oxford Economics'!$B$7:$B$1000,Settings!$B$13)-SUMIFS(INDEX('Oxford Economics'!$A$7:$AZ$1000,0,IFERROR(MATCH(P$5,'Oxford Economics'!$A$6:$AZ$6,0),MATCH(P$5&amp;"",'Oxford Economics'!$A$6:$AZ$6,0))),'Oxford Economics'!$A$7:$A$1000,$C86,'Oxford Economics'!$B$7:$B$1000,Settings!$B$15),SUMIFS(INDEX('Oxford Economics'!$A$7:$AZ$1000,0,IFERROR(MATCH(P$5,'Oxford Economics'!$A$6:$AZ$6,0),MATCH(P$5&amp;"",'Oxford Economics'!$A$6:$AZ$6,0))),'Oxford Economics'!$A$7:$A$1000,$C86,'Oxford Economics'!$B$7:$B$1000,Settings!$B$15)+SUMIFS(INDEX('Oxford Economics'!$A$7:$AZ$1000,0,IFERROR(MATCH(P$5,'Oxford Economics'!$A$6:$AZ$6,0),MATCH(P$5&amp;"",'Oxford Economics'!$A$6:$AZ$6,0))),'Oxford Economics'!$A$7:$A$1000,$C86,'Oxford Economics'!$B$7:$B$1000,Settings!$B$17)+IF(Settings!$B$19="",0,SUMIFS(INDEX('Oxford Economics'!$A$7:$AZ$1000,0,IFERROR(MATCH(P$5,'Oxford Economics'!$A$6:$AZ$6,0),MATCH(P$5&amp;"",'Oxford Economics'!$A$6:$AZ$6,0))),'Oxford Economics'!$A$7:$A$1000,$C86,'Oxford Economics'!$B$7:$B$1000,Settings!$B$19)))),""))</f>
        <v>13008.11</v>
      </c>
      <c r="Q86" s="38" t="n">
        <f aca="false">IF($A86="","",IFERROR(1/(1/IF($B86="Residential",SUMIFS(INDEX('Oxford Economics'!$A$7:$AZ$1000,0,IFERROR(MATCH(Q$5,'Oxford Economics'!$A$6:$AZ$6,0),MATCH(Q$5&amp;"",'Oxford Economics'!$A$6:$AZ$6,0))),'Oxford Economics'!$A$7:$A$1000,$C86,'Oxford Economics'!$B$7:$B$1000,Settings!$B$13)-SUMIFS(INDEX('Oxford Economics'!$A$7:$AZ$1000,0,IFERROR(MATCH(Q$5,'Oxford Economics'!$A$6:$AZ$6,0),MATCH(Q$5&amp;"",'Oxford Economics'!$A$6:$AZ$6,0))),'Oxford Economics'!$A$7:$A$1000,$C86,'Oxford Economics'!$B$7:$B$1000,Settings!$B$15),SUMIFS(INDEX('Oxford Economics'!$A$7:$AZ$1000,0,IFERROR(MATCH(Q$5,'Oxford Economics'!$A$6:$AZ$6,0),MATCH(Q$5&amp;"",'Oxford Economics'!$A$6:$AZ$6,0))),'Oxford Economics'!$A$7:$A$1000,$C86,'Oxford Economics'!$B$7:$B$1000,Settings!$B$15)+SUMIFS(INDEX('Oxford Economics'!$A$7:$AZ$1000,0,IFERROR(MATCH(Q$5,'Oxford Economics'!$A$6:$AZ$6,0),MATCH(Q$5&amp;"",'Oxford Economics'!$A$6:$AZ$6,0))),'Oxford Economics'!$A$7:$A$1000,$C86,'Oxford Economics'!$B$7:$B$1000,Settings!$B$17)+IF(Settings!$B$19="",0,SUMIFS(INDEX('Oxford Economics'!$A$7:$AZ$1000,0,IFERROR(MATCH(Q$5,'Oxford Economics'!$A$6:$AZ$6,0),MATCH(Q$5&amp;"",'Oxford Economics'!$A$6:$AZ$6,0))),'Oxford Economics'!$A$7:$A$1000,$C86,'Oxford Economics'!$B$7:$B$1000,Settings!$B$19)))),""))</f>
        <v>17124.8</v>
      </c>
      <c r="R86" s="38" t="n">
        <f aca="false">IF($A86="","",IFERROR(1/(1/IF($B86="Residential",SUMIFS(INDEX('Oxford Economics'!$A$7:$AZ$1000,0,IFERROR(MATCH(R$5,'Oxford Economics'!$A$6:$AZ$6,0),MATCH(R$5&amp;"",'Oxford Economics'!$A$6:$AZ$6,0))),'Oxford Economics'!$A$7:$A$1000,$C86,'Oxford Economics'!$B$7:$B$1000,Settings!$B$13)-SUMIFS(INDEX('Oxford Economics'!$A$7:$AZ$1000,0,IFERROR(MATCH(R$5,'Oxford Economics'!$A$6:$AZ$6,0),MATCH(R$5&amp;"",'Oxford Economics'!$A$6:$AZ$6,0))),'Oxford Economics'!$A$7:$A$1000,$C86,'Oxford Economics'!$B$7:$B$1000,Settings!$B$15),SUMIFS(INDEX('Oxford Economics'!$A$7:$AZ$1000,0,IFERROR(MATCH(R$5,'Oxford Economics'!$A$6:$AZ$6,0),MATCH(R$5&amp;"",'Oxford Economics'!$A$6:$AZ$6,0))),'Oxford Economics'!$A$7:$A$1000,$C86,'Oxford Economics'!$B$7:$B$1000,Settings!$B$15)+SUMIFS(INDEX('Oxford Economics'!$A$7:$AZ$1000,0,IFERROR(MATCH(R$5,'Oxford Economics'!$A$6:$AZ$6,0),MATCH(R$5&amp;"",'Oxford Economics'!$A$6:$AZ$6,0))),'Oxford Economics'!$A$7:$A$1000,$C86,'Oxford Economics'!$B$7:$B$1000,Settings!$B$17)+IF(Settings!$B$19="",0,SUMIFS(INDEX('Oxford Economics'!$A$7:$AZ$1000,0,IFERROR(MATCH(R$5,'Oxford Economics'!$A$6:$AZ$6,0),MATCH(R$5&amp;"",'Oxford Economics'!$A$6:$AZ$6,0))),'Oxford Economics'!$A$7:$A$1000,$C86,'Oxford Economics'!$B$7:$B$1000,Settings!$B$19)))),""))</f>
        <v>21058.04</v>
      </c>
      <c r="S86" s="38" t="n">
        <f aca="false">IF($A86="","",IFERROR(1/(1/IF($B86="Residential",SUMIFS(INDEX('Oxford Economics'!$A$7:$AZ$1000,0,IFERROR(MATCH(S$5,'Oxford Economics'!$A$6:$AZ$6,0),MATCH(S$5&amp;"",'Oxford Economics'!$A$6:$AZ$6,0))),'Oxford Economics'!$A$7:$A$1000,$C86,'Oxford Economics'!$B$7:$B$1000,Settings!$B$13)-SUMIFS(INDEX('Oxford Economics'!$A$7:$AZ$1000,0,IFERROR(MATCH(S$5,'Oxford Economics'!$A$6:$AZ$6,0),MATCH(S$5&amp;"",'Oxford Economics'!$A$6:$AZ$6,0))),'Oxford Economics'!$A$7:$A$1000,$C86,'Oxford Economics'!$B$7:$B$1000,Settings!$B$15),SUMIFS(INDEX('Oxford Economics'!$A$7:$AZ$1000,0,IFERROR(MATCH(S$5,'Oxford Economics'!$A$6:$AZ$6,0),MATCH(S$5&amp;"",'Oxford Economics'!$A$6:$AZ$6,0))),'Oxford Economics'!$A$7:$A$1000,$C86,'Oxford Economics'!$B$7:$B$1000,Settings!$B$15)+SUMIFS(INDEX('Oxford Economics'!$A$7:$AZ$1000,0,IFERROR(MATCH(S$5,'Oxford Economics'!$A$6:$AZ$6,0),MATCH(S$5&amp;"",'Oxford Economics'!$A$6:$AZ$6,0))),'Oxford Economics'!$A$7:$A$1000,$C86,'Oxford Economics'!$B$7:$B$1000,Settings!$B$17)+IF(Settings!$B$19="",0,SUMIFS(INDEX('Oxford Economics'!$A$7:$AZ$1000,0,IFERROR(MATCH(S$5,'Oxford Economics'!$A$6:$AZ$6,0),MATCH(S$5&amp;"",'Oxford Economics'!$A$6:$AZ$6,0))),'Oxford Economics'!$A$7:$A$1000,$C86,'Oxford Economics'!$B$7:$B$1000,Settings!$B$19)))),""))</f>
        <v>23305.68</v>
      </c>
      <c r="T86" s="38" t="n">
        <f aca="false">IF($A86="","",IFERROR(1/(1/IF($B86="Residential",SUMIFS(INDEX('Oxford Economics'!$A$7:$AZ$1000,0,IFERROR(MATCH(T$5,'Oxford Economics'!$A$6:$AZ$6,0),MATCH(T$5&amp;"",'Oxford Economics'!$A$6:$AZ$6,0))),'Oxford Economics'!$A$7:$A$1000,$C86,'Oxford Economics'!$B$7:$B$1000,Settings!$B$13)-SUMIFS(INDEX('Oxford Economics'!$A$7:$AZ$1000,0,IFERROR(MATCH(T$5,'Oxford Economics'!$A$6:$AZ$6,0),MATCH(T$5&amp;"",'Oxford Economics'!$A$6:$AZ$6,0))),'Oxford Economics'!$A$7:$A$1000,$C86,'Oxford Economics'!$B$7:$B$1000,Settings!$B$15),SUMIFS(INDEX('Oxford Economics'!$A$7:$AZ$1000,0,IFERROR(MATCH(T$5,'Oxford Economics'!$A$6:$AZ$6,0),MATCH(T$5&amp;"",'Oxford Economics'!$A$6:$AZ$6,0))),'Oxford Economics'!$A$7:$A$1000,$C86,'Oxford Economics'!$B$7:$B$1000,Settings!$B$15)+SUMIFS(INDEX('Oxford Economics'!$A$7:$AZ$1000,0,IFERROR(MATCH(T$5,'Oxford Economics'!$A$6:$AZ$6,0),MATCH(T$5&amp;"",'Oxford Economics'!$A$6:$AZ$6,0))),'Oxford Economics'!$A$7:$A$1000,$C86,'Oxford Economics'!$B$7:$B$1000,Settings!$B$17)+IF(Settings!$B$19="",0,SUMIFS(INDEX('Oxford Economics'!$A$7:$AZ$1000,0,IFERROR(MATCH(T$5,'Oxford Economics'!$A$6:$AZ$6,0),MATCH(T$5&amp;"",'Oxford Economics'!$A$6:$AZ$6,0))),'Oxford Economics'!$A$7:$A$1000,$C86,'Oxford Economics'!$B$7:$B$1000,Settings!$B$19)))),""))</f>
        <v>23100.52</v>
      </c>
      <c r="U86" s="38" t="n">
        <f aca="false">IF($A86="","",IFERROR(1/(1/IF($B86="Residential",SUMIFS(INDEX('Oxford Economics'!$A$7:$AZ$1000,0,IFERROR(MATCH(U$5,'Oxford Economics'!$A$6:$AZ$6,0),MATCH(U$5&amp;"",'Oxford Economics'!$A$6:$AZ$6,0))),'Oxford Economics'!$A$7:$A$1000,$C86,'Oxford Economics'!$B$7:$B$1000,Settings!$B$13)-SUMIFS(INDEX('Oxford Economics'!$A$7:$AZ$1000,0,IFERROR(MATCH(U$5,'Oxford Economics'!$A$6:$AZ$6,0),MATCH(U$5&amp;"",'Oxford Economics'!$A$6:$AZ$6,0))),'Oxford Economics'!$A$7:$A$1000,$C86,'Oxford Economics'!$B$7:$B$1000,Settings!$B$15),SUMIFS(INDEX('Oxford Economics'!$A$7:$AZ$1000,0,IFERROR(MATCH(U$5,'Oxford Economics'!$A$6:$AZ$6,0),MATCH(U$5&amp;"",'Oxford Economics'!$A$6:$AZ$6,0))),'Oxford Economics'!$A$7:$A$1000,$C86,'Oxford Economics'!$B$7:$B$1000,Settings!$B$15)+SUMIFS(INDEX('Oxford Economics'!$A$7:$AZ$1000,0,IFERROR(MATCH(U$5,'Oxford Economics'!$A$6:$AZ$6,0),MATCH(U$5&amp;"",'Oxford Economics'!$A$6:$AZ$6,0))),'Oxford Economics'!$A$7:$A$1000,$C86,'Oxford Economics'!$B$7:$B$1000,Settings!$B$17)+IF(Settings!$B$19="",0,SUMIFS(INDEX('Oxford Economics'!$A$7:$AZ$1000,0,IFERROR(MATCH(U$5,'Oxford Economics'!$A$6:$AZ$6,0),MATCH(U$5&amp;"",'Oxford Economics'!$A$6:$AZ$6,0))),'Oxford Economics'!$A$7:$A$1000,$C86,'Oxford Economics'!$B$7:$B$1000,Settings!$B$19)))),""))</f>
        <v>21681.32</v>
      </c>
      <c r="V86" s="38" t="n">
        <f aca="false">IF($A86="","",IFERROR(1/(1/IF($B86="Residential",SUMIFS(INDEX('Oxford Economics'!$A$7:$AZ$1000,0,IFERROR(MATCH(V$5,'Oxford Economics'!$A$6:$AZ$6,0),MATCH(V$5&amp;"",'Oxford Economics'!$A$6:$AZ$6,0))),'Oxford Economics'!$A$7:$A$1000,$C86,'Oxford Economics'!$B$7:$B$1000,Settings!$B$13)-SUMIFS(INDEX('Oxford Economics'!$A$7:$AZ$1000,0,IFERROR(MATCH(V$5,'Oxford Economics'!$A$6:$AZ$6,0),MATCH(V$5&amp;"",'Oxford Economics'!$A$6:$AZ$6,0))),'Oxford Economics'!$A$7:$A$1000,$C86,'Oxford Economics'!$B$7:$B$1000,Settings!$B$15),SUMIFS(INDEX('Oxford Economics'!$A$7:$AZ$1000,0,IFERROR(MATCH(V$5,'Oxford Economics'!$A$6:$AZ$6,0),MATCH(V$5&amp;"",'Oxford Economics'!$A$6:$AZ$6,0))),'Oxford Economics'!$A$7:$A$1000,$C86,'Oxford Economics'!$B$7:$B$1000,Settings!$B$15)+SUMIFS(INDEX('Oxford Economics'!$A$7:$AZ$1000,0,IFERROR(MATCH(V$5,'Oxford Economics'!$A$6:$AZ$6,0),MATCH(V$5&amp;"",'Oxford Economics'!$A$6:$AZ$6,0))),'Oxford Economics'!$A$7:$A$1000,$C86,'Oxford Economics'!$B$7:$B$1000,Settings!$B$17)+IF(Settings!$B$19="",0,SUMIFS(INDEX('Oxford Economics'!$A$7:$AZ$1000,0,IFERROR(MATCH(V$5,'Oxford Economics'!$A$6:$AZ$6,0),MATCH(V$5&amp;"",'Oxford Economics'!$A$6:$AZ$6,0))),'Oxford Economics'!$A$7:$A$1000,$C86,'Oxford Economics'!$B$7:$B$1000,Settings!$B$19)))),""))</f>
        <v>20783.71</v>
      </c>
      <c r="W86" s="38" t="n">
        <f aca="false">IF($A86="","",IFERROR(1/(1/IF($B86="Residential",SUMIFS(INDEX('Oxford Economics'!$A$7:$AZ$1000,0,IFERROR(MATCH(W$5,'Oxford Economics'!$A$6:$AZ$6,0),MATCH(W$5&amp;"",'Oxford Economics'!$A$6:$AZ$6,0))),'Oxford Economics'!$A$7:$A$1000,$C86,'Oxford Economics'!$B$7:$B$1000,Settings!$B$13)-SUMIFS(INDEX('Oxford Economics'!$A$7:$AZ$1000,0,IFERROR(MATCH(W$5,'Oxford Economics'!$A$6:$AZ$6,0),MATCH(W$5&amp;"",'Oxford Economics'!$A$6:$AZ$6,0))),'Oxford Economics'!$A$7:$A$1000,$C86,'Oxford Economics'!$B$7:$B$1000,Settings!$B$15),SUMIFS(INDEX('Oxford Economics'!$A$7:$AZ$1000,0,IFERROR(MATCH(W$5,'Oxford Economics'!$A$6:$AZ$6,0),MATCH(W$5&amp;"",'Oxford Economics'!$A$6:$AZ$6,0))),'Oxford Economics'!$A$7:$A$1000,$C86,'Oxford Economics'!$B$7:$B$1000,Settings!$B$15)+SUMIFS(INDEX('Oxford Economics'!$A$7:$AZ$1000,0,IFERROR(MATCH(W$5,'Oxford Economics'!$A$6:$AZ$6,0),MATCH(W$5&amp;"",'Oxford Economics'!$A$6:$AZ$6,0))),'Oxford Economics'!$A$7:$A$1000,$C86,'Oxford Economics'!$B$7:$B$1000,Settings!$B$17)+IF(Settings!$B$19="",0,SUMIFS(INDEX('Oxford Economics'!$A$7:$AZ$1000,0,IFERROR(MATCH(W$5,'Oxford Economics'!$A$6:$AZ$6,0),MATCH(W$5&amp;"",'Oxford Economics'!$A$6:$AZ$6,0))),'Oxford Economics'!$A$7:$A$1000,$C86,'Oxford Economics'!$B$7:$B$1000,Settings!$B$19)))),""))</f>
        <v>19831.64</v>
      </c>
      <c r="X86" s="38" t="n">
        <f aca="false">IF($A86="","",IFERROR(1/(1/IF($B86="Residential",SUMIFS(INDEX('Oxford Economics'!$A$7:$AZ$1000,0,IFERROR(MATCH(X$5,'Oxford Economics'!$A$6:$AZ$6,0),MATCH(X$5&amp;"",'Oxford Economics'!$A$6:$AZ$6,0))),'Oxford Economics'!$A$7:$A$1000,$C86,'Oxford Economics'!$B$7:$B$1000,Settings!$B$13)-SUMIFS(INDEX('Oxford Economics'!$A$7:$AZ$1000,0,IFERROR(MATCH(X$5,'Oxford Economics'!$A$6:$AZ$6,0),MATCH(X$5&amp;"",'Oxford Economics'!$A$6:$AZ$6,0))),'Oxford Economics'!$A$7:$A$1000,$C86,'Oxford Economics'!$B$7:$B$1000,Settings!$B$15),SUMIFS(INDEX('Oxford Economics'!$A$7:$AZ$1000,0,IFERROR(MATCH(X$5,'Oxford Economics'!$A$6:$AZ$6,0),MATCH(X$5&amp;"",'Oxford Economics'!$A$6:$AZ$6,0))),'Oxford Economics'!$A$7:$A$1000,$C86,'Oxford Economics'!$B$7:$B$1000,Settings!$B$15)+SUMIFS(INDEX('Oxford Economics'!$A$7:$AZ$1000,0,IFERROR(MATCH(X$5,'Oxford Economics'!$A$6:$AZ$6,0),MATCH(X$5&amp;"",'Oxford Economics'!$A$6:$AZ$6,0))),'Oxford Economics'!$A$7:$A$1000,$C86,'Oxford Economics'!$B$7:$B$1000,Settings!$B$17)+IF(Settings!$B$19="",0,SUMIFS(INDEX('Oxford Economics'!$A$7:$AZ$1000,0,IFERROR(MATCH(X$5,'Oxford Economics'!$A$6:$AZ$6,0),MATCH(X$5&amp;"",'Oxford Economics'!$A$6:$AZ$6,0))),'Oxford Economics'!$A$7:$A$1000,$C86,'Oxford Economics'!$B$7:$B$1000,Settings!$B$19)))),""))</f>
        <v>19222.89</v>
      </c>
      <c r="Y86" s="38" t="n">
        <f aca="false">IF($A86="","",IFERROR(1/(1/IF($B86="Residential",SUMIFS(INDEX('Oxford Economics'!$A$7:$AZ$1000,0,IFERROR(MATCH(Y$5,'Oxford Economics'!$A$6:$AZ$6,0),MATCH(Y$5&amp;"",'Oxford Economics'!$A$6:$AZ$6,0))),'Oxford Economics'!$A$7:$A$1000,$C86,'Oxford Economics'!$B$7:$B$1000,Settings!$B$13)-SUMIFS(INDEX('Oxford Economics'!$A$7:$AZ$1000,0,IFERROR(MATCH(Y$5,'Oxford Economics'!$A$6:$AZ$6,0),MATCH(Y$5&amp;"",'Oxford Economics'!$A$6:$AZ$6,0))),'Oxford Economics'!$A$7:$A$1000,$C86,'Oxford Economics'!$B$7:$B$1000,Settings!$B$15),SUMIFS(INDEX('Oxford Economics'!$A$7:$AZ$1000,0,IFERROR(MATCH(Y$5,'Oxford Economics'!$A$6:$AZ$6,0),MATCH(Y$5&amp;"",'Oxford Economics'!$A$6:$AZ$6,0))),'Oxford Economics'!$A$7:$A$1000,$C86,'Oxford Economics'!$B$7:$B$1000,Settings!$B$15)+SUMIFS(INDEX('Oxford Economics'!$A$7:$AZ$1000,0,IFERROR(MATCH(Y$5,'Oxford Economics'!$A$6:$AZ$6,0),MATCH(Y$5&amp;"",'Oxford Economics'!$A$6:$AZ$6,0))),'Oxford Economics'!$A$7:$A$1000,$C86,'Oxford Economics'!$B$7:$B$1000,Settings!$B$17)+IF(Settings!$B$19="",0,SUMIFS(INDEX('Oxford Economics'!$A$7:$AZ$1000,0,IFERROR(MATCH(Y$5,'Oxford Economics'!$A$6:$AZ$6,0),MATCH(Y$5&amp;"",'Oxford Economics'!$A$6:$AZ$6,0))),'Oxford Economics'!$A$7:$A$1000,$C86,'Oxford Economics'!$B$7:$B$1000,Settings!$B$19)))),""))</f>
        <v>19386.41</v>
      </c>
      <c r="Z86" s="38" t="n">
        <f aca="false">IF($A86="","",IFERROR(1/(1/IF($B86="Residential",SUMIFS(INDEX('Oxford Economics'!$A$7:$AZ$1000,0,IFERROR(MATCH(Z$5,'Oxford Economics'!$A$6:$AZ$6,0),MATCH(Z$5&amp;"",'Oxford Economics'!$A$6:$AZ$6,0))),'Oxford Economics'!$A$7:$A$1000,$C86,'Oxford Economics'!$B$7:$B$1000,Settings!$B$13)-SUMIFS(INDEX('Oxford Economics'!$A$7:$AZ$1000,0,IFERROR(MATCH(Z$5,'Oxford Economics'!$A$6:$AZ$6,0),MATCH(Z$5&amp;"",'Oxford Economics'!$A$6:$AZ$6,0))),'Oxford Economics'!$A$7:$A$1000,$C86,'Oxford Economics'!$B$7:$B$1000,Settings!$B$15),SUMIFS(INDEX('Oxford Economics'!$A$7:$AZ$1000,0,IFERROR(MATCH(Z$5,'Oxford Economics'!$A$6:$AZ$6,0),MATCH(Z$5&amp;"",'Oxford Economics'!$A$6:$AZ$6,0))),'Oxford Economics'!$A$7:$A$1000,$C86,'Oxford Economics'!$B$7:$B$1000,Settings!$B$15)+SUMIFS(INDEX('Oxford Economics'!$A$7:$AZ$1000,0,IFERROR(MATCH(Z$5,'Oxford Economics'!$A$6:$AZ$6,0),MATCH(Z$5&amp;"",'Oxford Economics'!$A$6:$AZ$6,0))),'Oxford Economics'!$A$7:$A$1000,$C86,'Oxford Economics'!$B$7:$B$1000,Settings!$B$17)+IF(Settings!$B$19="",0,SUMIFS(INDEX('Oxford Economics'!$A$7:$AZ$1000,0,IFERROR(MATCH(Z$5,'Oxford Economics'!$A$6:$AZ$6,0),MATCH(Z$5&amp;"",'Oxford Economics'!$A$6:$AZ$6,0))),'Oxford Economics'!$A$7:$A$1000,$C86,'Oxford Economics'!$B$7:$B$1000,Settings!$B$19)))),""))</f>
        <v>19725.88</v>
      </c>
      <c r="AA86" s="38" t="n">
        <f aca="false">IF($A86="","",IFERROR(1/(1/IF($B86="Residential",SUMIFS(INDEX('Oxford Economics'!$A$7:$AZ$1000,0,IFERROR(MATCH(AA$5,'Oxford Economics'!$A$6:$AZ$6,0),MATCH(AA$5&amp;"",'Oxford Economics'!$A$6:$AZ$6,0))),'Oxford Economics'!$A$7:$A$1000,$C86,'Oxford Economics'!$B$7:$B$1000,Settings!$B$13)-SUMIFS(INDEX('Oxford Economics'!$A$7:$AZ$1000,0,IFERROR(MATCH(AA$5,'Oxford Economics'!$A$6:$AZ$6,0),MATCH(AA$5&amp;"",'Oxford Economics'!$A$6:$AZ$6,0))),'Oxford Economics'!$A$7:$A$1000,$C86,'Oxford Economics'!$B$7:$B$1000,Settings!$B$15),SUMIFS(INDEX('Oxford Economics'!$A$7:$AZ$1000,0,IFERROR(MATCH(AA$5,'Oxford Economics'!$A$6:$AZ$6,0),MATCH(AA$5&amp;"",'Oxford Economics'!$A$6:$AZ$6,0))),'Oxford Economics'!$A$7:$A$1000,$C86,'Oxford Economics'!$B$7:$B$1000,Settings!$B$15)+SUMIFS(INDEX('Oxford Economics'!$A$7:$AZ$1000,0,IFERROR(MATCH(AA$5,'Oxford Economics'!$A$6:$AZ$6,0),MATCH(AA$5&amp;"",'Oxford Economics'!$A$6:$AZ$6,0))),'Oxford Economics'!$A$7:$A$1000,$C86,'Oxford Economics'!$B$7:$B$1000,Settings!$B$17)+IF(Settings!$B$19="",0,SUMIFS(INDEX('Oxford Economics'!$A$7:$AZ$1000,0,IFERROR(MATCH(AA$5,'Oxford Economics'!$A$6:$AZ$6,0),MATCH(AA$5&amp;"",'Oxford Economics'!$A$6:$AZ$6,0))),'Oxford Economics'!$A$7:$A$1000,$C86,'Oxford Economics'!$B$7:$B$1000,Settings!$B$19)))),""))</f>
        <v>19500.6</v>
      </c>
      <c r="AB86" s="38" t="n">
        <f aca="false">IF($A86="","",IFERROR(1/(1/IF($B86="Residential",SUMIFS(INDEX('Oxford Economics'!$A$7:$AZ$1000,0,IFERROR(MATCH(AB$5,'Oxford Economics'!$A$6:$AZ$6,0),MATCH(AB$5&amp;"",'Oxford Economics'!$A$6:$AZ$6,0))),'Oxford Economics'!$A$7:$A$1000,$C86,'Oxford Economics'!$B$7:$B$1000,Settings!$B$12)-SUMIFS(INDEX('Oxford Economics'!$A$7:$AZ$1000,0,IFERROR(MATCH(AB$5,'Oxford Economics'!$A$6:$AZ$6,0),MATCH(AB$5&amp;"",'Oxford Economics'!$A$6:$AZ$6,0))),'Oxford Economics'!$A$7:$A$1000,$C86,'Oxford Economics'!$B$7:$B$1000,Settings!$B$14),SUMIFS(INDEX('Oxford Economics'!$A$7:$AZ$1000,0,IFERROR(MATCH(AB$5,'Oxford Economics'!$A$6:$AZ$6,0),MATCH(AB$5&amp;"",'Oxford Economics'!$A$6:$AZ$6,0))),'Oxford Economics'!$A$7:$A$1000,$C86,'Oxford Economics'!$B$7:$B$1000,Settings!$B$14)+SUMIFS(INDEX('Oxford Economics'!$A$7:$AZ$1000,0,IFERROR(MATCH(AB$5,'Oxford Economics'!$A$6:$AZ$6,0),MATCH(AB$5&amp;"",'Oxford Economics'!$A$6:$AZ$6,0))),'Oxford Economics'!$A$7:$A$1000,$C86,'Oxford Economics'!$B$7:$B$1000,Settings!$B$16)+IF(Settings!$B$18="",0,SUMIFS(INDEX('Oxford Economics'!$A$7:$AZ$1000,0,IFERROR(MATCH(AB$5,'Oxford Economics'!$A$6:$AZ$6,0),MATCH(AB$5&amp;"",'Oxford Economics'!$A$6:$AZ$6,0))),'Oxford Economics'!$A$7:$A$1000,$C86,'Oxford Economics'!$B$7:$B$1000,Settings!$B$18)))),""))</f>
        <v>3613.13</v>
      </c>
      <c r="AC86" s="38" t="n">
        <f aca="false">IF($A86="","",IFERROR(1/(1/IF($B86="Residential",SUMIFS(INDEX('Oxford Economics'!$A$7:$AZ$1000,0,IFERROR(MATCH(AC$5,'Oxford Economics'!$A$6:$AZ$6,0),MATCH(AC$5&amp;"",'Oxford Economics'!$A$6:$AZ$6,0))),'Oxford Economics'!$A$7:$A$1000,$C86,'Oxford Economics'!$B$7:$B$1000,Settings!$B$12)-SUMIFS(INDEX('Oxford Economics'!$A$7:$AZ$1000,0,IFERROR(MATCH(AC$5,'Oxford Economics'!$A$6:$AZ$6,0),MATCH(AC$5&amp;"",'Oxford Economics'!$A$6:$AZ$6,0))),'Oxford Economics'!$A$7:$A$1000,$C86,'Oxford Economics'!$B$7:$B$1000,Settings!$B$14),SUMIFS(INDEX('Oxford Economics'!$A$7:$AZ$1000,0,IFERROR(MATCH(AC$5,'Oxford Economics'!$A$6:$AZ$6,0),MATCH(AC$5&amp;"",'Oxford Economics'!$A$6:$AZ$6,0))),'Oxford Economics'!$A$7:$A$1000,$C86,'Oxford Economics'!$B$7:$B$1000,Settings!$B$14)+SUMIFS(INDEX('Oxford Economics'!$A$7:$AZ$1000,0,IFERROR(MATCH(AC$5,'Oxford Economics'!$A$6:$AZ$6,0),MATCH(AC$5&amp;"",'Oxford Economics'!$A$6:$AZ$6,0))),'Oxford Economics'!$A$7:$A$1000,$C86,'Oxford Economics'!$B$7:$B$1000,Settings!$B$16)+IF(Settings!$B$18="",0,SUMIFS(INDEX('Oxford Economics'!$A$7:$AZ$1000,0,IFERROR(MATCH(AC$5,'Oxford Economics'!$A$6:$AZ$6,0),MATCH(AC$5&amp;"",'Oxford Economics'!$A$6:$AZ$6,0))),'Oxford Economics'!$A$7:$A$1000,$C86,'Oxford Economics'!$B$7:$B$1000,Settings!$B$18)))),""))</f>
        <v>4523.94</v>
      </c>
      <c r="AD86" s="38" t="n">
        <f aca="false">IF($A86="","",IFERROR(1/(1/IF($B86="Residential",SUMIFS(INDEX('Oxford Economics'!$A$7:$AZ$1000,0,IFERROR(MATCH(AD$5,'Oxford Economics'!$A$6:$AZ$6,0),MATCH(AD$5&amp;"",'Oxford Economics'!$A$6:$AZ$6,0))),'Oxford Economics'!$A$7:$A$1000,$C86,'Oxford Economics'!$B$7:$B$1000,Settings!$B$12)-SUMIFS(INDEX('Oxford Economics'!$A$7:$AZ$1000,0,IFERROR(MATCH(AD$5,'Oxford Economics'!$A$6:$AZ$6,0),MATCH(AD$5&amp;"",'Oxford Economics'!$A$6:$AZ$6,0))),'Oxford Economics'!$A$7:$A$1000,$C86,'Oxford Economics'!$B$7:$B$1000,Settings!$B$14),SUMIFS(INDEX('Oxford Economics'!$A$7:$AZ$1000,0,IFERROR(MATCH(AD$5,'Oxford Economics'!$A$6:$AZ$6,0),MATCH(AD$5&amp;"",'Oxford Economics'!$A$6:$AZ$6,0))),'Oxford Economics'!$A$7:$A$1000,$C86,'Oxford Economics'!$B$7:$B$1000,Settings!$B$14)+SUMIFS(INDEX('Oxford Economics'!$A$7:$AZ$1000,0,IFERROR(MATCH(AD$5,'Oxford Economics'!$A$6:$AZ$6,0),MATCH(AD$5&amp;"",'Oxford Economics'!$A$6:$AZ$6,0))),'Oxford Economics'!$A$7:$A$1000,$C86,'Oxford Economics'!$B$7:$B$1000,Settings!$B$16)+IF(Settings!$B$18="",0,SUMIFS(INDEX('Oxford Economics'!$A$7:$AZ$1000,0,IFERROR(MATCH(AD$5,'Oxford Economics'!$A$6:$AZ$6,0),MATCH(AD$5&amp;"",'Oxford Economics'!$A$6:$AZ$6,0))),'Oxford Economics'!$A$7:$A$1000,$C86,'Oxford Economics'!$B$7:$B$1000,Settings!$B$18)))),""))</f>
        <v>4497.31</v>
      </c>
      <c r="AE86" s="38" t="n">
        <f aca="false">IF($A86="","",IFERROR(1/(1/IF($B86="Residential",SUMIFS(INDEX('Oxford Economics'!$A$7:$AZ$1000,0,IFERROR(MATCH(AE$5,'Oxford Economics'!$A$6:$AZ$6,0),MATCH(AE$5&amp;"",'Oxford Economics'!$A$6:$AZ$6,0))),'Oxford Economics'!$A$7:$A$1000,$C86,'Oxford Economics'!$B$7:$B$1000,Settings!$B$12)-SUMIFS(INDEX('Oxford Economics'!$A$7:$AZ$1000,0,IFERROR(MATCH(AE$5,'Oxford Economics'!$A$6:$AZ$6,0),MATCH(AE$5&amp;"",'Oxford Economics'!$A$6:$AZ$6,0))),'Oxford Economics'!$A$7:$A$1000,$C86,'Oxford Economics'!$B$7:$B$1000,Settings!$B$14),SUMIFS(INDEX('Oxford Economics'!$A$7:$AZ$1000,0,IFERROR(MATCH(AE$5,'Oxford Economics'!$A$6:$AZ$6,0),MATCH(AE$5&amp;"",'Oxford Economics'!$A$6:$AZ$6,0))),'Oxford Economics'!$A$7:$A$1000,$C86,'Oxford Economics'!$B$7:$B$1000,Settings!$B$14)+SUMIFS(INDEX('Oxford Economics'!$A$7:$AZ$1000,0,IFERROR(MATCH(AE$5,'Oxford Economics'!$A$6:$AZ$6,0),MATCH(AE$5&amp;"",'Oxford Economics'!$A$6:$AZ$6,0))),'Oxford Economics'!$A$7:$A$1000,$C86,'Oxford Economics'!$B$7:$B$1000,Settings!$B$16)+IF(Settings!$B$18="",0,SUMIFS(INDEX('Oxford Economics'!$A$7:$AZ$1000,0,IFERROR(MATCH(AE$5,'Oxford Economics'!$A$6:$AZ$6,0),MATCH(AE$5&amp;"",'Oxford Economics'!$A$6:$AZ$6,0))),'Oxford Economics'!$A$7:$A$1000,$C86,'Oxford Economics'!$B$7:$B$1000,Settings!$B$18)))),""))</f>
        <v>5300.02</v>
      </c>
      <c r="AF86" s="38" t="n">
        <f aca="false">IF($A86="","",IFERROR(1/(1/IF($B86="Residential",SUMIFS(INDEX('Oxford Economics'!$A$7:$AZ$1000,0,IFERROR(MATCH(AF$5,'Oxford Economics'!$A$6:$AZ$6,0),MATCH(AF$5&amp;"",'Oxford Economics'!$A$6:$AZ$6,0))),'Oxford Economics'!$A$7:$A$1000,$C86,'Oxford Economics'!$B$7:$B$1000,Settings!$B$12)-SUMIFS(INDEX('Oxford Economics'!$A$7:$AZ$1000,0,IFERROR(MATCH(AF$5,'Oxford Economics'!$A$6:$AZ$6,0),MATCH(AF$5&amp;"",'Oxford Economics'!$A$6:$AZ$6,0))),'Oxford Economics'!$A$7:$A$1000,$C86,'Oxford Economics'!$B$7:$B$1000,Settings!$B$14),SUMIFS(INDEX('Oxford Economics'!$A$7:$AZ$1000,0,IFERROR(MATCH(AF$5,'Oxford Economics'!$A$6:$AZ$6,0),MATCH(AF$5&amp;"",'Oxford Economics'!$A$6:$AZ$6,0))),'Oxford Economics'!$A$7:$A$1000,$C86,'Oxford Economics'!$B$7:$B$1000,Settings!$B$14)+SUMIFS(INDEX('Oxford Economics'!$A$7:$AZ$1000,0,IFERROR(MATCH(AF$5,'Oxford Economics'!$A$6:$AZ$6,0),MATCH(AF$5&amp;"",'Oxford Economics'!$A$6:$AZ$6,0))),'Oxford Economics'!$A$7:$A$1000,$C86,'Oxford Economics'!$B$7:$B$1000,Settings!$B$16)+IF(Settings!$B$18="",0,SUMIFS(INDEX('Oxford Economics'!$A$7:$AZ$1000,0,IFERROR(MATCH(AF$5,'Oxford Economics'!$A$6:$AZ$6,0),MATCH(AF$5&amp;"",'Oxford Economics'!$A$6:$AZ$6,0))),'Oxford Economics'!$A$7:$A$1000,$C86,'Oxford Economics'!$B$7:$B$1000,Settings!$B$18)))),""))</f>
        <v>6028.56</v>
      </c>
      <c r="AG86" s="38" t="n">
        <f aca="false">IF($A86="","",IFERROR(1/(1/IF($B86="Residential",SUMIFS(INDEX('Oxford Economics'!$A$7:$AZ$1000,0,IFERROR(MATCH(AG$5,'Oxford Economics'!$A$6:$AZ$6,0),MATCH(AG$5&amp;"",'Oxford Economics'!$A$6:$AZ$6,0))),'Oxford Economics'!$A$7:$A$1000,$C86,'Oxford Economics'!$B$7:$B$1000,Settings!$B$12)-SUMIFS(INDEX('Oxford Economics'!$A$7:$AZ$1000,0,IFERROR(MATCH(AG$5,'Oxford Economics'!$A$6:$AZ$6,0),MATCH(AG$5&amp;"",'Oxford Economics'!$A$6:$AZ$6,0))),'Oxford Economics'!$A$7:$A$1000,$C86,'Oxford Economics'!$B$7:$B$1000,Settings!$B$14),SUMIFS(INDEX('Oxford Economics'!$A$7:$AZ$1000,0,IFERROR(MATCH(AG$5,'Oxford Economics'!$A$6:$AZ$6,0),MATCH(AG$5&amp;"",'Oxford Economics'!$A$6:$AZ$6,0))),'Oxford Economics'!$A$7:$A$1000,$C86,'Oxford Economics'!$B$7:$B$1000,Settings!$B$14)+SUMIFS(INDEX('Oxford Economics'!$A$7:$AZ$1000,0,IFERROR(MATCH(AG$5,'Oxford Economics'!$A$6:$AZ$6,0),MATCH(AG$5&amp;"",'Oxford Economics'!$A$6:$AZ$6,0))),'Oxford Economics'!$A$7:$A$1000,$C86,'Oxford Economics'!$B$7:$B$1000,Settings!$B$16)+IF(Settings!$B$18="",0,SUMIFS(INDEX('Oxford Economics'!$A$7:$AZ$1000,0,IFERROR(MATCH(AG$5,'Oxford Economics'!$A$6:$AZ$6,0),MATCH(AG$5&amp;"",'Oxford Economics'!$A$6:$AZ$6,0))),'Oxford Economics'!$A$7:$A$1000,$C86,'Oxford Economics'!$B$7:$B$1000,Settings!$B$18)))),""))</f>
        <v>5709.68</v>
      </c>
      <c r="AH86" s="38" t="n">
        <f aca="false">IF($A86="","",IFERROR(1/(1/IF($B86="Residential",SUMIFS(INDEX('Oxford Economics'!$A$7:$AZ$1000,0,IFERROR(MATCH(AH$5,'Oxford Economics'!$A$6:$AZ$6,0),MATCH(AH$5&amp;"",'Oxford Economics'!$A$6:$AZ$6,0))),'Oxford Economics'!$A$7:$A$1000,$C86,'Oxford Economics'!$B$7:$B$1000,Settings!$B$12)-SUMIFS(INDEX('Oxford Economics'!$A$7:$AZ$1000,0,IFERROR(MATCH(AH$5,'Oxford Economics'!$A$6:$AZ$6,0),MATCH(AH$5&amp;"",'Oxford Economics'!$A$6:$AZ$6,0))),'Oxford Economics'!$A$7:$A$1000,$C86,'Oxford Economics'!$B$7:$B$1000,Settings!$B$14),SUMIFS(INDEX('Oxford Economics'!$A$7:$AZ$1000,0,IFERROR(MATCH(AH$5,'Oxford Economics'!$A$6:$AZ$6,0),MATCH(AH$5&amp;"",'Oxford Economics'!$A$6:$AZ$6,0))),'Oxford Economics'!$A$7:$A$1000,$C86,'Oxford Economics'!$B$7:$B$1000,Settings!$B$14)+SUMIFS(INDEX('Oxford Economics'!$A$7:$AZ$1000,0,IFERROR(MATCH(AH$5,'Oxford Economics'!$A$6:$AZ$6,0),MATCH(AH$5&amp;"",'Oxford Economics'!$A$6:$AZ$6,0))),'Oxford Economics'!$A$7:$A$1000,$C86,'Oxford Economics'!$B$7:$B$1000,Settings!$B$16)+IF(Settings!$B$18="",0,SUMIFS(INDEX('Oxford Economics'!$A$7:$AZ$1000,0,IFERROR(MATCH(AH$5,'Oxford Economics'!$A$6:$AZ$6,0),MATCH(AH$5&amp;"",'Oxford Economics'!$A$6:$AZ$6,0))),'Oxford Economics'!$A$7:$A$1000,$C86,'Oxford Economics'!$B$7:$B$1000,Settings!$B$18)))),""))</f>
        <v>5834.22</v>
      </c>
      <c r="AI86" s="38" t="n">
        <f aca="false">IF($A86="","",IFERROR(1/(1/IF($B86="Residential",SUMIFS(INDEX('Oxford Economics'!$A$7:$AZ$1000,0,IFERROR(MATCH(AI$5,'Oxford Economics'!$A$6:$AZ$6,0),MATCH(AI$5&amp;"",'Oxford Economics'!$A$6:$AZ$6,0))),'Oxford Economics'!$A$7:$A$1000,$C86,'Oxford Economics'!$B$7:$B$1000,Settings!$B$12)-SUMIFS(INDEX('Oxford Economics'!$A$7:$AZ$1000,0,IFERROR(MATCH(AI$5,'Oxford Economics'!$A$6:$AZ$6,0),MATCH(AI$5&amp;"",'Oxford Economics'!$A$6:$AZ$6,0))),'Oxford Economics'!$A$7:$A$1000,$C86,'Oxford Economics'!$B$7:$B$1000,Settings!$B$14),SUMIFS(INDEX('Oxford Economics'!$A$7:$AZ$1000,0,IFERROR(MATCH(AI$5,'Oxford Economics'!$A$6:$AZ$6,0),MATCH(AI$5&amp;"",'Oxford Economics'!$A$6:$AZ$6,0))),'Oxford Economics'!$A$7:$A$1000,$C86,'Oxford Economics'!$B$7:$B$1000,Settings!$B$14)+SUMIFS(INDEX('Oxford Economics'!$A$7:$AZ$1000,0,IFERROR(MATCH(AI$5,'Oxford Economics'!$A$6:$AZ$6,0),MATCH(AI$5&amp;"",'Oxford Economics'!$A$6:$AZ$6,0))),'Oxford Economics'!$A$7:$A$1000,$C86,'Oxford Economics'!$B$7:$B$1000,Settings!$B$16)+IF(Settings!$B$18="",0,SUMIFS(INDEX('Oxford Economics'!$A$7:$AZ$1000,0,IFERROR(MATCH(AI$5,'Oxford Economics'!$A$6:$AZ$6,0),MATCH(AI$5&amp;"",'Oxford Economics'!$A$6:$AZ$6,0))),'Oxford Economics'!$A$7:$A$1000,$C86,'Oxford Economics'!$B$7:$B$1000,Settings!$B$18)))),""))</f>
        <v>5386.61</v>
      </c>
      <c r="AJ86" s="38" t="n">
        <f aca="false">IF($A86="","",IFERROR(1/(1/IF($B86="Residential",SUMIFS(INDEX('Oxford Economics'!$A$7:$AZ$1000,0,IFERROR(MATCH(AJ$5,'Oxford Economics'!$A$6:$AZ$6,0),MATCH(AJ$5&amp;"",'Oxford Economics'!$A$6:$AZ$6,0))),'Oxford Economics'!$A$7:$A$1000,$C86,'Oxford Economics'!$B$7:$B$1000,Settings!$B$12)-SUMIFS(INDEX('Oxford Economics'!$A$7:$AZ$1000,0,IFERROR(MATCH(AJ$5,'Oxford Economics'!$A$6:$AZ$6,0),MATCH(AJ$5&amp;"",'Oxford Economics'!$A$6:$AZ$6,0))),'Oxford Economics'!$A$7:$A$1000,$C86,'Oxford Economics'!$B$7:$B$1000,Settings!$B$14),SUMIFS(INDEX('Oxford Economics'!$A$7:$AZ$1000,0,IFERROR(MATCH(AJ$5,'Oxford Economics'!$A$6:$AZ$6,0),MATCH(AJ$5&amp;"",'Oxford Economics'!$A$6:$AZ$6,0))),'Oxford Economics'!$A$7:$A$1000,$C86,'Oxford Economics'!$B$7:$B$1000,Settings!$B$14)+SUMIFS(INDEX('Oxford Economics'!$A$7:$AZ$1000,0,IFERROR(MATCH(AJ$5,'Oxford Economics'!$A$6:$AZ$6,0),MATCH(AJ$5&amp;"",'Oxford Economics'!$A$6:$AZ$6,0))),'Oxford Economics'!$A$7:$A$1000,$C86,'Oxford Economics'!$B$7:$B$1000,Settings!$B$16)+IF(Settings!$B$18="",0,SUMIFS(INDEX('Oxford Economics'!$A$7:$AZ$1000,0,IFERROR(MATCH(AJ$5,'Oxford Economics'!$A$6:$AZ$6,0),MATCH(AJ$5&amp;"",'Oxford Economics'!$A$6:$AZ$6,0))),'Oxford Economics'!$A$7:$A$1000,$C86,'Oxford Economics'!$B$7:$B$1000,Settings!$B$18)))),""))</f>
        <v>4866.9</v>
      </c>
      <c r="AK86" s="38" t="n">
        <f aca="false">IF($A86="","",IFERROR(1/(1/IF($B86="Residential",SUMIFS(INDEX('Oxford Economics'!$A$7:$AZ$1000,0,IFERROR(MATCH(AK$5,'Oxford Economics'!$A$6:$AZ$6,0),MATCH(AK$5&amp;"",'Oxford Economics'!$A$6:$AZ$6,0))),'Oxford Economics'!$A$7:$A$1000,$C86,'Oxford Economics'!$B$7:$B$1000,Settings!$B$12)-SUMIFS(INDEX('Oxford Economics'!$A$7:$AZ$1000,0,IFERROR(MATCH(AK$5,'Oxford Economics'!$A$6:$AZ$6,0),MATCH(AK$5&amp;"",'Oxford Economics'!$A$6:$AZ$6,0))),'Oxford Economics'!$A$7:$A$1000,$C86,'Oxford Economics'!$B$7:$B$1000,Settings!$B$14),SUMIFS(INDEX('Oxford Economics'!$A$7:$AZ$1000,0,IFERROR(MATCH(AK$5,'Oxford Economics'!$A$6:$AZ$6,0),MATCH(AK$5&amp;"",'Oxford Economics'!$A$6:$AZ$6,0))),'Oxford Economics'!$A$7:$A$1000,$C86,'Oxford Economics'!$B$7:$B$1000,Settings!$B$14)+SUMIFS(INDEX('Oxford Economics'!$A$7:$AZ$1000,0,IFERROR(MATCH(AK$5,'Oxford Economics'!$A$6:$AZ$6,0),MATCH(AK$5&amp;"",'Oxford Economics'!$A$6:$AZ$6,0))),'Oxford Economics'!$A$7:$A$1000,$C86,'Oxford Economics'!$B$7:$B$1000,Settings!$B$16)+IF(Settings!$B$18="",0,SUMIFS(INDEX('Oxford Economics'!$A$7:$AZ$1000,0,IFERROR(MATCH(AK$5,'Oxford Economics'!$A$6:$AZ$6,0),MATCH(AK$5&amp;"",'Oxford Economics'!$A$6:$AZ$6,0))),'Oxford Economics'!$A$7:$A$1000,$C86,'Oxford Economics'!$B$7:$B$1000,Settings!$B$18)))),""))</f>
        <v>4543.34</v>
      </c>
      <c r="AL86" s="38" t="n">
        <f aca="false">IF($A86="","",IFERROR(1/(1/IF($B86="Residential",SUMIFS(INDEX('Oxford Economics'!$A$7:$AZ$1000,0,IFERROR(MATCH(AL$5,'Oxford Economics'!$A$6:$AZ$6,0),MATCH(AL$5&amp;"",'Oxford Economics'!$A$6:$AZ$6,0))),'Oxford Economics'!$A$7:$A$1000,$C86,'Oxford Economics'!$B$7:$B$1000,Settings!$B$12)-SUMIFS(INDEX('Oxford Economics'!$A$7:$AZ$1000,0,IFERROR(MATCH(AL$5,'Oxford Economics'!$A$6:$AZ$6,0),MATCH(AL$5&amp;"",'Oxford Economics'!$A$6:$AZ$6,0))),'Oxford Economics'!$A$7:$A$1000,$C86,'Oxford Economics'!$B$7:$B$1000,Settings!$B$14),SUMIFS(INDEX('Oxford Economics'!$A$7:$AZ$1000,0,IFERROR(MATCH(AL$5,'Oxford Economics'!$A$6:$AZ$6,0),MATCH(AL$5&amp;"",'Oxford Economics'!$A$6:$AZ$6,0))),'Oxford Economics'!$A$7:$A$1000,$C86,'Oxford Economics'!$B$7:$B$1000,Settings!$B$14)+SUMIFS(INDEX('Oxford Economics'!$A$7:$AZ$1000,0,IFERROR(MATCH(AL$5,'Oxford Economics'!$A$6:$AZ$6,0),MATCH(AL$5&amp;"",'Oxford Economics'!$A$6:$AZ$6,0))),'Oxford Economics'!$A$7:$A$1000,$C86,'Oxford Economics'!$B$7:$B$1000,Settings!$B$16)+IF(Settings!$B$18="",0,SUMIFS(INDEX('Oxford Economics'!$A$7:$AZ$1000,0,IFERROR(MATCH(AL$5,'Oxford Economics'!$A$6:$AZ$6,0),MATCH(AL$5&amp;"",'Oxford Economics'!$A$6:$AZ$6,0))),'Oxford Economics'!$A$7:$A$1000,$C86,'Oxford Economics'!$B$7:$B$1000,Settings!$B$18)))),""))</f>
        <v>4364.92</v>
      </c>
      <c r="AM86" s="38" t="n">
        <f aca="false">IF($A86="","",IFERROR(1/(1/IF($B86="Residential",SUMIFS(INDEX('Oxford Economics'!$A$7:$AZ$1000,0,IFERROR(MATCH(AM$5,'Oxford Economics'!$A$6:$AZ$6,0),MATCH(AM$5&amp;"",'Oxford Economics'!$A$6:$AZ$6,0))),'Oxford Economics'!$A$7:$A$1000,$C86,'Oxford Economics'!$B$7:$B$1000,Settings!$B$12)-SUMIFS(INDEX('Oxford Economics'!$A$7:$AZ$1000,0,IFERROR(MATCH(AM$5,'Oxford Economics'!$A$6:$AZ$6,0),MATCH(AM$5&amp;"",'Oxford Economics'!$A$6:$AZ$6,0))),'Oxford Economics'!$A$7:$A$1000,$C86,'Oxford Economics'!$B$7:$B$1000,Settings!$B$14),SUMIFS(INDEX('Oxford Economics'!$A$7:$AZ$1000,0,IFERROR(MATCH(AM$5,'Oxford Economics'!$A$6:$AZ$6,0),MATCH(AM$5&amp;"",'Oxford Economics'!$A$6:$AZ$6,0))),'Oxford Economics'!$A$7:$A$1000,$C86,'Oxford Economics'!$B$7:$B$1000,Settings!$B$14)+SUMIFS(INDEX('Oxford Economics'!$A$7:$AZ$1000,0,IFERROR(MATCH(AM$5,'Oxford Economics'!$A$6:$AZ$6,0),MATCH(AM$5&amp;"",'Oxford Economics'!$A$6:$AZ$6,0))),'Oxford Economics'!$A$7:$A$1000,$C86,'Oxford Economics'!$B$7:$B$1000,Settings!$B$16)+IF(Settings!$B$18="",0,SUMIFS(INDEX('Oxford Economics'!$A$7:$AZ$1000,0,IFERROR(MATCH(AM$5,'Oxford Economics'!$A$6:$AZ$6,0),MATCH(AM$5&amp;"",'Oxford Economics'!$A$6:$AZ$6,0))),'Oxford Economics'!$A$7:$A$1000,$C86,'Oxford Economics'!$B$7:$B$1000,Settings!$B$18)))),""))</f>
        <v>4267.64</v>
      </c>
    </row>
    <row r="87" customFormat="false" ht="15" hidden="false" customHeight="false" outlineLevel="0" collapsed="false">
      <c r="A87" s="37" t="str">
        <f aca="false">IF('Raw data'!$A87="","",'Raw data'!$A87)</f>
        <v>Italy</v>
      </c>
      <c r="B87" s="37" t="str">
        <f aca="false">IF($A87="","",'Raw data'!$C87)</f>
        <v>Commercial</v>
      </c>
      <c r="C87" s="37" t="str">
        <f aca="false">IF($A87="","",IF('Raw data'!$E87="",$A87,'Raw data'!$E87))</f>
        <v>Italy</v>
      </c>
      <c r="D87" s="38" t="n">
        <f aca="false">IF($A87="","",IF(AND(ISNUMBER(P87),ISNUMBER(AB87)),P87+AB87,""))</f>
        <v>59128.93</v>
      </c>
      <c r="E87" s="38" t="n">
        <f aca="false">IF($A87="","",IF(AND(ISNUMBER(Q87),ISNUMBER(AC87)),Q87+AC87,""))</f>
        <v>75387.57</v>
      </c>
      <c r="F87" s="38" t="n">
        <f aca="false">IF($A87="","",IF(AND(ISNUMBER(R87),ISNUMBER(AD87)),R87+AD87,""))</f>
        <v>92196.41</v>
      </c>
      <c r="G87" s="38" t="n">
        <f aca="false">IF($A87="","",IF(AND(ISNUMBER(S87),ISNUMBER(AE87)),S87+AE87,""))</f>
        <v>98255.12</v>
      </c>
      <c r="H87" s="38" t="n">
        <f aca="false">IF($A87="","",IF(AND(ISNUMBER(T87),ISNUMBER(AF87)),T87+AF87,""))</f>
        <v>95187.17</v>
      </c>
      <c r="I87" s="38" t="n">
        <f aca="false">IF($A87="","",IF(AND(ISNUMBER(U87),ISNUMBER(AG87)),U87+AG87,""))</f>
        <v>93406.3</v>
      </c>
      <c r="J87" s="38" t="n">
        <f aca="false">IF($A87="","",IF(AND(ISNUMBER(V87),ISNUMBER(AH87)),V87+AH87,""))</f>
        <v>93565.32</v>
      </c>
      <c r="K87" s="38" t="n">
        <f aca="false">IF($A87="","",IF(AND(ISNUMBER(W87),ISNUMBER(AI87)),W87+AI87,""))</f>
        <v>93939.64</v>
      </c>
      <c r="L87" s="38" t="n">
        <f aca="false">IF($A87="","",IF(AND(ISNUMBER(X87),ISNUMBER(AJ87)),X87+AJ87,""))</f>
        <v>95054.76</v>
      </c>
      <c r="M87" s="38" t="n">
        <f aca="false">IF($A87="","",IF(AND(ISNUMBER(Y87),ISNUMBER(AK87)),Y87+AK87,""))</f>
        <v>97160.54</v>
      </c>
      <c r="N87" s="38" t="n">
        <f aca="false">IF($A87="","",IF(AND(ISNUMBER(Z87),ISNUMBER(AL87)),Z87+AL87,""))</f>
        <v>99643.57</v>
      </c>
      <c r="O87" s="38" t="n">
        <f aca="false">IF($A87="","",IF(AND(ISNUMBER(AA87),ISNUMBER(AM87)),AA87+AM87,""))</f>
        <v>100358.14</v>
      </c>
      <c r="P87" s="38" t="n">
        <f aca="false">IF($A87="","",IFERROR(1/(1/IF($B87="Residential",SUMIFS(INDEX('Oxford Economics'!$A$7:$AZ$1000,0,IFERROR(MATCH(P$5,'Oxford Economics'!$A$6:$AZ$6,0),MATCH(P$5&amp;"",'Oxford Economics'!$A$6:$AZ$6,0))),'Oxford Economics'!$A$7:$A$1000,$C87,'Oxford Economics'!$B$7:$B$1000,Settings!$B$13)-SUMIFS(INDEX('Oxford Economics'!$A$7:$AZ$1000,0,IFERROR(MATCH(P$5,'Oxford Economics'!$A$6:$AZ$6,0),MATCH(P$5&amp;"",'Oxford Economics'!$A$6:$AZ$6,0))),'Oxford Economics'!$A$7:$A$1000,$C87,'Oxford Economics'!$B$7:$B$1000,Settings!$B$15),SUMIFS(INDEX('Oxford Economics'!$A$7:$AZ$1000,0,IFERROR(MATCH(P$5,'Oxford Economics'!$A$6:$AZ$6,0),MATCH(P$5&amp;"",'Oxford Economics'!$A$6:$AZ$6,0))),'Oxford Economics'!$A$7:$A$1000,$C87,'Oxford Economics'!$B$7:$B$1000,Settings!$B$15)+SUMIFS(INDEX('Oxford Economics'!$A$7:$AZ$1000,0,IFERROR(MATCH(P$5,'Oxford Economics'!$A$6:$AZ$6,0),MATCH(P$5&amp;"",'Oxford Economics'!$A$6:$AZ$6,0))),'Oxford Economics'!$A$7:$A$1000,$C87,'Oxford Economics'!$B$7:$B$1000,Settings!$B$17)+IF(Settings!$B$19="",0,SUMIFS(INDEX('Oxford Economics'!$A$7:$AZ$1000,0,IFERROR(MATCH(P$5,'Oxford Economics'!$A$6:$AZ$6,0),MATCH(P$5&amp;"",'Oxford Economics'!$A$6:$AZ$6,0))),'Oxford Economics'!$A$7:$A$1000,$C87,'Oxford Economics'!$B$7:$B$1000,Settings!$B$19)))),""))</f>
        <v>48572.37</v>
      </c>
      <c r="Q87" s="38" t="n">
        <f aca="false">IF($A87="","",IFERROR(1/(1/IF($B87="Residential",SUMIFS(INDEX('Oxford Economics'!$A$7:$AZ$1000,0,IFERROR(MATCH(Q$5,'Oxford Economics'!$A$6:$AZ$6,0),MATCH(Q$5&amp;"",'Oxford Economics'!$A$6:$AZ$6,0))),'Oxford Economics'!$A$7:$A$1000,$C87,'Oxford Economics'!$B$7:$B$1000,Settings!$B$13)-SUMIFS(INDEX('Oxford Economics'!$A$7:$AZ$1000,0,IFERROR(MATCH(Q$5,'Oxford Economics'!$A$6:$AZ$6,0),MATCH(Q$5&amp;"",'Oxford Economics'!$A$6:$AZ$6,0))),'Oxford Economics'!$A$7:$A$1000,$C87,'Oxford Economics'!$B$7:$B$1000,Settings!$B$15),SUMIFS(INDEX('Oxford Economics'!$A$7:$AZ$1000,0,IFERROR(MATCH(Q$5,'Oxford Economics'!$A$6:$AZ$6,0),MATCH(Q$5&amp;"",'Oxford Economics'!$A$6:$AZ$6,0))),'Oxford Economics'!$A$7:$A$1000,$C87,'Oxford Economics'!$B$7:$B$1000,Settings!$B$15)+SUMIFS(INDEX('Oxford Economics'!$A$7:$AZ$1000,0,IFERROR(MATCH(Q$5,'Oxford Economics'!$A$6:$AZ$6,0),MATCH(Q$5&amp;"",'Oxford Economics'!$A$6:$AZ$6,0))),'Oxford Economics'!$A$7:$A$1000,$C87,'Oxford Economics'!$B$7:$B$1000,Settings!$B$17)+IF(Settings!$B$19="",0,SUMIFS(INDEX('Oxford Economics'!$A$7:$AZ$1000,0,IFERROR(MATCH(Q$5,'Oxford Economics'!$A$6:$AZ$6,0),MATCH(Q$5&amp;"",'Oxford Economics'!$A$6:$AZ$6,0))),'Oxford Economics'!$A$7:$A$1000,$C87,'Oxford Economics'!$B$7:$B$1000,Settings!$B$19)))),""))</f>
        <v>63053.82</v>
      </c>
      <c r="R87" s="38" t="n">
        <f aca="false">IF($A87="","",IFERROR(1/(1/IF($B87="Residential",SUMIFS(INDEX('Oxford Economics'!$A$7:$AZ$1000,0,IFERROR(MATCH(R$5,'Oxford Economics'!$A$6:$AZ$6,0),MATCH(R$5&amp;"",'Oxford Economics'!$A$6:$AZ$6,0))),'Oxford Economics'!$A$7:$A$1000,$C87,'Oxford Economics'!$B$7:$B$1000,Settings!$B$13)-SUMIFS(INDEX('Oxford Economics'!$A$7:$AZ$1000,0,IFERROR(MATCH(R$5,'Oxford Economics'!$A$6:$AZ$6,0),MATCH(R$5&amp;"",'Oxford Economics'!$A$6:$AZ$6,0))),'Oxford Economics'!$A$7:$A$1000,$C87,'Oxford Economics'!$B$7:$B$1000,Settings!$B$15),SUMIFS(INDEX('Oxford Economics'!$A$7:$AZ$1000,0,IFERROR(MATCH(R$5,'Oxford Economics'!$A$6:$AZ$6,0),MATCH(R$5&amp;"",'Oxford Economics'!$A$6:$AZ$6,0))),'Oxford Economics'!$A$7:$A$1000,$C87,'Oxford Economics'!$B$7:$B$1000,Settings!$B$15)+SUMIFS(INDEX('Oxford Economics'!$A$7:$AZ$1000,0,IFERROR(MATCH(R$5,'Oxford Economics'!$A$6:$AZ$6,0),MATCH(R$5&amp;"",'Oxford Economics'!$A$6:$AZ$6,0))),'Oxford Economics'!$A$7:$A$1000,$C87,'Oxford Economics'!$B$7:$B$1000,Settings!$B$17)+IF(Settings!$B$19="",0,SUMIFS(INDEX('Oxford Economics'!$A$7:$AZ$1000,0,IFERROR(MATCH(R$5,'Oxford Economics'!$A$6:$AZ$6,0),MATCH(R$5&amp;"",'Oxford Economics'!$A$6:$AZ$6,0))),'Oxford Economics'!$A$7:$A$1000,$C87,'Oxford Economics'!$B$7:$B$1000,Settings!$B$19)))),""))</f>
        <v>78878.63</v>
      </c>
      <c r="S87" s="38" t="n">
        <f aca="false">IF($A87="","",IFERROR(1/(1/IF($B87="Residential",SUMIFS(INDEX('Oxford Economics'!$A$7:$AZ$1000,0,IFERROR(MATCH(S$5,'Oxford Economics'!$A$6:$AZ$6,0),MATCH(S$5&amp;"",'Oxford Economics'!$A$6:$AZ$6,0))),'Oxford Economics'!$A$7:$A$1000,$C87,'Oxford Economics'!$B$7:$B$1000,Settings!$B$13)-SUMIFS(INDEX('Oxford Economics'!$A$7:$AZ$1000,0,IFERROR(MATCH(S$5,'Oxford Economics'!$A$6:$AZ$6,0),MATCH(S$5&amp;"",'Oxford Economics'!$A$6:$AZ$6,0))),'Oxford Economics'!$A$7:$A$1000,$C87,'Oxford Economics'!$B$7:$B$1000,Settings!$B$15),SUMIFS(INDEX('Oxford Economics'!$A$7:$AZ$1000,0,IFERROR(MATCH(S$5,'Oxford Economics'!$A$6:$AZ$6,0),MATCH(S$5&amp;"",'Oxford Economics'!$A$6:$AZ$6,0))),'Oxford Economics'!$A$7:$A$1000,$C87,'Oxford Economics'!$B$7:$B$1000,Settings!$B$15)+SUMIFS(INDEX('Oxford Economics'!$A$7:$AZ$1000,0,IFERROR(MATCH(S$5,'Oxford Economics'!$A$6:$AZ$6,0),MATCH(S$5&amp;"",'Oxford Economics'!$A$6:$AZ$6,0))),'Oxford Economics'!$A$7:$A$1000,$C87,'Oxford Economics'!$B$7:$B$1000,Settings!$B$17)+IF(Settings!$B$19="",0,SUMIFS(INDEX('Oxford Economics'!$A$7:$AZ$1000,0,IFERROR(MATCH(S$5,'Oxford Economics'!$A$6:$AZ$6,0),MATCH(S$5&amp;"",'Oxford Economics'!$A$6:$AZ$6,0))),'Oxford Economics'!$A$7:$A$1000,$C87,'Oxford Economics'!$B$7:$B$1000,Settings!$B$19)))),""))</f>
        <v>83254.03</v>
      </c>
      <c r="T87" s="38" t="n">
        <f aca="false">IF($A87="","",IFERROR(1/(1/IF($B87="Residential",SUMIFS(INDEX('Oxford Economics'!$A$7:$AZ$1000,0,IFERROR(MATCH(T$5,'Oxford Economics'!$A$6:$AZ$6,0),MATCH(T$5&amp;"",'Oxford Economics'!$A$6:$AZ$6,0))),'Oxford Economics'!$A$7:$A$1000,$C87,'Oxford Economics'!$B$7:$B$1000,Settings!$B$13)-SUMIFS(INDEX('Oxford Economics'!$A$7:$AZ$1000,0,IFERROR(MATCH(T$5,'Oxford Economics'!$A$6:$AZ$6,0),MATCH(T$5&amp;"",'Oxford Economics'!$A$6:$AZ$6,0))),'Oxford Economics'!$A$7:$A$1000,$C87,'Oxford Economics'!$B$7:$B$1000,Settings!$B$15),SUMIFS(INDEX('Oxford Economics'!$A$7:$AZ$1000,0,IFERROR(MATCH(T$5,'Oxford Economics'!$A$6:$AZ$6,0),MATCH(T$5&amp;"",'Oxford Economics'!$A$6:$AZ$6,0))),'Oxford Economics'!$A$7:$A$1000,$C87,'Oxford Economics'!$B$7:$B$1000,Settings!$B$15)+SUMIFS(INDEX('Oxford Economics'!$A$7:$AZ$1000,0,IFERROR(MATCH(T$5,'Oxford Economics'!$A$6:$AZ$6,0),MATCH(T$5&amp;"",'Oxford Economics'!$A$6:$AZ$6,0))),'Oxford Economics'!$A$7:$A$1000,$C87,'Oxford Economics'!$B$7:$B$1000,Settings!$B$17)+IF(Settings!$B$19="",0,SUMIFS(INDEX('Oxford Economics'!$A$7:$AZ$1000,0,IFERROR(MATCH(T$5,'Oxford Economics'!$A$6:$AZ$6,0),MATCH(T$5&amp;"",'Oxford Economics'!$A$6:$AZ$6,0))),'Oxford Economics'!$A$7:$A$1000,$C87,'Oxford Economics'!$B$7:$B$1000,Settings!$B$19)))),""))</f>
        <v>79008.07</v>
      </c>
      <c r="U87" s="38" t="n">
        <f aca="false">IF($A87="","",IFERROR(1/(1/IF($B87="Residential",SUMIFS(INDEX('Oxford Economics'!$A$7:$AZ$1000,0,IFERROR(MATCH(U$5,'Oxford Economics'!$A$6:$AZ$6,0),MATCH(U$5&amp;"",'Oxford Economics'!$A$6:$AZ$6,0))),'Oxford Economics'!$A$7:$A$1000,$C87,'Oxford Economics'!$B$7:$B$1000,Settings!$B$13)-SUMIFS(INDEX('Oxford Economics'!$A$7:$AZ$1000,0,IFERROR(MATCH(U$5,'Oxford Economics'!$A$6:$AZ$6,0),MATCH(U$5&amp;"",'Oxford Economics'!$A$6:$AZ$6,0))),'Oxford Economics'!$A$7:$A$1000,$C87,'Oxford Economics'!$B$7:$B$1000,Settings!$B$15),SUMIFS(INDEX('Oxford Economics'!$A$7:$AZ$1000,0,IFERROR(MATCH(U$5,'Oxford Economics'!$A$6:$AZ$6,0),MATCH(U$5&amp;"",'Oxford Economics'!$A$6:$AZ$6,0))),'Oxford Economics'!$A$7:$A$1000,$C87,'Oxford Economics'!$B$7:$B$1000,Settings!$B$15)+SUMIFS(INDEX('Oxford Economics'!$A$7:$AZ$1000,0,IFERROR(MATCH(U$5,'Oxford Economics'!$A$6:$AZ$6,0),MATCH(U$5&amp;"",'Oxford Economics'!$A$6:$AZ$6,0))),'Oxford Economics'!$A$7:$A$1000,$C87,'Oxford Economics'!$B$7:$B$1000,Settings!$B$17)+IF(Settings!$B$19="",0,SUMIFS(INDEX('Oxford Economics'!$A$7:$AZ$1000,0,IFERROR(MATCH(U$5,'Oxford Economics'!$A$6:$AZ$6,0),MATCH(U$5&amp;"",'Oxford Economics'!$A$6:$AZ$6,0))),'Oxford Economics'!$A$7:$A$1000,$C87,'Oxford Economics'!$B$7:$B$1000,Settings!$B$19)))),""))</f>
        <v>77309</v>
      </c>
      <c r="V87" s="38" t="n">
        <f aca="false">IF($A87="","",IFERROR(1/(1/IF($B87="Residential",SUMIFS(INDEX('Oxford Economics'!$A$7:$AZ$1000,0,IFERROR(MATCH(V$5,'Oxford Economics'!$A$6:$AZ$6,0),MATCH(V$5&amp;"",'Oxford Economics'!$A$6:$AZ$6,0))),'Oxford Economics'!$A$7:$A$1000,$C87,'Oxford Economics'!$B$7:$B$1000,Settings!$B$13)-SUMIFS(INDEX('Oxford Economics'!$A$7:$AZ$1000,0,IFERROR(MATCH(V$5,'Oxford Economics'!$A$6:$AZ$6,0),MATCH(V$5&amp;"",'Oxford Economics'!$A$6:$AZ$6,0))),'Oxford Economics'!$A$7:$A$1000,$C87,'Oxford Economics'!$B$7:$B$1000,Settings!$B$15),SUMIFS(INDEX('Oxford Economics'!$A$7:$AZ$1000,0,IFERROR(MATCH(V$5,'Oxford Economics'!$A$6:$AZ$6,0),MATCH(V$5&amp;"",'Oxford Economics'!$A$6:$AZ$6,0))),'Oxford Economics'!$A$7:$A$1000,$C87,'Oxford Economics'!$B$7:$B$1000,Settings!$B$15)+SUMIFS(INDEX('Oxford Economics'!$A$7:$AZ$1000,0,IFERROR(MATCH(V$5,'Oxford Economics'!$A$6:$AZ$6,0),MATCH(V$5&amp;"",'Oxford Economics'!$A$6:$AZ$6,0))),'Oxford Economics'!$A$7:$A$1000,$C87,'Oxford Economics'!$B$7:$B$1000,Settings!$B$17)+IF(Settings!$B$19="",0,SUMIFS(INDEX('Oxford Economics'!$A$7:$AZ$1000,0,IFERROR(MATCH(V$5,'Oxford Economics'!$A$6:$AZ$6,0),MATCH(V$5&amp;"",'Oxford Economics'!$A$6:$AZ$6,0))),'Oxford Economics'!$A$7:$A$1000,$C87,'Oxford Economics'!$B$7:$B$1000,Settings!$B$19)))),""))</f>
        <v>77236.33</v>
      </c>
      <c r="W87" s="38" t="n">
        <f aca="false">IF($A87="","",IFERROR(1/(1/IF($B87="Residential",SUMIFS(INDEX('Oxford Economics'!$A$7:$AZ$1000,0,IFERROR(MATCH(W$5,'Oxford Economics'!$A$6:$AZ$6,0),MATCH(W$5&amp;"",'Oxford Economics'!$A$6:$AZ$6,0))),'Oxford Economics'!$A$7:$A$1000,$C87,'Oxford Economics'!$B$7:$B$1000,Settings!$B$13)-SUMIFS(INDEX('Oxford Economics'!$A$7:$AZ$1000,0,IFERROR(MATCH(W$5,'Oxford Economics'!$A$6:$AZ$6,0),MATCH(W$5&amp;"",'Oxford Economics'!$A$6:$AZ$6,0))),'Oxford Economics'!$A$7:$A$1000,$C87,'Oxford Economics'!$B$7:$B$1000,Settings!$B$15),SUMIFS(INDEX('Oxford Economics'!$A$7:$AZ$1000,0,IFERROR(MATCH(W$5,'Oxford Economics'!$A$6:$AZ$6,0),MATCH(W$5&amp;"",'Oxford Economics'!$A$6:$AZ$6,0))),'Oxford Economics'!$A$7:$A$1000,$C87,'Oxford Economics'!$B$7:$B$1000,Settings!$B$15)+SUMIFS(INDEX('Oxford Economics'!$A$7:$AZ$1000,0,IFERROR(MATCH(W$5,'Oxford Economics'!$A$6:$AZ$6,0),MATCH(W$5&amp;"",'Oxford Economics'!$A$6:$AZ$6,0))),'Oxford Economics'!$A$7:$A$1000,$C87,'Oxford Economics'!$B$7:$B$1000,Settings!$B$17)+IF(Settings!$B$19="",0,SUMIFS(INDEX('Oxford Economics'!$A$7:$AZ$1000,0,IFERROR(MATCH(W$5,'Oxford Economics'!$A$6:$AZ$6,0),MATCH(W$5&amp;"",'Oxford Economics'!$A$6:$AZ$6,0))),'Oxford Economics'!$A$7:$A$1000,$C87,'Oxford Economics'!$B$7:$B$1000,Settings!$B$19)))),""))</f>
        <v>77555.95</v>
      </c>
      <c r="X87" s="38" t="n">
        <f aca="false">IF($A87="","",IFERROR(1/(1/IF($B87="Residential",SUMIFS(INDEX('Oxford Economics'!$A$7:$AZ$1000,0,IFERROR(MATCH(X$5,'Oxford Economics'!$A$6:$AZ$6,0),MATCH(X$5&amp;"",'Oxford Economics'!$A$6:$AZ$6,0))),'Oxford Economics'!$A$7:$A$1000,$C87,'Oxford Economics'!$B$7:$B$1000,Settings!$B$13)-SUMIFS(INDEX('Oxford Economics'!$A$7:$AZ$1000,0,IFERROR(MATCH(X$5,'Oxford Economics'!$A$6:$AZ$6,0),MATCH(X$5&amp;"",'Oxford Economics'!$A$6:$AZ$6,0))),'Oxford Economics'!$A$7:$A$1000,$C87,'Oxford Economics'!$B$7:$B$1000,Settings!$B$15),SUMIFS(INDEX('Oxford Economics'!$A$7:$AZ$1000,0,IFERROR(MATCH(X$5,'Oxford Economics'!$A$6:$AZ$6,0),MATCH(X$5&amp;"",'Oxford Economics'!$A$6:$AZ$6,0))),'Oxford Economics'!$A$7:$A$1000,$C87,'Oxford Economics'!$B$7:$B$1000,Settings!$B$15)+SUMIFS(INDEX('Oxford Economics'!$A$7:$AZ$1000,0,IFERROR(MATCH(X$5,'Oxford Economics'!$A$6:$AZ$6,0),MATCH(X$5&amp;"",'Oxford Economics'!$A$6:$AZ$6,0))),'Oxford Economics'!$A$7:$A$1000,$C87,'Oxford Economics'!$B$7:$B$1000,Settings!$B$17)+IF(Settings!$B$19="",0,SUMIFS(INDEX('Oxford Economics'!$A$7:$AZ$1000,0,IFERROR(MATCH(X$5,'Oxford Economics'!$A$6:$AZ$6,0),MATCH(X$5&amp;"",'Oxford Economics'!$A$6:$AZ$6,0))),'Oxford Economics'!$A$7:$A$1000,$C87,'Oxford Economics'!$B$7:$B$1000,Settings!$B$19)))),""))</f>
        <v>78151.17</v>
      </c>
      <c r="Y87" s="38" t="n">
        <f aca="false">IF($A87="","",IFERROR(1/(1/IF($B87="Residential",SUMIFS(INDEX('Oxford Economics'!$A$7:$AZ$1000,0,IFERROR(MATCH(Y$5,'Oxford Economics'!$A$6:$AZ$6,0),MATCH(Y$5&amp;"",'Oxford Economics'!$A$6:$AZ$6,0))),'Oxford Economics'!$A$7:$A$1000,$C87,'Oxford Economics'!$B$7:$B$1000,Settings!$B$13)-SUMIFS(INDEX('Oxford Economics'!$A$7:$AZ$1000,0,IFERROR(MATCH(Y$5,'Oxford Economics'!$A$6:$AZ$6,0),MATCH(Y$5&amp;"",'Oxford Economics'!$A$6:$AZ$6,0))),'Oxford Economics'!$A$7:$A$1000,$C87,'Oxford Economics'!$B$7:$B$1000,Settings!$B$15),SUMIFS(INDEX('Oxford Economics'!$A$7:$AZ$1000,0,IFERROR(MATCH(Y$5,'Oxford Economics'!$A$6:$AZ$6,0),MATCH(Y$5&amp;"",'Oxford Economics'!$A$6:$AZ$6,0))),'Oxford Economics'!$A$7:$A$1000,$C87,'Oxford Economics'!$B$7:$B$1000,Settings!$B$15)+SUMIFS(INDEX('Oxford Economics'!$A$7:$AZ$1000,0,IFERROR(MATCH(Y$5,'Oxford Economics'!$A$6:$AZ$6,0),MATCH(Y$5&amp;"",'Oxford Economics'!$A$6:$AZ$6,0))),'Oxford Economics'!$A$7:$A$1000,$C87,'Oxford Economics'!$B$7:$B$1000,Settings!$B$17)+IF(Settings!$B$19="",0,SUMIFS(INDEX('Oxford Economics'!$A$7:$AZ$1000,0,IFERROR(MATCH(Y$5,'Oxford Economics'!$A$6:$AZ$6,0),MATCH(Y$5&amp;"",'Oxford Economics'!$A$6:$AZ$6,0))),'Oxford Economics'!$A$7:$A$1000,$C87,'Oxford Economics'!$B$7:$B$1000,Settings!$B$19)))),""))</f>
        <v>79803.08</v>
      </c>
      <c r="Z87" s="38" t="n">
        <f aca="false">IF($A87="","",IFERROR(1/(1/IF($B87="Residential",SUMIFS(INDEX('Oxford Economics'!$A$7:$AZ$1000,0,IFERROR(MATCH(Z$5,'Oxford Economics'!$A$6:$AZ$6,0),MATCH(Z$5&amp;"",'Oxford Economics'!$A$6:$AZ$6,0))),'Oxford Economics'!$A$7:$A$1000,$C87,'Oxford Economics'!$B$7:$B$1000,Settings!$B$13)-SUMIFS(INDEX('Oxford Economics'!$A$7:$AZ$1000,0,IFERROR(MATCH(Z$5,'Oxford Economics'!$A$6:$AZ$6,0),MATCH(Z$5&amp;"",'Oxford Economics'!$A$6:$AZ$6,0))),'Oxford Economics'!$A$7:$A$1000,$C87,'Oxford Economics'!$B$7:$B$1000,Settings!$B$15),SUMIFS(INDEX('Oxford Economics'!$A$7:$AZ$1000,0,IFERROR(MATCH(Z$5,'Oxford Economics'!$A$6:$AZ$6,0),MATCH(Z$5&amp;"",'Oxford Economics'!$A$6:$AZ$6,0))),'Oxford Economics'!$A$7:$A$1000,$C87,'Oxford Economics'!$B$7:$B$1000,Settings!$B$15)+SUMIFS(INDEX('Oxford Economics'!$A$7:$AZ$1000,0,IFERROR(MATCH(Z$5,'Oxford Economics'!$A$6:$AZ$6,0),MATCH(Z$5&amp;"",'Oxford Economics'!$A$6:$AZ$6,0))),'Oxford Economics'!$A$7:$A$1000,$C87,'Oxford Economics'!$B$7:$B$1000,Settings!$B$17)+IF(Settings!$B$19="",0,SUMIFS(INDEX('Oxford Economics'!$A$7:$AZ$1000,0,IFERROR(MATCH(Z$5,'Oxford Economics'!$A$6:$AZ$6,0),MATCH(Z$5&amp;"",'Oxford Economics'!$A$6:$AZ$6,0))),'Oxford Economics'!$A$7:$A$1000,$C87,'Oxford Economics'!$B$7:$B$1000,Settings!$B$19)))),""))</f>
        <v>81746.5</v>
      </c>
      <c r="AA87" s="38" t="n">
        <f aca="false">IF($A87="","",IFERROR(1/(1/IF($B87="Residential",SUMIFS(INDEX('Oxford Economics'!$A$7:$AZ$1000,0,IFERROR(MATCH(AA$5,'Oxford Economics'!$A$6:$AZ$6,0),MATCH(AA$5&amp;"",'Oxford Economics'!$A$6:$AZ$6,0))),'Oxford Economics'!$A$7:$A$1000,$C87,'Oxford Economics'!$B$7:$B$1000,Settings!$B$13)-SUMIFS(INDEX('Oxford Economics'!$A$7:$AZ$1000,0,IFERROR(MATCH(AA$5,'Oxford Economics'!$A$6:$AZ$6,0),MATCH(AA$5&amp;"",'Oxford Economics'!$A$6:$AZ$6,0))),'Oxford Economics'!$A$7:$A$1000,$C87,'Oxford Economics'!$B$7:$B$1000,Settings!$B$15),SUMIFS(INDEX('Oxford Economics'!$A$7:$AZ$1000,0,IFERROR(MATCH(AA$5,'Oxford Economics'!$A$6:$AZ$6,0),MATCH(AA$5&amp;"",'Oxford Economics'!$A$6:$AZ$6,0))),'Oxford Economics'!$A$7:$A$1000,$C87,'Oxford Economics'!$B$7:$B$1000,Settings!$B$15)+SUMIFS(INDEX('Oxford Economics'!$A$7:$AZ$1000,0,IFERROR(MATCH(AA$5,'Oxford Economics'!$A$6:$AZ$6,0),MATCH(AA$5&amp;"",'Oxford Economics'!$A$6:$AZ$6,0))),'Oxford Economics'!$A$7:$A$1000,$C87,'Oxford Economics'!$B$7:$B$1000,Settings!$B$17)+IF(Settings!$B$19="",0,SUMIFS(INDEX('Oxford Economics'!$A$7:$AZ$1000,0,IFERROR(MATCH(AA$5,'Oxford Economics'!$A$6:$AZ$6,0),MATCH(AA$5&amp;"",'Oxford Economics'!$A$6:$AZ$6,0))),'Oxford Economics'!$A$7:$A$1000,$C87,'Oxford Economics'!$B$7:$B$1000,Settings!$B$19)))),""))</f>
        <v>82077.83</v>
      </c>
      <c r="AB87" s="38" t="n">
        <f aca="false">IF($A87="","",IFERROR(1/(1/IF($B87="Residential",SUMIFS(INDEX('Oxford Economics'!$A$7:$AZ$1000,0,IFERROR(MATCH(AB$5,'Oxford Economics'!$A$6:$AZ$6,0),MATCH(AB$5&amp;"",'Oxford Economics'!$A$6:$AZ$6,0))),'Oxford Economics'!$A$7:$A$1000,$C87,'Oxford Economics'!$B$7:$B$1000,Settings!$B$12)-SUMIFS(INDEX('Oxford Economics'!$A$7:$AZ$1000,0,IFERROR(MATCH(AB$5,'Oxford Economics'!$A$6:$AZ$6,0),MATCH(AB$5&amp;"",'Oxford Economics'!$A$6:$AZ$6,0))),'Oxford Economics'!$A$7:$A$1000,$C87,'Oxford Economics'!$B$7:$B$1000,Settings!$B$14),SUMIFS(INDEX('Oxford Economics'!$A$7:$AZ$1000,0,IFERROR(MATCH(AB$5,'Oxford Economics'!$A$6:$AZ$6,0),MATCH(AB$5&amp;"",'Oxford Economics'!$A$6:$AZ$6,0))),'Oxford Economics'!$A$7:$A$1000,$C87,'Oxford Economics'!$B$7:$B$1000,Settings!$B$14)+SUMIFS(INDEX('Oxford Economics'!$A$7:$AZ$1000,0,IFERROR(MATCH(AB$5,'Oxford Economics'!$A$6:$AZ$6,0),MATCH(AB$5&amp;"",'Oxford Economics'!$A$6:$AZ$6,0))),'Oxford Economics'!$A$7:$A$1000,$C87,'Oxford Economics'!$B$7:$B$1000,Settings!$B$16)+IF(Settings!$B$18="",0,SUMIFS(INDEX('Oxford Economics'!$A$7:$AZ$1000,0,IFERROR(MATCH(AB$5,'Oxford Economics'!$A$6:$AZ$6,0),MATCH(AB$5&amp;"",'Oxford Economics'!$A$6:$AZ$6,0))),'Oxford Economics'!$A$7:$A$1000,$C87,'Oxford Economics'!$B$7:$B$1000,Settings!$B$18)))),""))</f>
        <v>10556.56</v>
      </c>
      <c r="AC87" s="38" t="n">
        <f aca="false">IF($A87="","",IFERROR(1/(1/IF($B87="Residential",SUMIFS(INDEX('Oxford Economics'!$A$7:$AZ$1000,0,IFERROR(MATCH(AC$5,'Oxford Economics'!$A$6:$AZ$6,0),MATCH(AC$5&amp;"",'Oxford Economics'!$A$6:$AZ$6,0))),'Oxford Economics'!$A$7:$A$1000,$C87,'Oxford Economics'!$B$7:$B$1000,Settings!$B$12)-SUMIFS(INDEX('Oxford Economics'!$A$7:$AZ$1000,0,IFERROR(MATCH(AC$5,'Oxford Economics'!$A$6:$AZ$6,0),MATCH(AC$5&amp;"",'Oxford Economics'!$A$6:$AZ$6,0))),'Oxford Economics'!$A$7:$A$1000,$C87,'Oxford Economics'!$B$7:$B$1000,Settings!$B$14),SUMIFS(INDEX('Oxford Economics'!$A$7:$AZ$1000,0,IFERROR(MATCH(AC$5,'Oxford Economics'!$A$6:$AZ$6,0),MATCH(AC$5&amp;"",'Oxford Economics'!$A$6:$AZ$6,0))),'Oxford Economics'!$A$7:$A$1000,$C87,'Oxford Economics'!$B$7:$B$1000,Settings!$B$14)+SUMIFS(INDEX('Oxford Economics'!$A$7:$AZ$1000,0,IFERROR(MATCH(AC$5,'Oxford Economics'!$A$6:$AZ$6,0),MATCH(AC$5&amp;"",'Oxford Economics'!$A$6:$AZ$6,0))),'Oxford Economics'!$A$7:$A$1000,$C87,'Oxford Economics'!$B$7:$B$1000,Settings!$B$16)+IF(Settings!$B$18="",0,SUMIFS(INDEX('Oxford Economics'!$A$7:$AZ$1000,0,IFERROR(MATCH(AC$5,'Oxford Economics'!$A$6:$AZ$6,0),MATCH(AC$5&amp;"",'Oxford Economics'!$A$6:$AZ$6,0))),'Oxford Economics'!$A$7:$A$1000,$C87,'Oxford Economics'!$B$7:$B$1000,Settings!$B$18)))),""))</f>
        <v>12333.75</v>
      </c>
      <c r="AD87" s="38" t="n">
        <f aca="false">IF($A87="","",IFERROR(1/(1/IF($B87="Residential",SUMIFS(INDEX('Oxford Economics'!$A$7:$AZ$1000,0,IFERROR(MATCH(AD$5,'Oxford Economics'!$A$6:$AZ$6,0),MATCH(AD$5&amp;"",'Oxford Economics'!$A$6:$AZ$6,0))),'Oxford Economics'!$A$7:$A$1000,$C87,'Oxford Economics'!$B$7:$B$1000,Settings!$B$12)-SUMIFS(INDEX('Oxford Economics'!$A$7:$AZ$1000,0,IFERROR(MATCH(AD$5,'Oxford Economics'!$A$6:$AZ$6,0),MATCH(AD$5&amp;"",'Oxford Economics'!$A$6:$AZ$6,0))),'Oxford Economics'!$A$7:$A$1000,$C87,'Oxford Economics'!$B$7:$B$1000,Settings!$B$14),SUMIFS(INDEX('Oxford Economics'!$A$7:$AZ$1000,0,IFERROR(MATCH(AD$5,'Oxford Economics'!$A$6:$AZ$6,0),MATCH(AD$5&amp;"",'Oxford Economics'!$A$6:$AZ$6,0))),'Oxford Economics'!$A$7:$A$1000,$C87,'Oxford Economics'!$B$7:$B$1000,Settings!$B$14)+SUMIFS(INDEX('Oxford Economics'!$A$7:$AZ$1000,0,IFERROR(MATCH(AD$5,'Oxford Economics'!$A$6:$AZ$6,0),MATCH(AD$5&amp;"",'Oxford Economics'!$A$6:$AZ$6,0))),'Oxford Economics'!$A$7:$A$1000,$C87,'Oxford Economics'!$B$7:$B$1000,Settings!$B$16)+IF(Settings!$B$18="",0,SUMIFS(INDEX('Oxford Economics'!$A$7:$AZ$1000,0,IFERROR(MATCH(AD$5,'Oxford Economics'!$A$6:$AZ$6,0),MATCH(AD$5&amp;"",'Oxford Economics'!$A$6:$AZ$6,0))),'Oxford Economics'!$A$7:$A$1000,$C87,'Oxford Economics'!$B$7:$B$1000,Settings!$B$18)))),""))</f>
        <v>13317.78</v>
      </c>
      <c r="AE87" s="38" t="n">
        <f aca="false">IF($A87="","",IFERROR(1/(1/IF($B87="Residential",SUMIFS(INDEX('Oxford Economics'!$A$7:$AZ$1000,0,IFERROR(MATCH(AE$5,'Oxford Economics'!$A$6:$AZ$6,0),MATCH(AE$5&amp;"",'Oxford Economics'!$A$6:$AZ$6,0))),'Oxford Economics'!$A$7:$A$1000,$C87,'Oxford Economics'!$B$7:$B$1000,Settings!$B$12)-SUMIFS(INDEX('Oxford Economics'!$A$7:$AZ$1000,0,IFERROR(MATCH(AE$5,'Oxford Economics'!$A$6:$AZ$6,0),MATCH(AE$5&amp;"",'Oxford Economics'!$A$6:$AZ$6,0))),'Oxford Economics'!$A$7:$A$1000,$C87,'Oxford Economics'!$B$7:$B$1000,Settings!$B$14),SUMIFS(INDEX('Oxford Economics'!$A$7:$AZ$1000,0,IFERROR(MATCH(AE$5,'Oxford Economics'!$A$6:$AZ$6,0),MATCH(AE$5&amp;"",'Oxford Economics'!$A$6:$AZ$6,0))),'Oxford Economics'!$A$7:$A$1000,$C87,'Oxford Economics'!$B$7:$B$1000,Settings!$B$14)+SUMIFS(INDEX('Oxford Economics'!$A$7:$AZ$1000,0,IFERROR(MATCH(AE$5,'Oxford Economics'!$A$6:$AZ$6,0),MATCH(AE$5&amp;"",'Oxford Economics'!$A$6:$AZ$6,0))),'Oxford Economics'!$A$7:$A$1000,$C87,'Oxford Economics'!$B$7:$B$1000,Settings!$B$16)+IF(Settings!$B$18="",0,SUMIFS(INDEX('Oxford Economics'!$A$7:$AZ$1000,0,IFERROR(MATCH(AE$5,'Oxford Economics'!$A$6:$AZ$6,0),MATCH(AE$5&amp;"",'Oxford Economics'!$A$6:$AZ$6,0))),'Oxford Economics'!$A$7:$A$1000,$C87,'Oxford Economics'!$B$7:$B$1000,Settings!$B$18)))),""))</f>
        <v>15001.09</v>
      </c>
      <c r="AF87" s="38" t="n">
        <f aca="false">IF($A87="","",IFERROR(1/(1/IF($B87="Residential",SUMIFS(INDEX('Oxford Economics'!$A$7:$AZ$1000,0,IFERROR(MATCH(AF$5,'Oxford Economics'!$A$6:$AZ$6,0),MATCH(AF$5&amp;"",'Oxford Economics'!$A$6:$AZ$6,0))),'Oxford Economics'!$A$7:$A$1000,$C87,'Oxford Economics'!$B$7:$B$1000,Settings!$B$12)-SUMIFS(INDEX('Oxford Economics'!$A$7:$AZ$1000,0,IFERROR(MATCH(AF$5,'Oxford Economics'!$A$6:$AZ$6,0),MATCH(AF$5&amp;"",'Oxford Economics'!$A$6:$AZ$6,0))),'Oxford Economics'!$A$7:$A$1000,$C87,'Oxford Economics'!$B$7:$B$1000,Settings!$B$14),SUMIFS(INDEX('Oxford Economics'!$A$7:$AZ$1000,0,IFERROR(MATCH(AF$5,'Oxford Economics'!$A$6:$AZ$6,0),MATCH(AF$5&amp;"",'Oxford Economics'!$A$6:$AZ$6,0))),'Oxford Economics'!$A$7:$A$1000,$C87,'Oxford Economics'!$B$7:$B$1000,Settings!$B$14)+SUMIFS(INDEX('Oxford Economics'!$A$7:$AZ$1000,0,IFERROR(MATCH(AF$5,'Oxford Economics'!$A$6:$AZ$6,0),MATCH(AF$5&amp;"",'Oxford Economics'!$A$6:$AZ$6,0))),'Oxford Economics'!$A$7:$A$1000,$C87,'Oxford Economics'!$B$7:$B$1000,Settings!$B$16)+IF(Settings!$B$18="",0,SUMIFS(INDEX('Oxford Economics'!$A$7:$AZ$1000,0,IFERROR(MATCH(AF$5,'Oxford Economics'!$A$6:$AZ$6,0),MATCH(AF$5&amp;"",'Oxford Economics'!$A$6:$AZ$6,0))),'Oxford Economics'!$A$7:$A$1000,$C87,'Oxford Economics'!$B$7:$B$1000,Settings!$B$18)))),""))</f>
        <v>16179.1</v>
      </c>
      <c r="AG87" s="38" t="n">
        <f aca="false">IF($A87="","",IFERROR(1/(1/IF($B87="Residential",SUMIFS(INDEX('Oxford Economics'!$A$7:$AZ$1000,0,IFERROR(MATCH(AG$5,'Oxford Economics'!$A$6:$AZ$6,0),MATCH(AG$5&amp;"",'Oxford Economics'!$A$6:$AZ$6,0))),'Oxford Economics'!$A$7:$A$1000,$C87,'Oxford Economics'!$B$7:$B$1000,Settings!$B$12)-SUMIFS(INDEX('Oxford Economics'!$A$7:$AZ$1000,0,IFERROR(MATCH(AG$5,'Oxford Economics'!$A$6:$AZ$6,0),MATCH(AG$5&amp;"",'Oxford Economics'!$A$6:$AZ$6,0))),'Oxford Economics'!$A$7:$A$1000,$C87,'Oxford Economics'!$B$7:$B$1000,Settings!$B$14),SUMIFS(INDEX('Oxford Economics'!$A$7:$AZ$1000,0,IFERROR(MATCH(AG$5,'Oxford Economics'!$A$6:$AZ$6,0),MATCH(AG$5&amp;"",'Oxford Economics'!$A$6:$AZ$6,0))),'Oxford Economics'!$A$7:$A$1000,$C87,'Oxford Economics'!$B$7:$B$1000,Settings!$B$14)+SUMIFS(INDEX('Oxford Economics'!$A$7:$AZ$1000,0,IFERROR(MATCH(AG$5,'Oxford Economics'!$A$6:$AZ$6,0),MATCH(AG$5&amp;"",'Oxford Economics'!$A$6:$AZ$6,0))),'Oxford Economics'!$A$7:$A$1000,$C87,'Oxford Economics'!$B$7:$B$1000,Settings!$B$16)+IF(Settings!$B$18="",0,SUMIFS(INDEX('Oxford Economics'!$A$7:$AZ$1000,0,IFERROR(MATCH(AG$5,'Oxford Economics'!$A$6:$AZ$6,0),MATCH(AG$5&amp;"",'Oxford Economics'!$A$6:$AZ$6,0))),'Oxford Economics'!$A$7:$A$1000,$C87,'Oxford Economics'!$B$7:$B$1000,Settings!$B$18)))),""))</f>
        <v>16097.3</v>
      </c>
      <c r="AH87" s="38" t="n">
        <f aca="false">IF($A87="","",IFERROR(1/(1/IF($B87="Residential",SUMIFS(INDEX('Oxford Economics'!$A$7:$AZ$1000,0,IFERROR(MATCH(AH$5,'Oxford Economics'!$A$6:$AZ$6,0),MATCH(AH$5&amp;"",'Oxford Economics'!$A$6:$AZ$6,0))),'Oxford Economics'!$A$7:$A$1000,$C87,'Oxford Economics'!$B$7:$B$1000,Settings!$B$12)-SUMIFS(INDEX('Oxford Economics'!$A$7:$AZ$1000,0,IFERROR(MATCH(AH$5,'Oxford Economics'!$A$6:$AZ$6,0),MATCH(AH$5&amp;"",'Oxford Economics'!$A$6:$AZ$6,0))),'Oxford Economics'!$A$7:$A$1000,$C87,'Oxford Economics'!$B$7:$B$1000,Settings!$B$14),SUMIFS(INDEX('Oxford Economics'!$A$7:$AZ$1000,0,IFERROR(MATCH(AH$5,'Oxford Economics'!$A$6:$AZ$6,0),MATCH(AH$5&amp;"",'Oxford Economics'!$A$6:$AZ$6,0))),'Oxford Economics'!$A$7:$A$1000,$C87,'Oxford Economics'!$B$7:$B$1000,Settings!$B$14)+SUMIFS(INDEX('Oxford Economics'!$A$7:$AZ$1000,0,IFERROR(MATCH(AH$5,'Oxford Economics'!$A$6:$AZ$6,0),MATCH(AH$5&amp;"",'Oxford Economics'!$A$6:$AZ$6,0))),'Oxford Economics'!$A$7:$A$1000,$C87,'Oxford Economics'!$B$7:$B$1000,Settings!$B$16)+IF(Settings!$B$18="",0,SUMIFS(INDEX('Oxford Economics'!$A$7:$AZ$1000,0,IFERROR(MATCH(AH$5,'Oxford Economics'!$A$6:$AZ$6,0),MATCH(AH$5&amp;"",'Oxford Economics'!$A$6:$AZ$6,0))),'Oxford Economics'!$A$7:$A$1000,$C87,'Oxford Economics'!$B$7:$B$1000,Settings!$B$18)))),""))</f>
        <v>16328.99</v>
      </c>
      <c r="AI87" s="38" t="n">
        <f aca="false">IF($A87="","",IFERROR(1/(1/IF($B87="Residential",SUMIFS(INDEX('Oxford Economics'!$A$7:$AZ$1000,0,IFERROR(MATCH(AI$5,'Oxford Economics'!$A$6:$AZ$6,0),MATCH(AI$5&amp;"",'Oxford Economics'!$A$6:$AZ$6,0))),'Oxford Economics'!$A$7:$A$1000,$C87,'Oxford Economics'!$B$7:$B$1000,Settings!$B$12)-SUMIFS(INDEX('Oxford Economics'!$A$7:$AZ$1000,0,IFERROR(MATCH(AI$5,'Oxford Economics'!$A$6:$AZ$6,0),MATCH(AI$5&amp;"",'Oxford Economics'!$A$6:$AZ$6,0))),'Oxford Economics'!$A$7:$A$1000,$C87,'Oxford Economics'!$B$7:$B$1000,Settings!$B$14),SUMIFS(INDEX('Oxford Economics'!$A$7:$AZ$1000,0,IFERROR(MATCH(AI$5,'Oxford Economics'!$A$6:$AZ$6,0),MATCH(AI$5&amp;"",'Oxford Economics'!$A$6:$AZ$6,0))),'Oxford Economics'!$A$7:$A$1000,$C87,'Oxford Economics'!$B$7:$B$1000,Settings!$B$14)+SUMIFS(INDEX('Oxford Economics'!$A$7:$AZ$1000,0,IFERROR(MATCH(AI$5,'Oxford Economics'!$A$6:$AZ$6,0),MATCH(AI$5&amp;"",'Oxford Economics'!$A$6:$AZ$6,0))),'Oxford Economics'!$A$7:$A$1000,$C87,'Oxford Economics'!$B$7:$B$1000,Settings!$B$16)+IF(Settings!$B$18="",0,SUMIFS(INDEX('Oxford Economics'!$A$7:$AZ$1000,0,IFERROR(MATCH(AI$5,'Oxford Economics'!$A$6:$AZ$6,0),MATCH(AI$5&amp;"",'Oxford Economics'!$A$6:$AZ$6,0))),'Oxford Economics'!$A$7:$A$1000,$C87,'Oxford Economics'!$B$7:$B$1000,Settings!$B$18)))),""))</f>
        <v>16383.69</v>
      </c>
      <c r="AJ87" s="38" t="n">
        <f aca="false">IF($A87="","",IFERROR(1/(1/IF($B87="Residential",SUMIFS(INDEX('Oxford Economics'!$A$7:$AZ$1000,0,IFERROR(MATCH(AJ$5,'Oxford Economics'!$A$6:$AZ$6,0),MATCH(AJ$5&amp;"",'Oxford Economics'!$A$6:$AZ$6,0))),'Oxford Economics'!$A$7:$A$1000,$C87,'Oxford Economics'!$B$7:$B$1000,Settings!$B$12)-SUMIFS(INDEX('Oxford Economics'!$A$7:$AZ$1000,0,IFERROR(MATCH(AJ$5,'Oxford Economics'!$A$6:$AZ$6,0),MATCH(AJ$5&amp;"",'Oxford Economics'!$A$6:$AZ$6,0))),'Oxford Economics'!$A$7:$A$1000,$C87,'Oxford Economics'!$B$7:$B$1000,Settings!$B$14),SUMIFS(INDEX('Oxford Economics'!$A$7:$AZ$1000,0,IFERROR(MATCH(AJ$5,'Oxford Economics'!$A$6:$AZ$6,0),MATCH(AJ$5&amp;"",'Oxford Economics'!$A$6:$AZ$6,0))),'Oxford Economics'!$A$7:$A$1000,$C87,'Oxford Economics'!$B$7:$B$1000,Settings!$B$14)+SUMIFS(INDEX('Oxford Economics'!$A$7:$AZ$1000,0,IFERROR(MATCH(AJ$5,'Oxford Economics'!$A$6:$AZ$6,0),MATCH(AJ$5&amp;"",'Oxford Economics'!$A$6:$AZ$6,0))),'Oxford Economics'!$A$7:$A$1000,$C87,'Oxford Economics'!$B$7:$B$1000,Settings!$B$16)+IF(Settings!$B$18="",0,SUMIFS(INDEX('Oxford Economics'!$A$7:$AZ$1000,0,IFERROR(MATCH(AJ$5,'Oxford Economics'!$A$6:$AZ$6,0),MATCH(AJ$5&amp;"",'Oxford Economics'!$A$6:$AZ$6,0))),'Oxford Economics'!$A$7:$A$1000,$C87,'Oxford Economics'!$B$7:$B$1000,Settings!$B$18)))),""))</f>
        <v>16903.59</v>
      </c>
      <c r="AK87" s="38" t="n">
        <f aca="false">IF($A87="","",IFERROR(1/(1/IF($B87="Residential",SUMIFS(INDEX('Oxford Economics'!$A$7:$AZ$1000,0,IFERROR(MATCH(AK$5,'Oxford Economics'!$A$6:$AZ$6,0),MATCH(AK$5&amp;"",'Oxford Economics'!$A$6:$AZ$6,0))),'Oxford Economics'!$A$7:$A$1000,$C87,'Oxford Economics'!$B$7:$B$1000,Settings!$B$12)-SUMIFS(INDEX('Oxford Economics'!$A$7:$AZ$1000,0,IFERROR(MATCH(AK$5,'Oxford Economics'!$A$6:$AZ$6,0),MATCH(AK$5&amp;"",'Oxford Economics'!$A$6:$AZ$6,0))),'Oxford Economics'!$A$7:$A$1000,$C87,'Oxford Economics'!$B$7:$B$1000,Settings!$B$14),SUMIFS(INDEX('Oxford Economics'!$A$7:$AZ$1000,0,IFERROR(MATCH(AK$5,'Oxford Economics'!$A$6:$AZ$6,0),MATCH(AK$5&amp;"",'Oxford Economics'!$A$6:$AZ$6,0))),'Oxford Economics'!$A$7:$A$1000,$C87,'Oxford Economics'!$B$7:$B$1000,Settings!$B$14)+SUMIFS(INDEX('Oxford Economics'!$A$7:$AZ$1000,0,IFERROR(MATCH(AK$5,'Oxford Economics'!$A$6:$AZ$6,0),MATCH(AK$5&amp;"",'Oxford Economics'!$A$6:$AZ$6,0))),'Oxford Economics'!$A$7:$A$1000,$C87,'Oxford Economics'!$B$7:$B$1000,Settings!$B$16)+IF(Settings!$B$18="",0,SUMIFS(INDEX('Oxford Economics'!$A$7:$AZ$1000,0,IFERROR(MATCH(AK$5,'Oxford Economics'!$A$6:$AZ$6,0),MATCH(AK$5&amp;"",'Oxford Economics'!$A$6:$AZ$6,0))),'Oxford Economics'!$A$7:$A$1000,$C87,'Oxford Economics'!$B$7:$B$1000,Settings!$B$18)))),""))</f>
        <v>17357.46</v>
      </c>
      <c r="AL87" s="38" t="n">
        <f aca="false">IF($A87="","",IFERROR(1/(1/IF($B87="Residential",SUMIFS(INDEX('Oxford Economics'!$A$7:$AZ$1000,0,IFERROR(MATCH(AL$5,'Oxford Economics'!$A$6:$AZ$6,0),MATCH(AL$5&amp;"",'Oxford Economics'!$A$6:$AZ$6,0))),'Oxford Economics'!$A$7:$A$1000,$C87,'Oxford Economics'!$B$7:$B$1000,Settings!$B$12)-SUMIFS(INDEX('Oxford Economics'!$A$7:$AZ$1000,0,IFERROR(MATCH(AL$5,'Oxford Economics'!$A$6:$AZ$6,0),MATCH(AL$5&amp;"",'Oxford Economics'!$A$6:$AZ$6,0))),'Oxford Economics'!$A$7:$A$1000,$C87,'Oxford Economics'!$B$7:$B$1000,Settings!$B$14),SUMIFS(INDEX('Oxford Economics'!$A$7:$AZ$1000,0,IFERROR(MATCH(AL$5,'Oxford Economics'!$A$6:$AZ$6,0),MATCH(AL$5&amp;"",'Oxford Economics'!$A$6:$AZ$6,0))),'Oxford Economics'!$A$7:$A$1000,$C87,'Oxford Economics'!$B$7:$B$1000,Settings!$B$14)+SUMIFS(INDEX('Oxford Economics'!$A$7:$AZ$1000,0,IFERROR(MATCH(AL$5,'Oxford Economics'!$A$6:$AZ$6,0),MATCH(AL$5&amp;"",'Oxford Economics'!$A$6:$AZ$6,0))),'Oxford Economics'!$A$7:$A$1000,$C87,'Oxford Economics'!$B$7:$B$1000,Settings!$B$16)+IF(Settings!$B$18="",0,SUMIFS(INDEX('Oxford Economics'!$A$7:$AZ$1000,0,IFERROR(MATCH(AL$5,'Oxford Economics'!$A$6:$AZ$6,0),MATCH(AL$5&amp;"",'Oxford Economics'!$A$6:$AZ$6,0))),'Oxford Economics'!$A$7:$A$1000,$C87,'Oxford Economics'!$B$7:$B$1000,Settings!$B$18)))),""))</f>
        <v>17897.07</v>
      </c>
      <c r="AM87" s="38" t="n">
        <f aca="false">IF($A87="","",IFERROR(1/(1/IF($B87="Residential",SUMIFS(INDEX('Oxford Economics'!$A$7:$AZ$1000,0,IFERROR(MATCH(AM$5,'Oxford Economics'!$A$6:$AZ$6,0),MATCH(AM$5&amp;"",'Oxford Economics'!$A$6:$AZ$6,0))),'Oxford Economics'!$A$7:$A$1000,$C87,'Oxford Economics'!$B$7:$B$1000,Settings!$B$12)-SUMIFS(INDEX('Oxford Economics'!$A$7:$AZ$1000,0,IFERROR(MATCH(AM$5,'Oxford Economics'!$A$6:$AZ$6,0),MATCH(AM$5&amp;"",'Oxford Economics'!$A$6:$AZ$6,0))),'Oxford Economics'!$A$7:$A$1000,$C87,'Oxford Economics'!$B$7:$B$1000,Settings!$B$14),SUMIFS(INDEX('Oxford Economics'!$A$7:$AZ$1000,0,IFERROR(MATCH(AM$5,'Oxford Economics'!$A$6:$AZ$6,0),MATCH(AM$5&amp;"",'Oxford Economics'!$A$6:$AZ$6,0))),'Oxford Economics'!$A$7:$A$1000,$C87,'Oxford Economics'!$B$7:$B$1000,Settings!$B$14)+SUMIFS(INDEX('Oxford Economics'!$A$7:$AZ$1000,0,IFERROR(MATCH(AM$5,'Oxford Economics'!$A$6:$AZ$6,0),MATCH(AM$5&amp;"",'Oxford Economics'!$A$6:$AZ$6,0))),'Oxford Economics'!$A$7:$A$1000,$C87,'Oxford Economics'!$B$7:$B$1000,Settings!$B$16)+IF(Settings!$B$18="",0,SUMIFS(INDEX('Oxford Economics'!$A$7:$AZ$1000,0,IFERROR(MATCH(AM$5,'Oxford Economics'!$A$6:$AZ$6,0),MATCH(AM$5&amp;"",'Oxford Economics'!$A$6:$AZ$6,0))),'Oxford Economics'!$A$7:$A$1000,$C87,'Oxford Economics'!$B$7:$B$1000,Settings!$B$18)))),""))</f>
        <v>18280.31</v>
      </c>
    </row>
    <row r="88" customFormat="false" ht="15" hidden="false" customHeight="false" outlineLevel="0" collapsed="false">
      <c r="A88" s="37" t="str">
        <f aca="false">IF('Raw data'!$A88="","",'Raw data'!$A88)</f>
        <v>Italy</v>
      </c>
      <c r="B88" s="37" t="str">
        <f aca="false">IF($A88="","",'Raw data'!$C88)</f>
        <v>Commercial</v>
      </c>
      <c r="C88" s="37" t="str">
        <f aca="false">IF($A88="","",IF('Raw data'!$E88="",$A88,'Raw data'!$E88))</f>
        <v>Italy</v>
      </c>
      <c r="D88" s="38" t="n">
        <f aca="false">IF($A88="","",IF(AND(ISNUMBER(P88),ISNUMBER(AB88)),P88+AB88,""))</f>
        <v>59128.93</v>
      </c>
      <c r="E88" s="38" t="n">
        <f aca="false">IF($A88="","",IF(AND(ISNUMBER(Q88),ISNUMBER(AC88)),Q88+AC88,""))</f>
        <v>75387.57</v>
      </c>
      <c r="F88" s="38" t="n">
        <f aca="false">IF($A88="","",IF(AND(ISNUMBER(R88),ISNUMBER(AD88)),R88+AD88,""))</f>
        <v>92196.41</v>
      </c>
      <c r="G88" s="38" t="n">
        <f aca="false">IF($A88="","",IF(AND(ISNUMBER(S88),ISNUMBER(AE88)),S88+AE88,""))</f>
        <v>98255.12</v>
      </c>
      <c r="H88" s="38" t="n">
        <f aca="false">IF($A88="","",IF(AND(ISNUMBER(T88),ISNUMBER(AF88)),T88+AF88,""))</f>
        <v>95187.17</v>
      </c>
      <c r="I88" s="38" t="n">
        <f aca="false">IF($A88="","",IF(AND(ISNUMBER(U88),ISNUMBER(AG88)),U88+AG88,""))</f>
        <v>93406.3</v>
      </c>
      <c r="J88" s="38" t="n">
        <f aca="false">IF($A88="","",IF(AND(ISNUMBER(V88),ISNUMBER(AH88)),V88+AH88,""))</f>
        <v>93565.32</v>
      </c>
      <c r="K88" s="38" t="n">
        <f aca="false">IF($A88="","",IF(AND(ISNUMBER(W88),ISNUMBER(AI88)),W88+AI88,""))</f>
        <v>93939.64</v>
      </c>
      <c r="L88" s="38" t="n">
        <f aca="false">IF($A88="","",IF(AND(ISNUMBER(X88),ISNUMBER(AJ88)),X88+AJ88,""))</f>
        <v>95054.76</v>
      </c>
      <c r="M88" s="38" t="n">
        <f aca="false">IF($A88="","",IF(AND(ISNUMBER(Y88),ISNUMBER(AK88)),Y88+AK88,""))</f>
        <v>97160.54</v>
      </c>
      <c r="N88" s="38" t="n">
        <f aca="false">IF($A88="","",IF(AND(ISNUMBER(Z88),ISNUMBER(AL88)),Z88+AL88,""))</f>
        <v>99643.57</v>
      </c>
      <c r="O88" s="38" t="n">
        <f aca="false">IF($A88="","",IF(AND(ISNUMBER(AA88),ISNUMBER(AM88)),AA88+AM88,""))</f>
        <v>100358.14</v>
      </c>
      <c r="P88" s="38" t="n">
        <f aca="false">IF($A88="","",IFERROR(1/(1/IF($B88="Residential",SUMIFS(INDEX('Oxford Economics'!$A$7:$AZ$1000,0,IFERROR(MATCH(P$5,'Oxford Economics'!$A$6:$AZ$6,0),MATCH(P$5&amp;"",'Oxford Economics'!$A$6:$AZ$6,0))),'Oxford Economics'!$A$7:$A$1000,$C88,'Oxford Economics'!$B$7:$B$1000,Settings!$B$13)-SUMIFS(INDEX('Oxford Economics'!$A$7:$AZ$1000,0,IFERROR(MATCH(P$5,'Oxford Economics'!$A$6:$AZ$6,0),MATCH(P$5&amp;"",'Oxford Economics'!$A$6:$AZ$6,0))),'Oxford Economics'!$A$7:$A$1000,$C88,'Oxford Economics'!$B$7:$B$1000,Settings!$B$15),SUMIFS(INDEX('Oxford Economics'!$A$7:$AZ$1000,0,IFERROR(MATCH(P$5,'Oxford Economics'!$A$6:$AZ$6,0),MATCH(P$5&amp;"",'Oxford Economics'!$A$6:$AZ$6,0))),'Oxford Economics'!$A$7:$A$1000,$C88,'Oxford Economics'!$B$7:$B$1000,Settings!$B$15)+SUMIFS(INDEX('Oxford Economics'!$A$7:$AZ$1000,0,IFERROR(MATCH(P$5,'Oxford Economics'!$A$6:$AZ$6,0),MATCH(P$5&amp;"",'Oxford Economics'!$A$6:$AZ$6,0))),'Oxford Economics'!$A$7:$A$1000,$C88,'Oxford Economics'!$B$7:$B$1000,Settings!$B$17)+IF(Settings!$B$19="",0,SUMIFS(INDEX('Oxford Economics'!$A$7:$AZ$1000,0,IFERROR(MATCH(P$5,'Oxford Economics'!$A$6:$AZ$6,0),MATCH(P$5&amp;"",'Oxford Economics'!$A$6:$AZ$6,0))),'Oxford Economics'!$A$7:$A$1000,$C88,'Oxford Economics'!$B$7:$B$1000,Settings!$B$19)))),""))</f>
        <v>48572.37</v>
      </c>
      <c r="Q88" s="38" t="n">
        <f aca="false">IF($A88="","",IFERROR(1/(1/IF($B88="Residential",SUMIFS(INDEX('Oxford Economics'!$A$7:$AZ$1000,0,IFERROR(MATCH(Q$5,'Oxford Economics'!$A$6:$AZ$6,0),MATCH(Q$5&amp;"",'Oxford Economics'!$A$6:$AZ$6,0))),'Oxford Economics'!$A$7:$A$1000,$C88,'Oxford Economics'!$B$7:$B$1000,Settings!$B$13)-SUMIFS(INDEX('Oxford Economics'!$A$7:$AZ$1000,0,IFERROR(MATCH(Q$5,'Oxford Economics'!$A$6:$AZ$6,0),MATCH(Q$5&amp;"",'Oxford Economics'!$A$6:$AZ$6,0))),'Oxford Economics'!$A$7:$A$1000,$C88,'Oxford Economics'!$B$7:$B$1000,Settings!$B$15),SUMIFS(INDEX('Oxford Economics'!$A$7:$AZ$1000,0,IFERROR(MATCH(Q$5,'Oxford Economics'!$A$6:$AZ$6,0),MATCH(Q$5&amp;"",'Oxford Economics'!$A$6:$AZ$6,0))),'Oxford Economics'!$A$7:$A$1000,$C88,'Oxford Economics'!$B$7:$B$1000,Settings!$B$15)+SUMIFS(INDEX('Oxford Economics'!$A$7:$AZ$1000,0,IFERROR(MATCH(Q$5,'Oxford Economics'!$A$6:$AZ$6,0),MATCH(Q$5&amp;"",'Oxford Economics'!$A$6:$AZ$6,0))),'Oxford Economics'!$A$7:$A$1000,$C88,'Oxford Economics'!$B$7:$B$1000,Settings!$B$17)+IF(Settings!$B$19="",0,SUMIFS(INDEX('Oxford Economics'!$A$7:$AZ$1000,0,IFERROR(MATCH(Q$5,'Oxford Economics'!$A$6:$AZ$6,0),MATCH(Q$5&amp;"",'Oxford Economics'!$A$6:$AZ$6,0))),'Oxford Economics'!$A$7:$A$1000,$C88,'Oxford Economics'!$B$7:$B$1000,Settings!$B$19)))),""))</f>
        <v>63053.82</v>
      </c>
      <c r="R88" s="38" t="n">
        <f aca="false">IF($A88="","",IFERROR(1/(1/IF($B88="Residential",SUMIFS(INDEX('Oxford Economics'!$A$7:$AZ$1000,0,IFERROR(MATCH(R$5,'Oxford Economics'!$A$6:$AZ$6,0),MATCH(R$5&amp;"",'Oxford Economics'!$A$6:$AZ$6,0))),'Oxford Economics'!$A$7:$A$1000,$C88,'Oxford Economics'!$B$7:$B$1000,Settings!$B$13)-SUMIFS(INDEX('Oxford Economics'!$A$7:$AZ$1000,0,IFERROR(MATCH(R$5,'Oxford Economics'!$A$6:$AZ$6,0),MATCH(R$5&amp;"",'Oxford Economics'!$A$6:$AZ$6,0))),'Oxford Economics'!$A$7:$A$1000,$C88,'Oxford Economics'!$B$7:$B$1000,Settings!$B$15),SUMIFS(INDEX('Oxford Economics'!$A$7:$AZ$1000,0,IFERROR(MATCH(R$5,'Oxford Economics'!$A$6:$AZ$6,0),MATCH(R$5&amp;"",'Oxford Economics'!$A$6:$AZ$6,0))),'Oxford Economics'!$A$7:$A$1000,$C88,'Oxford Economics'!$B$7:$B$1000,Settings!$B$15)+SUMIFS(INDEX('Oxford Economics'!$A$7:$AZ$1000,0,IFERROR(MATCH(R$5,'Oxford Economics'!$A$6:$AZ$6,0),MATCH(R$5&amp;"",'Oxford Economics'!$A$6:$AZ$6,0))),'Oxford Economics'!$A$7:$A$1000,$C88,'Oxford Economics'!$B$7:$B$1000,Settings!$B$17)+IF(Settings!$B$19="",0,SUMIFS(INDEX('Oxford Economics'!$A$7:$AZ$1000,0,IFERROR(MATCH(R$5,'Oxford Economics'!$A$6:$AZ$6,0),MATCH(R$5&amp;"",'Oxford Economics'!$A$6:$AZ$6,0))),'Oxford Economics'!$A$7:$A$1000,$C88,'Oxford Economics'!$B$7:$B$1000,Settings!$B$19)))),""))</f>
        <v>78878.63</v>
      </c>
      <c r="S88" s="38" t="n">
        <f aca="false">IF($A88="","",IFERROR(1/(1/IF($B88="Residential",SUMIFS(INDEX('Oxford Economics'!$A$7:$AZ$1000,0,IFERROR(MATCH(S$5,'Oxford Economics'!$A$6:$AZ$6,0),MATCH(S$5&amp;"",'Oxford Economics'!$A$6:$AZ$6,0))),'Oxford Economics'!$A$7:$A$1000,$C88,'Oxford Economics'!$B$7:$B$1000,Settings!$B$13)-SUMIFS(INDEX('Oxford Economics'!$A$7:$AZ$1000,0,IFERROR(MATCH(S$5,'Oxford Economics'!$A$6:$AZ$6,0),MATCH(S$5&amp;"",'Oxford Economics'!$A$6:$AZ$6,0))),'Oxford Economics'!$A$7:$A$1000,$C88,'Oxford Economics'!$B$7:$B$1000,Settings!$B$15),SUMIFS(INDEX('Oxford Economics'!$A$7:$AZ$1000,0,IFERROR(MATCH(S$5,'Oxford Economics'!$A$6:$AZ$6,0),MATCH(S$5&amp;"",'Oxford Economics'!$A$6:$AZ$6,0))),'Oxford Economics'!$A$7:$A$1000,$C88,'Oxford Economics'!$B$7:$B$1000,Settings!$B$15)+SUMIFS(INDEX('Oxford Economics'!$A$7:$AZ$1000,0,IFERROR(MATCH(S$5,'Oxford Economics'!$A$6:$AZ$6,0),MATCH(S$5&amp;"",'Oxford Economics'!$A$6:$AZ$6,0))),'Oxford Economics'!$A$7:$A$1000,$C88,'Oxford Economics'!$B$7:$B$1000,Settings!$B$17)+IF(Settings!$B$19="",0,SUMIFS(INDEX('Oxford Economics'!$A$7:$AZ$1000,0,IFERROR(MATCH(S$5,'Oxford Economics'!$A$6:$AZ$6,0),MATCH(S$5&amp;"",'Oxford Economics'!$A$6:$AZ$6,0))),'Oxford Economics'!$A$7:$A$1000,$C88,'Oxford Economics'!$B$7:$B$1000,Settings!$B$19)))),""))</f>
        <v>83254.03</v>
      </c>
      <c r="T88" s="38" t="n">
        <f aca="false">IF($A88="","",IFERROR(1/(1/IF($B88="Residential",SUMIFS(INDEX('Oxford Economics'!$A$7:$AZ$1000,0,IFERROR(MATCH(T$5,'Oxford Economics'!$A$6:$AZ$6,0),MATCH(T$5&amp;"",'Oxford Economics'!$A$6:$AZ$6,0))),'Oxford Economics'!$A$7:$A$1000,$C88,'Oxford Economics'!$B$7:$B$1000,Settings!$B$13)-SUMIFS(INDEX('Oxford Economics'!$A$7:$AZ$1000,0,IFERROR(MATCH(T$5,'Oxford Economics'!$A$6:$AZ$6,0),MATCH(T$5&amp;"",'Oxford Economics'!$A$6:$AZ$6,0))),'Oxford Economics'!$A$7:$A$1000,$C88,'Oxford Economics'!$B$7:$B$1000,Settings!$B$15),SUMIFS(INDEX('Oxford Economics'!$A$7:$AZ$1000,0,IFERROR(MATCH(T$5,'Oxford Economics'!$A$6:$AZ$6,0),MATCH(T$5&amp;"",'Oxford Economics'!$A$6:$AZ$6,0))),'Oxford Economics'!$A$7:$A$1000,$C88,'Oxford Economics'!$B$7:$B$1000,Settings!$B$15)+SUMIFS(INDEX('Oxford Economics'!$A$7:$AZ$1000,0,IFERROR(MATCH(T$5,'Oxford Economics'!$A$6:$AZ$6,0),MATCH(T$5&amp;"",'Oxford Economics'!$A$6:$AZ$6,0))),'Oxford Economics'!$A$7:$A$1000,$C88,'Oxford Economics'!$B$7:$B$1000,Settings!$B$17)+IF(Settings!$B$19="",0,SUMIFS(INDEX('Oxford Economics'!$A$7:$AZ$1000,0,IFERROR(MATCH(T$5,'Oxford Economics'!$A$6:$AZ$6,0),MATCH(T$5&amp;"",'Oxford Economics'!$A$6:$AZ$6,0))),'Oxford Economics'!$A$7:$A$1000,$C88,'Oxford Economics'!$B$7:$B$1000,Settings!$B$19)))),""))</f>
        <v>79008.07</v>
      </c>
      <c r="U88" s="38" t="n">
        <f aca="false">IF($A88="","",IFERROR(1/(1/IF($B88="Residential",SUMIFS(INDEX('Oxford Economics'!$A$7:$AZ$1000,0,IFERROR(MATCH(U$5,'Oxford Economics'!$A$6:$AZ$6,0),MATCH(U$5&amp;"",'Oxford Economics'!$A$6:$AZ$6,0))),'Oxford Economics'!$A$7:$A$1000,$C88,'Oxford Economics'!$B$7:$B$1000,Settings!$B$13)-SUMIFS(INDEX('Oxford Economics'!$A$7:$AZ$1000,0,IFERROR(MATCH(U$5,'Oxford Economics'!$A$6:$AZ$6,0),MATCH(U$5&amp;"",'Oxford Economics'!$A$6:$AZ$6,0))),'Oxford Economics'!$A$7:$A$1000,$C88,'Oxford Economics'!$B$7:$B$1000,Settings!$B$15),SUMIFS(INDEX('Oxford Economics'!$A$7:$AZ$1000,0,IFERROR(MATCH(U$5,'Oxford Economics'!$A$6:$AZ$6,0),MATCH(U$5&amp;"",'Oxford Economics'!$A$6:$AZ$6,0))),'Oxford Economics'!$A$7:$A$1000,$C88,'Oxford Economics'!$B$7:$B$1000,Settings!$B$15)+SUMIFS(INDEX('Oxford Economics'!$A$7:$AZ$1000,0,IFERROR(MATCH(U$5,'Oxford Economics'!$A$6:$AZ$6,0),MATCH(U$5&amp;"",'Oxford Economics'!$A$6:$AZ$6,0))),'Oxford Economics'!$A$7:$A$1000,$C88,'Oxford Economics'!$B$7:$B$1000,Settings!$B$17)+IF(Settings!$B$19="",0,SUMIFS(INDEX('Oxford Economics'!$A$7:$AZ$1000,0,IFERROR(MATCH(U$5,'Oxford Economics'!$A$6:$AZ$6,0),MATCH(U$5&amp;"",'Oxford Economics'!$A$6:$AZ$6,0))),'Oxford Economics'!$A$7:$A$1000,$C88,'Oxford Economics'!$B$7:$B$1000,Settings!$B$19)))),""))</f>
        <v>77309</v>
      </c>
      <c r="V88" s="38" t="n">
        <f aca="false">IF($A88="","",IFERROR(1/(1/IF($B88="Residential",SUMIFS(INDEX('Oxford Economics'!$A$7:$AZ$1000,0,IFERROR(MATCH(V$5,'Oxford Economics'!$A$6:$AZ$6,0),MATCH(V$5&amp;"",'Oxford Economics'!$A$6:$AZ$6,0))),'Oxford Economics'!$A$7:$A$1000,$C88,'Oxford Economics'!$B$7:$B$1000,Settings!$B$13)-SUMIFS(INDEX('Oxford Economics'!$A$7:$AZ$1000,0,IFERROR(MATCH(V$5,'Oxford Economics'!$A$6:$AZ$6,0),MATCH(V$5&amp;"",'Oxford Economics'!$A$6:$AZ$6,0))),'Oxford Economics'!$A$7:$A$1000,$C88,'Oxford Economics'!$B$7:$B$1000,Settings!$B$15),SUMIFS(INDEX('Oxford Economics'!$A$7:$AZ$1000,0,IFERROR(MATCH(V$5,'Oxford Economics'!$A$6:$AZ$6,0),MATCH(V$5&amp;"",'Oxford Economics'!$A$6:$AZ$6,0))),'Oxford Economics'!$A$7:$A$1000,$C88,'Oxford Economics'!$B$7:$B$1000,Settings!$B$15)+SUMIFS(INDEX('Oxford Economics'!$A$7:$AZ$1000,0,IFERROR(MATCH(V$5,'Oxford Economics'!$A$6:$AZ$6,0),MATCH(V$5&amp;"",'Oxford Economics'!$A$6:$AZ$6,0))),'Oxford Economics'!$A$7:$A$1000,$C88,'Oxford Economics'!$B$7:$B$1000,Settings!$B$17)+IF(Settings!$B$19="",0,SUMIFS(INDEX('Oxford Economics'!$A$7:$AZ$1000,0,IFERROR(MATCH(V$5,'Oxford Economics'!$A$6:$AZ$6,0),MATCH(V$5&amp;"",'Oxford Economics'!$A$6:$AZ$6,0))),'Oxford Economics'!$A$7:$A$1000,$C88,'Oxford Economics'!$B$7:$B$1000,Settings!$B$19)))),""))</f>
        <v>77236.33</v>
      </c>
      <c r="W88" s="38" t="n">
        <f aca="false">IF($A88="","",IFERROR(1/(1/IF($B88="Residential",SUMIFS(INDEX('Oxford Economics'!$A$7:$AZ$1000,0,IFERROR(MATCH(W$5,'Oxford Economics'!$A$6:$AZ$6,0),MATCH(W$5&amp;"",'Oxford Economics'!$A$6:$AZ$6,0))),'Oxford Economics'!$A$7:$A$1000,$C88,'Oxford Economics'!$B$7:$B$1000,Settings!$B$13)-SUMIFS(INDEX('Oxford Economics'!$A$7:$AZ$1000,0,IFERROR(MATCH(W$5,'Oxford Economics'!$A$6:$AZ$6,0),MATCH(W$5&amp;"",'Oxford Economics'!$A$6:$AZ$6,0))),'Oxford Economics'!$A$7:$A$1000,$C88,'Oxford Economics'!$B$7:$B$1000,Settings!$B$15),SUMIFS(INDEX('Oxford Economics'!$A$7:$AZ$1000,0,IFERROR(MATCH(W$5,'Oxford Economics'!$A$6:$AZ$6,0),MATCH(W$5&amp;"",'Oxford Economics'!$A$6:$AZ$6,0))),'Oxford Economics'!$A$7:$A$1000,$C88,'Oxford Economics'!$B$7:$B$1000,Settings!$B$15)+SUMIFS(INDEX('Oxford Economics'!$A$7:$AZ$1000,0,IFERROR(MATCH(W$5,'Oxford Economics'!$A$6:$AZ$6,0),MATCH(W$5&amp;"",'Oxford Economics'!$A$6:$AZ$6,0))),'Oxford Economics'!$A$7:$A$1000,$C88,'Oxford Economics'!$B$7:$B$1000,Settings!$B$17)+IF(Settings!$B$19="",0,SUMIFS(INDEX('Oxford Economics'!$A$7:$AZ$1000,0,IFERROR(MATCH(W$5,'Oxford Economics'!$A$6:$AZ$6,0),MATCH(W$5&amp;"",'Oxford Economics'!$A$6:$AZ$6,0))),'Oxford Economics'!$A$7:$A$1000,$C88,'Oxford Economics'!$B$7:$B$1000,Settings!$B$19)))),""))</f>
        <v>77555.95</v>
      </c>
      <c r="X88" s="38" t="n">
        <f aca="false">IF($A88="","",IFERROR(1/(1/IF($B88="Residential",SUMIFS(INDEX('Oxford Economics'!$A$7:$AZ$1000,0,IFERROR(MATCH(X$5,'Oxford Economics'!$A$6:$AZ$6,0),MATCH(X$5&amp;"",'Oxford Economics'!$A$6:$AZ$6,0))),'Oxford Economics'!$A$7:$A$1000,$C88,'Oxford Economics'!$B$7:$B$1000,Settings!$B$13)-SUMIFS(INDEX('Oxford Economics'!$A$7:$AZ$1000,0,IFERROR(MATCH(X$5,'Oxford Economics'!$A$6:$AZ$6,0),MATCH(X$5&amp;"",'Oxford Economics'!$A$6:$AZ$6,0))),'Oxford Economics'!$A$7:$A$1000,$C88,'Oxford Economics'!$B$7:$B$1000,Settings!$B$15),SUMIFS(INDEX('Oxford Economics'!$A$7:$AZ$1000,0,IFERROR(MATCH(X$5,'Oxford Economics'!$A$6:$AZ$6,0),MATCH(X$5&amp;"",'Oxford Economics'!$A$6:$AZ$6,0))),'Oxford Economics'!$A$7:$A$1000,$C88,'Oxford Economics'!$B$7:$B$1000,Settings!$B$15)+SUMIFS(INDEX('Oxford Economics'!$A$7:$AZ$1000,0,IFERROR(MATCH(X$5,'Oxford Economics'!$A$6:$AZ$6,0),MATCH(X$5&amp;"",'Oxford Economics'!$A$6:$AZ$6,0))),'Oxford Economics'!$A$7:$A$1000,$C88,'Oxford Economics'!$B$7:$B$1000,Settings!$B$17)+IF(Settings!$B$19="",0,SUMIFS(INDEX('Oxford Economics'!$A$7:$AZ$1000,0,IFERROR(MATCH(X$5,'Oxford Economics'!$A$6:$AZ$6,0),MATCH(X$5&amp;"",'Oxford Economics'!$A$6:$AZ$6,0))),'Oxford Economics'!$A$7:$A$1000,$C88,'Oxford Economics'!$B$7:$B$1000,Settings!$B$19)))),""))</f>
        <v>78151.17</v>
      </c>
      <c r="Y88" s="38" t="n">
        <f aca="false">IF($A88="","",IFERROR(1/(1/IF($B88="Residential",SUMIFS(INDEX('Oxford Economics'!$A$7:$AZ$1000,0,IFERROR(MATCH(Y$5,'Oxford Economics'!$A$6:$AZ$6,0),MATCH(Y$5&amp;"",'Oxford Economics'!$A$6:$AZ$6,0))),'Oxford Economics'!$A$7:$A$1000,$C88,'Oxford Economics'!$B$7:$B$1000,Settings!$B$13)-SUMIFS(INDEX('Oxford Economics'!$A$7:$AZ$1000,0,IFERROR(MATCH(Y$5,'Oxford Economics'!$A$6:$AZ$6,0),MATCH(Y$5&amp;"",'Oxford Economics'!$A$6:$AZ$6,0))),'Oxford Economics'!$A$7:$A$1000,$C88,'Oxford Economics'!$B$7:$B$1000,Settings!$B$15),SUMIFS(INDEX('Oxford Economics'!$A$7:$AZ$1000,0,IFERROR(MATCH(Y$5,'Oxford Economics'!$A$6:$AZ$6,0),MATCH(Y$5&amp;"",'Oxford Economics'!$A$6:$AZ$6,0))),'Oxford Economics'!$A$7:$A$1000,$C88,'Oxford Economics'!$B$7:$B$1000,Settings!$B$15)+SUMIFS(INDEX('Oxford Economics'!$A$7:$AZ$1000,0,IFERROR(MATCH(Y$5,'Oxford Economics'!$A$6:$AZ$6,0),MATCH(Y$5&amp;"",'Oxford Economics'!$A$6:$AZ$6,0))),'Oxford Economics'!$A$7:$A$1000,$C88,'Oxford Economics'!$B$7:$B$1000,Settings!$B$17)+IF(Settings!$B$19="",0,SUMIFS(INDEX('Oxford Economics'!$A$7:$AZ$1000,0,IFERROR(MATCH(Y$5,'Oxford Economics'!$A$6:$AZ$6,0),MATCH(Y$5&amp;"",'Oxford Economics'!$A$6:$AZ$6,0))),'Oxford Economics'!$A$7:$A$1000,$C88,'Oxford Economics'!$B$7:$B$1000,Settings!$B$19)))),""))</f>
        <v>79803.08</v>
      </c>
      <c r="Z88" s="38" t="n">
        <f aca="false">IF($A88="","",IFERROR(1/(1/IF($B88="Residential",SUMIFS(INDEX('Oxford Economics'!$A$7:$AZ$1000,0,IFERROR(MATCH(Z$5,'Oxford Economics'!$A$6:$AZ$6,0),MATCH(Z$5&amp;"",'Oxford Economics'!$A$6:$AZ$6,0))),'Oxford Economics'!$A$7:$A$1000,$C88,'Oxford Economics'!$B$7:$B$1000,Settings!$B$13)-SUMIFS(INDEX('Oxford Economics'!$A$7:$AZ$1000,0,IFERROR(MATCH(Z$5,'Oxford Economics'!$A$6:$AZ$6,0),MATCH(Z$5&amp;"",'Oxford Economics'!$A$6:$AZ$6,0))),'Oxford Economics'!$A$7:$A$1000,$C88,'Oxford Economics'!$B$7:$B$1000,Settings!$B$15),SUMIFS(INDEX('Oxford Economics'!$A$7:$AZ$1000,0,IFERROR(MATCH(Z$5,'Oxford Economics'!$A$6:$AZ$6,0),MATCH(Z$5&amp;"",'Oxford Economics'!$A$6:$AZ$6,0))),'Oxford Economics'!$A$7:$A$1000,$C88,'Oxford Economics'!$B$7:$B$1000,Settings!$B$15)+SUMIFS(INDEX('Oxford Economics'!$A$7:$AZ$1000,0,IFERROR(MATCH(Z$5,'Oxford Economics'!$A$6:$AZ$6,0),MATCH(Z$5&amp;"",'Oxford Economics'!$A$6:$AZ$6,0))),'Oxford Economics'!$A$7:$A$1000,$C88,'Oxford Economics'!$B$7:$B$1000,Settings!$B$17)+IF(Settings!$B$19="",0,SUMIFS(INDEX('Oxford Economics'!$A$7:$AZ$1000,0,IFERROR(MATCH(Z$5,'Oxford Economics'!$A$6:$AZ$6,0),MATCH(Z$5&amp;"",'Oxford Economics'!$A$6:$AZ$6,0))),'Oxford Economics'!$A$7:$A$1000,$C88,'Oxford Economics'!$B$7:$B$1000,Settings!$B$19)))),""))</f>
        <v>81746.5</v>
      </c>
      <c r="AA88" s="38" t="n">
        <f aca="false">IF($A88="","",IFERROR(1/(1/IF($B88="Residential",SUMIFS(INDEX('Oxford Economics'!$A$7:$AZ$1000,0,IFERROR(MATCH(AA$5,'Oxford Economics'!$A$6:$AZ$6,0),MATCH(AA$5&amp;"",'Oxford Economics'!$A$6:$AZ$6,0))),'Oxford Economics'!$A$7:$A$1000,$C88,'Oxford Economics'!$B$7:$B$1000,Settings!$B$13)-SUMIFS(INDEX('Oxford Economics'!$A$7:$AZ$1000,0,IFERROR(MATCH(AA$5,'Oxford Economics'!$A$6:$AZ$6,0),MATCH(AA$5&amp;"",'Oxford Economics'!$A$6:$AZ$6,0))),'Oxford Economics'!$A$7:$A$1000,$C88,'Oxford Economics'!$B$7:$B$1000,Settings!$B$15),SUMIFS(INDEX('Oxford Economics'!$A$7:$AZ$1000,0,IFERROR(MATCH(AA$5,'Oxford Economics'!$A$6:$AZ$6,0),MATCH(AA$5&amp;"",'Oxford Economics'!$A$6:$AZ$6,0))),'Oxford Economics'!$A$7:$A$1000,$C88,'Oxford Economics'!$B$7:$B$1000,Settings!$B$15)+SUMIFS(INDEX('Oxford Economics'!$A$7:$AZ$1000,0,IFERROR(MATCH(AA$5,'Oxford Economics'!$A$6:$AZ$6,0),MATCH(AA$5&amp;"",'Oxford Economics'!$A$6:$AZ$6,0))),'Oxford Economics'!$A$7:$A$1000,$C88,'Oxford Economics'!$B$7:$B$1000,Settings!$B$17)+IF(Settings!$B$19="",0,SUMIFS(INDEX('Oxford Economics'!$A$7:$AZ$1000,0,IFERROR(MATCH(AA$5,'Oxford Economics'!$A$6:$AZ$6,0),MATCH(AA$5&amp;"",'Oxford Economics'!$A$6:$AZ$6,0))),'Oxford Economics'!$A$7:$A$1000,$C88,'Oxford Economics'!$B$7:$B$1000,Settings!$B$19)))),""))</f>
        <v>82077.83</v>
      </c>
      <c r="AB88" s="38" t="n">
        <f aca="false">IF($A88="","",IFERROR(1/(1/IF($B88="Residential",SUMIFS(INDEX('Oxford Economics'!$A$7:$AZ$1000,0,IFERROR(MATCH(AB$5,'Oxford Economics'!$A$6:$AZ$6,0),MATCH(AB$5&amp;"",'Oxford Economics'!$A$6:$AZ$6,0))),'Oxford Economics'!$A$7:$A$1000,$C88,'Oxford Economics'!$B$7:$B$1000,Settings!$B$12)-SUMIFS(INDEX('Oxford Economics'!$A$7:$AZ$1000,0,IFERROR(MATCH(AB$5,'Oxford Economics'!$A$6:$AZ$6,0),MATCH(AB$5&amp;"",'Oxford Economics'!$A$6:$AZ$6,0))),'Oxford Economics'!$A$7:$A$1000,$C88,'Oxford Economics'!$B$7:$B$1000,Settings!$B$14),SUMIFS(INDEX('Oxford Economics'!$A$7:$AZ$1000,0,IFERROR(MATCH(AB$5,'Oxford Economics'!$A$6:$AZ$6,0),MATCH(AB$5&amp;"",'Oxford Economics'!$A$6:$AZ$6,0))),'Oxford Economics'!$A$7:$A$1000,$C88,'Oxford Economics'!$B$7:$B$1000,Settings!$B$14)+SUMIFS(INDEX('Oxford Economics'!$A$7:$AZ$1000,0,IFERROR(MATCH(AB$5,'Oxford Economics'!$A$6:$AZ$6,0),MATCH(AB$5&amp;"",'Oxford Economics'!$A$6:$AZ$6,0))),'Oxford Economics'!$A$7:$A$1000,$C88,'Oxford Economics'!$B$7:$B$1000,Settings!$B$16)+IF(Settings!$B$18="",0,SUMIFS(INDEX('Oxford Economics'!$A$7:$AZ$1000,0,IFERROR(MATCH(AB$5,'Oxford Economics'!$A$6:$AZ$6,0),MATCH(AB$5&amp;"",'Oxford Economics'!$A$6:$AZ$6,0))),'Oxford Economics'!$A$7:$A$1000,$C88,'Oxford Economics'!$B$7:$B$1000,Settings!$B$18)))),""))</f>
        <v>10556.56</v>
      </c>
      <c r="AC88" s="38" t="n">
        <f aca="false">IF($A88="","",IFERROR(1/(1/IF($B88="Residential",SUMIFS(INDEX('Oxford Economics'!$A$7:$AZ$1000,0,IFERROR(MATCH(AC$5,'Oxford Economics'!$A$6:$AZ$6,0),MATCH(AC$5&amp;"",'Oxford Economics'!$A$6:$AZ$6,0))),'Oxford Economics'!$A$7:$A$1000,$C88,'Oxford Economics'!$B$7:$B$1000,Settings!$B$12)-SUMIFS(INDEX('Oxford Economics'!$A$7:$AZ$1000,0,IFERROR(MATCH(AC$5,'Oxford Economics'!$A$6:$AZ$6,0),MATCH(AC$5&amp;"",'Oxford Economics'!$A$6:$AZ$6,0))),'Oxford Economics'!$A$7:$A$1000,$C88,'Oxford Economics'!$B$7:$B$1000,Settings!$B$14),SUMIFS(INDEX('Oxford Economics'!$A$7:$AZ$1000,0,IFERROR(MATCH(AC$5,'Oxford Economics'!$A$6:$AZ$6,0),MATCH(AC$5&amp;"",'Oxford Economics'!$A$6:$AZ$6,0))),'Oxford Economics'!$A$7:$A$1000,$C88,'Oxford Economics'!$B$7:$B$1000,Settings!$B$14)+SUMIFS(INDEX('Oxford Economics'!$A$7:$AZ$1000,0,IFERROR(MATCH(AC$5,'Oxford Economics'!$A$6:$AZ$6,0),MATCH(AC$5&amp;"",'Oxford Economics'!$A$6:$AZ$6,0))),'Oxford Economics'!$A$7:$A$1000,$C88,'Oxford Economics'!$B$7:$B$1000,Settings!$B$16)+IF(Settings!$B$18="",0,SUMIFS(INDEX('Oxford Economics'!$A$7:$AZ$1000,0,IFERROR(MATCH(AC$5,'Oxford Economics'!$A$6:$AZ$6,0),MATCH(AC$5&amp;"",'Oxford Economics'!$A$6:$AZ$6,0))),'Oxford Economics'!$A$7:$A$1000,$C88,'Oxford Economics'!$B$7:$B$1000,Settings!$B$18)))),""))</f>
        <v>12333.75</v>
      </c>
      <c r="AD88" s="38" t="n">
        <f aca="false">IF($A88="","",IFERROR(1/(1/IF($B88="Residential",SUMIFS(INDEX('Oxford Economics'!$A$7:$AZ$1000,0,IFERROR(MATCH(AD$5,'Oxford Economics'!$A$6:$AZ$6,0),MATCH(AD$5&amp;"",'Oxford Economics'!$A$6:$AZ$6,0))),'Oxford Economics'!$A$7:$A$1000,$C88,'Oxford Economics'!$B$7:$B$1000,Settings!$B$12)-SUMIFS(INDEX('Oxford Economics'!$A$7:$AZ$1000,0,IFERROR(MATCH(AD$5,'Oxford Economics'!$A$6:$AZ$6,0),MATCH(AD$5&amp;"",'Oxford Economics'!$A$6:$AZ$6,0))),'Oxford Economics'!$A$7:$A$1000,$C88,'Oxford Economics'!$B$7:$B$1000,Settings!$B$14),SUMIFS(INDEX('Oxford Economics'!$A$7:$AZ$1000,0,IFERROR(MATCH(AD$5,'Oxford Economics'!$A$6:$AZ$6,0),MATCH(AD$5&amp;"",'Oxford Economics'!$A$6:$AZ$6,0))),'Oxford Economics'!$A$7:$A$1000,$C88,'Oxford Economics'!$B$7:$B$1000,Settings!$B$14)+SUMIFS(INDEX('Oxford Economics'!$A$7:$AZ$1000,0,IFERROR(MATCH(AD$5,'Oxford Economics'!$A$6:$AZ$6,0),MATCH(AD$5&amp;"",'Oxford Economics'!$A$6:$AZ$6,0))),'Oxford Economics'!$A$7:$A$1000,$C88,'Oxford Economics'!$B$7:$B$1000,Settings!$B$16)+IF(Settings!$B$18="",0,SUMIFS(INDEX('Oxford Economics'!$A$7:$AZ$1000,0,IFERROR(MATCH(AD$5,'Oxford Economics'!$A$6:$AZ$6,0),MATCH(AD$5&amp;"",'Oxford Economics'!$A$6:$AZ$6,0))),'Oxford Economics'!$A$7:$A$1000,$C88,'Oxford Economics'!$B$7:$B$1000,Settings!$B$18)))),""))</f>
        <v>13317.78</v>
      </c>
      <c r="AE88" s="38" t="n">
        <f aca="false">IF($A88="","",IFERROR(1/(1/IF($B88="Residential",SUMIFS(INDEX('Oxford Economics'!$A$7:$AZ$1000,0,IFERROR(MATCH(AE$5,'Oxford Economics'!$A$6:$AZ$6,0),MATCH(AE$5&amp;"",'Oxford Economics'!$A$6:$AZ$6,0))),'Oxford Economics'!$A$7:$A$1000,$C88,'Oxford Economics'!$B$7:$B$1000,Settings!$B$12)-SUMIFS(INDEX('Oxford Economics'!$A$7:$AZ$1000,0,IFERROR(MATCH(AE$5,'Oxford Economics'!$A$6:$AZ$6,0),MATCH(AE$5&amp;"",'Oxford Economics'!$A$6:$AZ$6,0))),'Oxford Economics'!$A$7:$A$1000,$C88,'Oxford Economics'!$B$7:$B$1000,Settings!$B$14),SUMIFS(INDEX('Oxford Economics'!$A$7:$AZ$1000,0,IFERROR(MATCH(AE$5,'Oxford Economics'!$A$6:$AZ$6,0),MATCH(AE$5&amp;"",'Oxford Economics'!$A$6:$AZ$6,0))),'Oxford Economics'!$A$7:$A$1000,$C88,'Oxford Economics'!$B$7:$B$1000,Settings!$B$14)+SUMIFS(INDEX('Oxford Economics'!$A$7:$AZ$1000,0,IFERROR(MATCH(AE$5,'Oxford Economics'!$A$6:$AZ$6,0),MATCH(AE$5&amp;"",'Oxford Economics'!$A$6:$AZ$6,0))),'Oxford Economics'!$A$7:$A$1000,$C88,'Oxford Economics'!$B$7:$B$1000,Settings!$B$16)+IF(Settings!$B$18="",0,SUMIFS(INDEX('Oxford Economics'!$A$7:$AZ$1000,0,IFERROR(MATCH(AE$5,'Oxford Economics'!$A$6:$AZ$6,0),MATCH(AE$5&amp;"",'Oxford Economics'!$A$6:$AZ$6,0))),'Oxford Economics'!$A$7:$A$1000,$C88,'Oxford Economics'!$B$7:$B$1000,Settings!$B$18)))),""))</f>
        <v>15001.09</v>
      </c>
      <c r="AF88" s="38" t="n">
        <f aca="false">IF($A88="","",IFERROR(1/(1/IF($B88="Residential",SUMIFS(INDEX('Oxford Economics'!$A$7:$AZ$1000,0,IFERROR(MATCH(AF$5,'Oxford Economics'!$A$6:$AZ$6,0),MATCH(AF$5&amp;"",'Oxford Economics'!$A$6:$AZ$6,0))),'Oxford Economics'!$A$7:$A$1000,$C88,'Oxford Economics'!$B$7:$B$1000,Settings!$B$12)-SUMIFS(INDEX('Oxford Economics'!$A$7:$AZ$1000,0,IFERROR(MATCH(AF$5,'Oxford Economics'!$A$6:$AZ$6,0),MATCH(AF$5&amp;"",'Oxford Economics'!$A$6:$AZ$6,0))),'Oxford Economics'!$A$7:$A$1000,$C88,'Oxford Economics'!$B$7:$B$1000,Settings!$B$14),SUMIFS(INDEX('Oxford Economics'!$A$7:$AZ$1000,0,IFERROR(MATCH(AF$5,'Oxford Economics'!$A$6:$AZ$6,0),MATCH(AF$5&amp;"",'Oxford Economics'!$A$6:$AZ$6,0))),'Oxford Economics'!$A$7:$A$1000,$C88,'Oxford Economics'!$B$7:$B$1000,Settings!$B$14)+SUMIFS(INDEX('Oxford Economics'!$A$7:$AZ$1000,0,IFERROR(MATCH(AF$5,'Oxford Economics'!$A$6:$AZ$6,0),MATCH(AF$5&amp;"",'Oxford Economics'!$A$6:$AZ$6,0))),'Oxford Economics'!$A$7:$A$1000,$C88,'Oxford Economics'!$B$7:$B$1000,Settings!$B$16)+IF(Settings!$B$18="",0,SUMIFS(INDEX('Oxford Economics'!$A$7:$AZ$1000,0,IFERROR(MATCH(AF$5,'Oxford Economics'!$A$6:$AZ$6,0),MATCH(AF$5&amp;"",'Oxford Economics'!$A$6:$AZ$6,0))),'Oxford Economics'!$A$7:$A$1000,$C88,'Oxford Economics'!$B$7:$B$1000,Settings!$B$18)))),""))</f>
        <v>16179.1</v>
      </c>
      <c r="AG88" s="38" t="n">
        <f aca="false">IF($A88="","",IFERROR(1/(1/IF($B88="Residential",SUMIFS(INDEX('Oxford Economics'!$A$7:$AZ$1000,0,IFERROR(MATCH(AG$5,'Oxford Economics'!$A$6:$AZ$6,0),MATCH(AG$5&amp;"",'Oxford Economics'!$A$6:$AZ$6,0))),'Oxford Economics'!$A$7:$A$1000,$C88,'Oxford Economics'!$B$7:$B$1000,Settings!$B$12)-SUMIFS(INDEX('Oxford Economics'!$A$7:$AZ$1000,0,IFERROR(MATCH(AG$5,'Oxford Economics'!$A$6:$AZ$6,0),MATCH(AG$5&amp;"",'Oxford Economics'!$A$6:$AZ$6,0))),'Oxford Economics'!$A$7:$A$1000,$C88,'Oxford Economics'!$B$7:$B$1000,Settings!$B$14),SUMIFS(INDEX('Oxford Economics'!$A$7:$AZ$1000,0,IFERROR(MATCH(AG$5,'Oxford Economics'!$A$6:$AZ$6,0),MATCH(AG$5&amp;"",'Oxford Economics'!$A$6:$AZ$6,0))),'Oxford Economics'!$A$7:$A$1000,$C88,'Oxford Economics'!$B$7:$B$1000,Settings!$B$14)+SUMIFS(INDEX('Oxford Economics'!$A$7:$AZ$1000,0,IFERROR(MATCH(AG$5,'Oxford Economics'!$A$6:$AZ$6,0),MATCH(AG$5&amp;"",'Oxford Economics'!$A$6:$AZ$6,0))),'Oxford Economics'!$A$7:$A$1000,$C88,'Oxford Economics'!$B$7:$B$1000,Settings!$B$16)+IF(Settings!$B$18="",0,SUMIFS(INDEX('Oxford Economics'!$A$7:$AZ$1000,0,IFERROR(MATCH(AG$5,'Oxford Economics'!$A$6:$AZ$6,0),MATCH(AG$5&amp;"",'Oxford Economics'!$A$6:$AZ$6,0))),'Oxford Economics'!$A$7:$A$1000,$C88,'Oxford Economics'!$B$7:$B$1000,Settings!$B$18)))),""))</f>
        <v>16097.3</v>
      </c>
      <c r="AH88" s="38" t="n">
        <f aca="false">IF($A88="","",IFERROR(1/(1/IF($B88="Residential",SUMIFS(INDEX('Oxford Economics'!$A$7:$AZ$1000,0,IFERROR(MATCH(AH$5,'Oxford Economics'!$A$6:$AZ$6,0),MATCH(AH$5&amp;"",'Oxford Economics'!$A$6:$AZ$6,0))),'Oxford Economics'!$A$7:$A$1000,$C88,'Oxford Economics'!$B$7:$B$1000,Settings!$B$12)-SUMIFS(INDEX('Oxford Economics'!$A$7:$AZ$1000,0,IFERROR(MATCH(AH$5,'Oxford Economics'!$A$6:$AZ$6,0),MATCH(AH$5&amp;"",'Oxford Economics'!$A$6:$AZ$6,0))),'Oxford Economics'!$A$7:$A$1000,$C88,'Oxford Economics'!$B$7:$B$1000,Settings!$B$14),SUMIFS(INDEX('Oxford Economics'!$A$7:$AZ$1000,0,IFERROR(MATCH(AH$5,'Oxford Economics'!$A$6:$AZ$6,0),MATCH(AH$5&amp;"",'Oxford Economics'!$A$6:$AZ$6,0))),'Oxford Economics'!$A$7:$A$1000,$C88,'Oxford Economics'!$B$7:$B$1000,Settings!$B$14)+SUMIFS(INDEX('Oxford Economics'!$A$7:$AZ$1000,0,IFERROR(MATCH(AH$5,'Oxford Economics'!$A$6:$AZ$6,0),MATCH(AH$5&amp;"",'Oxford Economics'!$A$6:$AZ$6,0))),'Oxford Economics'!$A$7:$A$1000,$C88,'Oxford Economics'!$B$7:$B$1000,Settings!$B$16)+IF(Settings!$B$18="",0,SUMIFS(INDEX('Oxford Economics'!$A$7:$AZ$1000,0,IFERROR(MATCH(AH$5,'Oxford Economics'!$A$6:$AZ$6,0),MATCH(AH$5&amp;"",'Oxford Economics'!$A$6:$AZ$6,0))),'Oxford Economics'!$A$7:$A$1000,$C88,'Oxford Economics'!$B$7:$B$1000,Settings!$B$18)))),""))</f>
        <v>16328.99</v>
      </c>
      <c r="AI88" s="38" t="n">
        <f aca="false">IF($A88="","",IFERROR(1/(1/IF($B88="Residential",SUMIFS(INDEX('Oxford Economics'!$A$7:$AZ$1000,0,IFERROR(MATCH(AI$5,'Oxford Economics'!$A$6:$AZ$6,0),MATCH(AI$5&amp;"",'Oxford Economics'!$A$6:$AZ$6,0))),'Oxford Economics'!$A$7:$A$1000,$C88,'Oxford Economics'!$B$7:$B$1000,Settings!$B$12)-SUMIFS(INDEX('Oxford Economics'!$A$7:$AZ$1000,0,IFERROR(MATCH(AI$5,'Oxford Economics'!$A$6:$AZ$6,0),MATCH(AI$5&amp;"",'Oxford Economics'!$A$6:$AZ$6,0))),'Oxford Economics'!$A$7:$A$1000,$C88,'Oxford Economics'!$B$7:$B$1000,Settings!$B$14),SUMIFS(INDEX('Oxford Economics'!$A$7:$AZ$1000,0,IFERROR(MATCH(AI$5,'Oxford Economics'!$A$6:$AZ$6,0),MATCH(AI$5&amp;"",'Oxford Economics'!$A$6:$AZ$6,0))),'Oxford Economics'!$A$7:$A$1000,$C88,'Oxford Economics'!$B$7:$B$1000,Settings!$B$14)+SUMIFS(INDEX('Oxford Economics'!$A$7:$AZ$1000,0,IFERROR(MATCH(AI$5,'Oxford Economics'!$A$6:$AZ$6,0),MATCH(AI$5&amp;"",'Oxford Economics'!$A$6:$AZ$6,0))),'Oxford Economics'!$A$7:$A$1000,$C88,'Oxford Economics'!$B$7:$B$1000,Settings!$B$16)+IF(Settings!$B$18="",0,SUMIFS(INDEX('Oxford Economics'!$A$7:$AZ$1000,0,IFERROR(MATCH(AI$5,'Oxford Economics'!$A$6:$AZ$6,0),MATCH(AI$5&amp;"",'Oxford Economics'!$A$6:$AZ$6,0))),'Oxford Economics'!$A$7:$A$1000,$C88,'Oxford Economics'!$B$7:$B$1000,Settings!$B$18)))),""))</f>
        <v>16383.69</v>
      </c>
      <c r="AJ88" s="38" t="n">
        <f aca="false">IF($A88="","",IFERROR(1/(1/IF($B88="Residential",SUMIFS(INDEX('Oxford Economics'!$A$7:$AZ$1000,0,IFERROR(MATCH(AJ$5,'Oxford Economics'!$A$6:$AZ$6,0),MATCH(AJ$5&amp;"",'Oxford Economics'!$A$6:$AZ$6,0))),'Oxford Economics'!$A$7:$A$1000,$C88,'Oxford Economics'!$B$7:$B$1000,Settings!$B$12)-SUMIFS(INDEX('Oxford Economics'!$A$7:$AZ$1000,0,IFERROR(MATCH(AJ$5,'Oxford Economics'!$A$6:$AZ$6,0),MATCH(AJ$5&amp;"",'Oxford Economics'!$A$6:$AZ$6,0))),'Oxford Economics'!$A$7:$A$1000,$C88,'Oxford Economics'!$B$7:$B$1000,Settings!$B$14),SUMIFS(INDEX('Oxford Economics'!$A$7:$AZ$1000,0,IFERROR(MATCH(AJ$5,'Oxford Economics'!$A$6:$AZ$6,0),MATCH(AJ$5&amp;"",'Oxford Economics'!$A$6:$AZ$6,0))),'Oxford Economics'!$A$7:$A$1000,$C88,'Oxford Economics'!$B$7:$B$1000,Settings!$B$14)+SUMIFS(INDEX('Oxford Economics'!$A$7:$AZ$1000,0,IFERROR(MATCH(AJ$5,'Oxford Economics'!$A$6:$AZ$6,0),MATCH(AJ$5&amp;"",'Oxford Economics'!$A$6:$AZ$6,0))),'Oxford Economics'!$A$7:$A$1000,$C88,'Oxford Economics'!$B$7:$B$1000,Settings!$B$16)+IF(Settings!$B$18="",0,SUMIFS(INDEX('Oxford Economics'!$A$7:$AZ$1000,0,IFERROR(MATCH(AJ$5,'Oxford Economics'!$A$6:$AZ$6,0),MATCH(AJ$5&amp;"",'Oxford Economics'!$A$6:$AZ$6,0))),'Oxford Economics'!$A$7:$A$1000,$C88,'Oxford Economics'!$B$7:$B$1000,Settings!$B$18)))),""))</f>
        <v>16903.59</v>
      </c>
      <c r="AK88" s="38" t="n">
        <f aca="false">IF($A88="","",IFERROR(1/(1/IF($B88="Residential",SUMIFS(INDEX('Oxford Economics'!$A$7:$AZ$1000,0,IFERROR(MATCH(AK$5,'Oxford Economics'!$A$6:$AZ$6,0),MATCH(AK$5&amp;"",'Oxford Economics'!$A$6:$AZ$6,0))),'Oxford Economics'!$A$7:$A$1000,$C88,'Oxford Economics'!$B$7:$B$1000,Settings!$B$12)-SUMIFS(INDEX('Oxford Economics'!$A$7:$AZ$1000,0,IFERROR(MATCH(AK$5,'Oxford Economics'!$A$6:$AZ$6,0),MATCH(AK$5&amp;"",'Oxford Economics'!$A$6:$AZ$6,0))),'Oxford Economics'!$A$7:$A$1000,$C88,'Oxford Economics'!$B$7:$B$1000,Settings!$B$14),SUMIFS(INDEX('Oxford Economics'!$A$7:$AZ$1000,0,IFERROR(MATCH(AK$5,'Oxford Economics'!$A$6:$AZ$6,0),MATCH(AK$5&amp;"",'Oxford Economics'!$A$6:$AZ$6,0))),'Oxford Economics'!$A$7:$A$1000,$C88,'Oxford Economics'!$B$7:$B$1000,Settings!$B$14)+SUMIFS(INDEX('Oxford Economics'!$A$7:$AZ$1000,0,IFERROR(MATCH(AK$5,'Oxford Economics'!$A$6:$AZ$6,0),MATCH(AK$5&amp;"",'Oxford Economics'!$A$6:$AZ$6,0))),'Oxford Economics'!$A$7:$A$1000,$C88,'Oxford Economics'!$B$7:$B$1000,Settings!$B$16)+IF(Settings!$B$18="",0,SUMIFS(INDEX('Oxford Economics'!$A$7:$AZ$1000,0,IFERROR(MATCH(AK$5,'Oxford Economics'!$A$6:$AZ$6,0),MATCH(AK$5&amp;"",'Oxford Economics'!$A$6:$AZ$6,0))),'Oxford Economics'!$A$7:$A$1000,$C88,'Oxford Economics'!$B$7:$B$1000,Settings!$B$18)))),""))</f>
        <v>17357.46</v>
      </c>
      <c r="AL88" s="38" t="n">
        <f aca="false">IF($A88="","",IFERROR(1/(1/IF($B88="Residential",SUMIFS(INDEX('Oxford Economics'!$A$7:$AZ$1000,0,IFERROR(MATCH(AL$5,'Oxford Economics'!$A$6:$AZ$6,0),MATCH(AL$5&amp;"",'Oxford Economics'!$A$6:$AZ$6,0))),'Oxford Economics'!$A$7:$A$1000,$C88,'Oxford Economics'!$B$7:$B$1000,Settings!$B$12)-SUMIFS(INDEX('Oxford Economics'!$A$7:$AZ$1000,0,IFERROR(MATCH(AL$5,'Oxford Economics'!$A$6:$AZ$6,0),MATCH(AL$5&amp;"",'Oxford Economics'!$A$6:$AZ$6,0))),'Oxford Economics'!$A$7:$A$1000,$C88,'Oxford Economics'!$B$7:$B$1000,Settings!$B$14),SUMIFS(INDEX('Oxford Economics'!$A$7:$AZ$1000,0,IFERROR(MATCH(AL$5,'Oxford Economics'!$A$6:$AZ$6,0),MATCH(AL$5&amp;"",'Oxford Economics'!$A$6:$AZ$6,0))),'Oxford Economics'!$A$7:$A$1000,$C88,'Oxford Economics'!$B$7:$B$1000,Settings!$B$14)+SUMIFS(INDEX('Oxford Economics'!$A$7:$AZ$1000,0,IFERROR(MATCH(AL$5,'Oxford Economics'!$A$6:$AZ$6,0),MATCH(AL$5&amp;"",'Oxford Economics'!$A$6:$AZ$6,0))),'Oxford Economics'!$A$7:$A$1000,$C88,'Oxford Economics'!$B$7:$B$1000,Settings!$B$16)+IF(Settings!$B$18="",0,SUMIFS(INDEX('Oxford Economics'!$A$7:$AZ$1000,0,IFERROR(MATCH(AL$5,'Oxford Economics'!$A$6:$AZ$6,0),MATCH(AL$5&amp;"",'Oxford Economics'!$A$6:$AZ$6,0))),'Oxford Economics'!$A$7:$A$1000,$C88,'Oxford Economics'!$B$7:$B$1000,Settings!$B$18)))),""))</f>
        <v>17897.07</v>
      </c>
      <c r="AM88" s="38" t="n">
        <f aca="false">IF($A88="","",IFERROR(1/(1/IF($B88="Residential",SUMIFS(INDEX('Oxford Economics'!$A$7:$AZ$1000,0,IFERROR(MATCH(AM$5,'Oxford Economics'!$A$6:$AZ$6,0),MATCH(AM$5&amp;"",'Oxford Economics'!$A$6:$AZ$6,0))),'Oxford Economics'!$A$7:$A$1000,$C88,'Oxford Economics'!$B$7:$B$1000,Settings!$B$12)-SUMIFS(INDEX('Oxford Economics'!$A$7:$AZ$1000,0,IFERROR(MATCH(AM$5,'Oxford Economics'!$A$6:$AZ$6,0),MATCH(AM$5&amp;"",'Oxford Economics'!$A$6:$AZ$6,0))),'Oxford Economics'!$A$7:$A$1000,$C88,'Oxford Economics'!$B$7:$B$1000,Settings!$B$14),SUMIFS(INDEX('Oxford Economics'!$A$7:$AZ$1000,0,IFERROR(MATCH(AM$5,'Oxford Economics'!$A$6:$AZ$6,0),MATCH(AM$5&amp;"",'Oxford Economics'!$A$6:$AZ$6,0))),'Oxford Economics'!$A$7:$A$1000,$C88,'Oxford Economics'!$B$7:$B$1000,Settings!$B$14)+SUMIFS(INDEX('Oxford Economics'!$A$7:$AZ$1000,0,IFERROR(MATCH(AM$5,'Oxford Economics'!$A$6:$AZ$6,0),MATCH(AM$5&amp;"",'Oxford Economics'!$A$6:$AZ$6,0))),'Oxford Economics'!$A$7:$A$1000,$C88,'Oxford Economics'!$B$7:$B$1000,Settings!$B$16)+IF(Settings!$B$18="",0,SUMIFS(INDEX('Oxford Economics'!$A$7:$AZ$1000,0,IFERROR(MATCH(AM$5,'Oxford Economics'!$A$6:$AZ$6,0),MATCH(AM$5&amp;"",'Oxford Economics'!$A$6:$AZ$6,0))),'Oxford Economics'!$A$7:$A$1000,$C88,'Oxford Economics'!$B$7:$B$1000,Settings!$B$18)))),""))</f>
        <v>18280.31</v>
      </c>
    </row>
    <row r="89" customFormat="false" ht="15" hidden="false" customHeight="false" outlineLevel="0" collapsed="false">
      <c r="A89" s="37" t="str">
        <f aca="false">IF('Raw data'!$A89="","",'Raw data'!$A89)</f>
        <v>Italy</v>
      </c>
      <c r="B89" s="37" t="str">
        <f aca="false">IF($A89="","",'Raw data'!$C89)</f>
        <v>Commercial</v>
      </c>
      <c r="C89" s="37" t="str">
        <f aca="false">IF($A89="","",IF('Raw data'!$E89="",$A89,'Raw data'!$E89))</f>
        <v>Italy</v>
      </c>
      <c r="D89" s="38" t="n">
        <f aca="false">IF($A89="","",IF(AND(ISNUMBER(P89),ISNUMBER(AB89)),P89+AB89,""))</f>
        <v>59128.93</v>
      </c>
      <c r="E89" s="38" t="n">
        <f aca="false">IF($A89="","",IF(AND(ISNUMBER(Q89),ISNUMBER(AC89)),Q89+AC89,""))</f>
        <v>75387.57</v>
      </c>
      <c r="F89" s="38" t="n">
        <f aca="false">IF($A89="","",IF(AND(ISNUMBER(R89),ISNUMBER(AD89)),R89+AD89,""))</f>
        <v>92196.41</v>
      </c>
      <c r="G89" s="38" t="n">
        <f aca="false">IF($A89="","",IF(AND(ISNUMBER(S89),ISNUMBER(AE89)),S89+AE89,""))</f>
        <v>98255.12</v>
      </c>
      <c r="H89" s="38" t="n">
        <f aca="false">IF($A89="","",IF(AND(ISNUMBER(T89),ISNUMBER(AF89)),T89+AF89,""))</f>
        <v>95187.17</v>
      </c>
      <c r="I89" s="38" t="n">
        <f aca="false">IF($A89="","",IF(AND(ISNUMBER(U89),ISNUMBER(AG89)),U89+AG89,""))</f>
        <v>93406.3</v>
      </c>
      <c r="J89" s="38" t="n">
        <f aca="false">IF($A89="","",IF(AND(ISNUMBER(V89),ISNUMBER(AH89)),V89+AH89,""))</f>
        <v>93565.32</v>
      </c>
      <c r="K89" s="38" t="n">
        <f aca="false">IF($A89="","",IF(AND(ISNUMBER(W89),ISNUMBER(AI89)),W89+AI89,""))</f>
        <v>93939.64</v>
      </c>
      <c r="L89" s="38" t="n">
        <f aca="false">IF($A89="","",IF(AND(ISNUMBER(X89),ISNUMBER(AJ89)),X89+AJ89,""))</f>
        <v>95054.76</v>
      </c>
      <c r="M89" s="38" t="n">
        <f aca="false">IF($A89="","",IF(AND(ISNUMBER(Y89),ISNUMBER(AK89)),Y89+AK89,""))</f>
        <v>97160.54</v>
      </c>
      <c r="N89" s="38" t="n">
        <f aca="false">IF($A89="","",IF(AND(ISNUMBER(Z89),ISNUMBER(AL89)),Z89+AL89,""))</f>
        <v>99643.57</v>
      </c>
      <c r="O89" s="38" t="n">
        <f aca="false">IF($A89="","",IF(AND(ISNUMBER(AA89),ISNUMBER(AM89)),AA89+AM89,""))</f>
        <v>100358.14</v>
      </c>
      <c r="P89" s="38" t="n">
        <f aca="false">IF($A89="","",IFERROR(1/(1/IF($B89="Residential",SUMIFS(INDEX('Oxford Economics'!$A$7:$AZ$1000,0,IFERROR(MATCH(P$5,'Oxford Economics'!$A$6:$AZ$6,0),MATCH(P$5&amp;"",'Oxford Economics'!$A$6:$AZ$6,0))),'Oxford Economics'!$A$7:$A$1000,$C89,'Oxford Economics'!$B$7:$B$1000,Settings!$B$13)-SUMIFS(INDEX('Oxford Economics'!$A$7:$AZ$1000,0,IFERROR(MATCH(P$5,'Oxford Economics'!$A$6:$AZ$6,0),MATCH(P$5&amp;"",'Oxford Economics'!$A$6:$AZ$6,0))),'Oxford Economics'!$A$7:$A$1000,$C89,'Oxford Economics'!$B$7:$B$1000,Settings!$B$15),SUMIFS(INDEX('Oxford Economics'!$A$7:$AZ$1000,0,IFERROR(MATCH(P$5,'Oxford Economics'!$A$6:$AZ$6,0),MATCH(P$5&amp;"",'Oxford Economics'!$A$6:$AZ$6,0))),'Oxford Economics'!$A$7:$A$1000,$C89,'Oxford Economics'!$B$7:$B$1000,Settings!$B$15)+SUMIFS(INDEX('Oxford Economics'!$A$7:$AZ$1000,0,IFERROR(MATCH(P$5,'Oxford Economics'!$A$6:$AZ$6,0),MATCH(P$5&amp;"",'Oxford Economics'!$A$6:$AZ$6,0))),'Oxford Economics'!$A$7:$A$1000,$C89,'Oxford Economics'!$B$7:$B$1000,Settings!$B$17)+IF(Settings!$B$19="",0,SUMIFS(INDEX('Oxford Economics'!$A$7:$AZ$1000,0,IFERROR(MATCH(P$5,'Oxford Economics'!$A$6:$AZ$6,0),MATCH(P$5&amp;"",'Oxford Economics'!$A$6:$AZ$6,0))),'Oxford Economics'!$A$7:$A$1000,$C89,'Oxford Economics'!$B$7:$B$1000,Settings!$B$19)))),""))</f>
        <v>48572.37</v>
      </c>
      <c r="Q89" s="38" t="n">
        <f aca="false">IF($A89="","",IFERROR(1/(1/IF($B89="Residential",SUMIFS(INDEX('Oxford Economics'!$A$7:$AZ$1000,0,IFERROR(MATCH(Q$5,'Oxford Economics'!$A$6:$AZ$6,0),MATCH(Q$5&amp;"",'Oxford Economics'!$A$6:$AZ$6,0))),'Oxford Economics'!$A$7:$A$1000,$C89,'Oxford Economics'!$B$7:$B$1000,Settings!$B$13)-SUMIFS(INDEX('Oxford Economics'!$A$7:$AZ$1000,0,IFERROR(MATCH(Q$5,'Oxford Economics'!$A$6:$AZ$6,0),MATCH(Q$5&amp;"",'Oxford Economics'!$A$6:$AZ$6,0))),'Oxford Economics'!$A$7:$A$1000,$C89,'Oxford Economics'!$B$7:$B$1000,Settings!$B$15),SUMIFS(INDEX('Oxford Economics'!$A$7:$AZ$1000,0,IFERROR(MATCH(Q$5,'Oxford Economics'!$A$6:$AZ$6,0),MATCH(Q$5&amp;"",'Oxford Economics'!$A$6:$AZ$6,0))),'Oxford Economics'!$A$7:$A$1000,$C89,'Oxford Economics'!$B$7:$B$1000,Settings!$B$15)+SUMIFS(INDEX('Oxford Economics'!$A$7:$AZ$1000,0,IFERROR(MATCH(Q$5,'Oxford Economics'!$A$6:$AZ$6,0),MATCH(Q$5&amp;"",'Oxford Economics'!$A$6:$AZ$6,0))),'Oxford Economics'!$A$7:$A$1000,$C89,'Oxford Economics'!$B$7:$B$1000,Settings!$B$17)+IF(Settings!$B$19="",0,SUMIFS(INDEX('Oxford Economics'!$A$7:$AZ$1000,0,IFERROR(MATCH(Q$5,'Oxford Economics'!$A$6:$AZ$6,0),MATCH(Q$5&amp;"",'Oxford Economics'!$A$6:$AZ$6,0))),'Oxford Economics'!$A$7:$A$1000,$C89,'Oxford Economics'!$B$7:$B$1000,Settings!$B$19)))),""))</f>
        <v>63053.82</v>
      </c>
      <c r="R89" s="38" t="n">
        <f aca="false">IF($A89="","",IFERROR(1/(1/IF($B89="Residential",SUMIFS(INDEX('Oxford Economics'!$A$7:$AZ$1000,0,IFERROR(MATCH(R$5,'Oxford Economics'!$A$6:$AZ$6,0),MATCH(R$5&amp;"",'Oxford Economics'!$A$6:$AZ$6,0))),'Oxford Economics'!$A$7:$A$1000,$C89,'Oxford Economics'!$B$7:$B$1000,Settings!$B$13)-SUMIFS(INDEX('Oxford Economics'!$A$7:$AZ$1000,0,IFERROR(MATCH(R$5,'Oxford Economics'!$A$6:$AZ$6,0),MATCH(R$5&amp;"",'Oxford Economics'!$A$6:$AZ$6,0))),'Oxford Economics'!$A$7:$A$1000,$C89,'Oxford Economics'!$B$7:$B$1000,Settings!$B$15),SUMIFS(INDEX('Oxford Economics'!$A$7:$AZ$1000,0,IFERROR(MATCH(R$5,'Oxford Economics'!$A$6:$AZ$6,0),MATCH(R$5&amp;"",'Oxford Economics'!$A$6:$AZ$6,0))),'Oxford Economics'!$A$7:$A$1000,$C89,'Oxford Economics'!$B$7:$B$1000,Settings!$B$15)+SUMIFS(INDEX('Oxford Economics'!$A$7:$AZ$1000,0,IFERROR(MATCH(R$5,'Oxford Economics'!$A$6:$AZ$6,0),MATCH(R$5&amp;"",'Oxford Economics'!$A$6:$AZ$6,0))),'Oxford Economics'!$A$7:$A$1000,$C89,'Oxford Economics'!$B$7:$B$1000,Settings!$B$17)+IF(Settings!$B$19="",0,SUMIFS(INDEX('Oxford Economics'!$A$7:$AZ$1000,0,IFERROR(MATCH(R$5,'Oxford Economics'!$A$6:$AZ$6,0),MATCH(R$5&amp;"",'Oxford Economics'!$A$6:$AZ$6,0))),'Oxford Economics'!$A$7:$A$1000,$C89,'Oxford Economics'!$B$7:$B$1000,Settings!$B$19)))),""))</f>
        <v>78878.63</v>
      </c>
      <c r="S89" s="38" t="n">
        <f aca="false">IF($A89="","",IFERROR(1/(1/IF($B89="Residential",SUMIFS(INDEX('Oxford Economics'!$A$7:$AZ$1000,0,IFERROR(MATCH(S$5,'Oxford Economics'!$A$6:$AZ$6,0),MATCH(S$5&amp;"",'Oxford Economics'!$A$6:$AZ$6,0))),'Oxford Economics'!$A$7:$A$1000,$C89,'Oxford Economics'!$B$7:$B$1000,Settings!$B$13)-SUMIFS(INDEX('Oxford Economics'!$A$7:$AZ$1000,0,IFERROR(MATCH(S$5,'Oxford Economics'!$A$6:$AZ$6,0),MATCH(S$5&amp;"",'Oxford Economics'!$A$6:$AZ$6,0))),'Oxford Economics'!$A$7:$A$1000,$C89,'Oxford Economics'!$B$7:$B$1000,Settings!$B$15),SUMIFS(INDEX('Oxford Economics'!$A$7:$AZ$1000,0,IFERROR(MATCH(S$5,'Oxford Economics'!$A$6:$AZ$6,0),MATCH(S$5&amp;"",'Oxford Economics'!$A$6:$AZ$6,0))),'Oxford Economics'!$A$7:$A$1000,$C89,'Oxford Economics'!$B$7:$B$1000,Settings!$B$15)+SUMIFS(INDEX('Oxford Economics'!$A$7:$AZ$1000,0,IFERROR(MATCH(S$5,'Oxford Economics'!$A$6:$AZ$6,0),MATCH(S$5&amp;"",'Oxford Economics'!$A$6:$AZ$6,0))),'Oxford Economics'!$A$7:$A$1000,$C89,'Oxford Economics'!$B$7:$B$1000,Settings!$B$17)+IF(Settings!$B$19="",0,SUMIFS(INDEX('Oxford Economics'!$A$7:$AZ$1000,0,IFERROR(MATCH(S$5,'Oxford Economics'!$A$6:$AZ$6,0),MATCH(S$5&amp;"",'Oxford Economics'!$A$6:$AZ$6,0))),'Oxford Economics'!$A$7:$A$1000,$C89,'Oxford Economics'!$B$7:$B$1000,Settings!$B$19)))),""))</f>
        <v>83254.03</v>
      </c>
      <c r="T89" s="38" t="n">
        <f aca="false">IF($A89="","",IFERROR(1/(1/IF($B89="Residential",SUMIFS(INDEX('Oxford Economics'!$A$7:$AZ$1000,0,IFERROR(MATCH(T$5,'Oxford Economics'!$A$6:$AZ$6,0),MATCH(T$5&amp;"",'Oxford Economics'!$A$6:$AZ$6,0))),'Oxford Economics'!$A$7:$A$1000,$C89,'Oxford Economics'!$B$7:$B$1000,Settings!$B$13)-SUMIFS(INDEX('Oxford Economics'!$A$7:$AZ$1000,0,IFERROR(MATCH(T$5,'Oxford Economics'!$A$6:$AZ$6,0),MATCH(T$5&amp;"",'Oxford Economics'!$A$6:$AZ$6,0))),'Oxford Economics'!$A$7:$A$1000,$C89,'Oxford Economics'!$B$7:$B$1000,Settings!$B$15),SUMIFS(INDEX('Oxford Economics'!$A$7:$AZ$1000,0,IFERROR(MATCH(T$5,'Oxford Economics'!$A$6:$AZ$6,0),MATCH(T$5&amp;"",'Oxford Economics'!$A$6:$AZ$6,0))),'Oxford Economics'!$A$7:$A$1000,$C89,'Oxford Economics'!$B$7:$B$1000,Settings!$B$15)+SUMIFS(INDEX('Oxford Economics'!$A$7:$AZ$1000,0,IFERROR(MATCH(T$5,'Oxford Economics'!$A$6:$AZ$6,0),MATCH(T$5&amp;"",'Oxford Economics'!$A$6:$AZ$6,0))),'Oxford Economics'!$A$7:$A$1000,$C89,'Oxford Economics'!$B$7:$B$1000,Settings!$B$17)+IF(Settings!$B$19="",0,SUMIFS(INDEX('Oxford Economics'!$A$7:$AZ$1000,0,IFERROR(MATCH(T$5,'Oxford Economics'!$A$6:$AZ$6,0),MATCH(T$5&amp;"",'Oxford Economics'!$A$6:$AZ$6,0))),'Oxford Economics'!$A$7:$A$1000,$C89,'Oxford Economics'!$B$7:$B$1000,Settings!$B$19)))),""))</f>
        <v>79008.07</v>
      </c>
      <c r="U89" s="38" t="n">
        <f aca="false">IF($A89="","",IFERROR(1/(1/IF($B89="Residential",SUMIFS(INDEX('Oxford Economics'!$A$7:$AZ$1000,0,IFERROR(MATCH(U$5,'Oxford Economics'!$A$6:$AZ$6,0),MATCH(U$5&amp;"",'Oxford Economics'!$A$6:$AZ$6,0))),'Oxford Economics'!$A$7:$A$1000,$C89,'Oxford Economics'!$B$7:$B$1000,Settings!$B$13)-SUMIFS(INDEX('Oxford Economics'!$A$7:$AZ$1000,0,IFERROR(MATCH(U$5,'Oxford Economics'!$A$6:$AZ$6,0),MATCH(U$5&amp;"",'Oxford Economics'!$A$6:$AZ$6,0))),'Oxford Economics'!$A$7:$A$1000,$C89,'Oxford Economics'!$B$7:$B$1000,Settings!$B$15),SUMIFS(INDEX('Oxford Economics'!$A$7:$AZ$1000,0,IFERROR(MATCH(U$5,'Oxford Economics'!$A$6:$AZ$6,0),MATCH(U$5&amp;"",'Oxford Economics'!$A$6:$AZ$6,0))),'Oxford Economics'!$A$7:$A$1000,$C89,'Oxford Economics'!$B$7:$B$1000,Settings!$B$15)+SUMIFS(INDEX('Oxford Economics'!$A$7:$AZ$1000,0,IFERROR(MATCH(U$5,'Oxford Economics'!$A$6:$AZ$6,0),MATCH(U$5&amp;"",'Oxford Economics'!$A$6:$AZ$6,0))),'Oxford Economics'!$A$7:$A$1000,$C89,'Oxford Economics'!$B$7:$B$1000,Settings!$B$17)+IF(Settings!$B$19="",0,SUMIFS(INDEX('Oxford Economics'!$A$7:$AZ$1000,0,IFERROR(MATCH(U$5,'Oxford Economics'!$A$6:$AZ$6,0),MATCH(U$5&amp;"",'Oxford Economics'!$A$6:$AZ$6,0))),'Oxford Economics'!$A$7:$A$1000,$C89,'Oxford Economics'!$B$7:$B$1000,Settings!$B$19)))),""))</f>
        <v>77309</v>
      </c>
      <c r="V89" s="38" t="n">
        <f aca="false">IF($A89="","",IFERROR(1/(1/IF($B89="Residential",SUMIFS(INDEX('Oxford Economics'!$A$7:$AZ$1000,0,IFERROR(MATCH(V$5,'Oxford Economics'!$A$6:$AZ$6,0),MATCH(V$5&amp;"",'Oxford Economics'!$A$6:$AZ$6,0))),'Oxford Economics'!$A$7:$A$1000,$C89,'Oxford Economics'!$B$7:$B$1000,Settings!$B$13)-SUMIFS(INDEX('Oxford Economics'!$A$7:$AZ$1000,0,IFERROR(MATCH(V$5,'Oxford Economics'!$A$6:$AZ$6,0),MATCH(V$5&amp;"",'Oxford Economics'!$A$6:$AZ$6,0))),'Oxford Economics'!$A$7:$A$1000,$C89,'Oxford Economics'!$B$7:$B$1000,Settings!$B$15),SUMIFS(INDEX('Oxford Economics'!$A$7:$AZ$1000,0,IFERROR(MATCH(V$5,'Oxford Economics'!$A$6:$AZ$6,0),MATCH(V$5&amp;"",'Oxford Economics'!$A$6:$AZ$6,0))),'Oxford Economics'!$A$7:$A$1000,$C89,'Oxford Economics'!$B$7:$B$1000,Settings!$B$15)+SUMIFS(INDEX('Oxford Economics'!$A$7:$AZ$1000,0,IFERROR(MATCH(V$5,'Oxford Economics'!$A$6:$AZ$6,0),MATCH(V$5&amp;"",'Oxford Economics'!$A$6:$AZ$6,0))),'Oxford Economics'!$A$7:$A$1000,$C89,'Oxford Economics'!$B$7:$B$1000,Settings!$B$17)+IF(Settings!$B$19="",0,SUMIFS(INDEX('Oxford Economics'!$A$7:$AZ$1000,0,IFERROR(MATCH(V$5,'Oxford Economics'!$A$6:$AZ$6,0),MATCH(V$5&amp;"",'Oxford Economics'!$A$6:$AZ$6,0))),'Oxford Economics'!$A$7:$A$1000,$C89,'Oxford Economics'!$B$7:$B$1000,Settings!$B$19)))),""))</f>
        <v>77236.33</v>
      </c>
      <c r="W89" s="38" t="n">
        <f aca="false">IF($A89="","",IFERROR(1/(1/IF($B89="Residential",SUMIFS(INDEX('Oxford Economics'!$A$7:$AZ$1000,0,IFERROR(MATCH(W$5,'Oxford Economics'!$A$6:$AZ$6,0),MATCH(W$5&amp;"",'Oxford Economics'!$A$6:$AZ$6,0))),'Oxford Economics'!$A$7:$A$1000,$C89,'Oxford Economics'!$B$7:$B$1000,Settings!$B$13)-SUMIFS(INDEX('Oxford Economics'!$A$7:$AZ$1000,0,IFERROR(MATCH(W$5,'Oxford Economics'!$A$6:$AZ$6,0),MATCH(W$5&amp;"",'Oxford Economics'!$A$6:$AZ$6,0))),'Oxford Economics'!$A$7:$A$1000,$C89,'Oxford Economics'!$B$7:$B$1000,Settings!$B$15),SUMIFS(INDEX('Oxford Economics'!$A$7:$AZ$1000,0,IFERROR(MATCH(W$5,'Oxford Economics'!$A$6:$AZ$6,0),MATCH(W$5&amp;"",'Oxford Economics'!$A$6:$AZ$6,0))),'Oxford Economics'!$A$7:$A$1000,$C89,'Oxford Economics'!$B$7:$B$1000,Settings!$B$15)+SUMIFS(INDEX('Oxford Economics'!$A$7:$AZ$1000,0,IFERROR(MATCH(W$5,'Oxford Economics'!$A$6:$AZ$6,0),MATCH(W$5&amp;"",'Oxford Economics'!$A$6:$AZ$6,0))),'Oxford Economics'!$A$7:$A$1000,$C89,'Oxford Economics'!$B$7:$B$1000,Settings!$B$17)+IF(Settings!$B$19="",0,SUMIFS(INDEX('Oxford Economics'!$A$7:$AZ$1000,0,IFERROR(MATCH(W$5,'Oxford Economics'!$A$6:$AZ$6,0),MATCH(W$5&amp;"",'Oxford Economics'!$A$6:$AZ$6,0))),'Oxford Economics'!$A$7:$A$1000,$C89,'Oxford Economics'!$B$7:$B$1000,Settings!$B$19)))),""))</f>
        <v>77555.95</v>
      </c>
      <c r="X89" s="38" t="n">
        <f aca="false">IF($A89="","",IFERROR(1/(1/IF($B89="Residential",SUMIFS(INDEX('Oxford Economics'!$A$7:$AZ$1000,0,IFERROR(MATCH(X$5,'Oxford Economics'!$A$6:$AZ$6,0),MATCH(X$5&amp;"",'Oxford Economics'!$A$6:$AZ$6,0))),'Oxford Economics'!$A$7:$A$1000,$C89,'Oxford Economics'!$B$7:$B$1000,Settings!$B$13)-SUMIFS(INDEX('Oxford Economics'!$A$7:$AZ$1000,0,IFERROR(MATCH(X$5,'Oxford Economics'!$A$6:$AZ$6,0),MATCH(X$5&amp;"",'Oxford Economics'!$A$6:$AZ$6,0))),'Oxford Economics'!$A$7:$A$1000,$C89,'Oxford Economics'!$B$7:$B$1000,Settings!$B$15),SUMIFS(INDEX('Oxford Economics'!$A$7:$AZ$1000,0,IFERROR(MATCH(X$5,'Oxford Economics'!$A$6:$AZ$6,0),MATCH(X$5&amp;"",'Oxford Economics'!$A$6:$AZ$6,0))),'Oxford Economics'!$A$7:$A$1000,$C89,'Oxford Economics'!$B$7:$B$1000,Settings!$B$15)+SUMIFS(INDEX('Oxford Economics'!$A$7:$AZ$1000,0,IFERROR(MATCH(X$5,'Oxford Economics'!$A$6:$AZ$6,0),MATCH(X$5&amp;"",'Oxford Economics'!$A$6:$AZ$6,0))),'Oxford Economics'!$A$7:$A$1000,$C89,'Oxford Economics'!$B$7:$B$1000,Settings!$B$17)+IF(Settings!$B$19="",0,SUMIFS(INDEX('Oxford Economics'!$A$7:$AZ$1000,0,IFERROR(MATCH(X$5,'Oxford Economics'!$A$6:$AZ$6,0),MATCH(X$5&amp;"",'Oxford Economics'!$A$6:$AZ$6,0))),'Oxford Economics'!$A$7:$A$1000,$C89,'Oxford Economics'!$B$7:$B$1000,Settings!$B$19)))),""))</f>
        <v>78151.17</v>
      </c>
      <c r="Y89" s="38" t="n">
        <f aca="false">IF($A89="","",IFERROR(1/(1/IF($B89="Residential",SUMIFS(INDEX('Oxford Economics'!$A$7:$AZ$1000,0,IFERROR(MATCH(Y$5,'Oxford Economics'!$A$6:$AZ$6,0),MATCH(Y$5&amp;"",'Oxford Economics'!$A$6:$AZ$6,0))),'Oxford Economics'!$A$7:$A$1000,$C89,'Oxford Economics'!$B$7:$B$1000,Settings!$B$13)-SUMIFS(INDEX('Oxford Economics'!$A$7:$AZ$1000,0,IFERROR(MATCH(Y$5,'Oxford Economics'!$A$6:$AZ$6,0),MATCH(Y$5&amp;"",'Oxford Economics'!$A$6:$AZ$6,0))),'Oxford Economics'!$A$7:$A$1000,$C89,'Oxford Economics'!$B$7:$B$1000,Settings!$B$15),SUMIFS(INDEX('Oxford Economics'!$A$7:$AZ$1000,0,IFERROR(MATCH(Y$5,'Oxford Economics'!$A$6:$AZ$6,0),MATCH(Y$5&amp;"",'Oxford Economics'!$A$6:$AZ$6,0))),'Oxford Economics'!$A$7:$A$1000,$C89,'Oxford Economics'!$B$7:$B$1000,Settings!$B$15)+SUMIFS(INDEX('Oxford Economics'!$A$7:$AZ$1000,0,IFERROR(MATCH(Y$5,'Oxford Economics'!$A$6:$AZ$6,0),MATCH(Y$5&amp;"",'Oxford Economics'!$A$6:$AZ$6,0))),'Oxford Economics'!$A$7:$A$1000,$C89,'Oxford Economics'!$B$7:$B$1000,Settings!$B$17)+IF(Settings!$B$19="",0,SUMIFS(INDEX('Oxford Economics'!$A$7:$AZ$1000,0,IFERROR(MATCH(Y$5,'Oxford Economics'!$A$6:$AZ$6,0),MATCH(Y$5&amp;"",'Oxford Economics'!$A$6:$AZ$6,0))),'Oxford Economics'!$A$7:$A$1000,$C89,'Oxford Economics'!$B$7:$B$1000,Settings!$B$19)))),""))</f>
        <v>79803.08</v>
      </c>
      <c r="Z89" s="38" t="n">
        <f aca="false">IF($A89="","",IFERROR(1/(1/IF($B89="Residential",SUMIFS(INDEX('Oxford Economics'!$A$7:$AZ$1000,0,IFERROR(MATCH(Z$5,'Oxford Economics'!$A$6:$AZ$6,0),MATCH(Z$5&amp;"",'Oxford Economics'!$A$6:$AZ$6,0))),'Oxford Economics'!$A$7:$A$1000,$C89,'Oxford Economics'!$B$7:$B$1000,Settings!$B$13)-SUMIFS(INDEX('Oxford Economics'!$A$7:$AZ$1000,0,IFERROR(MATCH(Z$5,'Oxford Economics'!$A$6:$AZ$6,0),MATCH(Z$5&amp;"",'Oxford Economics'!$A$6:$AZ$6,0))),'Oxford Economics'!$A$7:$A$1000,$C89,'Oxford Economics'!$B$7:$B$1000,Settings!$B$15),SUMIFS(INDEX('Oxford Economics'!$A$7:$AZ$1000,0,IFERROR(MATCH(Z$5,'Oxford Economics'!$A$6:$AZ$6,0),MATCH(Z$5&amp;"",'Oxford Economics'!$A$6:$AZ$6,0))),'Oxford Economics'!$A$7:$A$1000,$C89,'Oxford Economics'!$B$7:$B$1000,Settings!$B$15)+SUMIFS(INDEX('Oxford Economics'!$A$7:$AZ$1000,0,IFERROR(MATCH(Z$5,'Oxford Economics'!$A$6:$AZ$6,0),MATCH(Z$5&amp;"",'Oxford Economics'!$A$6:$AZ$6,0))),'Oxford Economics'!$A$7:$A$1000,$C89,'Oxford Economics'!$B$7:$B$1000,Settings!$B$17)+IF(Settings!$B$19="",0,SUMIFS(INDEX('Oxford Economics'!$A$7:$AZ$1000,0,IFERROR(MATCH(Z$5,'Oxford Economics'!$A$6:$AZ$6,0),MATCH(Z$5&amp;"",'Oxford Economics'!$A$6:$AZ$6,0))),'Oxford Economics'!$A$7:$A$1000,$C89,'Oxford Economics'!$B$7:$B$1000,Settings!$B$19)))),""))</f>
        <v>81746.5</v>
      </c>
      <c r="AA89" s="38" t="n">
        <f aca="false">IF($A89="","",IFERROR(1/(1/IF($B89="Residential",SUMIFS(INDEX('Oxford Economics'!$A$7:$AZ$1000,0,IFERROR(MATCH(AA$5,'Oxford Economics'!$A$6:$AZ$6,0),MATCH(AA$5&amp;"",'Oxford Economics'!$A$6:$AZ$6,0))),'Oxford Economics'!$A$7:$A$1000,$C89,'Oxford Economics'!$B$7:$B$1000,Settings!$B$13)-SUMIFS(INDEX('Oxford Economics'!$A$7:$AZ$1000,0,IFERROR(MATCH(AA$5,'Oxford Economics'!$A$6:$AZ$6,0),MATCH(AA$5&amp;"",'Oxford Economics'!$A$6:$AZ$6,0))),'Oxford Economics'!$A$7:$A$1000,$C89,'Oxford Economics'!$B$7:$B$1000,Settings!$B$15),SUMIFS(INDEX('Oxford Economics'!$A$7:$AZ$1000,0,IFERROR(MATCH(AA$5,'Oxford Economics'!$A$6:$AZ$6,0),MATCH(AA$5&amp;"",'Oxford Economics'!$A$6:$AZ$6,0))),'Oxford Economics'!$A$7:$A$1000,$C89,'Oxford Economics'!$B$7:$B$1000,Settings!$B$15)+SUMIFS(INDEX('Oxford Economics'!$A$7:$AZ$1000,0,IFERROR(MATCH(AA$5,'Oxford Economics'!$A$6:$AZ$6,0),MATCH(AA$5&amp;"",'Oxford Economics'!$A$6:$AZ$6,0))),'Oxford Economics'!$A$7:$A$1000,$C89,'Oxford Economics'!$B$7:$B$1000,Settings!$B$17)+IF(Settings!$B$19="",0,SUMIFS(INDEX('Oxford Economics'!$A$7:$AZ$1000,0,IFERROR(MATCH(AA$5,'Oxford Economics'!$A$6:$AZ$6,0),MATCH(AA$5&amp;"",'Oxford Economics'!$A$6:$AZ$6,0))),'Oxford Economics'!$A$7:$A$1000,$C89,'Oxford Economics'!$B$7:$B$1000,Settings!$B$19)))),""))</f>
        <v>82077.83</v>
      </c>
      <c r="AB89" s="38" t="n">
        <f aca="false">IF($A89="","",IFERROR(1/(1/IF($B89="Residential",SUMIFS(INDEX('Oxford Economics'!$A$7:$AZ$1000,0,IFERROR(MATCH(AB$5,'Oxford Economics'!$A$6:$AZ$6,0),MATCH(AB$5&amp;"",'Oxford Economics'!$A$6:$AZ$6,0))),'Oxford Economics'!$A$7:$A$1000,$C89,'Oxford Economics'!$B$7:$B$1000,Settings!$B$12)-SUMIFS(INDEX('Oxford Economics'!$A$7:$AZ$1000,0,IFERROR(MATCH(AB$5,'Oxford Economics'!$A$6:$AZ$6,0),MATCH(AB$5&amp;"",'Oxford Economics'!$A$6:$AZ$6,0))),'Oxford Economics'!$A$7:$A$1000,$C89,'Oxford Economics'!$B$7:$B$1000,Settings!$B$14),SUMIFS(INDEX('Oxford Economics'!$A$7:$AZ$1000,0,IFERROR(MATCH(AB$5,'Oxford Economics'!$A$6:$AZ$6,0),MATCH(AB$5&amp;"",'Oxford Economics'!$A$6:$AZ$6,0))),'Oxford Economics'!$A$7:$A$1000,$C89,'Oxford Economics'!$B$7:$B$1000,Settings!$B$14)+SUMIFS(INDEX('Oxford Economics'!$A$7:$AZ$1000,0,IFERROR(MATCH(AB$5,'Oxford Economics'!$A$6:$AZ$6,0),MATCH(AB$5&amp;"",'Oxford Economics'!$A$6:$AZ$6,0))),'Oxford Economics'!$A$7:$A$1000,$C89,'Oxford Economics'!$B$7:$B$1000,Settings!$B$16)+IF(Settings!$B$18="",0,SUMIFS(INDEX('Oxford Economics'!$A$7:$AZ$1000,0,IFERROR(MATCH(AB$5,'Oxford Economics'!$A$6:$AZ$6,0),MATCH(AB$5&amp;"",'Oxford Economics'!$A$6:$AZ$6,0))),'Oxford Economics'!$A$7:$A$1000,$C89,'Oxford Economics'!$B$7:$B$1000,Settings!$B$18)))),""))</f>
        <v>10556.56</v>
      </c>
      <c r="AC89" s="38" t="n">
        <f aca="false">IF($A89="","",IFERROR(1/(1/IF($B89="Residential",SUMIFS(INDEX('Oxford Economics'!$A$7:$AZ$1000,0,IFERROR(MATCH(AC$5,'Oxford Economics'!$A$6:$AZ$6,0),MATCH(AC$5&amp;"",'Oxford Economics'!$A$6:$AZ$6,0))),'Oxford Economics'!$A$7:$A$1000,$C89,'Oxford Economics'!$B$7:$B$1000,Settings!$B$12)-SUMIFS(INDEX('Oxford Economics'!$A$7:$AZ$1000,0,IFERROR(MATCH(AC$5,'Oxford Economics'!$A$6:$AZ$6,0),MATCH(AC$5&amp;"",'Oxford Economics'!$A$6:$AZ$6,0))),'Oxford Economics'!$A$7:$A$1000,$C89,'Oxford Economics'!$B$7:$B$1000,Settings!$B$14),SUMIFS(INDEX('Oxford Economics'!$A$7:$AZ$1000,0,IFERROR(MATCH(AC$5,'Oxford Economics'!$A$6:$AZ$6,0),MATCH(AC$5&amp;"",'Oxford Economics'!$A$6:$AZ$6,0))),'Oxford Economics'!$A$7:$A$1000,$C89,'Oxford Economics'!$B$7:$B$1000,Settings!$B$14)+SUMIFS(INDEX('Oxford Economics'!$A$7:$AZ$1000,0,IFERROR(MATCH(AC$5,'Oxford Economics'!$A$6:$AZ$6,0),MATCH(AC$5&amp;"",'Oxford Economics'!$A$6:$AZ$6,0))),'Oxford Economics'!$A$7:$A$1000,$C89,'Oxford Economics'!$B$7:$B$1000,Settings!$B$16)+IF(Settings!$B$18="",0,SUMIFS(INDEX('Oxford Economics'!$A$7:$AZ$1000,0,IFERROR(MATCH(AC$5,'Oxford Economics'!$A$6:$AZ$6,0),MATCH(AC$5&amp;"",'Oxford Economics'!$A$6:$AZ$6,0))),'Oxford Economics'!$A$7:$A$1000,$C89,'Oxford Economics'!$B$7:$B$1000,Settings!$B$18)))),""))</f>
        <v>12333.75</v>
      </c>
      <c r="AD89" s="38" t="n">
        <f aca="false">IF($A89="","",IFERROR(1/(1/IF($B89="Residential",SUMIFS(INDEX('Oxford Economics'!$A$7:$AZ$1000,0,IFERROR(MATCH(AD$5,'Oxford Economics'!$A$6:$AZ$6,0),MATCH(AD$5&amp;"",'Oxford Economics'!$A$6:$AZ$6,0))),'Oxford Economics'!$A$7:$A$1000,$C89,'Oxford Economics'!$B$7:$B$1000,Settings!$B$12)-SUMIFS(INDEX('Oxford Economics'!$A$7:$AZ$1000,0,IFERROR(MATCH(AD$5,'Oxford Economics'!$A$6:$AZ$6,0),MATCH(AD$5&amp;"",'Oxford Economics'!$A$6:$AZ$6,0))),'Oxford Economics'!$A$7:$A$1000,$C89,'Oxford Economics'!$B$7:$B$1000,Settings!$B$14),SUMIFS(INDEX('Oxford Economics'!$A$7:$AZ$1000,0,IFERROR(MATCH(AD$5,'Oxford Economics'!$A$6:$AZ$6,0),MATCH(AD$5&amp;"",'Oxford Economics'!$A$6:$AZ$6,0))),'Oxford Economics'!$A$7:$A$1000,$C89,'Oxford Economics'!$B$7:$B$1000,Settings!$B$14)+SUMIFS(INDEX('Oxford Economics'!$A$7:$AZ$1000,0,IFERROR(MATCH(AD$5,'Oxford Economics'!$A$6:$AZ$6,0),MATCH(AD$5&amp;"",'Oxford Economics'!$A$6:$AZ$6,0))),'Oxford Economics'!$A$7:$A$1000,$C89,'Oxford Economics'!$B$7:$B$1000,Settings!$B$16)+IF(Settings!$B$18="",0,SUMIFS(INDEX('Oxford Economics'!$A$7:$AZ$1000,0,IFERROR(MATCH(AD$5,'Oxford Economics'!$A$6:$AZ$6,0),MATCH(AD$5&amp;"",'Oxford Economics'!$A$6:$AZ$6,0))),'Oxford Economics'!$A$7:$A$1000,$C89,'Oxford Economics'!$B$7:$B$1000,Settings!$B$18)))),""))</f>
        <v>13317.78</v>
      </c>
      <c r="AE89" s="38" t="n">
        <f aca="false">IF($A89="","",IFERROR(1/(1/IF($B89="Residential",SUMIFS(INDEX('Oxford Economics'!$A$7:$AZ$1000,0,IFERROR(MATCH(AE$5,'Oxford Economics'!$A$6:$AZ$6,0),MATCH(AE$5&amp;"",'Oxford Economics'!$A$6:$AZ$6,0))),'Oxford Economics'!$A$7:$A$1000,$C89,'Oxford Economics'!$B$7:$B$1000,Settings!$B$12)-SUMIFS(INDEX('Oxford Economics'!$A$7:$AZ$1000,0,IFERROR(MATCH(AE$5,'Oxford Economics'!$A$6:$AZ$6,0),MATCH(AE$5&amp;"",'Oxford Economics'!$A$6:$AZ$6,0))),'Oxford Economics'!$A$7:$A$1000,$C89,'Oxford Economics'!$B$7:$B$1000,Settings!$B$14),SUMIFS(INDEX('Oxford Economics'!$A$7:$AZ$1000,0,IFERROR(MATCH(AE$5,'Oxford Economics'!$A$6:$AZ$6,0),MATCH(AE$5&amp;"",'Oxford Economics'!$A$6:$AZ$6,0))),'Oxford Economics'!$A$7:$A$1000,$C89,'Oxford Economics'!$B$7:$B$1000,Settings!$B$14)+SUMIFS(INDEX('Oxford Economics'!$A$7:$AZ$1000,0,IFERROR(MATCH(AE$5,'Oxford Economics'!$A$6:$AZ$6,0),MATCH(AE$5&amp;"",'Oxford Economics'!$A$6:$AZ$6,0))),'Oxford Economics'!$A$7:$A$1000,$C89,'Oxford Economics'!$B$7:$B$1000,Settings!$B$16)+IF(Settings!$B$18="",0,SUMIFS(INDEX('Oxford Economics'!$A$7:$AZ$1000,0,IFERROR(MATCH(AE$5,'Oxford Economics'!$A$6:$AZ$6,0),MATCH(AE$5&amp;"",'Oxford Economics'!$A$6:$AZ$6,0))),'Oxford Economics'!$A$7:$A$1000,$C89,'Oxford Economics'!$B$7:$B$1000,Settings!$B$18)))),""))</f>
        <v>15001.09</v>
      </c>
      <c r="AF89" s="38" t="n">
        <f aca="false">IF($A89="","",IFERROR(1/(1/IF($B89="Residential",SUMIFS(INDEX('Oxford Economics'!$A$7:$AZ$1000,0,IFERROR(MATCH(AF$5,'Oxford Economics'!$A$6:$AZ$6,0),MATCH(AF$5&amp;"",'Oxford Economics'!$A$6:$AZ$6,0))),'Oxford Economics'!$A$7:$A$1000,$C89,'Oxford Economics'!$B$7:$B$1000,Settings!$B$12)-SUMIFS(INDEX('Oxford Economics'!$A$7:$AZ$1000,0,IFERROR(MATCH(AF$5,'Oxford Economics'!$A$6:$AZ$6,0),MATCH(AF$5&amp;"",'Oxford Economics'!$A$6:$AZ$6,0))),'Oxford Economics'!$A$7:$A$1000,$C89,'Oxford Economics'!$B$7:$B$1000,Settings!$B$14),SUMIFS(INDEX('Oxford Economics'!$A$7:$AZ$1000,0,IFERROR(MATCH(AF$5,'Oxford Economics'!$A$6:$AZ$6,0),MATCH(AF$5&amp;"",'Oxford Economics'!$A$6:$AZ$6,0))),'Oxford Economics'!$A$7:$A$1000,$C89,'Oxford Economics'!$B$7:$B$1000,Settings!$B$14)+SUMIFS(INDEX('Oxford Economics'!$A$7:$AZ$1000,0,IFERROR(MATCH(AF$5,'Oxford Economics'!$A$6:$AZ$6,0),MATCH(AF$5&amp;"",'Oxford Economics'!$A$6:$AZ$6,0))),'Oxford Economics'!$A$7:$A$1000,$C89,'Oxford Economics'!$B$7:$B$1000,Settings!$B$16)+IF(Settings!$B$18="",0,SUMIFS(INDEX('Oxford Economics'!$A$7:$AZ$1000,0,IFERROR(MATCH(AF$5,'Oxford Economics'!$A$6:$AZ$6,0),MATCH(AF$5&amp;"",'Oxford Economics'!$A$6:$AZ$6,0))),'Oxford Economics'!$A$7:$A$1000,$C89,'Oxford Economics'!$B$7:$B$1000,Settings!$B$18)))),""))</f>
        <v>16179.1</v>
      </c>
      <c r="AG89" s="38" t="n">
        <f aca="false">IF($A89="","",IFERROR(1/(1/IF($B89="Residential",SUMIFS(INDEX('Oxford Economics'!$A$7:$AZ$1000,0,IFERROR(MATCH(AG$5,'Oxford Economics'!$A$6:$AZ$6,0),MATCH(AG$5&amp;"",'Oxford Economics'!$A$6:$AZ$6,0))),'Oxford Economics'!$A$7:$A$1000,$C89,'Oxford Economics'!$B$7:$B$1000,Settings!$B$12)-SUMIFS(INDEX('Oxford Economics'!$A$7:$AZ$1000,0,IFERROR(MATCH(AG$5,'Oxford Economics'!$A$6:$AZ$6,0),MATCH(AG$5&amp;"",'Oxford Economics'!$A$6:$AZ$6,0))),'Oxford Economics'!$A$7:$A$1000,$C89,'Oxford Economics'!$B$7:$B$1000,Settings!$B$14),SUMIFS(INDEX('Oxford Economics'!$A$7:$AZ$1000,0,IFERROR(MATCH(AG$5,'Oxford Economics'!$A$6:$AZ$6,0),MATCH(AG$5&amp;"",'Oxford Economics'!$A$6:$AZ$6,0))),'Oxford Economics'!$A$7:$A$1000,$C89,'Oxford Economics'!$B$7:$B$1000,Settings!$B$14)+SUMIFS(INDEX('Oxford Economics'!$A$7:$AZ$1000,0,IFERROR(MATCH(AG$5,'Oxford Economics'!$A$6:$AZ$6,0),MATCH(AG$5&amp;"",'Oxford Economics'!$A$6:$AZ$6,0))),'Oxford Economics'!$A$7:$A$1000,$C89,'Oxford Economics'!$B$7:$B$1000,Settings!$B$16)+IF(Settings!$B$18="",0,SUMIFS(INDEX('Oxford Economics'!$A$7:$AZ$1000,0,IFERROR(MATCH(AG$5,'Oxford Economics'!$A$6:$AZ$6,0),MATCH(AG$5&amp;"",'Oxford Economics'!$A$6:$AZ$6,0))),'Oxford Economics'!$A$7:$A$1000,$C89,'Oxford Economics'!$B$7:$B$1000,Settings!$B$18)))),""))</f>
        <v>16097.3</v>
      </c>
      <c r="AH89" s="38" t="n">
        <f aca="false">IF($A89="","",IFERROR(1/(1/IF($B89="Residential",SUMIFS(INDEX('Oxford Economics'!$A$7:$AZ$1000,0,IFERROR(MATCH(AH$5,'Oxford Economics'!$A$6:$AZ$6,0),MATCH(AH$5&amp;"",'Oxford Economics'!$A$6:$AZ$6,0))),'Oxford Economics'!$A$7:$A$1000,$C89,'Oxford Economics'!$B$7:$B$1000,Settings!$B$12)-SUMIFS(INDEX('Oxford Economics'!$A$7:$AZ$1000,0,IFERROR(MATCH(AH$5,'Oxford Economics'!$A$6:$AZ$6,0),MATCH(AH$5&amp;"",'Oxford Economics'!$A$6:$AZ$6,0))),'Oxford Economics'!$A$7:$A$1000,$C89,'Oxford Economics'!$B$7:$B$1000,Settings!$B$14),SUMIFS(INDEX('Oxford Economics'!$A$7:$AZ$1000,0,IFERROR(MATCH(AH$5,'Oxford Economics'!$A$6:$AZ$6,0),MATCH(AH$5&amp;"",'Oxford Economics'!$A$6:$AZ$6,0))),'Oxford Economics'!$A$7:$A$1000,$C89,'Oxford Economics'!$B$7:$B$1000,Settings!$B$14)+SUMIFS(INDEX('Oxford Economics'!$A$7:$AZ$1000,0,IFERROR(MATCH(AH$5,'Oxford Economics'!$A$6:$AZ$6,0),MATCH(AH$5&amp;"",'Oxford Economics'!$A$6:$AZ$6,0))),'Oxford Economics'!$A$7:$A$1000,$C89,'Oxford Economics'!$B$7:$B$1000,Settings!$B$16)+IF(Settings!$B$18="",0,SUMIFS(INDEX('Oxford Economics'!$A$7:$AZ$1000,0,IFERROR(MATCH(AH$5,'Oxford Economics'!$A$6:$AZ$6,0),MATCH(AH$5&amp;"",'Oxford Economics'!$A$6:$AZ$6,0))),'Oxford Economics'!$A$7:$A$1000,$C89,'Oxford Economics'!$B$7:$B$1000,Settings!$B$18)))),""))</f>
        <v>16328.99</v>
      </c>
      <c r="AI89" s="38" t="n">
        <f aca="false">IF($A89="","",IFERROR(1/(1/IF($B89="Residential",SUMIFS(INDEX('Oxford Economics'!$A$7:$AZ$1000,0,IFERROR(MATCH(AI$5,'Oxford Economics'!$A$6:$AZ$6,0),MATCH(AI$5&amp;"",'Oxford Economics'!$A$6:$AZ$6,0))),'Oxford Economics'!$A$7:$A$1000,$C89,'Oxford Economics'!$B$7:$B$1000,Settings!$B$12)-SUMIFS(INDEX('Oxford Economics'!$A$7:$AZ$1000,0,IFERROR(MATCH(AI$5,'Oxford Economics'!$A$6:$AZ$6,0),MATCH(AI$5&amp;"",'Oxford Economics'!$A$6:$AZ$6,0))),'Oxford Economics'!$A$7:$A$1000,$C89,'Oxford Economics'!$B$7:$B$1000,Settings!$B$14),SUMIFS(INDEX('Oxford Economics'!$A$7:$AZ$1000,0,IFERROR(MATCH(AI$5,'Oxford Economics'!$A$6:$AZ$6,0),MATCH(AI$5&amp;"",'Oxford Economics'!$A$6:$AZ$6,0))),'Oxford Economics'!$A$7:$A$1000,$C89,'Oxford Economics'!$B$7:$B$1000,Settings!$B$14)+SUMIFS(INDEX('Oxford Economics'!$A$7:$AZ$1000,0,IFERROR(MATCH(AI$5,'Oxford Economics'!$A$6:$AZ$6,0),MATCH(AI$5&amp;"",'Oxford Economics'!$A$6:$AZ$6,0))),'Oxford Economics'!$A$7:$A$1000,$C89,'Oxford Economics'!$B$7:$B$1000,Settings!$B$16)+IF(Settings!$B$18="",0,SUMIFS(INDEX('Oxford Economics'!$A$7:$AZ$1000,0,IFERROR(MATCH(AI$5,'Oxford Economics'!$A$6:$AZ$6,0),MATCH(AI$5&amp;"",'Oxford Economics'!$A$6:$AZ$6,0))),'Oxford Economics'!$A$7:$A$1000,$C89,'Oxford Economics'!$B$7:$B$1000,Settings!$B$18)))),""))</f>
        <v>16383.69</v>
      </c>
      <c r="AJ89" s="38" t="n">
        <f aca="false">IF($A89="","",IFERROR(1/(1/IF($B89="Residential",SUMIFS(INDEX('Oxford Economics'!$A$7:$AZ$1000,0,IFERROR(MATCH(AJ$5,'Oxford Economics'!$A$6:$AZ$6,0),MATCH(AJ$5&amp;"",'Oxford Economics'!$A$6:$AZ$6,0))),'Oxford Economics'!$A$7:$A$1000,$C89,'Oxford Economics'!$B$7:$B$1000,Settings!$B$12)-SUMIFS(INDEX('Oxford Economics'!$A$7:$AZ$1000,0,IFERROR(MATCH(AJ$5,'Oxford Economics'!$A$6:$AZ$6,0),MATCH(AJ$5&amp;"",'Oxford Economics'!$A$6:$AZ$6,0))),'Oxford Economics'!$A$7:$A$1000,$C89,'Oxford Economics'!$B$7:$B$1000,Settings!$B$14),SUMIFS(INDEX('Oxford Economics'!$A$7:$AZ$1000,0,IFERROR(MATCH(AJ$5,'Oxford Economics'!$A$6:$AZ$6,0),MATCH(AJ$5&amp;"",'Oxford Economics'!$A$6:$AZ$6,0))),'Oxford Economics'!$A$7:$A$1000,$C89,'Oxford Economics'!$B$7:$B$1000,Settings!$B$14)+SUMIFS(INDEX('Oxford Economics'!$A$7:$AZ$1000,0,IFERROR(MATCH(AJ$5,'Oxford Economics'!$A$6:$AZ$6,0),MATCH(AJ$5&amp;"",'Oxford Economics'!$A$6:$AZ$6,0))),'Oxford Economics'!$A$7:$A$1000,$C89,'Oxford Economics'!$B$7:$B$1000,Settings!$B$16)+IF(Settings!$B$18="",0,SUMIFS(INDEX('Oxford Economics'!$A$7:$AZ$1000,0,IFERROR(MATCH(AJ$5,'Oxford Economics'!$A$6:$AZ$6,0),MATCH(AJ$5&amp;"",'Oxford Economics'!$A$6:$AZ$6,0))),'Oxford Economics'!$A$7:$A$1000,$C89,'Oxford Economics'!$B$7:$B$1000,Settings!$B$18)))),""))</f>
        <v>16903.59</v>
      </c>
      <c r="AK89" s="38" t="n">
        <f aca="false">IF($A89="","",IFERROR(1/(1/IF($B89="Residential",SUMIFS(INDEX('Oxford Economics'!$A$7:$AZ$1000,0,IFERROR(MATCH(AK$5,'Oxford Economics'!$A$6:$AZ$6,0),MATCH(AK$5&amp;"",'Oxford Economics'!$A$6:$AZ$6,0))),'Oxford Economics'!$A$7:$A$1000,$C89,'Oxford Economics'!$B$7:$B$1000,Settings!$B$12)-SUMIFS(INDEX('Oxford Economics'!$A$7:$AZ$1000,0,IFERROR(MATCH(AK$5,'Oxford Economics'!$A$6:$AZ$6,0),MATCH(AK$5&amp;"",'Oxford Economics'!$A$6:$AZ$6,0))),'Oxford Economics'!$A$7:$A$1000,$C89,'Oxford Economics'!$B$7:$B$1000,Settings!$B$14),SUMIFS(INDEX('Oxford Economics'!$A$7:$AZ$1000,0,IFERROR(MATCH(AK$5,'Oxford Economics'!$A$6:$AZ$6,0),MATCH(AK$5&amp;"",'Oxford Economics'!$A$6:$AZ$6,0))),'Oxford Economics'!$A$7:$A$1000,$C89,'Oxford Economics'!$B$7:$B$1000,Settings!$B$14)+SUMIFS(INDEX('Oxford Economics'!$A$7:$AZ$1000,0,IFERROR(MATCH(AK$5,'Oxford Economics'!$A$6:$AZ$6,0),MATCH(AK$5&amp;"",'Oxford Economics'!$A$6:$AZ$6,0))),'Oxford Economics'!$A$7:$A$1000,$C89,'Oxford Economics'!$B$7:$B$1000,Settings!$B$16)+IF(Settings!$B$18="",0,SUMIFS(INDEX('Oxford Economics'!$A$7:$AZ$1000,0,IFERROR(MATCH(AK$5,'Oxford Economics'!$A$6:$AZ$6,0),MATCH(AK$5&amp;"",'Oxford Economics'!$A$6:$AZ$6,0))),'Oxford Economics'!$A$7:$A$1000,$C89,'Oxford Economics'!$B$7:$B$1000,Settings!$B$18)))),""))</f>
        <v>17357.46</v>
      </c>
      <c r="AL89" s="38" t="n">
        <f aca="false">IF($A89="","",IFERROR(1/(1/IF($B89="Residential",SUMIFS(INDEX('Oxford Economics'!$A$7:$AZ$1000,0,IFERROR(MATCH(AL$5,'Oxford Economics'!$A$6:$AZ$6,0),MATCH(AL$5&amp;"",'Oxford Economics'!$A$6:$AZ$6,0))),'Oxford Economics'!$A$7:$A$1000,$C89,'Oxford Economics'!$B$7:$B$1000,Settings!$B$12)-SUMIFS(INDEX('Oxford Economics'!$A$7:$AZ$1000,0,IFERROR(MATCH(AL$5,'Oxford Economics'!$A$6:$AZ$6,0),MATCH(AL$5&amp;"",'Oxford Economics'!$A$6:$AZ$6,0))),'Oxford Economics'!$A$7:$A$1000,$C89,'Oxford Economics'!$B$7:$B$1000,Settings!$B$14),SUMIFS(INDEX('Oxford Economics'!$A$7:$AZ$1000,0,IFERROR(MATCH(AL$5,'Oxford Economics'!$A$6:$AZ$6,0),MATCH(AL$5&amp;"",'Oxford Economics'!$A$6:$AZ$6,0))),'Oxford Economics'!$A$7:$A$1000,$C89,'Oxford Economics'!$B$7:$B$1000,Settings!$B$14)+SUMIFS(INDEX('Oxford Economics'!$A$7:$AZ$1000,0,IFERROR(MATCH(AL$5,'Oxford Economics'!$A$6:$AZ$6,0),MATCH(AL$5&amp;"",'Oxford Economics'!$A$6:$AZ$6,0))),'Oxford Economics'!$A$7:$A$1000,$C89,'Oxford Economics'!$B$7:$B$1000,Settings!$B$16)+IF(Settings!$B$18="",0,SUMIFS(INDEX('Oxford Economics'!$A$7:$AZ$1000,0,IFERROR(MATCH(AL$5,'Oxford Economics'!$A$6:$AZ$6,0),MATCH(AL$5&amp;"",'Oxford Economics'!$A$6:$AZ$6,0))),'Oxford Economics'!$A$7:$A$1000,$C89,'Oxford Economics'!$B$7:$B$1000,Settings!$B$18)))),""))</f>
        <v>17897.07</v>
      </c>
      <c r="AM89" s="38" t="n">
        <f aca="false">IF($A89="","",IFERROR(1/(1/IF($B89="Residential",SUMIFS(INDEX('Oxford Economics'!$A$7:$AZ$1000,0,IFERROR(MATCH(AM$5,'Oxford Economics'!$A$6:$AZ$6,0),MATCH(AM$5&amp;"",'Oxford Economics'!$A$6:$AZ$6,0))),'Oxford Economics'!$A$7:$A$1000,$C89,'Oxford Economics'!$B$7:$B$1000,Settings!$B$12)-SUMIFS(INDEX('Oxford Economics'!$A$7:$AZ$1000,0,IFERROR(MATCH(AM$5,'Oxford Economics'!$A$6:$AZ$6,0),MATCH(AM$5&amp;"",'Oxford Economics'!$A$6:$AZ$6,0))),'Oxford Economics'!$A$7:$A$1000,$C89,'Oxford Economics'!$B$7:$B$1000,Settings!$B$14),SUMIFS(INDEX('Oxford Economics'!$A$7:$AZ$1000,0,IFERROR(MATCH(AM$5,'Oxford Economics'!$A$6:$AZ$6,0),MATCH(AM$5&amp;"",'Oxford Economics'!$A$6:$AZ$6,0))),'Oxford Economics'!$A$7:$A$1000,$C89,'Oxford Economics'!$B$7:$B$1000,Settings!$B$14)+SUMIFS(INDEX('Oxford Economics'!$A$7:$AZ$1000,0,IFERROR(MATCH(AM$5,'Oxford Economics'!$A$6:$AZ$6,0),MATCH(AM$5&amp;"",'Oxford Economics'!$A$6:$AZ$6,0))),'Oxford Economics'!$A$7:$A$1000,$C89,'Oxford Economics'!$B$7:$B$1000,Settings!$B$16)+IF(Settings!$B$18="",0,SUMIFS(INDEX('Oxford Economics'!$A$7:$AZ$1000,0,IFERROR(MATCH(AM$5,'Oxford Economics'!$A$6:$AZ$6,0),MATCH(AM$5&amp;"",'Oxford Economics'!$A$6:$AZ$6,0))),'Oxford Economics'!$A$7:$A$1000,$C89,'Oxford Economics'!$B$7:$B$1000,Settings!$B$18)))),""))</f>
        <v>18280.31</v>
      </c>
    </row>
    <row r="90" customFormat="false" ht="15" hidden="false" customHeight="false" outlineLevel="0" collapsed="false">
      <c r="A90" s="37" t="str">
        <f aca="false">IF('Raw data'!$A90="","",'Raw data'!$A90)</f>
        <v>Belgium</v>
      </c>
      <c r="B90" s="37" t="str">
        <f aca="false">IF($A90="","",'Raw data'!$C90)</f>
        <v>Residential</v>
      </c>
      <c r="C90" s="37" t="str">
        <f aca="false">IF($A90="","",IF('Raw data'!$E90="",$A90,'Raw data'!$E90))</f>
        <v>Belgium</v>
      </c>
      <c r="D90" s="38" t="n">
        <f aca="false">IF($A90="","",IF(AND(ISNUMBER(P90),ISNUMBER(AB90)),P90+AB90,""))</f>
        <v>10309.84</v>
      </c>
      <c r="E90" s="38" t="n">
        <f aca="false">IF($A90="","",IF(AND(ISNUMBER(Q90),ISNUMBER(AC90)),Q90+AC90,""))</f>
        <v>11222.04</v>
      </c>
      <c r="F90" s="38" t="n">
        <f aca="false">IF($A90="","",IF(AND(ISNUMBER(R90),ISNUMBER(AD90)),R90+AD90,""))</f>
        <v>11215.13</v>
      </c>
      <c r="G90" s="38" t="n">
        <f aca="false">IF($A90="","",IF(AND(ISNUMBER(S90),ISNUMBER(AE90)),S90+AE90,""))</f>
        <v>10946.37</v>
      </c>
      <c r="H90" s="38" t="n">
        <f aca="false">IF($A90="","",IF(AND(ISNUMBER(T90),ISNUMBER(AF90)),T90+AF90,""))</f>
        <v>10983.09</v>
      </c>
      <c r="I90" s="38" t="n">
        <f aca="false">IF($A90="","",IF(AND(ISNUMBER(U90),ISNUMBER(AG90)),U90+AG90,""))</f>
        <v>10603.3</v>
      </c>
      <c r="J90" s="38" t="n">
        <f aca="false">IF($A90="","",IF(AND(ISNUMBER(V90),ISNUMBER(AH90)),V90+AH90,""))</f>
        <v>10284.51</v>
      </c>
      <c r="K90" s="38" t="n">
        <f aca="false">IF($A90="","",IF(AND(ISNUMBER(W90),ISNUMBER(AI90)),W90+AI90,""))</f>
        <v>10361.53</v>
      </c>
      <c r="L90" s="38" t="n">
        <f aca="false">IF($A90="","",IF(AND(ISNUMBER(X90),ISNUMBER(AJ90)),X90+AJ90,""))</f>
        <v>10674.52</v>
      </c>
      <c r="M90" s="38" t="n">
        <f aca="false">IF($A90="","",IF(AND(ISNUMBER(Y90),ISNUMBER(AK90)),Y90+AK90,""))</f>
        <v>10942.69</v>
      </c>
      <c r="N90" s="38" t="n">
        <f aca="false">IF($A90="","",IF(AND(ISNUMBER(Z90),ISNUMBER(AL90)),Z90+AL90,""))</f>
        <v>11264.14</v>
      </c>
      <c r="O90" s="38" t="n">
        <f aca="false">IF($A90="","",IF(AND(ISNUMBER(AA90),ISNUMBER(AM90)),AA90+AM90,""))</f>
        <v>11514.62</v>
      </c>
      <c r="P90" s="38" t="n">
        <f aca="false">IF($A90="","",IFERROR(1/(1/IF($B90="Residential",SUMIFS(INDEX('Oxford Economics'!$A$7:$AZ$1000,0,IFERROR(MATCH(P$5,'Oxford Economics'!$A$6:$AZ$6,0),MATCH(P$5&amp;"",'Oxford Economics'!$A$6:$AZ$6,0))),'Oxford Economics'!$A$7:$A$1000,$C90,'Oxford Economics'!$B$7:$B$1000,Settings!$B$13)-SUMIFS(INDEX('Oxford Economics'!$A$7:$AZ$1000,0,IFERROR(MATCH(P$5,'Oxford Economics'!$A$6:$AZ$6,0),MATCH(P$5&amp;"",'Oxford Economics'!$A$6:$AZ$6,0))),'Oxford Economics'!$A$7:$A$1000,$C90,'Oxford Economics'!$B$7:$B$1000,Settings!$B$15),SUMIFS(INDEX('Oxford Economics'!$A$7:$AZ$1000,0,IFERROR(MATCH(P$5,'Oxford Economics'!$A$6:$AZ$6,0),MATCH(P$5&amp;"",'Oxford Economics'!$A$6:$AZ$6,0))),'Oxford Economics'!$A$7:$A$1000,$C90,'Oxford Economics'!$B$7:$B$1000,Settings!$B$15)+SUMIFS(INDEX('Oxford Economics'!$A$7:$AZ$1000,0,IFERROR(MATCH(P$5,'Oxford Economics'!$A$6:$AZ$6,0),MATCH(P$5&amp;"",'Oxford Economics'!$A$6:$AZ$6,0))),'Oxford Economics'!$A$7:$A$1000,$C90,'Oxford Economics'!$B$7:$B$1000,Settings!$B$17)+IF(Settings!$B$19="",0,SUMIFS(INDEX('Oxford Economics'!$A$7:$AZ$1000,0,IFERROR(MATCH(P$5,'Oxford Economics'!$A$6:$AZ$6,0),MATCH(P$5&amp;"",'Oxford Economics'!$A$6:$AZ$6,0))),'Oxford Economics'!$A$7:$A$1000,$C90,'Oxford Economics'!$B$7:$B$1000,Settings!$B$19)))),""))</f>
        <v>6694.52</v>
      </c>
      <c r="Q90" s="38" t="n">
        <f aca="false">IF($A90="","",IFERROR(1/(1/IF($B90="Residential",SUMIFS(INDEX('Oxford Economics'!$A$7:$AZ$1000,0,IFERROR(MATCH(Q$5,'Oxford Economics'!$A$6:$AZ$6,0),MATCH(Q$5&amp;"",'Oxford Economics'!$A$6:$AZ$6,0))),'Oxford Economics'!$A$7:$A$1000,$C90,'Oxford Economics'!$B$7:$B$1000,Settings!$B$13)-SUMIFS(INDEX('Oxford Economics'!$A$7:$AZ$1000,0,IFERROR(MATCH(Q$5,'Oxford Economics'!$A$6:$AZ$6,0),MATCH(Q$5&amp;"",'Oxford Economics'!$A$6:$AZ$6,0))),'Oxford Economics'!$A$7:$A$1000,$C90,'Oxford Economics'!$B$7:$B$1000,Settings!$B$15),SUMIFS(INDEX('Oxford Economics'!$A$7:$AZ$1000,0,IFERROR(MATCH(Q$5,'Oxford Economics'!$A$6:$AZ$6,0),MATCH(Q$5&amp;"",'Oxford Economics'!$A$6:$AZ$6,0))),'Oxford Economics'!$A$7:$A$1000,$C90,'Oxford Economics'!$B$7:$B$1000,Settings!$B$15)+SUMIFS(INDEX('Oxford Economics'!$A$7:$AZ$1000,0,IFERROR(MATCH(Q$5,'Oxford Economics'!$A$6:$AZ$6,0),MATCH(Q$5&amp;"",'Oxford Economics'!$A$6:$AZ$6,0))),'Oxford Economics'!$A$7:$A$1000,$C90,'Oxford Economics'!$B$7:$B$1000,Settings!$B$17)+IF(Settings!$B$19="",0,SUMIFS(INDEX('Oxford Economics'!$A$7:$AZ$1000,0,IFERROR(MATCH(Q$5,'Oxford Economics'!$A$6:$AZ$6,0),MATCH(Q$5&amp;"",'Oxford Economics'!$A$6:$AZ$6,0))),'Oxford Economics'!$A$7:$A$1000,$C90,'Oxford Economics'!$B$7:$B$1000,Settings!$B$19)))),""))</f>
        <v>7534.95</v>
      </c>
      <c r="R90" s="38" t="n">
        <f aca="false">IF($A90="","",IFERROR(1/(1/IF($B90="Residential",SUMIFS(INDEX('Oxford Economics'!$A$7:$AZ$1000,0,IFERROR(MATCH(R$5,'Oxford Economics'!$A$6:$AZ$6,0),MATCH(R$5&amp;"",'Oxford Economics'!$A$6:$AZ$6,0))),'Oxford Economics'!$A$7:$A$1000,$C90,'Oxford Economics'!$B$7:$B$1000,Settings!$B$13)-SUMIFS(INDEX('Oxford Economics'!$A$7:$AZ$1000,0,IFERROR(MATCH(R$5,'Oxford Economics'!$A$6:$AZ$6,0),MATCH(R$5&amp;"",'Oxford Economics'!$A$6:$AZ$6,0))),'Oxford Economics'!$A$7:$A$1000,$C90,'Oxford Economics'!$B$7:$B$1000,Settings!$B$15),SUMIFS(INDEX('Oxford Economics'!$A$7:$AZ$1000,0,IFERROR(MATCH(R$5,'Oxford Economics'!$A$6:$AZ$6,0),MATCH(R$5&amp;"",'Oxford Economics'!$A$6:$AZ$6,0))),'Oxford Economics'!$A$7:$A$1000,$C90,'Oxford Economics'!$B$7:$B$1000,Settings!$B$15)+SUMIFS(INDEX('Oxford Economics'!$A$7:$AZ$1000,0,IFERROR(MATCH(R$5,'Oxford Economics'!$A$6:$AZ$6,0),MATCH(R$5&amp;"",'Oxford Economics'!$A$6:$AZ$6,0))),'Oxford Economics'!$A$7:$A$1000,$C90,'Oxford Economics'!$B$7:$B$1000,Settings!$B$17)+IF(Settings!$B$19="",0,SUMIFS(INDEX('Oxford Economics'!$A$7:$AZ$1000,0,IFERROR(MATCH(R$5,'Oxford Economics'!$A$6:$AZ$6,0),MATCH(R$5&amp;"",'Oxford Economics'!$A$6:$AZ$6,0))),'Oxford Economics'!$A$7:$A$1000,$C90,'Oxford Economics'!$B$7:$B$1000,Settings!$B$19)))),""))</f>
        <v>7716.04</v>
      </c>
      <c r="S90" s="38" t="n">
        <f aca="false">IF($A90="","",IFERROR(1/(1/IF($B90="Residential",SUMIFS(INDEX('Oxford Economics'!$A$7:$AZ$1000,0,IFERROR(MATCH(S$5,'Oxford Economics'!$A$6:$AZ$6,0),MATCH(S$5&amp;"",'Oxford Economics'!$A$6:$AZ$6,0))),'Oxford Economics'!$A$7:$A$1000,$C90,'Oxford Economics'!$B$7:$B$1000,Settings!$B$13)-SUMIFS(INDEX('Oxford Economics'!$A$7:$AZ$1000,0,IFERROR(MATCH(S$5,'Oxford Economics'!$A$6:$AZ$6,0),MATCH(S$5&amp;"",'Oxford Economics'!$A$6:$AZ$6,0))),'Oxford Economics'!$A$7:$A$1000,$C90,'Oxford Economics'!$B$7:$B$1000,Settings!$B$15),SUMIFS(INDEX('Oxford Economics'!$A$7:$AZ$1000,0,IFERROR(MATCH(S$5,'Oxford Economics'!$A$6:$AZ$6,0),MATCH(S$5&amp;"",'Oxford Economics'!$A$6:$AZ$6,0))),'Oxford Economics'!$A$7:$A$1000,$C90,'Oxford Economics'!$B$7:$B$1000,Settings!$B$15)+SUMIFS(INDEX('Oxford Economics'!$A$7:$AZ$1000,0,IFERROR(MATCH(S$5,'Oxford Economics'!$A$6:$AZ$6,0),MATCH(S$5&amp;"",'Oxford Economics'!$A$6:$AZ$6,0))),'Oxford Economics'!$A$7:$A$1000,$C90,'Oxford Economics'!$B$7:$B$1000,Settings!$B$17)+IF(Settings!$B$19="",0,SUMIFS(INDEX('Oxford Economics'!$A$7:$AZ$1000,0,IFERROR(MATCH(S$5,'Oxford Economics'!$A$6:$AZ$6,0),MATCH(S$5&amp;"",'Oxford Economics'!$A$6:$AZ$6,0))),'Oxford Economics'!$A$7:$A$1000,$C90,'Oxford Economics'!$B$7:$B$1000,Settings!$B$19)))),""))</f>
        <v>7652.44</v>
      </c>
      <c r="T90" s="38" t="n">
        <f aca="false">IF($A90="","",IFERROR(1/(1/IF($B90="Residential",SUMIFS(INDEX('Oxford Economics'!$A$7:$AZ$1000,0,IFERROR(MATCH(T$5,'Oxford Economics'!$A$6:$AZ$6,0),MATCH(T$5&amp;"",'Oxford Economics'!$A$6:$AZ$6,0))),'Oxford Economics'!$A$7:$A$1000,$C90,'Oxford Economics'!$B$7:$B$1000,Settings!$B$13)-SUMIFS(INDEX('Oxford Economics'!$A$7:$AZ$1000,0,IFERROR(MATCH(T$5,'Oxford Economics'!$A$6:$AZ$6,0),MATCH(T$5&amp;"",'Oxford Economics'!$A$6:$AZ$6,0))),'Oxford Economics'!$A$7:$A$1000,$C90,'Oxford Economics'!$B$7:$B$1000,Settings!$B$15),SUMIFS(INDEX('Oxford Economics'!$A$7:$AZ$1000,0,IFERROR(MATCH(T$5,'Oxford Economics'!$A$6:$AZ$6,0),MATCH(T$5&amp;"",'Oxford Economics'!$A$6:$AZ$6,0))),'Oxford Economics'!$A$7:$A$1000,$C90,'Oxford Economics'!$B$7:$B$1000,Settings!$B$15)+SUMIFS(INDEX('Oxford Economics'!$A$7:$AZ$1000,0,IFERROR(MATCH(T$5,'Oxford Economics'!$A$6:$AZ$6,0),MATCH(T$5&amp;"",'Oxford Economics'!$A$6:$AZ$6,0))),'Oxford Economics'!$A$7:$A$1000,$C90,'Oxford Economics'!$B$7:$B$1000,Settings!$B$17)+IF(Settings!$B$19="",0,SUMIFS(INDEX('Oxford Economics'!$A$7:$AZ$1000,0,IFERROR(MATCH(T$5,'Oxford Economics'!$A$6:$AZ$6,0),MATCH(T$5&amp;"",'Oxford Economics'!$A$6:$AZ$6,0))),'Oxford Economics'!$A$7:$A$1000,$C90,'Oxford Economics'!$B$7:$B$1000,Settings!$B$19)))),""))</f>
        <v>7935.55</v>
      </c>
      <c r="U90" s="38" t="n">
        <f aca="false">IF($A90="","",IFERROR(1/(1/IF($B90="Residential",SUMIFS(INDEX('Oxford Economics'!$A$7:$AZ$1000,0,IFERROR(MATCH(U$5,'Oxford Economics'!$A$6:$AZ$6,0),MATCH(U$5&amp;"",'Oxford Economics'!$A$6:$AZ$6,0))),'Oxford Economics'!$A$7:$A$1000,$C90,'Oxford Economics'!$B$7:$B$1000,Settings!$B$13)-SUMIFS(INDEX('Oxford Economics'!$A$7:$AZ$1000,0,IFERROR(MATCH(U$5,'Oxford Economics'!$A$6:$AZ$6,0),MATCH(U$5&amp;"",'Oxford Economics'!$A$6:$AZ$6,0))),'Oxford Economics'!$A$7:$A$1000,$C90,'Oxford Economics'!$B$7:$B$1000,Settings!$B$15),SUMIFS(INDEX('Oxford Economics'!$A$7:$AZ$1000,0,IFERROR(MATCH(U$5,'Oxford Economics'!$A$6:$AZ$6,0),MATCH(U$5&amp;"",'Oxford Economics'!$A$6:$AZ$6,0))),'Oxford Economics'!$A$7:$A$1000,$C90,'Oxford Economics'!$B$7:$B$1000,Settings!$B$15)+SUMIFS(INDEX('Oxford Economics'!$A$7:$AZ$1000,0,IFERROR(MATCH(U$5,'Oxford Economics'!$A$6:$AZ$6,0),MATCH(U$5&amp;"",'Oxford Economics'!$A$6:$AZ$6,0))),'Oxford Economics'!$A$7:$A$1000,$C90,'Oxford Economics'!$B$7:$B$1000,Settings!$B$17)+IF(Settings!$B$19="",0,SUMIFS(INDEX('Oxford Economics'!$A$7:$AZ$1000,0,IFERROR(MATCH(U$5,'Oxford Economics'!$A$6:$AZ$6,0),MATCH(U$5&amp;"",'Oxford Economics'!$A$6:$AZ$6,0))),'Oxford Economics'!$A$7:$A$1000,$C90,'Oxford Economics'!$B$7:$B$1000,Settings!$B$19)))),""))</f>
        <v>7792.85</v>
      </c>
      <c r="V90" s="38" t="n">
        <f aca="false">IF($A90="","",IFERROR(1/(1/IF($B90="Residential",SUMIFS(INDEX('Oxford Economics'!$A$7:$AZ$1000,0,IFERROR(MATCH(V$5,'Oxford Economics'!$A$6:$AZ$6,0),MATCH(V$5&amp;"",'Oxford Economics'!$A$6:$AZ$6,0))),'Oxford Economics'!$A$7:$A$1000,$C90,'Oxford Economics'!$B$7:$B$1000,Settings!$B$13)-SUMIFS(INDEX('Oxford Economics'!$A$7:$AZ$1000,0,IFERROR(MATCH(V$5,'Oxford Economics'!$A$6:$AZ$6,0),MATCH(V$5&amp;"",'Oxford Economics'!$A$6:$AZ$6,0))),'Oxford Economics'!$A$7:$A$1000,$C90,'Oxford Economics'!$B$7:$B$1000,Settings!$B$15),SUMIFS(INDEX('Oxford Economics'!$A$7:$AZ$1000,0,IFERROR(MATCH(V$5,'Oxford Economics'!$A$6:$AZ$6,0),MATCH(V$5&amp;"",'Oxford Economics'!$A$6:$AZ$6,0))),'Oxford Economics'!$A$7:$A$1000,$C90,'Oxford Economics'!$B$7:$B$1000,Settings!$B$15)+SUMIFS(INDEX('Oxford Economics'!$A$7:$AZ$1000,0,IFERROR(MATCH(V$5,'Oxford Economics'!$A$6:$AZ$6,0),MATCH(V$5&amp;"",'Oxford Economics'!$A$6:$AZ$6,0))),'Oxford Economics'!$A$7:$A$1000,$C90,'Oxford Economics'!$B$7:$B$1000,Settings!$B$17)+IF(Settings!$B$19="",0,SUMIFS(INDEX('Oxford Economics'!$A$7:$AZ$1000,0,IFERROR(MATCH(V$5,'Oxford Economics'!$A$6:$AZ$6,0),MATCH(V$5&amp;"",'Oxford Economics'!$A$6:$AZ$6,0))),'Oxford Economics'!$A$7:$A$1000,$C90,'Oxford Economics'!$B$7:$B$1000,Settings!$B$19)))),""))</f>
        <v>7705.69</v>
      </c>
      <c r="W90" s="38" t="n">
        <f aca="false">IF($A90="","",IFERROR(1/(1/IF($B90="Residential",SUMIFS(INDEX('Oxford Economics'!$A$7:$AZ$1000,0,IFERROR(MATCH(W$5,'Oxford Economics'!$A$6:$AZ$6,0),MATCH(W$5&amp;"",'Oxford Economics'!$A$6:$AZ$6,0))),'Oxford Economics'!$A$7:$A$1000,$C90,'Oxford Economics'!$B$7:$B$1000,Settings!$B$13)-SUMIFS(INDEX('Oxford Economics'!$A$7:$AZ$1000,0,IFERROR(MATCH(W$5,'Oxford Economics'!$A$6:$AZ$6,0),MATCH(W$5&amp;"",'Oxford Economics'!$A$6:$AZ$6,0))),'Oxford Economics'!$A$7:$A$1000,$C90,'Oxford Economics'!$B$7:$B$1000,Settings!$B$15),SUMIFS(INDEX('Oxford Economics'!$A$7:$AZ$1000,0,IFERROR(MATCH(W$5,'Oxford Economics'!$A$6:$AZ$6,0),MATCH(W$5&amp;"",'Oxford Economics'!$A$6:$AZ$6,0))),'Oxford Economics'!$A$7:$A$1000,$C90,'Oxford Economics'!$B$7:$B$1000,Settings!$B$15)+SUMIFS(INDEX('Oxford Economics'!$A$7:$AZ$1000,0,IFERROR(MATCH(W$5,'Oxford Economics'!$A$6:$AZ$6,0),MATCH(W$5&amp;"",'Oxford Economics'!$A$6:$AZ$6,0))),'Oxford Economics'!$A$7:$A$1000,$C90,'Oxford Economics'!$B$7:$B$1000,Settings!$B$17)+IF(Settings!$B$19="",0,SUMIFS(INDEX('Oxford Economics'!$A$7:$AZ$1000,0,IFERROR(MATCH(W$5,'Oxford Economics'!$A$6:$AZ$6,0),MATCH(W$5&amp;"",'Oxford Economics'!$A$6:$AZ$6,0))),'Oxford Economics'!$A$7:$A$1000,$C90,'Oxford Economics'!$B$7:$B$1000,Settings!$B$19)))),""))</f>
        <v>7771.35</v>
      </c>
      <c r="X90" s="38" t="n">
        <f aca="false">IF($A90="","",IFERROR(1/(1/IF($B90="Residential",SUMIFS(INDEX('Oxford Economics'!$A$7:$AZ$1000,0,IFERROR(MATCH(X$5,'Oxford Economics'!$A$6:$AZ$6,0),MATCH(X$5&amp;"",'Oxford Economics'!$A$6:$AZ$6,0))),'Oxford Economics'!$A$7:$A$1000,$C90,'Oxford Economics'!$B$7:$B$1000,Settings!$B$13)-SUMIFS(INDEX('Oxford Economics'!$A$7:$AZ$1000,0,IFERROR(MATCH(X$5,'Oxford Economics'!$A$6:$AZ$6,0),MATCH(X$5&amp;"",'Oxford Economics'!$A$6:$AZ$6,0))),'Oxford Economics'!$A$7:$A$1000,$C90,'Oxford Economics'!$B$7:$B$1000,Settings!$B$15),SUMIFS(INDEX('Oxford Economics'!$A$7:$AZ$1000,0,IFERROR(MATCH(X$5,'Oxford Economics'!$A$6:$AZ$6,0),MATCH(X$5&amp;"",'Oxford Economics'!$A$6:$AZ$6,0))),'Oxford Economics'!$A$7:$A$1000,$C90,'Oxford Economics'!$B$7:$B$1000,Settings!$B$15)+SUMIFS(INDEX('Oxford Economics'!$A$7:$AZ$1000,0,IFERROR(MATCH(X$5,'Oxford Economics'!$A$6:$AZ$6,0),MATCH(X$5&amp;"",'Oxford Economics'!$A$6:$AZ$6,0))),'Oxford Economics'!$A$7:$A$1000,$C90,'Oxford Economics'!$B$7:$B$1000,Settings!$B$17)+IF(Settings!$B$19="",0,SUMIFS(INDEX('Oxford Economics'!$A$7:$AZ$1000,0,IFERROR(MATCH(X$5,'Oxford Economics'!$A$6:$AZ$6,0),MATCH(X$5&amp;"",'Oxford Economics'!$A$6:$AZ$6,0))),'Oxford Economics'!$A$7:$A$1000,$C90,'Oxford Economics'!$B$7:$B$1000,Settings!$B$19)))),""))</f>
        <v>8027.81</v>
      </c>
      <c r="Y90" s="38" t="n">
        <f aca="false">IF($A90="","",IFERROR(1/(1/IF($B90="Residential",SUMIFS(INDEX('Oxford Economics'!$A$7:$AZ$1000,0,IFERROR(MATCH(Y$5,'Oxford Economics'!$A$6:$AZ$6,0),MATCH(Y$5&amp;"",'Oxford Economics'!$A$6:$AZ$6,0))),'Oxford Economics'!$A$7:$A$1000,$C90,'Oxford Economics'!$B$7:$B$1000,Settings!$B$13)-SUMIFS(INDEX('Oxford Economics'!$A$7:$AZ$1000,0,IFERROR(MATCH(Y$5,'Oxford Economics'!$A$6:$AZ$6,0),MATCH(Y$5&amp;"",'Oxford Economics'!$A$6:$AZ$6,0))),'Oxford Economics'!$A$7:$A$1000,$C90,'Oxford Economics'!$B$7:$B$1000,Settings!$B$15),SUMIFS(INDEX('Oxford Economics'!$A$7:$AZ$1000,0,IFERROR(MATCH(Y$5,'Oxford Economics'!$A$6:$AZ$6,0),MATCH(Y$5&amp;"",'Oxford Economics'!$A$6:$AZ$6,0))),'Oxford Economics'!$A$7:$A$1000,$C90,'Oxford Economics'!$B$7:$B$1000,Settings!$B$15)+SUMIFS(INDEX('Oxford Economics'!$A$7:$AZ$1000,0,IFERROR(MATCH(Y$5,'Oxford Economics'!$A$6:$AZ$6,0),MATCH(Y$5&amp;"",'Oxford Economics'!$A$6:$AZ$6,0))),'Oxford Economics'!$A$7:$A$1000,$C90,'Oxford Economics'!$B$7:$B$1000,Settings!$B$17)+IF(Settings!$B$19="",0,SUMIFS(INDEX('Oxford Economics'!$A$7:$AZ$1000,0,IFERROR(MATCH(Y$5,'Oxford Economics'!$A$6:$AZ$6,0),MATCH(Y$5&amp;"",'Oxford Economics'!$A$6:$AZ$6,0))),'Oxford Economics'!$A$7:$A$1000,$C90,'Oxford Economics'!$B$7:$B$1000,Settings!$B$19)))),""))</f>
        <v>8243.27</v>
      </c>
      <c r="Z90" s="38" t="n">
        <f aca="false">IF($A90="","",IFERROR(1/(1/IF($B90="Residential",SUMIFS(INDEX('Oxford Economics'!$A$7:$AZ$1000,0,IFERROR(MATCH(Z$5,'Oxford Economics'!$A$6:$AZ$6,0),MATCH(Z$5&amp;"",'Oxford Economics'!$A$6:$AZ$6,0))),'Oxford Economics'!$A$7:$A$1000,$C90,'Oxford Economics'!$B$7:$B$1000,Settings!$B$13)-SUMIFS(INDEX('Oxford Economics'!$A$7:$AZ$1000,0,IFERROR(MATCH(Z$5,'Oxford Economics'!$A$6:$AZ$6,0),MATCH(Z$5&amp;"",'Oxford Economics'!$A$6:$AZ$6,0))),'Oxford Economics'!$A$7:$A$1000,$C90,'Oxford Economics'!$B$7:$B$1000,Settings!$B$15),SUMIFS(INDEX('Oxford Economics'!$A$7:$AZ$1000,0,IFERROR(MATCH(Z$5,'Oxford Economics'!$A$6:$AZ$6,0),MATCH(Z$5&amp;"",'Oxford Economics'!$A$6:$AZ$6,0))),'Oxford Economics'!$A$7:$A$1000,$C90,'Oxford Economics'!$B$7:$B$1000,Settings!$B$15)+SUMIFS(INDEX('Oxford Economics'!$A$7:$AZ$1000,0,IFERROR(MATCH(Z$5,'Oxford Economics'!$A$6:$AZ$6,0),MATCH(Z$5&amp;"",'Oxford Economics'!$A$6:$AZ$6,0))),'Oxford Economics'!$A$7:$A$1000,$C90,'Oxford Economics'!$B$7:$B$1000,Settings!$B$17)+IF(Settings!$B$19="",0,SUMIFS(INDEX('Oxford Economics'!$A$7:$AZ$1000,0,IFERROR(MATCH(Z$5,'Oxford Economics'!$A$6:$AZ$6,0),MATCH(Z$5&amp;"",'Oxford Economics'!$A$6:$AZ$6,0))),'Oxford Economics'!$A$7:$A$1000,$C90,'Oxford Economics'!$B$7:$B$1000,Settings!$B$19)))),""))</f>
        <v>8478.47</v>
      </c>
      <c r="AA90" s="38" t="n">
        <f aca="false">IF($A90="","",IFERROR(1/(1/IF($B90="Residential",SUMIFS(INDEX('Oxford Economics'!$A$7:$AZ$1000,0,IFERROR(MATCH(AA$5,'Oxford Economics'!$A$6:$AZ$6,0),MATCH(AA$5&amp;"",'Oxford Economics'!$A$6:$AZ$6,0))),'Oxford Economics'!$A$7:$A$1000,$C90,'Oxford Economics'!$B$7:$B$1000,Settings!$B$13)-SUMIFS(INDEX('Oxford Economics'!$A$7:$AZ$1000,0,IFERROR(MATCH(AA$5,'Oxford Economics'!$A$6:$AZ$6,0),MATCH(AA$5&amp;"",'Oxford Economics'!$A$6:$AZ$6,0))),'Oxford Economics'!$A$7:$A$1000,$C90,'Oxford Economics'!$B$7:$B$1000,Settings!$B$15),SUMIFS(INDEX('Oxford Economics'!$A$7:$AZ$1000,0,IFERROR(MATCH(AA$5,'Oxford Economics'!$A$6:$AZ$6,0),MATCH(AA$5&amp;"",'Oxford Economics'!$A$6:$AZ$6,0))),'Oxford Economics'!$A$7:$A$1000,$C90,'Oxford Economics'!$B$7:$B$1000,Settings!$B$15)+SUMIFS(INDEX('Oxford Economics'!$A$7:$AZ$1000,0,IFERROR(MATCH(AA$5,'Oxford Economics'!$A$6:$AZ$6,0),MATCH(AA$5&amp;"",'Oxford Economics'!$A$6:$AZ$6,0))),'Oxford Economics'!$A$7:$A$1000,$C90,'Oxford Economics'!$B$7:$B$1000,Settings!$B$17)+IF(Settings!$B$19="",0,SUMIFS(INDEX('Oxford Economics'!$A$7:$AZ$1000,0,IFERROR(MATCH(AA$5,'Oxford Economics'!$A$6:$AZ$6,0),MATCH(AA$5&amp;"",'Oxford Economics'!$A$6:$AZ$6,0))),'Oxford Economics'!$A$7:$A$1000,$C90,'Oxford Economics'!$B$7:$B$1000,Settings!$B$19)))),""))</f>
        <v>8599.5</v>
      </c>
      <c r="AB90" s="38" t="n">
        <f aca="false">IF($A90="","",IFERROR(1/(1/IF($B90="Residential",SUMIFS(INDEX('Oxford Economics'!$A$7:$AZ$1000,0,IFERROR(MATCH(AB$5,'Oxford Economics'!$A$6:$AZ$6,0),MATCH(AB$5&amp;"",'Oxford Economics'!$A$6:$AZ$6,0))),'Oxford Economics'!$A$7:$A$1000,$C90,'Oxford Economics'!$B$7:$B$1000,Settings!$B$12)-SUMIFS(INDEX('Oxford Economics'!$A$7:$AZ$1000,0,IFERROR(MATCH(AB$5,'Oxford Economics'!$A$6:$AZ$6,0),MATCH(AB$5&amp;"",'Oxford Economics'!$A$6:$AZ$6,0))),'Oxford Economics'!$A$7:$A$1000,$C90,'Oxford Economics'!$B$7:$B$1000,Settings!$B$14),SUMIFS(INDEX('Oxford Economics'!$A$7:$AZ$1000,0,IFERROR(MATCH(AB$5,'Oxford Economics'!$A$6:$AZ$6,0),MATCH(AB$5&amp;"",'Oxford Economics'!$A$6:$AZ$6,0))),'Oxford Economics'!$A$7:$A$1000,$C90,'Oxford Economics'!$B$7:$B$1000,Settings!$B$14)+SUMIFS(INDEX('Oxford Economics'!$A$7:$AZ$1000,0,IFERROR(MATCH(AB$5,'Oxford Economics'!$A$6:$AZ$6,0),MATCH(AB$5&amp;"",'Oxford Economics'!$A$6:$AZ$6,0))),'Oxford Economics'!$A$7:$A$1000,$C90,'Oxford Economics'!$B$7:$B$1000,Settings!$B$16)+IF(Settings!$B$18="",0,SUMIFS(INDEX('Oxford Economics'!$A$7:$AZ$1000,0,IFERROR(MATCH(AB$5,'Oxford Economics'!$A$6:$AZ$6,0),MATCH(AB$5&amp;"",'Oxford Economics'!$A$6:$AZ$6,0))),'Oxford Economics'!$A$7:$A$1000,$C90,'Oxford Economics'!$B$7:$B$1000,Settings!$B$18)))),""))</f>
        <v>3615.32</v>
      </c>
      <c r="AC90" s="38" t="n">
        <f aca="false">IF($A90="","",IFERROR(1/(1/IF($B90="Residential",SUMIFS(INDEX('Oxford Economics'!$A$7:$AZ$1000,0,IFERROR(MATCH(AC$5,'Oxford Economics'!$A$6:$AZ$6,0),MATCH(AC$5&amp;"",'Oxford Economics'!$A$6:$AZ$6,0))),'Oxford Economics'!$A$7:$A$1000,$C90,'Oxford Economics'!$B$7:$B$1000,Settings!$B$12)-SUMIFS(INDEX('Oxford Economics'!$A$7:$AZ$1000,0,IFERROR(MATCH(AC$5,'Oxford Economics'!$A$6:$AZ$6,0),MATCH(AC$5&amp;"",'Oxford Economics'!$A$6:$AZ$6,0))),'Oxford Economics'!$A$7:$A$1000,$C90,'Oxford Economics'!$B$7:$B$1000,Settings!$B$14),SUMIFS(INDEX('Oxford Economics'!$A$7:$AZ$1000,0,IFERROR(MATCH(AC$5,'Oxford Economics'!$A$6:$AZ$6,0),MATCH(AC$5&amp;"",'Oxford Economics'!$A$6:$AZ$6,0))),'Oxford Economics'!$A$7:$A$1000,$C90,'Oxford Economics'!$B$7:$B$1000,Settings!$B$14)+SUMIFS(INDEX('Oxford Economics'!$A$7:$AZ$1000,0,IFERROR(MATCH(AC$5,'Oxford Economics'!$A$6:$AZ$6,0),MATCH(AC$5&amp;"",'Oxford Economics'!$A$6:$AZ$6,0))),'Oxford Economics'!$A$7:$A$1000,$C90,'Oxford Economics'!$B$7:$B$1000,Settings!$B$16)+IF(Settings!$B$18="",0,SUMIFS(INDEX('Oxford Economics'!$A$7:$AZ$1000,0,IFERROR(MATCH(AC$5,'Oxford Economics'!$A$6:$AZ$6,0),MATCH(AC$5&amp;"",'Oxford Economics'!$A$6:$AZ$6,0))),'Oxford Economics'!$A$7:$A$1000,$C90,'Oxford Economics'!$B$7:$B$1000,Settings!$B$18)))),""))</f>
        <v>3687.09</v>
      </c>
      <c r="AD90" s="38" t="n">
        <f aca="false">IF($A90="","",IFERROR(1/(1/IF($B90="Residential",SUMIFS(INDEX('Oxford Economics'!$A$7:$AZ$1000,0,IFERROR(MATCH(AD$5,'Oxford Economics'!$A$6:$AZ$6,0),MATCH(AD$5&amp;"",'Oxford Economics'!$A$6:$AZ$6,0))),'Oxford Economics'!$A$7:$A$1000,$C90,'Oxford Economics'!$B$7:$B$1000,Settings!$B$12)-SUMIFS(INDEX('Oxford Economics'!$A$7:$AZ$1000,0,IFERROR(MATCH(AD$5,'Oxford Economics'!$A$6:$AZ$6,0),MATCH(AD$5&amp;"",'Oxford Economics'!$A$6:$AZ$6,0))),'Oxford Economics'!$A$7:$A$1000,$C90,'Oxford Economics'!$B$7:$B$1000,Settings!$B$14),SUMIFS(INDEX('Oxford Economics'!$A$7:$AZ$1000,0,IFERROR(MATCH(AD$5,'Oxford Economics'!$A$6:$AZ$6,0),MATCH(AD$5&amp;"",'Oxford Economics'!$A$6:$AZ$6,0))),'Oxford Economics'!$A$7:$A$1000,$C90,'Oxford Economics'!$B$7:$B$1000,Settings!$B$14)+SUMIFS(INDEX('Oxford Economics'!$A$7:$AZ$1000,0,IFERROR(MATCH(AD$5,'Oxford Economics'!$A$6:$AZ$6,0),MATCH(AD$5&amp;"",'Oxford Economics'!$A$6:$AZ$6,0))),'Oxford Economics'!$A$7:$A$1000,$C90,'Oxford Economics'!$B$7:$B$1000,Settings!$B$16)+IF(Settings!$B$18="",0,SUMIFS(INDEX('Oxford Economics'!$A$7:$AZ$1000,0,IFERROR(MATCH(AD$5,'Oxford Economics'!$A$6:$AZ$6,0),MATCH(AD$5&amp;"",'Oxford Economics'!$A$6:$AZ$6,0))),'Oxford Economics'!$A$7:$A$1000,$C90,'Oxford Economics'!$B$7:$B$1000,Settings!$B$18)))),""))</f>
        <v>3499.09</v>
      </c>
      <c r="AE90" s="38" t="n">
        <f aca="false">IF($A90="","",IFERROR(1/(1/IF($B90="Residential",SUMIFS(INDEX('Oxford Economics'!$A$7:$AZ$1000,0,IFERROR(MATCH(AE$5,'Oxford Economics'!$A$6:$AZ$6,0),MATCH(AE$5&amp;"",'Oxford Economics'!$A$6:$AZ$6,0))),'Oxford Economics'!$A$7:$A$1000,$C90,'Oxford Economics'!$B$7:$B$1000,Settings!$B$12)-SUMIFS(INDEX('Oxford Economics'!$A$7:$AZ$1000,0,IFERROR(MATCH(AE$5,'Oxford Economics'!$A$6:$AZ$6,0),MATCH(AE$5&amp;"",'Oxford Economics'!$A$6:$AZ$6,0))),'Oxford Economics'!$A$7:$A$1000,$C90,'Oxford Economics'!$B$7:$B$1000,Settings!$B$14),SUMIFS(INDEX('Oxford Economics'!$A$7:$AZ$1000,0,IFERROR(MATCH(AE$5,'Oxford Economics'!$A$6:$AZ$6,0),MATCH(AE$5&amp;"",'Oxford Economics'!$A$6:$AZ$6,0))),'Oxford Economics'!$A$7:$A$1000,$C90,'Oxford Economics'!$B$7:$B$1000,Settings!$B$14)+SUMIFS(INDEX('Oxford Economics'!$A$7:$AZ$1000,0,IFERROR(MATCH(AE$5,'Oxford Economics'!$A$6:$AZ$6,0),MATCH(AE$5&amp;"",'Oxford Economics'!$A$6:$AZ$6,0))),'Oxford Economics'!$A$7:$A$1000,$C90,'Oxford Economics'!$B$7:$B$1000,Settings!$B$16)+IF(Settings!$B$18="",0,SUMIFS(INDEX('Oxford Economics'!$A$7:$AZ$1000,0,IFERROR(MATCH(AE$5,'Oxford Economics'!$A$6:$AZ$6,0),MATCH(AE$5&amp;"",'Oxford Economics'!$A$6:$AZ$6,0))),'Oxford Economics'!$A$7:$A$1000,$C90,'Oxford Economics'!$B$7:$B$1000,Settings!$B$18)))),""))</f>
        <v>3293.93</v>
      </c>
      <c r="AF90" s="38" t="n">
        <f aca="false">IF($A90="","",IFERROR(1/(1/IF($B90="Residential",SUMIFS(INDEX('Oxford Economics'!$A$7:$AZ$1000,0,IFERROR(MATCH(AF$5,'Oxford Economics'!$A$6:$AZ$6,0),MATCH(AF$5&amp;"",'Oxford Economics'!$A$6:$AZ$6,0))),'Oxford Economics'!$A$7:$A$1000,$C90,'Oxford Economics'!$B$7:$B$1000,Settings!$B$12)-SUMIFS(INDEX('Oxford Economics'!$A$7:$AZ$1000,0,IFERROR(MATCH(AF$5,'Oxford Economics'!$A$6:$AZ$6,0),MATCH(AF$5&amp;"",'Oxford Economics'!$A$6:$AZ$6,0))),'Oxford Economics'!$A$7:$A$1000,$C90,'Oxford Economics'!$B$7:$B$1000,Settings!$B$14),SUMIFS(INDEX('Oxford Economics'!$A$7:$AZ$1000,0,IFERROR(MATCH(AF$5,'Oxford Economics'!$A$6:$AZ$6,0),MATCH(AF$5&amp;"",'Oxford Economics'!$A$6:$AZ$6,0))),'Oxford Economics'!$A$7:$A$1000,$C90,'Oxford Economics'!$B$7:$B$1000,Settings!$B$14)+SUMIFS(INDEX('Oxford Economics'!$A$7:$AZ$1000,0,IFERROR(MATCH(AF$5,'Oxford Economics'!$A$6:$AZ$6,0),MATCH(AF$5&amp;"",'Oxford Economics'!$A$6:$AZ$6,0))),'Oxford Economics'!$A$7:$A$1000,$C90,'Oxford Economics'!$B$7:$B$1000,Settings!$B$16)+IF(Settings!$B$18="",0,SUMIFS(INDEX('Oxford Economics'!$A$7:$AZ$1000,0,IFERROR(MATCH(AF$5,'Oxford Economics'!$A$6:$AZ$6,0),MATCH(AF$5&amp;"",'Oxford Economics'!$A$6:$AZ$6,0))),'Oxford Economics'!$A$7:$A$1000,$C90,'Oxford Economics'!$B$7:$B$1000,Settings!$B$18)))),""))</f>
        <v>3047.54</v>
      </c>
      <c r="AG90" s="38" t="n">
        <f aca="false">IF($A90="","",IFERROR(1/(1/IF($B90="Residential",SUMIFS(INDEX('Oxford Economics'!$A$7:$AZ$1000,0,IFERROR(MATCH(AG$5,'Oxford Economics'!$A$6:$AZ$6,0),MATCH(AG$5&amp;"",'Oxford Economics'!$A$6:$AZ$6,0))),'Oxford Economics'!$A$7:$A$1000,$C90,'Oxford Economics'!$B$7:$B$1000,Settings!$B$12)-SUMIFS(INDEX('Oxford Economics'!$A$7:$AZ$1000,0,IFERROR(MATCH(AG$5,'Oxford Economics'!$A$6:$AZ$6,0),MATCH(AG$5&amp;"",'Oxford Economics'!$A$6:$AZ$6,0))),'Oxford Economics'!$A$7:$A$1000,$C90,'Oxford Economics'!$B$7:$B$1000,Settings!$B$14),SUMIFS(INDEX('Oxford Economics'!$A$7:$AZ$1000,0,IFERROR(MATCH(AG$5,'Oxford Economics'!$A$6:$AZ$6,0),MATCH(AG$5&amp;"",'Oxford Economics'!$A$6:$AZ$6,0))),'Oxford Economics'!$A$7:$A$1000,$C90,'Oxford Economics'!$B$7:$B$1000,Settings!$B$14)+SUMIFS(INDEX('Oxford Economics'!$A$7:$AZ$1000,0,IFERROR(MATCH(AG$5,'Oxford Economics'!$A$6:$AZ$6,0),MATCH(AG$5&amp;"",'Oxford Economics'!$A$6:$AZ$6,0))),'Oxford Economics'!$A$7:$A$1000,$C90,'Oxford Economics'!$B$7:$B$1000,Settings!$B$16)+IF(Settings!$B$18="",0,SUMIFS(INDEX('Oxford Economics'!$A$7:$AZ$1000,0,IFERROR(MATCH(AG$5,'Oxford Economics'!$A$6:$AZ$6,0),MATCH(AG$5&amp;"",'Oxford Economics'!$A$6:$AZ$6,0))),'Oxford Economics'!$A$7:$A$1000,$C90,'Oxford Economics'!$B$7:$B$1000,Settings!$B$18)))),""))</f>
        <v>2810.45</v>
      </c>
      <c r="AH90" s="38" t="n">
        <f aca="false">IF($A90="","",IFERROR(1/(1/IF($B90="Residential",SUMIFS(INDEX('Oxford Economics'!$A$7:$AZ$1000,0,IFERROR(MATCH(AH$5,'Oxford Economics'!$A$6:$AZ$6,0),MATCH(AH$5&amp;"",'Oxford Economics'!$A$6:$AZ$6,0))),'Oxford Economics'!$A$7:$A$1000,$C90,'Oxford Economics'!$B$7:$B$1000,Settings!$B$12)-SUMIFS(INDEX('Oxford Economics'!$A$7:$AZ$1000,0,IFERROR(MATCH(AH$5,'Oxford Economics'!$A$6:$AZ$6,0),MATCH(AH$5&amp;"",'Oxford Economics'!$A$6:$AZ$6,0))),'Oxford Economics'!$A$7:$A$1000,$C90,'Oxford Economics'!$B$7:$B$1000,Settings!$B$14),SUMIFS(INDEX('Oxford Economics'!$A$7:$AZ$1000,0,IFERROR(MATCH(AH$5,'Oxford Economics'!$A$6:$AZ$6,0),MATCH(AH$5&amp;"",'Oxford Economics'!$A$6:$AZ$6,0))),'Oxford Economics'!$A$7:$A$1000,$C90,'Oxford Economics'!$B$7:$B$1000,Settings!$B$14)+SUMIFS(INDEX('Oxford Economics'!$A$7:$AZ$1000,0,IFERROR(MATCH(AH$5,'Oxford Economics'!$A$6:$AZ$6,0),MATCH(AH$5&amp;"",'Oxford Economics'!$A$6:$AZ$6,0))),'Oxford Economics'!$A$7:$A$1000,$C90,'Oxford Economics'!$B$7:$B$1000,Settings!$B$16)+IF(Settings!$B$18="",0,SUMIFS(INDEX('Oxford Economics'!$A$7:$AZ$1000,0,IFERROR(MATCH(AH$5,'Oxford Economics'!$A$6:$AZ$6,0),MATCH(AH$5&amp;"",'Oxford Economics'!$A$6:$AZ$6,0))),'Oxford Economics'!$A$7:$A$1000,$C90,'Oxford Economics'!$B$7:$B$1000,Settings!$B$18)))),""))</f>
        <v>2578.82</v>
      </c>
      <c r="AI90" s="38" t="n">
        <f aca="false">IF($A90="","",IFERROR(1/(1/IF($B90="Residential",SUMIFS(INDEX('Oxford Economics'!$A$7:$AZ$1000,0,IFERROR(MATCH(AI$5,'Oxford Economics'!$A$6:$AZ$6,0),MATCH(AI$5&amp;"",'Oxford Economics'!$A$6:$AZ$6,0))),'Oxford Economics'!$A$7:$A$1000,$C90,'Oxford Economics'!$B$7:$B$1000,Settings!$B$12)-SUMIFS(INDEX('Oxford Economics'!$A$7:$AZ$1000,0,IFERROR(MATCH(AI$5,'Oxford Economics'!$A$6:$AZ$6,0),MATCH(AI$5&amp;"",'Oxford Economics'!$A$6:$AZ$6,0))),'Oxford Economics'!$A$7:$A$1000,$C90,'Oxford Economics'!$B$7:$B$1000,Settings!$B$14),SUMIFS(INDEX('Oxford Economics'!$A$7:$AZ$1000,0,IFERROR(MATCH(AI$5,'Oxford Economics'!$A$6:$AZ$6,0),MATCH(AI$5&amp;"",'Oxford Economics'!$A$6:$AZ$6,0))),'Oxford Economics'!$A$7:$A$1000,$C90,'Oxford Economics'!$B$7:$B$1000,Settings!$B$14)+SUMIFS(INDEX('Oxford Economics'!$A$7:$AZ$1000,0,IFERROR(MATCH(AI$5,'Oxford Economics'!$A$6:$AZ$6,0),MATCH(AI$5&amp;"",'Oxford Economics'!$A$6:$AZ$6,0))),'Oxford Economics'!$A$7:$A$1000,$C90,'Oxford Economics'!$B$7:$B$1000,Settings!$B$16)+IF(Settings!$B$18="",0,SUMIFS(INDEX('Oxford Economics'!$A$7:$AZ$1000,0,IFERROR(MATCH(AI$5,'Oxford Economics'!$A$6:$AZ$6,0),MATCH(AI$5&amp;"",'Oxford Economics'!$A$6:$AZ$6,0))),'Oxford Economics'!$A$7:$A$1000,$C90,'Oxford Economics'!$B$7:$B$1000,Settings!$B$18)))),""))</f>
        <v>2590.18</v>
      </c>
      <c r="AJ90" s="38" t="n">
        <f aca="false">IF($A90="","",IFERROR(1/(1/IF($B90="Residential",SUMIFS(INDEX('Oxford Economics'!$A$7:$AZ$1000,0,IFERROR(MATCH(AJ$5,'Oxford Economics'!$A$6:$AZ$6,0),MATCH(AJ$5&amp;"",'Oxford Economics'!$A$6:$AZ$6,0))),'Oxford Economics'!$A$7:$A$1000,$C90,'Oxford Economics'!$B$7:$B$1000,Settings!$B$12)-SUMIFS(INDEX('Oxford Economics'!$A$7:$AZ$1000,0,IFERROR(MATCH(AJ$5,'Oxford Economics'!$A$6:$AZ$6,0),MATCH(AJ$5&amp;"",'Oxford Economics'!$A$6:$AZ$6,0))),'Oxford Economics'!$A$7:$A$1000,$C90,'Oxford Economics'!$B$7:$B$1000,Settings!$B$14),SUMIFS(INDEX('Oxford Economics'!$A$7:$AZ$1000,0,IFERROR(MATCH(AJ$5,'Oxford Economics'!$A$6:$AZ$6,0),MATCH(AJ$5&amp;"",'Oxford Economics'!$A$6:$AZ$6,0))),'Oxford Economics'!$A$7:$A$1000,$C90,'Oxford Economics'!$B$7:$B$1000,Settings!$B$14)+SUMIFS(INDEX('Oxford Economics'!$A$7:$AZ$1000,0,IFERROR(MATCH(AJ$5,'Oxford Economics'!$A$6:$AZ$6,0),MATCH(AJ$5&amp;"",'Oxford Economics'!$A$6:$AZ$6,0))),'Oxford Economics'!$A$7:$A$1000,$C90,'Oxford Economics'!$B$7:$B$1000,Settings!$B$16)+IF(Settings!$B$18="",0,SUMIFS(INDEX('Oxford Economics'!$A$7:$AZ$1000,0,IFERROR(MATCH(AJ$5,'Oxford Economics'!$A$6:$AZ$6,0),MATCH(AJ$5&amp;"",'Oxford Economics'!$A$6:$AZ$6,0))),'Oxford Economics'!$A$7:$A$1000,$C90,'Oxford Economics'!$B$7:$B$1000,Settings!$B$18)))),""))</f>
        <v>2646.71</v>
      </c>
      <c r="AK90" s="38" t="n">
        <f aca="false">IF($A90="","",IFERROR(1/(1/IF($B90="Residential",SUMIFS(INDEX('Oxford Economics'!$A$7:$AZ$1000,0,IFERROR(MATCH(AK$5,'Oxford Economics'!$A$6:$AZ$6,0),MATCH(AK$5&amp;"",'Oxford Economics'!$A$6:$AZ$6,0))),'Oxford Economics'!$A$7:$A$1000,$C90,'Oxford Economics'!$B$7:$B$1000,Settings!$B$12)-SUMIFS(INDEX('Oxford Economics'!$A$7:$AZ$1000,0,IFERROR(MATCH(AK$5,'Oxford Economics'!$A$6:$AZ$6,0),MATCH(AK$5&amp;"",'Oxford Economics'!$A$6:$AZ$6,0))),'Oxford Economics'!$A$7:$A$1000,$C90,'Oxford Economics'!$B$7:$B$1000,Settings!$B$14),SUMIFS(INDEX('Oxford Economics'!$A$7:$AZ$1000,0,IFERROR(MATCH(AK$5,'Oxford Economics'!$A$6:$AZ$6,0),MATCH(AK$5&amp;"",'Oxford Economics'!$A$6:$AZ$6,0))),'Oxford Economics'!$A$7:$A$1000,$C90,'Oxford Economics'!$B$7:$B$1000,Settings!$B$14)+SUMIFS(INDEX('Oxford Economics'!$A$7:$AZ$1000,0,IFERROR(MATCH(AK$5,'Oxford Economics'!$A$6:$AZ$6,0),MATCH(AK$5&amp;"",'Oxford Economics'!$A$6:$AZ$6,0))),'Oxford Economics'!$A$7:$A$1000,$C90,'Oxford Economics'!$B$7:$B$1000,Settings!$B$16)+IF(Settings!$B$18="",0,SUMIFS(INDEX('Oxford Economics'!$A$7:$AZ$1000,0,IFERROR(MATCH(AK$5,'Oxford Economics'!$A$6:$AZ$6,0),MATCH(AK$5&amp;"",'Oxford Economics'!$A$6:$AZ$6,0))),'Oxford Economics'!$A$7:$A$1000,$C90,'Oxford Economics'!$B$7:$B$1000,Settings!$B$18)))),""))</f>
        <v>2699.42</v>
      </c>
      <c r="AL90" s="38" t="n">
        <f aca="false">IF($A90="","",IFERROR(1/(1/IF($B90="Residential",SUMIFS(INDEX('Oxford Economics'!$A$7:$AZ$1000,0,IFERROR(MATCH(AL$5,'Oxford Economics'!$A$6:$AZ$6,0),MATCH(AL$5&amp;"",'Oxford Economics'!$A$6:$AZ$6,0))),'Oxford Economics'!$A$7:$A$1000,$C90,'Oxford Economics'!$B$7:$B$1000,Settings!$B$12)-SUMIFS(INDEX('Oxford Economics'!$A$7:$AZ$1000,0,IFERROR(MATCH(AL$5,'Oxford Economics'!$A$6:$AZ$6,0),MATCH(AL$5&amp;"",'Oxford Economics'!$A$6:$AZ$6,0))),'Oxford Economics'!$A$7:$A$1000,$C90,'Oxford Economics'!$B$7:$B$1000,Settings!$B$14),SUMIFS(INDEX('Oxford Economics'!$A$7:$AZ$1000,0,IFERROR(MATCH(AL$5,'Oxford Economics'!$A$6:$AZ$6,0),MATCH(AL$5&amp;"",'Oxford Economics'!$A$6:$AZ$6,0))),'Oxford Economics'!$A$7:$A$1000,$C90,'Oxford Economics'!$B$7:$B$1000,Settings!$B$14)+SUMIFS(INDEX('Oxford Economics'!$A$7:$AZ$1000,0,IFERROR(MATCH(AL$5,'Oxford Economics'!$A$6:$AZ$6,0),MATCH(AL$5&amp;"",'Oxford Economics'!$A$6:$AZ$6,0))),'Oxford Economics'!$A$7:$A$1000,$C90,'Oxford Economics'!$B$7:$B$1000,Settings!$B$16)+IF(Settings!$B$18="",0,SUMIFS(INDEX('Oxford Economics'!$A$7:$AZ$1000,0,IFERROR(MATCH(AL$5,'Oxford Economics'!$A$6:$AZ$6,0),MATCH(AL$5&amp;"",'Oxford Economics'!$A$6:$AZ$6,0))),'Oxford Economics'!$A$7:$A$1000,$C90,'Oxford Economics'!$B$7:$B$1000,Settings!$B$18)))),""))</f>
        <v>2785.67</v>
      </c>
      <c r="AM90" s="38" t="n">
        <f aca="false">IF($A90="","",IFERROR(1/(1/IF($B90="Residential",SUMIFS(INDEX('Oxford Economics'!$A$7:$AZ$1000,0,IFERROR(MATCH(AM$5,'Oxford Economics'!$A$6:$AZ$6,0),MATCH(AM$5&amp;"",'Oxford Economics'!$A$6:$AZ$6,0))),'Oxford Economics'!$A$7:$A$1000,$C90,'Oxford Economics'!$B$7:$B$1000,Settings!$B$12)-SUMIFS(INDEX('Oxford Economics'!$A$7:$AZ$1000,0,IFERROR(MATCH(AM$5,'Oxford Economics'!$A$6:$AZ$6,0),MATCH(AM$5&amp;"",'Oxford Economics'!$A$6:$AZ$6,0))),'Oxford Economics'!$A$7:$A$1000,$C90,'Oxford Economics'!$B$7:$B$1000,Settings!$B$14),SUMIFS(INDEX('Oxford Economics'!$A$7:$AZ$1000,0,IFERROR(MATCH(AM$5,'Oxford Economics'!$A$6:$AZ$6,0),MATCH(AM$5&amp;"",'Oxford Economics'!$A$6:$AZ$6,0))),'Oxford Economics'!$A$7:$A$1000,$C90,'Oxford Economics'!$B$7:$B$1000,Settings!$B$14)+SUMIFS(INDEX('Oxford Economics'!$A$7:$AZ$1000,0,IFERROR(MATCH(AM$5,'Oxford Economics'!$A$6:$AZ$6,0),MATCH(AM$5&amp;"",'Oxford Economics'!$A$6:$AZ$6,0))),'Oxford Economics'!$A$7:$A$1000,$C90,'Oxford Economics'!$B$7:$B$1000,Settings!$B$16)+IF(Settings!$B$18="",0,SUMIFS(INDEX('Oxford Economics'!$A$7:$AZ$1000,0,IFERROR(MATCH(AM$5,'Oxford Economics'!$A$6:$AZ$6,0),MATCH(AM$5&amp;"",'Oxford Economics'!$A$6:$AZ$6,0))),'Oxford Economics'!$A$7:$A$1000,$C90,'Oxford Economics'!$B$7:$B$1000,Settings!$B$18)))),""))</f>
        <v>2915.12</v>
      </c>
    </row>
    <row r="91" customFormat="false" ht="15" hidden="false" customHeight="false" outlineLevel="0" collapsed="false">
      <c r="A91" s="37" t="str">
        <f aca="false">IF('Raw data'!$A91="","",'Raw data'!$A91)</f>
        <v>Belgium</v>
      </c>
      <c r="B91" s="37" t="str">
        <f aca="false">IF($A91="","",'Raw data'!$C91)</f>
        <v>Residential</v>
      </c>
      <c r="C91" s="37" t="str">
        <f aca="false">IF($A91="","",IF('Raw data'!$E91="",$A91,'Raw data'!$E91))</f>
        <v>Belgium</v>
      </c>
      <c r="D91" s="38" t="n">
        <f aca="false">IF($A91="","",IF(AND(ISNUMBER(P91),ISNUMBER(AB91)),P91+AB91,""))</f>
        <v>10309.84</v>
      </c>
      <c r="E91" s="38" t="n">
        <f aca="false">IF($A91="","",IF(AND(ISNUMBER(Q91),ISNUMBER(AC91)),Q91+AC91,""))</f>
        <v>11222.04</v>
      </c>
      <c r="F91" s="38" t="n">
        <f aca="false">IF($A91="","",IF(AND(ISNUMBER(R91),ISNUMBER(AD91)),R91+AD91,""))</f>
        <v>11215.13</v>
      </c>
      <c r="G91" s="38" t="n">
        <f aca="false">IF($A91="","",IF(AND(ISNUMBER(S91),ISNUMBER(AE91)),S91+AE91,""))</f>
        <v>10946.37</v>
      </c>
      <c r="H91" s="38" t="n">
        <f aca="false">IF($A91="","",IF(AND(ISNUMBER(T91),ISNUMBER(AF91)),T91+AF91,""))</f>
        <v>10983.09</v>
      </c>
      <c r="I91" s="38" t="n">
        <f aca="false">IF($A91="","",IF(AND(ISNUMBER(U91),ISNUMBER(AG91)),U91+AG91,""))</f>
        <v>10603.3</v>
      </c>
      <c r="J91" s="38" t="n">
        <f aca="false">IF($A91="","",IF(AND(ISNUMBER(V91),ISNUMBER(AH91)),V91+AH91,""))</f>
        <v>10284.51</v>
      </c>
      <c r="K91" s="38" t="n">
        <f aca="false">IF($A91="","",IF(AND(ISNUMBER(W91),ISNUMBER(AI91)),W91+AI91,""))</f>
        <v>10361.53</v>
      </c>
      <c r="L91" s="38" t="n">
        <f aca="false">IF($A91="","",IF(AND(ISNUMBER(X91),ISNUMBER(AJ91)),X91+AJ91,""))</f>
        <v>10674.52</v>
      </c>
      <c r="M91" s="38" t="n">
        <f aca="false">IF($A91="","",IF(AND(ISNUMBER(Y91),ISNUMBER(AK91)),Y91+AK91,""))</f>
        <v>10942.69</v>
      </c>
      <c r="N91" s="38" t="n">
        <f aca="false">IF($A91="","",IF(AND(ISNUMBER(Z91),ISNUMBER(AL91)),Z91+AL91,""))</f>
        <v>11264.14</v>
      </c>
      <c r="O91" s="38" t="n">
        <f aca="false">IF($A91="","",IF(AND(ISNUMBER(AA91),ISNUMBER(AM91)),AA91+AM91,""))</f>
        <v>11514.62</v>
      </c>
      <c r="P91" s="38" t="n">
        <f aca="false">IF($A91="","",IFERROR(1/(1/IF($B91="Residential",SUMIFS(INDEX('Oxford Economics'!$A$7:$AZ$1000,0,IFERROR(MATCH(P$5,'Oxford Economics'!$A$6:$AZ$6,0),MATCH(P$5&amp;"",'Oxford Economics'!$A$6:$AZ$6,0))),'Oxford Economics'!$A$7:$A$1000,$C91,'Oxford Economics'!$B$7:$B$1000,Settings!$B$13)-SUMIFS(INDEX('Oxford Economics'!$A$7:$AZ$1000,0,IFERROR(MATCH(P$5,'Oxford Economics'!$A$6:$AZ$6,0),MATCH(P$5&amp;"",'Oxford Economics'!$A$6:$AZ$6,0))),'Oxford Economics'!$A$7:$A$1000,$C91,'Oxford Economics'!$B$7:$B$1000,Settings!$B$15),SUMIFS(INDEX('Oxford Economics'!$A$7:$AZ$1000,0,IFERROR(MATCH(P$5,'Oxford Economics'!$A$6:$AZ$6,0),MATCH(P$5&amp;"",'Oxford Economics'!$A$6:$AZ$6,0))),'Oxford Economics'!$A$7:$A$1000,$C91,'Oxford Economics'!$B$7:$B$1000,Settings!$B$15)+SUMIFS(INDEX('Oxford Economics'!$A$7:$AZ$1000,0,IFERROR(MATCH(P$5,'Oxford Economics'!$A$6:$AZ$6,0),MATCH(P$5&amp;"",'Oxford Economics'!$A$6:$AZ$6,0))),'Oxford Economics'!$A$7:$A$1000,$C91,'Oxford Economics'!$B$7:$B$1000,Settings!$B$17)+IF(Settings!$B$19="",0,SUMIFS(INDEX('Oxford Economics'!$A$7:$AZ$1000,0,IFERROR(MATCH(P$5,'Oxford Economics'!$A$6:$AZ$6,0),MATCH(P$5&amp;"",'Oxford Economics'!$A$6:$AZ$6,0))),'Oxford Economics'!$A$7:$A$1000,$C91,'Oxford Economics'!$B$7:$B$1000,Settings!$B$19)))),""))</f>
        <v>6694.52</v>
      </c>
      <c r="Q91" s="38" t="n">
        <f aca="false">IF($A91="","",IFERROR(1/(1/IF($B91="Residential",SUMIFS(INDEX('Oxford Economics'!$A$7:$AZ$1000,0,IFERROR(MATCH(Q$5,'Oxford Economics'!$A$6:$AZ$6,0),MATCH(Q$5&amp;"",'Oxford Economics'!$A$6:$AZ$6,0))),'Oxford Economics'!$A$7:$A$1000,$C91,'Oxford Economics'!$B$7:$B$1000,Settings!$B$13)-SUMIFS(INDEX('Oxford Economics'!$A$7:$AZ$1000,0,IFERROR(MATCH(Q$5,'Oxford Economics'!$A$6:$AZ$6,0),MATCH(Q$5&amp;"",'Oxford Economics'!$A$6:$AZ$6,0))),'Oxford Economics'!$A$7:$A$1000,$C91,'Oxford Economics'!$B$7:$B$1000,Settings!$B$15),SUMIFS(INDEX('Oxford Economics'!$A$7:$AZ$1000,0,IFERROR(MATCH(Q$5,'Oxford Economics'!$A$6:$AZ$6,0),MATCH(Q$5&amp;"",'Oxford Economics'!$A$6:$AZ$6,0))),'Oxford Economics'!$A$7:$A$1000,$C91,'Oxford Economics'!$B$7:$B$1000,Settings!$B$15)+SUMIFS(INDEX('Oxford Economics'!$A$7:$AZ$1000,0,IFERROR(MATCH(Q$5,'Oxford Economics'!$A$6:$AZ$6,0),MATCH(Q$5&amp;"",'Oxford Economics'!$A$6:$AZ$6,0))),'Oxford Economics'!$A$7:$A$1000,$C91,'Oxford Economics'!$B$7:$B$1000,Settings!$B$17)+IF(Settings!$B$19="",0,SUMIFS(INDEX('Oxford Economics'!$A$7:$AZ$1000,0,IFERROR(MATCH(Q$5,'Oxford Economics'!$A$6:$AZ$6,0),MATCH(Q$5&amp;"",'Oxford Economics'!$A$6:$AZ$6,0))),'Oxford Economics'!$A$7:$A$1000,$C91,'Oxford Economics'!$B$7:$B$1000,Settings!$B$19)))),""))</f>
        <v>7534.95</v>
      </c>
      <c r="R91" s="38" t="n">
        <f aca="false">IF($A91="","",IFERROR(1/(1/IF($B91="Residential",SUMIFS(INDEX('Oxford Economics'!$A$7:$AZ$1000,0,IFERROR(MATCH(R$5,'Oxford Economics'!$A$6:$AZ$6,0),MATCH(R$5&amp;"",'Oxford Economics'!$A$6:$AZ$6,0))),'Oxford Economics'!$A$7:$A$1000,$C91,'Oxford Economics'!$B$7:$B$1000,Settings!$B$13)-SUMIFS(INDEX('Oxford Economics'!$A$7:$AZ$1000,0,IFERROR(MATCH(R$5,'Oxford Economics'!$A$6:$AZ$6,0),MATCH(R$5&amp;"",'Oxford Economics'!$A$6:$AZ$6,0))),'Oxford Economics'!$A$7:$A$1000,$C91,'Oxford Economics'!$B$7:$B$1000,Settings!$B$15),SUMIFS(INDEX('Oxford Economics'!$A$7:$AZ$1000,0,IFERROR(MATCH(R$5,'Oxford Economics'!$A$6:$AZ$6,0),MATCH(R$5&amp;"",'Oxford Economics'!$A$6:$AZ$6,0))),'Oxford Economics'!$A$7:$A$1000,$C91,'Oxford Economics'!$B$7:$B$1000,Settings!$B$15)+SUMIFS(INDEX('Oxford Economics'!$A$7:$AZ$1000,0,IFERROR(MATCH(R$5,'Oxford Economics'!$A$6:$AZ$6,0),MATCH(R$5&amp;"",'Oxford Economics'!$A$6:$AZ$6,0))),'Oxford Economics'!$A$7:$A$1000,$C91,'Oxford Economics'!$B$7:$B$1000,Settings!$B$17)+IF(Settings!$B$19="",0,SUMIFS(INDEX('Oxford Economics'!$A$7:$AZ$1000,0,IFERROR(MATCH(R$5,'Oxford Economics'!$A$6:$AZ$6,0),MATCH(R$5&amp;"",'Oxford Economics'!$A$6:$AZ$6,0))),'Oxford Economics'!$A$7:$A$1000,$C91,'Oxford Economics'!$B$7:$B$1000,Settings!$B$19)))),""))</f>
        <v>7716.04</v>
      </c>
      <c r="S91" s="38" t="n">
        <f aca="false">IF($A91="","",IFERROR(1/(1/IF($B91="Residential",SUMIFS(INDEX('Oxford Economics'!$A$7:$AZ$1000,0,IFERROR(MATCH(S$5,'Oxford Economics'!$A$6:$AZ$6,0),MATCH(S$5&amp;"",'Oxford Economics'!$A$6:$AZ$6,0))),'Oxford Economics'!$A$7:$A$1000,$C91,'Oxford Economics'!$B$7:$B$1000,Settings!$B$13)-SUMIFS(INDEX('Oxford Economics'!$A$7:$AZ$1000,0,IFERROR(MATCH(S$5,'Oxford Economics'!$A$6:$AZ$6,0),MATCH(S$5&amp;"",'Oxford Economics'!$A$6:$AZ$6,0))),'Oxford Economics'!$A$7:$A$1000,$C91,'Oxford Economics'!$B$7:$B$1000,Settings!$B$15),SUMIFS(INDEX('Oxford Economics'!$A$7:$AZ$1000,0,IFERROR(MATCH(S$5,'Oxford Economics'!$A$6:$AZ$6,0),MATCH(S$5&amp;"",'Oxford Economics'!$A$6:$AZ$6,0))),'Oxford Economics'!$A$7:$A$1000,$C91,'Oxford Economics'!$B$7:$B$1000,Settings!$B$15)+SUMIFS(INDEX('Oxford Economics'!$A$7:$AZ$1000,0,IFERROR(MATCH(S$5,'Oxford Economics'!$A$6:$AZ$6,0),MATCH(S$5&amp;"",'Oxford Economics'!$A$6:$AZ$6,0))),'Oxford Economics'!$A$7:$A$1000,$C91,'Oxford Economics'!$B$7:$B$1000,Settings!$B$17)+IF(Settings!$B$19="",0,SUMIFS(INDEX('Oxford Economics'!$A$7:$AZ$1000,0,IFERROR(MATCH(S$5,'Oxford Economics'!$A$6:$AZ$6,0),MATCH(S$5&amp;"",'Oxford Economics'!$A$6:$AZ$6,0))),'Oxford Economics'!$A$7:$A$1000,$C91,'Oxford Economics'!$B$7:$B$1000,Settings!$B$19)))),""))</f>
        <v>7652.44</v>
      </c>
      <c r="T91" s="38" t="n">
        <f aca="false">IF($A91="","",IFERROR(1/(1/IF($B91="Residential",SUMIFS(INDEX('Oxford Economics'!$A$7:$AZ$1000,0,IFERROR(MATCH(T$5,'Oxford Economics'!$A$6:$AZ$6,0),MATCH(T$5&amp;"",'Oxford Economics'!$A$6:$AZ$6,0))),'Oxford Economics'!$A$7:$A$1000,$C91,'Oxford Economics'!$B$7:$B$1000,Settings!$B$13)-SUMIFS(INDEX('Oxford Economics'!$A$7:$AZ$1000,0,IFERROR(MATCH(T$5,'Oxford Economics'!$A$6:$AZ$6,0),MATCH(T$5&amp;"",'Oxford Economics'!$A$6:$AZ$6,0))),'Oxford Economics'!$A$7:$A$1000,$C91,'Oxford Economics'!$B$7:$B$1000,Settings!$B$15),SUMIFS(INDEX('Oxford Economics'!$A$7:$AZ$1000,0,IFERROR(MATCH(T$5,'Oxford Economics'!$A$6:$AZ$6,0),MATCH(T$5&amp;"",'Oxford Economics'!$A$6:$AZ$6,0))),'Oxford Economics'!$A$7:$A$1000,$C91,'Oxford Economics'!$B$7:$B$1000,Settings!$B$15)+SUMIFS(INDEX('Oxford Economics'!$A$7:$AZ$1000,0,IFERROR(MATCH(T$5,'Oxford Economics'!$A$6:$AZ$6,0),MATCH(T$5&amp;"",'Oxford Economics'!$A$6:$AZ$6,0))),'Oxford Economics'!$A$7:$A$1000,$C91,'Oxford Economics'!$B$7:$B$1000,Settings!$B$17)+IF(Settings!$B$19="",0,SUMIFS(INDEX('Oxford Economics'!$A$7:$AZ$1000,0,IFERROR(MATCH(T$5,'Oxford Economics'!$A$6:$AZ$6,0),MATCH(T$5&amp;"",'Oxford Economics'!$A$6:$AZ$6,0))),'Oxford Economics'!$A$7:$A$1000,$C91,'Oxford Economics'!$B$7:$B$1000,Settings!$B$19)))),""))</f>
        <v>7935.55</v>
      </c>
      <c r="U91" s="38" t="n">
        <f aca="false">IF($A91="","",IFERROR(1/(1/IF($B91="Residential",SUMIFS(INDEX('Oxford Economics'!$A$7:$AZ$1000,0,IFERROR(MATCH(U$5,'Oxford Economics'!$A$6:$AZ$6,0),MATCH(U$5&amp;"",'Oxford Economics'!$A$6:$AZ$6,0))),'Oxford Economics'!$A$7:$A$1000,$C91,'Oxford Economics'!$B$7:$B$1000,Settings!$B$13)-SUMIFS(INDEX('Oxford Economics'!$A$7:$AZ$1000,0,IFERROR(MATCH(U$5,'Oxford Economics'!$A$6:$AZ$6,0),MATCH(U$5&amp;"",'Oxford Economics'!$A$6:$AZ$6,0))),'Oxford Economics'!$A$7:$A$1000,$C91,'Oxford Economics'!$B$7:$B$1000,Settings!$B$15),SUMIFS(INDEX('Oxford Economics'!$A$7:$AZ$1000,0,IFERROR(MATCH(U$5,'Oxford Economics'!$A$6:$AZ$6,0),MATCH(U$5&amp;"",'Oxford Economics'!$A$6:$AZ$6,0))),'Oxford Economics'!$A$7:$A$1000,$C91,'Oxford Economics'!$B$7:$B$1000,Settings!$B$15)+SUMIFS(INDEX('Oxford Economics'!$A$7:$AZ$1000,0,IFERROR(MATCH(U$5,'Oxford Economics'!$A$6:$AZ$6,0),MATCH(U$5&amp;"",'Oxford Economics'!$A$6:$AZ$6,0))),'Oxford Economics'!$A$7:$A$1000,$C91,'Oxford Economics'!$B$7:$B$1000,Settings!$B$17)+IF(Settings!$B$19="",0,SUMIFS(INDEX('Oxford Economics'!$A$7:$AZ$1000,0,IFERROR(MATCH(U$5,'Oxford Economics'!$A$6:$AZ$6,0),MATCH(U$5&amp;"",'Oxford Economics'!$A$6:$AZ$6,0))),'Oxford Economics'!$A$7:$A$1000,$C91,'Oxford Economics'!$B$7:$B$1000,Settings!$B$19)))),""))</f>
        <v>7792.85</v>
      </c>
      <c r="V91" s="38" t="n">
        <f aca="false">IF($A91="","",IFERROR(1/(1/IF($B91="Residential",SUMIFS(INDEX('Oxford Economics'!$A$7:$AZ$1000,0,IFERROR(MATCH(V$5,'Oxford Economics'!$A$6:$AZ$6,0),MATCH(V$5&amp;"",'Oxford Economics'!$A$6:$AZ$6,0))),'Oxford Economics'!$A$7:$A$1000,$C91,'Oxford Economics'!$B$7:$B$1000,Settings!$B$13)-SUMIFS(INDEX('Oxford Economics'!$A$7:$AZ$1000,0,IFERROR(MATCH(V$5,'Oxford Economics'!$A$6:$AZ$6,0),MATCH(V$5&amp;"",'Oxford Economics'!$A$6:$AZ$6,0))),'Oxford Economics'!$A$7:$A$1000,$C91,'Oxford Economics'!$B$7:$B$1000,Settings!$B$15),SUMIFS(INDEX('Oxford Economics'!$A$7:$AZ$1000,0,IFERROR(MATCH(V$5,'Oxford Economics'!$A$6:$AZ$6,0),MATCH(V$5&amp;"",'Oxford Economics'!$A$6:$AZ$6,0))),'Oxford Economics'!$A$7:$A$1000,$C91,'Oxford Economics'!$B$7:$B$1000,Settings!$B$15)+SUMIFS(INDEX('Oxford Economics'!$A$7:$AZ$1000,0,IFERROR(MATCH(V$5,'Oxford Economics'!$A$6:$AZ$6,0),MATCH(V$5&amp;"",'Oxford Economics'!$A$6:$AZ$6,0))),'Oxford Economics'!$A$7:$A$1000,$C91,'Oxford Economics'!$B$7:$B$1000,Settings!$B$17)+IF(Settings!$B$19="",0,SUMIFS(INDEX('Oxford Economics'!$A$7:$AZ$1000,0,IFERROR(MATCH(V$5,'Oxford Economics'!$A$6:$AZ$6,0),MATCH(V$5&amp;"",'Oxford Economics'!$A$6:$AZ$6,0))),'Oxford Economics'!$A$7:$A$1000,$C91,'Oxford Economics'!$B$7:$B$1000,Settings!$B$19)))),""))</f>
        <v>7705.69</v>
      </c>
      <c r="W91" s="38" t="n">
        <f aca="false">IF($A91="","",IFERROR(1/(1/IF($B91="Residential",SUMIFS(INDEX('Oxford Economics'!$A$7:$AZ$1000,0,IFERROR(MATCH(W$5,'Oxford Economics'!$A$6:$AZ$6,0),MATCH(W$5&amp;"",'Oxford Economics'!$A$6:$AZ$6,0))),'Oxford Economics'!$A$7:$A$1000,$C91,'Oxford Economics'!$B$7:$B$1000,Settings!$B$13)-SUMIFS(INDEX('Oxford Economics'!$A$7:$AZ$1000,0,IFERROR(MATCH(W$5,'Oxford Economics'!$A$6:$AZ$6,0),MATCH(W$5&amp;"",'Oxford Economics'!$A$6:$AZ$6,0))),'Oxford Economics'!$A$7:$A$1000,$C91,'Oxford Economics'!$B$7:$B$1000,Settings!$B$15),SUMIFS(INDEX('Oxford Economics'!$A$7:$AZ$1000,0,IFERROR(MATCH(W$5,'Oxford Economics'!$A$6:$AZ$6,0),MATCH(W$5&amp;"",'Oxford Economics'!$A$6:$AZ$6,0))),'Oxford Economics'!$A$7:$A$1000,$C91,'Oxford Economics'!$B$7:$B$1000,Settings!$B$15)+SUMIFS(INDEX('Oxford Economics'!$A$7:$AZ$1000,0,IFERROR(MATCH(W$5,'Oxford Economics'!$A$6:$AZ$6,0),MATCH(W$5&amp;"",'Oxford Economics'!$A$6:$AZ$6,0))),'Oxford Economics'!$A$7:$A$1000,$C91,'Oxford Economics'!$B$7:$B$1000,Settings!$B$17)+IF(Settings!$B$19="",0,SUMIFS(INDEX('Oxford Economics'!$A$7:$AZ$1000,0,IFERROR(MATCH(W$5,'Oxford Economics'!$A$6:$AZ$6,0),MATCH(W$5&amp;"",'Oxford Economics'!$A$6:$AZ$6,0))),'Oxford Economics'!$A$7:$A$1000,$C91,'Oxford Economics'!$B$7:$B$1000,Settings!$B$19)))),""))</f>
        <v>7771.35</v>
      </c>
      <c r="X91" s="38" t="n">
        <f aca="false">IF($A91="","",IFERROR(1/(1/IF($B91="Residential",SUMIFS(INDEX('Oxford Economics'!$A$7:$AZ$1000,0,IFERROR(MATCH(X$5,'Oxford Economics'!$A$6:$AZ$6,0),MATCH(X$5&amp;"",'Oxford Economics'!$A$6:$AZ$6,0))),'Oxford Economics'!$A$7:$A$1000,$C91,'Oxford Economics'!$B$7:$B$1000,Settings!$B$13)-SUMIFS(INDEX('Oxford Economics'!$A$7:$AZ$1000,0,IFERROR(MATCH(X$5,'Oxford Economics'!$A$6:$AZ$6,0),MATCH(X$5&amp;"",'Oxford Economics'!$A$6:$AZ$6,0))),'Oxford Economics'!$A$7:$A$1000,$C91,'Oxford Economics'!$B$7:$B$1000,Settings!$B$15),SUMIFS(INDEX('Oxford Economics'!$A$7:$AZ$1000,0,IFERROR(MATCH(X$5,'Oxford Economics'!$A$6:$AZ$6,0),MATCH(X$5&amp;"",'Oxford Economics'!$A$6:$AZ$6,0))),'Oxford Economics'!$A$7:$A$1000,$C91,'Oxford Economics'!$B$7:$B$1000,Settings!$B$15)+SUMIFS(INDEX('Oxford Economics'!$A$7:$AZ$1000,0,IFERROR(MATCH(X$5,'Oxford Economics'!$A$6:$AZ$6,0),MATCH(X$5&amp;"",'Oxford Economics'!$A$6:$AZ$6,0))),'Oxford Economics'!$A$7:$A$1000,$C91,'Oxford Economics'!$B$7:$B$1000,Settings!$B$17)+IF(Settings!$B$19="",0,SUMIFS(INDEX('Oxford Economics'!$A$7:$AZ$1000,0,IFERROR(MATCH(X$5,'Oxford Economics'!$A$6:$AZ$6,0),MATCH(X$5&amp;"",'Oxford Economics'!$A$6:$AZ$6,0))),'Oxford Economics'!$A$7:$A$1000,$C91,'Oxford Economics'!$B$7:$B$1000,Settings!$B$19)))),""))</f>
        <v>8027.81</v>
      </c>
      <c r="Y91" s="38" t="n">
        <f aca="false">IF($A91="","",IFERROR(1/(1/IF($B91="Residential",SUMIFS(INDEX('Oxford Economics'!$A$7:$AZ$1000,0,IFERROR(MATCH(Y$5,'Oxford Economics'!$A$6:$AZ$6,0),MATCH(Y$5&amp;"",'Oxford Economics'!$A$6:$AZ$6,0))),'Oxford Economics'!$A$7:$A$1000,$C91,'Oxford Economics'!$B$7:$B$1000,Settings!$B$13)-SUMIFS(INDEX('Oxford Economics'!$A$7:$AZ$1000,0,IFERROR(MATCH(Y$5,'Oxford Economics'!$A$6:$AZ$6,0),MATCH(Y$5&amp;"",'Oxford Economics'!$A$6:$AZ$6,0))),'Oxford Economics'!$A$7:$A$1000,$C91,'Oxford Economics'!$B$7:$B$1000,Settings!$B$15),SUMIFS(INDEX('Oxford Economics'!$A$7:$AZ$1000,0,IFERROR(MATCH(Y$5,'Oxford Economics'!$A$6:$AZ$6,0),MATCH(Y$5&amp;"",'Oxford Economics'!$A$6:$AZ$6,0))),'Oxford Economics'!$A$7:$A$1000,$C91,'Oxford Economics'!$B$7:$B$1000,Settings!$B$15)+SUMIFS(INDEX('Oxford Economics'!$A$7:$AZ$1000,0,IFERROR(MATCH(Y$5,'Oxford Economics'!$A$6:$AZ$6,0),MATCH(Y$5&amp;"",'Oxford Economics'!$A$6:$AZ$6,0))),'Oxford Economics'!$A$7:$A$1000,$C91,'Oxford Economics'!$B$7:$B$1000,Settings!$B$17)+IF(Settings!$B$19="",0,SUMIFS(INDEX('Oxford Economics'!$A$7:$AZ$1000,0,IFERROR(MATCH(Y$5,'Oxford Economics'!$A$6:$AZ$6,0),MATCH(Y$5&amp;"",'Oxford Economics'!$A$6:$AZ$6,0))),'Oxford Economics'!$A$7:$A$1000,$C91,'Oxford Economics'!$B$7:$B$1000,Settings!$B$19)))),""))</f>
        <v>8243.27</v>
      </c>
      <c r="Z91" s="38" t="n">
        <f aca="false">IF($A91="","",IFERROR(1/(1/IF($B91="Residential",SUMIFS(INDEX('Oxford Economics'!$A$7:$AZ$1000,0,IFERROR(MATCH(Z$5,'Oxford Economics'!$A$6:$AZ$6,0),MATCH(Z$5&amp;"",'Oxford Economics'!$A$6:$AZ$6,0))),'Oxford Economics'!$A$7:$A$1000,$C91,'Oxford Economics'!$B$7:$B$1000,Settings!$B$13)-SUMIFS(INDEX('Oxford Economics'!$A$7:$AZ$1000,0,IFERROR(MATCH(Z$5,'Oxford Economics'!$A$6:$AZ$6,0),MATCH(Z$5&amp;"",'Oxford Economics'!$A$6:$AZ$6,0))),'Oxford Economics'!$A$7:$A$1000,$C91,'Oxford Economics'!$B$7:$B$1000,Settings!$B$15),SUMIFS(INDEX('Oxford Economics'!$A$7:$AZ$1000,0,IFERROR(MATCH(Z$5,'Oxford Economics'!$A$6:$AZ$6,0),MATCH(Z$5&amp;"",'Oxford Economics'!$A$6:$AZ$6,0))),'Oxford Economics'!$A$7:$A$1000,$C91,'Oxford Economics'!$B$7:$B$1000,Settings!$B$15)+SUMIFS(INDEX('Oxford Economics'!$A$7:$AZ$1000,0,IFERROR(MATCH(Z$5,'Oxford Economics'!$A$6:$AZ$6,0),MATCH(Z$5&amp;"",'Oxford Economics'!$A$6:$AZ$6,0))),'Oxford Economics'!$A$7:$A$1000,$C91,'Oxford Economics'!$B$7:$B$1000,Settings!$B$17)+IF(Settings!$B$19="",0,SUMIFS(INDEX('Oxford Economics'!$A$7:$AZ$1000,0,IFERROR(MATCH(Z$5,'Oxford Economics'!$A$6:$AZ$6,0),MATCH(Z$5&amp;"",'Oxford Economics'!$A$6:$AZ$6,0))),'Oxford Economics'!$A$7:$A$1000,$C91,'Oxford Economics'!$B$7:$B$1000,Settings!$B$19)))),""))</f>
        <v>8478.47</v>
      </c>
      <c r="AA91" s="38" t="n">
        <f aca="false">IF($A91="","",IFERROR(1/(1/IF($B91="Residential",SUMIFS(INDEX('Oxford Economics'!$A$7:$AZ$1000,0,IFERROR(MATCH(AA$5,'Oxford Economics'!$A$6:$AZ$6,0),MATCH(AA$5&amp;"",'Oxford Economics'!$A$6:$AZ$6,0))),'Oxford Economics'!$A$7:$A$1000,$C91,'Oxford Economics'!$B$7:$B$1000,Settings!$B$13)-SUMIFS(INDEX('Oxford Economics'!$A$7:$AZ$1000,0,IFERROR(MATCH(AA$5,'Oxford Economics'!$A$6:$AZ$6,0),MATCH(AA$5&amp;"",'Oxford Economics'!$A$6:$AZ$6,0))),'Oxford Economics'!$A$7:$A$1000,$C91,'Oxford Economics'!$B$7:$B$1000,Settings!$B$15),SUMIFS(INDEX('Oxford Economics'!$A$7:$AZ$1000,0,IFERROR(MATCH(AA$5,'Oxford Economics'!$A$6:$AZ$6,0),MATCH(AA$5&amp;"",'Oxford Economics'!$A$6:$AZ$6,0))),'Oxford Economics'!$A$7:$A$1000,$C91,'Oxford Economics'!$B$7:$B$1000,Settings!$B$15)+SUMIFS(INDEX('Oxford Economics'!$A$7:$AZ$1000,0,IFERROR(MATCH(AA$5,'Oxford Economics'!$A$6:$AZ$6,0),MATCH(AA$5&amp;"",'Oxford Economics'!$A$6:$AZ$6,0))),'Oxford Economics'!$A$7:$A$1000,$C91,'Oxford Economics'!$B$7:$B$1000,Settings!$B$17)+IF(Settings!$B$19="",0,SUMIFS(INDEX('Oxford Economics'!$A$7:$AZ$1000,0,IFERROR(MATCH(AA$5,'Oxford Economics'!$A$6:$AZ$6,0),MATCH(AA$5&amp;"",'Oxford Economics'!$A$6:$AZ$6,0))),'Oxford Economics'!$A$7:$A$1000,$C91,'Oxford Economics'!$B$7:$B$1000,Settings!$B$19)))),""))</f>
        <v>8599.5</v>
      </c>
      <c r="AB91" s="38" t="n">
        <f aca="false">IF($A91="","",IFERROR(1/(1/IF($B91="Residential",SUMIFS(INDEX('Oxford Economics'!$A$7:$AZ$1000,0,IFERROR(MATCH(AB$5,'Oxford Economics'!$A$6:$AZ$6,0),MATCH(AB$5&amp;"",'Oxford Economics'!$A$6:$AZ$6,0))),'Oxford Economics'!$A$7:$A$1000,$C91,'Oxford Economics'!$B$7:$B$1000,Settings!$B$12)-SUMIFS(INDEX('Oxford Economics'!$A$7:$AZ$1000,0,IFERROR(MATCH(AB$5,'Oxford Economics'!$A$6:$AZ$6,0),MATCH(AB$5&amp;"",'Oxford Economics'!$A$6:$AZ$6,0))),'Oxford Economics'!$A$7:$A$1000,$C91,'Oxford Economics'!$B$7:$B$1000,Settings!$B$14),SUMIFS(INDEX('Oxford Economics'!$A$7:$AZ$1000,0,IFERROR(MATCH(AB$5,'Oxford Economics'!$A$6:$AZ$6,0),MATCH(AB$5&amp;"",'Oxford Economics'!$A$6:$AZ$6,0))),'Oxford Economics'!$A$7:$A$1000,$C91,'Oxford Economics'!$B$7:$B$1000,Settings!$B$14)+SUMIFS(INDEX('Oxford Economics'!$A$7:$AZ$1000,0,IFERROR(MATCH(AB$5,'Oxford Economics'!$A$6:$AZ$6,0),MATCH(AB$5&amp;"",'Oxford Economics'!$A$6:$AZ$6,0))),'Oxford Economics'!$A$7:$A$1000,$C91,'Oxford Economics'!$B$7:$B$1000,Settings!$B$16)+IF(Settings!$B$18="",0,SUMIFS(INDEX('Oxford Economics'!$A$7:$AZ$1000,0,IFERROR(MATCH(AB$5,'Oxford Economics'!$A$6:$AZ$6,0),MATCH(AB$5&amp;"",'Oxford Economics'!$A$6:$AZ$6,0))),'Oxford Economics'!$A$7:$A$1000,$C91,'Oxford Economics'!$B$7:$B$1000,Settings!$B$18)))),""))</f>
        <v>3615.32</v>
      </c>
      <c r="AC91" s="38" t="n">
        <f aca="false">IF($A91="","",IFERROR(1/(1/IF($B91="Residential",SUMIFS(INDEX('Oxford Economics'!$A$7:$AZ$1000,0,IFERROR(MATCH(AC$5,'Oxford Economics'!$A$6:$AZ$6,0),MATCH(AC$5&amp;"",'Oxford Economics'!$A$6:$AZ$6,0))),'Oxford Economics'!$A$7:$A$1000,$C91,'Oxford Economics'!$B$7:$B$1000,Settings!$B$12)-SUMIFS(INDEX('Oxford Economics'!$A$7:$AZ$1000,0,IFERROR(MATCH(AC$5,'Oxford Economics'!$A$6:$AZ$6,0),MATCH(AC$5&amp;"",'Oxford Economics'!$A$6:$AZ$6,0))),'Oxford Economics'!$A$7:$A$1000,$C91,'Oxford Economics'!$B$7:$B$1000,Settings!$B$14),SUMIFS(INDEX('Oxford Economics'!$A$7:$AZ$1000,0,IFERROR(MATCH(AC$5,'Oxford Economics'!$A$6:$AZ$6,0),MATCH(AC$5&amp;"",'Oxford Economics'!$A$6:$AZ$6,0))),'Oxford Economics'!$A$7:$A$1000,$C91,'Oxford Economics'!$B$7:$B$1000,Settings!$B$14)+SUMIFS(INDEX('Oxford Economics'!$A$7:$AZ$1000,0,IFERROR(MATCH(AC$5,'Oxford Economics'!$A$6:$AZ$6,0),MATCH(AC$5&amp;"",'Oxford Economics'!$A$6:$AZ$6,0))),'Oxford Economics'!$A$7:$A$1000,$C91,'Oxford Economics'!$B$7:$B$1000,Settings!$B$16)+IF(Settings!$B$18="",0,SUMIFS(INDEX('Oxford Economics'!$A$7:$AZ$1000,0,IFERROR(MATCH(AC$5,'Oxford Economics'!$A$6:$AZ$6,0),MATCH(AC$5&amp;"",'Oxford Economics'!$A$6:$AZ$6,0))),'Oxford Economics'!$A$7:$A$1000,$C91,'Oxford Economics'!$B$7:$B$1000,Settings!$B$18)))),""))</f>
        <v>3687.09</v>
      </c>
      <c r="AD91" s="38" t="n">
        <f aca="false">IF($A91="","",IFERROR(1/(1/IF($B91="Residential",SUMIFS(INDEX('Oxford Economics'!$A$7:$AZ$1000,0,IFERROR(MATCH(AD$5,'Oxford Economics'!$A$6:$AZ$6,0),MATCH(AD$5&amp;"",'Oxford Economics'!$A$6:$AZ$6,0))),'Oxford Economics'!$A$7:$A$1000,$C91,'Oxford Economics'!$B$7:$B$1000,Settings!$B$12)-SUMIFS(INDEX('Oxford Economics'!$A$7:$AZ$1000,0,IFERROR(MATCH(AD$5,'Oxford Economics'!$A$6:$AZ$6,0),MATCH(AD$5&amp;"",'Oxford Economics'!$A$6:$AZ$6,0))),'Oxford Economics'!$A$7:$A$1000,$C91,'Oxford Economics'!$B$7:$B$1000,Settings!$B$14),SUMIFS(INDEX('Oxford Economics'!$A$7:$AZ$1000,0,IFERROR(MATCH(AD$5,'Oxford Economics'!$A$6:$AZ$6,0),MATCH(AD$5&amp;"",'Oxford Economics'!$A$6:$AZ$6,0))),'Oxford Economics'!$A$7:$A$1000,$C91,'Oxford Economics'!$B$7:$B$1000,Settings!$B$14)+SUMIFS(INDEX('Oxford Economics'!$A$7:$AZ$1000,0,IFERROR(MATCH(AD$5,'Oxford Economics'!$A$6:$AZ$6,0),MATCH(AD$5&amp;"",'Oxford Economics'!$A$6:$AZ$6,0))),'Oxford Economics'!$A$7:$A$1000,$C91,'Oxford Economics'!$B$7:$B$1000,Settings!$B$16)+IF(Settings!$B$18="",0,SUMIFS(INDEX('Oxford Economics'!$A$7:$AZ$1000,0,IFERROR(MATCH(AD$5,'Oxford Economics'!$A$6:$AZ$6,0),MATCH(AD$5&amp;"",'Oxford Economics'!$A$6:$AZ$6,0))),'Oxford Economics'!$A$7:$A$1000,$C91,'Oxford Economics'!$B$7:$B$1000,Settings!$B$18)))),""))</f>
        <v>3499.09</v>
      </c>
      <c r="AE91" s="38" t="n">
        <f aca="false">IF($A91="","",IFERROR(1/(1/IF($B91="Residential",SUMIFS(INDEX('Oxford Economics'!$A$7:$AZ$1000,0,IFERROR(MATCH(AE$5,'Oxford Economics'!$A$6:$AZ$6,0),MATCH(AE$5&amp;"",'Oxford Economics'!$A$6:$AZ$6,0))),'Oxford Economics'!$A$7:$A$1000,$C91,'Oxford Economics'!$B$7:$B$1000,Settings!$B$12)-SUMIFS(INDEX('Oxford Economics'!$A$7:$AZ$1000,0,IFERROR(MATCH(AE$5,'Oxford Economics'!$A$6:$AZ$6,0),MATCH(AE$5&amp;"",'Oxford Economics'!$A$6:$AZ$6,0))),'Oxford Economics'!$A$7:$A$1000,$C91,'Oxford Economics'!$B$7:$B$1000,Settings!$B$14),SUMIFS(INDEX('Oxford Economics'!$A$7:$AZ$1000,0,IFERROR(MATCH(AE$5,'Oxford Economics'!$A$6:$AZ$6,0),MATCH(AE$5&amp;"",'Oxford Economics'!$A$6:$AZ$6,0))),'Oxford Economics'!$A$7:$A$1000,$C91,'Oxford Economics'!$B$7:$B$1000,Settings!$B$14)+SUMIFS(INDEX('Oxford Economics'!$A$7:$AZ$1000,0,IFERROR(MATCH(AE$5,'Oxford Economics'!$A$6:$AZ$6,0),MATCH(AE$5&amp;"",'Oxford Economics'!$A$6:$AZ$6,0))),'Oxford Economics'!$A$7:$A$1000,$C91,'Oxford Economics'!$B$7:$B$1000,Settings!$B$16)+IF(Settings!$B$18="",0,SUMIFS(INDEX('Oxford Economics'!$A$7:$AZ$1000,0,IFERROR(MATCH(AE$5,'Oxford Economics'!$A$6:$AZ$6,0),MATCH(AE$5&amp;"",'Oxford Economics'!$A$6:$AZ$6,0))),'Oxford Economics'!$A$7:$A$1000,$C91,'Oxford Economics'!$B$7:$B$1000,Settings!$B$18)))),""))</f>
        <v>3293.93</v>
      </c>
      <c r="AF91" s="38" t="n">
        <f aca="false">IF($A91="","",IFERROR(1/(1/IF($B91="Residential",SUMIFS(INDEX('Oxford Economics'!$A$7:$AZ$1000,0,IFERROR(MATCH(AF$5,'Oxford Economics'!$A$6:$AZ$6,0),MATCH(AF$5&amp;"",'Oxford Economics'!$A$6:$AZ$6,0))),'Oxford Economics'!$A$7:$A$1000,$C91,'Oxford Economics'!$B$7:$B$1000,Settings!$B$12)-SUMIFS(INDEX('Oxford Economics'!$A$7:$AZ$1000,0,IFERROR(MATCH(AF$5,'Oxford Economics'!$A$6:$AZ$6,0),MATCH(AF$5&amp;"",'Oxford Economics'!$A$6:$AZ$6,0))),'Oxford Economics'!$A$7:$A$1000,$C91,'Oxford Economics'!$B$7:$B$1000,Settings!$B$14),SUMIFS(INDEX('Oxford Economics'!$A$7:$AZ$1000,0,IFERROR(MATCH(AF$5,'Oxford Economics'!$A$6:$AZ$6,0),MATCH(AF$5&amp;"",'Oxford Economics'!$A$6:$AZ$6,0))),'Oxford Economics'!$A$7:$A$1000,$C91,'Oxford Economics'!$B$7:$B$1000,Settings!$B$14)+SUMIFS(INDEX('Oxford Economics'!$A$7:$AZ$1000,0,IFERROR(MATCH(AF$5,'Oxford Economics'!$A$6:$AZ$6,0),MATCH(AF$5&amp;"",'Oxford Economics'!$A$6:$AZ$6,0))),'Oxford Economics'!$A$7:$A$1000,$C91,'Oxford Economics'!$B$7:$B$1000,Settings!$B$16)+IF(Settings!$B$18="",0,SUMIFS(INDEX('Oxford Economics'!$A$7:$AZ$1000,0,IFERROR(MATCH(AF$5,'Oxford Economics'!$A$6:$AZ$6,0),MATCH(AF$5&amp;"",'Oxford Economics'!$A$6:$AZ$6,0))),'Oxford Economics'!$A$7:$A$1000,$C91,'Oxford Economics'!$B$7:$B$1000,Settings!$B$18)))),""))</f>
        <v>3047.54</v>
      </c>
      <c r="AG91" s="38" t="n">
        <f aca="false">IF($A91="","",IFERROR(1/(1/IF($B91="Residential",SUMIFS(INDEX('Oxford Economics'!$A$7:$AZ$1000,0,IFERROR(MATCH(AG$5,'Oxford Economics'!$A$6:$AZ$6,0),MATCH(AG$5&amp;"",'Oxford Economics'!$A$6:$AZ$6,0))),'Oxford Economics'!$A$7:$A$1000,$C91,'Oxford Economics'!$B$7:$B$1000,Settings!$B$12)-SUMIFS(INDEX('Oxford Economics'!$A$7:$AZ$1000,0,IFERROR(MATCH(AG$5,'Oxford Economics'!$A$6:$AZ$6,0),MATCH(AG$5&amp;"",'Oxford Economics'!$A$6:$AZ$6,0))),'Oxford Economics'!$A$7:$A$1000,$C91,'Oxford Economics'!$B$7:$B$1000,Settings!$B$14),SUMIFS(INDEX('Oxford Economics'!$A$7:$AZ$1000,0,IFERROR(MATCH(AG$5,'Oxford Economics'!$A$6:$AZ$6,0),MATCH(AG$5&amp;"",'Oxford Economics'!$A$6:$AZ$6,0))),'Oxford Economics'!$A$7:$A$1000,$C91,'Oxford Economics'!$B$7:$B$1000,Settings!$B$14)+SUMIFS(INDEX('Oxford Economics'!$A$7:$AZ$1000,0,IFERROR(MATCH(AG$5,'Oxford Economics'!$A$6:$AZ$6,0),MATCH(AG$5&amp;"",'Oxford Economics'!$A$6:$AZ$6,0))),'Oxford Economics'!$A$7:$A$1000,$C91,'Oxford Economics'!$B$7:$B$1000,Settings!$B$16)+IF(Settings!$B$18="",0,SUMIFS(INDEX('Oxford Economics'!$A$7:$AZ$1000,0,IFERROR(MATCH(AG$5,'Oxford Economics'!$A$6:$AZ$6,0),MATCH(AG$5&amp;"",'Oxford Economics'!$A$6:$AZ$6,0))),'Oxford Economics'!$A$7:$A$1000,$C91,'Oxford Economics'!$B$7:$B$1000,Settings!$B$18)))),""))</f>
        <v>2810.45</v>
      </c>
      <c r="AH91" s="38" t="n">
        <f aca="false">IF($A91="","",IFERROR(1/(1/IF($B91="Residential",SUMIFS(INDEX('Oxford Economics'!$A$7:$AZ$1000,0,IFERROR(MATCH(AH$5,'Oxford Economics'!$A$6:$AZ$6,0),MATCH(AH$5&amp;"",'Oxford Economics'!$A$6:$AZ$6,0))),'Oxford Economics'!$A$7:$A$1000,$C91,'Oxford Economics'!$B$7:$B$1000,Settings!$B$12)-SUMIFS(INDEX('Oxford Economics'!$A$7:$AZ$1000,0,IFERROR(MATCH(AH$5,'Oxford Economics'!$A$6:$AZ$6,0),MATCH(AH$5&amp;"",'Oxford Economics'!$A$6:$AZ$6,0))),'Oxford Economics'!$A$7:$A$1000,$C91,'Oxford Economics'!$B$7:$B$1000,Settings!$B$14),SUMIFS(INDEX('Oxford Economics'!$A$7:$AZ$1000,0,IFERROR(MATCH(AH$5,'Oxford Economics'!$A$6:$AZ$6,0),MATCH(AH$5&amp;"",'Oxford Economics'!$A$6:$AZ$6,0))),'Oxford Economics'!$A$7:$A$1000,$C91,'Oxford Economics'!$B$7:$B$1000,Settings!$B$14)+SUMIFS(INDEX('Oxford Economics'!$A$7:$AZ$1000,0,IFERROR(MATCH(AH$5,'Oxford Economics'!$A$6:$AZ$6,0),MATCH(AH$5&amp;"",'Oxford Economics'!$A$6:$AZ$6,0))),'Oxford Economics'!$A$7:$A$1000,$C91,'Oxford Economics'!$B$7:$B$1000,Settings!$B$16)+IF(Settings!$B$18="",0,SUMIFS(INDEX('Oxford Economics'!$A$7:$AZ$1000,0,IFERROR(MATCH(AH$5,'Oxford Economics'!$A$6:$AZ$6,0),MATCH(AH$5&amp;"",'Oxford Economics'!$A$6:$AZ$6,0))),'Oxford Economics'!$A$7:$A$1000,$C91,'Oxford Economics'!$B$7:$B$1000,Settings!$B$18)))),""))</f>
        <v>2578.82</v>
      </c>
      <c r="AI91" s="38" t="n">
        <f aca="false">IF($A91="","",IFERROR(1/(1/IF($B91="Residential",SUMIFS(INDEX('Oxford Economics'!$A$7:$AZ$1000,0,IFERROR(MATCH(AI$5,'Oxford Economics'!$A$6:$AZ$6,0),MATCH(AI$5&amp;"",'Oxford Economics'!$A$6:$AZ$6,0))),'Oxford Economics'!$A$7:$A$1000,$C91,'Oxford Economics'!$B$7:$B$1000,Settings!$B$12)-SUMIFS(INDEX('Oxford Economics'!$A$7:$AZ$1000,0,IFERROR(MATCH(AI$5,'Oxford Economics'!$A$6:$AZ$6,0),MATCH(AI$5&amp;"",'Oxford Economics'!$A$6:$AZ$6,0))),'Oxford Economics'!$A$7:$A$1000,$C91,'Oxford Economics'!$B$7:$B$1000,Settings!$B$14),SUMIFS(INDEX('Oxford Economics'!$A$7:$AZ$1000,0,IFERROR(MATCH(AI$5,'Oxford Economics'!$A$6:$AZ$6,0),MATCH(AI$5&amp;"",'Oxford Economics'!$A$6:$AZ$6,0))),'Oxford Economics'!$A$7:$A$1000,$C91,'Oxford Economics'!$B$7:$B$1000,Settings!$B$14)+SUMIFS(INDEX('Oxford Economics'!$A$7:$AZ$1000,0,IFERROR(MATCH(AI$5,'Oxford Economics'!$A$6:$AZ$6,0),MATCH(AI$5&amp;"",'Oxford Economics'!$A$6:$AZ$6,0))),'Oxford Economics'!$A$7:$A$1000,$C91,'Oxford Economics'!$B$7:$B$1000,Settings!$B$16)+IF(Settings!$B$18="",0,SUMIFS(INDEX('Oxford Economics'!$A$7:$AZ$1000,0,IFERROR(MATCH(AI$5,'Oxford Economics'!$A$6:$AZ$6,0),MATCH(AI$5&amp;"",'Oxford Economics'!$A$6:$AZ$6,0))),'Oxford Economics'!$A$7:$A$1000,$C91,'Oxford Economics'!$B$7:$B$1000,Settings!$B$18)))),""))</f>
        <v>2590.18</v>
      </c>
      <c r="AJ91" s="38" t="n">
        <f aca="false">IF($A91="","",IFERROR(1/(1/IF($B91="Residential",SUMIFS(INDEX('Oxford Economics'!$A$7:$AZ$1000,0,IFERROR(MATCH(AJ$5,'Oxford Economics'!$A$6:$AZ$6,0),MATCH(AJ$5&amp;"",'Oxford Economics'!$A$6:$AZ$6,0))),'Oxford Economics'!$A$7:$A$1000,$C91,'Oxford Economics'!$B$7:$B$1000,Settings!$B$12)-SUMIFS(INDEX('Oxford Economics'!$A$7:$AZ$1000,0,IFERROR(MATCH(AJ$5,'Oxford Economics'!$A$6:$AZ$6,0),MATCH(AJ$5&amp;"",'Oxford Economics'!$A$6:$AZ$6,0))),'Oxford Economics'!$A$7:$A$1000,$C91,'Oxford Economics'!$B$7:$B$1000,Settings!$B$14),SUMIFS(INDEX('Oxford Economics'!$A$7:$AZ$1000,0,IFERROR(MATCH(AJ$5,'Oxford Economics'!$A$6:$AZ$6,0),MATCH(AJ$5&amp;"",'Oxford Economics'!$A$6:$AZ$6,0))),'Oxford Economics'!$A$7:$A$1000,$C91,'Oxford Economics'!$B$7:$B$1000,Settings!$B$14)+SUMIFS(INDEX('Oxford Economics'!$A$7:$AZ$1000,0,IFERROR(MATCH(AJ$5,'Oxford Economics'!$A$6:$AZ$6,0),MATCH(AJ$5&amp;"",'Oxford Economics'!$A$6:$AZ$6,0))),'Oxford Economics'!$A$7:$A$1000,$C91,'Oxford Economics'!$B$7:$B$1000,Settings!$B$16)+IF(Settings!$B$18="",0,SUMIFS(INDEX('Oxford Economics'!$A$7:$AZ$1000,0,IFERROR(MATCH(AJ$5,'Oxford Economics'!$A$6:$AZ$6,0),MATCH(AJ$5&amp;"",'Oxford Economics'!$A$6:$AZ$6,0))),'Oxford Economics'!$A$7:$A$1000,$C91,'Oxford Economics'!$B$7:$B$1000,Settings!$B$18)))),""))</f>
        <v>2646.71</v>
      </c>
      <c r="AK91" s="38" t="n">
        <f aca="false">IF($A91="","",IFERROR(1/(1/IF($B91="Residential",SUMIFS(INDEX('Oxford Economics'!$A$7:$AZ$1000,0,IFERROR(MATCH(AK$5,'Oxford Economics'!$A$6:$AZ$6,0),MATCH(AK$5&amp;"",'Oxford Economics'!$A$6:$AZ$6,0))),'Oxford Economics'!$A$7:$A$1000,$C91,'Oxford Economics'!$B$7:$B$1000,Settings!$B$12)-SUMIFS(INDEX('Oxford Economics'!$A$7:$AZ$1000,0,IFERROR(MATCH(AK$5,'Oxford Economics'!$A$6:$AZ$6,0),MATCH(AK$5&amp;"",'Oxford Economics'!$A$6:$AZ$6,0))),'Oxford Economics'!$A$7:$A$1000,$C91,'Oxford Economics'!$B$7:$B$1000,Settings!$B$14),SUMIFS(INDEX('Oxford Economics'!$A$7:$AZ$1000,0,IFERROR(MATCH(AK$5,'Oxford Economics'!$A$6:$AZ$6,0),MATCH(AK$5&amp;"",'Oxford Economics'!$A$6:$AZ$6,0))),'Oxford Economics'!$A$7:$A$1000,$C91,'Oxford Economics'!$B$7:$B$1000,Settings!$B$14)+SUMIFS(INDEX('Oxford Economics'!$A$7:$AZ$1000,0,IFERROR(MATCH(AK$5,'Oxford Economics'!$A$6:$AZ$6,0),MATCH(AK$5&amp;"",'Oxford Economics'!$A$6:$AZ$6,0))),'Oxford Economics'!$A$7:$A$1000,$C91,'Oxford Economics'!$B$7:$B$1000,Settings!$B$16)+IF(Settings!$B$18="",0,SUMIFS(INDEX('Oxford Economics'!$A$7:$AZ$1000,0,IFERROR(MATCH(AK$5,'Oxford Economics'!$A$6:$AZ$6,0),MATCH(AK$5&amp;"",'Oxford Economics'!$A$6:$AZ$6,0))),'Oxford Economics'!$A$7:$A$1000,$C91,'Oxford Economics'!$B$7:$B$1000,Settings!$B$18)))),""))</f>
        <v>2699.42</v>
      </c>
      <c r="AL91" s="38" t="n">
        <f aca="false">IF($A91="","",IFERROR(1/(1/IF($B91="Residential",SUMIFS(INDEX('Oxford Economics'!$A$7:$AZ$1000,0,IFERROR(MATCH(AL$5,'Oxford Economics'!$A$6:$AZ$6,0),MATCH(AL$5&amp;"",'Oxford Economics'!$A$6:$AZ$6,0))),'Oxford Economics'!$A$7:$A$1000,$C91,'Oxford Economics'!$B$7:$B$1000,Settings!$B$12)-SUMIFS(INDEX('Oxford Economics'!$A$7:$AZ$1000,0,IFERROR(MATCH(AL$5,'Oxford Economics'!$A$6:$AZ$6,0),MATCH(AL$5&amp;"",'Oxford Economics'!$A$6:$AZ$6,0))),'Oxford Economics'!$A$7:$A$1000,$C91,'Oxford Economics'!$B$7:$B$1000,Settings!$B$14),SUMIFS(INDEX('Oxford Economics'!$A$7:$AZ$1000,0,IFERROR(MATCH(AL$5,'Oxford Economics'!$A$6:$AZ$6,0),MATCH(AL$5&amp;"",'Oxford Economics'!$A$6:$AZ$6,0))),'Oxford Economics'!$A$7:$A$1000,$C91,'Oxford Economics'!$B$7:$B$1000,Settings!$B$14)+SUMIFS(INDEX('Oxford Economics'!$A$7:$AZ$1000,0,IFERROR(MATCH(AL$5,'Oxford Economics'!$A$6:$AZ$6,0),MATCH(AL$5&amp;"",'Oxford Economics'!$A$6:$AZ$6,0))),'Oxford Economics'!$A$7:$A$1000,$C91,'Oxford Economics'!$B$7:$B$1000,Settings!$B$16)+IF(Settings!$B$18="",0,SUMIFS(INDEX('Oxford Economics'!$A$7:$AZ$1000,0,IFERROR(MATCH(AL$5,'Oxford Economics'!$A$6:$AZ$6,0),MATCH(AL$5&amp;"",'Oxford Economics'!$A$6:$AZ$6,0))),'Oxford Economics'!$A$7:$A$1000,$C91,'Oxford Economics'!$B$7:$B$1000,Settings!$B$18)))),""))</f>
        <v>2785.67</v>
      </c>
      <c r="AM91" s="38" t="n">
        <f aca="false">IF($A91="","",IFERROR(1/(1/IF($B91="Residential",SUMIFS(INDEX('Oxford Economics'!$A$7:$AZ$1000,0,IFERROR(MATCH(AM$5,'Oxford Economics'!$A$6:$AZ$6,0),MATCH(AM$5&amp;"",'Oxford Economics'!$A$6:$AZ$6,0))),'Oxford Economics'!$A$7:$A$1000,$C91,'Oxford Economics'!$B$7:$B$1000,Settings!$B$12)-SUMIFS(INDEX('Oxford Economics'!$A$7:$AZ$1000,0,IFERROR(MATCH(AM$5,'Oxford Economics'!$A$6:$AZ$6,0),MATCH(AM$5&amp;"",'Oxford Economics'!$A$6:$AZ$6,0))),'Oxford Economics'!$A$7:$A$1000,$C91,'Oxford Economics'!$B$7:$B$1000,Settings!$B$14),SUMIFS(INDEX('Oxford Economics'!$A$7:$AZ$1000,0,IFERROR(MATCH(AM$5,'Oxford Economics'!$A$6:$AZ$6,0),MATCH(AM$5&amp;"",'Oxford Economics'!$A$6:$AZ$6,0))),'Oxford Economics'!$A$7:$A$1000,$C91,'Oxford Economics'!$B$7:$B$1000,Settings!$B$14)+SUMIFS(INDEX('Oxford Economics'!$A$7:$AZ$1000,0,IFERROR(MATCH(AM$5,'Oxford Economics'!$A$6:$AZ$6,0),MATCH(AM$5&amp;"",'Oxford Economics'!$A$6:$AZ$6,0))),'Oxford Economics'!$A$7:$A$1000,$C91,'Oxford Economics'!$B$7:$B$1000,Settings!$B$16)+IF(Settings!$B$18="",0,SUMIFS(INDEX('Oxford Economics'!$A$7:$AZ$1000,0,IFERROR(MATCH(AM$5,'Oxford Economics'!$A$6:$AZ$6,0),MATCH(AM$5&amp;"",'Oxford Economics'!$A$6:$AZ$6,0))),'Oxford Economics'!$A$7:$A$1000,$C91,'Oxford Economics'!$B$7:$B$1000,Settings!$B$18)))),""))</f>
        <v>2915.12</v>
      </c>
    </row>
    <row r="92" customFormat="false" ht="15" hidden="false" customHeight="false" outlineLevel="0" collapsed="false">
      <c r="A92" s="37" t="str">
        <f aca="false">IF('Raw data'!$A92="","",'Raw data'!$A92)</f>
        <v>Belgium</v>
      </c>
      <c r="B92" s="37" t="str">
        <f aca="false">IF($A92="","",'Raw data'!$C92)</f>
        <v>Residential</v>
      </c>
      <c r="C92" s="37" t="str">
        <f aca="false">IF($A92="","",IF('Raw data'!$E92="",$A92,'Raw data'!$E92))</f>
        <v>Belgium</v>
      </c>
      <c r="D92" s="38" t="n">
        <f aca="false">IF($A92="","",IF(AND(ISNUMBER(P92),ISNUMBER(AB92)),P92+AB92,""))</f>
        <v>10309.84</v>
      </c>
      <c r="E92" s="38" t="n">
        <f aca="false">IF($A92="","",IF(AND(ISNUMBER(Q92),ISNUMBER(AC92)),Q92+AC92,""))</f>
        <v>11222.04</v>
      </c>
      <c r="F92" s="38" t="n">
        <f aca="false">IF($A92="","",IF(AND(ISNUMBER(R92),ISNUMBER(AD92)),R92+AD92,""))</f>
        <v>11215.13</v>
      </c>
      <c r="G92" s="38" t="n">
        <f aca="false">IF($A92="","",IF(AND(ISNUMBER(S92),ISNUMBER(AE92)),S92+AE92,""))</f>
        <v>10946.37</v>
      </c>
      <c r="H92" s="38" t="n">
        <f aca="false">IF($A92="","",IF(AND(ISNUMBER(T92),ISNUMBER(AF92)),T92+AF92,""))</f>
        <v>10983.09</v>
      </c>
      <c r="I92" s="38" t="n">
        <f aca="false">IF($A92="","",IF(AND(ISNUMBER(U92),ISNUMBER(AG92)),U92+AG92,""))</f>
        <v>10603.3</v>
      </c>
      <c r="J92" s="38" t="n">
        <f aca="false">IF($A92="","",IF(AND(ISNUMBER(V92),ISNUMBER(AH92)),V92+AH92,""))</f>
        <v>10284.51</v>
      </c>
      <c r="K92" s="38" t="n">
        <f aca="false">IF($A92="","",IF(AND(ISNUMBER(W92),ISNUMBER(AI92)),W92+AI92,""))</f>
        <v>10361.53</v>
      </c>
      <c r="L92" s="38" t="n">
        <f aca="false">IF($A92="","",IF(AND(ISNUMBER(X92),ISNUMBER(AJ92)),X92+AJ92,""))</f>
        <v>10674.52</v>
      </c>
      <c r="M92" s="38" t="n">
        <f aca="false">IF($A92="","",IF(AND(ISNUMBER(Y92),ISNUMBER(AK92)),Y92+AK92,""))</f>
        <v>10942.69</v>
      </c>
      <c r="N92" s="38" t="n">
        <f aca="false">IF($A92="","",IF(AND(ISNUMBER(Z92),ISNUMBER(AL92)),Z92+AL92,""))</f>
        <v>11264.14</v>
      </c>
      <c r="O92" s="38" t="n">
        <f aca="false">IF($A92="","",IF(AND(ISNUMBER(AA92),ISNUMBER(AM92)),AA92+AM92,""))</f>
        <v>11514.62</v>
      </c>
      <c r="P92" s="38" t="n">
        <f aca="false">IF($A92="","",IFERROR(1/(1/IF($B92="Residential",SUMIFS(INDEX('Oxford Economics'!$A$7:$AZ$1000,0,IFERROR(MATCH(P$5,'Oxford Economics'!$A$6:$AZ$6,0),MATCH(P$5&amp;"",'Oxford Economics'!$A$6:$AZ$6,0))),'Oxford Economics'!$A$7:$A$1000,$C92,'Oxford Economics'!$B$7:$B$1000,Settings!$B$13)-SUMIFS(INDEX('Oxford Economics'!$A$7:$AZ$1000,0,IFERROR(MATCH(P$5,'Oxford Economics'!$A$6:$AZ$6,0),MATCH(P$5&amp;"",'Oxford Economics'!$A$6:$AZ$6,0))),'Oxford Economics'!$A$7:$A$1000,$C92,'Oxford Economics'!$B$7:$B$1000,Settings!$B$15),SUMIFS(INDEX('Oxford Economics'!$A$7:$AZ$1000,0,IFERROR(MATCH(P$5,'Oxford Economics'!$A$6:$AZ$6,0),MATCH(P$5&amp;"",'Oxford Economics'!$A$6:$AZ$6,0))),'Oxford Economics'!$A$7:$A$1000,$C92,'Oxford Economics'!$B$7:$B$1000,Settings!$B$15)+SUMIFS(INDEX('Oxford Economics'!$A$7:$AZ$1000,0,IFERROR(MATCH(P$5,'Oxford Economics'!$A$6:$AZ$6,0),MATCH(P$5&amp;"",'Oxford Economics'!$A$6:$AZ$6,0))),'Oxford Economics'!$A$7:$A$1000,$C92,'Oxford Economics'!$B$7:$B$1000,Settings!$B$17)+IF(Settings!$B$19="",0,SUMIFS(INDEX('Oxford Economics'!$A$7:$AZ$1000,0,IFERROR(MATCH(P$5,'Oxford Economics'!$A$6:$AZ$6,0),MATCH(P$5&amp;"",'Oxford Economics'!$A$6:$AZ$6,0))),'Oxford Economics'!$A$7:$A$1000,$C92,'Oxford Economics'!$B$7:$B$1000,Settings!$B$19)))),""))</f>
        <v>6694.52</v>
      </c>
      <c r="Q92" s="38" t="n">
        <f aca="false">IF($A92="","",IFERROR(1/(1/IF($B92="Residential",SUMIFS(INDEX('Oxford Economics'!$A$7:$AZ$1000,0,IFERROR(MATCH(Q$5,'Oxford Economics'!$A$6:$AZ$6,0),MATCH(Q$5&amp;"",'Oxford Economics'!$A$6:$AZ$6,0))),'Oxford Economics'!$A$7:$A$1000,$C92,'Oxford Economics'!$B$7:$B$1000,Settings!$B$13)-SUMIFS(INDEX('Oxford Economics'!$A$7:$AZ$1000,0,IFERROR(MATCH(Q$5,'Oxford Economics'!$A$6:$AZ$6,0),MATCH(Q$5&amp;"",'Oxford Economics'!$A$6:$AZ$6,0))),'Oxford Economics'!$A$7:$A$1000,$C92,'Oxford Economics'!$B$7:$B$1000,Settings!$B$15),SUMIFS(INDEX('Oxford Economics'!$A$7:$AZ$1000,0,IFERROR(MATCH(Q$5,'Oxford Economics'!$A$6:$AZ$6,0),MATCH(Q$5&amp;"",'Oxford Economics'!$A$6:$AZ$6,0))),'Oxford Economics'!$A$7:$A$1000,$C92,'Oxford Economics'!$B$7:$B$1000,Settings!$B$15)+SUMIFS(INDEX('Oxford Economics'!$A$7:$AZ$1000,0,IFERROR(MATCH(Q$5,'Oxford Economics'!$A$6:$AZ$6,0),MATCH(Q$5&amp;"",'Oxford Economics'!$A$6:$AZ$6,0))),'Oxford Economics'!$A$7:$A$1000,$C92,'Oxford Economics'!$B$7:$B$1000,Settings!$B$17)+IF(Settings!$B$19="",0,SUMIFS(INDEX('Oxford Economics'!$A$7:$AZ$1000,0,IFERROR(MATCH(Q$5,'Oxford Economics'!$A$6:$AZ$6,0),MATCH(Q$5&amp;"",'Oxford Economics'!$A$6:$AZ$6,0))),'Oxford Economics'!$A$7:$A$1000,$C92,'Oxford Economics'!$B$7:$B$1000,Settings!$B$19)))),""))</f>
        <v>7534.95</v>
      </c>
      <c r="R92" s="38" t="n">
        <f aca="false">IF($A92="","",IFERROR(1/(1/IF($B92="Residential",SUMIFS(INDEX('Oxford Economics'!$A$7:$AZ$1000,0,IFERROR(MATCH(R$5,'Oxford Economics'!$A$6:$AZ$6,0),MATCH(R$5&amp;"",'Oxford Economics'!$A$6:$AZ$6,0))),'Oxford Economics'!$A$7:$A$1000,$C92,'Oxford Economics'!$B$7:$B$1000,Settings!$B$13)-SUMIFS(INDEX('Oxford Economics'!$A$7:$AZ$1000,0,IFERROR(MATCH(R$5,'Oxford Economics'!$A$6:$AZ$6,0),MATCH(R$5&amp;"",'Oxford Economics'!$A$6:$AZ$6,0))),'Oxford Economics'!$A$7:$A$1000,$C92,'Oxford Economics'!$B$7:$B$1000,Settings!$B$15),SUMIFS(INDEX('Oxford Economics'!$A$7:$AZ$1000,0,IFERROR(MATCH(R$5,'Oxford Economics'!$A$6:$AZ$6,0),MATCH(R$5&amp;"",'Oxford Economics'!$A$6:$AZ$6,0))),'Oxford Economics'!$A$7:$A$1000,$C92,'Oxford Economics'!$B$7:$B$1000,Settings!$B$15)+SUMIFS(INDEX('Oxford Economics'!$A$7:$AZ$1000,0,IFERROR(MATCH(R$5,'Oxford Economics'!$A$6:$AZ$6,0),MATCH(R$5&amp;"",'Oxford Economics'!$A$6:$AZ$6,0))),'Oxford Economics'!$A$7:$A$1000,$C92,'Oxford Economics'!$B$7:$B$1000,Settings!$B$17)+IF(Settings!$B$19="",0,SUMIFS(INDEX('Oxford Economics'!$A$7:$AZ$1000,0,IFERROR(MATCH(R$5,'Oxford Economics'!$A$6:$AZ$6,0),MATCH(R$5&amp;"",'Oxford Economics'!$A$6:$AZ$6,0))),'Oxford Economics'!$A$7:$A$1000,$C92,'Oxford Economics'!$B$7:$B$1000,Settings!$B$19)))),""))</f>
        <v>7716.04</v>
      </c>
      <c r="S92" s="38" t="n">
        <f aca="false">IF($A92="","",IFERROR(1/(1/IF($B92="Residential",SUMIFS(INDEX('Oxford Economics'!$A$7:$AZ$1000,0,IFERROR(MATCH(S$5,'Oxford Economics'!$A$6:$AZ$6,0),MATCH(S$5&amp;"",'Oxford Economics'!$A$6:$AZ$6,0))),'Oxford Economics'!$A$7:$A$1000,$C92,'Oxford Economics'!$B$7:$B$1000,Settings!$B$13)-SUMIFS(INDEX('Oxford Economics'!$A$7:$AZ$1000,0,IFERROR(MATCH(S$5,'Oxford Economics'!$A$6:$AZ$6,0),MATCH(S$5&amp;"",'Oxford Economics'!$A$6:$AZ$6,0))),'Oxford Economics'!$A$7:$A$1000,$C92,'Oxford Economics'!$B$7:$B$1000,Settings!$B$15),SUMIFS(INDEX('Oxford Economics'!$A$7:$AZ$1000,0,IFERROR(MATCH(S$5,'Oxford Economics'!$A$6:$AZ$6,0),MATCH(S$5&amp;"",'Oxford Economics'!$A$6:$AZ$6,0))),'Oxford Economics'!$A$7:$A$1000,$C92,'Oxford Economics'!$B$7:$B$1000,Settings!$B$15)+SUMIFS(INDEX('Oxford Economics'!$A$7:$AZ$1000,0,IFERROR(MATCH(S$5,'Oxford Economics'!$A$6:$AZ$6,0),MATCH(S$5&amp;"",'Oxford Economics'!$A$6:$AZ$6,0))),'Oxford Economics'!$A$7:$A$1000,$C92,'Oxford Economics'!$B$7:$B$1000,Settings!$B$17)+IF(Settings!$B$19="",0,SUMIFS(INDEX('Oxford Economics'!$A$7:$AZ$1000,0,IFERROR(MATCH(S$5,'Oxford Economics'!$A$6:$AZ$6,0),MATCH(S$5&amp;"",'Oxford Economics'!$A$6:$AZ$6,0))),'Oxford Economics'!$A$7:$A$1000,$C92,'Oxford Economics'!$B$7:$B$1000,Settings!$B$19)))),""))</f>
        <v>7652.44</v>
      </c>
      <c r="T92" s="38" t="n">
        <f aca="false">IF($A92="","",IFERROR(1/(1/IF($B92="Residential",SUMIFS(INDEX('Oxford Economics'!$A$7:$AZ$1000,0,IFERROR(MATCH(T$5,'Oxford Economics'!$A$6:$AZ$6,0),MATCH(T$5&amp;"",'Oxford Economics'!$A$6:$AZ$6,0))),'Oxford Economics'!$A$7:$A$1000,$C92,'Oxford Economics'!$B$7:$B$1000,Settings!$B$13)-SUMIFS(INDEX('Oxford Economics'!$A$7:$AZ$1000,0,IFERROR(MATCH(T$5,'Oxford Economics'!$A$6:$AZ$6,0),MATCH(T$5&amp;"",'Oxford Economics'!$A$6:$AZ$6,0))),'Oxford Economics'!$A$7:$A$1000,$C92,'Oxford Economics'!$B$7:$B$1000,Settings!$B$15),SUMIFS(INDEX('Oxford Economics'!$A$7:$AZ$1000,0,IFERROR(MATCH(T$5,'Oxford Economics'!$A$6:$AZ$6,0),MATCH(T$5&amp;"",'Oxford Economics'!$A$6:$AZ$6,0))),'Oxford Economics'!$A$7:$A$1000,$C92,'Oxford Economics'!$B$7:$B$1000,Settings!$B$15)+SUMIFS(INDEX('Oxford Economics'!$A$7:$AZ$1000,0,IFERROR(MATCH(T$5,'Oxford Economics'!$A$6:$AZ$6,0),MATCH(T$5&amp;"",'Oxford Economics'!$A$6:$AZ$6,0))),'Oxford Economics'!$A$7:$A$1000,$C92,'Oxford Economics'!$B$7:$B$1000,Settings!$B$17)+IF(Settings!$B$19="",0,SUMIFS(INDEX('Oxford Economics'!$A$7:$AZ$1000,0,IFERROR(MATCH(T$5,'Oxford Economics'!$A$6:$AZ$6,0),MATCH(T$5&amp;"",'Oxford Economics'!$A$6:$AZ$6,0))),'Oxford Economics'!$A$7:$A$1000,$C92,'Oxford Economics'!$B$7:$B$1000,Settings!$B$19)))),""))</f>
        <v>7935.55</v>
      </c>
      <c r="U92" s="38" t="n">
        <f aca="false">IF($A92="","",IFERROR(1/(1/IF($B92="Residential",SUMIFS(INDEX('Oxford Economics'!$A$7:$AZ$1000,0,IFERROR(MATCH(U$5,'Oxford Economics'!$A$6:$AZ$6,0),MATCH(U$5&amp;"",'Oxford Economics'!$A$6:$AZ$6,0))),'Oxford Economics'!$A$7:$A$1000,$C92,'Oxford Economics'!$B$7:$B$1000,Settings!$B$13)-SUMIFS(INDEX('Oxford Economics'!$A$7:$AZ$1000,0,IFERROR(MATCH(U$5,'Oxford Economics'!$A$6:$AZ$6,0),MATCH(U$5&amp;"",'Oxford Economics'!$A$6:$AZ$6,0))),'Oxford Economics'!$A$7:$A$1000,$C92,'Oxford Economics'!$B$7:$B$1000,Settings!$B$15),SUMIFS(INDEX('Oxford Economics'!$A$7:$AZ$1000,0,IFERROR(MATCH(U$5,'Oxford Economics'!$A$6:$AZ$6,0),MATCH(U$5&amp;"",'Oxford Economics'!$A$6:$AZ$6,0))),'Oxford Economics'!$A$7:$A$1000,$C92,'Oxford Economics'!$B$7:$B$1000,Settings!$B$15)+SUMIFS(INDEX('Oxford Economics'!$A$7:$AZ$1000,0,IFERROR(MATCH(U$5,'Oxford Economics'!$A$6:$AZ$6,0),MATCH(U$5&amp;"",'Oxford Economics'!$A$6:$AZ$6,0))),'Oxford Economics'!$A$7:$A$1000,$C92,'Oxford Economics'!$B$7:$B$1000,Settings!$B$17)+IF(Settings!$B$19="",0,SUMIFS(INDEX('Oxford Economics'!$A$7:$AZ$1000,0,IFERROR(MATCH(U$5,'Oxford Economics'!$A$6:$AZ$6,0),MATCH(U$5&amp;"",'Oxford Economics'!$A$6:$AZ$6,0))),'Oxford Economics'!$A$7:$A$1000,$C92,'Oxford Economics'!$B$7:$B$1000,Settings!$B$19)))),""))</f>
        <v>7792.85</v>
      </c>
      <c r="V92" s="38" t="n">
        <f aca="false">IF($A92="","",IFERROR(1/(1/IF($B92="Residential",SUMIFS(INDEX('Oxford Economics'!$A$7:$AZ$1000,0,IFERROR(MATCH(V$5,'Oxford Economics'!$A$6:$AZ$6,0),MATCH(V$5&amp;"",'Oxford Economics'!$A$6:$AZ$6,0))),'Oxford Economics'!$A$7:$A$1000,$C92,'Oxford Economics'!$B$7:$B$1000,Settings!$B$13)-SUMIFS(INDEX('Oxford Economics'!$A$7:$AZ$1000,0,IFERROR(MATCH(V$5,'Oxford Economics'!$A$6:$AZ$6,0),MATCH(V$5&amp;"",'Oxford Economics'!$A$6:$AZ$6,0))),'Oxford Economics'!$A$7:$A$1000,$C92,'Oxford Economics'!$B$7:$B$1000,Settings!$B$15),SUMIFS(INDEX('Oxford Economics'!$A$7:$AZ$1000,0,IFERROR(MATCH(V$5,'Oxford Economics'!$A$6:$AZ$6,0),MATCH(V$5&amp;"",'Oxford Economics'!$A$6:$AZ$6,0))),'Oxford Economics'!$A$7:$A$1000,$C92,'Oxford Economics'!$B$7:$B$1000,Settings!$B$15)+SUMIFS(INDEX('Oxford Economics'!$A$7:$AZ$1000,0,IFERROR(MATCH(V$5,'Oxford Economics'!$A$6:$AZ$6,0),MATCH(V$5&amp;"",'Oxford Economics'!$A$6:$AZ$6,0))),'Oxford Economics'!$A$7:$A$1000,$C92,'Oxford Economics'!$B$7:$B$1000,Settings!$B$17)+IF(Settings!$B$19="",0,SUMIFS(INDEX('Oxford Economics'!$A$7:$AZ$1000,0,IFERROR(MATCH(V$5,'Oxford Economics'!$A$6:$AZ$6,0),MATCH(V$5&amp;"",'Oxford Economics'!$A$6:$AZ$6,0))),'Oxford Economics'!$A$7:$A$1000,$C92,'Oxford Economics'!$B$7:$B$1000,Settings!$B$19)))),""))</f>
        <v>7705.69</v>
      </c>
      <c r="W92" s="38" t="n">
        <f aca="false">IF($A92="","",IFERROR(1/(1/IF($B92="Residential",SUMIFS(INDEX('Oxford Economics'!$A$7:$AZ$1000,0,IFERROR(MATCH(W$5,'Oxford Economics'!$A$6:$AZ$6,0),MATCH(W$5&amp;"",'Oxford Economics'!$A$6:$AZ$6,0))),'Oxford Economics'!$A$7:$A$1000,$C92,'Oxford Economics'!$B$7:$B$1000,Settings!$B$13)-SUMIFS(INDEX('Oxford Economics'!$A$7:$AZ$1000,0,IFERROR(MATCH(W$5,'Oxford Economics'!$A$6:$AZ$6,0),MATCH(W$5&amp;"",'Oxford Economics'!$A$6:$AZ$6,0))),'Oxford Economics'!$A$7:$A$1000,$C92,'Oxford Economics'!$B$7:$B$1000,Settings!$B$15),SUMIFS(INDEX('Oxford Economics'!$A$7:$AZ$1000,0,IFERROR(MATCH(W$5,'Oxford Economics'!$A$6:$AZ$6,0),MATCH(W$5&amp;"",'Oxford Economics'!$A$6:$AZ$6,0))),'Oxford Economics'!$A$7:$A$1000,$C92,'Oxford Economics'!$B$7:$B$1000,Settings!$B$15)+SUMIFS(INDEX('Oxford Economics'!$A$7:$AZ$1000,0,IFERROR(MATCH(W$5,'Oxford Economics'!$A$6:$AZ$6,0),MATCH(W$5&amp;"",'Oxford Economics'!$A$6:$AZ$6,0))),'Oxford Economics'!$A$7:$A$1000,$C92,'Oxford Economics'!$B$7:$B$1000,Settings!$B$17)+IF(Settings!$B$19="",0,SUMIFS(INDEX('Oxford Economics'!$A$7:$AZ$1000,0,IFERROR(MATCH(W$5,'Oxford Economics'!$A$6:$AZ$6,0),MATCH(W$5&amp;"",'Oxford Economics'!$A$6:$AZ$6,0))),'Oxford Economics'!$A$7:$A$1000,$C92,'Oxford Economics'!$B$7:$B$1000,Settings!$B$19)))),""))</f>
        <v>7771.35</v>
      </c>
      <c r="X92" s="38" t="n">
        <f aca="false">IF($A92="","",IFERROR(1/(1/IF($B92="Residential",SUMIFS(INDEX('Oxford Economics'!$A$7:$AZ$1000,0,IFERROR(MATCH(X$5,'Oxford Economics'!$A$6:$AZ$6,0),MATCH(X$5&amp;"",'Oxford Economics'!$A$6:$AZ$6,0))),'Oxford Economics'!$A$7:$A$1000,$C92,'Oxford Economics'!$B$7:$B$1000,Settings!$B$13)-SUMIFS(INDEX('Oxford Economics'!$A$7:$AZ$1000,0,IFERROR(MATCH(X$5,'Oxford Economics'!$A$6:$AZ$6,0),MATCH(X$5&amp;"",'Oxford Economics'!$A$6:$AZ$6,0))),'Oxford Economics'!$A$7:$A$1000,$C92,'Oxford Economics'!$B$7:$B$1000,Settings!$B$15),SUMIFS(INDEX('Oxford Economics'!$A$7:$AZ$1000,0,IFERROR(MATCH(X$5,'Oxford Economics'!$A$6:$AZ$6,0),MATCH(X$5&amp;"",'Oxford Economics'!$A$6:$AZ$6,0))),'Oxford Economics'!$A$7:$A$1000,$C92,'Oxford Economics'!$B$7:$B$1000,Settings!$B$15)+SUMIFS(INDEX('Oxford Economics'!$A$7:$AZ$1000,0,IFERROR(MATCH(X$5,'Oxford Economics'!$A$6:$AZ$6,0),MATCH(X$5&amp;"",'Oxford Economics'!$A$6:$AZ$6,0))),'Oxford Economics'!$A$7:$A$1000,$C92,'Oxford Economics'!$B$7:$B$1000,Settings!$B$17)+IF(Settings!$B$19="",0,SUMIFS(INDEX('Oxford Economics'!$A$7:$AZ$1000,0,IFERROR(MATCH(X$5,'Oxford Economics'!$A$6:$AZ$6,0),MATCH(X$5&amp;"",'Oxford Economics'!$A$6:$AZ$6,0))),'Oxford Economics'!$A$7:$A$1000,$C92,'Oxford Economics'!$B$7:$B$1000,Settings!$B$19)))),""))</f>
        <v>8027.81</v>
      </c>
      <c r="Y92" s="38" t="n">
        <f aca="false">IF($A92="","",IFERROR(1/(1/IF($B92="Residential",SUMIFS(INDEX('Oxford Economics'!$A$7:$AZ$1000,0,IFERROR(MATCH(Y$5,'Oxford Economics'!$A$6:$AZ$6,0),MATCH(Y$5&amp;"",'Oxford Economics'!$A$6:$AZ$6,0))),'Oxford Economics'!$A$7:$A$1000,$C92,'Oxford Economics'!$B$7:$B$1000,Settings!$B$13)-SUMIFS(INDEX('Oxford Economics'!$A$7:$AZ$1000,0,IFERROR(MATCH(Y$5,'Oxford Economics'!$A$6:$AZ$6,0),MATCH(Y$5&amp;"",'Oxford Economics'!$A$6:$AZ$6,0))),'Oxford Economics'!$A$7:$A$1000,$C92,'Oxford Economics'!$B$7:$B$1000,Settings!$B$15),SUMIFS(INDEX('Oxford Economics'!$A$7:$AZ$1000,0,IFERROR(MATCH(Y$5,'Oxford Economics'!$A$6:$AZ$6,0),MATCH(Y$5&amp;"",'Oxford Economics'!$A$6:$AZ$6,0))),'Oxford Economics'!$A$7:$A$1000,$C92,'Oxford Economics'!$B$7:$B$1000,Settings!$B$15)+SUMIFS(INDEX('Oxford Economics'!$A$7:$AZ$1000,0,IFERROR(MATCH(Y$5,'Oxford Economics'!$A$6:$AZ$6,0),MATCH(Y$5&amp;"",'Oxford Economics'!$A$6:$AZ$6,0))),'Oxford Economics'!$A$7:$A$1000,$C92,'Oxford Economics'!$B$7:$B$1000,Settings!$B$17)+IF(Settings!$B$19="",0,SUMIFS(INDEX('Oxford Economics'!$A$7:$AZ$1000,0,IFERROR(MATCH(Y$5,'Oxford Economics'!$A$6:$AZ$6,0),MATCH(Y$5&amp;"",'Oxford Economics'!$A$6:$AZ$6,0))),'Oxford Economics'!$A$7:$A$1000,$C92,'Oxford Economics'!$B$7:$B$1000,Settings!$B$19)))),""))</f>
        <v>8243.27</v>
      </c>
      <c r="Z92" s="38" t="n">
        <f aca="false">IF($A92="","",IFERROR(1/(1/IF($B92="Residential",SUMIFS(INDEX('Oxford Economics'!$A$7:$AZ$1000,0,IFERROR(MATCH(Z$5,'Oxford Economics'!$A$6:$AZ$6,0),MATCH(Z$5&amp;"",'Oxford Economics'!$A$6:$AZ$6,0))),'Oxford Economics'!$A$7:$A$1000,$C92,'Oxford Economics'!$B$7:$B$1000,Settings!$B$13)-SUMIFS(INDEX('Oxford Economics'!$A$7:$AZ$1000,0,IFERROR(MATCH(Z$5,'Oxford Economics'!$A$6:$AZ$6,0),MATCH(Z$5&amp;"",'Oxford Economics'!$A$6:$AZ$6,0))),'Oxford Economics'!$A$7:$A$1000,$C92,'Oxford Economics'!$B$7:$B$1000,Settings!$B$15),SUMIFS(INDEX('Oxford Economics'!$A$7:$AZ$1000,0,IFERROR(MATCH(Z$5,'Oxford Economics'!$A$6:$AZ$6,0),MATCH(Z$5&amp;"",'Oxford Economics'!$A$6:$AZ$6,0))),'Oxford Economics'!$A$7:$A$1000,$C92,'Oxford Economics'!$B$7:$B$1000,Settings!$B$15)+SUMIFS(INDEX('Oxford Economics'!$A$7:$AZ$1000,0,IFERROR(MATCH(Z$5,'Oxford Economics'!$A$6:$AZ$6,0),MATCH(Z$5&amp;"",'Oxford Economics'!$A$6:$AZ$6,0))),'Oxford Economics'!$A$7:$A$1000,$C92,'Oxford Economics'!$B$7:$B$1000,Settings!$B$17)+IF(Settings!$B$19="",0,SUMIFS(INDEX('Oxford Economics'!$A$7:$AZ$1000,0,IFERROR(MATCH(Z$5,'Oxford Economics'!$A$6:$AZ$6,0),MATCH(Z$5&amp;"",'Oxford Economics'!$A$6:$AZ$6,0))),'Oxford Economics'!$A$7:$A$1000,$C92,'Oxford Economics'!$B$7:$B$1000,Settings!$B$19)))),""))</f>
        <v>8478.47</v>
      </c>
      <c r="AA92" s="38" t="n">
        <f aca="false">IF($A92="","",IFERROR(1/(1/IF($B92="Residential",SUMIFS(INDEX('Oxford Economics'!$A$7:$AZ$1000,0,IFERROR(MATCH(AA$5,'Oxford Economics'!$A$6:$AZ$6,0),MATCH(AA$5&amp;"",'Oxford Economics'!$A$6:$AZ$6,0))),'Oxford Economics'!$A$7:$A$1000,$C92,'Oxford Economics'!$B$7:$B$1000,Settings!$B$13)-SUMIFS(INDEX('Oxford Economics'!$A$7:$AZ$1000,0,IFERROR(MATCH(AA$5,'Oxford Economics'!$A$6:$AZ$6,0),MATCH(AA$5&amp;"",'Oxford Economics'!$A$6:$AZ$6,0))),'Oxford Economics'!$A$7:$A$1000,$C92,'Oxford Economics'!$B$7:$B$1000,Settings!$B$15),SUMIFS(INDEX('Oxford Economics'!$A$7:$AZ$1000,0,IFERROR(MATCH(AA$5,'Oxford Economics'!$A$6:$AZ$6,0),MATCH(AA$5&amp;"",'Oxford Economics'!$A$6:$AZ$6,0))),'Oxford Economics'!$A$7:$A$1000,$C92,'Oxford Economics'!$B$7:$B$1000,Settings!$B$15)+SUMIFS(INDEX('Oxford Economics'!$A$7:$AZ$1000,0,IFERROR(MATCH(AA$5,'Oxford Economics'!$A$6:$AZ$6,0),MATCH(AA$5&amp;"",'Oxford Economics'!$A$6:$AZ$6,0))),'Oxford Economics'!$A$7:$A$1000,$C92,'Oxford Economics'!$B$7:$B$1000,Settings!$B$17)+IF(Settings!$B$19="",0,SUMIFS(INDEX('Oxford Economics'!$A$7:$AZ$1000,0,IFERROR(MATCH(AA$5,'Oxford Economics'!$A$6:$AZ$6,0),MATCH(AA$5&amp;"",'Oxford Economics'!$A$6:$AZ$6,0))),'Oxford Economics'!$A$7:$A$1000,$C92,'Oxford Economics'!$B$7:$B$1000,Settings!$B$19)))),""))</f>
        <v>8599.5</v>
      </c>
      <c r="AB92" s="38" t="n">
        <f aca="false">IF($A92="","",IFERROR(1/(1/IF($B92="Residential",SUMIFS(INDEX('Oxford Economics'!$A$7:$AZ$1000,0,IFERROR(MATCH(AB$5,'Oxford Economics'!$A$6:$AZ$6,0),MATCH(AB$5&amp;"",'Oxford Economics'!$A$6:$AZ$6,0))),'Oxford Economics'!$A$7:$A$1000,$C92,'Oxford Economics'!$B$7:$B$1000,Settings!$B$12)-SUMIFS(INDEX('Oxford Economics'!$A$7:$AZ$1000,0,IFERROR(MATCH(AB$5,'Oxford Economics'!$A$6:$AZ$6,0),MATCH(AB$5&amp;"",'Oxford Economics'!$A$6:$AZ$6,0))),'Oxford Economics'!$A$7:$A$1000,$C92,'Oxford Economics'!$B$7:$B$1000,Settings!$B$14),SUMIFS(INDEX('Oxford Economics'!$A$7:$AZ$1000,0,IFERROR(MATCH(AB$5,'Oxford Economics'!$A$6:$AZ$6,0),MATCH(AB$5&amp;"",'Oxford Economics'!$A$6:$AZ$6,0))),'Oxford Economics'!$A$7:$A$1000,$C92,'Oxford Economics'!$B$7:$B$1000,Settings!$B$14)+SUMIFS(INDEX('Oxford Economics'!$A$7:$AZ$1000,0,IFERROR(MATCH(AB$5,'Oxford Economics'!$A$6:$AZ$6,0),MATCH(AB$5&amp;"",'Oxford Economics'!$A$6:$AZ$6,0))),'Oxford Economics'!$A$7:$A$1000,$C92,'Oxford Economics'!$B$7:$B$1000,Settings!$B$16)+IF(Settings!$B$18="",0,SUMIFS(INDEX('Oxford Economics'!$A$7:$AZ$1000,0,IFERROR(MATCH(AB$5,'Oxford Economics'!$A$6:$AZ$6,0),MATCH(AB$5&amp;"",'Oxford Economics'!$A$6:$AZ$6,0))),'Oxford Economics'!$A$7:$A$1000,$C92,'Oxford Economics'!$B$7:$B$1000,Settings!$B$18)))),""))</f>
        <v>3615.32</v>
      </c>
      <c r="AC92" s="38" t="n">
        <f aca="false">IF($A92="","",IFERROR(1/(1/IF($B92="Residential",SUMIFS(INDEX('Oxford Economics'!$A$7:$AZ$1000,0,IFERROR(MATCH(AC$5,'Oxford Economics'!$A$6:$AZ$6,0),MATCH(AC$5&amp;"",'Oxford Economics'!$A$6:$AZ$6,0))),'Oxford Economics'!$A$7:$A$1000,$C92,'Oxford Economics'!$B$7:$B$1000,Settings!$B$12)-SUMIFS(INDEX('Oxford Economics'!$A$7:$AZ$1000,0,IFERROR(MATCH(AC$5,'Oxford Economics'!$A$6:$AZ$6,0),MATCH(AC$5&amp;"",'Oxford Economics'!$A$6:$AZ$6,0))),'Oxford Economics'!$A$7:$A$1000,$C92,'Oxford Economics'!$B$7:$B$1000,Settings!$B$14),SUMIFS(INDEX('Oxford Economics'!$A$7:$AZ$1000,0,IFERROR(MATCH(AC$5,'Oxford Economics'!$A$6:$AZ$6,0),MATCH(AC$5&amp;"",'Oxford Economics'!$A$6:$AZ$6,0))),'Oxford Economics'!$A$7:$A$1000,$C92,'Oxford Economics'!$B$7:$B$1000,Settings!$B$14)+SUMIFS(INDEX('Oxford Economics'!$A$7:$AZ$1000,0,IFERROR(MATCH(AC$5,'Oxford Economics'!$A$6:$AZ$6,0),MATCH(AC$5&amp;"",'Oxford Economics'!$A$6:$AZ$6,0))),'Oxford Economics'!$A$7:$A$1000,$C92,'Oxford Economics'!$B$7:$B$1000,Settings!$B$16)+IF(Settings!$B$18="",0,SUMIFS(INDEX('Oxford Economics'!$A$7:$AZ$1000,0,IFERROR(MATCH(AC$5,'Oxford Economics'!$A$6:$AZ$6,0),MATCH(AC$5&amp;"",'Oxford Economics'!$A$6:$AZ$6,0))),'Oxford Economics'!$A$7:$A$1000,$C92,'Oxford Economics'!$B$7:$B$1000,Settings!$B$18)))),""))</f>
        <v>3687.09</v>
      </c>
      <c r="AD92" s="38" t="n">
        <f aca="false">IF($A92="","",IFERROR(1/(1/IF($B92="Residential",SUMIFS(INDEX('Oxford Economics'!$A$7:$AZ$1000,0,IFERROR(MATCH(AD$5,'Oxford Economics'!$A$6:$AZ$6,0),MATCH(AD$5&amp;"",'Oxford Economics'!$A$6:$AZ$6,0))),'Oxford Economics'!$A$7:$A$1000,$C92,'Oxford Economics'!$B$7:$B$1000,Settings!$B$12)-SUMIFS(INDEX('Oxford Economics'!$A$7:$AZ$1000,0,IFERROR(MATCH(AD$5,'Oxford Economics'!$A$6:$AZ$6,0),MATCH(AD$5&amp;"",'Oxford Economics'!$A$6:$AZ$6,0))),'Oxford Economics'!$A$7:$A$1000,$C92,'Oxford Economics'!$B$7:$B$1000,Settings!$B$14),SUMIFS(INDEX('Oxford Economics'!$A$7:$AZ$1000,0,IFERROR(MATCH(AD$5,'Oxford Economics'!$A$6:$AZ$6,0),MATCH(AD$5&amp;"",'Oxford Economics'!$A$6:$AZ$6,0))),'Oxford Economics'!$A$7:$A$1000,$C92,'Oxford Economics'!$B$7:$B$1000,Settings!$B$14)+SUMIFS(INDEX('Oxford Economics'!$A$7:$AZ$1000,0,IFERROR(MATCH(AD$5,'Oxford Economics'!$A$6:$AZ$6,0),MATCH(AD$5&amp;"",'Oxford Economics'!$A$6:$AZ$6,0))),'Oxford Economics'!$A$7:$A$1000,$C92,'Oxford Economics'!$B$7:$B$1000,Settings!$B$16)+IF(Settings!$B$18="",0,SUMIFS(INDEX('Oxford Economics'!$A$7:$AZ$1000,0,IFERROR(MATCH(AD$5,'Oxford Economics'!$A$6:$AZ$6,0),MATCH(AD$5&amp;"",'Oxford Economics'!$A$6:$AZ$6,0))),'Oxford Economics'!$A$7:$A$1000,$C92,'Oxford Economics'!$B$7:$B$1000,Settings!$B$18)))),""))</f>
        <v>3499.09</v>
      </c>
      <c r="AE92" s="38" t="n">
        <f aca="false">IF($A92="","",IFERROR(1/(1/IF($B92="Residential",SUMIFS(INDEX('Oxford Economics'!$A$7:$AZ$1000,0,IFERROR(MATCH(AE$5,'Oxford Economics'!$A$6:$AZ$6,0),MATCH(AE$5&amp;"",'Oxford Economics'!$A$6:$AZ$6,0))),'Oxford Economics'!$A$7:$A$1000,$C92,'Oxford Economics'!$B$7:$B$1000,Settings!$B$12)-SUMIFS(INDEX('Oxford Economics'!$A$7:$AZ$1000,0,IFERROR(MATCH(AE$5,'Oxford Economics'!$A$6:$AZ$6,0),MATCH(AE$5&amp;"",'Oxford Economics'!$A$6:$AZ$6,0))),'Oxford Economics'!$A$7:$A$1000,$C92,'Oxford Economics'!$B$7:$B$1000,Settings!$B$14),SUMIFS(INDEX('Oxford Economics'!$A$7:$AZ$1000,0,IFERROR(MATCH(AE$5,'Oxford Economics'!$A$6:$AZ$6,0),MATCH(AE$5&amp;"",'Oxford Economics'!$A$6:$AZ$6,0))),'Oxford Economics'!$A$7:$A$1000,$C92,'Oxford Economics'!$B$7:$B$1000,Settings!$B$14)+SUMIFS(INDEX('Oxford Economics'!$A$7:$AZ$1000,0,IFERROR(MATCH(AE$5,'Oxford Economics'!$A$6:$AZ$6,0),MATCH(AE$5&amp;"",'Oxford Economics'!$A$6:$AZ$6,0))),'Oxford Economics'!$A$7:$A$1000,$C92,'Oxford Economics'!$B$7:$B$1000,Settings!$B$16)+IF(Settings!$B$18="",0,SUMIFS(INDEX('Oxford Economics'!$A$7:$AZ$1000,0,IFERROR(MATCH(AE$5,'Oxford Economics'!$A$6:$AZ$6,0),MATCH(AE$5&amp;"",'Oxford Economics'!$A$6:$AZ$6,0))),'Oxford Economics'!$A$7:$A$1000,$C92,'Oxford Economics'!$B$7:$B$1000,Settings!$B$18)))),""))</f>
        <v>3293.93</v>
      </c>
      <c r="AF92" s="38" t="n">
        <f aca="false">IF($A92="","",IFERROR(1/(1/IF($B92="Residential",SUMIFS(INDEX('Oxford Economics'!$A$7:$AZ$1000,0,IFERROR(MATCH(AF$5,'Oxford Economics'!$A$6:$AZ$6,0),MATCH(AF$5&amp;"",'Oxford Economics'!$A$6:$AZ$6,0))),'Oxford Economics'!$A$7:$A$1000,$C92,'Oxford Economics'!$B$7:$B$1000,Settings!$B$12)-SUMIFS(INDEX('Oxford Economics'!$A$7:$AZ$1000,0,IFERROR(MATCH(AF$5,'Oxford Economics'!$A$6:$AZ$6,0),MATCH(AF$5&amp;"",'Oxford Economics'!$A$6:$AZ$6,0))),'Oxford Economics'!$A$7:$A$1000,$C92,'Oxford Economics'!$B$7:$B$1000,Settings!$B$14),SUMIFS(INDEX('Oxford Economics'!$A$7:$AZ$1000,0,IFERROR(MATCH(AF$5,'Oxford Economics'!$A$6:$AZ$6,0),MATCH(AF$5&amp;"",'Oxford Economics'!$A$6:$AZ$6,0))),'Oxford Economics'!$A$7:$A$1000,$C92,'Oxford Economics'!$B$7:$B$1000,Settings!$B$14)+SUMIFS(INDEX('Oxford Economics'!$A$7:$AZ$1000,0,IFERROR(MATCH(AF$5,'Oxford Economics'!$A$6:$AZ$6,0),MATCH(AF$5&amp;"",'Oxford Economics'!$A$6:$AZ$6,0))),'Oxford Economics'!$A$7:$A$1000,$C92,'Oxford Economics'!$B$7:$B$1000,Settings!$B$16)+IF(Settings!$B$18="",0,SUMIFS(INDEX('Oxford Economics'!$A$7:$AZ$1000,0,IFERROR(MATCH(AF$5,'Oxford Economics'!$A$6:$AZ$6,0),MATCH(AF$5&amp;"",'Oxford Economics'!$A$6:$AZ$6,0))),'Oxford Economics'!$A$7:$A$1000,$C92,'Oxford Economics'!$B$7:$B$1000,Settings!$B$18)))),""))</f>
        <v>3047.54</v>
      </c>
      <c r="AG92" s="38" t="n">
        <f aca="false">IF($A92="","",IFERROR(1/(1/IF($B92="Residential",SUMIFS(INDEX('Oxford Economics'!$A$7:$AZ$1000,0,IFERROR(MATCH(AG$5,'Oxford Economics'!$A$6:$AZ$6,0),MATCH(AG$5&amp;"",'Oxford Economics'!$A$6:$AZ$6,0))),'Oxford Economics'!$A$7:$A$1000,$C92,'Oxford Economics'!$B$7:$B$1000,Settings!$B$12)-SUMIFS(INDEX('Oxford Economics'!$A$7:$AZ$1000,0,IFERROR(MATCH(AG$5,'Oxford Economics'!$A$6:$AZ$6,0),MATCH(AG$5&amp;"",'Oxford Economics'!$A$6:$AZ$6,0))),'Oxford Economics'!$A$7:$A$1000,$C92,'Oxford Economics'!$B$7:$B$1000,Settings!$B$14),SUMIFS(INDEX('Oxford Economics'!$A$7:$AZ$1000,0,IFERROR(MATCH(AG$5,'Oxford Economics'!$A$6:$AZ$6,0),MATCH(AG$5&amp;"",'Oxford Economics'!$A$6:$AZ$6,0))),'Oxford Economics'!$A$7:$A$1000,$C92,'Oxford Economics'!$B$7:$B$1000,Settings!$B$14)+SUMIFS(INDEX('Oxford Economics'!$A$7:$AZ$1000,0,IFERROR(MATCH(AG$5,'Oxford Economics'!$A$6:$AZ$6,0),MATCH(AG$5&amp;"",'Oxford Economics'!$A$6:$AZ$6,0))),'Oxford Economics'!$A$7:$A$1000,$C92,'Oxford Economics'!$B$7:$B$1000,Settings!$B$16)+IF(Settings!$B$18="",0,SUMIFS(INDEX('Oxford Economics'!$A$7:$AZ$1000,0,IFERROR(MATCH(AG$5,'Oxford Economics'!$A$6:$AZ$6,0),MATCH(AG$5&amp;"",'Oxford Economics'!$A$6:$AZ$6,0))),'Oxford Economics'!$A$7:$A$1000,$C92,'Oxford Economics'!$B$7:$B$1000,Settings!$B$18)))),""))</f>
        <v>2810.45</v>
      </c>
      <c r="AH92" s="38" t="n">
        <f aca="false">IF($A92="","",IFERROR(1/(1/IF($B92="Residential",SUMIFS(INDEX('Oxford Economics'!$A$7:$AZ$1000,0,IFERROR(MATCH(AH$5,'Oxford Economics'!$A$6:$AZ$6,0),MATCH(AH$5&amp;"",'Oxford Economics'!$A$6:$AZ$6,0))),'Oxford Economics'!$A$7:$A$1000,$C92,'Oxford Economics'!$B$7:$B$1000,Settings!$B$12)-SUMIFS(INDEX('Oxford Economics'!$A$7:$AZ$1000,0,IFERROR(MATCH(AH$5,'Oxford Economics'!$A$6:$AZ$6,0),MATCH(AH$5&amp;"",'Oxford Economics'!$A$6:$AZ$6,0))),'Oxford Economics'!$A$7:$A$1000,$C92,'Oxford Economics'!$B$7:$B$1000,Settings!$B$14),SUMIFS(INDEX('Oxford Economics'!$A$7:$AZ$1000,0,IFERROR(MATCH(AH$5,'Oxford Economics'!$A$6:$AZ$6,0),MATCH(AH$5&amp;"",'Oxford Economics'!$A$6:$AZ$6,0))),'Oxford Economics'!$A$7:$A$1000,$C92,'Oxford Economics'!$B$7:$B$1000,Settings!$B$14)+SUMIFS(INDEX('Oxford Economics'!$A$7:$AZ$1000,0,IFERROR(MATCH(AH$5,'Oxford Economics'!$A$6:$AZ$6,0),MATCH(AH$5&amp;"",'Oxford Economics'!$A$6:$AZ$6,0))),'Oxford Economics'!$A$7:$A$1000,$C92,'Oxford Economics'!$B$7:$B$1000,Settings!$B$16)+IF(Settings!$B$18="",0,SUMIFS(INDEX('Oxford Economics'!$A$7:$AZ$1000,0,IFERROR(MATCH(AH$5,'Oxford Economics'!$A$6:$AZ$6,0),MATCH(AH$5&amp;"",'Oxford Economics'!$A$6:$AZ$6,0))),'Oxford Economics'!$A$7:$A$1000,$C92,'Oxford Economics'!$B$7:$B$1000,Settings!$B$18)))),""))</f>
        <v>2578.82</v>
      </c>
      <c r="AI92" s="38" t="n">
        <f aca="false">IF($A92="","",IFERROR(1/(1/IF($B92="Residential",SUMIFS(INDEX('Oxford Economics'!$A$7:$AZ$1000,0,IFERROR(MATCH(AI$5,'Oxford Economics'!$A$6:$AZ$6,0),MATCH(AI$5&amp;"",'Oxford Economics'!$A$6:$AZ$6,0))),'Oxford Economics'!$A$7:$A$1000,$C92,'Oxford Economics'!$B$7:$B$1000,Settings!$B$12)-SUMIFS(INDEX('Oxford Economics'!$A$7:$AZ$1000,0,IFERROR(MATCH(AI$5,'Oxford Economics'!$A$6:$AZ$6,0),MATCH(AI$5&amp;"",'Oxford Economics'!$A$6:$AZ$6,0))),'Oxford Economics'!$A$7:$A$1000,$C92,'Oxford Economics'!$B$7:$B$1000,Settings!$B$14),SUMIFS(INDEX('Oxford Economics'!$A$7:$AZ$1000,0,IFERROR(MATCH(AI$5,'Oxford Economics'!$A$6:$AZ$6,0),MATCH(AI$5&amp;"",'Oxford Economics'!$A$6:$AZ$6,0))),'Oxford Economics'!$A$7:$A$1000,$C92,'Oxford Economics'!$B$7:$B$1000,Settings!$B$14)+SUMIFS(INDEX('Oxford Economics'!$A$7:$AZ$1000,0,IFERROR(MATCH(AI$5,'Oxford Economics'!$A$6:$AZ$6,0),MATCH(AI$5&amp;"",'Oxford Economics'!$A$6:$AZ$6,0))),'Oxford Economics'!$A$7:$A$1000,$C92,'Oxford Economics'!$B$7:$B$1000,Settings!$B$16)+IF(Settings!$B$18="",0,SUMIFS(INDEX('Oxford Economics'!$A$7:$AZ$1000,0,IFERROR(MATCH(AI$5,'Oxford Economics'!$A$6:$AZ$6,0),MATCH(AI$5&amp;"",'Oxford Economics'!$A$6:$AZ$6,0))),'Oxford Economics'!$A$7:$A$1000,$C92,'Oxford Economics'!$B$7:$B$1000,Settings!$B$18)))),""))</f>
        <v>2590.18</v>
      </c>
      <c r="AJ92" s="38" t="n">
        <f aca="false">IF($A92="","",IFERROR(1/(1/IF($B92="Residential",SUMIFS(INDEX('Oxford Economics'!$A$7:$AZ$1000,0,IFERROR(MATCH(AJ$5,'Oxford Economics'!$A$6:$AZ$6,0),MATCH(AJ$5&amp;"",'Oxford Economics'!$A$6:$AZ$6,0))),'Oxford Economics'!$A$7:$A$1000,$C92,'Oxford Economics'!$B$7:$B$1000,Settings!$B$12)-SUMIFS(INDEX('Oxford Economics'!$A$7:$AZ$1000,0,IFERROR(MATCH(AJ$5,'Oxford Economics'!$A$6:$AZ$6,0),MATCH(AJ$5&amp;"",'Oxford Economics'!$A$6:$AZ$6,0))),'Oxford Economics'!$A$7:$A$1000,$C92,'Oxford Economics'!$B$7:$B$1000,Settings!$B$14),SUMIFS(INDEX('Oxford Economics'!$A$7:$AZ$1000,0,IFERROR(MATCH(AJ$5,'Oxford Economics'!$A$6:$AZ$6,0),MATCH(AJ$5&amp;"",'Oxford Economics'!$A$6:$AZ$6,0))),'Oxford Economics'!$A$7:$A$1000,$C92,'Oxford Economics'!$B$7:$B$1000,Settings!$B$14)+SUMIFS(INDEX('Oxford Economics'!$A$7:$AZ$1000,0,IFERROR(MATCH(AJ$5,'Oxford Economics'!$A$6:$AZ$6,0),MATCH(AJ$5&amp;"",'Oxford Economics'!$A$6:$AZ$6,0))),'Oxford Economics'!$A$7:$A$1000,$C92,'Oxford Economics'!$B$7:$B$1000,Settings!$B$16)+IF(Settings!$B$18="",0,SUMIFS(INDEX('Oxford Economics'!$A$7:$AZ$1000,0,IFERROR(MATCH(AJ$5,'Oxford Economics'!$A$6:$AZ$6,0),MATCH(AJ$5&amp;"",'Oxford Economics'!$A$6:$AZ$6,0))),'Oxford Economics'!$A$7:$A$1000,$C92,'Oxford Economics'!$B$7:$B$1000,Settings!$B$18)))),""))</f>
        <v>2646.71</v>
      </c>
      <c r="AK92" s="38" t="n">
        <f aca="false">IF($A92="","",IFERROR(1/(1/IF($B92="Residential",SUMIFS(INDEX('Oxford Economics'!$A$7:$AZ$1000,0,IFERROR(MATCH(AK$5,'Oxford Economics'!$A$6:$AZ$6,0),MATCH(AK$5&amp;"",'Oxford Economics'!$A$6:$AZ$6,0))),'Oxford Economics'!$A$7:$A$1000,$C92,'Oxford Economics'!$B$7:$B$1000,Settings!$B$12)-SUMIFS(INDEX('Oxford Economics'!$A$7:$AZ$1000,0,IFERROR(MATCH(AK$5,'Oxford Economics'!$A$6:$AZ$6,0),MATCH(AK$5&amp;"",'Oxford Economics'!$A$6:$AZ$6,0))),'Oxford Economics'!$A$7:$A$1000,$C92,'Oxford Economics'!$B$7:$B$1000,Settings!$B$14),SUMIFS(INDEX('Oxford Economics'!$A$7:$AZ$1000,0,IFERROR(MATCH(AK$5,'Oxford Economics'!$A$6:$AZ$6,0),MATCH(AK$5&amp;"",'Oxford Economics'!$A$6:$AZ$6,0))),'Oxford Economics'!$A$7:$A$1000,$C92,'Oxford Economics'!$B$7:$B$1000,Settings!$B$14)+SUMIFS(INDEX('Oxford Economics'!$A$7:$AZ$1000,0,IFERROR(MATCH(AK$5,'Oxford Economics'!$A$6:$AZ$6,0),MATCH(AK$5&amp;"",'Oxford Economics'!$A$6:$AZ$6,0))),'Oxford Economics'!$A$7:$A$1000,$C92,'Oxford Economics'!$B$7:$B$1000,Settings!$B$16)+IF(Settings!$B$18="",0,SUMIFS(INDEX('Oxford Economics'!$A$7:$AZ$1000,0,IFERROR(MATCH(AK$5,'Oxford Economics'!$A$6:$AZ$6,0),MATCH(AK$5&amp;"",'Oxford Economics'!$A$6:$AZ$6,0))),'Oxford Economics'!$A$7:$A$1000,$C92,'Oxford Economics'!$B$7:$B$1000,Settings!$B$18)))),""))</f>
        <v>2699.42</v>
      </c>
      <c r="AL92" s="38" t="n">
        <f aca="false">IF($A92="","",IFERROR(1/(1/IF($B92="Residential",SUMIFS(INDEX('Oxford Economics'!$A$7:$AZ$1000,0,IFERROR(MATCH(AL$5,'Oxford Economics'!$A$6:$AZ$6,0),MATCH(AL$5&amp;"",'Oxford Economics'!$A$6:$AZ$6,0))),'Oxford Economics'!$A$7:$A$1000,$C92,'Oxford Economics'!$B$7:$B$1000,Settings!$B$12)-SUMIFS(INDEX('Oxford Economics'!$A$7:$AZ$1000,0,IFERROR(MATCH(AL$5,'Oxford Economics'!$A$6:$AZ$6,0),MATCH(AL$5&amp;"",'Oxford Economics'!$A$6:$AZ$6,0))),'Oxford Economics'!$A$7:$A$1000,$C92,'Oxford Economics'!$B$7:$B$1000,Settings!$B$14),SUMIFS(INDEX('Oxford Economics'!$A$7:$AZ$1000,0,IFERROR(MATCH(AL$5,'Oxford Economics'!$A$6:$AZ$6,0),MATCH(AL$5&amp;"",'Oxford Economics'!$A$6:$AZ$6,0))),'Oxford Economics'!$A$7:$A$1000,$C92,'Oxford Economics'!$B$7:$B$1000,Settings!$B$14)+SUMIFS(INDEX('Oxford Economics'!$A$7:$AZ$1000,0,IFERROR(MATCH(AL$5,'Oxford Economics'!$A$6:$AZ$6,0),MATCH(AL$5&amp;"",'Oxford Economics'!$A$6:$AZ$6,0))),'Oxford Economics'!$A$7:$A$1000,$C92,'Oxford Economics'!$B$7:$B$1000,Settings!$B$16)+IF(Settings!$B$18="",0,SUMIFS(INDEX('Oxford Economics'!$A$7:$AZ$1000,0,IFERROR(MATCH(AL$5,'Oxford Economics'!$A$6:$AZ$6,0),MATCH(AL$5&amp;"",'Oxford Economics'!$A$6:$AZ$6,0))),'Oxford Economics'!$A$7:$A$1000,$C92,'Oxford Economics'!$B$7:$B$1000,Settings!$B$18)))),""))</f>
        <v>2785.67</v>
      </c>
      <c r="AM92" s="38" t="n">
        <f aca="false">IF($A92="","",IFERROR(1/(1/IF($B92="Residential",SUMIFS(INDEX('Oxford Economics'!$A$7:$AZ$1000,0,IFERROR(MATCH(AM$5,'Oxford Economics'!$A$6:$AZ$6,0),MATCH(AM$5&amp;"",'Oxford Economics'!$A$6:$AZ$6,0))),'Oxford Economics'!$A$7:$A$1000,$C92,'Oxford Economics'!$B$7:$B$1000,Settings!$B$12)-SUMIFS(INDEX('Oxford Economics'!$A$7:$AZ$1000,0,IFERROR(MATCH(AM$5,'Oxford Economics'!$A$6:$AZ$6,0),MATCH(AM$5&amp;"",'Oxford Economics'!$A$6:$AZ$6,0))),'Oxford Economics'!$A$7:$A$1000,$C92,'Oxford Economics'!$B$7:$B$1000,Settings!$B$14),SUMIFS(INDEX('Oxford Economics'!$A$7:$AZ$1000,0,IFERROR(MATCH(AM$5,'Oxford Economics'!$A$6:$AZ$6,0),MATCH(AM$5&amp;"",'Oxford Economics'!$A$6:$AZ$6,0))),'Oxford Economics'!$A$7:$A$1000,$C92,'Oxford Economics'!$B$7:$B$1000,Settings!$B$14)+SUMIFS(INDEX('Oxford Economics'!$A$7:$AZ$1000,0,IFERROR(MATCH(AM$5,'Oxford Economics'!$A$6:$AZ$6,0),MATCH(AM$5&amp;"",'Oxford Economics'!$A$6:$AZ$6,0))),'Oxford Economics'!$A$7:$A$1000,$C92,'Oxford Economics'!$B$7:$B$1000,Settings!$B$16)+IF(Settings!$B$18="",0,SUMIFS(INDEX('Oxford Economics'!$A$7:$AZ$1000,0,IFERROR(MATCH(AM$5,'Oxford Economics'!$A$6:$AZ$6,0),MATCH(AM$5&amp;"",'Oxford Economics'!$A$6:$AZ$6,0))),'Oxford Economics'!$A$7:$A$1000,$C92,'Oxford Economics'!$B$7:$B$1000,Settings!$B$18)))),""))</f>
        <v>2915.12</v>
      </c>
    </row>
    <row r="93" customFormat="false" ht="15" hidden="false" customHeight="false" outlineLevel="0" collapsed="false">
      <c r="A93" s="37" t="str">
        <f aca="false">IF('Raw data'!$A93="","",'Raw data'!$A93)</f>
        <v>Belgium</v>
      </c>
      <c r="B93" s="37" t="str">
        <f aca="false">IF($A93="","",'Raw data'!$C93)</f>
        <v>Commercial</v>
      </c>
      <c r="C93" s="37" t="str">
        <f aca="false">IF($A93="","",IF('Raw data'!$E93="",$A93,'Raw data'!$E93))</f>
        <v>Belgium</v>
      </c>
      <c r="D93" s="38" t="n">
        <f aca="false">IF($A93="","",IF(AND(ISNUMBER(P93),ISNUMBER(AB93)),P93+AB93,""))</f>
        <v>17300.38</v>
      </c>
      <c r="E93" s="38" t="n">
        <f aca="false">IF($A93="","",IF(AND(ISNUMBER(Q93),ISNUMBER(AC93)),Q93+AC93,""))</f>
        <v>19088.24</v>
      </c>
      <c r="F93" s="38" t="n">
        <f aca="false">IF($A93="","",IF(AND(ISNUMBER(R93),ISNUMBER(AD93)),R93+AD93,""))</f>
        <v>19168.47</v>
      </c>
      <c r="G93" s="38" t="n">
        <f aca="false">IF($A93="","",IF(AND(ISNUMBER(S93),ISNUMBER(AE93)),S93+AE93,""))</f>
        <v>19053.98</v>
      </c>
      <c r="H93" s="38" t="n">
        <f aca="false">IF($A93="","",IF(AND(ISNUMBER(T93),ISNUMBER(AF93)),T93+AF93,""))</f>
        <v>19369.15</v>
      </c>
      <c r="I93" s="38" t="n">
        <f aca="false">IF($A93="","",IF(AND(ISNUMBER(U93),ISNUMBER(AG93)),U93+AG93,""))</f>
        <v>19662.69</v>
      </c>
      <c r="J93" s="38" t="n">
        <f aca="false">IF($A93="","",IF(AND(ISNUMBER(V93),ISNUMBER(AH93)),V93+AH93,""))</f>
        <v>20019.05</v>
      </c>
      <c r="K93" s="38" t="n">
        <f aca="false">IF($A93="","",IF(AND(ISNUMBER(W93),ISNUMBER(AI93)),W93+AI93,""))</f>
        <v>20604.01</v>
      </c>
      <c r="L93" s="38" t="n">
        <f aca="false">IF($A93="","",IF(AND(ISNUMBER(X93),ISNUMBER(AJ93)),X93+AJ93,""))</f>
        <v>21200.93</v>
      </c>
      <c r="M93" s="38" t="n">
        <f aca="false">IF($A93="","",IF(AND(ISNUMBER(Y93),ISNUMBER(AK93)),Y93+AK93,""))</f>
        <v>21886.6</v>
      </c>
      <c r="N93" s="38" t="n">
        <f aca="false">IF($A93="","",IF(AND(ISNUMBER(Z93),ISNUMBER(AL93)),Z93+AL93,""))</f>
        <v>22592.07</v>
      </c>
      <c r="O93" s="38" t="n">
        <f aca="false">IF($A93="","",IF(AND(ISNUMBER(AA93),ISNUMBER(AM93)),AA93+AM93,""))</f>
        <v>23279.84</v>
      </c>
      <c r="P93" s="38" t="n">
        <f aca="false">IF($A93="","",IFERROR(1/(1/IF($B93="Residential",SUMIFS(INDEX('Oxford Economics'!$A$7:$AZ$1000,0,IFERROR(MATCH(P$5,'Oxford Economics'!$A$6:$AZ$6,0),MATCH(P$5&amp;"",'Oxford Economics'!$A$6:$AZ$6,0))),'Oxford Economics'!$A$7:$A$1000,$C93,'Oxford Economics'!$B$7:$B$1000,Settings!$B$13)-SUMIFS(INDEX('Oxford Economics'!$A$7:$AZ$1000,0,IFERROR(MATCH(P$5,'Oxford Economics'!$A$6:$AZ$6,0),MATCH(P$5&amp;"",'Oxford Economics'!$A$6:$AZ$6,0))),'Oxford Economics'!$A$7:$A$1000,$C93,'Oxford Economics'!$B$7:$B$1000,Settings!$B$15),SUMIFS(INDEX('Oxford Economics'!$A$7:$AZ$1000,0,IFERROR(MATCH(P$5,'Oxford Economics'!$A$6:$AZ$6,0),MATCH(P$5&amp;"",'Oxford Economics'!$A$6:$AZ$6,0))),'Oxford Economics'!$A$7:$A$1000,$C93,'Oxford Economics'!$B$7:$B$1000,Settings!$B$15)+SUMIFS(INDEX('Oxford Economics'!$A$7:$AZ$1000,0,IFERROR(MATCH(P$5,'Oxford Economics'!$A$6:$AZ$6,0),MATCH(P$5&amp;"",'Oxford Economics'!$A$6:$AZ$6,0))),'Oxford Economics'!$A$7:$A$1000,$C93,'Oxford Economics'!$B$7:$B$1000,Settings!$B$17)+IF(Settings!$B$19="",0,SUMIFS(INDEX('Oxford Economics'!$A$7:$AZ$1000,0,IFERROR(MATCH(P$5,'Oxford Economics'!$A$6:$AZ$6,0),MATCH(P$5&amp;"",'Oxford Economics'!$A$6:$AZ$6,0))),'Oxford Economics'!$A$7:$A$1000,$C93,'Oxford Economics'!$B$7:$B$1000,Settings!$B$19)))),""))</f>
        <v>9544.66</v>
      </c>
      <c r="Q93" s="38" t="n">
        <f aca="false">IF($A93="","",IFERROR(1/(1/IF($B93="Residential",SUMIFS(INDEX('Oxford Economics'!$A$7:$AZ$1000,0,IFERROR(MATCH(Q$5,'Oxford Economics'!$A$6:$AZ$6,0),MATCH(Q$5&amp;"",'Oxford Economics'!$A$6:$AZ$6,0))),'Oxford Economics'!$A$7:$A$1000,$C93,'Oxford Economics'!$B$7:$B$1000,Settings!$B$13)-SUMIFS(INDEX('Oxford Economics'!$A$7:$AZ$1000,0,IFERROR(MATCH(Q$5,'Oxford Economics'!$A$6:$AZ$6,0),MATCH(Q$5&amp;"",'Oxford Economics'!$A$6:$AZ$6,0))),'Oxford Economics'!$A$7:$A$1000,$C93,'Oxford Economics'!$B$7:$B$1000,Settings!$B$15),SUMIFS(INDEX('Oxford Economics'!$A$7:$AZ$1000,0,IFERROR(MATCH(Q$5,'Oxford Economics'!$A$6:$AZ$6,0),MATCH(Q$5&amp;"",'Oxford Economics'!$A$6:$AZ$6,0))),'Oxford Economics'!$A$7:$A$1000,$C93,'Oxford Economics'!$B$7:$B$1000,Settings!$B$15)+SUMIFS(INDEX('Oxford Economics'!$A$7:$AZ$1000,0,IFERROR(MATCH(Q$5,'Oxford Economics'!$A$6:$AZ$6,0),MATCH(Q$5&amp;"",'Oxford Economics'!$A$6:$AZ$6,0))),'Oxford Economics'!$A$7:$A$1000,$C93,'Oxford Economics'!$B$7:$B$1000,Settings!$B$17)+IF(Settings!$B$19="",0,SUMIFS(INDEX('Oxford Economics'!$A$7:$AZ$1000,0,IFERROR(MATCH(Q$5,'Oxford Economics'!$A$6:$AZ$6,0),MATCH(Q$5&amp;"",'Oxford Economics'!$A$6:$AZ$6,0))),'Oxford Economics'!$A$7:$A$1000,$C93,'Oxford Economics'!$B$7:$B$1000,Settings!$B$19)))),""))</f>
        <v>10726.92</v>
      </c>
      <c r="R93" s="38" t="n">
        <f aca="false">IF($A93="","",IFERROR(1/(1/IF($B93="Residential",SUMIFS(INDEX('Oxford Economics'!$A$7:$AZ$1000,0,IFERROR(MATCH(R$5,'Oxford Economics'!$A$6:$AZ$6,0),MATCH(R$5&amp;"",'Oxford Economics'!$A$6:$AZ$6,0))),'Oxford Economics'!$A$7:$A$1000,$C93,'Oxford Economics'!$B$7:$B$1000,Settings!$B$13)-SUMIFS(INDEX('Oxford Economics'!$A$7:$AZ$1000,0,IFERROR(MATCH(R$5,'Oxford Economics'!$A$6:$AZ$6,0),MATCH(R$5&amp;"",'Oxford Economics'!$A$6:$AZ$6,0))),'Oxford Economics'!$A$7:$A$1000,$C93,'Oxford Economics'!$B$7:$B$1000,Settings!$B$15),SUMIFS(INDEX('Oxford Economics'!$A$7:$AZ$1000,0,IFERROR(MATCH(R$5,'Oxford Economics'!$A$6:$AZ$6,0),MATCH(R$5&amp;"",'Oxford Economics'!$A$6:$AZ$6,0))),'Oxford Economics'!$A$7:$A$1000,$C93,'Oxford Economics'!$B$7:$B$1000,Settings!$B$15)+SUMIFS(INDEX('Oxford Economics'!$A$7:$AZ$1000,0,IFERROR(MATCH(R$5,'Oxford Economics'!$A$6:$AZ$6,0),MATCH(R$5&amp;"",'Oxford Economics'!$A$6:$AZ$6,0))),'Oxford Economics'!$A$7:$A$1000,$C93,'Oxford Economics'!$B$7:$B$1000,Settings!$B$17)+IF(Settings!$B$19="",0,SUMIFS(INDEX('Oxford Economics'!$A$7:$AZ$1000,0,IFERROR(MATCH(R$5,'Oxford Economics'!$A$6:$AZ$6,0),MATCH(R$5&amp;"",'Oxford Economics'!$A$6:$AZ$6,0))),'Oxford Economics'!$A$7:$A$1000,$C93,'Oxford Economics'!$B$7:$B$1000,Settings!$B$19)))),""))</f>
        <v>11012.17</v>
      </c>
      <c r="S93" s="38" t="n">
        <f aca="false">IF($A93="","",IFERROR(1/(1/IF($B93="Residential",SUMIFS(INDEX('Oxford Economics'!$A$7:$AZ$1000,0,IFERROR(MATCH(S$5,'Oxford Economics'!$A$6:$AZ$6,0),MATCH(S$5&amp;"",'Oxford Economics'!$A$6:$AZ$6,0))),'Oxford Economics'!$A$7:$A$1000,$C93,'Oxford Economics'!$B$7:$B$1000,Settings!$B$13)-SUMIFS(INDEX('Oxford Economics'!$A$7:$AZ$1000,0,IFERROR(MATCH(S$5,'Oxford Economics'!$A$6:$AZ$6,0),MATCH(S$5&amp;"",'Oxford Economics'!$A$6:$AZ$6,0))),'Oxford Economics'!$A$7:$A$1000,$C93,'Oxford Economics'!$B$7:$B$1000,Settings!$B$15),SUMIFS(INDEX('Oxford Economics'!$A$7:$AZ$1000,0,IFERROR(MATCH(S$5,'Oxford Economics'!$A$6:$AZ$6,0),MATCH(S$5&amp;"",'Oxford Economics'!$A$6:$AZ$6,0))),'Oxford Economics'!$A$7:$A$1000,$C93,'Oxford Economics'!$B$7:$B$1000,Settings!$B$15)+SUMIFS(INDEX('Oxford Economics'!$A$7:$AZ$1000,0,IFERROR(MATCH(S$5,'Oxford Economics'!$A$6:$AZ$6,0),MATCH(S$5&amp;"",'Oxford Economics'!$A$6:$AZ$6,0))),'Oxford Economics'!$A$7:$A$1000,$C93,'Oxford Economics'!$B$7:$B$1000,Settings!$B$17)+IF(Settings!$B$19="",0,SUMIFS(INDEX('Oxford Economics'!$A$7:$AZ$1000,0,IFERROR(MATCH(S$5,'Oxford Economics'!$A$6:$AZ$6,0),MATCH(S$5&amp;"",'Oxford Economics'!$A$6:$AZ$6,0))),'Oxford Economics'!$A$7:$A$1000,$C93,'Oxford Economics'!$B$7:$B$1000,Settings!$B$19)))),""))</f>
        <v>11107.61</v>
      </c>
      <c r="T93" s="38" t="n">
        <f aca="false">IF($A93="","",IFERROR(1/(1/IF($B93="Residential",SUMIFS(INDEX('Oxford Economics'!$A$7:$AZ$1000,0,IFERROR(MATCH(T$5,'Oxford Economics'!$A$6:$AZ$6,0),MATCH(T$5&amp;"",'Oxford Economics'!$A$6:$AZ$6,0))),'Oxford Economics'!$A$7:$A$1000,$C93,'Oxford Economics'!$B$7:$B$1000,Settings!$B$13)-SUMIFS(INDEX('Oxford Economics'!$A$7:$AZ$1000,0,IFERROR(MATCH(T$5,'Oxford Economics'!$A$6:$AZ$6,0),MATCH(T$5&amp;"",'Oxford Economics'!$A$6:$AZ$6,0))),'Oxford Economics'!$A$7:$A$1000,$C93,'Oxford Economics'!$B$7:$B$1000,Settings!$B$15),SUMIFS(INDEX('Oxford Economics'!$A$7:$AZ$1000,0,IFERROR(MATCH(T$5,'Oxford Economics'!$A$6:$AZ$6,0),MATCH(T$5&amp;"",'Oxford Economics'!$A$6:$AZ$6,0))),'Oxford Economics'!$A$7:$A$1000,$C93,'Oxford Economics'!$B$7:$B$1000,Settings!$B$15)+SUMIFS(INDEX('Oxford Economics'!$A$7:$AZ$1000,0,IFERROR(MATCH(T$5,'Oxford Economics'!$A$6:$AZ$6,0),MATCH(T$5&amp;"",'Oxford Economics'!$A$6:$AZ$6,0))),'Oxford Economics'!$A$7:$A$1000,$C93,'Oxford Economics'!$B$7:$B$1000,Settings!$B$17)+IF(Settings!$B$19="",0,SUMIFS(INDEX('Oxford Economics'!$A$7:$AZ$1000,0,IFERROR(MATCH(T$5,'Oxford Economics'!$A$6:$AZ$6,0),MATCH(T$5&amp;"",'Oxford Economics'!$A$6:$AZ$6,0))),'Oxford Economics'!$A$7:$A$1000,$C93,'Oxford Economics'!$B$7:$B$1000,Settings!$B$19)))),""))</f>
        <v>11312.89</v>
      </c>
      <c r="U93" s="38" t="n">
        <f aca="false">IF($A93="","",IFERROR(1/(1/IF($B93="Residential",SUMIFS(INDEX('Oxford Economics'!$A$7:$AZ$1000,0,IFERROR(MATCH(U$5,'Oxford Economics'!$A$6:$AZ$6,0),MATCH(U$5&amp;"",'Oxford Economics'!$A$6:$AZ$6,0))),'Oxford Economics'!$A$7:$A$1000,$C93,'Oxford Economics'!$B$7:$B$1000,Settings!$B$13)-SUMIFS(INDEX('Oxford Economics'!$A$7:$AZ$1000,0,IFERROR(MATCH(U$5,'Oxford Economics'!$A$6:$AZ$6,0),MATCH(U$5&amp;"",'Oxford Economics'!$A$6:$AZ$6,0))),'Oxford Economics'!$A$7:$A$1000,$C93,'Oxford Economics'!$B$7:$B$1000,Settings!$B$15),SUMIFS(INDEX('Oxford Economics'!$A$7:$AZ$1000,0,IFERROR(MATCH(U$5,'Oxford Economics'!$A$6:$AZ$6,0),MATCH(U$5&amp;"",'Oxford Economics'!$A$6:$AZ$6,0))),'Oxford Economics'!$A$7:$A$1000,$C93,'Oxford Economics'!$B$7:$B$1000,Settings!$B$15)+SUMIFS(INDEX('Oxford Economics'!$A$7:$AZ$1000,0,IFERROR(MATCH(U$5,'Oxford Economics'!$A$6:$AZ$6,0),MATCH(U$5&amp;"",'Oxford Economics'!$A$6:$AZ$6,0))),'Oxford Economics'!$A$7:$A$1000,$C93,'Oxford Economics'!$B$7:$B$1000,Settings!$B$17)+IF(Settings!$B$19="",0,SUMIFS(INDEX('Oxford Economics'!$A$7:$AZ$1000,0,IFERROR(MATCH(U$5,'Oxford Economics'!$A$6:$AZ$6,0),MATCH(U$5&amp;"",'Oxford Economics'!$A$6:$AZ$6,0))),'Oxford Economics'!$A$7:$A$1000,$C93,'Oxford Economics'!$B$7:$B$1000,Settings!$B$19)))),""))</f>
        <v>11539.3</v>
      </c>
      <c r="V93" s="38" t="n">
        <f aca="false">IF($A93="","",IFERROR(1/(1/IF($B93="Residential",SUMIFS(INDEX('Oxford Economics'!$A$7:$AZ$1000,0,IFERROR(MATCH(V$5,'Oxford Economics'!$A$6:$AZ$6,0),MATCH(V$5&amp;"",'Oxford Economics'!$A$6:$AZ$6,0))),'Oxford Economics'!$A$7:$A$1000,$C93,'Oxford Economics'!$B$7:$B$1000,Settings!$B$13)-SUMIFS(INDEX('Oxford Economics'!$A$7:$AZ$1000,0,IFERROR(MATCH(V$5,'Oxford Economics'!$A$6:$AZ$6,0),MATCH(V$5&amp;"",'Oxford Economics'!$A$6:$AZ$6,0))),'Oxford Economics'!$A$7:$A$1000,$C93,'Oxford Economics'!$B$7:$B$1000,Settings!$B$15),SUMIFS(INDEX('Oxford Economics'!$A$7:$AZ$1000,0,IFERROR(MATCH(V$5,'Oxford Economics'!$A$6:$AZ$6,0),MATCH(V$5&amp;"",'Oxford Economics'!$A$6:$AZ$6,0))),'Oxford Economics'!$A$7:$A$1000,$C93,'Oxford Economics'!$B$7:$B$1000,Settings!$B$15)+SUMIFS(INDEX('Oxford Economics'!$A$7:$AZ$1000,0,IFERROR(MATCH(V$5,'Oxford Economics'!$A$6:$AZ$6,0),MATCH(V$5&amp;"",'Oxford Economics'!$A$6:$AZ$6,0))),'Oxford Economics'!$A$7:$A$1000,$C93,'Oxford Economics'!$B$7:$B$1000,Settings!$B$17)+IF(Settings!$B$19="",0,SUMIFS(INDEX('Oxford Economics'!$A$7:$AZ$1000,0,IFERROR(MATCH(V$5,'Oxford Economics'!$A$6:$AZ$6,0),MATCH(V$5&amp;"",'Oxford Economics'!$A$6:$AZ$6,0))),'Oxford Economics'!$A$7:$A$1000,$C93,'Oxford Economics'!$B$7:$B$1000,Settings!$B$19)))),""))</f>
        <v>11755.23</v>
      </c>
      <c r="W93" s="38" t="n">
        <f aca="false">IF($A93="","",IFERROR(1/(1/IF($B93="Residential",SUMIFS(INDEX('Oxford Economics'!$A$7:$AZ$1000,0,IFERROR(MATCH(W$5,'Oxford Economics'!$A$6:$AZ$6,0),MATCH(W$5&amp;"",'Oxford Economics'!$A$6:$AZ$6,0))),'Oxford Economics'!$A$7:$A$1000,$C93,'Oxford Economics'!$B$7:$B$1000,Settings!$B$13)-SUMIFS(INDEX('Oxford Economics'!$A$7:$AZ$1000,0,IFERROR(MATCH(W$5,'Oxford Economics'!$A$6:$AZ$6,0),MATCH(W$5&amp;"",'Oxford Economics'!$A$6:$AZ$6,0))),'Oxford Economics'!$A$7:$A$1000,$C93,'Oxford Economics'!$B$7:$B$1000,Settings!$B$15),SUMIFS(INDEX('Oxford Economics'!$A$7:$AZ$1000,0,IFERROR(MATCH(W$5,'Oxford Economics'!$A$6:$AZ$6,0),MATCH(W$5&amp;"",'Oxford Economics'!$A$6:$AZ$6,0))),'Oxford Economics'!$A$7:$A$1000,$C93,'Oxford Economics'!$B$7:$B$1000,Settings!$B$15)+SUMIFS(INDEX('Oxford Economics'!$A$7:$AZ$1000,0,IFERROR(MATCH(W$5,'Oxford Economics'!$A$6:$AZ$6,0),MATCH(W$5&amp;"",'Oxford Economics'!$A$6:$AZ$6,0))),'Oxford Economics'!$A$7:$A$1000,$C93,'Oxford Economics'!$B$7:$B$1000,Settings!$B$17)+IF(Settings!$B$19="",0,SUMIFS(INDEX('Oxford Economics'!$A$7:$AZ$1000,0,IFERROR(MATCH(W$5,'Oxford Economics'!$A$6:$AZ$6,0),MATCH(W$5&amp;"",'Oxford Economics'!$A$6:$AZ$6,0))),'Oxford Economics'!$A$7:$A$1000,$C93,'Oxford Economics'!$B$7:$B$1000,Settings!$B$19)))),""))</f>
        <v>12219.74</v>
      </c>
      <c r="X93" s="38" t="n">
        <f aca="false">IF($A93="","",IFERROR(1/(1/IF($B93="Residential",SUMIFS(INDEX('Oxford Economics'!$A$7:$AZ$1000,0,IFERROR(MATCH(X$5,'Oxford Economics'!$A$6:$AZ$6,0),MATCH(X$5&amp;"",'Oxford Economics'!$A$6:$AZ$6,0))),'Oxford Economics'!$A$7:$A$1000,$C93,'Oxford Economics'!$B$7:$B$1000,Settings!$B$13)-SUMIFS(INDEX('Oxford Economics'!$A$7:$AZ$1000,0,IFERROR(MATCH(X$5,'Oxford Economics'!$A$6:$AZ$6,0),MATCH(X$5&amp;"",'Oxford Economics'!$A$6:$AZ$6,0))),'Oxford Economics'!$A$7:$A$1000,$C93,'Oxford Economics'!$B$7:$B$1000,Settings!$B$15),SUMIFS(INDEX('Oxford Economics'!$A$7:$AZ$1000,0,IFERROR(MATCH(X$5,'Oxford Economics'!$A$6:$AZ$6,0),MATCH(X$5&amp;"",'Oxford Economics'!$A$6:$AZ$6,0))),'Oxford Economics'!$A$7:$A$1000,$C93,'Oxford Economics'!$B$7:$B$1000,Settings!$B$15)+SUMIFS(INDEX('Oxford Economics'!$A$7:$AZ$1000,0,IFERROR(MATCH(X$5,'Oxford Economics'!$A$6:$AZ$6,0),MATCH(X$5&amp;"",'Oxford Economics'!$A$6:$AZ$6,0))),'Oxford Economics'!$A$7:$A$1000,$C93,'Oxford Economics'!$B$7:$B$1000,Settings!$B$17)+IF(Settings!$B$19="",0,SUMIFS(INDEX('Oxford Economics'!$A$7:$AZ$1000,0,IFERROR(MATCH(X$5,'Oxford Economics'!$A$6:$AZ$6,0),MATCH(X$5&amp;"",'Oxford Economics'!$A$6:$AZ$6,0))),'Oxford Economics'!$A$7:$A$1000,$C93,'Oxford Economics'!$B$7:$B$1000,Settings!$B$19)))),""))</f>
        <v>12720.39</v>
      </c>
      <c r="Y93" s="38" t="n">
        <f aca="false">IF($A93="","",IFERROR(1/(1/IF($B93="Residential",SUMIFS(INDEX('Oxford Economics'!$A$7:$AZ$1000,0,IFERROR(MATCH(Y$5,'Oxford Economics'!$A$6:$AZ$6,0),MATCH(Y$5&amp;"",'Oxford Economics'!$A$6:$AZ$6,0))),'Oxford Economics'!$A$7:$A$1000,$C93,'Oxford Economics'!$B$7:$B$1000,Settings!$B$13)-SUMIFS(INDEX('Oxford Economics'!$A$7:$AZ$1000,0,IFERROR(MATCH(Y$5,'Oxford Economics'!$A$6:$AZ$6,0),MATCH(Y$5&amp;"",'Oxford Economics'!$A$6:$AZ$6,0))),'Oxford Economics'!$A$7:$A$1000,$C93,'Oxford Economics'!$B$7:$B$1000,Settings!$B$15),SUMIFS(INDEX('Oxford Economics'!$A$7:$AZ$1000,0,IFERROR(MATCH(Y$5,'Oxford Economics'!$A$6:$AZ$6,0),MATCH(Y$5&amp;"",'Oxford Economics'!$A$6:$AZ$6,0))),'Oxford Economics'!$A$7:$A$1000,$C93,'Oxford Economics'!$B$7:$B$1000,Settings!$B$15)+SUMIFS(INDEX('Oxford Economics'!$A$7:$AZ$1000,0,IFERROR(MATCH(Y$5,'Oxford Economics'!$A$6:$AZ$6,0),MATCH(Y$5&amp;"",'Oxford Economics'!$A$6:$AZ$6,0))),'Oxford Economics'!$A$7:$A$1000,$C93,'Oxford Economics'!$B$7:$B$1000,Settings!$B$17)+IF(Settings!$B$19="",0,SUMIFS(INDEX('Oxford Economics'!$A$7:$AZ$1000,0,IFERROR(MATCH(Y$5,'Oxford Economics'!$A$6:$AZ$6,0),MATCH(Y$5&amp;"",'Oxford Economics'!$A$6:$AZ$6,0))),'Oxford Economics'!$A$7:$A$1000,$C93,'Oxford Economics'!$B$7:$B$1000,Settings!$B$19)))),""))</f>
        <v>13286.88</v>
      </c>
      <c r="Z93" s="38" t="n">
        <f aca="false">IF($A93="","",IFERROR(1/(1/IF($B93="Residential",SUMIFS(INDEX('Oxford Economics'!$A$7:$AZ$1000,0,IFERROR(MATCH(Z$5,'Oxford Economics'!$A$6:$AZ$6,0),MATCH(Z$5&amp;"",'Oxford Economics'!$A$6:$AZ$6,0))),'Oxford Economics'!$A$7:$A$1000,$C93,'Oxford Economics'!$B$7:$B$1000,Settings!$B$13)-SUMIFS(INDEX('Oxford Economics'!$A$7:$AZ$1000,0,IFERROR(MATCH(Z$5,'Oxford Economics'!$A$6:$AZ$6,0),MATCH(Z$5&amp;"",'Oxford Economics'!$A$6:$AZ$6,0))),'Oxford Economics'!$A$7:$A$1000,$C93,'Oxford Economics'!$B$7:$B$1000,Settings!$B$15),SUMIFS(INDEX('Oxford Economics'!$A$7:$AZ$1000,0,IFERROR(MATCH(Z$5,'Oxford Economics'!$A$6:$AZ$6,0),MATCH(Z$5&amp;"",'Oxford Economics'!$A$6:$AZ$6,0))),'Oxford Economics'!$A$7:$A$1000,$C93,'Oxford Economics'!$B$7:$B$1000,Settings!$B$15)+SUMIFS(INDEX('Oxford Economics'!$A$7:$AZ$1000,0,IFERROR(MATCH(Z$5,'Oxford Economics'!$A$6:$AZ$6,0),MATCH(Z$5&amp;"",'Oxford Economics'!$A$6:$AZ$6,0))),'Oxford Economics'!$A$7:$A$1000,$C93,'Oxford Economics'!$B$7:$B$1000,Settings!$B$17)+IF(Settings!$B$19="",0,SUMIFS(INDEX('Oxford Economics'!$A$7:$AZ$1000,0,IFERROR(MATCH(Z$5,'Oxford Economics'!$A$6:$AZ$6,0),MATCH(Z$5&amp;"",'Oxford Economics'!$A$6:$AZ$6,0))),'Oxford Economics'!$A$7:$A$1000,$C93,'Oxford Economics'!$B$7:$B$1000,Settings!$B$19)))),""))</f>
        <v>13814.27</v>
      </c>
      <c r="AA93" s="38" t="n">
        <f aca="false">IF($A93="","",IFERROR(1/(1/IF($B93="Residential",SUMIFS(INDEX('Oxford Economics'!$A$7:$AZ$1000,0,IFERROR(MATCH(AA$5,'Oxford Economics'!$A$6:$AZ$6,0),MATCH(AA$5&amp;"",'Oxford Economics'!$A$6:$AZ$6,0))),'Oxford Economics'!$A$7:$A$1000,$C93,'Oxford Economics'!$B$7:$B$1000,Settings!$B$13)-SUMIFS(INDEX('Oxford Economics'!$A$7:$AZ$1000,0,IFERROR(MATCH(AA$5,'Oxford Economics'!$A$6:$AZ$6,0),MATCH(AA$5&amp;"",'Oxford Economics'!$A$6:$AZ$6,0))),'Oxford Economics'!$A$7:$A$1000,$C93,'Oxford Economics'!$B$7:$B$1000,Settings!$B$15),SUMIFS(INDEX('Oxford Economics'!$A$7:$AZ$1000,0,IFERROR(MATCH(AA$5,'Oxford Economics'!$A$6:$AZ$6,0),MATCH(AA$5&amp;"",'Oxford Economics'!$A$6:$AZ$6,0))),'Oxford Economics'!$A$7:$A$1000,$C93,'Oxford Economics'!$B$7:$B$1000,Settings!$B$15)+SUMIFS(INDEX('Oxford Economics'!$A$7:$AZ$1000,0,IFERROR(MATCH(AA$5,'Oxford Economics'!$A$6:$AZ$6,0),MATCH(AA$5&amp;"",'Oxford Economics'!$A$6:$AZ$6,0))),'Oxford Economics'!$A$7:$A$1000,$C93,'Oxford Economics'!$B$7:$B$1000,Settings!$B$17)+IF(Settings!$B$19="",0,SUMIFS(INDEX('Oxford Economics'!$A$7:$AZ$1000,0,IFERROR(MATCH(AA$5,'Oxford Economics'!$A$6:$AZ$6,0),MATCH(AA$5&amp;"",'Oxford Economics'!$A$6:$AZ$6,0))),'Oxford Economics'!$A$7:$A$1000,$C93,'Oxford Economics'!$B$7:$B$1000,Settings!$B$19)))),""))</f>
        <v>14149.44</v>
      </c>
      <c r="AB93" s="38" t="n">
        <f aca="false">IF($A93="","",IFERROR(1/(1/IF($B93="Residential",SUMIFS(INDEX('Oxford Economics'!$A$7:$AZ$1000,0,IFERROR(MATCH(AB$5,'Oxford Economics'!$A$6:$AZ$6,0),MATCH(AB$5&amp;"",'Oxford Economics'!$A$6:$AZ$6,0))),'Oxford Economics'!$A$7:$A$1000,$C93,'Oxford Economics'!$B$7:$B$1000,Settings!$B$12)-SUMIFS(INDEX('Oxford Economics'!$A$7:$AZ$1000,0,IFERROR(MATCH(AB$5,'Oxford Economics'!$A$6:$AZ$6,0),MATCH(AB$5&amp;"",'Oxford Economics'!$A$6:$AZ$6,0))),'Oxford Economics'!$A$7:$A$1000,$C93,'Oxford Economics'!$B$7:$B$1000,Settings!$B$14),SUMIFS(INDEX('Oxford Economics'!$A$7:$AZ$1000,0,IFERROR(MATCH(AB$5,'Oxford Economics'!$A$6:$AZ$6,0),MATCH(AB$5&amp;"",'Oxford Economics'!$A$6:$AZ$6,0))),'Oxford Economics'!$A$7:$A$1000,$C93,'Oxford Economics'!$B$7:$B$1000,Settings!$B$14)+SUMIFS(INDEX('Oxford Economics'!$A$7:$AZ$1000,0,IFERROR(MATCH(AB$5,'Oxford Economics'!$A$6:$AZ$6,0),MATCH(AB$5&amp;"",'Oxford Economics'!$A$6:$AZ$6,0))),'Oxford Economics'!$A$7:$A$1000,$C93,'Oxford Economics'!$B$7:$B$1000,Settings!$B$16)+IF(Settings!$B$18="",0,SUMIFS(INDEX('Oxford Economics'!$A$7:$AZ$1000,0,IFERROR(MATCH(AB$5,'Oxford Economics'!$A$6:$AZ$6,0),MATCH(AB$5&amp;"",'Oxford Economics'!$A$6:$AZ$6,0))),'Oxford Economics'!$A$7:$A$1000,$C93,'Oxford Economics'!$B$7:$B$1000,Settings!$B$18)))),""))</f>
        <v>7755.72</v>
      </c>
      <c r="AC93" s="38" t="n">
        <f aca="false">IF($A93="","",IFERROR(1/(1/IF($B93="Residential",SUMIFS(INDEX('Oxford Economics'!$A$7:$AZ$1000,0,IFERROR(MATCH(AC$5,'Oxford Economics'!$A$6:$AZ$6,0),MATCH(AC$5&amp;"",'Oxford Economics'!$A$6:$AZ$6,0))),'Oxford Economics'!$A$7:$A$1000,$C93,'Oxford Economics'!$B$7:$B$1000,Settings!$B$12)-SUMIFS(INDEX('Oxford Economics'!$A$7:$AZ$1000,0,IFERROR(MATCH(AC$5,'Oxford Economics'!$A$6:$AZ$6,0),MATCH(AC$5&amp;"",'Oxford Economics'!$A$6:$AZ$6,0))),'Oxford Economics'!$A$7:$A$1000,$C93,'Oxford Economics'!$B$7:$B$1000,Settings!$B$14),SUMIFS(INDEX('Oxford Economics'!$A$7:$AZ$1000,0,IFERROR(MATCH(AC$5,'Oxford Economics'!$A$6:$AZ$6,0),MATCH(AC$5&amp;"",'Oxford Economics'!$A$6:$AZ$6,0))),'Oxford Economics'!$A$7:$A$1000,$C93,'Oxford Economics'!$B$7:$B$1000,Settings!$B$14)+SUMIFS(INDEX('Oxford Economics'!$A$7:$AZ$1000,0,IFERROR(MATCH(AC$5,'Oxford Economics'!$A$6:$AZ$6,0),MATCH(AC$5&amp;"",'Oxford Economics'!$A$6:$AZ$6,0))),'Oxford Economics'!$A$7:$A$1000,$C93,'Oxford Economics'!$B$7:$B$1000,Settings!$B$16)+IF(Settings!$B$18="",0,SUMIFS(INDEX('Oxford Economics'!$A$7:$AZ$1000,0,IFERROR(MATCH(AC$5,'Oxford Economics'!$A$6:$AZ$6,0),MATCH(AC$5&amp;"",'Oxford Economics'!$A$6:$AZ$6,0))),'Oxford Economics'!$A$7:$A$1000,$C93,'Oxford Economics'!$B$7:$B$1000,Settings!$B$18)))),""))</f>
        <v>8361.32</v>
      </c>
      <c r="AD93" s="38" t="n">
        <f aca="false">IF($A93="","",IFERROR(1/(1/IF($B93="Residential",SUMIFS(INDEX('Oxford Economics'!$A$7:$AZ$1000,0,IFERROR(MATCH(AD$5,'Oxford Economics'!$A$6:$AZ$6,0),MATCH(AD$5&amp;"",'Oxford Economics'!$A$6:$AZ$6,0))),'Oxford Economics'!$A$7:$A$1000,$C93,'Oxford Economics'!$B$7:$B$1000,Settings!$B$12)-SUMIFS(INDEX('Oxford Economics'!$A$7:$AZ$1000,0,IFERROR(MATCH(AD$5,'Oxford Economics'!$A$6:$AZ$6,0),MATCH(AD$5&amp;"",'Oxford Economics'!$A$6:$AZ$6,0))),'Oxford Economics'!$A$7:$A$1000,$C93,'Oxford Economics'!$B$7:$B$1000,Settings!$B$14),SUMIFS(INDEX('Oxford Economics'!$A$7:$AZ$1000,0,IFERROR(MATCH(AD$5,'Oxford Economics'!$A$6:$AZ$6,0),MATCH(AD$5&amp;"",'Oxford Economics'!$A$6:$AZ$6,0))),'Oxford Economics'!$A$7:$A$1000,$C93,'Oxford Economics'!$B$7:$B$1000,Settings!$B$14)+SUMIFS(INDEX('Oxford Economics'!$A$7:$AZ$1000,0,IFERROR(MATCH(AD$5,'Oxford Economics'!$A$6:$AZ$6,0),MATCH(AD$5&amp;"",'Oxford Economics'!$A$6:$AZ$6,0))),'Oxford Economics'!$A$7:$A$1000,$C93,'Oxford Economics'!$B$7:$B$1000,Settings!$B$16)+IF(Settings!$B$18="",0,SUMIFS(INDEX('Oxford Economics'!$A$7:$AZ$1000,0,IFERROR(MATCH(AD$5,'Oxford Economics'!$A$6:$AZ$6,0),MATCH(AD$5&amp;"",'Oxford Economics'!$A$6:$AZ$6,0))),'Oxford Economics'!$A$7:$A$1000,$C93,'Oxford Economics'!$B$7:$B$1000,Settings!$B$18)))),""))</f>
        <v>8156.3</v>
      </c>
      <c r="AE93" s="38" t="n">
        <f aca="false">IF($A93="","",IFERROR(1/(1/IF($B93="Residential",SUMIFS(INDEX('Oxford Economics'!$A$7:$AZ$1000,0,IFERROR(MATCH(AE$5,'Oxford Economics'!$A$6:$AZ$6,0),MATCH(AE$5&amp;"",'Oxford Economics'!$A$6:$AZ$6,0))),'Oxford Economics'!$A$7:$A$1000,$C93,'Oxford Economics'!$B$7:$B$1000,Settings!$B$12)-SUMIFS(INDEX('Oxford Economics'!$A$7:$AZ$1000,0,IFERROR(MATCH(AE$5,'Oxford Economics'!$A$6:$AZ$6,0),MATCH(AE$5&amp;"",'Oxford Economics'!$A$6:$AZ$6,0))),'Oxford Economics'!$A$7:$A$1000,$C93,'Oxford Economics'!$B$7:$B$1000,Settings!$B$14),SUMIFS(INDEX('Oxford Economics'!$A$7:$AZ$1000,0,IFERROR(MATCH(AE$5,'Oxford Economics'!$A$6:$AZ$6,0),MATCH(AE$5&amp;"",'Oxford Economics'!$A$6:$AZ$6,0))),'Oxford Economics'!$A$7:$A$1000,$C93,'Oxford Economics'!$B$7:$B$1000,Settings!$B$14)+SUMIFS(INDEX('Oxford Economics'!$A$7:$AZ$1000,0,IFERROR(MATCH(AE$5,'Oxford Economics'!$A$6:$AZ$6,0),MATCH(AE$5&amp;"",'Oxford Economics'!$A$6:$AZ$6,0))),'Oxford Economics'!$A$7:$A$1000,$C93,'Oxford Economics'!$B$7:$B$1000,Settings!$B$16)+IF(Settings!$B$18="",0,SUMIFS(INDEX('Oxford Economics'!$A$7:$AZ$1000,0,IFERROR(MATCH(AE$5,'Oxford Economics'!$A$6:$AZ$6,0),MATCH(AE$5&amp;"",'Oxford Economics'!$A$6:$AZ$6,0))),'Oxford Economics'!$A$7:$A$1000,$C93,'Oxford Economics'!$B$7:$B$1000,Settings!$B$18)))),""))</f>
        <v>7946.37</v>
      </c>
      <c r="AF93" s="38" t="n">
        <f aca="false">IF($A93="","",IFERROR(1/(1/IF($B93="Residential",SUMIFS(INDEX('Oxford Economics'!$A$7:$AZ$1000,0,IFERROR(MATCH(AF$5,'Oxford Economics'!$A$6:$AZ$6,0),MATCH(AF$5&amp;"",'Oxford Economics'!$A$6:$AZ$6,0))),'Oxford Economics'!$A$7:$A$1000,$C93,'Oxford Economics'!$B$7:$B$1000,Settings!$B$12)-SUMIFS(INDEX('Oxford Economics'!$A$7:$AZ$1000,0,IFERROR(MATCH(AF$5,'Oxford Economics'!$A$6:$AZ$6,0),MATCH(AF$5&amp;"",'Oxford Economics'!$A$6:$AZ$6,0))),'Oxford Economics'!$A$7:$A$1000,$C93,'Oxford Economics'!$B$7:$B$1000,Settings!$B$14),SUMIFS(INDEX('Oxford Economics'!$A$7:$AZ$1000,0,IFERROR(MATCH(AF$5,'Oxford Economics'!$A$6:$AZ$6,0),MATCH(AF$5&amp;"",'Oxford Economics'!$A$6:$AZ$6,0))),'Oxford Economics'!$A$7:$A$1000,$C93,'Oxford Economics'!$B$7:$B$1000,Settings!$B$14)+SUMIFS(INDEX('Oxford Economics'!$A$7:$AZ$1000,0,IFERROR(MATCH(AF$5,'Oxford Economics'!$A$6:$AZ$6,0),MATCH(AF$5&amp;"",'Oxford Economics'!$A$6:$AZ$6,0))),'Oxford Economics'!$A$7:$A$1000,$C93,'Oxford Economics'!$B$7:$B$1000,Settings!$B$16)+IF(Settings!$B$18="",0,SUMIFS(INDEX('Oxford Economics'!$A$7:$AZ$1000,0,IFERROR(MATCH(AF$5,'Oxford Economics'!$A$6:$AZ$6,0),MATCH(AF$5&amp;"",'Oxford Economics'!$A$6:$AZ$6,0))),'Oxford Economics'!$A$7:$A$1000,$C93,'Oxford Economics'!$B$7:$B$1000,Settings!$B$18)))),""))</f>
        <v>8056.26</v>
      </c>
      <c r="AG93" s="38" t="n">
        <f aca="false">IF($A93="","",IFERROR(1/(1/IF($B93="Residential",SUMIFS(INDEX('Oxford Economics'!$A$7:$AZ$1000,0,IFERROR(MATCH(AG$5,'Oxford Economics'!$A$6:$AZ$6,0),MATCH(AG$5&amp;"",'Oxford Economics'!$A$6:$AZ$6,0))),'Oxford Economics'!$A$7:$A$1000,$C93,'Oxford Economics'!$B$7:$B$1000,Settings!$B$12)-SUMIFS(INDEX('Oxford Economics'!$A$7:$AZ$1000,0,IFERROR(MATCH(AG$5,'Oxford Economics'!$A$6:$AZ$6,0),MATCH(AG$5&amp;"",'Oxford Economics'!$A$6:$AZ$6,0))),'Oxford Economics'!$A$7:$A$1000,$C93,'Oxford Economics'!$B$7:$B$1000,Settings!$B$14),SUMIFS(INDEX('Oxford Economics'!$A$7:$AZ$1000,0,IFERROR(MATCH(AG$5,'Oxford Economics'!$A$6:$AZ$6,0),MATCH(AG$5&amp;"",'Oxford Economics'!$A$6:$AZ$6,0))),'Oxford Economics'!$A$7:$A$1000,$C93,'Oxford Economics'!$B$7:$B$1000,Settings!$B$14)+SUMIFS(INDEX('Oxford Economics'!$A$7:$AZ$1000,0,IFERROR(MATCH(AG$5,'Oxford Economics'!$A$6:$AZ$6,0),MATCH(AG$5&amp;"",'Oxford Economics'!$A$6:$AZ$6,0))),'Oxford Economics'!$A$7:$A$1000,$C93,'Oxford Economics'!$B$7:$B$1000,Settings!$B$16)+IF(Settings!$B$18="",0,SUMIFS(INDEX('Oxford Economics'!$A$7:$AZ$1000,0,IFERROR(MATCH(AG$5,'Oxford Economics'!$A$6:$AZ$6,0),MATCH(AG$5&amp;"",'Oxford Economics'!$A$6:$AZ$6,0))),'Oxford Economics'!$A$7:$A$1000,$C93,'Oxford Economics'!$B$7:$B$1000,Settings!$B$18)))),""))</f>
        <v>8123.39</v>
      </c>
      <c r="AH93" s="38" t="n">
        <f aca="false">IF($A93="","",IFERROR(1/(1/IF($B93="Residential",SUMIFS(INDEX('Oxford Economics'!$A$7:$AZ$1000,0,IFERROR(MATCH(AH$5,'Oxford Economics'!$A$6:$AZ$6,0),MATCH(AH$5&amp;"",'Oxford Economics'!$A$6:$AZ$6,0))),'Oxford Economics'!$A$7:$A$1000,$C93,'Oxford Economics'!$B$7:$B$1000,Settings!$B$12)-SUMIFS(INDEX('Oxford Economics'!$A$7:$AZ$1000,0,IFERROR(MATCH(AH$5,'Oxford Economics'!$A$6:$AZ$6,0),MATCH(AH$5&amp;"",'Oxford Economics'!$A$6:$AZ$6,0))),'Oxford Economics'!$A$7:$A$1000,$C93,'Oxford Economics'!$B$7:$B$1000,Settings!$B$14),SUMIFS(INDEX('Oxford Economics'!$A$7:$AZ$1000,0,IFERROR(MATCH(AH$5,'Oxford Economics'!$A$6:$AZ$6,0),MATCH(AH$5&amp;"",'Oxford Economics'!$A$6:$AZ$6,0))),'Oxford Economics'!$A$7:$A$1000,$C93,'Oxford Economics'!$B$7:$B$1000,Settings!$B$14)+SUMIFS(INDEX('Oxford Economics'!$A$7:$AZ$1000,0,IFERROR(MATCH(AH$5,'Oxford Economics'!$A$6:$AZ$6,0),MATCH(AH$5&amp;"",'Oxford Economics'!$A$6:$AZ$6,0))),'Oxford Economics'!$A$7:$A$1000,$C93,'Oxford Economics'!$B$7:$B$1000,Settings!$B$16)+IF(Settings!$B$18="",0,SUMIFS(INDEX('Oxford Economics'!$A$7:$AZ$1000,0,IFERROR(MATCH(AH$5,'Oxford Economics'!$A$6:$AZ$6,0),MATCH(AH$5&amp;"",'Oxford Economics'!$A$6:$AZ$6,0))),'Oxford Economics'!$A$7:$A$1000,$C93,'Oxford Economics'!$B$7:$B$1000,Settings!$B$18)))),""))</f>
        <v>8263.82</v>
      </c>
      <c r="AI93" s="38" t="n">
        <f aca="false">IF($A93="","",IFERROR(1/(1/IF($B93="Residential",SUMIFS(INDEX('Oxford Economics'!$A$7:$AZ$1000,0,IFERROR(MATCH(AI$5,'Oxford Economics'!$A$6:$AZ$6,0),MATCH(AI$5&amp;"",'Oxford Economics'!$A$6:$AZ$6,0))),'Oxford Economics'!$A$7:$A$1000,$C93,'Oxford Economics'!$B$7:$B$1000,Settings!$B$12)-SUMIFS(INDEX('Oxford Economics'!$A$7:$AZ$1000,0,IFERROR(MATCH(AI$5,'Oxford Economics'!$A$6:$AZ$6,0),MATCH(AI$5&amp;"",'Oxford Economics'!$A$6:$AZ$6,0))),'Oxford Economics'!$A$7:$A$1000,$C93,'Oxford Economics'!$B$7:$B$1000,Settings!$B$14),SUMIFS(INDEX('Oxford Economics'!$A$7:$AZ$1000,0,IFERROR(MATCH(AI$5,'Oxford Economics'!$A$6:$AZ$6,0),MATCH(AI$5&amp;"",'Oxford Economics'!$A$6:$AZ$6,0))),'Oxford Economics'!$A$7:$A$1000,$C93,'Oxford Economics'!$B$7:$B$1000,Settings!$B$14)+SUMIFS(INDEX('Oxford Economics'!$A$7:$AZ$1000,0,IFERROR(MATCH(AI$5,'Oxford Economics'!$A$6:$AZ$6,0),MATCH(AI$5&amp;"",'Oxford Economics'!$A$6:$AZ$6,0))),'Oxford Economics'!$A$7:$A$1000,$C93,'Oxford Economics'!$B$7:$B$1000,Settings!$B$16)+IF(Settings!$B$18="",0,SUMIFS(INDEX('Oxford Economics'!$A$7:$AZ$1000,0,IFERROR(MATCH(AI$5,'Oxford Economics'!$A$6:$AZ$6,0),MATCH(AI$5&amp;"",'Oxford Economics'!$A$6:$AZ$6,0))),'Oxford Economics'!$A$7:$A$1000,$C93,'Oxford Economics'!$B$7:$B$1000,Settings!$B$18)))),""))</f>
        <v>8384.27</v>
      </c>
      <c r="AJ93" s="38" t="n">
        <f aca="false">IF($A93="","",IFERROR(1/(1/IF($B93="Residential",SUMIFS(INDEX('Oxford Economics'!$A$7:$AZ$1000,0,IFERROR(MATCH(AJ$5,'Oxford Economics'!$A$6:$AZ$6,0),MATCH(AJ$5&amp;"",'Oxford Economics'!$A$6:$AZ$6,0))),'Oxford Economics'!$A$7:$A$1000,$C93,'Oxford Economics'!$B$7:$B$1000,Settings!$B$12)-SUMIFS(INDEX('Oxford Economics'!$A$7:$AZ$1000,0,IFERROR(MATCH(AJ$5,'Oxford Economics'!$A$6:$AZ$6,0),MATCH(AJ$5&amp;"",'Oxford Economics'!$A$6:$AZ$6,0))),'Oxford Economics'!$A$7:$A$1000,$C93,'Oxford Economics'!$B$7:$B$1000,Settings!$B$14),SUMIFS(INDEX('Oxford Economics'!$A$7:$AZ$1000,0,IFERROR(MATCH(AJ$5,'Oxford Economics'!$A$6:$AZ$6,0),MATCH(AJ$5&amp;"",'Oxford Economics'!$A$6:$AZ$6,0))),'Oxford Economics'!$A$7:$A$1000,$C93,'Oxford Economics'!$B$7:$B$1000,Settings!$B$14)+SUMIFS(INDEX('Oxford Economics'!$A$7:$AZ$1000,0,IFERROR(MATCH(AJ$5,'Oxford Economics'!$A$6:$AZ$6,0),MATCH(AJ$5&amp;"",'Oxford Economics'!$A$6:$AZ$6,0))),'Oxford Economics'!$A$7:$A$1000,$C93,'Oxford Economics'!$B$7:$B$1000,Settings!$B$16)+IF(Settings!$B$18="",0,SUMIFS(INDEX('Oxford Economics'!$A$7:$AZ$1000,0,IFERROR(MATCH(AJ$5,'Oxford Economics'!$A$6:$AZ$6,0),MATCH(AJ$5&amp;"",'Oxford Economics'!$A$6:$AZ$6,0))),'Oxford Economics'!$A$7:$A$1000,$C93,'Oxford Economics'!$B$7:$B$1000,Settings!$B$18)))),""))</f>
        <v>8480.54</v>
      </c>
      <c r="AK93" s="38" t="n">
        <f aca="false">IF($A93="","",IFERROR(1/(1/IF($B93="Residential",SUMIFS(INDEX('Oxford Economics'!$A$7:$AZ$1000,0,IFERROR(MATCH(AK$5,'Oxford Economics'!$A$6:$AZ$6,0),MATCH(AK$5&amp;"",'Oxford Economics'!$A$6:$AZ$6,0))),'Oxford Economics'!$A$7:$A$1000,$C93,'Oxford Economics'!$B$7:$B$1000,Settings!$B$12)-SUMIFS(INDEX('Oxford Economics'!$A$7:$AZ$1000,0,IFERROR(MATCH(AK$5,'Oxford Economics'!$A$6:$AZ$6,0),MATCH(AK$5&amp;"",'Oxford Economics'!$A$6:$AZ$6,0))),'Oxford Economics'!$A$7:$A$1000,$C93,'Oxford Economics'!$B$7:$B$1000,Settings!$B$14),SUMIFS(INDEX('Oxford Economics'!$A$7:$AZ$1000,0,IFERROR(MATCH(AK$5,'Oxford Economics'!$A$6:$AZ$6,0),MATCH(AK$5&amp;"",'Oxford Economics'!$A$6:$AZ$6,0))),'Oxford Economics'!$A$7:$A$1000,$C93,'Oxford Economics'!$B$7:$B$1000,Settings!$B$14)+SUMIFS(INDEX('Oxford Economics'!$A$7:$AZ$1000,0,IFERROR(MATCH(AK$5,'Oxford Economics'!$A$6:$AZ$6,0),MATCH(AK$5&amp;"",'Oxford Economics'!$A$6:$AZ$6,0))),'Oxford Economics'!$A$7:$A$1000,$C93,'Oxford Economics'!$B$7:$B$1000,Settings!$B$16)+IF(Settings!$B$18="",0,SUMIFS(INDEX('Oxford Economics'!$A$7:$AZ$1000,0,IFERROR(MATCH(AK$5,'Oxford Economics'!$A$6:$AZ$6,0),MATCH(AK$5&amp;"",'Oxford Economics'!$A$6:$AZ$6,0))),'Oxford Economics'!$A$7:$A$1000,$C93,'Oxford Economics'!$B$7:$B$1000,Settings!$B$18)))),""))</f>
        <v>8599.72</v>
      </c>
      <c r="AL93" s="38" t="n">
        <f aca="false">IF($A93="","",IFERROR(1/(1/IF($B93="Residential",SUMIFS(INDEX('Oxford Economics'!$A$7:$AZ$1000,0,IFERROR(MATCH(AL$5,'Oxford Economics'!$A$6:$AZ$6,0),MATCH(AL$5&amp;"",'Oxford Economics'!$A$6:$AZ$6,0))),'Oxford Economics'!$A$7:$A$1000,$C93,'Oxford Economics'!$B$7:$B$1000,Settings!$B$12)-SUMIFS(INDEX('Oxford Economics'!$A$7:$AZ$1000,0,IFERROR(MATCH(AL$5,'Oxford Economics'!$A$6:$AZ$6,0),MATCH(AL$5&amp;"",'Oxford Economics'!$A$6:$AZ$6,0))),'Oxford Economics'!$A$7:$A$1000,$C93,'Oxford Economics'!$B$7:$B$1000,Settings!$B$14),SUMIFS(INDEX('Oxford Economics'!$A$7:$AZ$1000,0,IFERROR(MATCH(AL$5,'Oxford Economics'!$A$6:$AZ$6,0),MATCH(AL$5&amp;"",'Oxford Economics'!$A$6:$AZ$6,0))),'Oxford Economics'!$A$7:$A$1000,$C93,'Oxford Economics'!$B$7:$B$1000,Settings!$B$14)+SUMIFS(INDEX('Oxford Economics'!$A$7:$AZ$1000,0,IFERROR(MATCH(AL$5,'Oxford Economics'!$A$6:$AZ$6,0),MATCH(AL$5&amp;"",'Oxford Economics'!$A$6:$AZ$6,0))),'Oxford Economics'!$A$7:$A$1000,$C93,'Oxford Economics'!$B$7:$B$1000,Settings!$B$16)+IF(Settings!$B$18="",0,SUMIFS(INDEX('Oxford Economics'!$A$7:$AZ$1000,0,IFERROR(MATCH(AL$5,'Oxford Economics'!$A$6:$AZ$6,0),MATCH(AL$5&amp;"",'Oxford Economics'!$A$6:$AZ$6,0))),'Oxford Economics'!$A$7:$A$1000,$C93,'Oxford Economics'!$B$7:$B$1000,Settings!$B$18)))),""))</f>
        <v>8777.8</v>
      </c>
      <c r="AM93" s="38" t="n">
        <f aca="false">IF($A93="","",IFERROR(1/(1/IF($B93="Residential",SUMIFS(INDEX('Oxford Economics'!$A$7:$AZ$1000,0,IFERROR(MATCH(AM$5,'Oxford Economics'!$A$6:$AZ$6,0),MATCH(AM$5&amp;"",'Oxford Economics'!$A$6:$AZ$6,0))),'Oxford Economics'!$A$7:$A$1000,$C93,'Oxford Economics'!$B$7:$B$1000,Settings!$B$12)-SUMIFS(INDEX('Oxford Economics'!$A$7:$AZ$1000,0,IFERROR(MATCH(AM$5,'Oxford Economics'!$A$6:$AZ$6,0),MATCH(AM$5&amp;"",'Oxford Economics'!$A$6:$AZ$6,0))),'Oxford Economics'!$A$7:$A$1000,$C93,'Oxford Economics'!$B$7:$B$1000,Settings!$B$14),SUMIFS(INDEX('Oxford Economics'!$A$7:$AZ$1000,0,IFERROR(MATCH(AM$5,'Oxford Economics'!$A$6:$AZ$6,0),MATCH(AM$5&amp;"",'Oxford Economics'!$A$6:$AZ$6,0))),'Oxford Economics'!$A$7:$A$1000,$C93,'Oxford Economics'!$B$7:$B$1000,Settings!$B$14)+SUMIFS(INDEX('Oxford Economics'!$A$7:$AZ$1000,0,IFERROR(MATCH(AM$5,'Oxford Economics'!$A$6:$AZ$6,0),MATCH(AM$5&amp;"",'Oxford Economics'!$A$6:$AZ$6,0))),'Oxford Economics'!$A$7:$A$1000,$C93,'Oxford Economics'!$B$7:$B$1000,Settings!$B$16)+IF(Settings!$B$18="",0,SUMIFS(INDEX('Oxford Economics'!$A$7:$AZ$1000,0,IFERROR(MATCH(AM$5,'Oxford Economics'!$A$6:$AZ$6,0),MATCH(AM$5&amp;"",'Oxford Economics'!$A$6:$AZ$6,0))),'Oxford Economics'!$A$7:$A$1000,$C93,'Oxford Economics'!$B$7:$B$1000,Settings!$B$18)))),""))</f>
        <v>9130.4</v>
      </c>
    </row>
    <row r="94" customFormat="false" ht="15" hidden="false" customHeight="false" outlineLevel="0" collapsed="false">
      <c r="A94" s="37" t="str">
        <f aca="false">IF('Raw data'!$A94="","",'Raw data'!$A94)</f>
        <v>Belgium</v>
      </c>
      <c r="B94" s="37" t="str">
        <f aca="false">IF($A94="","",'Raw data'!$C94)</f>
        <v>Commercial</v>
      </c>
      <c r="C94" s="37" t="str">
        <f aca="false">IF($A94="","",IF('Raw data'!$E94="",$A94,'Raw data'!$E94))</f>
        <v>Belgium</v>
      </c>
      <c r="D94" s="38" t="n">
        <f aca="false">IF($A94="","",IF(AND(ISNUMBER(P94),ISNUMBER(AB94)),P94+AB94,""))</f>
        <v>17300.38</v>
      </c>
      <c r="E94" s="38" t="n">
        <f aca="false">IF($A94="","",IF(AND(ISNUMBER(Q94),ISNUMBER(AC94)),Q94+AC94,""))</f>
        <v>19088.24</v>
      </c>
      <c r="F94" s="38" t="n">
        <f aca="false">IF($A94="","",IF(AND(ISNUMBER(R94),ISNUMBER(AD94)),R94+AD94,""))</f>
        <v>19168.47</v>
      </c>
      <c r="G94" s="38" t="n">
        <f aca="false">IF($A94="","",IF(AND(ISNUMBER(S94),ISNUMBER(AE94)),S94+AE94,""))</f>
        <v>19053.98</v>
      </c>
      <c r="H94" s="38" t="n">
        <f aca="false">IF($A94="","",IF(AND(ISNUMBER(T94),ISNUMBER(AF94)),T94+AF94,""))</f>
        <v>19369.15</v>
      </c>
      <c r="I94" s="38" t="n">
        <f aca="false">IF($A94="","",IF(AND(ISNUMBER(U94),ISNUMBER(AG94)),U94+AG94,""))</f>
        <v>19662.69</v>
      </c>
      <c r="J94" s="38" t="n">
        <f aca="false">IF($A94="","",IF(AND(ISNUMBER(V94),ISNUMBER(AH94)),V94+AH94,""))</f>
        <v>20019.05</v>
      </c>
      <c r="K94" s="38" t="n">
        <f aca="false">IF($A94="","",IF(AND(ISNUMBER(W94),ISNUMBER(AI94)),W94+AI94,""))</f>
        <v>20604.01</v>
      </c>
      <c r="L94" s="38" t="n">
        <f aca="false">IF($A94="","",IF(AND(ISNUMBER(X94),ISNUMBER(AJ94)),X94+AJ94,""))</f>
        <v>21200.93</v>
      </c>
      <c r="M94" s="38" t="n">
        <f aca="false">IF($A94="","",IF(AND(ISNUMBER(Y94),ISNUMBER(AK94)),Y94+AK94,""))</f>
        <v>21886.6</v>
      </c>
      <c r="N94" s="38" t="n">
        <f aca="false">IF($A94="","",IF(AND(ISNUMBER(Z94),ISNUMBER(AL94)),Z94+AL94,""))</f>
        <v>22592.07</v>
      </c>
      <c r="O94" s="38" t="n">
        <f aca="false">IF($A94="","",IF(AND(ISNUMBER(AA94),ISNUMBER(AM94)),AA94+AM94,""))</f>
        <v>23279.84</v>
      </c>
      <c r="P94" s="38" t="n">
        <f aca="false">IF($A94="","",IFERROR(1/(1/IF($B94="Residential",SUMIFS(INDEX('Oxford Economics'!$A$7:$AZ$1000,0,IFERROR(MATCH(P$5,'Oxford Economics'!$A$6:$AZ$6,0),MATCH(P$5&amp;"",'Oxford Economics'!$A$6:$AZ$6,0))),'Oxford Economics'!$A$7:$A$1000,$C94,'Oxford Economics'!$B$7:$B$1000,Settings!$B$13)-SUMIFS(INDEX('Oxford Economics'!$A$7:$AZ$1000,0,IFERROR(MATCH(P$5,'Oxford Economics'!$A$6:$AZ$6,0),MATCH(P$5&amp;"",'Oxford Economics'!$A$6:$AZ$6,0))),'Oxford Economics'!$A$7:$A$1000,$C94,'Oxford Economics'!$B$7:$B$1000,Settings!$B$15),SUMIFS(INDEX('Oxford Economics'!$A$7:$AZ$1000,0,IFERROR(MATCH(P$5,'Oxford Economics'!$A$6:$AZ$6,0),MATCH(P$5&amp;"",'Oxford Economics'!$A$6:$AZ$6,0))),'Oxford Economics'!$A$7:$A$1000,$C94,'Oxford Economics'!$B$7:$B$1000,Settings!$B$15)+SUMIFS(INDEX('Oxford Economics'!$A$7:$AZ$1000,0,IFERROR(MATCH(P$5,'Oxford Economics'!$A$6:$AZ$6,0),MATCH(P$5&amp;"",'Oxford Economics'!$A$6:$AZ$6,0))),'Oxford Economics'!$A$7:$A$1000,$C94,'Oxford Economics'!$B$7:$B$1000,Settings!$B$17)+IF(Settings!$B$19="",0,SUMIFS(INDEX('Oxford Economics'!$A$7:$AZ$1000,0,IFERROR(MATCH(P$5,'Oxford Economics'!$A$6:$AZ$6,0),MATCH(P$5&amp;"",'Oxford Economics'!$A$6:$AZ$6,0))),'Oxford Economics'!$A$7:$A$1000,$C94,'Oxford Economics'!$B$7:$B$1000,Settings!$B$19)))),""))</f>
        <v>9544.66</v>
      </c>
      <c r="Q94" s="38" t="n">
        <f aca="false">IF($A94="","",IFERROR(1/(1/IF($B94="Residential",SUMIFS(INDEX('Oxford Economics'!$A$7:$AZ$1000,0,IFERROR(MATCH(Q$5,'Oxford Economics'!$A$6:$AZ$6,0),MATCH(Q$5&amp;"",'Oxford Economics'!$A$6:$AZ$6,0))),'Oxford Economics'!$A$7:$A$1000,$C94,'Oxford Economics'!$B$7:$B$1000,Settings!$B$13)-SUMIFS(INDEX('Oxford Economics'!$A$7:$AZ$1000,0,IFERROR(MATCH(Q$5,'Oxford Economics'!$A$6:$AZ$6,0),MATCH(Q$5&amp;"",'Oxford Economics'!$A$6:$AZ$6,0))),'Oxford Economics'!$A$7:$A$1000,$C94,'Oxford Economics'!$B$7:$B$1000,Settings!$B$15),SUMIFS(INDEX('Oxford Economics'!$A$7:$AZ$1000,0,IFERROR(MATCH(Q$5,'Oxford Economics'!$A$6:$AZ$6,0),MATCH(Q$5&amp;"",'Oxford Economics'!$A$6:$AZ$6,0))),'Oxford Economics'!$A$7:$A$1000,$C94,'Oxford Economics'!$B$7:$B$1000,Settings!$B$15)+SUMIFS(INDEX('Oxford Economics'!$A$7:$AZ$1000,0,IFERROR(MATCH(Q$5,'Oxford Economics'!$A$6:$AZ$6,0),MATCH(Q$5&amp;"",'Oxford Economics'!$A$6:$AZ$6,0))),'Oxford Economics'!$A$7:$A$1000,$C94,'Oxford Economics'!$B$7:$B$1000,Settings!$B$17)+IF(Settings!$B$19="",0,SUMIFS(INDEX('Oxford Economics'!$A$7:$AZ$1000,0,IFERROR(MATCH(Q$5,'Oxford Economics'!$A$6:$AZ$6,0),MATCH(Q$5&amp;"",'Oxford Economics'!$A$6:$AZ$6,0))),'Oxford Economics'!$A$7:$A$1000,$C94,'Oxford Economics'!$B$7:$B$1000,Settings!$B$19)))),""))</f>
        <v>10726.92</v>
      </c>
      <c r="R94" s="38" t="n">
        <f aca="false">IF($A94="","",IFERROR(1/(1/IF($B94="Residential",SUMIFS(INDEX('Oxford Economics'!$A$7:$AZ$1000,0,IFERROR(MATCH(R$5,'Oxford Economics'!$A$6:$AZ$6,0),MATCH(R$5&amp;"",'Oxford Economics'!$A$6:$AZ$6,0))),'Oxford Economics'!$A$7:$A$1000,$C94,'Oxford Economics'!$B$7:$B$1000,Settings!$B$13)-SUMIFS(INDEX('Oxford Economics'!$A$7:$AZ$1000,0,IFERROR(MATCH(R$5,'Oxford Economics'!$A$6:$AZ$6,0),MATCH(R$5&amp;"",'Oxford Economics'!$A$6:$AZ$6,0))),'Oxford Economics'!$A$7:$A$1000,$C94,'Oxford Economics'!$B$7:$B$1000,Settings!$B$15),SUMIFS(INDEX('Oxford Economics'!$A$7:$AZ$1000,0,IFERROR(MATCH(R$5,'Oxford Economics'!$A$6:$AZ$6,0),MATCH(R$5&amp;"",'Oxford Economics'!$A$6:$AZ$6,0))),'Oxford Economics'!$A$7:$A$1000,$C94,'Oxford Economics'!$B$7:$B$1000,Settings!$B$15)+SUMIFS(INDEX('Oxford Economics'!$A$7:$AZ$1000,0,IFERROR(MATCH(R$5,'Oxford Economics'!$A$6:$AZ$6,0),MATCH(R$5&amp;"",'Oxford Economics'!$A$6:$AZ$6,0))),'Oxford Economics'!$A$7:$A$1000,$C94,'Oxford Economics'!$B$7:$B$1000,Settings!$B$17)+IF(Settings!$B$19="",0,SUMIFS(INDEX('Oxford Economics'!$A$7:$AZ$1000,0,IFERROR(MATCH(R$5,'Oxford Economics'!$A$6:$AZ$6,0),MATCH(R$5&amp;"",'Oxford Economics'!$A$6:$AZ$6,0))),'Oxford Economics'!$A$7:$A$1000,$C94,'Oxford Economics'!$B$7:$B$1000,Settings!$B$19)))),""))</f>
        <v>11012.17</v>
      </c>
      <c r="S94" s="38" t="n">
        <f aca="false">IF($A94="","",IFERROR(1/(1/IF($B94="Residential",SUMIFS(INDEX('Oxford Economics'!$A$7:$AZ$1000,0,IFERROR(MATCH(S$5,'Oxford Economics'!$A$6:$AZ$6,0),MATCH(S$5&amp;"",'Oxford Economics'!$A$6:$AZ$6,0))),'Oxford Economics'!$A$7:$A$1000,$C94,'Oxford Economics'!$B$7:$B$1000,Settings!$B$13)-SUMIFS(INDEX('Oxford Economics'!$A$7:$AZ$1000,0,IFERROR(MATCH(S$5,'Oxford Economics'!$A$6:$AZ$6,0),MATCH(S$5&amp;"",'Oxford Economics'!$A$6:$AZ$6,0))),'Oxford Economics'!$A$7:$A$1000,$C94,'Oxford Economics'!$B$7:$B$1000,Settings!$B$15),SUMIFS(INDEX('Oxford Economics'!$A$7:$AZ$1000,0,IFERROR(MATCH(S$5,'Oxford Economics'!$A$6:$AZ$6,0),MATCH(S$5&amp;"",'Oxford Economics'!$A$6:$AZ$6,0))),'Oxford Economics'!$A$7:$A$1000,$C94,'Oxford Economics'!$B$7:$B$1000,Settings!$B$15)+SUMIFS(INDEX('Oxford Economics'!$A$7:$AZ$1000,0,IFERROR(MATCH(S$5,'Oxford Economics'!$A$6:$AZ$6,0),MATCH(S$5&amp;"",'Oxford Economics'!$A$6:$AZ$6,0))),'Oxford Economics'!$A$7:$A$1000,$C94,'Oxford Economics'!$B$7:$B$1000,Settings!$B$17)+IF(Settings!$B$19="",0,SUMIFS(INDEX('Oxford Economics'!$A$7:$AZ$1000,0,IFERROR(MATCH(S$5,'Oxford Economics'!$A$6:$AZ$6,0),MATCH(S$5&amp;"",'Oxford Economics'!$A$6:$AZ$6,0))),'Oxford Economics'!$A$7:$A$1000,$C94,'Oxford Economics'!$B$7:$B$1000,Settings!$B$19)))),""))</f>
        <v>11107.61</v>
      </c>
      <c r="T94" s="38" t="n">
        <f aca="false">IF($A94="","",IFERROR(1/(1/IF($B94="Residential",SUMIFS(INDEX('Oxford Economics'!$A$7:$AZ$1000,0,IFERROR(MATCH(T$5,'Oxford Economics'!$A$6:$AZ$6,0),MATCH(T$5&amp;"",'Oxford Economics'!$A$6:$AZ$6,0))),'Oxford Economics'!$A$7:$A$1000,$C94,'Oxford Economics'!$B$7:$B$1000,Settings!$B$13)-SUMIFS(INDEX('Oxford Economics'!$A$7:$AZ$1000,0,IFERROR(MATCH(T$5,'Oxford Economics'!$A$6:$AZ$6,0),MATCH(T$5&amp;"",'Oxford Economics'!$A$6:$AZ$6,0))),'Oxford Economics'!$A$7:$A$1000,$C94,'Oxford Economics'!$B$7:$B$1000,Settings!$B$15),SUMIFS(INDEX('Oxford Economics'!$A$7:$AZ$1000,0,IFERROR(MATCH(T$5,'Oxford Economics'!$A$6:$AZ$6,0),MATCH(T$5&amp;"",'Oxford Economics'!$A$6:$AZ$6,0))),'Oxford Economics'!$A$7:$A$1000,$C94,'Oxford Economics'!$B$7:$B$1000,Settings!$B$15)+SUMIFS(INDEX('Oxford Economics'!$A$7:$AZ$1000,0,IFERROR(MATCH(T$5,'Oxford Economics'!$A$6:$AZ$6,0),MATCH(T$5&amp;"",'Oxford Economics'!$A$6:$AZ$6,0))),'Oxford Economics'!$A$7:$A$1000,$C94,'Oxford Economics'!$B$7:$B$1000,Settings!$B$17)+IF(Settings!$B$19="",0,SUMIFS(INDEX('Oxford Economics'!$A$7:$AZ$1000,0,IFERROR(MATCH(T$5,'Oxford Economics'!$A$6:$AZ$6,0),MATCH(T$5&amp;"",'Oxford Economics'!$A$6:$AZ$6,0))),'Oxford Economics'!$A$7:$A$1000,$C94,'Oxford Economics'!$B$7:$B$1000,Settings!$B$19)))),""))</f>
        <v>11312.89</v>
      </c>
      <c r="U94" s="38" t="n">
        <f aca="false">IF($A94="","",IFERROR(1/(1/IF($B94="Residential",SUMIFS(INDEX('Oxford Economics'!$A$7:$AZ$1000,0,IFERROR(MATCH(U$5,'Oxford Economics'!$A$6:$AZ$6,0),MATCH(U$5&amp;"",'Oxford Economics'!$A$6:$AZ$6,0))),'Oxford Economics'!$A$7:$A$1000,$C94,'Oxford Economics'!$B$7:$B$1000,Settings!$B$13)-SUMIFS(INDEX('Oxford Economics'!$A$7:$AZ$1000,0,IFERROR(MATCH(U$5,'Oxford Economics'!$A$6:$AZ$6,0),MATCH(U$5&amp;"",'Oxford Economics'!$A$6:$AZ$6,0))),'Oxford Economics'!$A$7:$A$1000,$C94,'Oxford Economics'!$B$7:$B$1000,Settings!$B$15),SUMIFS(INDEX('Oxford Economics'!$A$7:$AZ$1000,0,IFERROR(MATCH(U$5,'Oxford Economics'!$A$6:$AZ$6,0),MATCH(U$5&amp;"",'Oxford Economics'!$A$6:$AZ$6,0))),'Oxford Economics'!$A$7:$A$1000,$C94,'Oxford Economics'!$B$7:$B$1000,Settings!$B$15)+SUMIFS(INDEX('Oxford Economics'!$A$7:$AZ$1000,0,IFERROR(MATCH(U$5,'Oxford Economics'!$A$6:$AZ$6,0),MATCH(U$5&amp;"",'Oxford Economics'!$A$6:$AZ$6,0))),'Oxford Economics'!$A$7:$A$1000,$C94,'Oxford Economics'!$B$7:$B$1000,Settings!$B$17)+IF(Settings!$B$19="",0,SUMIFS(INDEX('Oxford Economics'!$A$7:$AZ$1000,0,IFERROR(MATCH(U$5,'Oxford Economics'!$A$6:$AZ$6,0),MATCH(U$5&amp;"",'Oxford Economics'!$A$6:$AZ$6,0))),'Oxford Economics'!$A$7:$A$1000,$C94,'Oxford Economics'!$B$7:$B$1000,Settings!$B$19)))),""))</f>
        <v>11539.3</v>
      </c>
      <c r="V94" s="38" t="n">
        <f aca="false">IF($A94="","",IFERROR(1/(1/IF($B94="Residential",SUMIFS(INDEX('Oxford Economics'!$A$7:$AZ$1000,0,IFERROR(MATCH(V$5,'Oxford Economics'!$A$6:$AZ$6,0),MATCH(V$5&amp;"",'Oxford Economics'!$A$6:$AZ$6,0))),'Oxford Economics'!$A$7:$A$1000,$C94,'Oxford Economics'!$B$7:$B$1000,Settings!$B$13)-SUMIFS(INDEX('Oxford Economics'!$A$7:$AZ$1000,0,IFERROR(MATCH(V$5,'Oxford Economics'!$A$6:$AZ$6,0),MATCH(V$5&amp;"",'Oxford Economics'!$A$6:$AZ$6,0))),'Oxford Economics'!$A$7:$A$1000,$C94,'Oxford Economics'!$B$7:$B$1000,Settings!$B$15),SUMIFS(INDEX('Oxford Economics'!$A$7:$AZ$1000,0,IFERROR(MATCH(V$5,'Oxford Economics'!$A$6:$AZ$6,0),MATCH(V$5&amp;"",'Oxford Economics'!$A$6:$AZ$6,0))),'Oxford Economics'!$A$7:$A$1000,$C94,'Oxford Economics'!$B$7:$B$1000,Settings!$B$15)+SUMIFS(INDEX('Oxford Economics'!$A$7:$AZ$1000,0,IFERROR(MATCH(V$5,'Oxford Economics'!$A$6:$AZ$6,0),MATCH(V$5&amp;"",'Oxford Economics'!$A$6:$AZ$6,0))),'Oxford Economics'!$A$7:$A$1000,$C94,'Oxford Economics'!$B$7:$B$1000,Settings!$B$17)+IF(Settings!$B$19="",0,SUMIFS(INDEX('Oxford Economics'!$A$7:$AZ$1000,0,IFERROR(MATCH(V$5,'Oxford Economics'!$A$6:$AZ$6,0),MATCH(V$5&amp;"",'Oxford Economics'!$A$6:$AZ$6,0))),'Oxford Economics'!$A$7:$A$1000,$C94,'Oxford Economics'!$B$7:$B$1000,Settings!$B$19)))),""))</f>
        <v>11755.23</v>
      </c>
      <c r="W94" s="38" t="n">
        <f aca="false">IF($A94="","",IFERROR(1/(1/IF($B94="Residential",SUMIFS(INDEX('Oxford Economics'!$A$7:$AZ$1000,0,IFERROR(MATCH(W$5,'Oxford Economics'!$A$6:$AZ$6,0),MATCH(W$5&amp;"",'Oxford Economics'!$A$6:$AZ$6,0))),'Oxford Economics'!$A$7:$A$1000,$C94,'Oxford Economics'!$B$7:$B$1000,Settings!$B$13)-SUMIFS(INDEX('Oxford Economics'!$A$7:$AZ$1000,0,IFERROR(MATCH(W$5,'Oxford Economics'!$A$6:$AZ$6,0),MATCH(W$5&amp;"",'Oxford Economics'!$A$6:$AZ$6,0))),'Oxford Economics'!$A$7:$A$1000,$C94,'Oxford Economics'!$B$7:$B$1000,Settings!$B$15),SUMIFS(INDEX('Oxford Economics'!$A$7:$AZ$1000,0,IFERROR(MATCH(W$5,'Oxford Economics'!$A$6:$AZ$6,0),MATCH(W$5&amp;"",'Oxford Economics'!$A$6:$AZ$6,0))),'Oxford Economics'!$A$7:$A$1000,$C94,'Oxford Economics'!$B$7:$B$1000,Settings!$B$15)+SUMIFS(INDEX('Oxford Economics'!$A$7:$AZ$1000,0,IFERROR(MATCH(W$5,'Oxford Economics'!$A$6:$AZ$6,0),MATCH(W$5&amp;"",'Oxford Economics'!$A$6:$AZ$6,0))),'Oxford Economics'!$A$7:$A$1000,$C94,'Oxford Economics'!$B$7:$B$1000,Settings!$B$17)+IF(Settings!$B$19="",0,SUMIFS(INDEX('Oxford Economics'!$A$7:$AZ$1000,0,IFERROR(MATCH(W$5,'Oxford Economics'!$A$6:$AZ$6,0),MATCH(W$5&amp;"",'Oxford Economics'!$A$6:$AZ$6,0))),'Oxford Economics'!$A$7:$A$1000,$C94,'Oxford Economics'!$B$7:$B$1000,Settings!$B$19)))),""))</f>
        <v>12219.74</v>
      </c>
      <c r="X94" s="38" t="n">
        <f aca="false">IF($A94="","",IFERROR(1/(1/IF($B94="Residential",SUMIFS(INDEX('Oxford Economics'!$A$7:$AZ$1000,0,IFERROR(MATCH(X$5,'Oxford Economics'!$A$6:$AZ$6,0),MATCH(X$5&amp;"",'Oxford Economics'!$A$6:$AZ$6,0))),'Oxford Economics'!$A$7:$A$1000,$C94,'Oxford Economics'!$B$7:$B$1000,Settings!$B$13)-SUMIFS(INDEX('Oxford Economics'!$A$7:$AZ$1000,0,IFERROR(MATCH(X$5,'Oxford Economics'!$A$6:$AZ$6,0),MATCH(X$5&amp;"",'Oxford Economics'!$A$6:$AZ$6,0))),'Oxford Economics'!$A$7:$A$1000,$C94,'Oxford Economics'!$B$7:$B$1000,Settings!$B$15),SUMIFS(INDEX('Oxford Economics'!$A$7:$AZ$1000,0,IFERROR(MATCH(X$5,'Oxford Economics'!$A$6:$AZ$6,0),MATCH(X$5&amp;"",'Oxford Economics'!$A$6:$AZ$6,0))),'Oxford Economics'!$A$7:$A$1000,$C94,'Oxford Economics'!$B$7:$B$1000,Settings!$B$15)+SUMIFS(INDEX('Oxford Economics'!$A$7:$AZ$1000,0,IFERROR(MATCH(X$5,'Oxford Economics'!$A$6:$AZ$6,0),MATCH(X$5&amp;"",'Oxford Economics'!$A$6:$AZ$6,0))),'Oxford Economics'!$A$7:$A$1000,$C94,'Oxford Economics'!$B$7:$B$1000,Settings!$B$17)+IF(Settings!$B$19="",0,SUMIFS(INDEX('Oxford Economics'!$A$7:$AZ$1000,0,IFERROR(MATCH(X$5,'Oxford Economics'!$A$6:$AZ$6,0),MATCH(X$5&amp;"",'Oxford Economics'!$A$6:$AZ$6,0))),'Oxford Economics'!$A$7:$A$1000,$C94,'Oxford Economics'!$B$7:$B$1000,Settings!$B$19)))),""))</f>
        <v>12720.39</v>
      </c>
      <c r="Y94" s="38" t="n">
        <f aca="false">IF($A94="","",IFERROR(1/(1/IF($B94="Residential",SUMIFS(INDEX('Oxford Economics'!$A$7:$AZ$1000,0,IFERROR(MATCH(Y$5,'Oxford Economics'!$A$6:$AZ$6,0),MATCH(Y$5&amp;"",'Oxford Economics'!$A$6:$AZ$6,0))),'Oxford Economics'!$A$7:$A$1000,$C94,'Oxford Economics'!$B$7:$B$1000,Settings!$B$13)-SUMIFS(INDEX('Oxford Economics'!$A$7:$AZ$1000,0,IFERROR(MATCH(Y$5,'Oxford Economics'!$A$6:$AZ$6,0),MATCH(Y$5&amp;"",'Oxford Economics'!$A$6:$AZ$6,0))),'Oxford Economics'!$A$7:$A$1000,$C94,'Oxford Economics'!$B$7:$B$1000,Settings!$B$15),SUMIFS(INDEX('Oxford Economics'!$A$7:$AZ$1000,0,IFERROR(MATCH(Y$5,'Oxford Economics'!$A$6:$AZ$6,0),MATCH(Y$5&amp;"",'Oxford Economics'!$A$6:$AZ$6,0))),'Oxford Economics'!$A$7:$A$1000,$C94,'Oxford Economics'!$B$7:$B$1000,Settings!$B$15)+SUMIFS(INDEX('Oxford Economics'!$A$7:$AZ$1000,0,IFERROR(MATCH(Y$5,'Oxford Economics'!$A$6:$AZ$6,0),MATCH(Y$5&amp;"",'Oxford Economics'!$A$6:$AZ$6,0))),'Oxford Economics'!$A$7:$A$1000,$C94,'Oxford Economics'!$B$7:$B$1000,Settings!$B$17)+IF(Settings!$B$19="",0,SUMIFS(INDEX('Oxford Economics'!$A$7:$AZ$1000,0,IFERROR(MATCH(Y$5,'Oxford Economics'!$A$6:$AZ$6,0),MATCH(Y$5&amp;"",'Oxford Economics'!$A$6:$AZ$6,0))),'Oxford Economics'!$A$7:$A$1000,$C94,'Oxford Economics'!$B$7:$B$1000,Settings!$B$19)))),""))</f>
        <v>13286.88</v>
      </c>
      <c r="Z94" s="38" t="n">
        <f aca="false">IF($A94="","",IFERROR(1/(1/IF($B94="Residential",SUMIFS(INDEX('Oxford Economics'!$A$7:$AZ$1000,0,IFERROR(MATCH(Z$5,'Oxford Economics'!$A$6:$AZ$6,0),MATCH(Z$5&amp;"",'Oxford Economics'!$A$6:$AZ$6,0))),'Oxford Economics'!$A$7:$A$1000,$C94,'Oxford Economics'!$B$7:$B$1000,Settings!$B$13)-SUMIFS(INDEX('Oxford Economics'!$A$7:$AZ$1000,0,IFERROR(MATCH(Z$5,'Oxford Economics'!$A$6:$AZ$6,0),MATCH(Z$5&amp;"",'Oxford Economics'!$A$6:$AZ$6,0))),'Oxford Economics'!$A$7:$A$1000,$C94,'Oxford Economics'!$B$7:$B$1000,Settings!$B$15),SUMIFS(INDEX('Oxford Economics'!$A$7:$AZ$1000,0,IFERROR(MATCH(Z$5,'Oxford Economics'!$A$6:$AZ$6,0),MATCH(Z$5&amp;"",'Oxford Economics'!$A$6:$AZ$6,0))),'Oxford Economics'!$A$7:$A$1000,$C94,'Oxford Economics'!$B$7:$B$1000,Settings!$B$15)+SUMIFS(INDEX('Oxford Economics'!$A$7:$AZ$1000,0,IFERROR(MATCH(Z$5,'Oxford Economics'!$A$6:$AZ$6,0),MATCH(Z$5&amp;"",'Oxford Economics'!$A$6:$AZ$6,0))),'Oxford Economics'!$A$7:$A$1000,$C94,'Oxford Economics'!$B$7:$B$1000,Settings!$B$17)+IF(Settings!$B$19="",0,SUMIFS(INDEX('Oxford Economics'!$A$7:$AZ$1000,0,IFERROR(MATCH(Z$5,'Oxford Economics'!$A$6:$AZ$6,0),MATCH(Z$5&amp;"",'Oxford Economics'!$A$6:$AZ$6,0))),'Oxford Economics'!$A$7:$A$1000,$C94,'Oxford Economics'!$B$7:$B$1000,Settings!$B$19)))),""))</f>
        <v>13814.27</v>
      </c>
      <c r="AA94" s="38" t="n">
        <f aca="false">IF($A94="","",IFERROR(1/(1/IF($B94="Residential",SUMIFS(INDEX('Oxford Economics'!$A$7:$AZ$1000,0,IFERROR(MATCH(AA$5,'Oxford Economics'!$A$6:$AZ$6,0),MATCH(AA$5&amp;"",'Oxford Economics'!$A$6:$AZ$6,0))),'Oxford Economics'!$A$7:$A$1000,$C94,'Oxford Economics'!$B$7:$B$1000,Settings!$B$13)-SUMIFS(INDEX('Oxford Economics'!$A$7:$AZ$1000,0,IFERROR(MATCH(AA$5,'Oxford Economics'!$A$6:$AZ$6,0),MATCH(AA$5&amp;"",'Oxford Economics'!$A$6:$AZ$6,0))),'Oxford Economics'!$A$7:$A$1000,$C94,'Oxford Economics'!$B$7:$B$1000,Settings!$B$15),SUMIFS(INDEX('Oxford Economics'!$A$7:$AZ$1000,0,IFERROR(MATCH(AA$5,'Oxford Economics'!$A$6:$AZ$6,0),MATCH(AA$5&amp;"",'Oxford Economics'!$A$6:$AZ$6,0))),'Oxford Economics'!$A$7:$A$1000,$C94,'Oxford Economics'!$B$7:$B$1000,Settings!$B$15)+SUMIFS(INDEX('Oxford Economics'!$A$7:$AZ$1000,0,IFERROR(MATCH(AA$5,'Oxford Economics'!$A$6:$AZ$6,0),MATCH(AA$5&amp;"",'Oxford Economics'!$A$6:$AZ$6,0))),'Oxford Economics'!$A$7:$A$1000,$C94,'Oxford Economics'!$B$7:$B$1000,Settings!$B$17)+IF(Settings!$B$19="",0,SUMIFS(INDEX('Oxford Economics'!$A$7:$AZ$1000,0,IFERROR(MATCH(AA$5,'Oxford Economics'!$A$6:$AZ$6,0),MATCH(AA$5&amp;"",'Oxford Economics'!$A$6:$AZ$6,0))),'Oxford Economics'!$A$7:$A$1000,$C94,'Oxford Economics'!$B$7:$B$1000,Settings!$B$19)))),""))</f>
        <v>14149.44</v>
      </c>
      <c r="AB94" s="38" t="n">
        <f aca="false">IF($A94="","",IFERROR(1/(1/IF($B94="Residential",SUMIFS(INDEX('Oxford Economics'!$A$7:$AZ$1000,0,IFERROR(MATCH(AB$5,'Oxford Economics'!$A$6:$AZ$6,0),MATCH(AB$5&amp;"",'Oxford Economics'!$A$6:$AZ$6,0))),'Oxford Economics'!$A$7:$A$1000,$C94,'Oxford Economics'!$B$7:$B$1000,Settings!$B$12)-SUMIFS(INDEX('Oxford Economics'!$A$7:$AZ$1000,0,IFERROR(MATCH(AB$5,'Oxford Economics'!$A$6:$AZ$6,0),MATCH(AB$5&amp;"",'Oxford Economics'!$A$6:$AZ$6,0))),'Oxford Economics'!$A$7:$A$1000,$C94,'Oxford Economics'!$B$7:$B$1000,Settings!$B$14),SUMIFS(INDEX('Oxford Economics'!$A$7:$AZ$1000,0,IFERROR(MATCH(AB$5,'Oxford Economics'!$A$6:$AZ$6,0),MATCH(AB$5&amp;"",'Oxford Economics'!$A$6:$AZ$6,0))),'Oxford Economics'!$A$7:$A$1000,$C94,'Oxford Economics'!$B$7:$B$1000,Settings!$B$14)+SUMIFS(INDEX('Oxford Economics'!$A$7:$AZ$1000,0,IFERROR(MATCH(AB$5,'Oxford Economics'!$A$6:$AZ$6,0),MATCH(AB$5&amp;"",'Oxford Economics'!$A$6:$AZ$6,0))),'Oxford Economics'!$A$7:$A$1000,$C94,'Oxford Economics'!$B$7:$B$1000,Settings!$B$16)+IF(Settings!$B$18="",0,SUMIFS(INDEX('Oxford Economics'!$A$7:$AZ$1000,0,IFERROR(MATCH(AB$5,'Oxford Economics'!$A$6:$AZ$6,0),MATCH(AB$5&amp;"",'Oxford Economics'!$A$6:$AZ$6,0))),'Oxford Economics'!$A$7:$A$1000,$C94,'Oxford Economics'!$B$7:$B$1000,Settings!$B$18)))),""))</f>
        <v>7755.72</v>
      </c>
      <c r="AC94" s="38" t="n">
        <f aca="false">IF($A94="","",IFERROR(1/(1/IF($B94="Residential",SUMIFS(INDEX('Oxford Economics'!$A$7:$AZ$1000,0,IFERROR(MATCH(AC$5,'Oxford Economics'!$A$6:$AZ$6,0),MATCH(AC$5&amp;"",'Oxford Economics'!$A$6:$AZ$6,0))),'Oxford Economics'!$A$7:$A$1000,$C94,'Oxford Economics'!$B$7:$B$1000,Settings!$B$12)-SUMIFS(INDEX('Oxford Economics'!$A$7:$AZ$1000,0,IFERROR(MATCH(AC$5,'Oxford Economics'!$A$6:$AZ$6,0),MATCH(AC$5&amp;"",'Oxford Economics'!$A$6:$AZ$6,0))),'Oxford Economics'!$A$7:$A$1000,$C94,'Oxford Economics'!$B$7:$B$1000,Settings!$B$14),SUMIFS(INDEX('Oxford Economics'!$A$7:$AZ$1000,0,IFERROR(MATCH(AC$5,'Oxford Economics'!$A$6:$AZ$6,0),MATCH(AC$5&amp;"",'Oxford Economics'!$A$6:$AZ$6,0))),'Oxford Economics'!$A$7:$A$1000,$C94,'Oxford Economics'!$B$7:$B$1000,Settings!$B$14)+SUMIFS(INDEX('Oxford Economics'!$A$7:$AZ$1000,0,IFERROR(MATCH(AC$5,'Oxford Economics'!$A$6:$AZ$6,0),MATCH(AC$5&amp;"",'Oxford Economics'!$A$6:$AZ$6,0))),'Oxford Economics'!$A$7:$A$1000,$C94,'Oxford Economics'!$B$7:$B$1000,Settings!$B$16)+IF(Settings!$B$18="",0,SUMIFS(INDEX('Oxford Economics'!$A$7:$AZ$1000,0,IFERROR(MATCH(AC$5,'Oxford Economics'!$A$6:$AZ$6,0),MATCH(AC$5&amp;"",'Oxford Economics'!$A$6:$AZ$6,0))),'Oxford Economics'!$A$7:$A$1000,$C94,'Oxford Economics'!$B$7:$B$1000,Settings!$B$18)))),""))</f>
        <v>8361.32</v>
      </c>
      <c r="AD94" s="38" t="n">
        <f aca="false">IF($A94="","",IFERROR(1/(1/IF($B94="Residential",SUMIFS(INDEX('Oxford Economics'!$A$7:$AZ$1000,0,IFERROR(MATCH(AD$5,'Oxford Economics'!$A$6:$AZ$6,0),MATCH(AD$5&amp;"",'Oxford Economics'!$A$6:$AZ$6,0))),'Oxford Economics'!$A$7:$A$1000,$C94,'Oxford Economics'!$B$7:$B$1000,Settings!$B$12)-SUMIFS(INDEX('Oxford Economics'!$A$7:$AZ$1000,0,IFERROR(MATCH(AD$5,'Oxford Economics'!$A$6:$AZ$6,0),MATCH(AD$5&amp;"",'Oxford Economics'!$A$6:$AZ$6,0))),'Oxford Economics'!$A$7:$A$1000,$C94,'Oxford Economics'!$B$7:$B$1000,Settings!$B$14),SUMIFS(INDEX('Oxford Economics'!$A$7:$AZ$1000,0,IFERROR(MATCH(AD$5,'Oxford Economics'!$A$6:$AZ$6,0),MATCH(AD$5&amp;"",'Oxford Economics'!$A$6:$AZ$6,0))),'Oxford Economics'!$A$7:$A$1000,$C94,'Oxford Economics'!$B$7:$B$1000,Settings!$B$14)+SUMIFS(INDEX('Oxford Economics'!$A$7:$AZ$1000,0,IFERROR(MATCH(AD$5,'Oxford Economics'!$A$6:$AZ$6,0),MATCH(AD$5&amp;"",'Oxford Economics'!$A$6:$AZ$6,0))),'Oxford Economics'!$A$7:$A$1000,$C94,'Oxford Economics'!$B$7:$B$1000,Settings!$B$16)+IF(Settings!$B$18="",0,SUMIFS(INDEX('Oxford Economics'!$A$7:$AZ$1000,0,IFERROR(MATCH(AD$5,'Oxford Economics'!$A$6:$AZ$6,0),MATCH(AD$5&amp;"",'Oxford Economics'!$A$6:$AZ$6,0))),'Oxford Economics'!$A$7:$A$1000,$C94,'Oxford Economics'!$B$7:$B$1000,Settings!$B$18)))),""))</f>
        <v>8156.3</v>
      </c>
      <c r="AE94" s="38" t="n">
        <f aca="false">IF($A94="","",IFERROR(1/(1/IF($B94="Residential",SUMIFS(INDEX('Oxford Economics'!$A$7:$AZ$1000,0,IFERROR(MATCH(AE$5,'Oxford Economics'!$A$6:$AZ$6,0),MATCH(AE$5&amp;"",'Oxford Economics'!$A$6:$AZ$6,0))),'Oxford Economics'!$A$7:$A$1000,$C94,'Oxford Economics'!$B$7:$B$1000,Settings!$B$12)-SUMIFS(INDEX('Oxford Economics'!$A$7:$AZ$1000,0,IFERROR(MATCH(AE$5,'Oxford Economics'!$A$6:$AZ$6,0),MATCH(AE$5&amp;"",'Oxford Economics'!$A$6:$AZ$6,0))),'Oxford Economics'!$A$7:$A$1000,$C94,'Oxford Economics'!$B$7:$B$1000,Settings!$B$14),SUMIFS(INDEX('Oxford Economics'!$A$7:$AZ$1000,0,IFERROR(MATCH(AE$5,'Oxford Economics'!$A$6:$AZ$6,0),MATCH(AE$5&amp;"",'Oxford Economics'!$A$6:$AZ$6,0))),'Oxford Economics'!$A$7:$A$1000,$C94,'Oxford Economics'!$B$7:$B$1000,Settings!$B$14)+SUMIFS(INDEX('Oxford Economics'!$A$7:$AZ$1000,0,IFERROR(MATCH(AE$5,'Oxford Economics'!$A$6:$AZ$6,0),MATCH(AE$5&amp;"",'Oxford Economics'!$A$6:$AZ$6,0))),'Oxford Economics'!$A$7:$A$1000,$C94,'Oxford Economics'!$B$7:$B$1000,Settings!$B$16)+IF(Settings!$B$18="",0,SUMIFS(INDEX('Oxford Economics'!$A$7:$AZ$1000,0,IFERROR(MATCH(AE$5,'Oxford Economics'!$A$6:$AZ$6,0),MATCH(AE$5&amp;"",'Oxford Economics'!$A$6:$AZ$6,0))),'Oxford Economics'!$A$7:$A$1000,$C94,'Oxford Economics'!$B$7:$B$1000,Settings!$B$18)))),""))</f>
        <v>7946.37</v>
      </c>
      <c r="AF94" s="38" t="n">
        <f aca="false">IF($A94="","",IFERROR(1/(1/IF($B94="Residential",SUMIFS(INDEX('Oxford Economics'!$A$7:$AZ$1000,0,IFERROR(MATCH(AF$5,'Oxford Economics'!$A$6:$AZ$6,0),MATCH(AF$5&amp;"",'Oxford Economics'!$A$6:$AZ$6,0))),'Oxford Economics'!$A$7:$A$1000,$C94,'Oxford Economics'!$B$7:$B$1000,Settings!$B$12)-SUMIFS(INDEX('Oxford Economics'!$A$7:$AZ$1000,0,IFERROR(MATCH(AF$5,'Oxford Economics'!$A$6:$AZ$6,0),MATCH(AF$5&amp;"",'Oxford Economics'!$A$6:$AZ$6,0))),'Oxford Economics'!$A$7:$A$1000,$C94,'Oxford Economics'!$B$7:$B$1000,Settings!$B$14),SUMIFS(INDEX('Oxford Economics'!$A$7:$AZ$1000,0,IFERROR(MATCH(AF$5,'Oxford Economics'!$A$6:$AZ$6,0),MATCH(AF$5&amp;"",'Oxford Economics'!$A$6:$AZ$6,0))),'Oxford Economics'!$A$7:$A$1000,$C94,'Oxford Economics'!$B$7:$B$1000,Settings!$B$14)+SUMIFS(INDEX('Oxford Economics'!$A$7:$AZ$1000,0,IFERROR(MATCH(AF$5,'Oxford Economics'!$A$6:$AZ$6,0),MATCH(AF$5&amp;"",'Oxford Economics'!$A$6:$AZ$6,0))),'Oxford Economics'!$A$7:$A$1000,$C94,'Oxford Economics'!$B$7:$B$1000,Settings!$B$16)+IF(Settings!$B$18="",0,SUMIFS(INDEX('Oxford Economics'!$A$7:$AZ$1000,0,IFERROR(MATCH(AF$5,'Oxford Economics'!$A$6:$AZ$6,0),MATCH(AF$5&amp;"",'Oxford Economics'!$A$6:$AZ$6,0))),'Oxford Economics'!$A$7:$A$1000,$C94,'Oxford Economics'!$B$7:$B$1000,Settings!$B$18)))),""))</f>
        <v>8056.26</v>
      </c>
      <c r="AG94" s="38" t="n">
        <f aca="false">IF($A94="","",IFERROR(1/(1/IF($B94="Residential",SUMIFS(INDEX('Oxford Economics'!$A$7:$AZ$1000,0,IFERROR(MATCH(AG$5,'Oxford Economics'!$A$6:$AZ$6,0),MATCH(AG$5&amp;"",'Oxford Economics'!$A$6:$AZ$6,0))),'Oxford Economics'!$A$7:$A$1000,$C94,'Oxford Economics'!$B$7:$B$1000,Settings!$B$12)-SUMIFS(INDEX('Oxford Economics'!$A$7:$AZ$1000,0,IFERROR(MATCH(AG$5,'Oxford Economics'!$A$6:$AZ$6,0),MATCH(AG$5&amp;"",'Oxford Economics'!$A$6:$AZ$6,0))),'Oxford Economics'!$A$7:$A$1000,$C94,'Oxford Economics'!$B$7:$B$1000,Settings!$B$14),SUMIFS(INDEX('Oxford Economics'!$A$7:$AZ$1000,0,IFERROR(MATCH(AG$5,'Oxford Economics'!$A$6:$AZ$6,0),MATCH(AG$5&amp;"",'Oxford Economics'!$A$6:$AZ$6,0))),'Oxford Economics'!$A$7:$A$1000,$C94,'Oxford Economics'!$B$7:$B$1000,Settings!$B$14)+SUMIFS(INDEX('Oxford Economics'!$A$7:$AZ$1000,0,IFERROR(MATCH(AG$5,'Oxford Economics'!$A$6:$AZ$6,0),MATCH(AG$5&amp;"",'Oxford Economics'!$A$6:$AZ$6,0))),'Oxford Economics'!$A$7:$A$1000,$C94,'Oxford Economics'!$B$7:$B$1000,Settings!$B$16)+IF(Settings!$B$18="",0,SUMIFS(INDEX('Oxford Economics'!$A$7:$AZ$1000,0,IFERROR(MATCH(AG$5,'Oxford Economics'!$A$6:$AZ$6,0),MATCH(AG$5&amp;"",'Oxford Economics'!$A$6:$AZ$6,0))),'Oxford Economics'!$A$7:$A$1000,$C94,'Oxford Economics'!$B$7:$B$1000,Settings!$B$18)))),""))</f>
        <v>8123.39</v>
      </c>
      <c r="AH94" s="38" t="n">
        <f aca="false">IF($A94="","",IFERROR(1/(1/IF($B94="Residential",SUMIFS(INDEX('Oxford Economics'!$A$7:$AZ$1000,0,IFERROR(MATCH(AH$5,'Oxford Economics'!$A$6:$AZ$6,0),MATCH(AH$5&amp;"",'Oxford Economics'!$A$6:$AZ$6,0))),'Oxford Economics'!$A$7:$A$1000,$C94,'Oxford Economics'!$B$7:$B$1000,Settings!$B$12)-SUMIFS(INDEX('Oxford Economics'!$A$7:$AZ$1000,0,IFERROR(MATCH(AH$5,'Oxford Economics'!$A$6:$AZ$6,0),MATCH(AH$5&amp;"",'Oxford Economics'!$A$6:$AZ$6,0))),'Oxford Economics'!$A$7:$A$1000,$C94,'Oxford Economics'!$B$7:$B$1000,Settings!$B$14),SUMIFS(INDEX('Oxford Economics'!$A$7:$AZ$1000,0,IFERROR(MATCH(AH$5,'Oxford Economics'!$A$6:$AZ$6,0),MATCH(AH$5&amp;"",'Oxford Economics'!$A$6:$AZ$6,0))),'Oxford Economics'!$A$7:$A$1000,$C94,'Oxford Economics'!$B$7:$B$1000,Settings!$B$14)+SUMIFS(INDEX('Oxford Economics'!$A$7:$AZ$1000,0,IFERROR(MATCH(AH$5,'Oxford Economics'!$A$6:$AZ$6,0),MATCH(AH$5&amp;"",'Oxford Economics'!$A$6:$AZ$6,0))),'Oxford Economics'!$A$7:$A$1000,$C94,'Oxford Economics'!$B$7:$B$1000,Settings!$B$16)+IF(Settings!$B$18="",0,SUMIFS(INDEX('Oxford Economics'!$A$7:$AZ$1000,0,IFERROR(MATCH(AH$5,'Oxford Economics'!$A$6:$AZ$6,0),MATCH(AH$5&amp;"",'Oxford Economics'!$A$6:$AZ$6,0))),'Oxford Economics'!$A$7:$A$1000,$C94,'Oxford Economics'!$B$7:$B$1000,Settings!$B$18)))),""))</f>
        <v>8263.82</v>
      </c>
      <c r="AI94" s="38" t="n">
        <f aca="false">IF($A94="","",IFERROR(1/(1/IF($B94="Residential",SUMIFS(INDEX('Oxford Economics'!$A$7:$AZ$1000,0,IFERROR(MATCH(AI$5,'Oxford Economics'!$A$6:$AZ$6,0),MATCH(AI$5&amp;"",'Oxford Economics'!$A$6:$AZ$6,0))),'Oxford Economics'!$A$7:$A$1000,$C94,'Oxford Economics'!$B$7:$B$1000,Settings!$B$12)-SUMIFS(INDEX('Oxford Economics'!$A$7:$AZ$1000,0,IFERROR(MATCH(AI$5,'Oxford Economics'!$A$6:$AZ$6,0),MATCH(AI$5&amp;"",'Oxford Economics'!$A$6:$AZ$6,0))),'Oxford Economics'!$A$7:$A$1000,$C94,'Oxford Economics'!$B$7:$B$1000,Settings!$B$14),SUMIFS(INDEX('Oxford Economics'!$A$7:$AZ$1000,0,IFERROR(MATCH(AI$5,'Oxford Economics'!$A$6:$AZ$6,0),MATCH(AI$5&amp;"",'Oxford Economics'!$A$6:$AZ$6,0))),'Oxford Economics'!$A$7:$A$1000,$C94,'Oxford Economics'!$B$7:$B$1000,Settings!$B$14)+SUMIFS(INDEX('Oxford Economics'!$A$7:$AZ$1000,0,IFERROR(MATCH(AI$5,'Oxford Economics'!$A$6:$AZ$6,0),MATCH(AI$5&amp;"",'Oxford Economics'!$A$6:$AZ$6,0))),'Oxford Economics'!$A$7:$A$1000,$C94,'Oxford Economics'!$B$7:$B$1000,Settings!$B$16)+IF(Settings!$B$18="",0,SUMIFS(INDEX('Oxford Economics'!$A$7:$AZ$1000,0,IFERROR(MATCH(AI$5,'Oxford Economics'!$A$6:$AZ$6,0),MATCH(AI$5&amp;"",'Oxford Economics'!$A$6:$AZ$6,0))),'Oxford Economics'!$A$7:$A$1000,$C94,'Oxford Economics'!$B$7:$B$1000,Settings!$B$18)))),""))</f>
        <v>8384.27</v>
      </c>
      <c r="AJ94" s="38" t="n">
        <f aca="false">IF($A94="","",IFERROR(1/(1/IF($B94="Residential",SUMIFS(INDEX('Oxford Economics'!$A$7:$AZ$1000,0,IFERROR(MATCH(AJ$5,'Oxford Economics'!$A$6:$AZ$6,0),MATCH(AJ$5&amp;"",'Oxford Economics'!$A$6:$AZ$6,0))),'Oxford Economics'!$A$7:$A$1000,$C94,'Oxford Economics'!$B$7:$B$1000,Settings!$B$12)-SUMIFS(INDEX('Oxford Economics'!$A$7:$AZ$1000,0,IFERROR(MATCH(AJ$5,'Oxford Economics'!$A$6:$AZ$6,0),MATCH(AJ$5&amp;"",'Oxford Economics'!$A$6:$AZ$6,0))),'Oxford Economics'!$A$7:$A$1000,$C94,'Oxford Economics'!$B$7:$B$1000,Settings!$B$14),SUMIFS(INDEX('Oxford Economics'!$A$7:$AZ$1000,0,IFERROR(MATCH(AJ$5,'Oxford Economics'!$A$6:$AZ$6,0),MATCH(AJ$5&amp;"",'Oxford Economics'!$A$6:$AZ$6,0))),'Oxford Economics'!$A$7:$A$1000,$C94,'Oxford Economics'!$B$7:$B$1000,Settings!$B$14)+SUMIFS(INDEX('Oxford Economics'!$A$7:$AZ$1000,0,IFERROR(MATCH(AJ$5,'Oxford Economics'!$A$6:$AZ$6,0),MATCH(AJ$5&amp;"",'Oxford Economics'!$A$6:$AZ$6,0))),'Oxford Economics'!$A$7:$A$1000,$C94,'Oxford Economics'!$B$7:$B$1000,Settings!$B$16)+IF(Settings!$B$18="",0,SUMIFS(INDEX('Oxford Economics'!$A$7:$AZ$1000,0,IFERROR(MATCH(AJ$5,'Oxford Economics'!$A$6:$AZ$6,0),MATCH(AJ$5&amp;"",'Oxford Economics'!$A$6:$AZ$6,0))),'Oxford Economics'!$A$7:$A$1000,$C94,'Oxford Economics'!$B$7:$B$1000,Settings!$B$18)))),""))</f>
        <v>8480.54</v>
      </c>
      <c r="AK94" s="38" t="n">
        <f aca="false">IF($A94="","",IFERROR(1/(1/IF($B94="Residential",SUMIFS(INDEX('Oxford Economics'!$A$7:$AZ$1000,0,IFERROR(MATCH(AK$5,'Oxford Economics'!$A$6:$AZ$6,0),MATCH(AK$5&amp;"",'Oxford Economics'!$A$6:$AZ$6,0))),'Oxford Economics'!$A$7:$A$1000,$C94,'Oxford Economics'!$B$7:$B$1000,Settings!$B$12)-SUMIFS(INDEX('Oxford Economics'!$A$7:$AZ$1000,0,IFERROR(MATCH(AK$5,'Oxford Economics'!$A$6:$AZ$6,0),MATCH(AK$5&amp;"",'Oxford Economics'!$A$6:$AZ$6,0))),'Oxford Economics'!$A$7:$A$1000,$C94,'Oxford Economics'!$B$7:$B$1000,Settings!$B$14),SUMIFS(INDEX('Oxford Economics'!$A$7:$AZ$1000,0,IFERROR(MATCH(AK$5,'Oxford Economics'!$A$6:$AZ$6,0),MATCH(AK$5&amp;"",'Oxford Economics'!$A$6:$AZ$6,0))),'Oxford Economics'!$A$7:$A$1000,$C94,'Oxford Economics'!$B$7:$B$1000,Settings!$B$14)+SUMIFS(INDEX('Oxford Economics'!$A$7:$AZ$1000,0,IFERROR(MATCH(AK$5,'Oxford Economics'!$A$6:$AZ$6,0),MATCH(AK$5&amp;"",'Oxford Economics'!$A$6:$AZ$6,0))),'Oxford Economics'!$A$7:$A$1000,$C94,'Oxford Economics'!$B$7:$B$1000,Settings!$B$16)+IF(Settings!$B$18="",0,SUMIFS(INDEX('Oxford Economics'!$A$7:$AZ$1000,0,IFERROR(MATCH(AK$5,'Oxford Economics'!$A$6:$AZ$6,0),MATCH(AK$5&amp;"",'Oxford Economics'!$A$6:$AZ$6,0))),'Oxford Economics'!$A$7:$A$1000,$C94,'Oxford Economics'!$B$7:$B$1000,Settings!$B$18)))),""))</f>
        <v>8599.72</v>
      </c>
      <c r="AL94" s="38" t="n">
        <f aca="false">IF($A94="","",IFERROR(1/(1/IF($B94="Residential",SUMIFS(INDEX('Oxford Economics'!$A$7:$AZ$1000,0,IFERROR(MATCH(AL$5,'Oxford Economics'!$A$6:$AZ$6,0),MATCH(AL$5&amp;"",'Oxford Economics'!$A$6:$AZ$6,0))),'Oxford Economics'!$A$7:$A$1000,$C94,'Oxford Economics'!$B$7:$B$1000,Settings!$B$12)-SUMIFS(INDEX('Oxford Economics'!$A$7:$AZ$1000,0,IFERROR(MATCH(AL$5,'Oxford Economics'!$A$6:$AZ$6,0),MATCH(AL$5&amp;"",'Oxford Economics'!$A$6:$AZ$6,0))),'Oxford Economics'!$A$7:$A$1000,$C94,'Oxford Economics'!$B$7:$B$1000,Settings!$B$14),SUMIFS(INDEX('Oxford Economics'!$A$7:$AZ$1000,0,IFERROR(MATCH(AL$5,'Oxford Economics'!$A$6:$AZ$6,0),MATCH(AL$5&amp;"",'Oxford Economics'!$A$6:$AZ$6,0))),'Oxford Economics'!$A$7:$A$1000,$C94,'Oxford Economics'!$B$7:$B$1000,Settings!$B$14)+SUMIFS(INDEX('Oxford Economics'!$A$7:$AZ$1000,0,IFERROR(MATCH(AL$5,'Oxford Economics'!$A$6:$AZ$6,0),MATCH(AL$5&amp;"",'Oxford Economics'!$A$6:$AZ$6,0))),'Oxford Economics'!$A$7:$A$1000,$C94,'Oxford Economics'!$B$7:$B$1000,Settings!$B$16)+IF(Settings!$B$18="",0,SUMIFS(INDEX('Oxford Economics'!$A$7:$AZ$1000,0,IFERROR(MATCH(AL$5,'Oxford Economics'!$A$6:$AZ$6,0),MATCH(AL$5&amp;"",'Oxford Economics'!$A$6:$AZ$6,0))),'Oxford Economics'!$A$7:$A$1000,$C94,'Oxford Economics'!$B$7:$B$1000,Settings!$B$18)))),""))</f>
        <v>8777.8</v>
      </c>
      <c r="AM94" s="38" t="n">
        <f aca="false">IF($A94="","",IFERROR(1/(1/IF($B94="Residential",SUMIFS(INDEX('Oxford Economics'!$A$7:$AZ$1000,0,IFERROR(MATCH(AM$5,'Oxford Economics'!$A$6:$AZ$6,0),MATCH(AM$5&amp;"",'Oxford Economics'!$A$6:$AZ$6,0))),'Oxford Economics'!$A$7:$A$1000,$C94,'Oxford Economics'!$B$7:$B$1000,Settings!$B$12)-SUMIFS(INDEX('Oxford Economics'!$A$7:$AZ$1000,0,IFERROR(MATCH(AM$5,'Oxford Economics'!$A$6:$AZ$6,0),MATCH(AM$5&amp;"",'Oxford Economics'!$A$6:$AZ$6,0))),'Oxford Economics'!$A$7:$A$1000,$C94,'Oxford Economics'!$B$7:$B$1000,Settings!$B$14),SUMIFS(INDEX('Oxford Economics'!$A$7:$AZ$1000,0,IFERROR(MATCH(AM$5,'Oxford Economics'!$A$6:$AZ$6,0),MATCH(AM$5&amp;"",'Oxford Economics'!$A$6:$AZ$6,0))),'Oxford Economics'!$A$7:$A$1000,$C94,'Oxford Economics'!$B$7:$B$1000,Settings!$B$14)+SUMIFS(INDEX('Oxford Economics'!$A$7:$AZ$1000,0,IFERROR(MATCH(AM$5,'Oxford Economics'!$A$6:$AZ$6,0),MATCH(AM$5&amp;"",'Oxford Economics'!$A$6:$AZ$6,0))),'Oxford Economics'!$A$7:$A$1000,$C94,'Oxford Economics'!$B$7:$B$1000,Settings!$B$16)+IF(Settings!$B$18="",0,SUMIFS(INDEX('Oxford Economics'!$A$7:$AZ$1000,0,IFERROR(MATCH(AM$5,'Oxford Economics'!$A$6:$AZ$6,0),MATCH(AM$5&amp;"",'Oxford Economics'!$A$6:$AZ$6,0))),'Oxford Economics'!$A$7:$A$1000,$C94,'Oxford Economics'!$B$7:$B$1000,Settings!$B$18)))),""))</f>
        <v>9130.4</v>
      </c>
    </row>
    <row r="95" customFormat="false" ht="15" hidden="false" customHeight="false" outlineLevel="0" collapsed="false">
      <c r="A95" s="37" t="str">
        <f aca="false">IF('Raw data'!$A95="","",'Raw data'!$A95)</f>
        <v>Belgium</v>
      </c>
      <c r="B95" s="37" t="str">
        <f aca="false">IF($A95="","",'Raw data'!$C95)</f>
        <v>Commercial</v>
      </c>
      <c r="C95" s="37" t="str">
        <f aca="false">IF($A95="","",IF('Raw data'!$E95="",$A95,'Raw data'!$E95))</f>
        <v>Belgium</v>
      </c>
      <c r="D95" s="38" t="n">
        <f aca="false">IF($A95="","",IF(AND(ISNUMBER(P95),ISNUMBER(AB95)),P95+AB95,""))</f>
        <v>17300.38</v>
      </c>
      <c r="E95" s="38" t="n">
        <f aca="false">IF($A95="","",IF(AND(ISNUMBER(Q95),ISNUMBER(AC95)),Q95+AC95,""))</f>
        <v>19088.24</v>
      </c>
      <c r="F95" s="38" t="n">
        <f aca="false">IF($A95="","",IF(AND(ISNUMBER(R95),ISNUMBER(AD95)),R95+AD95,""))</f>
        <v>19168.47</v>
      </c>
      <c r="G95" s="38" t="n">
        <f aca="false">IF($A95="","",IF(AND(ISNUMBER(S95),ISNUMBER(AE95)),S95+AE95,""))</f>
        <v>19053.98</v>
      </c>
      <c r="H95" s="38" t="n">
        <f aca="false">IF($A95="","",IF(AND(ISNUMBER(T95),ISNUMBER(AF95)),T95+AF95,""))</f>
        <v>19369.15</v>
      </c>
      <c r="I95" s="38" t="n">
        <f aca="false">IF($A95="","",IF(AND(ISNUMBER(U95),ISNUMBER(AG95)),U95+AG95,""))</f>
        <v>19662.69</v>
      </c>
      <c r="J95" s="38" t="n">
        <f aca="false">IF($A95="","",IF(AND(ISNUMBER(V95),ISNUMBER(AH95)),V95+AH95,""))</f>
        <v>20019.05</v>
      </c>
      <c r="K95" s="38" t="n">
        <f aca="false">IF($A95="","",IF(AND(ISNUMBER(W95),ISNUMBER(AI95)),W95+AI95,""))</f>
        <v>20604.01</v>
      </c>
      <c r="L95" s="38" t="n">
        <f aca="false">IF($A95="","",IF(AND(ISNUMBER(X95),ISNUMBER(AJ95)),X95+AJ95,""))</f>
        <v>21200.93</v>
      </c>
      <c r="M95" s="38" t="n">
        <f aca="false">IF($A95="","",IF(AND(ISNUMBER(Y95),ISNUMBER(AK95)),Y95+AK95,""))</f>
        <v>21886.6</v>
      </c>
      <c r="N95" s="38" t="n">
        <f aca="false">IF($A95="","",IF(AND(ISNUMBER(Z95),ISNUMBER(AL95)),Z95+AL95,""))</f>
        <v>22592.07</v>
      </c>
      <c r="O95" s="38" t="n">
        <f aca="false">IF($A95="","",IF(AND(ISNUMBER(AA95),ISNUMBER(AM95)),AA95+AM95,""))</f>
        <v>23279.84</v>
      </c>
      <c r="P95" s="38" t="n">
        <f aca="false">IF($A95="","",IFERROR(1/(1/IF($B95="Residential",SUMIFS(INDEX('Oxford Economics'!$A$7:$AZ$1000,0,IFERROR(MATCH(P$5,'Oxford Economics'!$A$6:$AZ$6,0),MATCH(P$5&amp;"",'Oxford Economics'!$A$6:$AZ$6,0))),'Oxford Economics'!$A$7:$A$1000,$C95,'Oxford Economics'!$B$7:$B$1000,Settings!$B$13)-SUMIFS(INDEX('Oxford Economics'!$A$7:$AZ$1000,0,IFERROR(MATCH(P$5,'Oxford Economics'!$A$6:$AZ$6,0),MATCH(P$5&amp;"",'Oxford Economics'!$A$6:$AZ$6,0))),'Oxford Economics'!$A$7:$A$1000,$C95,'Oxford Economics'!$B$7:$B$1000,Settings!$B$15),SUMIFS(INDEX('Oxford Economics'!$A$7:$AZ$1000,0,IFERROR(MATCH(P$5,'Oxford Economics'!$A$6:$AZ$6,0),MATCH(P$5&amp;"",'Oxford Economics'!$A$6:$AZ$6,0))),'Oxford Economics'!$A$7:$A$1000,$C95,'Oxford Economics'!$B$7:$B$1000,Settings!$B$15)+SUMIFS(INDEX('Oxford Economics'!$A$7:$AZ$1000,0,IFERROR(MATCH(P$5,'Oxford Economics'!$A$6:$AZ$6,0),MATCH(P$5&amp;"",'Oxford Economics'!$A$6:$AZ$6,0))),'Oxford Economics'!$A$7:$A$1000,$C95,'Oxford Economics'!$B$7:$B$1000,Settings!$B$17)+IF(Settings!$B$19="",0,SUMIFS(INDEX('Oxford Economics'!$A$7:$AZ$1000,0,IFERROR(MATCH(P$5,'Oxford Economics'!$A$6:$AZ$6,0),MATCH(P$5&amp;"",'Oxford Economics'!$A$6:$AZ$6,0))),'Oxford Economics'!$A$7:$A$1000,$C95,'Oxford Economics'!$B$7:$B$1000,Settings!$B$19)))),""))</f>
        <v>9544.66</v>
      </c>
      <c r="Q95" s="38" t="n">
        <f aca="false">IF($A95="","",IFERROR(1/(1/IF($B95="Residential",SUMIFS(INDEX('Oxford Economics'!$A$7:$AZ$1000,0,IFERROR(MATCH(Q$5,'Oxford Economics'!$A$6:$AZ$6,0),MATCH(Q$5&amp;"",'Oxford Economics'!$A$6:$AZ$6,0))),'Oxford Economics'!$A$7:$A$1000,$C95,'Oxford Economics'!$B$7:$B$1000,Settings!$B$13)-SUMIFS(INDEX('Oxford Economics'!$A$7:$AZ$1000,0,IFERROR(MATCH(Q$5,'Oxford Economics'!$A$6:$AZ$6,0),MATCH(Q$5&amp;"",'Oxford Economics'!$A$6:$AZ$6,0))),'Oxford Economics'!$A$7:$A$1000,$C95,'Oxford Economics'!$B$7:$B$1000,Settings!$B$15),SUMIFS(INDEX('Oxford Economics'!$A$7:$AZ$1000,0,IFERROR(MATCH(Q$5,'Oxford Economics'!$A$6:$AZ$6,0),MATCH(Q$5&amp;"",'Oxford Economics'!$A$6:$AZ$6,0))),'Oxford Economics'!$A$7:$A$1000,$C95,'Oxford Economics'!$B$7:$B$1000,Settings!$B$15)+SUMIFS(INDEX('Oxford Economics'!$A$7:$AZ$1000,0,IFERROR(MATCH(Q$5,'Oxford Economics'!$A$6:$AZ$6,0),MATCH(Q$5&amp;"",'Oxford Economics'!$A$6:$AZ$6,0))),'Oxford Economics'!$A$7:$A$1000,$C95,'Oxford Economics'!$B$7:$B$1000,Settings!$B$17)+IF(Settings!$B$19="",0,SUMIFS(INDEX('Oxford Economics'!$A$7:$AZ$1000,0,IFERROR(MATCH(Q$5,'Oxford Economics'!$A$6:$AZ$6,0),MATCH(Q$5&amp;"",'Oxford Economics'!$A$6:$AZ$6,0))),'Oxford Economics'!$A$7:$A$1000,$C95,'Oxford Economics'!$B$7:$B$1000,Settings!$B$19)))),""))</f>
        <v>10726.92</v>
      </c>
      <c r="R95" s="38" t="n">
        <f aca="false">IF($A95="","",IFERROR(1/(1/IF($B95="Residential",SUMIFS(INDEX('Oxford Economics'!$A$7:$AZ$1000,0,IFERROR(MATCH(R$5,'Oxford Economics'!$A$6:$AZ$6,0),MATCH(R$5&amp;"",'Oxford Economics'!$A$6:$AZ$6,0))),'Oxford Economics'!$A$7:$A$1000,$C95,'Oxford Economics'!$B$7:$B$1000,Settings!$B$13)-SUMIFS(INDEX('Oxford Economics'!$A$7:$AZ$1000,0,IFERROR(MATCH(R$5,'Oxford Economics'!$A$6:$AZ$6,0),MATCH(R$5&amp;"",'Oxford Economics'!$A$6:$AZ$6,0))),'Oxford Economics'!$A$7:$A$1000,$C95,'Oxford Economics'!$B$7:$B$1000,Settings!$B$15),SUMIFS(INDEX('Oxford Economics'!$A$7:$AZ$1000,0,IFERROR(MATCH(R$5,'Oxford Economics'!$A$6:$AZ$6,0),MATCH(R$5&amp;"",'Oxford Economics'!$A$6:$AZ$6,0))),'Oxford Economics'!$A$7:$A$1000,$C95,'Oxford Economics'!$B$7:$B$1000,Settings!$B$15)+SUMIFS(INDEX('Oxford Economics'!$A$7:$AZ$1000,0,IFERROR(MATCH(R$5,'Oxford Economics'!$A$6:$AZ$6,0),MATCH(R$5&amp;"",'Oxford Economics'!$A$6:$AZ$6,0))),'Oxford Economics'!$A$7:$A$1000,$C95,'Oxford Economics'!$B$7:$B$1000,Settings!$B$17)+IF(Settings!$B$19="",0,SUMIFS(INDEX('Oxford Economics'!$A$7:$AZ$1000,0,IFERROR(MATCH(R$5,'Oxford Economics'!$A$6:$AZ$6,0),MATCH(R$5&amp;"",'Oxford Economics'!$A$6:$AZ$6,0))),'Oxford Economics'!$A$7:$A$1000,$C95,'Oxford Economics'!$B$7:$B$1000,Settings!$B$19)))),""))</f>
        <v>11012.17</v>
      </c>
      <c r="S95" s="38" t="n">
        <f aca="false">IF($A95="","",IFERROR(1/(1/IF($B95="Residential",SUMIFS(INDEX('Oxford Economics'!$A$7:$AZ$1000,0,IFERROR(MATCH(S$5,'Oxford Economics'!$A$6:$AZ$6,0),MATCH(S$5&amp;"",'Oxford Economics'!$A$6:$AZ$6,0))),'Oxford Economics'!$A$7:$A$1000,$C95,'Oxford Economics'!$B$7:$B$1000,Settings!$B$13)-SUMIFS(INDEX('Oxford Economics'!$A$7:$AZ$1000,0,IFERROR(MATCH(S$5,'Oxford Economics'!$A$6:$AZ$6,0),MATCH(S$5&amp;"",'Oxford Economics'!$A$6:$AZ$6,0))),'Oxford Economics'!$A$7:$A$1000,$C95,'Oxford Economics'!$B$7:$B$1000,Settings!$B$15),SUMIFS(INDEX('Oxford Economics'!$A$7:$AZ$1000,0,IFERROR(MATCH(S$5,'Oxford Economics'!$A$6:$AZ$6,0),MATCH(S$5&amp;"",'Oxford Economics'!$A$6:$AZ$6,0))),'Oxford Economics'!$A$7:$A$1000,$C95,'Oxford Economics'!$B$7:$B$1000,Settings!$B$15)+SUMIFS(INDEX('Oxford Economics'!$A$7:$AZ$1000,0,IFERROR(MATCH(S$5,'Oxford Economics'!$A$6:$AZ$6,0),MATCH(S$5&amp;"",'Oxford Economics'!$A$6:$AZ$6,0))),'Oxford Economics'!$A$7:$A$1000,$C95,'Oxford Economics'!$B$7:$B$1000,Settings!$B$17)+IF(Settings!$B$19="",0,SUMIFS(INDEX('Oxford Economics'!$A$7:$AZ$1000,0,IFERROR(MATCH(S$5,'Oxford Economics'!$A$6:$AZ$6,0),MATCH(S$5&amp;"",'Oxford Economics'!$A$6:$AZ$6,0))),'Oxford Economics'!$A$7:$A$1000,$C95,'Oxford Economics'!$B$7:$B$1000,Settings!$B$19)))),""))</f>
        <v>11107.61</v>
      </c>
      <c r="T95" s="38" t="n">
        <f aca="false">IF($A95="","",IFERROR(1/(1/IF($B95="Residential",SUMIFS(INDEX('Oxford Economics'!$A$7:$AZ$1000,0,IFERROR(MATCH(T$5,'Oxford Economics'!$A$6:$AZ$6,0),MATCH(T$5&amp;"",'Oxford Economics'!$A$6:$AZ$6,0))),'Oxford Economics'!$A$7:$A$1000,$C95,'Oxford Economics'!$B$7:$B$1000,Settings!$B$13)-SUMIFS(INDEX('Oxford Economics'!$A$7:$AZ$1000,0,IFERROR(MATCH(T$5,'Oxford Economics'!$A$6:$AZ$6,0),MATCH(T$5&amp;"",'Oxford Economics'!$A$6:$AZ$6,0))),'Oxford Economics'!$A$7:$A$1000,$C95,'Oxford Economics'!$B$7:$B$1000,Settings!$B$15),SUMIFS(INDEX('Oxford Economics'!$A$7:$AZ$1000,0,IFERROR(MATCH(T$5,'Oxford Economics'!$A$6:$AZ$6,0),MATCH(T$5&amp;"",'Oxford Economics'!$A$6:$AZ$6,0))),'Oxford Economics'!$A$7:$A$1000,$C95,'Oxford Economics'!$B$7:$B$1000,Settings!$B$15)+SUMIFS(INDEX('Oxford Economics'!$A$7:$AZ$1000,0,IFERROR(MATCH(T$5,'Oxford Economics'!$A$6:$AZ$6,0),MATCH(T$5&amp;"",'Oxford Economics'!$A$6:$AZ$6,0))),'Oxford Economics'!$A$7:$A$1000,$C95,'Oxford Economics'!$B$7:$B$1000,Settings!$B$17)+IF(Settings!$B$19="",0,SUMIFS(INDEX('Oxford Economics'!$A$7:$AZ$1000,0,IFERROR(MATCH(T$5,'Oxford Economics'!$A$6:$AZ$6,0),MATCH(T$5&amp;"",'Oxford Economics'!$A$6:$AZ$6,0))),'Oxford Economics'!$A$7:$A$1000,$C95,'Oxford Economics'!$B$7:$B$1000,Settings!$B$19)))),""))</f>
        <v>11312.89</v>
      </c>
      <c r="U95" s="38" t="n">
        <f aca="false">IF($A95="","",IFERROR(1/(1/IF($B95="Residential",SUMIFS(INDEX('Oxford Economics'!$A$7:$AZ$1000,0,IFERROR(MATCH(U$5,'Oxford Economics'!$A$6:$AZ$6,0),MATCH(U$5&amp;"",'Oxford Economics'!$A$6:$AZ$6,0))),'Oxford Economics'!$A$7:$A$1000,$C95,'Oxford Economics'!$B$7:$B$1000,Settings!$B$13)-SUMIFS(INDEX('Oxford Economics'!$A$7:$AZ$1000,0,IFERROR(MATCH(U$5,'Oxford Economics'!$A$6:$AZ$6,0),MATCH(U$5&amp;"",'Oxford Economics'!$A$6:$AZ$6,0))),'Oxford Economics'!$A$7:$A$1000,$C95,'Oxford Economics'!$B$7:$B$1000,Settings!$B$15),SUMIFS(INDEX('Oxford Economics'!$A$7:$AZ$1000,0,IFERROR(MATCH(U$5,'Oxford Economics'!$A$6:$AZ$6,0),MATCH(U$5&amp;"",'Oxford Economics'!$A$6:$AZ$6,0))),'Oxford Economics'!$A$7:$A$1000,$C95,'Oxford Economics'!$B$7:$B$1000,Settings!$B$15)+SUMIFS(INDEX('Oxford Economics'!$A$7:$AZ$1000,0,IFERROR(MATCH(U$5,'Oxford Economics'!$A$6:$AZ$6,0),MATCH(U$5&amp;"",'Oxford Economics'!$A$6:$AZ$6,0))),'Oxford Economics'!$A$7:$A$1000,$C95,'Oxford Economics'!$B$7:$B$1000,Settings!$B$17)+IF(Settings!$B$19="",0,SUMIFS(INDEX('Oxford Economics'!$A$7:$AZ$1000,0,IFERROR(MATCH(U$5,'Oxford Economics'!$A$6:$AZ$6,0),MATCH(U$5&amp;"",'Oxford Economics'!$A$6:$AZ$6,0))),'Oxford Economics'!$A$7:$A$1000,$C95,'Oxford Economics'!$B$7:$B$1000,Settings!$B$19)))),""))</f>
        <v>11539.3</v>
      </c>
      <c r="V95" s="38" t="n">
        <f aca="false">IF($A95="","",IFERROR(1/(1/IF($B95="Residential",SUMIFS(INDEX('Oxford Economics'!$A$7:$AZ$1000,0,IFERROR(MATCH(V$5,'Oxford Economics'!$A$6:$AZ$6,0),MATCH(V$5&amp;"",'Oxford Economics'!$A$6:$AZ$6,0))),'Oxford Economics'!$A$7:$A$1000,$C95,'Oxford Economics'!$B$7:$B$1000,Settings!$B$13)-SUMIFS(INDEX('Oxford Economics'!$A$7:$AZ$1000,0,IFERROR(MATCH(V$5,'Oxford Economics'!$A$6:$AZ$6,0),MATCH(V$5&amp;"",'Oxford Economics'!$A$6:$AZ$6,0))),'Oxford Economics'!$A$7:$A$1000,$C95,'Oxford Economics'!$B$7:$B$1000,Settings!$B$15),SUMIFS(INDEX('Oxford Economics'!$A$7:$AZ$1000,0,IFERROR(MATCH(V$5,'Oxford Economics'!$A$6:$AZ$6,0),MATCH(V$5&amp;"",'Oxford Economics'!$A$6:$AZ$6,0))),'Oxford Economics'!$A$7:$A$1000,$C95,'Oxford Economics'!$B$7:$B$1000,Settings!$B$15)+SUMIFS(INDEX('Oxford Economics'!$A$7:$AZ$1000,0,IFERROR(MATCH(V$5,'Oxford Economics'!$A$6:$AZ$6,0),MATCH(V$5&amp;"",'Oxford Economics'!$A$6:$AZ$6,0))),'Oxford Economics'!$A$7:$A$1000,$C95,'Oxford Economics'!$B$7:$B$1000,Settings!$B$17)+IF(Settings!$B$19="",0,SUMIFS(INDEX('Oxford Economics'!$A$7:$AZ$1000,0,IFERROR(MATCH(V$5,'Oxford Economics'!$A$6:$AZ$6,0),MATCH(V$5&amp;"",'Oxford Economics'!$A$6:$AZ$6,0))),'Oxford Economics'!$A$7:$A$1000,$C95,'Oxford Economics'!$B$7:$B$1000,Settings!$B$19)))),""))</f>
        <v>11755.23</v>
      </c>
      <c r="W95" s="38" t="n">
        <f aca="false">IF($A95="","",IFERROR(1/(1/IF($B95="Residential",SUMIFS(INDEX('Oxford Economics'!$A$7:$AZ$1000,0,IFERROR(MATCH(W$5,'Oxford Economics'!$A$6:$AZ$6,0),MATCH(W$5&amp;"",'Oxford Economics'!$A$6:$AZ$6,0))),'Oxford Economics'!$A$7:$A$1000,$C95,'Oxford Economics'!$B$7:$B$1000,Settings!$B$13)-SUMIFS(INDEX('Oxford Economics'!$A$7:$AZ$1000,0,IFERROR(MATCH(W$5,'Oxford Economics'!$A$6:$AZ$6,0),MATCH(W$5&amp;"",'Oxford Economics'!$A$6:$AZ$6,0))),'Oxford Economics'!$A$7:$A$1000,$C95,'Oxford Economics'!$B$7:$B$1000,Settings!$B$15),SUMIFS(INDEX('Oxford Economics'!$A$7:$AZ$1000,0,IFERROR(MATCH(W$5,'Oxford Economics'!$A$6:$AZ$6,0),MATCH(W$5&amp;"",'Oxford Economics'!$A$6:$AZ$6,0))),'Oxford Economics'!$A$7:$A$1000,$C95,'Oxford Economics'!$B$7:$B$1000,Settings!$B$15)+SUMIFS(INDEX('Oxford Economics'!$A$7:$AZ$1000,0,IFERROR(MATCH(W$5,'Oxford Economics'!$A$6:$AZ$6,0),MATCH(W$5&amp;"",'Oxford Economics'!$A$6:$AZ$6,0))),'Oxford Economics'!$A$7:$A$1000,$C95,'Oxford Economics'!$B$7:$B$1000,Settings!$B$17)+IF(Settings!$B$19="",0,SUMIFS(INDEX('Oxford Economics'!$A$7:$AZ$1000,0,IFERROR(MATCH(W$5,'Oxford Economics'!$A$6:$AZ$6,0),MATCH(W$5&amp;"",'Oxford Economics'!$A$6:$AZ$6,0))),'Oxford Economics'!$A$7:$A$1000,$C95,'Oxford Economics'!$B$7:$B$1000,Settings!$B$19)))),""))</f>
        <v>12219.74</v>
      </c>
      <c r="X95" s="38" t="n">
        <f aca="false">IF($A95="","",IFERROR(1/(1/IF($B95="Residential",SUMIFS(INDEX('Oxford Economics'!$A$7:$AZ$1000,0,IFERROR(MATCH(X$5,'Oxford Economics'!$A$6:$AZ$6,0),MATCH(X$5&amp;"",'Oxford Economics'!$A$6:$AZ$6,0))),'Oxford Economics'!$A$7:$A$1000,$C95,'Oxford Economics'!$B$7:$B$1000,Settings!$B$13)-SUMIFS(INDEX('Oxford Economics'!$A$7:$AZ$1000,0,IFERROR(MATCH(X$5,'Oxford Economics'!$A$6:$AZ$6,0),MATCH(X$5&amp;"",'Oxford Economics'!$A$6:$AZ$6,0))),'Oxford Economics'!$A$7:$A$1000,$C95,'Oxford Economics'!$B$7:$B$1000,Settings!$B$15),SUMIFS(INDEX('Oxford Economics'!$A$7:$AZ$1000,0,IFERROR(MATCH(X$5,'Oxford Economics'!$A$6:$AZ$6,0),MATCH(X$5&amp;"",'Oxford Economics'!$A$6:$AZ$6,0))),'Oxford Economics'!$A$7:$A$1000,$C95,'Oxford Economics'!$B$7:$B$1000,Settings!$B$15)+SUMIFS(INDEX('Oxford Economics'!$A$7:$AZ$1000,0,IFERROR(MATCH(X$5,'Oxford Economics'!$A$6:$AZ$6,0),MATCH(X$5&amp;"",'Oxford Economics'!$A$6:$AZ$6,0))),'Oxford Economics'!$A$7:$A$1000,$C95,'Oxford Economics'!$B$7:$B$1000,Settings!$B$17)+IF(Settings!$B$19="",0,SUMIFS(INDEX('Oxford Economics'!$A$7:$AZ$1000,0,IFERROR(MATCH(X$5,'Oxford Economics'!$A$6:$AZ$6,0),MATCH(X$5&amp;"",'Oxford Economics'!$A$6:$AZ$6,0))),'Oxford Economics'!$A$7:$A$1000,$C95,'Oxford Economics'!$B$7:$B$1000,Settings!$B$19)))),""))</f>
        <v>12720.39</v>
      </c>
      <c r="Y95" s="38" t="n">
        <f aca="false">IF($A95="","",IFERROR(1/(1/IF($B95="Residential",SUMIFS(INDEX('Oxford Economics'!$A$7:$AZ$1000,0,IFERROR(MATCH(Y$5,'Oxford Economics'!$A$6:$AZ$6,0),MATCH(Y$5&amp;"",'Oxford Economics'!$A$6:$AZ$6,0))),'Oxford Economics'!$A$7:$A$1000,$C95,'Oxford Economics'!$B$7:$B$1000,Settings!$B$13)-SUMIFS(INDEX('Oxford Economics'!$A$7:$AZ$1000,0,IFERROR(MATCH(Y$5,'Oxford Economics'!$A$6:$AZ$6,0),MATCH(Y$5&amp;"",'Oxford Economics'!$A$6:$AZ$6,0))),'Oxford Economics'!$A$7:$A$1000,$C95,'Oxford Economics'!$B$7:$B$1000,Settings!$B$15),SUMIFS(INDEX('Oxford Economics'!$A$7:$AZ$1000,0,IFERROR(MATCH(Y$5,'Oxford Economics'!$A$6:$AZ$6,0),MATCH(Y$5&amp;"",'Oxford Economics'!$A$6:$AZ$6,0))),'Oxford Economics'!$A$7:$A$1000,$C95,'Oxford Economics'!$B$7:$B$1000,Settings!$B$15)+SUMIFS(INDEX('Oxford Economics'!$A$7:$AZ$1000,0,IFERROR(MATCH(Y$5,'Oxford Economics'!$A$6:$AZ$6,0),MATCH(Y$5&amp;"",'Oxford Economics'!$A$6:$AZ$6,0))),'Oxford Economics'!$A$7:$A$1000,$C95,'Oxford Economics'!$B$7:$B$1000,Settings!$B$17)+IF(Settings!$B$19="",0,SUMIFS(INDEX('Oxford Economics'!$A$7:$AZ$1000,0,IFERROR(MATCH(Y$5,'Oxford Economics'!$A$6:$AZ$6,0),MATCH(Y$5&amp;"",'Oxford Economics'!$A$6:$AZ$6,0))),'Oxford Economics'!$A$7:$A$1000,$C95,'Oxford Economics'!$B$7:$B$1000,Settings!$B$19)))),""))</f>
        <v>13286.88</v>
      </c>
      <c r="Z95" s="38" t="n">
        <f aca="false">IF($A95="","",IFERROR(1/(1/IF($B95="Residential",SUMIFS(INDEX('Oxford Economics'!$A$7:$AZ$1000,0,IFERROR(MATCH(Z$5,'Oxford Economics'!$A$6:$AZ$6,0),MATCH(Z$5&amp;"",'Oxford Economics'!$A$6:$AZ$6,0))),'Oxford Economics'!$A$7:$A$1000,$C95,'Oxford Economics'!$B$7:$B$1000,Settings!$B$13)-SUMIFS(INDEX('Oxford Economics'!$A$7:$AZ$1000,0,IFERROR(MATCH(Z$5,'Oxford Economics'!$A$6:$AZ$6,0),MATCH(Z$5&amp;"",'Oxford Economics'!$A$6:$AZ$6,0))),'Oxford Economics'!$A$7:$A$1000,$C95,'Oxford Economics'!$B$7:$B$1000,Settings!$B$15),SUMIFS(INDEX('Oxford Economics'!$A$7:$AZ$1000,0,IFERROR(MATCH(Z$5,'Oxford Economics'!$A$6:$AZ$6,0),MATCH(Z$5&amp;"",'Oxford Economics'!$A$6:$AZ$6,0))),'Oxford Economics'!$A$7:$A$1000,$C95,'Oxford Economics'!$B$7:$B$1000,Settings!$B$15)+SUMIFS(INDEX('Oxford Economics'!$A$7:$AZ$1000,0,IFERROR(MATCH(Z$5,'Oxford Economics'!$A$6:$AZ$6,0),MATCH(Z$5&amp;"",'Oxford Economics'!$A$6:$AZ$6,0))),'Oxford Economics'!$A$7:$A$1000,$C95,'Oxford Economics'!$B$7:$B$1000,Settings!$B$17)+IF(Settings!$B$19="",0,SUMIFS(INDEX('Oxford Economics'!$A$7:$AZ$1000,0,IFERROR(MATCH(Z$5,'Oxford Economics'!$A$6:$AZ$6,0),MATCH(Z$5&amp;"",'Oxford Economics'!$A$6:$AZ$6,0))),'Oxford Economics'!$A$7:$A$1000,$C95,'Oxford Economics'!$B$7:$B$1000,Settings!$B$19)))),""))</f>
        <v>13814.27</v>
      </c>
      <c r="AA95" s="38" t="n">
        <f aca="false">IF($A95="","",IFERROR(1/(1/IF($B95="Residential",SUMIFS(INDEX('Oxford Economics'!$A$7:$AZ$1000,0,IFERROR(MATCH(AA$5,'Oxford Economics'!$A$6:$AZ$6,0),MATCH(AA$5&amp;"",'Oxford Economics'!$A$6:$AZ$6,0))),'Oxford Economics'!$A$7:$A$1000,$C95,'Oxford Economics'!$B$7:$B$1000,Settings!$B$13)-SUMIFS(INDEX('Oxford Economics'!$A$7:$AZ$1000,0,IFERROR(MATCH(AA$5,'Oxford Economics'!$A$6:$AZ$6,0),MATCH(AA$5&amp;"",'Oxford Economics'!$A$6:$AZ$6,0))),'Oxford Economics'!$A$7:$A$1000,$C95,'Oxford Economics'!$B$7:$B$1000,Settings!$B$15),SUMIFS(INDEX('Oxford Economics'!$A$7:$AZ$1000,0,IFERROR(MATCH(AA$5,'Oxford Economics'!$A$6:$AZ$6,0),MATCH(AA$5&amp;"",'Oxford Economics'!$A$6:$AZ$6,0))),'Oxford Economics'!$A$7:$A$1000,$C95,'Oxford Economics'!$B$7:$B$1000,Settings!$B$15)+SUMIFS(INDEX('Oxford Economics'!$A$7:$AZ$1000,0,IFERROR(MATCH(AA$5,'Oxford Economics'!$A$6:$AZ$6,0),MATCH(AA$5&amp;"",'Oxford Economics'!$A$6:$AZ$6,0))),'Oxford Economics'!$A$7:$A$1000,$C95,'Oxford Economics'!$B$7:$B$1000,Settings!$B$17)+IF(Settings!$B$19="",0,SUMIFS(INDEX('Oxford Economics'!$A$7:$AZ$1000,0,IFERROR(MATCH(AA$5,'Oxford Economics'!$A$6:$AZ$6,0),MATCH(AA$5&amp;"",'Oxford Economics'!$A$6:$AZ$6,0))),'Oxford Economics'!$A$7:$A$1000,$C95,'Oxford Economics'!$B$7:$B$1000,Settings!$B$19)))),""))</f>
        <v>14149.44</v>
      </c>
      <c r="AB95" s="38" t="n">
        <f aca="false">IF($A95="","",IFERROR(1/(1/IF($B95="Residential",SUMIFS(INDEX('Oxford Economics'!$A$7:$AZ$1000,0,IFERROR(MATCH(AB$5,'Oxford Economics'!$A$6:$AZ$6,0),MATCH(AB$5&amp;"",'Oxford Economics'!$A$6:$AZ$6,0))),'Oxford Economics'!$A$7:$A$1000,$C95,'Oxford Economics'!$B$7:$B$1000,Settings!$B$12)-SUMIFS(INDEX('Oxford Economics'!$A$7:$AZ$1000,0,IFERROR(MATCH(AB$5,'Oxford Economics'!$A$6:$AZ$6,0),MATCH(AB$5&amp;"",'Oxford Economics'!$A$6:$AZ$6,0))),'Oxford Economics'!$A$7:$A$1000,$C95,'Oxford Economics'!$B$7:$B$1000,Settings!$B$14),SUMIFS(INDEX('Oxford Economics'!$A$7:$AZ$1000,0,IFERROR(MATCH(AB$5,'Oxford Economics'!$A$6:$AZ$6,0),MATCH(AB$5&amp;"",'Oxford Economics'!$A$6:$AZ$6,0))),'Oxford Economics'!$A$7:$A$1000,$C95,'Oxford Economics'!$B$7:$B$1000,Settings!$B$14)+SUMIFS(INDEX('Oxford Economics'!$A$7:$AZ$1000,0,IFERROR(MATCH(AB$5,'Oxford Economics'!$A$6:$AZ$6,0),MATCH(AB$5&amp;"",'Oxford Economics'!$A$6:$AZ$6,0))),'Oxford Economics'!$A$7:$A$1000,$C95,'Oxford Economics'!$B$7:$B$1000,Settings!$B$16)+IF(Settings!$B$18="",0,SUMIFS(INDEX('Oxford Economics'!$A$7:$AZ$1000,0,IFERROR(MATCH(AB$5,'Oxford Economics'!$A$6:$AZ$6,0),MATCH(AB$5&amp;"",'Oxford Economics'!$A$6:$AZ$6,0))),'Oxford Economics'!$A$7:$A$1000,$C95,'Oxford Economics'!$B$7:$B$1000,Settings!$B$18)))),""))</f>
        <v>7755.72</v>
      </c>
      <c r="AC95" s="38" t="n">
        <f aca="false">IF($A95="","",IFERROR(1/(1/IF($B95="Residential",SUMIFS(INDEX('Oxford Economics'!$A$7:$AZ$1000,0,IFERROR(MATCH(AC$5,'Oxford Economics'!$A$6:$AZ$6,0),MATCH(AC$5&amp;"",'Oxford Economics'!$A$6:$AZ$6,0))),'Oxford Economics'!$A$7:$A$1000,$C95,'Oxford Economics'!$B$7:$B$1000,Settings!$B$12)-SUMIFS(INDEX('Oxford Economics'!$A$7:$AZ$1000,0,IFERROR(MATCH(AC$5,'Oxford Economics'!$A$6:$AZ$6,0),MATCH(AC$5&amp;"",'Oxford Economics'!$A$6:$AZ$6,0))),'Oxford Economics'!$A$7:$A$1000,$C95,'Oxford Economics'!$B$7:$B$1000,Settings!$B$14),SUMIFS(INDEX('Oxford Economics'!$A$7:$AZ$1000,0,IFERROR(MATCH(AC$5,'Oxford Economics'!$A$6:$AZ$6,0),MATCH(AC$5&amp;"",'Oxford Economics'!$A$6:$AZ$6,0))),'Oxford Economics'!$A$7:$A$1000,$C95,'Oxford Economics'!$B$7:$B$1000,Settings!$B$14)+SUMIFS(INDEX('Oxford Economics'!$A$7:$AZ$1000,0,IFERROR(MATCH(AC$5,'Oxford Economics'!$A$6:$AZ$6,0),MATCH(AC$5&amp;"",'Oxford Economics'!$A$6:$AZ$6,0))),'Oxford Economics'!$A$7:$A$1000,$C95,'Oxford Economics'!$B$7:$B$1000,Settings!$B$16)+IF(Settings!$B$18="",0,SUMIFS(INDEX('Oxford Economics'!$A$7:$AZ$1000,0,IFERROR(MATCH(AC$5,'Oxford Economics'!$A$6:$AZ$6,0),MATCH(AC$5&amp;"",'Oxford Economics'!$A$6:$AZ$6,0))),'Oxford Economics'!$A$7:$A$1000,$C95,'Oxford Economics'!$B$7:$B$1000,Settings!$B$18)))),""))</f>
        <v>8361.32</v>
      </c>
      <c r="AD95" s="38" t="n">
        <f aca="false">IF($A95="","",IFERROR(1/(1/IF($B95="Residential",SUMIFS(INDEX('Oxford Economics'!$A$7:$AZ$1000,0,IFERROR(MATCH(AD$5,'Oxford Economics'!$A$6:$AZ$6,0),MATCH(AD$5&amp;"",'Oxford Economics'!$A$6:$AZ$6,0))),'Oxford Economics'!$A$7:$A$1000,$C95,'Oxford Economics'!$B$7:$B$1000,Settings!$B$12)-SUMIFS(INDEX('Oxford Economics'!$A$7:$AZ$1000,0,IFERROR(MATCH(AD$5,'Oxford Economics'!$A$6:$AZ$6,0),MATCH(AD$5&amp;"",'Oxford Economics'!$A$6:$AZ$6,0))),'Oxford Economics'!$A$7:$A$1000,$C95,'Oxford Economics'!$B$7:$B$1000,Settings!$B$14),SUMIFS(INDEX('Oxford Economics'!$A$7:$AZ$1000,0,IFERROR(MATCH(AD$5,'Oxford Economics'!$A$6:$AZ$6,0),MATCH(AD$5&amp;"",'Oxford Economics'!$A$6:$AZ$6,0))),'Oxford Economics'!$A$7:$A$1000,$C95,'Oxford Economics'!$B$7:$B$1000,Settings!$B$14)+SUMIFS(INDEX('Oxford Economics'!$A$7:$AZ$1000,0,IFERROR(MATCH(AD$5,'Oxford Economics'!$A$6:$AZ$6,0),MATCH(AD$5&amp;"",'Oxford Economics'!$A$6:$AZ$6,0))),'Oxford Economics'!$A$7:$A$1000,$C95,'Oxford Economics'!$B$7:$B$1000,Settings!$B$16)+IF(Settings!$B$18="",0,SUMIFS(INDEX('Oxford Economics'!$A$7:$AZ$1000,0,IFERROR(MATCH(AD$5,'Oxford Economics'!$A$6:$AZ$6,0),MATCH(AD$5&amp;"",'Oxford Economics'!$A$6:$AZ$6,0))),'Oxford Economics'!$A$7:$A$1000,$C95,'Oxford Economics'!$B$7:$B$1000,Settings!$B$18)))),""))</f>
        <v>8156.3</v>
      </c>
      <c r="AE95" s="38" t="n">
        <f aca="false">IF($A95="","",IFERROR(1/(1/IF($B95="Residential",SUMIFS(INDEX('Oxford Economics'!$A$7:$AZ$1000,0,IFERROR(MATCH(AE$5,'Oxford Economics'!$A$6:$AZ$6,0),MATCH(AE$5&amp;"",'Oxford Economics'!$A$6:$AZ$6,0))),'Oxford Economics'!$A$7:$A$1000,$C95,'Oxford Economics'!$B$7:$B$1000,Settings!$B$12)-SUMIFS(INDEX('Oxford Economics'!$A$7:$AZ$1000,0,IFERROR(MATCH(AE$5,'Oxford Economics'!$A$6:$AZ$6,0),MATCH(AE$5&amp;"",'Oxford Economics'!$A$6:$AZ$6,0))),'Oxford Economics'!$A$7:$A$1000,$C95,'Oxford Economics'!$B$7:$B$1000,Settings!$B$14),SUMIFS(INDEX('Oxford Economics'!$A$7:$AZ$1000,0,IFERROR(MATCH(AE$5,'Oxford Economics'!$A$6:$AZ$6,0),MATCH(AE$5&amp;"",'Oxford Economics'!$A$6:$AZ$6,0))),'Oxford Economics'!$A$7:$A$1000,$C95,'Oxford Economics'!$B$7:$B$1000,Settings!$B$14)+SUMIFS(INDEX('Oxford Economics'!$A$7:$AZ$1000,0,IFERROR(MATCH(AE$5,'Oxford Economics'!$A$6:$AZ$6,0),MATCH(AE$5&amp;"",'Oxford Economics'!$A$6:$AZ$6,0))),'Oxford Economics'!$A$7:$A$1000,$C95,'Oxford Economics'!$B$7:$B$1000,Settings!$B$16)+IF(Settings!$B$18="",0,SUMIFS(INDEX('Oxford Economics'!$A$7:$AZ$1000,0,IFERROR(MATCH(AE$5,'Oxford Economics'!$A$6:$AZ$6,0),MATCH(AE$5&amp;"",'Oxford Economics'!$A$6:$AZ$6,0))),'Oxford Economics'!$A$7:$A$1000,$C95,'Oxford Economics'!$B$7:$B$1000,Settings!$B$18)))),""))</f>
        <v>7946.37</v>
      </c>
      <c r="AF95" s="38" t="n">
        <f aca="false">IF($A95="","",IFERROR(1/(1/IF($B95="Residential",SUMIFS(INDEX('Oxford Economics'!$A$7:$AZ$1000,0,IFERROR(MATCH(AF$5,'Oxford Economics'!$A$6:$AZ$6,0),MATCH(AF$5&amp;"",'Oxford Economics'!$A$6:$AZ$6,0))),'Oxford Economics'!$A$7:$A$1000,$C95,'Oxford Economics'!$B$7:$B$1000,Settings!$B$12)-SUMIFS(INDEX('Oxford Economics'!$A$7:$AZ$1000,0,IFERROR(MATCH(AF$5,'Oxford Economics'!$A$6:$AZ$6,0),MATCH(AF$5&amp;"",'Oxford Economics'!$A$6:$AZ$6,0))),'Oxford Economics'!$A$7:$A$1000,$C95,'Oxford Economics'!$B$7:$B$1000,Settings!$B$14),SUMIFS(INDEX('Oxford Economics'!$A$7:$AZ$1000,0,IFERROR(MATCH(AF$5,'Oxford Economics'!$A$6:$AZ$6,0),MATCH(AF$5&amp;"",'Oxford Economics'!$A$6:$AZ$6,0))),'Oxford Economics'!$A$7:$A$1000,$C95,'Oxford Economics'!$B$7:$B$1000,Settings!$B$14)+SUMIFS(INDEX('Oxford Economics'!$A$7:$AZ$1000,0,IFERROR(MATCH(AF$5,'Oxford Economics'!$A$6:$AZ$6,0),MATCH(AF$5&amp;"",'Oxford Economics'!$A$6:$AZ$6,0))),'Oxford Economics'!$A$7:$A$1000,$C95,'Oxford Economics'!$B$7:$B$1000,Settings!$B$16)+IF(Settings!$B$18="",0,SUMIFS(INDEX('Oxford Economics'!$A$7:$AZ$1000,0,IFERROR(MATCH(AF$5,'Oxford Economics'!$A$6:$AZ$6,0),MATCH(AF$5&amp;"",'Oxford Economics'!$A$6:$AZ$6,0))),'Oxford Economics'!$A$7:$A$1000,$C95,'Oxford Economics'!$B$7:$B$1000,Settings!$B$18)))),""))</f>
        <v>8056.26</v>
      </c>
      <c r="AG95" s="38" t="n">
        <f aca="false">IF($A95="","",IFERROR(1/(1/IF($B95="Residential",SUMIFS(INDEX('Oxford Economics'!$A$7:$AZ$1000,0,IFERROR(MATCH(AG$5,'Oxford Economics'!$A$6:$AZ$6,0),MATCH(AG$5&amp;"",'Oxford Economics'!$A$6:$AZ$6,0))),'Oxford Economics'!$A$7:$A$1000,$C95,'Oxford Economics'!$B$7:$B$1000,Settings!$B$12)-SUMIFS(INDEX('Oxford Economics'!$A$7:$AZ$1000,0,IFERROR(MATCH(AG$5,'Oxford Economics'!$A$6:$AZ$6,0),MATCH(AG$5&amp;"",'Oxford Economics'!$A$6:$AZ$6,0))),'Oxford Economics'!$A$7:$A$1000,$C95,'Oxford Economics'!$B$7:$B$1000,Settings!$B$14),SUMIFS(INDEX('Oxford Economics'!$A$7:$AZ$1000,0,IFERROR(MATCH(AG$5,'Oxford Economics'!$A$6:$AZ$6,0),MATCH(AG$5&amp;"",'Oxford Economics'!$A$6:$AZ$6,0))),'Oxford Economics'!$A$7:$A$1000,$C95,'Oxford Economics'!$B$7:$B$1000,Settings!$B$14)+SUMIFS(INDEX('Oxford Economics'!$A$7:$AZ$1000,0,IFERROR(MATCH(AG$5,'Oxford Economics'!$A$6:$AZ$6,0),MATCH(AG$5&amp;"",'Oxford Economics'!$A$6:$AZ$6,0))),'Oxford Economics'!$A$7:$A$1000,$C95,'Oxford Economics'!$B$7:$B$1000,Settings!$B$16)+IF(Settings!$B$18="",0,SUMIFS(INDEX('Oxford Economics'!$A$7:$AZ$1000,0,IFERROR(MATCH(AG$5,'Oxford Economics'!$A$6:$AZ$6,0),MATCH(AG$5&amp;"",'Oxford Economics'!$A$6:$AZ$6,0))),'Oxford Economics'!$A$7:$A$1000,$C95,'Oxford Economics'!$B$7:$B$1000,Settings!$B$18)))),""))</f>
        <v>8123.39</v>
      </c>
      <c r="AH95" s="38" t="n">
        <f aca="false">IF($A95="","",IFERROR(1/(1/IF($B95="Residential",SUMIFS(INDEX('Oxford Economics'!$A$7:$AZ$1000,0,IFERROR(MATCH(AH$5,'Oxford Economics'!$A$6:$AZ$6,0),MATCH(AH$5&amp;"",'Oxford Economics'!$A$6:$AZ$6,0))),'Oxford Economics'!$A$7:$A$1000,$C95,'Oxford Economics'!$B$7:$B$1000,Settings!$B$12)-SUMIFS(INDEX('Oxford Economics'!$A$7:$AZ$1000,0,IFERROR(MATCH(AH$5,'Oxford Economics'!$A$6:$AZ$6,0),MATCH(AH$5&amp;"",'Oxford Economics'!$A$6:$AZ$6,0))),'Oxford Economics'!$A$7:$A$1000,$C95,'Oxford Economics'!$B$7:$B$1000,Settings!$B$14),SUMIFS(INDEX('Oxford Economics'!$A$7:$AZ$1000,0,IFERROR(MATCH(AH$5,'Oxford Economics'!$A$6:$AZ$6,0),MATCH(AH$5&amp;"",'Oxford Economics'!$A$6:$AZ$6,0))),'Oxford Economics'!$A$7:$A$1000,$C95,'Oxford Economics'!$B$7:$B$1000,Settings!$B$14)+SUMIFS(INDEX('Oxford Economics'!$A$7:$AZ$1000,0,IFERROR(MATCH(AH$5,'Oxford Economics'!$A$6:$AZ$6,0),MATCH(AH$5&amp;"",'Oxford Economics'!$A$6:$AZ$6,0))),'Oxford Economics'!$A$7:$A$1000,$C95,'Oxford Economics'!$B$7:$B$1000,Settings!$B$16)+IF(Settings!$B$18="",0,SUMIFS(INDEX('Oxford Economics'!$A$7:$AZ$1000,0,IFERROR(MATCH(AH$5,'Oxford Economics'!$A$6:$AZ$6,0),MATCH(AH$5&amp;"",'Oxford Economics'!$A$6:$AZ$6,0))),'Oxford Economics'!$A$7:$A$1000,$C95,'Oxford Economics'!$B$7:$B$1000,Settings!$B$18)))),""))</f>
        <v>8263.82</v>
      </c>
      <c r="AI95" s="38" t="n">
        <f aca="false">IF($A95="","",IFERROR(1/(1/IF($B95="Residential",SUMIFS(INDEX('Oxford Economics'!$A$7:$AZ$1000,0,IFERROR(MATCH(AI$5,'Oxford Economics'!$A$6:$AZ$6,0),MATCH(AI$5&amp;"",'Oxford Economics'!$A$6:$AZ$6,0))),'Oxford Economics'!$A$7:$A$1000,$C95,'Oxford Economics'!$B$7:$B$1000,Settings!$B$12)-SUMIFS(INDEX('Oxford Economics'!$A$7:$AZ$1000,0,IFERROR(MATCH(AI$5,'Oxford Economics'!$A$6:$AZ$6,0),MATCH(AI$5&amp;"",'Oxford Economics'!$A$6:$AZ$6,0))),'Oxford Economics'!$A$7:$A$1000,$C95,'Oxford Economics'!$B$7:$B$1000,Settings!$B$14),SUMIFS(INDEX('Oxford Economics'!$A$7:$AZ$1000,0,IFERROR(MATCH(AI$5,'Oxford Economics'!$A$6:$AZ$6,0),MATCH(AI$5&amp;"",'Oxford Economics'!$A$6:$AZ$6,0))),'Oxford Economics'!$A$7:$A$1000,$C95,'Oxford Economics'!$B$7:$B$1000,Settings!$B$14)+SUMIFS(INDEX('Oxford Economics'!$A$7:$AZ$1000,0,IFERROR(MATCH(AI$5,'Oxford Economics'!$A$6:$AZ$6,0),MATCH(AI$5&amp;"",'Oxford Economics'!$A$6:$AZ$6,0))),'Oxford Economics'!$A$7:$A$1000,$C95,'Oxford Economics'!$B$7:$B$1000,Settings!$B$16)+IF(Settings!$B$18="",0,SUMIFS(INDEX('Oxford Economics'!$A$7:$AZ$1000,0,IFERROR(MATCH(AI$5,'Oxford Economics'!$A$6:$AZ$6,0),MATCH(AI$5&amp;"",'Oxford Economics'!$A$6:$AZ$6,0))),'Oxford Economics'!$A$7:$A$1000,$C95,'Oxford Economics'!$B$7:$B$1000,Settings!$B$18)))),""))</f>
        <v>8384.27</v>
      </c>
      <c r="AJ95" s="38" t="n">
        <f aca="false">IF($A95="","",IFERROR(1/(1/IF($B95="Residential",SUMIFS(INDEX('Oxford Economics'!$A$7:$AZ$1000,0,IFERROR(MATCH(AJ$5,'Oxford Economics'!$A$6:$AZ$6,0),MATCH(AJ$5&amp;"",'Oxford Economics'!$A$6:$AZ$6,0))),'Oxford Economics'!$A$7:$A$1000,$C95,'Oxford Economics'!$B$7:$B$1000,Settings!$B$12)-SUMIFS(INDEX('Oxford Economics'!$A$7:$AZ$1000,0,IFERROR(MATCH(AJ$5,'Oxford Economics'!$A$6:$AZ$6,0),MATCH(AJ$5&amp;"",'Oxford Economics'!$A$6:$AZ$6,0))),'Oxford Economics'!$A$7:$A$1000,$C95,'Oxford Economics'!$B$7:$B$1000,Settings!$B$14),SUMIFS(INDEX('Oxford Economics'!$A$7:$AZ$1000,0,IFERROR(MATCH(AJ$5,'Oxford Economics'!$A$6:$AZ$6,0),MATCH(AJ$5&amp;"",'Oxford Economics'!$A$6:$AZ$6,0))),'Oxford Economics'!$A$7:$A$1000,$C95,'Oxford Economics'!$B$7:$B$1000,Settings!$B$14)+SUMIFS(INDEX('Oxford Economics'!$A$7:$AZ$1000,0,IFERROR(MATCH(AJ$5,'Oxford Economics'!$A$6:$AZ$6,0),MATCH(AJ$5&amp;"",'Oxford Economics'!$A$6:$AZ$6,0))),'Oxford Economics'!$A$7:$A$1000,$C95,'Oxford Economics'!$B$7:$B$1000,Settings!$B$16)+IF(Settings!$B$18="",0,SUMIFS(INDEX('Oxford Economics'!$A$7:$AZ$1000,0,IFERROR(MATCH(AJ$5,'Oxford Economics'!$A$6:$AZ$6,0),MATCH(AJ$5&amp;"",'Oxford Economics'!$A$6:$AZ$6,0))),'Oxford Economics'!$A$7:$A$1000,$C95,'Oxford Economics'!$B$7:$B$1000,Settings!$B$18)))),""))</f>
        <v>8480.54</v>
      </c>
      <c r="AK95" s="38" t="n">
        <f aca="false">IF($A95="","",IFERROR(1/(1/IF($B95="Residential",SUMIFS(INDEX('Oxford Economics'!$A$7:$AZ$1000,0,IFERROR(MATCH(AK$5,'Oxford Economics'!$A$6:$AZ$6,0),MATCH(AK$5&amp;"",'Oxford Economics'!$A$6:$AZ$6,0))),'Oxford Economics'!$A$7:$A$1000,$C95,'Oxford Economics'!$B$7:$B$1000,Settings!$B$12)-SUMIFS(INDEX('Oxford Economics'!$A$7:$AZ$1000,0,IFERROR(MATCH(AK$5,'Oxford Economics'!$A$6:$AZ$6,0),MATCH(AK$5&amp;"",'Oxford Economics'!$A$6:$AZ$6,0))),'Oxford Economics'!$A$7:$A$1000,$C95,'Oxford Economics'!$B$7:$B$1000,Settings!$B$14),SUMIFS(INDEX('Oxford Economics'!$A$7:$AZ$1000,0,IFERROR(MATCH(AK$5,'Oxford Economics'!$A$6:$AZ$6,0),MATCH(AK$5&amp;"",'Oxford Economics'!$A$6:$AZ$6,0))),'Oxford Economics'!$A$7:$A$1000,$C95,'Oxford Economics'!$B$7:$B$1000,Settings!$B$14)+SUMIFS(INDEX('Oxford Economics'!$A$7:$AZ$1000,0,IFERROR(MATCH(AK$5,'Oxford Economics'!$A$6:$AZ$6,0),MATCH(AK$5&amp;"",'Oxford Economics'!$A$6:$AZ$6,0))),'Oxford Economics'!$A$7:$A$1000,$C95,'Oxford Economics'!$B$7:$B$1000,Settings!$B$16)+IF(Settings!$B$18="",0,SUMIFS(INDEX('Oxford Economics'!$A$7:$AZ$1000,0,IFERROR(MATCH(AK$5,'Oxford Economics'!$A$6:$AZ$6,0),MATCH(AK$5&amp;"",'Oxford Economics'!$A$6:$AZ$6,0))),'Oxford Economics'!$A$7:$A$1000,$C95,'Oxford Economics'!$B$7:$B$1000,Settings!$B$18)))),""))</f>
        <v>8599.72</v>
      </c>
      <c r="AL95" s="38" t="n">
        <f aca="false">IF($A95="","",IFERROR(1/(1/IF($B95="Residential",SUMIFS(INDEX('Oxford Economics'!$A$7:$AZ$1000,0,IFERROR(MATCH(AL$5,'Oxford Economics'!$A$6:$AZ$6,0),MATCH(AL$5&amp;"",'Oxford Economics'!$A$6:$AZ$6,0))),'Oxford Economics'!$A$7:$A$1000,$C95,'Oxford Economics'!$B$7:$B$1000,Settings!$B$12)-SUMIFS(INDEX('Oxford Economics'!$A$7:$AZ$1000,0,IFERROR(MATCH(AL$5,'Oxford Economics'!$A$6:$AZ$6,0),MATCH(AL$5&amp;"",'Oxford Economics'!$A$6:$AZ$6,0))),'Oxford Economics'!$A$7:$A$1000,$C95,'Oxford Economics'!$B$7:$B$1000,Settings!$B$14),SUMIFS(INDEX('Oxford Economics'!$A$7:$AZ$1000,0,IFERROR(MATCH(AL$5,'Oxford Economics'!$A$6:$AZ$6,0),MATCH(AL$5&amp;"",'Oxford Economics'!$A$6:$AZ$6,0))),'Oxford Economics'!$A$7:$A$1000,$C95,'Oxford Economics'!$B$7:$B$1000,Settings!$B$14)+SUMIFS(INDEX('Oxford Economics'!$A$7:$AZ$1000,0,IFERROR(MATCH(AL$5,'Oxford Economics'!$A$6:$AZ$6,0),MATCH(AL$5&amp;"",'Oxford Economics'!$A$6:$AZ$6,0))),'Oxford Economics'!$A$7:$A$1000,$C95,'Oxford Economics'!$B$7:$B$1000,Settings!$B$16)+IF(Settings!$B$18="",0,SUMIFS(INDEX('Oxford Economics'!$A$7:$AZ$1000,0,IFERROR(MATCH(AL$5,'Oxford Economics'!$A$6:$AZ$6,0),MATCH(AL$5&amp;"",'Oxford Economics'!$A$6:$AZ$6,0))),'Oxford Economics'!$A$7:$A$1000,$C95,'Oxford Economics'!$B$7:$B$1000,Settings!$B$18)))),""))</f>
        <v>8777.8</v>
      </c>
      <c r="AM95" s="38" t="n">
        <f aca="false">IF($A95="","",IFERROR(1/(1/IF($B95="Residential",SUMIFS(INDEX('Oxford Economics'!$A$7:$AZ$1000,0,IFERROR(MATCH(AM$5,'Oxford Economics'!$A$6:$AZ$6,0),MATCH(AM$5&amp;"",'Oxford Economics'!$A$6:$AZ$6,0))),'Oxford Economics'!$A$7:$A$1000,$C95,'Oxford Economics'!$B$7:$B$1000,Settings!$B$12)-SUMIFS(INDEX('Oxford Economics'!$A$7:$AZ$1000,0,IFERROR(MATCH(AM$5,'Oxford Economics'!$A$6:$AZ$6,0),MATCH(AM$5&amp;"",'Oxford Economics'!$A$6:$AZ$6,0))),'Oxford Economics'!$A$7:$A$1000,$C95,'Oxford Economics'!$B$7:$B$1000,Settings!$B$14),SUMIFS(INDEX('Oxford Economics'!$A$7:$AZ$1000,0,IFERROR(MATCH(AM$5,'Oxford Economics'!$A$6:$AZ$6,0),MATCH(AM$5&amp;"",'Oxford Economics'!$A$6:$AZ$6,0))),'Oxford Economics'!$A$7:$A$1000,$C95,'Oxford Economics'!$B$7:$B$1000,Settings!$B$14)+SUMIFS(INDEX('Oxford Economics'!$A$7:$AZ$1000,0,IFERROR(MATCH(AM$5,'Oxford Economics'!$A$6:$AZ$6,0),MATCH(AM$5&amp;"",'Oxford Economics'!$A$6:$AZ$6,0))),'Oxford Economics'!$A$7:$A$1000,$C95,'Oxford Economics'!$B$7:$B$1000,Settings!$B$16)+IF(Settings!$B$18="",0,SUMIFS(INDEX('Oxford Economics'!$A$7:$AZ$1000,0,IFERROR(MATCH(AM$5,'Oxford Economics'!$A$6:$AZ$6,0),MATCH(AM$5&amp;"",'Oxford Economics'!$A$6:$AZ$6,0))),'Oxford Economics'!$A$7:$A$1000,$C95,'Oxford Economics'!$B$7:$B$1000,Settings!$B$18)))),""))</f>
        <v>9130.4</v>
      </c>
    </row>
    <row r="96" customFormat="false" ht="15" hidden="false" customHeight="false" outlineLevel="0" collapsed="false">
      <c r="A96" s="37" t="str">
        <f aca="false">IF('Raw data'!$A96="","",'Raw data'!$A96)</f>
        <v>Spain</v>
      </c>
      <c r="B96" s="37" t="str">
        <f aca="false">IF($A96="","",'Raw data'!$C96)</f>
        <v>Residential</v>
      </c>
      <c r="C96" s="37" t="str">
        <f aca="false">IF($A96="","",IF('Raw data'!$E96="",$A96,'Raw data'!$E96))</f>
        <v>Spain</v>
      </c>
      <c r="D96" s="38" t="n">
        <f aca="false">IF($A96="","",IF(AND(ISNUMBER(P96),ISNUMBER(AB96)),P96+AB96,""))</f>
        <v>16629.83</v>
      </c>
      <c r="E96" s="38" t="n">
        <f aca="false">IF($A96="","",IF(AND(ISNUMBER(Q96),ISNUMBER(AC96)),Q96+AC96,""))</f>
        <v>16446.08</v>
      </c>
      <c r="F96" s="38" t="n">
        <f aca="false">IF($A96="","",IF(AND(ISNUMBER(R96),ISNUMBER(AD96)),R96+AD96,""))</f>
        <v>18455.6</v>
      </c>
      <c r="G96" s="38" t="n">
        <f aca="false">IF($A96="","",IF(AND(ISNUMBER(S96),ISNUMBER(AE96)),S96+AE96,""))</f>
        <v>18644.19</v>
      </c>
      <c r="H96" s="38" t="n">
        <f aca="false">IF($A96="","",IF(AND(ISNUMBER(T96),ISNUMBER(AF96)),T96+AF96,""))</f>
        <v>18534.18</v>
      </c>
      <c r="I96" s="38" t="n">
        <f aca="false">IF($A96="","",IF(AND(ISNUMBER(U96),ISNUMBER(AG96)),U96+AG96,""))</f>
        <v>19526.91</v>
      </c>
      <c r="J96" s="38" t="n">
        <f aca="false">IF($A96="","",IF(AND(ISNUMBER(V96),ISNUMBER(AH96)),V96+AH96,""))</f>
        <v>19872.03</v>
      </c>
      <c r="K96" s="38" t="n">
        <f aca="false">IF($A96="","",IF(AND(ISNUMBER(W96),ISNUMBER(AI96)),W96+AI96,""))</f>
        <v>20401.51</v>
      </c>
      <c r="L96" s="38" t="n">
        <f aca="false">IF($A96="","",IF(AND(ISNUMBER(X96),ISNUMBER(AJ96)),X96+AJ96,""))</f>
        <v>21004.19</v>
      </c>
      <c r="M96" s="38" t="n">
        <f aca="false">IF($A96="","",IF(AND(ISNUMBER(Y96),ISNUMBER(AK96)),Y96+AK96,""))</f>
        <v>21516.17</v>
      </c>
      <c r="N96" s="38" t="n">
        <f aca="false">IF($A96="","",IF(AND(ISNUMBER(Z96),ISNUMBER(AL96)),Z96+AL96,""))</f>
        <v>21965.63</v>
      </c>
      <c r="O96" s="38" t="n">
        <f aca="false">IF($A96="","",IF(AND(ISNUMBER(AA96),ISNUMBER(AM96)),AA96+AM96,""))</f>
        <v>22291.42</v>
      </c>
      <c r="P96" s="38" t="n">
        <f aca="false">IF($A96="","",IFERROR(1/(1/IF($B96="Residential",SUMIFS(INDEX('Oxford Economics'!$A$7:$AZ$1000,0,IFERROR(MATCH(P$5,'Oxford Economics'!$A$6:$AZ$6,0),MATCH(P$5&amp;"",'Oxford Economics'!$A$6:$AZ$6,0))),'Oxford Economics'!$A$7:$A$1000,$C96,'Oxford Economics'!$B$7:$B$1000,Settings!$B$13)-SUMIFS(INDEX('Oxford Economics'!$A$7:$AZ$1000,0,IFERROR(MATCH(P$5,'Oxford Economics'!$A$6:$AZ$6,0),MATCH(P$5&amp;"",'Oxford Economics'!$A$6:$AZ$6,0))),'Oxford Economics'!$A$7:$A$1000,$C96,'Oxford Economics'!$B$7:$B$1000,Settings!$B$15),SUMIFS(INDEX('Oxford Economics'!$A$7:$AZ$1000,0,IFERROR(MATCH(P$5,'Oxford Economics'!$A$6:$AZ$6,0),MATCH(P$5&amp;"",'Oxford Economics'!$A$6:$AZ$6,0))),'Oxford Economics'!$A$7:$A$1000,$C96,'Oxford Economics'!$B$7:$B$1000,Settings!$B$15)+SUMIFS(INDEX('Oxford Economics'!$A$7:$AZ$1000,0,IFERROR(MATCH(P$5,'Oxford Economics'!$A$6:$AZ$6,0),MATCH(P$5&amp;"",'Oxford Economics'!$A$6:$AZ$6,0))),'Oxford Economics'!$A$7:$A$1000,$C96,'Oxford Economics'!$B$7:$B$1000,Settings!$B$17)+IF(Settings!$B$19="",0,SUMIFS(INDEX('Oxford Economics'!$A$7:$AZ$1000,0,IFERROR(MATCH(P$5,'Oxford Economics'!$A$6:$AZ$6,0),MATCH(P$5&amp;"",'Oxford Economics'!$A$6:$AZ$6,0))),'Oxford Economics'!$A$7:$A$1000,$C96,'Oxford Economics'!$B$7:$B$1000,Settings!$B$19)))),""))</f>
        <v>6631.37</v>
      </c>
      <c r="Q96" s="38" t="n">
        <f aca="false">IF($A96="","",IFERROR(1/(1/IF($B96="Residential",SUMIFS(INDEX('Oxford Economics'!$A$7:$AZ$1000,0,IFERROR(MATCH(Q$5,'Oxford Economics'!$A$6:$AZ$6,0),MATCH(Q$5&amp;"",'Oxford Economics'!$A$6:$AZ$6,0))),'Oxford Economics'!$A$7:$A$1000,$C96,'Oxford Economics'!$B$7:$B$1000,Settings!$B$13)-SUMIFS(INDEX('Oxford Economics'!$A$7:$AZ$1000,0,IFERROR(MATCH(Q$5,'Oxford Economics'!$A$6:$AZ$6,0),MATCH(Q$5&amp;"",'Oxford Economics'!$A$6:$AZ$6,0))),'Oxford Economics'!$A$7:$A$1000,$C96,'Oxford Economics'!$B$7:$B$1000,Settings!$B$15),SUMIFS(INDEX('Oxford Economics'!$A$7:$AZ$1000,0,IFERROR(MATCH(Q$5,'Oxford Economics'!$A$6:$AZ$6,0),MATCH(Q$5&amp;"",'Oxford Economics'!$A$6:$AZ$6,0))),'Oxford Economics'!$A$7:$A$1000,$C96,'Oxford Economics'!$B$7:$B$1000,Settings!$B$15)+SUMIFS(INDEX('Oxford Economics'!$A$7:$AZ$1000,0,IFERROR(MATCH(Q$5,'Oxford Economics'!$A$6:$AZ$6,0),MATCH(Q$5&amp;"",'Oxford Economics'!$A$6:$AZ$6,0))),'Oxford Economics'!$A$7:$A$1000,$C96,'Oxford Economics'!$B$7:$B$1000,Settings!$B$17)+IF(Settings!$B$19="",0,SUMIFS(INDEX('Oxford Economics'!$A$7:$AZ$1000,0,IFERROR(MATCH(Q$5,'Oxford Economics'!$A$6:$AZ$6,0),MATCH(Q$5&amp;"",'Oxford Economics'!$A$6:$AZ$6,0))),'Oxford Economics'!$A$7:$A$1000,$C96,'Oxford Economics'!$B$7:$B$1000,Settings!$B$19)))),""))</f>
        <v>5985.56</v>
      </c>
      <c r="R96" s="38" t="n">
        <f aca="false">IF($A96="","",IFERROR(1/(1/IF($B96="Residential",SUMIFS(INDEX('Oxford Economics'!$A$7:$AZ$1000,0,IFERROR(MATCH(R$5,'Oxford Economics'!$A$6:$AZ$6,0),MATCH(R$5&amp;"",'Oxford Economics'!$A$6:$AZ$6,0))),'Oxford Economics'!$A$7:$A$1000,$C96,'Oxford Economics'!$B$7:$B$1000,Settings!$B$13)-SUMIFS(INDEX('Oxford Economics'!$A$7:$AZ$1000,0,IFERROR(MATCH(R$5,'Oxford Economics'!$A$6:$AZ$6,0),MATCH(R$5&amp;"",'Oxford Economics'!$A$6:$AZ$6,0))),'Oxford Economics'!$A$7:$A$1000,$C96,'Oxford Economics'!$B$7:$B$1000,Settings!$B$15),SUMIFS(INDEX('Oxford Economics'!$A$7:$AZ$1000,0,IFERROR(MATCH(R$5,'Oxford Economics'!$A$6:$AZ$6,0),MATCH(R$5&amp;"",'Oxford Economics'!$A$6:$AZ$6,0))),'Oxford Economics'!$A$7:$A$1000,$C96,'Oxford Economics'!$B$7:$B$1000,Settings!$B$15)+SUMIFS(INDEX('Oxford Economics'!$A$7:$AZ$1000,0,IFERROR(MATCH(R$5,'Oxford Economics'!$A$6:$AZ$6,0),MATCH(R$5&amp;"",'Oxford Economics'!$A$6:$AZ$6,0))),'Oxford Economics'!$A$7:$A$1000,$C96,'Oxford Economics'!$B$7:$B$1000,Settings!$B$17)+IF(Settings!$B$19="",0,SUMIFS(INDEX('Oxford Economics'!$A$7:$AZ$1000,0,IFERROR(MATCH(R$5,'Oxford Economics'!$A$6:$AZ$6,0),MATCH(R$5&amp;"",'Oxford Economics'!$A$6:$AZ$6,0))),'Oxford Economics'!$A$7:$A$1000,$C96,'Oxford Economics'!$B$7:$B$1000,Settings!$B$19)))),""))</f>
        <v>6719.71</v>
      </c>
      <c r="S96" s="38" t="n">
        <f aca="false">IF($A96="","",IFERROR(1/(1/IF($B96="Residential",SUMIFS(INDEX('Oxford Economics'!$A$7:$AZ$1000,0,IFERROR(MATCH(S$5,'Oxford Economics'!$A$6:$AZ$6,0),MATCH(S$5&amp;"",'Oxford Economics'!$A$6:$AZ$6,0))),'Oxford Economics'!$A$7:$A$1000,$C96,'Oxford Economics'!$B$7:$B$1000,Settings!$B$13)-SUMIFS(INDEX('Oxford Economics'!$A$7:$AZ$1000,0,IFERROR(MATCH(S$5,'Oxford Economics'!$A$6:$AZ$6,0),MATCH(S$5&amp;"",'Oxford Economics'!$A$6:$AZ$6,0))),'Oxford Economics'!$A$7:$A$1000,$C96,'Oxford Economics'!$B$7:$B$1000,Settings!$B$15),SUMIFS(INDEX('Oxford Economics'!$A$7:$AZ$1000,0,IFERROR(MATCH(S$5,'Oxford Economics'!$A$6:$AZ$6,0),MATCH(S$5&amp;"",'Oxford Economics'!$A$6:$AZ$6,0))),'Oxford Economics'!$A$7:$A$1000,$C96,'Oxford Economics'!$B$7:$B$1000,Settings!$B$15)+SUMIFS(INDEX('Oxford Economics'!$A$7:$AZ$1000,0,IFERROR(MATCH(S$5,'Oxford Economics'!$A$6:$AZ$6,0),MATCH(S$5&amp;"",'Oxford Economics'!$A$6:$AZ$6,0))),'Oxford Economics'!$A$7:$A$1000,$C96,'Oxford Economics'!$B$7:$B$1000,Settings!$B$17)+IF(Settings!$B$19="",0,SUMIFS(INDEX('Oxford Economics'!$A$7:$AZ$1000,0,IFERROR(MATCH(S$5,'Oxford Economics'!$A$6:$AZ$6,0),MATCH(S$5&amp;"",'Oxford Economics'!$A$6:$AZ$6,0))),'Oxford Economics'!$A$7:$A$1000,$C96,'Oxford Economics'!$B$7:$B$1000,Settings!$B$19)))),""))</f>
        <v>7163.26</v>
      </c>
      <c r="T96" s="38" t="n">
        <f aca="false">IF($A96="","",IFERROR(1/(1/IF($B96="Residential",SUMIFS(INDEX('Oxford Economics'!$A$7:$AZ$1000,0,IFERROR(MATCH(T$5,'Oxford Economics'!$A$6:$AZ$6,0),MATCH(T$5&amp;"",'Oxford Economics'!$A$6:$AZ$6,0))),'Oxford Economics'!$A$7:$A$1000,$C96,'Oxford Economics'!$B$7:$B$1000,Settings!$B$13)-SUMIFS(INDEX('Oxford Economics'!$A$7:$AZ$1000,0,IFERROR(MATCH(T$5,'Oxford Economics'!$A$6:$AZ$6,0),MATCH(T$5&amp;"",'Oxford Economics'!$A$6:$AZ$6,0))),'Oxford Economics'!$A$7:$A$1000,$C96,'Oxford Economics'!$B$7:$B$1000,Settings!$B$15),SUMIFS(INDEX('Oxford Economics'!$A$7:$AZ$1000,0,IFERROR(MATCH(T$5,'Oxford Economics'!$A$6:$AZ$6,0),MATCH(T$5&amp;"",'Oxford Economics'!$A$6:$AZ$6,0))),'Oxford Economics'!$A$7:$A$1000,$C96,'Oxford Economics'!$B$7:$B$1000,Settings!$B$15)+SUMIFS(INDEX('Oxford Economics'!$A$7:$AZ$1000,0,IFERROR(MATCH(T$5,'Oxford Economics'!$A$6:$AZ$6,0),MATCH(T$5&amp;"",'Oxford Economics'!$A$6:$AZ$6,0))),'Oxford Economics'!$A$7:$A$1000,$C96,'Oxford Economics'!$B$7:$B$1000,Settings!$B$17)+IF(Settings!$B$19="",0,SUMIFS(INDEX('Oxford Economics'!$A$7:$AZ$1000,0,IFERROR(MATCH(T$5,'Oxford Economics'!$A$6:$AZ$6,0),MATCH(T$5&amp;"",'Oxford Economics'!$A$6:$AZ$6,0))),'Oxford Economics'!$A$7:$A$1000,$C96,'Oxford Economics'!$B$7:$B$1000,Settings!$B$19)))),""))</f>
        <v>7284.73</v>
      </c>
      <c r="U96" s="38" t="n">
        <f aca="false">IF($A96="","",IFERROR(1/(1/IF($B96="Residential",SUMIFS(INDEX('Oxford Economics'!$A$7:$AZ$1000,0,IFERROR(MATCH(U$5,'Oxford Economics'!$A$6:$AZ$6,0),MATCH(U$5&amp;"",'Oxford Economics'!$A$6:$AZ$6,0))),'Oxford Economics'!$A$7:$A$1000,$C96,'Oxford Economics'!$B$7:$B$1000,Settings!$B$13)-SUMIFS(INDEX('Oxford Economics'!$A$7:$AZ$1000,0,IFERROR(MATCH(U$5,'Oxford Economics'!$A$6:$AZ$6,0),MATCH(U$5&amp;"",'Oxford Economics'!$A$6:$AZ$6,0))),'Oxford Economics'!$A$7:$A$1000,$C96,'Oxford Economics'!$B$7:$B$1000,Settings!$B$15),SUMIFS(INDEX('Oxford Economics'!$A$7:$AZ$1000,0,IFERROR(MATCH(U$5,'Oxford Economics'!$A$6:$AZ$6,0),MATCH(U$5&amp;"",'Oxford Economics'!$A$6:$AZ$6,0))),'Oxford Economics'!$A$7:$A$1000,$C96,'Oxford Economics'!$B$7:$B$1000,Settings!$B$15)+SUMIFS(INDEX('Oxford Economics'!$A$7:$AZ$1000,0,IFERROR(MATCH(U$5,'Oxford Economics'!$A$6:$AZ$6,0),MATCH(U$5&amp;"",'Oxford Economics'!$A$6:$AZ$6,0))),'Oxford Economics'!$A$7:$A$1000,$C96,'Oxford Economics'!$B$7:$B$1000,Settings!$B$17)+IF(Settings!$B$19="",0,SUMIFS(INDEX('Oxford Economics'!$A$7:$AZ$1000,0,IFERROR(MATCH(U$5,'Oxford Economics'!$A$6:$AZ$6,0),MATCH(U$5&amp;"",'Oxford Economics'!$A$6:$AZ$6,0))),'Oxford Economics'!$A$7:$A$1000,$C96,'Oxford Economics'!$B$7:$B$1000,Settings!$B$19)))),""))</f>
        <v>7232.05</v>
      </c>
      <c r="V96" s="38" t="n">
        <f aca="false">IF($A96="","",IFERROR(1/(1/IF($B96="Residential",SUMIFS(INDEX('Oxford Economics'!$A$7:$AZ$1000,0,IFERROR(MATCH(V$5,'Oxford Economics'!$A$6:$AZ$6,0),MATCH(V$5&amp;"",'Oxford Economics'!$A$6:$AZ$6,0))),'Oxford Economics'!$A$7:$A$1000,$C96,'Oxford Economics'!$B$7:$B$1000,Settings!$B$13)-SUMIFS(INDEX('Oxford Economics'!$A$7:$AZ$1000,0,IFERROR(MATCH(V$5,'Oxford Economics'!$A$6:$AZ$6,0),MATCH(V$5&amp;"",'Oxford Economics'!$A$6:$AZ$6,0))),'Oxford Economics'!$A$7:$A$1000,$C96,'Oxford Economics'!$B$7:$B$1000,Settings!$B$15),SUMIFS(INDEX('Oxford Economics'!$A$7:$AZ$1000,0,IFERROR(MATCH(V$5,'Oxford Economics'!$A$6:$AZ$6,0),MATCH(V$5&amp;"",'Oxford Economics'!$A$6:$AZ$6,0))),'Oxford Economics'!$A$7:$A$1000,$C96,'Oxford Economics'!$B$7:$B$1000,Settings!$B$15)+SUMIFS(INDEX('Oxford Economics'!$A$7:$AZ$1000,0,IFERROR(MATCH(V$5,'Oxford Economics'!$A$6:$AZ$6,0),MATCH(V$5&amp;"",'Oxford Economics'!$A$6:$AZ$6,0))),'Oxford Economics'!$A$7:$A$1000,$C96,'Oxford Economics'!$B$7:$B$1000,Settings!$B$17)+IF(Settings!$B$19="",0,SUMIFS(INDEX('Oxford Economics'!$A$7:$AZ$1000,0,IFERROR(MATCH(V$5,'Oxford Economics'!$A$6:$AZ$6,0),MATCH(V$5&amp;"",'Oxford Economics'!$A$6:$AZ$6,0))),'Oxford Economics'!$A$7:$A$1000,$C96,'Oxford Economics'!$B$7:$B$1000,Settings!$B$19)))),""))</f>
        <v>7014.15</v>
      </c>
      <c r="W96" s="38" t="n">
        <f aca="false">IF($A96="","",IFERROR(1/(1/IF($B96="Residential",SUMIFS(INDEX('Oxford Economics'!$A$7:$AZ$1000,0,IFERROR(MATCH(W$5,'Oxford Economics'!$A$6:$AZ$6,0),MATCH(W$5&amp;"",'Oxford Economics'!$A$6:$AZ$6,0))),'Oxford Economics'!$A$7:$A$1000,$C96,'Oxford Economics'!$B$7:$B$1000,Settings!$B$13)-SUMIFS(INDEX('Oxford Economics'!$A$7:$AZ$1000,0,IFERROR(MATCH(W$5,'Oxford Economics'!$A$6:$AZ$6,0),MATCH(W$5&amp;"",'Oxford Economics'!$A$6:$AZ$6,0))),'Oxford Economics'!$A$7:$A$1000,$C96,'Oxford Economics'!$B$7:$B$1000,Settings!$B$15),SUMIFS(INDEX('Oxford Economics'!$A$7:$AZ$1000,0,IFERROR(MATCH(W$5,'Oxford Economics'!$A$6:$AZ$6,0),MATCH(W$5&amp;"",'Oxford Economics'!$A$6:$AZ$6,0))),'Oxford Economics'!$A$7:$A$1000,$C96,'Oxford Economics'!$B$7:$B$1000,Settings!$B$15)+SUMIFS(INDEX('Oxford Economics'!$A$7:$AZ$1000,0,IFERROR(MATCH(W$5,'Oxford Economics'!$A$6:$AZ$6,0),MATCH(W$5&amp;"",'Oxford Economics'!$A$6:$AZ$6,0))),'Oxford Economics'!$A$7:$A$1000,$C96,'Oxford Economics'!$B$7:$B$1000,Settings!$B$17)+IF(Settings!$B$19="",0,SUMIFS(INDEX('Oxford Economics'!$A$7:$AZ$1000,0,IFERROR(MATCH(W$5,'Oxford Economics'!$A$6:$AZ$6,0),MATCH(W$5&amp;"",'Oxford Economics'!$A$6:$AZ$6,0))),'Oxford Economics'!$A$7:$A$1000,$C96,'Oxford Economics'!$B$7:$B$1000,Settings!$B$19)))),""))</f>
        <v>6781.32</v>
      </c>
      <c r="X96" s="38" t="n">
        <f aca="false">IF($A96="","",IFERROR(1/(1/IF($B96="Residential",SUMIFS(INDEX('Oxford Economics'!$A$7:$AZ$1000,0,IFERROR(MATCH(X$5,'Oxford Economics'!$A$6:$AZ$6,0),MATCH(X$5&amp;"",'Oxford Economics'!$A$6:$AZ$6,0))),'Oxford Economics'!$A$7:$A$1000,$C96,'Oxford Economics'!$B$7:$B$1000,Settings!$B$13)-SUMIFS(INDEX('Oxford Economics'!$A$7:$AZ$1000,0,IFERROR(MATCH(X$5,'Oxford Economics'!$A$6:$AZ$6,0),MATCH(X$5&amp;"",'Oxford Economics'!$A$6:$AZ$6,0))),'Oxford Economics'!$A$7:$A$1000,$C96,'Oxford Economics'!$B$7:$B$1000,Settings!$B$15),SUMIFS(INDEX('Oxford Economics'!$A$7:$AZ$1000,0,IFERROR(MATCH(X$5,'Oxford Economics'!$A$6:$AZ$6,0),MATCH(X$5&amp;"",'Oxford Economics'!$A$6:$AZ$6,0))),'Oxford Economics'!$A$7:$A$1000,$C96,'Oxford Economics'!$B$7:$B$1000,Settings!$B$15)+SUMIFS(INDEX('Oxford Economics'!$A$7:$AZ$1000,0,IFERROR(MATCH(X$5,'Oxford Economics'!$A$6:$AZ$6,0),MATCH(X$5&amp;"",'Oxford Economics'!$A$6:$AZ$6,0))),'Oxford Economics'!$A$7:$A$1000,$C96,'Oxford Economics'!$B$7:$B$1000,Settings!$B$17)+IF(Settings!$B$19="",0,SUMIFS(INDEX('Oxford Economics'!$A$7:$AZ$1000,0,IFERROR(MATCH(X$5,'Oxford Economics'!$A$6:$AZ$6,0),MATCH(X$5&amp;"",'Oxford Economics'!$A$6:$AZ$6,0))),'Oxford Economics'!$A$7:$A$1000,$C96,'Oxford Economics'!$B$7:$B$1000,Settings!$B$19)))),""))</f>
        <v>7154.47</v>
      </c>
      <c r="Y96" s="38" t="n">
        <f aca="false">IF($A96="","",IFERROR(1/(1/IF($B96="Residential",SUMIFS(INDEX('Oxford Economics'!$A$7:$AZ$1000,0,IFERROR(MATCH(Y$5,'Oxford Economics'!$A$6:$AZ$6,0),MATCH(Y$5&amp;"",'Oxford Economics'!$A$6:$AZ$6,0))),'Oxford Economics'!$A$7:$A$1000,$C96,'Oxford Economics'!$B$7:$B$1000,Settings!$B$13)-SUMIFS(INDEX('Oxford Economics'!$A$7:$AZ$1000,0,IFERROR(MATCH(Y$5,'Oxford Economics'!$A$6:$AZ$6,0),MATCH(Y$5&amp;"",'Oxford Economics'!$A$6:$AZ$6,0))),'Oxford Economics'!$A$7:$A$1000,$C96,'Oxford Economics'!$B$7:$B$1000,Settings!$B$15),SUMIFS(INDEX('Oxford Economics'!$A$7:$AZ$1000,0,IFERROR(MATCH(Y$5,'Oxford Economics'!$A$6:$AZ$6,0),MATCH(Y$5&amp;"",'Oxford Economics'!$A$6:$AZ$6,0))),'Oxford Economics'!$A$7:$A$1000,$C96,'Oxford Economics'!$B$7:$B$1000,Settings!$B$15)+SUMIFS(INDEX('Oxford Economics'!$A$7:$AZ$1000,0,IFERROR(MATCH(Y$5,'Oxford Economics'!$A$6:$AZ$6,0),MATCH(Y$5&amp;"",'Oxford Economics'!$A$6:$AZ$6,0))),'Oxford Economics'!$A$7:$A$1000,$C96,'Oxford Economics'!$B$7:$B$1000,Settings!$B$17)+IF(Settings!$B$19="",0,SUMIFS(INDEX('Oxford Economics'!$A$7:$AZ$1000,0,IFERROR(MATCH(Y$5,'Oxford Economics'!$A$6:$AZ$6,0),MATCH(Y$5&amp;"",'Oxford Economics'!$A$6:$AZ$6,0))),'Oxford Economics'!$A$7:$A$1000,$C96,'Oxford Economics'!$B$7:$B$1000,Settings!$B$19)))),""))</f>
        <v>7583.92</v>
      </c>
      <c r="Z96" s="38" t="n">
        <f aca="false">IF($A96="","",IFERROR(1/(1/IF($B96="Residential",SUMIFS(INDEX('Oxford Economics'!$A$7:$AZ$1000,0,IFERROR(MATCH(Z$5,'Oxford Economics'!$A$6:$AZ$6,0),MATCH(Z$5&amp;"",'Oxford Economics'!$A$6:$AZ$6,0))),'Oxford Economics'!$A$7:$A$1000,$C96,'Oxford Economics'!$B$7:$B$1000,Settings!$B$13)-SUMIFS(INDEX('Oxford Economics'!$A$7:$AZ$1000,0,IFERROR(MATCH(Z$5,'Oxford Economics'!$A$6:$AZ$6,0),MATCH(Z$5&amp;"",'Oxford Economics'!$A$6:$AZ$6,0))),'Oxford Economics'!$A$7:$A$1000,$C96,'Oxford Economics'!$B$7:$B$1000,Settings!$B$15),SUMIFS(INDEX('Oxford Economics'!$A$7:$AZ$1000,0,IFERROR(MATCH(Z$5,'Oxford Economics'!$A$6:$AZ$6,0),MATCH(Z$5&amp;"",'Oxford Economics'!$A$6:$AZ$6,0))),'Oxford Economics'!$A$7:$A$1000,$C96,'Oxford Economics'!$B$7:$B$1000,Settings!$B$15)+SUMIFS(INDEX('Oxford Economics'!$A$7:$AZ$1000,0,IFERROR(MATCH(Z$5,'Oxford Economics'!$A$6:$AZ$6,0),MATCH(Z$5&amp;"",'Oxford Economics'!$A$6:$AZ$6,0))),'Oxford Economics'!$A$7:$A$1000,$C96,'Oxford Economics'!$B$7:$B$1000,Settings!$B$17)+IF(Settings!$B$19="",0,SUMIFS(INDEX('Oxford Economics'!$A$7:$AZ$1000,0,IFERROR(MATCH(Z$5,'Oxford Economics'!$A$6:$AZ$6,0),MATCH(Z$5&amp;"",'Oxford Economics'!$A$6:$AZ$6,0))),'Oxford Economics'!$A$7:$A$1000,$C96,'Oxford Economics'!$B$7:$B$1000,Settings!$B$19)))),""))</f>
        <v>7964.36</v>
      </c>
      <c r="AA96" s="38" t="n">
        <f aca="false">IF($A96="","",IFERROR(1/(1/IF($B96="Residential",SUMIFS(INDEX('Oxford Economics'!$A$7:$AZ$1000,0,IFERROR(MATCH(AA$5,'Oxford Economics'!$A$6:$AZ$6,0),MATCH(AA$5&amp;"",'Oxford Economics'!$A$6:$AZ$6,0))),'Oxford Economics'!$A$7:$A$1000,$C96,'Oxford Economics'!$B$7:$B$1000,Settings!$B$13)-SUMIFS(INDEX('Oxford Economics'!$A$7:$AZ$1000,0,IFERROR(MATCH(AA$5,'Oxford Economics'!$A$6:$AZ$6,0),MATCH(AA$5&amp;"",'Oxford Economics'!$A$6:$AZ$6,0))),'Oxford Economics'!$A$7:$A$1000,$C96,'Oxford Economics'!$B$7:$B$1000,Settings!$B$15),SUMIFS(INDEX('Oxford Economics'!$A$7:$AZ$1000,0,IFERROR(MATCH(AA$5,'Oxford Economics'!$A$6:$AZ$6,0),MATCH(AA$5&amp;"",'Oxford Economics'!$A$6:$AZ$6,0))),'Oxford Economics'!$A$7:$A$1000,$C96,'Oxford Economics'!$B$7:$B$1000,Settings!$B$15)+SUMIFS(INDEX('Oxford Economics'!$A$7:$AZ$1000,0,IFERROR(MATCH(AA$5,'Oxford Economics'!$A$6:$AZ$6,0),MATCH(AA$5&amp;"",'Oxford Economics'!$A$6:$AZ$6,0))),'Oxford Economics'!$A$7:$A$1000,$C96,'Oxford Economics'!$B$7:$B$1000,Settings!$B$17)+IF(Settings!$B$19="",0,SUMIFS(INDEX('Oxford Economics'!$A$7:$AZ$1000,0,IFERROR(MATCH(AA$5,'Oxford Economics'!$A$6:$AZ$6,0),MATCH(AA$5&amp;"",'Oxford Economics'!$A$6:$AZ$6,0))),'Oxford Economics'!$A$7:$A$1000,$C96,'Oxford Economics'!$B$7:$B$1000,Settings!$B$19)))),""))</f>
        <v>8112.11</v>
      </c>
      <c r="AB96" s="38" t="n">
        <f aca="false">IF($A96="","",IFERROR(1/(1/IF($B96="Residential",SUMIFS(INDEX('Oxford Economics'!$A$7:$AZ$1000,0,IFERROR(MATCH(AB$5,'Oxford Economics'!$A$6:$AZ$6,0),MATCH(AB$5&amp;"",'Oxford Economics'!$A$6:$AZ$6,0))),'Oxford Economics'!$A$7:$A$1000,$C96,'Oxford Economics'!$B$7:$B$1000,Settings!$B$12)-SUMIFS(INDEX('Oxford Economics'!$A$7:$AZ$1000,0,IFERROR(MATCH(AB$5,'Oxford Economics'!$A$6:$AZ$6,0),MATCH(AB$5&amp;"",'Oxford Economics'!$A$6:$AZ$6,0))),'Oxford Economics'!$A$7:$A$1000,$C96,'Oxford Economics'!$B$7:$B$1000,Settings!$B$14),SUMIFS(INDEX('Oxford Economics'!$A$7:$AZ$1000,0,IFERROR(MATCH(AB$5,'Oxford Economics'!$A$6:$AZ$6,0),MATCH(AB$5&amp;"",'Oxford Economics'!$A$6:$AZ$6,0))),'Oxford Economics'!$A$7:$A$1000,$C96,'Oxford Economics'!$B$7:$B$1000,Settings!$B$14)+SUMIFS(INDEX('Oxford Economics'!$A$7:$AZ$1000,0,IFERROR(MATCH(AB$5,'Oxford Economics'!$A$6:$AZ$6,0),MATCH(AB$5&amp;"",'Oxford Economics'!$A$6:$AZ$6,0))),'Oxford Economics'!$A$7:$A$1000,$C96,'Oxford Economics'!$B$7:$B$1000,Settings!$B$16)+IF(Settings!$B$18="",0,SUMIFS(INDEX('Oxford Economics'!$A$7:$AZ$1000,0,IFERROR(MATCH(AB$5,'Oxford Economics'!$A$6:$AZ$6,0),MATCH(AB$5&amp;"",'Oxford Economics'!$A$6:$AZ$6,0))),'Oxford Economics'!$A$7:$A$1000,$C96,'Oxford Economics'!$B$7:$B$1000,Settings!$B$18)))),""))</f>
        <v>9998.46</v>
      </c>
      <c r="AC96" s="38" t="n">
        <f aca="false">IF($A96="","",IFERROR(1/(1/IF($B96="Residential",SUMIFS(INDEX('Oxford Economics'!$A$7:$AZ$1000,0,IFERROR(MATCH(AC$5,'Oxford Economics'!$A$6:$AZ$6,0),MATCH(AC$5&amp;"",'Oxford Economics'!$A$6:$AZ$6,0))),'Oxford Economics'!$A$7:$A$1000,$C96,'Oxford Economics'!$B$7:$B$1000,Settings!$B$12)-SUMIFS(INDEX('Oxford Economics'!$A$7:$AZ$1000,0,IFERROR(MATCH(AC$5,'Oxford Economics'!$A$6:$AZ$6,0),MATCH(AC$5&amp;"",'Oxford Economics'!$A$6:$AZ$6,0))),'Oxford Economics'!$A$7:$A$1000,$C96,'Oxford Economics'!$B$7:$B$1000,Settings!$B$14),SUMIFS(INDEX('Oxford Economics'!$A$7:$AZ$1000,0,IFERROR(MATCH(AC$5,'Oxford Economics'!$A$6:$AZ$6,0),MATCH(AC$5&amp;"",'Oxford Economics'!$A$6:$AZ$6,0))),'Oxford Economics'!$A$7:$A$1000,$C96,'Oxford Economics'!$B$7:$B$1000,Settings!$B$14)+SUMIFS(INDEX('Oxford Economics'!$A$7:$AZ$1000,0,IFERROR(MATCH(AC$5,'Oxford Economics'!$A$6:$AZ$6,0),MATCH(AC$5&amp;"",'Oxford Economics'!$A$6:$AZ$6,0))),'Oxford Economics'!$A$7:$A$1000,$C96,'Oxford Economics'!$B$7:$B$1000,Settings!$B$16)+IF(Settings!$B$18="",0,SUMIFS(INDEX('Oxford Economics'!$A$7:$AZ$1000,0,IFERROR(MATCH(AC$5,'Oxford Economics'!$A$6:$AZ$6,0),MATCH(AC$5&amp;"",'Oxford Economics'!$A$6:$AZ$6,0))),'Oxford Economics'!$A$7:$A$1000,$C96,'Oxford Economics'!$B$7:$B$1000,Settings!$B$18)))),""))</f>
        <v>10460.52</v>
      </c>
      <c r="AD96" s="38" t="n">
        <f aca="false">IF($A96="","",IFERROR(1/(1/IF($B96="Residential",SUMIFS(INDEX('Oxford Economics'!$A$7:$AZ$1000,0,IFERROR(MATCH(AD$5,'Oxford Economics'!$A$6:$AZ$6,0),MATCH(AD$5&amp;"",'Oxford Economics'!$A$6:$AZ$6,0))),'Oxford Economics'!$A$7:$A$1000,$C96,'Oxford Economics'!$B$7:$B$1000,Settings!$B$12)-SUMIFS(INDEX('Oxford Economics'!$A$7:$AZ$1000,0,IFERROR(MATCH(AD$5,'Oxford Economics'!$A$6:$AZ$6,0),MATCH(AD$5&amp;"",'Oxford Economics'!$A$6:$AZ$6,0))),'Oxford Economics'!$A$7:$A$1000,$C96,'Oxford Economics'!$B$7:$B$1000,Settings!$B$14),SUMIFS(INDEX('Oxford Economics'!$A$7:$AZ$1000,0,IFERROR(MATCH(AD$5,'Oxford Economics'!$A$6:$AZ$6,0),MATCH(AD$5&amp;"",'Oxford Economics'!$A$6:$AZ$6,0))),'Oxford Economics'!$A$7:$A$1000,$C96,'Oxford Economics'!$B$7:$B$1000,Settings!$B$14)+SUMIFS(INDEX('Oxford Economics'!$A$7:$AZ$1000,0,IFERROR(MATCH(AD$5,'Oxford Economics'!$A$6:$AZ$6,0),MATCH(AD$5&amp;"",'Oxford Economics'!$A$6:$AZ$6,0))),'Oxford Economics'!$A$7:$A$1000,$C96,'Oxford Economics'!$B$7:$B$1000,Settings!$B$16)+IF(Settings!$B$18="",0,SUMIFS(INDEX('Oxford Economics'!$A$7:$AZ$1000,0,IFERROR(MATCH(AD$5,'Oxford Economics'!$A$6:$AZ$6,0),MATCH(AD$5&amp;"",'Oxford Economics'!$A$6:$AZ$6,0))),'Oxford Economics'!$A$7:$A$1000,$C96,'Oxford Economics'!$B$7:$B$1000,Settings!$B$18)))),""))</f>
        <v>11735.89</v>
      </c>
      <c r="AE96" s="38" t="n">
        <f aca="false">IF($A96="","",IFERROR(1/(1/IF($B96="Residential",SUMIFS(INDEX('Oxford Economics'!$A$7:$AZ$1000,0,IFERROR(MATCH(AE$5,'Oxford Economics'!$A$6:$AZ$6,0),MATCH(AE$5&amp;"",'Oxford Economics'!$A$6:$AZ$6,0))),'Oxford Economics'!$A$7:$A$1000,$C96,'Oxford Economics'!$B$7:$B$1000,Settings!$B$12)-SUMIFS(INDEX('Oxford Economics'!$A$7:$AZ$1000,0,IFERROR(MATCH(AE$5,'Oxford Economics'!$A$6:$AZ$6,0),MATCH(AE$5&amp;"",'Oxford Economics'!$A$6:$AZ$6,0))),'Oxford Economics'!$A$7:$A$1000,$C96,'Oxford Economics'!$B$7:$B$1000,Settings!$B$14),SUMIFS(INDEX('Oxford Economics'!$A$7:$AZ$1000,0,IFERROR(MATCH(AE$5,'Oxford Economics'!$A$6:$AZ$6,0),MATCH(AE$5&amp;"",'Oxford Economics'!$A$6:$AZ$6,0))),'Oxford Economics'!$A$7:$A$1000,$C96,'Oxford Economics'!$B$7:$B$1000,Settings!$B$14)+SUMIFS(INDEX('Oxford Economics'!$A$7:$AZ$1000,0,IFERROR(MATCH(AE$5,'Oxford Economics'!$A$6:$AZ$6,0),MATCH(AE$5&amp;"",'Oxford Economics'!$A$6:$AZ$6,0))),'Oxford Economics'!$A$7:$A$1000,$C96,'Oxford Economics'!$B$7:$B$1000,Settings!$B$16)+IF(Settings!$B$18="",0,SUMIFS(INDEX('Oxford Economics'!$A$7:$AZ$1000,0,IFERROR(MATCH(AE$5,'Oxford Economics'!$A$6:$AZ$6,0),MATCH(AE$5&amp;"",'Oxford Economics'!$A$6:$AZ$6,0))),'Oxford Economics'!$A$7:$A$1000,$C96,'Oxford Economics'!$B$7:$B$1000,Settings!$B$18)))),""))</f>
        <v>11480.93</v>
      </c>
      <c r="AF96" s="38" t="n">
        <f aca="false">IF($A96="","",IFERROR(1/(1/IF($B96="Residential",SUMIFS(INDEX('Oxford Economics'!$A$7:$AZ$1000,0,IFERROR(MATCH(AF$5,'Oxford Economics'!$A$6:$AZ$6,0),MATCH(AF$5&amp;"",'Oxford Economics'!$A$6:$AZ$6,0))),'Oxford Economics'!$A$7:$A$1000,$C96,'Oxford Economics'!$B$7:$B$1000,Settings!$B$12)-SUMIFS(INDEX('Oxford Economics'!$A$7:$AZ$1000,0,IFERROR(MATCH(AF$5,'Oxford Economics'!$A$6:$AZ$6,0),MATCH(AF$5&amp;"",'Oxford Economics'!$A$6:$AZ$6,0))),'Oxford Economics'!$A$7:$A$1000,$C96,'Oxford Economics'!$B$7:$B$1000,Settings!$B$14),SUMIFS(INDEX('Oxford Economics'!$A$7:$AZ$1000,0,IFERROR(MATCH(AF$5,'Oxford Economics'!$A$6:$AZ$6,0),MATCH(AF$5&amp;"",'Oxford Economics'!$A$6:$AZ$6,0))),'Oxford Economics'!$A$7:$A$1000,$C96,'Oxford Economics'!$B$7:$B$1000,Settings!$B$14)+SUMIFS(INDEX('Oxford Economics'!$A$7:$AZ$1000,0,IFERROR(MATCH(AF$5,'Oxford Economics'!$A$6:$AZ$6,0),MATCH(AF$5&amp;"",'Oxford Economics'!$A$6:$AZ$6,0))),'Oxford Economics'!$A$7:$A$1000,$C96,'Oxford Economics'!$B$7:$B$1000,Settings!$B$16)+IF(Settings!$B$18="",0,SUMIFS(INDEX('Oxford Economics'!$A$7:$AZ$1000,0,IFERROR(MATCH(AF$5,'Oxford Economics'!$A$6:$AZ$6,0),MATCH(AF$5&amp;"",'Oxford Economics'!$A$6:$AZ$6,0))),'Oxford Economics'!$A$7:$A$1000,$C96,'Oxford Economics'!$B$7:$B$1000,Settings!$B$18)))),""))</f>
        <v>11249.45</v>
      </c>
      <c r="AG96" s="38" t="n">
        <f aca="false">IF($A96="","",IFERROR(1/(1/IF($B96="Residential",SUMIFS(INDEX('Oxford Economics'!$A$7:$AZ$1000,0,IFERROR(MATCH(AG$5,'Oxford Economics'!$A$6:$AZ$6,0),MATCH(AG$5&amp;"",'Oxford Economics'!$A$6:$AZ$6,0))),'Oxford Economics'!$A$7:$A$1000,$C96,'Oxford Economics'!$B$7:$B$1000,Settings!$B$12)-SUMIFS(INDEX('Oxford Economics'!$A$7:$AZ$1000,0,IFERROR(MATCH(AG$5,'Oxford Economics'!$A$6:$AZ$6,0),MATCH(AG$5&amp;"",'Oxford Economics'!$A$6:$AZ$6,0))),'Oxford Economics'!$A$7:$A$1000,$C96,'Oxford Economics'!$B$7:$B$1000,Settings!$B$14),SUMIFS(INDEX('Oxford Economics'!$A$7:$AZ$1000,0,IFERROR(MATCH(AG$5,'Oxford Economics'!$A$6:$AZ$6,0),MATCH(AG$5&amp;"",'Oxford Economics'!$A$6:$AZ$6,0))),'Oxford Economics'!$A$7:$A$1000,$C96,'Oxford Economics'!$B$7:$B$1000,Settings!$B$14)+SUMIFS(INDEX('Oxford Economics'!$A$7:$AZ$1000,0,IFERROR(MATCH(AG$5,'Oxford Economics'!$A$6:$AZ$6,0),MATCH(AG$5&amp;"",'Oxford Economics'!$A$6:$AZ$6,0))),'Oxford Economics'!$A$7:$A$1000,$C96,'Oxford Economics'!$B$7:$B$1000,Settings!$B$16)+IF(Settings!$B$18="",0,SUMIFS(INDEX('Oxford Economics'!$A$7:$AZ$1000,0,IFERROR(MATCH(AG$5,'Oxford Economics'!$A$6:$AZ$6,0),MATCH(AG$5&amp;"",'Oxford Economics'!$A$6:$AZ$6,0))),'Oxford Economics'!$A$7:$A$1000,$C96,'Oxford Economics'!$B$7:$B$1000,Settings!$B$18)))),""))</f>
        <v>12294.86</v>
      </c>
      <c r="AH96" s="38" t="n">
        <f aca="false">IF($A96="","",IFERROR(1/(1/IF($B96="Residential",SUMIFS(INDEX('Oxford Economics'!$A$7:$AZ$1000,0,IFERROR(MATCH(AH$5,'Oxford Economics'!$A$6:$AZ$6,0),MATCH(AH$5&amp;"",'Oxford Economics'!$A$6:$AZ$6,0))),'Oxford Economics'!$A$7:$A$1000,$C96,'Oxford Economics'!$B$7:$B$1000,Settings!$B$12)-SUMIFS(INDEX('Oxford Economics'!$A$7:$AZ$1000,0,IFERROR(MATCH(AH$5,'Oxford Economics'!$A$6:$AZ$6,0),MATCH(AH$5&amp;"",'Oxford Economics'!$A$6:$AZ$6,0))),'Oxford Economics'!$A$7:$A$1000,$C96,'Oxford Economics'!$B$7:$B$1000,Settings!$B$14),SUMIFS(INDEX('Oxford Economics'!$A$7:$AZ$1000,0,IFERROR(MATCH(AH$5,'Oxford Economics'!$A$6:$AZ$6,0),MATCH(AH$5&amp;"",'Oxford Economics'!$A$6:$AZ$6,0))),'Oxford Economics'!$A$7:$A$1000,$C96,'Oxford Economics'!$B$7:$B$1000,Settings!$B$14)+SUMIFS(INDEX('Oxford Economics'!$A$7:$AZ$1000,0,IFERROR(MATCH(AH$5,'Oxford Economics'!$A$6:$AZ$6,0),MATCH(AH$5&amp;"",'Oxford Economics'!$A$6:$AZ$6,0))),'Oxford Economics'!$A$7:$A$1000,$C96,'Oxford Economics'!$B$7:$B$1000,Settings!$B$16)+IF(Settings!$B$18="",0,SUMIFS(INDEX('Oxford Economics'!$A$7:$AZ$1000,0,IFERROR(MATCH(AH$5,'Oxford Economics'!$A$6:$AZ$6,0),MATCH(AH$5&amp;"",'Oxford Economics'!$A$6:$AZ$6,0))),'Oxford Economics'!$A$7:$A$1000,$C96,'Oxford Economics'!$B$7:$B$1000,Settings!$B$18)))),""))</f>
        <v>12857.88</v>
      </c>
      <c r="AI96" s="38" t="n">
        <f aca="false">IF($A96="","",IFERROR(1/(1/IF($B96="Residential",SUMIFS(INDEX('Oxford Economics'!$A$7:$AZ$1000,0,IFERROR(MATCH(AI$5,'Oxford Economics'!$A$6:$AZ$6,0),MATCH(AI$5&amp;"",'Oxford Economics'!$A$6:$AZ$6,0))),'Oxford Economics'!$A$7:$A$1000,$C96,'Oxford Economics'!$B$7:$B$1000,Settings!$B$12)-SUMIFS(INDEX('Oxford Economics'!$A$7:$AZ$1000,0,IFERROR(MATCH(AI$5,'Oxford Economics'!$A$6:$AZ$6,0),MATCH(AI$5&amp;"",'Oxford Economics'!$A$6:$AZ$6,0))),'Oxford Economics'!$A$7:$A$1000,$C96,'Oxford Economics'!$B$7:$B$1000,Settings!$B$14),SUMIFS(INDEX('Oxford Economics'!$A$7:$AZ$1000,0,IFERROR(MATCH(AI$5,'Oxford Economics'!$A$6:$AZ$6,0),MATCH(AI$5&amp;"",'Oxford Economics'!$A$6:$AZ$6,0))),'Oxford Economics'!$A$7:$A$1000,$C96,'Oxford Economics'!$B$7:$B$1000,Settings!$B$14)+SUMIFS(INDEX('Oxford Economics'!$A$7:$AZ$1000,0,IFERROR(MATCH(AI$5,'Oxford Economics'!$A$6:$AZ$6,0),MATCH(AI$5&amp;"",'Oxford Economics'!$A$6:$AZ$6,0))),'Oxford Economics'!$A$7:$A$1000,$C96,'Oxford Economics'!$B$7:$B$1000,Settings!$B$16)+IF(Settings!$B$18="",0,SUMIFS(INDEX('Oxford Economics'!$A$7:$AZ$1000,0,IFERROR(MATCH(AI$5,'Oxford Economics'!$A$6:$AZ$6,0),MATCH(AI$5&amp;"",'Oxford Economics'!$A$6:$AZ$6,0))),'Oxford Economics'!$A$7:$A$1000,$C96,'Oxford Economics'!$B$7:$B$1000,Settings!$B$18)))),""))</f>
        <v>13620.19</v>
      </c>
      <c r="AJ96" s="38" t="n">
        <f aca="false">IF($A96="","",IFERROR(1/(1/IF($B96="Residential",SUMIFS(INDEX('Oxford Economics'!$A$7:$AZ$1000,0,IFERROR(MATCH(AJ$5,'Oxford Economics'!$A$6:$AZ$6,0),MATCH(AJ$5&amp;"",'Oxford Economics'!$A$6:$AZ$6,0))),'Oxford Economics'!$A$7:$A$1000,$C96,'Oxford Economics'!$B$7:$B$1000,Settings!$B$12)-SUMIFS(INDEX('Oxford Economics'!$A$7:$AZ$1000,0,IFERROR(MATCH(AJ$5,'Oxford Economics'!$A$6:$AZ$6,0),MATCH(AJ$5&amp;"",'Oxford Economics'!$A$6:$AZ$6,0))),'Oxford Economics'!$A$7:$A$1000,$C96,'Oxford Economics'!$B$7:$B$1000,Settings!$B$14),SUMIFS(INDEX('Oxford Economics'!$A$7:$AZ$1000,0,IFERROR(MATCH(AJ$5,'Oxford Economics'!$A$6:$AZ$6,0),MATCH(AJ$5&amp;"",'Oxford Economics'!$A$6:$AZ$6,0))),'Oxford Economics'!$A$7:$A$1000,$C96,'Oxford Economics'!$B$7:$B$1000,Settings!$B$14)+SUMIFS(INDEX('Oxford Economics'!$A$7:$AZ$1000,0,IFERROR(MATCH(AJ$5,'Oxford Economics'!$A$6:$AZ$6,0),MATCH(AJ$5&amp;"",'Oxford Economics'!$A$6:$AZ$6,0))),'Oxford Economics'!$A$7:$A$1000,$C96,'Oxford Economics'!$B$7:$B$1000,Settings!$B$16)+IF(Settings!$B$18="",0,SUMIFS(INDEX('Oxford Economics'!$A$7:$AZ$1000,0,IFERROR(MATCH(AJ$5,'Oxford Economics'!$A$6:$AZ$6,0),MATCH(AJ$5&amp;"",'Oxford Economics'!$A$6:$AZ$6,0))),'Oxford Economics'!$A$7:$A$1000,$C96,'Oxford Economics'!$B$7:$B$1000,Settings!$B$18)))),""))</f>
        <v>13849.72</v>
      </c>
      <c r="AK96" s="38" t="n">
        <f aca="false">IF($A96="","",IFERROR(1/(1/IF($B96="Residential",SUMIFS(INDEX('Oxford Economics'!$A$7:$AZ$1000,0,IFERROR(MATCH(AK$5,'Oxford Economics'!$A$6:$AZ$6,0),MATCH(AK$5&amp;"",'Oxford Economics'!$A$6:$AZ$6,0))),'Oxford Economics'!$A$7:$A$1000,$C96,'Oxford Economics'!$B$7:$B$1000,Settings!$B$12)-SUMIFS(INDEX('Oxford Economics'!$A$7:$AZ$1000,0,IFERROR(MATCH(AK$5,'Oxford Economics'!$A$6:$AZ$6,0),MATCH(AK$5&amp;"",'Oxford Economics'!$A$6:$AZ$6,0))),'Oxford Economics'!$A$7:$A$1000,$C96,'Oxford Economics'!$B$7:$B$1000,Settings!$B$14),SUMIFS(INDEX('Oxford Economics'!$A$7:$AZ$1000,0,IFERROR(MATCH(AK$5,'Oxford Economics'!$A$6:$AZ$6,0),MATCH(AK$5&amp;"",'Oxford Economics'!$A$6:$AZ$6,0))),'Oxford Economics'!$A$7:$A$1000,$C96,'Oxford Economics'!$B$7:$B$1000,Settings!$B$14)+SUMIFS(INDEX('Oxford Economics'!$A$7:$AZ$1000,0,IFERROR(MATCH(AK$5,'Oxford Economics'!$A$6:$AZ$6,0),MATCH(AK$5&amp;"",'Oxford Economics'!$A$6:$AZ$6,0))),'Oxford Economics'!$A$7:$A$1000,$C96,'Oxford Economics'!$B$7:$B$1000,Settings!$B$16)+IF(Settings!$B$18="",0,SUMIFS(INDEX('Oxford Economics'!$A$7:$AZ$1000,0,IFERROR(MATCH(AK$5,'Oxford Economics'!$A$6:$AZ$6,0),MATCH(AK$5&amp;"",'Oxford Economics'!$A$6:$AZ$6,0))),'Oxford Economics'!$A$7:$A$1000,$C96,'Oxford Economics'!$B$7:$B$1000,Settings!$B$18)))),""))</f>
        <v>13932.25</v>
      </c>
      <c r="AL96" s="38" t="n">
        <f aca="false">IF($A96="","",IFERROR(1/(1/IF($B96="Residential",SUMIFS(INDEX('Oxford Economics'!$A$7:$AZ$1000,0,IFERROR(MATCH(AL$5,'Oxford Economics'!$A$6:$AZ$6,0),MATCH(AL$5&amp;"",'Oxford Economics'!$A$6:$AZ$6,0))),'Oxford Economics'!$A$7:$A$1000,$C96,'Oxford Economics'!$B$7:$B$1000,Settings!$B$12)-SUMIFS(INDEX('Oxford Economics'!$A$7:$AZ$1000,0,IFERROR(MATCH(AL$5,'Oxford Economics'!$A$6:$AZ$6,0),MATCH(AL$5&amp;"",'Oxford Economics'!$A$6:$AZ$6,0))),'Oxford Economics'!$A$7:$A$1000,$C96,'Oxford Economics'!$B$7:$B$1000,Settings!$B$14),SUMIFS(INDEX('Oxford Economics'!$A$7:$AZ$1000,0,IFERROR(MATCH(AL$5,'Oxford Economics'!$A$6:$AZ$6,0),MATCH(AL$5&amp;"",'Oxford Economics'!$A$6:$AZ$6,0))),'Oxford Economics'!$A$7:$A$1000,$C96,'Oxford Economics'!$B$7:$B$1000,Settings!$B$14)+SUMIFS(INDEX('Oxford Economics'!$A$7:$AZ$1000,0,IFERROR(MATCH(AL$5,'Oxford Economics'!$A$6:$AZ$6,0),MATCH(AL$5&amp;"",'Oxford Economics'!$A$6:$AZ$6,0))),'Oxford Economics'!$A$7:$A$1000,$C96,'Oxford Economics'!$B$7:$B$1000,Settings!$B$16)+IF(Settings!$B$18="",0,SUMIFS(INDEX('Oxford Economics'!$A$7:$AZ$1000,0,IFERROR(MATCH(AL$5,'Oxford Economics'!$A$6:$AZ$6,0),MATCH(AL$5&amp;"",'Oxford Economics'!$A$6:$AZ$6,0))),'Oxford Economics'!$A$7:$A$1000,$C96,'Oxford Economics'!$B$7:$B$1000,Settings!$B$18)))),""))</f>
        <v>14001.27</v>
      </c>
      <c r="AM96" s="38" t="n">
        <f aca="false">IF($A96="","",IFERROR(1/(1/IF($B96="Residential",SUMIFS(INDEX('Oxford Economics'!$A$7:$AZ$1000,0,IFERROR(MATCH(AM$5,'Oxford Economics'!$A$6:$AZ$6,0),MATCH(AM$5&amp;"",'Oxford Economics'!$A$6:$AZ$6,0))),'Oxford Economics'!$A$7:$A$1000,$C96,'Oxford Economics'!$B$7:$B$1000,Settings!$B$12)-SUMIFS(INDEX('Oxford Economics'!$A$7:$AZ$1000,0,IFERROR(MATCH(AM$5,'Oxford Economics'!$A$6:$AZ$6,0),MATCH(AM$5&amp;"",'Oxford Economics'!$A$6:$AZ$6,0))),'Oxford Economics'!$A$7:$A$1000,$C96,'Oxford Economics'!$B$7:$B$1000,Settings!$B$14),SUMIFS(INDEX('Oxford Economics'!$A$7:$AZ$1000,0,IFERROR(MATCH(AM$5,'Oxford Economics'!$A$6:$AZ$6,0),MATCH(AM$5&amp;"",'Oxford Economics'!$A$6:$AZ$6,0))),'Oxford Economics'!$A$7:$A$1000,$C96,'Oxford Economics'!$B$7:$B$1000,Settings!$B$14)+SUMIFS(INDEX('Oxford Economics'!$A$7:$AZ$1000,0,IFERROR(MATCH(AM$5,'Oxford Economics'!$A$6:$AZ$6,0),MATCH(AM$5&amp;"",'Oxford Economics'!$A$6:$AZ$6,0))),'Oxford Economics'!$A$7:$A$1000,$C96,'Oxford Economics'!$B$7:$B$1000,Settings!$B$16)+IF(Settings!$B$18="",0,SUMIFS(INDEX('Oxford Economics'!$A$7:$AZ$1000,0,IFERROR(MATCH(AM$5,'Oxford Economics'!$A$6:$AZ$6,0),MATCH(AM$5&amp;"",'Oxford Economics'!$A$6:$AZ$6,0))),'Oxford Economics'!$A$7:$A$1000,$C96,'Oxford Economics'!$B$7:$B$1000,Settings!$B$18)))),""))</f>
        <v>14179.31</v>
      </c>
    </row>
    <row r="97" customFormat="false" ht="15" hidden="false" customHeight="false" outlineLevel="0" collapsed="false">
      <c r="A97" s="37" t="str">
        <f aca="false">IF('Raw data'!$A97="","",'Raw data'!$A97)</f>
        <v>Spain</v>
      </c>
      <c r="B97" s="37" t="str">
        <f aca="false">IF($A97="","",'Raw data'!$C97)</f>
        <v>Residential</v>
      </c>
      <c r="C97" s="37" t="str">
        <f aca="false">IF($A97="","",IF('Raw data'!$E97="",$A97,'Raw data'!$E97))</f>
        <v>Spain</v>
      </c>
      <c r="D97" s="38" t="n">
        <f aca="false">IF($A97="","",IF(AND(ISNUMBER(P97),ISNUMBER(AB97)),P97+AB97,""))</f>
        <v>16629.83</v>
      </c>
      <c r="E97" s="38" t="n">
        <f aca="false">IF($A97="","",IF(AND(ISNUMBER(Q97),ISNUMBER(AC97)),Q97+AC97,""))</f>
        <v>16446.08</v>
      </c>
      <c r="F97" s="38" t="n">
        <f aca="false">IF($A97="","",IF(AND(ISNUMBER(R97),ISNUMBER(AD97)),R97+AD97,""))</f>
        <v>18455.6</v>
      </c>
      <c r="G97" s="38" t="n">
        <f aca="false">IF($A97="","",IF(AND(ISNUMBER(S97),ISNUMBER(AE97)),S97+AE97,""))</f>
        <v>18644.19</v>
      </c>
      <c r="H97" s="38" t="n">
        <f aca="false">IF($A97="","",IF(AND(ISNUMBER(T97),ISNUMBER(AF97)),T97+AF97,""))</f>
        <v>18534.18</v>
      </c>
      <c r="I97" s="38" t="n">
        <f aca="false">IF($A97="","",IF(AND(ISNUMBER(U97),ISNUMBER(AG97)),U97+AG97,""))</f>
        <v>19526.91</v>
      </c>
      <c r="J97" s="38" t="n">
        <f aca="false">IF($A97="","",IF(AND(ISNUMBER(V97),ISNUMBER(AH97)),V97+AH97,""))</f>
        <v>19872.03</v>
      </c>
      <c r="K97" s="38" t="n">
        <f aca="false">IF($A97="","",IF(AND(ISNUMBER(W97),ISNUMBER(AI97)),W97+AI97,""))</f>
        <v>20401.51</v>
      </c>
      <c r="L97" s="38" t="n">
        <f aca="false">IF($A97="","",IF(AND(ISNUMBER(X97),ISNUMBER(AJ97)),X97+AJ97,""))</f>
        <v>21004.19</v>
      </c>
      <c r="M97" s="38" t="n">
        <f aca="false">IF($A97="","",IF(AND(ISNUMBER(Y97),ISNUMBER(AK97)),Y97+AK97,""))</f>
        <v>21516.17</v>
      </c>
      <c r="N97" s="38" t="n">
        <f aca="false">IF($A97="","",IF(AND(ISNUMBER(Z97),ISNUMBER(AL97)),Z97+AL97,""))</f>
        <v>21965.63</v>
      </c>
      <c r="O97" s="38" t="n">
        <f aca="false">IF($A97="","",IF(AND(ISNUMBER(AA97),ISNUMBER(AM97)),AA97+AM97,""))</f>
        <v>22291.42</v>
      </c>
      <c r="P97" s="38" t="n">
        <f aca="false">IF($A97="","",IFERROR(1/(1/IF($B97="Residential",SUMIFS(INDEX('Oxford Economics'!$A$7:$AZ$1000,0,IFERROR(MATCH(P$5,'Oxford Economics'!$A$6:$AZ$6,0),MATCH(P$5&amp;"",'Oxford Economics'!$A$6:$AZ$6,0))),'Oxford Economics'!$A$7:$A$1000,$C97,'Oxford Economics'!$B$7:$B$1000,Settings!$B$13)-SUMIFS(INDEX('Oxford Economics'!$A$7:$AZ$1000,0,IFERROR(MATCH(P$5,'Oxford Economics'!$A$6:$AZ$6,0),MATCH(P$5&amp;"",'Oxford Economics'!$A$6:$AZ$6,0))),'Oxford Economics'!$A$7:$A$1000,$C97,'Oxford Economics'!$B$7:$B$1000,Settings!$B$15),SUMIFS(INDEX('Oxford Economics'!$A$7:$AZ$1000,0,IFERROR(MATCH(P$5,'Oxford Economics'!$A$6:$AZ$6,0),MATCH(P$5&amp;"",'Oxford Economics'!$A$6:$AZ$6,0))),'Oxford Economics'!$A$7:$A$1000,$C97,'Oxford Economics'!$B$7:$B$1000,Settings!$B$15)+SUMIFS(INDEX('Oxford Economics'!$A$7:$AZ$1000,0,IFERROR(MATCH(P$5,'Oxford Economics'!$A$6:$AZ$6,0),MATCH(P$5&amp;"",'Oxford Economics'!$A$6:$AZ$6,0))),'Oxford Economics'!$A$7:$A$1000,$C97,'Oxford Economics'!$B$7:$B$1000,Settings!$B$17)+IF(Settings!$B$19="",0,SUMIFS(INDEX('Oxford Economics'!$A$7:$AZ$1000,0,IFERROR(MATCH(P$5,'Oxford Economics'!$A$6:$AZ$6,0),MATCH(P$5&amp;"",'Oxford Economics'!$A$6:$AZ$6,0))),'Oxford Economics'!$A$7:$A$1000,$C97,'Oxford Economics'!$B$7:$B$1000,Settings!$B$19)))),""))</f>
        <v>6631.37</v>
      </c>
      <c r="Q97" s="38" t="n">
        <f aca="false">IF($A97="","",IFERROR(1/(1/IF($B97="Residential",SUMIFS(INDEX('Oxford Economics'!$A$7:$AZ$1000,0,IFERROR(MATCH(Q$5,'Oxford Economics'!$A$6:$AZ$6,0),MATCH(Q$5&amp;"",'Oxford Economics'!$A$6:$AZ$6,0))),'Oxford Economics'!$A$7:$A$1000,$C97,'Oxford Economics'!$B$7:$B$1000,Settings!$B$13)-SUMIFS(INDEX('Oxford Economics'!$A$7:$AZ$1000,0,IFERROR(MATCH(Q$5,'Oxford Economics'!$A$6:$AZ$6,0),MATCH(Q$5&amp;"",'Oxford Economics'!$A$6:$AZ$6,0))),'Oxford Economics'!$A$7:$A$1000,$C97,'Oxford Economics'!$B$7:$B$1000,Settings!$B$15),SUMIFS(INDEX('Oxford Economics'!$A$7:$AZ$1000,0,IFERROR(MATCH(Q$5,'Oxford Economics'!$A$6:$AZ$6,0),MATCH(Q$5&amp;"",'Oxford Economics'!$A$6:$AZ$6,0))),'Oxford Economics'!$A$7:$A$1000,$C97,'Oxford Economics'!$B$7:$B$1000,Settings!$B$15)+SUMIFS(INDEX('Oxford Economics'!$A$7:$AZ$1000,0,IFERROR(MATCH(Q$5,'Oxford Economics'!$A$6:$AZ$6,0),MATCH(Q$5&amp;"",'Oxford Economics'!$A$6:$AZ$6,0))),'Oxford Economics'!$A$7:$A$1000,$C97,'Oxford Economics'!$B$7:$B$1000,Settings!$B$17)+IF(Settings!$B$19="",0,SUMIFS(INDEX('Oxford Economics'!$A$7:$AZ$1000,0,IFERROR(MATCH(Q$5,'Oxford Economics'!$A$6:$AZ$6,0),MATCH(Q$5&amp;"",'Oxford Economics'!$A$6:$AZ$6,0))),'Oxford Economics'!$A$7:$A$1000,$C97,'Oxford Economics'!$B$7:$B$1000,Settings!$B$19)))),""))</f>
        <v>5985.56</v>
      </c>
      <c r="R97" s="38" t="n">
        <f aca="false">IF($A97="","",IFERROR(1/(1/IF($B97="Residential",SUMIFS(INDEX('Oxford Economics'!$A$7:$AZ$1000,0,IFERROR(MATCH(R$5,'Oxford Economics'!$A$6:$AZ$6,0),MATCH(R$5&amp;"",'Oxford Economics'!$A$6:$AZ$6,0))),'Oxford Economics'!$A$7:$A$1000,$C97,'Oxford Economics'!$B$7:$B$1000,Settings!$B$13)-SUMIFS(INDEX('Oxford Economics'!$A$7:$AZ$1000,0,IFERROR(MATCH(R$5,'Oxford Economics'!$A$6:$AZ$6,0),MATCH(R$5&amp;"",'Oxford Economics'!$A$6:$AZ$6,0))),'Oxford Economics'!$A$7:$A$1000,$C97,'Oxford Economics'!$B$7:$B$1000,Settings!$B$15),SUMIFS(INDEX('Oxford Economics'!$A$7:$AZ$1000,0,IFERROR(MATCH(R$5,'Oxford Economics'!$A$6:$AZ$6,0),MATCH(R$5&amp;"",'Oxford Economics'!$A$6:$AZ$6,0))),'Oxford Economics'!$A$7:$A$1000,$C97,'Oxford Economics'!$B$7:$B$1000,Settings!$B$15)+SUMIFS(INDEX('Oxford Economics'!$A$7:$AZ$1000,0,IFERROR(MATCH(R$5,'Oxford Economics'!$A$6:$AZ$6,0),MATCH(R$5&amp;"",'Oxford Economics'!$A$6:$AZ$6,0))),'Oxford Economics'!$A$7:$A$1000,$C97,'Oxford Economics'!$B$7:$B$1000,Settings!$B$17)+IF(Settings!$B$19="",0,SUMIFS(INDEX('Oxford Economics'!$A$7:$AZ$1000,0,IFERROR(MATCH(R$5,'Oxford Economics'!$A$6:$AZ$6,0),MATCH(R$5&amp;"",'Oxford Economics'!$A$6:$AZ$6,0))),'Oxford Economics'!$A$7:$A$1000,$C97,'Oxford Economics'!$B$7:$B$1000,Settings!$B$19)))),""))</f>
        <v>6719.71</v>
      </c>
      <c r="S97" s="38" t="n">
        <f aca="false">IF($A97="","",IFERROR(1/(1/IF($B97="Residential",SUMIFS(INDEX('Oxford Economics'!$A$7:$AZ$1000,0,IFERROR(MATCH(S$5,'Oxford Economics'!$A$6:$AZ$6,0),MATCH(S$5&amp;"",'Oxford Economics'!$A$6:$AZ$6,0))),'Oxford Economics'!$A$7:$A$1000,$C97,'Oxford Economics'!$B$7:$B$1000,Settings!$B$13)-SUMIFS(INDEX('Oxford Economics'!$A$7:$AZ$1000,0,IFERROR(MATCH(S$5,'Oxford Economics'!$A$6:$AZ$6,0),MATCH(S$5&amp;"",'Oxford Economics'!$A$6:$AZ$6,0))),'Oxford Economics'!$A$7:$A$1000,$C97,'Oxford Economics'!$B$7:$B$1000,Settings!$B$15),SUMIFS(INDEX('Oxford Economics'!$A$7:$AZ$1000,0,IFERROR(MATCH(S$5,'Oxford Economics'!$A$6:$AZ$6,0),MATCH(S$5&amp;"",'Oxford Economics'!$A$6:$AZ$6,0))),'Oxford Economics'!$A$7:$A$1000,$C97,'Oxford Economics'!$B$7:$B$1000,Settings!$B$15)+SUMIFS(INDEX('Oxford Economics'!$A$7:$AZ$1000,0,IFERROR(MATCH(S$5,'Oxford Economics'!$A$6:$AZ$6,0),MATCH(S$5&amp;"",'Oxford Economics'!$A$6:$AZ$6,0))),'Oxford Economics'!$A$7:$A$1000,$C97,'Oxford Economics'!$B$7:$B$1000,Settings!$B$17)+IF(Settings!$B$19="",0,SUMIFS(INDEX('Oxford Economics'!$A$7:$AZ$1000,0,IFERROR(MATCH(S$5,'Oxford Economics'!$A$6:$AZ$6,0),MATCH(S$5&amp;"",'Oxford Economics'!$A$6:$AZ$6,0))),'Oxford Economics'!$A$7:$A$1000,$C97,'Oxford Economics'!$B$7:$B$1000,Settings!$B$19)))),""))</f>
        <v>7163.26</v>
      </c>
      <c r="T97" s="38" t="n">
        <f aca="false">IF($A97="","",IFERROR(1/(1/IF($B97="Residential",SUMIFS(INDEX('Oxford Economics'!$A$7:$AZ$1000,0,IFERROR(MATCH(T$5,'Oxford Economics'!$A$6:$AZ$6,0),MATCH(T$5&amp;"",'Oxford Economics'!$A$6:$AZ$6,0))),'Oxford Economics'!$A$7:$A$1000,$C97,'Oxford Economics'!$B$7:$B$1000,Settings!$B$13)-SUMIFS(INDEX('Oxford Economics'!$A$7:$AZ$1000,0,IFERROR(MATCH(T$5,'Oxford Economics'!$A$6:$AZ$6,0),MATCH(T$5&amp;"",'Oxford Economics'!$A$6:$AZ$6,0))),'Oxford Economics'!$A$7:$A$1000,$C97,'Oxford Economics'!$B$7:$B$1000,Settings!$B$15),SUMIFS(INDEX('Oxford Economics'!$A$7:$AZ$1000,0,IFERROR(MATCH(T$5,'Oxford Economics'!$A$6:$AZ$6,0),MATCH(T$5&amp;"",'Oxford Economics'!$A$6:$AZ$6,0))),'Oxford Economics'!$A$7:$A$1000,$C97,'Oxford Economics'!$B$7:$B$1000,Settings!$B$15)+SUMIFS(INDEX('Oxford Economics'!$A$7:$AZ$1000,0,IFERROR(MATCH(T$5,'Oxford Economics'!$A$6:$AZ$6,0),MATCH(T$5&amp;"",'Oxford Economics'!$A$6:$AZ$6,0))),'Oxford Economics'!$A$7:$A$1000,$C97,'Oxford Economics'!$B$7:$B$1000,Settings!$B$17)+IF(Settings!$B$19="",0,SUMIFS(INDEX('Oxford Economics'!$A$7:$AZ$1000,0,IFERROR(MATCH(T$5,'Oxford Economics'!$A$6:$AZ$6,0),MATCH(T$5&amp;"",'Oxford Economics'!$A$6:$AZ$6,0))),'Oxford Economics'!$A$7:$A$1000,$C97,'Oxford Economics'!$B$7:$B$1000,Settings!$B$19)))),""))</f>
        <v>7284.73</v>
      </c>
      <c r="U97" s="38" t="n">
        <f aca="false">IF($A97="","",IFERROR(1/(1/IF($B97="Residential",SUMIFS(INDEX('Oxford Economics'!$A$7:$AZ$1000,0,IFERROR(MATCH(U$5,'Oxford Economics'!$A$6:$AZ$6,0),MATCH(U$5&amp;"",'Oxford Economics'!$A$6:$AZ$6,0))),'Oxford Economics'!$A$7:$A$1000,$C97,'Oxford Economics'!$B$7:$B$1000,Settings!$B$13)-SUMIFS(INDEX('Oxford Economics'!$A$7:$AZ$1000,0,IFERROR(MATCH(U$5,'Oxford Economics'!$A$6:$AZ$6,0),MATCH(U$5&amp;"",'Oxford Economics'!$A$6:$AZ$6,0))),'Oxford Economics'!$A$7:$A$1000,$C97,'Oxford Economics'!$B$7:$B$1000,Settings!$B$15),SUMIFS(INDEX('Oxford Economics'!$A$7:$AZ$1000,0,IFERROR(MATCH(U$5,'Oxford Economics'!$A$6:$AZ$6,0),MATCH(U$5&amp;"",'Oxford Economics'!$A$6:$AZ$6,0))),'Oxford Economics'!$A$7:$A$1000,$C97,'Oxford Economics'!$B$7:$B$1000,Settings!$B$15)+SUMIFS(INDEX('Oxford Economics'!$A$7:$AZ$1000,0,IFERROR(MATCH(U$5,'Oxford Economics'!$A$6:$AZ$6,0),MATCH(U$5&amp;"",'Oxford Economics'!$A$6:$AZ$6,0))),'Oxford Economics'!$A$7:$A$1000,$C97,'Oxford Economics'!$B$7:$B$1000,Settings!$B$17)+IF(Settings!$B$19="",0,SUMIFS(INDEX('Oxford Economics'!$A$7:$AZ$1000,0,IFERROR(MATCH(U$5,'Oxford Economics'!$A$6:$AZ$6,0),MATCH(U$5&amp;"",'Oxford Economics'!$A$6:$AZ$6,0))),'Oxford Economics'!$A$7:$A$1000,$C97,'Oxford Economics'!$B$7:$B$1000,Settings!$B$19)))),""))</f>
        <v>7232.05</v>
      </c>
      <c r="V97" s="38" t="n">
        <f aca="false">IF($A97="","",IFERROR(1/(1/IF($B97="Residential",SUMIFS(INDEX('Oxford Economics'!$A$7:$AZ$1000,0,IFERROR(MATCH(V$5,'Oxford Economics'!$A$6:$AZ$6,0),MATCH(V$5&amp;"",'Oxford Economics'!$A$6:$AZ$6,0))),'Oxford Economics'!$A$7:$A$1000,$C97,'Oxford Economics'!$B$7:$B$1000,Settings!$B$13)-SUMIFS(INDEX('Oxford Economics'!$A$7:$AZ$1000,0,IFERROR(MATCH(V$5,'Oxford Economics'!$A$6:$AZ$6,0),MATCH(V$5&amp;"",'Oxford Economics'!$A$6:$AZ$6,0))),'Oxford Economics'!$A$7:$A$1000,$C97,'Oxford Economics'!$B$7:$B$1000,Settings!$B$15),SUMIFS(INDEX('Oxford Economics'!$A$7:$AZ$1000,0,IFERROR(MATCH(V$5,'Oxford Economics'!$A$6:$AZ$6,0),MATCH(V$5&amp;"",'Oxford Economics'!$A$6:$AZ$6,0))),'Oxford Economics'!$A$7:$A$1000,$C97,'Oxford Economics'!$B$7:$B$1000,Settings!$B$15)+SUMIFS(INDEX('Oxford Economics'!$A$7:$AZ$1000,0,IFERROR(MATCH(V$5,'Oxford Economics'!$A$6:$AZ$6,0),MATCH(V$5&amp;"",'Oxford Economics'!$A$6:$AZ$6,0))),'Oxford Economics'!$A$7:$A$1000,$C97,'Oxford Economics'!$B$7:$B$1000,Settings!$B$17)+IF(Settings!$B$19="",0,SUMIFS(INDEX('Oxford Economics'!$A$7:$AZ$1000,0,IFERROR(MATCH(V$5,'Oxford Economics'!$A$6:$AZ$6,0),MATCH(V$5&amp;"",'Oxford Economics'!$A$6:$AZ$6,0))),'Oxford Economics'!$A$7:$A$1000,$C97,'Oxford Economics'!$B$7:$B$1000,Settings!$B$19)))),""))</f>
        <v>7014.15</v>
      </c>
      <c r="W97" s="38" t="n">
        <f aca="false">IF($A97="","",IFERROR(1/(1/IF($B97="Residential",SUMIFS(INDEX('Oxford Economics'!$A$7:$AZ$1000,0,IFERROR(MATCH(W$5,'Oxford Economics'!$A$6:$AZ$6,0),MATCH(W$5&amp;"",'Oxford Economics'!$A$6:$AZ$6,0))),'Oxford Economics'!$A$7:$A$1000,$C97,'Oxford Economics'!$B$7:$B$1000,Settings!$B$13)-SUMIFS(INDEX('Oxford Economics'!$A$7:$AZ$1000,0,IFERROR(MATCH(W$5,'Oxford Economics'!$A$6:$AZ$6,0),MATCH(W$5&amp;"",'Oxford Economics'!$A$6:$AZ$6,0))),'Oxford Economics'!$A$7:$A$1000,$C97,'Oxford Economics'!$B$7:$B$1000,Settings!$B$15),SUMIFS(INDEX('Oxford Economics'!$A$7:$AZ$1000,0,IFERROR(MATCH(W$5,'Oxford Economics'!$A$6:$AZ$6,0),MATCH(W$5&amp;"",'Oxford Economics'!$A$6:$AZ$6,0))),'Oxford Economics'!$A$7:$A$1000,$C97,'Oxford Economics'!$B$7:$B$1000,Settings!$B$15)+SUMIFS(INDEX('Oxford Economics'!$A$7:$AZ$1000,0,IFERROR(MATCH(W$5,'Oxford Economics'!$A$6:$AZ$6,0),MATCH(W$5&amp;"",'Oxford Economics'!$A$6:$AZ$6,0))),'Oxford Economics'!$A$7:$A$1000,$C97,'Oxford Economics'!$B$7:$B$1000,Settings!$B$17)+IF(Settings!$B$19="",0,SUMIFS(INDEX('Oxford Economics'!$A$7:$AZ$1000,0,IFERROR(MATCH(W$5,'Oxford Economics'!$A$6:$AZ$6,0),MATCH(W$5&amp;"",'Oxford Economics'!$A$6:$AZ$6,0))),'Oxford Economics'!$A$7:$A$1000,$C97,'Oxford Economics'!$B$7:$B$1000,Settings!$B$19)))),""))</f>
        <v>6781.32</v>
      </c>
      <c r="X97" s="38" t="n">
        <f aca="false">IF($A97="","",IFERROR(1/(1/IF($B97="Residential",SUMIFS(INDEX('Oxford Economics'!$A$7:$AZ$1000,0,IFERROR(MATCH(X$5,'Oxford Economics'!$A$6:$AZ$6,0),MATCH(X$5&amp;"",'Oxford Economics'!$A$6:$AZ$6,0))),'Oxford Economics'!$A$7:$A$1000,$C97,'Oxford Economics'!$B$7:$B$1000,Settings!$B$13)-SUMIFS(INDEX('Oxford Economics'!$A$7:$AZ$1000,0,IFERROR(MATCH(X$5,'Oxford Economics'!$A$6:$AZ$6,0),MATCH(X$5&amp;"",'Oxford Economics'!$A$6:$AZ$6,0))),'Oxford Economics'!$A$7:$A$1000,$C97,'Oxford Economics'!$B$7:$B$1000,Settings!$B$15),SUMIFS(INDEX('Oxford Economics'!$A$7:$AZ$1000,0,IFERROR(MATCH(X$5,'Oxford Economics'!$A$6:$AZ$6,0),MATCH(X$5&amp;"",'Oxford Economics'!$A$6:$AZ$6,0))),'Oxford Economics'!$A$7:$A$1000,$C97,'Oxford Economics'!$B$7:$B$1000,Settings!$B$15)+SUMIFS(INDEX('Oxford Economics'!$A$7:$AZ$1000,0,IFERROR(MATCH(X$5,'Oxford Economics'!$A$6:$AZ$6,0),MATCH(X$5&amp;"",'Oxford Economics'!$A$6:$AZ$6,0))),'Oxford Economics'!$A$7:$A$1000,$C97,'Oxford Economics'!$B$7:$B$1000,Settings!$B$17)+IF(Settings!$B$19="",0,SUMIFS(INDEX('Oxford Economics'!$A$7:$AZ$1000,0,IFERROR(MATCH(X$5,'Oxford Economics'!$A$6:$AZ$6,0),MATCH(X$5&amp;"",'Oxford Economics'!$A$6:$AZ$6,0))),'Oxford Economics'!$A$7:$A$1000,$C97,'Oxford Economics'!$B$7:$B$1000,Settings!$B$19)))),""))</f>
        <v>7154.47</v>
      </c>
      <c r="Y97" s="38" t="n">
        <f aca="false">IF($A97="","",IFERROR(1/(1/IF($B97="Residential",SUMIFS(INDEX('Oxford Economics'!$A$7:$AZ$1000,0,IFERROR(MATCH(Y$5,'Oxford Economics'!$A$6:$AZ$6,0),MATCH(Y$5&amp;"",'Oxford Economics'!$A$6:$AZ$6,0))),'Oxford Economics'!$A$7:$A$1000,$C97,'Oxford Economics'!$B$7:$B$1000,Settings!$B$13)-SUMIFS(INDEX('Oxford Economics'!$A$7:$AZ$1000,0,IFERROR(MATCH(Y$5,'Oxford Economics'!$A$6:$AZ$6,0),MATCH(Y$5&amp;"",'Oxford Economics'!$A$6:$AZ$6,0))),'Oxford Economics'!$A$7:$A$1000,$C97,'Oxford Economics'!$B$7:$B$1000,Settings!$B$15),SUMIFS(INDEX('Oxford Economics'!$A$7:$AZ$1000,0,IFERROR(MATCH(Y$5,'Oxford Economics'!$A$6:$AZ$6,0),MATCH(Y$5&amp;"",'Oxford Economics'!$A$6:$AZ$6,0))),'Oxford Economics'!$A$7:$A$1000,$C97,'Oxford Economics'!$B$7:$B$1000,Settings!$B$15)+SUMIFS(INDEX('Oxford Economics'!$A$7:$AZ$1000,0,IFERROR(MATCH(Y$5,'Oxford Economics'!$A$6:$AZ$6,0),MATCH(Y$5&amp;"",'Oxford Economics'!$A$6:$AZ$6,0))),'Oxford Economics'!$A$7:$A$1000,$C97,'Oxford Economics'!$B$7:$B$1000,Settings!$B$17)+IF(Settings!$B$19="",0,SUMIFS(INDEX('Oxford Economics'!$A$7:$AZ$1000,0,IFERROR(MATCH(Y$5,'Oxford Economics'!$A$6:$AZ$6,0),MATCH(Y$5&amp;"",'Oxford Economics'!$A$6:$AZ$6,0))),'Oxford Economics'!$A$7:$A$1000,$C97,'Oxford Economics'!$B$7:$B$1000,Settings!$B$19)))),""))</f>
        <v>7583.92</v>
      </c>
      <c r="Z97" s="38" t="n">
        <f aca="false">IF($A97="","",IFERROR(1/(1/IF($B97="Residential",SUMIFS(INDEX('Oxford Economics'!$A$7:$AZ$1000,0,IFERROR(MATCH(Z$5,'Oxford Economics'!$A$6:$AZ$6,0),MATCH(Z$5&amp;"",'Oxford Economics'!$A$6:$AZ$6,0))),'Oxford Economics'!$A$7:$A$1000,$C97,'Oxford Economics'!$B$7:$B$1000,Settings!$B$13)-SUMIFS(INDEX('Oxford Economics'!$A$7:$AZ$1000,0,IFERROR(MATCH(Z$5,'Oxford Economics'!$A$6:$AZ$6,0),MATCH(Z$5&amp;"",'Oxford Economics'!$A$6:$AZ$6,0))),'Oxford Economics'!$A$7:$A$1000,$C97,'Oxford Economics'!$B$7:$B$1000,Settings!$B$15),SUMIFS(INDEX('Oxford Economics'!$A$7:$AZ$1000,0,IFERROR(MATCH(Z$5,'Oxford Economics'!$A$6:$AZ$6,0),MATCH(Z$5&amp;"",'Oxford Economics'!$A$6:$AZ$6,0))),'Oxford Economics'!$A$7:$A$1000,$C97,'Oxford Economics'!$B$7:$B$1000,Settings!$B$15)+SUMIFS(INDEX('Oxford Economics'!$A$7:$AZ$1000,0,IFERROR(MATCH(Z$5,'Oxford Economics'!$A$6:$AZ$6,0),MATCH(Z$5&amp;"",'Oxford Economics'!$A$6:$AZ$6,0))),'Oxford Economics'!$A$7:$A$1000,$C97,'Oxford Economics'!$B$7:$B$1000,Settings!$B$17)+IF(Settings!$B$19="",0,SUMIFS(INDEX('Oxford Economics'!$A$7:$AZ$1000,0,IFERROR(MATCH(Z$5,'Oxford Economics'!$A$6:$AZ$6,0),MATCH(Z$5&amp;"",'Oxford Economics'!$A$6:$AZ$6,0))),'Oxford Economics'!$A$7:$A$1000,$C97,'Oxford Economics'!$B$7:$B$1000,Settings!$B$19)))),""))</f>
        <v>7964.36</v>
      </c>
      <c r="AA97" s="38" t="n">
        <f aca="false">IF($A97="","",IFERROR(1/(1/IF($B97="Residential",SUMIFS(INDEX('Oxford Economics'!$A$7:$AZ$1000,0,IFERROR(MATCH(AA$5,'Oxford Economics'!$A$6:$AZ$6,0),MATCH(AA$5&amp;"",'Oxford Economics'!$A$6:$AZ$6,0))),'Oxford Economics'!$A$7:$A$1000,$C97,'Oxford Economics'!$B$7:$B$1000,Settings!$B$13)-SUMIFS(INDEX('Oxford Economics'!$A$7:$AZ$1000,0,IFERROR(MATCH(AA$5,'Oxford Economics'!$A$6:$AZ$6,0),MATCH(AA$5&amp;"",'Oxford Economics'!$A$6:$AZ$6,0))),'Oxford Economics'!$A$7:$A$1000,$C97,'Oxford Economics'!$B$7:$B$1000,Settings!$B$15),SUMIFS(INDEX('Oxford Economics'!$A$7:$AZ$1000,0,IFERROR(MATCH(AA$5,'Oxford Economics'!$A$6:$AZ$6,0),MATCH(AA$5&amp;"",'Oxford Economics'!$A$6:$AZ$6,0))),'Oxford Economics'!$A$7:$A$1000,$C97,'Oxford Economics'!$B$7:$B$1000,Settings!$B$15)+SUMIFS(INDEX('Oxford Economics'!$A$7:$AZ$1000,0,IFERROR(MATCH(AA$5,'Oxford Economics'!$A$6:$AZ$6,0),MATCH(AA$5&amp;"",'Oxford Economics'!$A$6:$AZ$6,0))),'Oxford Economics'!$A$7:$A$1000,$C97,'Oxford Economics'!$B$7:$B$1000,Settings!$B$17)+IF(Settings!$B$19="",0,SUMIFS(INDEX('Oxford Economics'!$A$7:$AZ$1000,0,IFERROR(MATCH(AA$5,'Oxford Economics'!$A$6:$AZ$6,0),MATCH(AA$5&amp;"",'Oxford Economics'!$A$6:$AZ$6,0))),'Oxford Economics'!$A$7:$A$1000,$C97,'Oxford Economics'!$B$7:$B$1000,Settings!$B$19)))),""))</f>
        <v>8112.11</v>
      </c>
      <c r="AB97" s="38" t="n">
        <f aca="false">IF($A97="","",IFERROR(1/(1/IF($B97="Residential",SUMIFS(INDEX('Oxford Economics'!$A$7:$AZ$1000,0,IFERROR(MATCH(AB$5,'Oxford Economics'!$A$6:$AZ$6,0),MATCH(AB$5&amp;"",'Oxford Economics'!$A$6:$AZ$6,0))),'Oxford Economics'!$A$7:$A$1000,$C97,'Oxford Economics'!$B$7:$B$1000,Settings!$B$12)-SUMIFS(INDEX('Oxford Economics'!$A$7:$AZ$1000,0,IFERROR(MATCH(AB$5,'Oxford Economics'!$A$6:$AZ$6,0),MATCH(AB$5&amp;"",'Oxford Economics'!$A$6:$AZ$6,0))),'Oxford Economics'!$A$7:$A$1000,$C97,'Oxford Economics'!$B$7:$B$1000,Settings!$B$14),SUMIFS(INDEX('Oxford Economics'!$A$7:$AZ$1000,0,IFERROR(MATCH(AB$5,'Oxford Economics'!$A$6:$AZ$6,0),MATCH(AB$5&amp;"",'Oxford Economics'!$A$6:$AZ$6,0))),'Oxford Economics'!$A$7:$A$1000,$C97,'Oxford Economics'!$B$7:$B$1000,Settings!$B$14)+SUMIFS(INDEX('Oxford Economics'!$A$7:$AZ$1000,0,IFERROR(MATCH(AB$5,'Oxford Economics'!$A$6:$AZ$6,0),MATCH(AB$5&amp;"",'Oxford Economics'!$A$6:$AZ$6,0))),'Oxford Economics'!$A$7:$A$1000,$C97,'Oxford Economics'!$B$7:$B$1000,Settings!$B$16)+IF(Settings!$B$18="",0,SUMIFS(INDEX('Oxford Economics'!$A$7:$AZ$1000,0,IFERROR(MATCH(AB$5,'Oxford Economics'!$A$6:$AZ$6,0),MATCH(AB$5&amp;"",'Oxford Economics'!$A$6:$AZ$6,0))),'Oxford Economics'!$A$7:$A$1000,$C97,'Oxford Economics'!$B$7:$B$1000,Settings!$B$18)))),""))</f>
        <v>9998.46</v>
      </c>
      <c r="AC97" s="38" t="n">
        <f aca="false">IF($A97="","",IFERROR(1/(1/IF($B97="Residential",SUMIFS(INDEX('Oxford Economics'!$A$7:$AZ$1000,0,IFERROR(MATCH(AC$5,'Oxford Economics'!$A$6:$AZ$6,0),MATCH(AC$5&amp;"",'Oxford Economics'!$A$6:$AZ$6,0))),'Oxford Economics'!$A$7:$A$1000,$C97,'Oxford Economics'!$B$7:$B$1000,Settings!$B$12)-SUMIFS(INDEX('Oxford Economics'!$A$7:$AZ$1000,0,IFERROR(MATCH(AC$5,'Oxford Economics'!$A$6:$AZ$6,0),MATCH(AC$5&amp;"",'Oxford Economics'!$A$6:$AZ$6,0))),'Oxford Economics'!$A$7:$A$1000,$C97,'Oxford Economics'!$B$7:$B$1000,Settings!$B$14),SUMIFS(INDEX('Oxford Economics'!$A$7:$AZ$1000,0,IFERROR(MATCH(AC$5,'Oxford Economics'!$A$6:$AZ$6,0),MATCH(AC$5&amp;"",'Oxford Economics'!$A$6:$AZ$6,0))),'Oxford Economics'!$A$7:$A$1000,$C97,'Oxford Economics'!$B$7:$B$1000,Settings!$B$14)+SUMIFS(INDEX('Oxford Economics'!$A$7:$AZ$1000,0,IFERROR(MATCH(AC$5,'Oxford Economics'!$A$6:$AZ$6,0),MATCH(AC$5&amp;"",'Oxford Economics'!$A$6:$AZ$6,0))),'Oxford Economics'!$A$7:$A$1000,$C97,'Oxford Economics'!$B$7:$B$1000,Settings!$B$16)+IF(Settings!$B$18="",0,SUMIFS(INDEX('Oxford Economics'!$A$7:$AZ$1000,0,IFERROR(MATCH(AC$5,'Oxford Economics'!$A$6:$AZ$6,0),MATCH(AC$5&amp;"",'Oxford Economics'!$A$6:$AZ$6,0))),'Oxford Economics'!$A$7:$A$1000,$C97,'Oxford Economics'!$B$7:$B$1000,Settings!$B$18)))),""))</f>
        <v>10460.52</v>
      </c>
      <c r="AD97" s="38" t="n">
        <f aca="false">IF($A97="","",IFERROR(1/(1/IF($B97="Residential",SUMIFS(INDEX('Oxford Economics'!$A$7:$AZ$1000,0,IFERROR(MATCH(AD$5,'Oxford Economics'!$A$6:$AZ$6,0),MATCH(AD$5&amp;"",'Oxford Economics'!$A$6:$AZ$6,0))),'Oxford Economics'!$A$7:$A$1000,$C97,'Oxford Economics'!$B$7:$B$1000,Settings!$B$12)-SUMIFS(INDEX('Oxford Economics'!$A$7:$AZ$1000,0,IFERROR(MATCH(AD$5,'Oxford Economics'!$A$6:$AZ$6,0),MATCH(AD$5&amp;"",'Oxford Economics'!$A$6:$AZ$6,0))),'Oxford Economics'!$A$7:$A$1000,$C97,'Oxford Economics'!$B$7:$B$1000,Settings!$B$14),SUMIFS(INDEX('Oxford Economics'!$A$7:$AZ$1000,0,IFERROR(MATCH(AD$5,'Oxford Economics'!$A$6:$AZ$6,0),MATCH(AD$5&amp;"",'Oxford Economics'!$A$6:$AZ$6,0))),'Oxford Economics'!$A$7:$A$1000,$C97,'Oxford Economics'!$B$7:$B$1000,Settings!$B$14)+SUMIFS(INDEX('Oxford Economics'!$A$7:$AZ$1000,0,IFERROR(MATCH(AD$5,'Oxford Economics'!$A$6:$AZ$6,0),MATCH(AD$5&amp;"",'Oxford Economics'!$A$6:$AZ$6,0))),'Oxford Economics'!$A$7:$A$1000,$C97,'Oxford Economics'!$B$7:$B$1000,Settings!$B$16)+IF(Settings!$B$18="",0,SUMIFS(INDEX('Oxford Economics'!$A$7:$AZ$1000,0,IFERROR(MATCH(AD$5,'Oxford Economics'!$A$6:$AZ$6,0),MATCH(AD$5&amp;"",'Oxford Economics'!$A$6:$AZ$6,0))),'Oxford Economics'!$A$7:$A$1000,$C97,'Oxford Economics'!$B$7:$B$1000,Settings!$B$18)))),""))</f>
        <v>11735.89</v>
      </c>
      <c r="AE97" s="38" t="n">
        <f aca="false">IF($A97="","",IFERROR(1/(1/IF($B97="Residential",SUMIFS(INDEX('Oxford Economics'!$A$7:$AZ$1000,0,IFERROR(MATCH(AE$5,'Oxford Economics'!$A$6:$AZ$6,0),MATCH(AE$5&amp;"",'Oxford Economics'!$A$6:$AZ$6,0))),'Oxford Economics'!$A$7:$A$1000,$C97,'Oxford Economics'!$B$7:$B$1000,Settings!$B$12)-SUMIFS(INDEX('Oxford Economics'!$A$7:$AZ$1000,0,IFERROR(MATCH(AE$5,'Oxford Economics'!$A$6:$AZ$6,0),MATCH(AE$5&amp;"",'Oxford Economics'!$A$6:$AZ$6,0))),'Oxford Economics'!$A$7:$A$1000,$C97,'Oxford Economics'!$B$7:$B$1000,Settings!$B$14),SUMIFS(INDEX('Oxford Economics'!$A$7:$AZ$1000,0,IFERROR(MATCH(AE$5,'Oxford Economics'!$A$6:$AZ$6,0),MATCH(AE$5&amp;"",'Oxford Economics'!$A$6:$AZ$6,0))),'Oxford Economics'!$A$7:$A$1000,$C97,'Oxford Economics'!$B$7:$B$1000,Settings!$B$14)+SUMIFS(INDEX('Oxford Economics'!$A$7:$AZ$1000,0,IFERROR(MATCH(AE$5,'Oxford Economics'!$A$6:$AZ$6,0),MATCH(AE$5&amp;"",'Oxford Economics'!$A$6:$AZ$6,0))),'Oxford Economics'!$A$7:$A$1000,$C97,'Oxford Economics'!$B$7:$B$1000,Settings!$B$16)+IF(Settings!$B$18="",0,SUMIFS(INDEX('Oxford Economics'!$A$7:$AZ$1000,0,IFERROR(MATCH(AE$5,'Oxford Economics'!$A$6:$AZ$6,0),MATCH(AE$5&amp;"",'Oxford Economics'!$A$6:$AZ$6,0))),'Oxford Economics'!$A$7:$A$1000,$C97,'Oxford Economics'!$B$7:$B$1000,Settings!$B$18)))),""))</f>
        <v>11480.93</v>
      </c>
      <c r="AF97" s="38" t="n">
        <f aca="false">IF($A97="","",IFERROR(1/(1/IF($B97="Residential",SUMIFS(INDEX('Oxford Economics'!$A$7:$AZ$1000,0,IFERROR(MATCH(AF$5,'Oxford Economics'!$A$6:$AZ$6,0),MATCH(AF$5&amp;"",'Oxford Economics'!$A$6:$AZ$6,0))),'Oxford Economics'!$A$7:$A$1000,$C97,'Oxford Economics'!$B$7:$B$1000,Settings!$B$12)-SUMIFS(INDEX('Oxford Economics'!$A$7:$AZ$1000,0,IFERROR(MATCH(AF$5,'Oxford Economics'!$A$6:$AZ$6,0),MATCH(AF$5&amp;"",'Oxford Economics'!$A$6:$AZ$6,0))),'Oxford Economics'!$A$7:$A$1000,$C97,'Oxford Economics'!$B$7:$B$1000,Settings!$B$14),SUMIFS(INDEX('Oxford Economics'!$A$7:$AZ$1000,0,IFERROR(MATCH(AF$5,'Oxford Economics'!$A$6:$AZ$6,0),MATCH(AF$5&amp;"",'Oxford Economics'!$A$6:$AZ$6,0))),'Oxford Economics'!$A$7:$A$1000,$C97,'Oxford Economics'!$B$7:$B$1000,Settings!$B$14)+SUMIFS(INDEX('Oxford Economics'!$A$7:$AZ$1000,0,IFERROR(MATCH(AF$5,'Oxford Economics'!$A$6:$AZ$6,0),MATCH(AF$5&amp;"",'Oxford Economics'!$A$6:$AZ$6,0))),'Oxford Economics'!$A$7:$A$1000,$C97,'Oxford Economics'!$B$7:$B$1000,Settings!$B$16)+IF(Settings!$B$18="",0,SUMIFS(INDEX('Oxford Economics'!$A$7:$AZ$1000,0,IFERROR(MATCH(AF$5,'Oxford Economics'!$A$6:$AZ$6,0),MATCH(AF$5&amp;"",'Oxford Economics'!$A$6:$AZ$6,0))),'Oxford Economics'!$A$7:$A$1000,$C97,'Oxford Economics'!$B$7:$B$1000,Settings!$B$18)))),""))</f>
        <v>11249.45</v>
      </c>
      <c r="AG97" s="38" t="n">
        <f aca="false">IF($A97="","",IFERROR(1/(1/IF($B97="Residential",SUMIFS(INDEX('Oxford Economics'!$A$7:$AZ$1000,0,IFERROR(MATCH(AG$5,'Oxford Economics'!$A$6:$AZ$6,0),MATCH(AG$5&amp;"",'Oxford Economics'!$A$6:$AZ$6,0))),'Oxford Economics'!$A$7:$A$1000,$C97,'Oxford Economics'!$B$7:$B$1000,Settings!$B$12)-SUMIFS(INDEX('Oxford Economics'!$A$7:$AZ$1000,0,IFERROR(MATCH(AG$5,'Oxford Economics'!$A$6:$AZ$6,0),MATCH(AG$5&amp;"",'Oxford Economics'!$A$6:$AZ$6,0))),'Oxford Economics'!$A$7:$A$1000,$C97,'Oxford Economics'!$B$7:$B$1000,Settings!$B$14),SUMIFS(INDEX('Oxford Economics'!$A$7:$AZ$1000,0,IFERROR(MATCH(AG$5,'Oxford Economics'!$A$6:$AZ$6,0),MATCH(AG$5&amp;"",'Oxford Economics'!$A$6:$AZ$6,0))),'Oxford Economics'!$A$7:$A$1000,$C97,'Oxford Economics'!$B$7:$B$1000,Settings!$B$14)+SUMIFS(INDEX('Oxford Economics'!$A$7:$AZ$1000,0,IFERROR(MATCH(AG$5,'Oxford Economics'!$A$6:$AZ$6,0),MATCH(AG$5&amp;"",'Oxford Economics'!$A$6:$AZ$6,0))),'Oxford Economics'!$A$7:$A$1000,$C97,'Oxford Economics'!$B$7:$B$1000,Settings!$B$16)+IF(Settings!$B$18="",0,SUMIFS(INDEX('Oxford Economics'!$A$7:$AZ$1000,0,IFERROR(MATCH(AG$5,'Oxford Economics'!$A$6:$AZ$6,0),MATCH(AG$5&amp;"",'Oxford Economics'!$A$6:$AZ$6,0))),'Oxford Economics'!$A$7:$A$1000,$C97,'Oxford Economics'!$B$7:$B$1000,Settings!$B$18)))),""))</f>
        <v>12294.86</v>
      </c>
      <c r="AH97" s="38" t="n">
        <f aca="false">IF($A97="","",IFERROR(1/(1/IF($B97="Residential",SUMIFS(INDEX('Oxford Economics'!$A$7:$AZ$1000,0,IFERROR(MATCH(AH$5,'Oxford Economics'!$A$6:$AZ$6,0),MATCH(AH$5&amp;"",'Oxford Economics'!$A$6:$AZ$6,0))),'Oxford Economics'!$A$7:$A$1000,$C97,'Oxford Economics'!$B$7:$B$1000,Settings!$B$12)-SUMIFS(INDEX('Oxford Economics'!$A$7:$AZ$1000,0,IFERROR(MATCH(AH$5,'Oxford Economics'!$A$6:$AZ$6,0),MATCH(AH$5&amp;"",'Oxford Economics'!$A$6:$AZ$6,0))),'Oxford Economics'!$A$7:$A$1000,$C97,'Oxford Economics'!$B$7:$B$1000,Settings!$B$14),SUMIFS(INDEX('Oxford Economics'!$A$7:$AZ$1000,0,IFERROR(MATCH(AH$5,'Oxford Economics'!$A$6:$AZ$6,0),MATCH(AH$5&amp;"",'Oxford Economics'!$A$6:$AZ$6,0))),'Oxford Economics'!$A$7:$A$1000,$C97,'Oxford Economics'!$B$7:$B$1000,Settings!$B$14)+SUMIFS(INDEX('Oxford Economics'!$A$7:$AZ$1000,0,IFERROR(MATCH(AH$5,'Oxford Economics'!$A$6:$AZ$6,0),MATCH(AH$5&amp;"",'Oxford Economics'!$A$6:$AZ$6,0))),'Oxford Economics'!$A$7:$A$1000,$C97,'Oxford Economics'!$B$7:$B$1000,Settings!$B$16)+IF(Settings!$B$18="",0,SUMIFS(INDEX('Oxford Economics'!$A$7:$AZ$1000,0,IFERROR(MATCH(AH$5,'Oxford Economics'!$A$6:$AZ$6,0),MATCH(AH$5&amp;"",'Oxford Economics'!$A$6:$AZ$6,0))),'Oxford Economics'!$A$7:$A$1000,$C97,'Oxford Economics'!$B$7:$B$1000,Settings!$B$18)))),""))</f>
        <v>12857.88</v>
      </c>
      <c r="AI97" s="38" t="n">
        <f aca="false">IF($A97="","",IFERROR(1/(1/IF($B97="Residential",SUMIFS(INDEX('Oxford Economics'!$A$7:$AZ$1000,0,IFERROR(MATCH(AI$5,'Oxford Economics'!$A$6:$AZ$6,0),MATCH(AI$5&amp;"",'Oxford Economics'!$A$6:$AZ$6,0))),'Oxford Economics'!$A$7:$A$1000,$C97,'Oxford Economics'!$B$7:$B$1000,Settings!$B$12)-SUMIFS(INDEX('Oxford Economics'!$A$7:$AZ$1000,0,IFERROR(MATCH(AI$5,'Oxford Economics'!$A$6:$AZ$6,0),MATCH(AI$5&amp;"",'Oxford Economics'!$A$6:$AZ$6,0))),'Oxford Economics'!$A$7:$A$1000,$C97,'Oxford Economics'!$B$7:$B$1000,Settings!$B$14),SUMIFS(INDEX('Oxford Economics'!$A$7:$AZ$1000,0,IFERROR(MATCH(AI$5,'Oxford Economics'!$A$6:$AZ$6,0),MATCH(AI$5&amp;"",'Oxford Economics'!$A$6:$AZ$6,0))),'Oxford Economics'!$A$7:$A$1000,$C97,'Oxford Economics'!$B$7:$B$1000,Settings!$B$14)+SUMIFS(INDEX('Oxford Economics'!$A$7:$AZ$1000,0,IFERROR(MATCH(AI$5,'Oxford Economics'!$A$6:$AZ$6,0),MATCH(AI$5&amp;"",'Oxford Economics'!$A$6:$AZ$6,0))),'Oxford Economics'!$A$7:$A$1000,$C97,'Oxford Economics'!$B$7:$B$1000,Settings!$B$16)+IF(Settings!$B$18="",0,SUMIFS(INDEX('Oxford Economics'!$A$7:$AZ$1000,0,IFERROR(MATCH(AI$5,'Oxford Economics'!$A$6:$AZ$6,0),MATCH(AI$5&amp;"",'Oxford Economics'!$A$6:$AZ$6,0))),'Oxford Economics'!$A$7:$A$1000,$C97,'Oxford Economics'!$B$7:$B$1000,Settings!$B$18)))),""))</f>
        <v>13620.19</v>
      </c>
      <c r="AJ97" s="38" t="n">
        <f aca="false">IF($A97="","",IFERROR(1/(1/IF($B97="Residential",SUMIFS(INDEX('Oxford Economics'!$A$7:$AZ$1000,0,IFERROR(MATCH(AJ$5,'Oxford Economics'!$A$6:$AZ$6,0),MATCH(AJ$5&amp;"",'Oxford Economics'!$A$6:$AZ$6,0))),'Oxford Economics'!$A$7:$A$1000,$C97,'Oxford Economics'!$B$7:$B$1000,Settings!$B$12)-SUMIFS(INDEX('Oxford Economics'!$A$7:$AZ$1000,0,IFERROR(MATCH(AJ$5,'Oxford Economics'!$A$6:$AZ$6,0),MATCH(AJ$5&amp;"",'Oxford Economics'!$A$6:$AZ$6,0))),'Oxford Economics'!$A$7:$A$1000,$C97,'Oxford Economics'!$B$7:$B$1000,Settings!$B$14),SUMIFS(INDEX('Oxford Economics'!$A$7:$AZ$1000,0,IFERROR(MATCH(AJ$5,'Oxford Economics'!$A$6:$AZ$6,0),MATCH(AJ$5&amp;"",'Oxford Economics'!$A$6:$AZ$6,0))),'Oxford Economics'!$A$7:$A$1000,$C97,'Oxford Economics'!$B$7:$B$1000,Settings!$B$14)+SUMIFS(INDEX('Oxford Economics'!$A$7:$AZ$1000,0,IFERROR(MATCH(AJ$5,'Oxford Economics'!$A$6:$AZ$6,0),MATCH(AJ$5&amp;"",'Oxford Economics'!$A$6:$AZ$6,0))),'Oxford Economics'!$A$7:$A$1000,$C97,'Oxford Economics'!$B$7:$B$1000,Settings!$B$16)+IF(Settings!$B$18="",0,SUMIFS(INDEX('Oxford Economics'!$A$7:$AZ$1000,0,IFERROR(MATCH(AJ$5,'Oxford Economics'!$A$6:$AZ$6,0),MATCH(AJ$5&amp;"",'Oxford Economics'!$A$6:$AZ$6,0))),'Oxford Economics'!$A$7:$A$1000,$C97,'Oxford Economics'!$B$7:$B$1000,Settings!$B$18)))),""))</f>
        <v>13849.72</v>
      </c>
      <c r="AK97" s="38" t="n">
        <f aca="false">IF($A97="","",IFERROR(1/(1/IF($B97="Residential",SUMIFS(INDEX('Oxford Economics'!$A$7:$AZ$1000,0,IFERROR(MATCH(AK$5,'Oxford Economics'!$A$6:$AZ$6,0),MATCH(AK$5&amp;"",'Oxford Economics'!$A$6:$AZ$6,0))),'Oxford Economics'!$A$7:$A$1000,$C97,'Oxford Economics'!$B$7:$B$1000,Settings!$B$12)-SUMIFS(INDEX('Oxford Economics'!$A$7:$AZ$1000,0,IFERROR(MATCH(AK$5,'Oxford Economics'!$A$6:$AZ$6,0),MATCH(AK$5&amp;"",'Oxford Economics'!$A$6:$AZ$6,0))),'Oxford Economics'!$A$7:$A$1000,$C97,'Oxford Economics'!$B$7:$B$1000,Settings!$B$14),SUMIFS(INDEX('Oxford Economics'!$A$7:$AZ$1000,0,IFERROR(MATCH(AK$5,'Oxford Economics'!$A$6:$AZ$6,0),MATCH(AK$5&amp;"",'Oxford Economics'!$A$6:$AZ$6,0))),'Oxford Economics'!$A$7:$A$1000,$C97,'Oxford Economics'!$B$7:$B$1000,Settings!$B$14)+SUMIFS(INDEX('Oxford Economics'!$A$7:$AZ$1000,0,IFERROR(MATCH(AK$5,'Oxford Economics'!$A$6:$AZ$6,0),MATCH(AK$5&amp;"",'Oxford Economics'!$A$6:$AZ$6,0))),'Oxford Economics'!$A$7:$A$1000,$C97,'Oxford Economics'!$B$7:$B$1000,Settings!$B$16)+IF(Settings!$B$18="",0,SUMIFS(INDEX('Oxford Economics'!$A$7:$AZ$1000,0,IFERROR(MATCH(AK$5,'Oxford Economics'!$A$6:$AZ$6,0),MATCH(AK$5&amp;"",'Oxford Economics'!$A$6:$AZ$6,0))),'Oxford Economics'!$A$7:$A$1000,$C97,'Oxford Economics'!$B$7:$B$1000,Settings!$B$18)))),""))</f>
        <v>13932.25</v>
      </c>
      <c r="AL97" s="38" t="n">
        <f aca="false">IF($A97="","",IFERROR(1/(1/IF($B97="Residential",SUMIFS(INDEX('Oxford Economics'!$A$7:$AZ$1000,0,IFERROR(MATCH(AL$5,'Oxford Economics'!$A$6:$AZ$6,0),MATCH(AL$5&amp;"",'Oxford Economics'!$A$6:$AZ$6,0))),'Oxford Economics'!$A$7:$A$1000,$C97,'Oxford Economics'!$B$7:$B$1000,Settings!$B$12)-SUMIFS(INDEX('Oxford Economics'!$A$7:$AZ$1000,0,IFERROR(MATCH(AL$5,'Oxford Economics'!$A$6:$AZ$6,0),MATCH(AL$5&amp;"",'Oxford Economics'!$A$6:$AZ$6,0))),'Oxford Economics'!$A$7:$A$1000,$C97,'Oxford Economics'!$B$7:$B$1000,Settings!$B$14),SUMIFS(INDEX('Oxford Economics'!$A$7:$AZ$1000,0,IFERROR(MATCH(AL$5,'Oxford Economics'!$A$6:$AZ$6,0),MATCH(AL$5&amp;"",'Oxford Economics'!$A$6:$AZ$6,0))),'Oxford Economics'!$A$7:$A$1000,$C97,'Oxford Economics'!$B$7:$B$1000,Settings!$B$14)+SUMIFS(INDEX('Oxford Economics'!$A$7:$AZ$1000,0,IFERROR(MATCH(AL$5,'Oxford Economics'!$A$6:$AZ$6,0),MATCH(AL$5&amp;"",'Oxford Economics'!$A$6:$AZ$6,0))),'Oxford Economics'!$A$7:$A$1000,$C97,'Oxford Economics'!$B$7:$B$1000,Settings!$B$16)+IF(Settings!$B$18="",0,SUMIFS(INDEX('Oxford Economics'!$A$7:$AZ$1000,0,IFERROR(MATCH(AL$5,'Oxford Economics'!$A$6:$AZ$6,0),MATCH(AL$5&amp;"",'Oxford Economics'!$A$6:$AZ$6,0))),'Oxford Economics'!$A$7:$A$1000,$C97,'Oxford Economics'!$B$7:$B$1000,Settings!$B$18)))),""))</f>
        <v>14001.27</v>
      </c>
      <c r="AM97" s="38" t="n">
        <f aca="false">IF($A97="","",IFERROR(1/(1/IF($B97="Residential",SUMIFS(INDEX('Oxford Economics'!$A$7:$AZ$1000,0,IFERROR(MATCH(AM$5,'Oxford Economics'!$A$6:$AZ$6,0),MATCH(AM$5&amp;"",'Oxford Economics'!$A$6:$AZ$6,0))),'Oxford Economics'!$A$7:$A$1000,$C97,'Oxford Economics'!$B$7:$B$1000,Settings!$B$12)-SUMIFS(INDEX('Oxford Economics'!$A$7:$AZ$1000,0,IFERROR(MATCH(AM$5,'Oxford Economics'!$A$6:$AZ$6,0),MATCH(AM$5&amp;"",'Oxford Economics'!$A$6:$AZ$6,0))),'Oxford Economics'!$A$7:$A$1000,$C97,'Oxford Economics'!$B$7:$B$1000,Settings!$B$14),SUMIFS(INDEX('Oxford Economics'!$A$7:$AZ$1000,0,IFERROR(MATCH(AM$5,'Oxford Economics'!$A$6:$AZ$6,0),MATCH(AM$5&amp;"",'Oxford Economics'!$A$6:$AZ$6,0))),'Oxford Economics'!$A$7:$A$1000,$C97,'Oxford Economics'!$B$7:$B$1000,Settings!$B$14)+SUMIFS(INDEX('Oxford Economics'!$A$7:$AZ$1000,0,IFERROR(MATCH(AM$5,'Oxford Economics'!$A$6:$AZ$6,0),MATCH(AM$5&amp;"",'Oxford Economics'!$A$6:$AZ$6,0))),'Oxford Economics'!$A$7:$A$1000,$C97,'Oxford Economics'!$B$7:$B$1000,Settings!$B$16)+IF(Settings!$B$18="",0,SUMIFS(INDEX('Oxford Economics'!$A$7:$AZ$1000,0,IFERROR(MATCH(AM$5,'Oxford Economics'!$A$6:$AZ$6,0),MATCH(AM$5&amp;"",'Oxford Economics'!$A$6:$AZ$6,0))),'Oxford Economics'!$A$7:$A$1000,$C97,'Oxford Economics'!$B$7:$B$1000,Settings!$B$18)))),""))</f>
        <v>14179.31</v>
      </c>
    </row>
    <row r="98" customFormat="false" ht="15" hidden="false" customHeight="false" outlineLevel="0" collapsed="false">
      <c r="A98" s="37" t="str">
        <f aca="false">IF('Raw data'!$A98="","",'Raw data'!$A98)</f>
        <v>Spain</v>
      </c>
      <c r="B98" s="37" t="str">
        <f aca="false">IF($A98="","",'Raw data'!$C98)</f>
        <v>Residential</v>
      </c>
      <c r="C98" s="37" t="str">
        <f aca="false">IF($A98="","",IF('Raw data'!$E98="",$A98,'Raw data'!$E98))</f>
        <v>Spain</v>
      </c>
      <c r="D98" s="38" t="n">
        <f aca="false">IF($A98="","",IF(AND(ISNUMBER(P98),ISNUMBER(AB98)),P98+AB98,""))</f>
        <v>16629.83</v>
      </c>
      <c r="E98" s="38" t="n">
        <f aca="false">IF($A98="","",IF(AND(ISNUMBER(Q98),ISNUMBER(AC98)),Q98+AC98,""))</f>
        <v>16446.08</v>
      </c>
      <c r="F98" s="38" t="n">
        <f aca="false">IF($A98="","",IF(AND(ISNUMBER(R98),ISNUMBER(AD98)),R98+AD98,""))</f>
        <v>18455.6</v>
      </c>
      <c r="G98" s="38" t="n">
        <f aca="false">IF($A98="","",IF(AND(ISNUMBER(S98),ISNUMBER(AE98)),S98+AE98,""))</f>
        <v>18644.19</v>
      </c>
      <c r="H98" s="38" t="n">
        <f aca="false">IF($A98="","",IF(AND(ISNUMBER(T98),ISNUMBER(AF98)),T98+AF98,""))</f>
        <v>18534.18</v>
      </c>
      <c r="I98" s="38" t="n">
        <f aca="false">IF($A98="","",IF(AND(ISNUMBER(U98),ISNUMBER(AG98)),U98+AG98,""))</f>
        <v>19526.91</v>
      </c>
      <c r="J98" s="38" t="n">
        <f aca="false">IF($A98="","",IF(AND(ISNUMBER(V98),ISNUMBER(AH98)),V98+AH98,""))</f>
        <v>19872.03</v>
      </c>
      <c r="K98" s="38" t="n">
        <f aca="false">IF($A98="","",IF(AND(ISNUMBER(W98),ISNUMBER(AI98)),W98+AI98,""))</f>
        <v>20401.51</v>
      </c>
      <c r="L98" s="38" t="n">
        <f aca="false">IF($A98="","",IF(AND(ISNUMBER(X98),ISNUMBER(AJ98)),X98+AJ98,""))</f>
        <v>21004.19</v>
      </c>
      <c r="M98" s="38" t="n">
        <f aca="false">IF($A98="","",IF(AND(ISNUMBER(Y98),ISNUMBER(AK98)),Y98+AK98,""))</f>
        <v>21516.17</v>
      </c>
      <c r="N98" s="38" t="n">
        <f aca="false">IF($A98="","",IF(AND(ISNUMBER(Z98),ISNUMBER(AL98)),Z98+AL98,""))</f>
        <v>21965.63</v>
      </c>
      <c r="O98" s="38" t="n">
        <f aca="false">IF($A98="","",IF(AND(ISNUMBER(AA98),ISNUMBER(AM98)),AA98+AM98,""))</f>
        <v>22291.42</v>
      </c>
      <c r="P98" s="38" t="n">
        <f aca="false">IF($A98="","",IFERROR(1/(1/IF($B98="Residential",SUMIFS(INDEX('Oxford Economics'!$A$7:$AZ$1000,0,IFERROR(MATCH(P$5,'Oxford Economics'!$A$6:$AZ$6,0),MATCH(P$5&amp;"",'Oxford Economics'!$A$6:$AZ$6,0))),'Oxford Economics'!$A$7:$A$1000,$C98,'Oxford Economics'!$B$7:$B$1000,Settings!$B$13)-SUMIFS(INDEX('Oxford Economics'!$A$7:$AZ$1000,0,IFERROR(MATCH(P$5,'Oxford Economics'!$A$6:$AZ$6,0),MATCH(P$5&amp;"",'Oxford Economics'!$A$6:$AZ$6,0))),'Oxford Economics'!$A$7:$A$1000,$C98,'Oxford Economics'!$B$7:$B$1000,Settings!$B$15),SUMIFS(INDEX('Oxford Economics'!$A$7:$AZ$1000,0,IFERROR(MATCH(P$5,'Oxford Economics'!$A$6:$AZ$6,0),MATCH(P$5&amp;"",'Oxford Economics'!$A$6:$AZ$6,0))),'Oxford Economics'!$A$7:$A$1000,$C98,'Oxford Economics'!$B$7:$B$1000,Settings!$B$15)+SUMIFS(INDEX('Oxford Economics'!$A$7:$AZ$1000,0,IFERROR(MATCH(P$5,'Oxford Economics'!$A$6:$AZ$6,0),MATCH(P$5&amp;"",'Oxford Economics'!$A$6:$AZ$6,0))),'Oxford Economics'!$A$7:$A$1000,$C98,'Oxford Economics'!$B$7:$B$1000,Settings!$B$17)+IF(Settings!$B$19="",0,SUMIFS(INDEX('Oxford Economics'!$A$7:$AZ$1000,0,IFERROR(MATCH(P$5,'Oxford Economics'!$A$6:$AZ$6,0),MATCH(P$5&amp;"",'Oxford Economics'!$A$6:$AZ$6,0))),'Oxford Economics'!$A$7:$A$1000,$C98,'Oxford Economics'!$B$7:$B$1000,Settings!$B$19)))),""))</f>
        <v>6631.37</v>
      </c>
      <c r="Q98" s="38" t="n">
        <f aca="false">IF($A98="","",IFERROR(1/(1/IF($B98="Residential",SUMIFS(INDEX('Oxford Economics'!$A$7:$AZ$1000,0,IFERROR(MATCH(Q$5,'Oxford Economics'!$A$6:$AZ$6,0),MATCH(Q$5&amp;"",'Oxford Economics'!$A$6:$AZ$6,0))),'Oxford Economics'!$A$7:$A$1000,$C98,'Oxford Economics'!$B$7:$B$1000,Settings!$B$13)-SUMIFS(INDEX('Oxford Economics'!$A$7:$AZ$1000,0,IFERROR(MATCH(Q$5,'Oxford Economics'!$A$6:$AZ$6,0),MATCH(Q$5&amp;"",'Oxford Economics'!$A$6:$AZ$6,0))),'Oxford Economics'!$A$7:$A$1000,$C98,'Oxford Economics'!$B$7:$B$1000,Settings!$B$15),SUMIFS(INDEX('Oxford Economics'!$A$7:$AZ$1000,0,IFERROR(MATCH(Q$5,'Oxford Economics'!$A$6:$AZ$6,0),MATCH(Q$5&amp;"",'Oxford Economics'!$A$6:$AZ$6,0))),'Oxford Economics'!$A$7:$A$1000,$C98,'Oxford Economics'!$B$7:$B$1000,Settings!$B$15)+SUMIFS(INDEX('Oxford Economics'!$A$7:$AZ$1000,0,IFERROR(MATCH(Q$5,'Oxford Economics'!$A$6:$AZ$6,0),MATCH(Q$5&amp;"",'Oxford Economics'!$A$6:$AZ$6,0))),'Oxford Economics'!$A$7:$A$1000,$C98,'Oxford Economics'!$B$7:$B$1000,Settings!$B$17)+IF(Settings!$B$19="",0,SUMIFS(INDEX('Oxford Economics'!$A$7:$AZ$1000,0,IFERROR(MATCH(Q$5,'Oxford Economics'!$A$6:$AZ$6,0),MATCH(Q$5&amp;"",'Oxford Economics'!$A$6:$AZ$6,0))),'Oxford Economics'!$A$7:$A$1000,$C98,'Oxford Economics'!$B$7:$B$1000,Settings!$B$19)))),""))</f>
        <v>5985.56</v>
      </c>
      <c r="R98" s="38" t="n">
        <f aca="false">IF($A98="","",IFERROR(1/(1/IF($B98="Residential",SUMIFS(INDEX('Oxford Economics'!$A$7:$AZ$1000,0,IFERROR(MATCH(R$5,'Oxford Economics'!$A$6:$AZ$6,0),MATCH(R$5&amp;"",'Oxford Economics'!$A$6:$AZ$6,0))),'Oxford Economics'!$A$7:$A$1000,$C98,'Oxford Economics'!$B$7:$B$1000,Settings!$B$13)-SUMIFS(INDEX('Oxford Economics'!$A$7:$AZ$1000,0,IFERROR(MATCH(R$5,'Oxford Economics'!$A$6:$AZ$6,0),MATCH(R$5&amp;"",'Oxford Economics'!$A$6:$AZ$6,0))),'Oxford Economics'!$A$7:$A$1000,$C98,'Oxford Economics'!$B$7:$B$1000,Settings!$B$15),SUMIFS(INDEX('Oxford Economics'!$A$7:$AZ$1000,0,IFERROR(MATCH(R$5,'Oxford Economics'!$A$6:$AZ$6,0),MATCH(R$5&amp;"",'Oxford Economics'!$A$6:$AZ$6,0))),'Oxford Economics'!$A$7:$A$1000,$C98,'Oxford Economics'!$B$7:$B$1000,Settings!$B$15)+SUMIFS(INDEX('Oxford Economics'!$A$7:$AZ$1000,0,IFERROR(MATCH(R$5,'Oxford Economics'!$A$6:$AZ$6,0),MATCH(R$5&amp;"",'Oxford Economics'!$A$6:$AZ$6,0))),'Oxford Economics'!$A$7:$A$1000,$C98,'Oxford Economics'!$B$7:$B$1000,Settings!$B$17)+IF(Settings!$B$19="",0,SUMIFS(INDEX('Oxford Economics'!$A$7:$AZ$1000,0,IFERROR(MATCH(R$5,'Oxford Economics'!$A$6:$AZ$6,0),MATCH(R$5&amp;"",'Oxford Economics'!$A$6:$AZ$6,0))),'Oxford Economics'!$A$7:$A$1000,$C98,'Oxford Economics'!$B$7:$B$1000,Settings!$B$19)))),""))</f>
        <v>6719.71</v>
      </c>
      <c r="S98" s="38" t="n">
        <f aca="false">IF($A98="","",IFERROR(1/(1/IF($B98="Residential",SUMIFS(INDEX('Oxford Economics'!$A$7:$AZ$1000,0,IFERROR(MATCH(S$5,'Oxford Economics'!$A$6:$AZ$6,0),MATCH(S$5&amp;"",'Oxford Economics'!$A$6:$AZ$6,0))),'Oxford Economics'!$A$7:$A$1000,$C98,'Oxford Economics'!$B$7:$B$1000,Settings!$B$13)-SUMIFS(INDEX('Oxford Economics'!$A$7:$AZ$1000,0,IFERROR(MATCH(S$5,'Oxford Economics'!$A$6:$AZ$6,0),MATCH(S$5&amp;"",'Oxford Economics'!$A$6:$AZ$6,0))),'Oxford Economics'!$A$7:$A$1000,$C98,'Oxford Economics'!$B$7:$B$1000,Settings!$B$15),SUMIFS(INDEX('Oxford Economics'!$A$7:$AZ$1000,0,IFERROR(MATCH(S$5,'Oxford Economics'!$A$6:$AZ$6,0),MATCH(S$5&amp;"",'Oxford Economics'!$A$6:$AZ$6,0))),'Oxford Economics'!$A$7:$A$1000,$C98,'Oxford Economics'!$B$7:$B$1000,Settings!$B$15)+SUMIFS(INDEX('Oxford Economics'!$A$7:$AZ$1000,0,IFERROR(MATCH(S$5,'Oxford Economics'!$A$6:$AZ$6,0),MATCH(S$5&amp;"",'Oxford Economics'!$A$6:$AZ$6,0))),'Oxford Economics'!$A$7:$A$1000,$C98,'Oxford Economics'!$B$7:$B$1000,Settings!$B$17)+IF(Settings!$B$19="",0,SUMIFS(INDEX('Oxford Economics'!$A$7:$AZ$1000,0,IFERROR(MATCH(S$5,'Oxford Economics'!$A$6:$AZ$6,0),MATCH(S$5&amp;"",'Oxford Economics'!$A$6:$AZ$6,0))),'Oxford Economics'!$A$7:$A$1000,$C98,'Oxford Economics'!$B$7:$B$1000,Settings!$B$19)))),""))</f>
        <v>7163.26</v>
      </c>
      <c r="T98" s="38" t="n">
        <f aca="false">IF($A98="","",IFERROR(1/(1/IF($B98="Residential",SUMIFS(INDEX('Oxford Economics'!$A$7:$AZ$1000,0,IFERROR(MATCH(T$5,'Oxford Economics'!$A$6:$AZ$6,0),MATCH(T$5&amp;"",'Oxford Economics'!$A$6:$AZ$6,0))),'Oxford Economics'!$A$7:$A$1000,$C98,'Oxford Economics'!$B$7:$B$1000,Settings!$B$13)-SUMIFS(INDEX('Oxford Economics'!$A$7:$AZ$1000,0,IFERROR(MATCH(T$5,'Oxford Economics'!$A$6:$AZ$6,0),MATCH(T$5&amp;"",'Oxford Economics'!$A$6:$AZ$6,0))),'Oxford Economics'!$A$7:$A$1000,$C98,'Oxford Economics'!$B$7:$B$1000,Settings!$B$15),SUMIFS(INDEX('Oxford Economics'!$A$7:$AZ$1000,0,IFERROR(MATCH(T$5,'Oxford Economics'!$A$6:$AZ$6,0),MATCH(T$5&amp;"",'Oxford Economics'!$A$6:$AZ$6,0))),'Oxford Economics'!$A$7:$A$1000,$C98,'Oxford Economics'!$B$7:$B$1000,Settings!$B$15)+SUMIFS(INDEX('Oxford Economics'!$A$7:$AZ$1000,0,IFERROR(MATCH(T$5,'Oxford Economics'!$A$6:$AZ$6,0),MATCH(T$5&amp;"",'Oxford Economics'!$A$6:$AZ$6,0))),'Oxford Economics'!$A$7:$A$1000,$C98,'Oxford Economics'!$B$7:$B$1000,Settings!$B$17)+IF(Settings!$B$19="",0,SUMIFS(INDEX('Oxford Economics'!$A$7:$AZ$1000,0,IFERROR(MATCH(T$5,'Oxford Economics'!$A$6:$AZ$6,0),MATCH(T$5&amp;"",'Oxford Economics'!$A$6:$AZ$6,0))),'Oxford Economics'!$A$7:$A$1000,$C98,'Oxford Economics'!$B$7:$B$1000,Settings!$B$19)))),""))</f>
        <v>7284.73</v>
      </c>
      <c r="U98" s="38" t="n">
        <f aca="false">IF($A98="","",IFERROR(1/(1/IF($B98="Residential",SUMIFS(INDEX('Oxford Economics'!$A$7:$AZ$1000,0,IFERROR(MATCH(U$5,'Oxford Economics'!$A$6:$AZ$6,0),MATCH(U$5&amp;"",'Oxford Economics'!$A$6:$AZ$6,0))),'Oxford Economics'!$A$7:$A$1000,$C98,'Oxford Economics'!$B$7:$B$1000,Settings!$B$13)-SUMIFS(INDEX('Oxford Economics'!$A$7:$AZ$1000,0,IFERROR(MATCH(U$5,'Oxford Economics'!$A$6:$AZ$6,0),MATCH(U$5&amp;"",'Oxford Economics'!$A$6:$AZ$6,0))),'Oxford Economics'!$A$7:$A$1000,$C98,'Oxford Economics'!$B$7:$B$1000,Settings!$B$15),SUMIFS(INDEX('Oxford Economics'!$A$7:$AZ$1000,0,IFERROR(MATCH(U$5,'Oxford Economics'!$A$6:$AZ$6,0),MATCH(U$5&amp;"",'Oxford Economics'!$A$6:$AZ$6,0))),'Oxford Economics'!$A$7:$A$1000,$C98,'Oxford Economics'!$B$7:$B$1000,Settings!$B$15)+SUMIFS(INDEX('Oxford Economics'!$A$7:$AZ$1000,0,IFERROR(MATCH(U$5,'Oxford Economics'!$A$6:$AZ$6,0),MATCH(U$5&amp;"",'Oxford Economics'!$A$6:$AZ$6,0))),'Oxford Economics'!$A$7:$A$1000,$C98,'Oxford Economics'!$B$7:$B$1000,Settings!$B$17)+IF(Settings!$B$19="",0,SUMIFS(INDEX('Oxford Economics'!$A$7:$AZ$1000,0,IFERROR(MATCH(U$5,'Oxford Economics'!$A$6:$AZ$6,0),MATCH(U$5&amp;"",'Oxford Economics'!$A$6:$AZ$6,0))),'Oxford Economics'!$A$7:$A$1000,$C98,'Oxford Economics'!$B$7:$B$1000,Settings!$B$19)))),""))</f>
        <v>7232.05</v>
      </c>
      <c r="V98" s="38" t="n">
        <f aca="false">IF($A98="","",IFERROR(1/(1/IF($B98="Residential",SUMIFS(INDEX('Oxford Economics'!$A$7:$AZ$1000,0,IFERROR(MATCH(V$5,'Oxford Economics'!$A$6:$AZ$6,0),MATCH(V$5&amp;"",'Oxford Economics'!$A$6:$AZ$6,0))),'Oxford Economics'!$A$7:$A$1000,$C98,'Oxford Economics'!$B$7:$B$1000,Settings!$B$13)-SUMIFS(INDEX('Oxford Economics'!$A$7:$AZ$1000,0,IFERROR(MATCH(V$5,'Oxford Economics'!$A$6:$AZ$6,0),MATCH(V$5&amp;"",'Oxford Economics'!$A$6:$AZ$6,0))),'Oxford Economics'!$A$7:$A$1000,$C98,'Oxford Economics'!$B$7:$B$1000,Settings!$B$15),SUMIFS(INDEX('Oxford Economics'!$A$7:$AZ$1000,0,IFERROR(MATCH(V$5,'Oxford Economics'!$A$6:$AZ$6,0),MATCH(V$5&amp;"",'Oxford Economics'!$A$6:$AZ$6,0))),'Oxford Economics'!$A$7:$A$1000,$C98,'Oxford Economics'!$B$7:$B$1000,Settings!$B$15)+SUMIFS(INDEX('Oxford Economics'!$A$7:$AZ$1000,0,IFERROR(MATCH(V$5,'Oxford Economics'!$A$6:$AZ$6,0),MATCH(V$5&amp;"",'Oxford Economics'!$A$6:$AZ$6,0))),'Oxford Economics'!$A$7:$A$1000,$C98,'Oxford Economics'!$B$7:$B$1000,Settings!$B$17)+IF(Settings!$B$19="",0,SUMIFS(INDEX('Oxford Economics'!$A$7:$AZ$1000,0,IFERROR(MATCH(V$5,'Oxford Economics'!$A$6:$AZ$6,0),MATCH(V$5&amp;"",'Oxford Economics'!$A$6:$AZ$6,0))),'Oxford Economics'!$A$7:$A$1000,$C98,'Oxford Economics'!$B$7:$B$1000,Settings!$B$19)))),""))</f>
        <v>7014.15</v>
      </c>
      <c r="W98" s="38" t="n">
        <f aca="false">IF($A98="","",IFERROR(1/(1/IF($B98="Residential",SUMIFS(INDEX('Oxford Economics'!$A$7:$AZ$1000,0,IFERROR(MATCH(W$5,'Oxford Economics'!$A$6:$AZ$6,0),MATCH(W$5&amp;"",'Oxford Economics'!$A$6:$AZ$6,0))),'Oxford Economics'!$A$7:$A$1000,$C98,'Oxford Economics'!$B$7:$B$1000,Settings!$B$13)-SUMIFS(INDEX('Oxford Economics'!$A$7:$AZ$1000,0,IFERROR(MATCH(W$5,'Oxford Economics'!$A$6:$AZ$6,0),MATCH(W$5&amp;"",'Oxford Economics'!$A$6:$AZ$6,0))),'Oxford Economics'!$A$7:$A$1000,$C98,'Oxford Economics'!$B$7:$B$1000,Settings!$B$15),SUMIFS(INDEX('Oxford Economics'!$A$7:$AZ$1000,0,IFERROR(MATCH(W$5,'Oxford Economics'!$A$6:$AZ$6,0),MATCH(W$5&amp;"",'Oxford Economics'!$A$6:$AZ$6,0))),'Oxford Economics'!$A$7:$A$1000,$C98,'Oxford Economics'!$B$7:$B$1000,Settings!$B$15)+SUMIFS(INDEX('Oxford Economics'!$A$7:$AZ$1000,0,IFERROR(MATCH(W$5,'Oxford Economics'!$A$6:$AZ$6,0),MATCH(W$5&amp;"",'Oxford Economics'!$A$6:$AZ$6,0))),'Oxford Economics'!$A$7:$A$1000,$C98,'Oxford Economics'!$B$7:$B$1000,Settings!$B$17)+IF(Settings!$B$19="",0,SUMIFS(INDEX('Oxford Economics'!$A$7:$AZ$1000,0,IFERROR(MATCH(W$5,'Oxford Economics'!$A$6:$AZ$6,0),MATCH(W$5&amp;"",'Oxford Economics'!$A$6:$AZ$6,0))),'Oxford Economics'!$A$7:$A$1000,$C98,'Oxford Economics'!$B$7:$B$1000,Settings!$B$19)))),""))</f>
        <v>6781.32</v>
      </c>
      <c r="X98" s="38" t="n">
        <f aca="false">IF($A98="","",IFERROR(1/(1/IF($B98="Residential",SUMIFS(INDEX('Oxford Economics'!$A$7:$AZ$1000,0,IFERROR(MATCH(X$5,'Oxford Economics'!$A$6:$AZ$6,0),MATCH(X$5&amp;"",'Oxford Economics'!$A$6:$AZ$6,0))),'Oxford Economics'!$A$7:$A$1000,$C98,'Oxford Economics'!$B$7:$B$1000,Settings!$B$13)-SUMIFS(INDEX('Oxford Economics'!$A$7:$AZ$1000,0,IFERROR(MATCH(X$5,'Oxford Economics'!$A$6:$AZ$6,0),MATCH(X$5&amp;"",'Oxford Economics'!$A$6:$AZ$6,0))),'Oxford Economics'!$A$7:$A$1000,$C98,'Oxford Economics'!$B$7:$B$1000,Settings!$B$15),SUMIFS(INDEX('Oxford Economics'!$A$7:$AZ$1000,0,IFERROR(MATCH(X$5,'Oxford Economics'!$A$6:$AZ$6,0),MATCH(X$5&amp;"",'Oxford Economics'!$A$6:$AZ$6,0))),'Oxford Economics'!$A$7:$A$1000,$C98,'Oxford Economics'!$B$7:$B$1000,Settings!$B$15)+SUMIFS(INDEX('Oxford Economics'!$A$7:$AZ$1000,0,IFERROR(MATCH(X$5,'Oxford Economics'!$A$6:$AZ$6,0),MATCH(X$5&amp;"",'Oxford Economics'!$A$6:$AZ$6,0))),'Oxford Economics'!$A$7:$A$1000,$C98,'Oxford Economics'!$B$7:$B$1000,Settings!$B$17)+IF(Settings!$B$19="",0,SUMIFS(INDEX('Oxford Economics'!$A$7:$AZ$1000,0,IFERROR(MATCH(X$5,'Oxford Economics'!$A$6:$AZ$6,0),MATCH(X$5&amp;"",'Oxford Economics'!$A$6:$AZ$6,0))),'Oxford Economics'!$A$7:$A$1000,$C98,'Oxford Economics'!$B$7:$B$1000,Settings!$B$19)))),""))</f>
        <v>7154.47</v>
      </c>
      <c r="Y98" s="38" t="n">
        <f aca="false">IF($A98="","",IFERROR(1/(1/IF($B98="Residential",SUMIFS(INDEX('Oxford Economics'!$A$7:$AZ$1000,0,IFERROR(MATCH(Y$5,'Oxford Economics'!$A$6:$AZ$6,0),MATCH(Y$5&amp;"",'Oxford Economics'!$A$6:$AZ$6,0))),'Oxford Economics'!$A$7:$A$1000,$C98,'Oxford Economics'!$B$7:$B$1000,Settings!$B$13)-SUMIFS(INDEX('Oxford Economics'!$A$7:$AZ$1000,0,IFERROR(MATCH(Y$5,'Oxford Economics'!$A$6:$AZ$6,0),MATCH(Y$5&amp;"",'Oxford Economics'!$A$6:$AZ$6,0))),'Oxford Economics'!$A$7:$A$1000,$C98,'Oxford Economics'!$B$7:$B$1000,Settings!$B$15),SUMIFS(INDEX('Oxford Economics'!$A$7:$AZ$1000,0,IFERROR(MATCH(Y$5,'Oxford Economics'!$A$6:$AZ$6,0),MATCH(Y$5&amp;"",'Oxford Economics'!$A$6:$AZ$6,0))),'Oxford Economics'!$A$7:$A$1000,$C98,'Oxford Economics'!$B$7:$B$1000,Settings!$B$15)+SUMIFS(INDEX('Oxford Economics'!$A$7:$AZ$1000,0,IFERROR(MATCH(Y$5,'Oxford Economics'!$A$6:$AZ$6,0),MATCH(Y$5&amp;"",'Oxford Economics'!$A$6:$AZ$6,0))),'Oxford Economics'!$A$7:$A$1000,$C98,'Oxford Economics'!$B$7:$B$1000,Settings!$B$17)+IF(Settings!$B$19="",0,SUMIFS(INDEX('Oxford Economics'!$A$7:$AZ$1000,0,IFERROR(MATCH(Y$5,'Oxford Economics'!$A$6:$AZ$6,0),MATCH(Y$5&amp;"",'Oxford Economics'!$A$6:$AZ$6,0))),'Oxford Economics'!$A$7:$A$1000,$C98,'Oxford Economics'!$B$7:$B$1000,Settings!$B$19)))),""))</f>
        <v>7583.92</v>
      </c>
      <c r="Z98" s="38" t="n">
        <f aca="false">IF($A98="","",IFERROR(1/(1/IF($B98="Residential",SUMIFS(INDEX('Oxford Economics'!$A$7:$AZ$1000,0,IFERROR(MATCH(Z$5,'Oxford Economics'!$A$6:$AZ$6,0),MATCH(Z$5&amp;"",'Oxford Economics'!$A$6:$AZ$6,0))),'Oxford Economics'!$A$7:$A$1000,$C98,'Oxford Economics'!$B$7:$B$1000,Settings!$B$13)-SUMIFS(INDEX('Oxford Economics'!$A$7:$AZ$1000,0,IFERROR(MATCH(Z$5,'Oxford Economics'!$A$6:$AZ$6,0),MATCH(Z$5&amp;"",'Oxford Economics'!$A$6:$AZ$6,0))),'Oxford Economics'!$A$7:$A$1000,$C98,'Oxford Economics'!$B$7:$B$1000,Settings!$B$15),SUMIFS(INDEX('Oxford Economics'!$A$7:$AZ$1000,0,IFERROR(MATCH(Z$5,'Oxford Economics'!$A$6:$AZ$6,0),MATCH(Z$5&amp;"",'Oxford Economics'!$A$6:$AZ$6,0))),'Oxford Economics'!$A$7:$A$1000,$C98,'Oxford Economics'!$B$7:$B$1000,Settings!$B$15)+SUMIFS(INDEX('Oxford Economics'!$A$7:$AZ$1000,0,IFERROR(MATCH(Z$5,'Oxford Economics'!$A$6:$AZ$6,0),MATCH(Z$5&amp;"",'Oxford Economics'!$A$6:$AZ$6,0))),'Oxford Economics'!$A$7:$A$1000,$C98,'Oxford Economics'!$B$7:$B$1000,Settings!$B$17)+IF(Settings!$B$19="",0,SUMIFS(INDEX('Oxford Economics'!$A$7:$AZ$1000,0,IFERROR(MATCH(Z$5,'Oxford Economics'!$A$6:$AZ$6,0),MATCH(Z$5&amp;"",'Oxford Economics'!$A$6:$AZ$6,0))),'Oxford Economics'!$A$7:$A$1000,$C98,'Oxford Economics'!$B$7:$B$1000,Settings!$B$19)))),""))</f>
        <v>7964.36</v>
      </c>
      <c r="AA98" s="38" t="n">
        <f aca="false">IF($A98="","",IFERROR(1/(1/IF($B98="Residential",SUMIFS(INDEX('Oxford Economics'!$A$7:$AZ$1000,0,IFERROR(MATCH(AA$5,'Oxford Economics'!$A$6:$AZ$6,0),MATCH(AA$5&amp;"",'Oxford Economics'!$A$6:$AZ$6,0))),'Oxford Economics'!$A$7:$A$1000,$C98,'Oxford Economics'!$B$7:$B$1000,Settings!$B$13)-SUMIFS(INDEX('Oxford Economics'!$A$7:$AZ$1000,0,IFERROR(MATCH(AA$5,'Oxford Economics'!$A$6:$AZ$6,0),MATCH(AA$5&amp;"",'Oxford Economics'!$A$6:$AZ$6,0))),'Oxford Economics'!$A$7:$A$1000,$C98,'Oxford Economics'!$B$7:$B$1000,Settings!$B$15),SUMIFS(INDEX('Oxford Economics'!$A$7:$AZ$1000,0,IFERROR(MATCH(AA$5,'Oxford Economics'!$A$6:$AZ$6,0),MATCH(AA$5&amp;"",'Oxford Economics'!$A$6:$AZ$6,0))),'Oxford Economics'!$A$7:$A$1000,$C98,'Oxford Economics'!$B$7:$B$1000,Settings!$B$15)+SUMIFS(INDEX('Oxford Economics'!$A$7:$AZ$1000,0,IFERROR(MATCH(AA$5,'Oxford Economics'!$A$6:$AZ$6,0),MATCH(AA$5&amp;"",'Oxford Economics'!$A$6:$AZ$6,0))),'Oxford Economics'!$A$7:$A$1000,$C98,'Oxford Economics'!$B$7:$B$1000,Settings!$B$17)+IF(Settings!$B$19="",0,SUMIFS(INDEX('Oxford Economics'!$A$7:$AZ$1000,0,IFERROR(MATCH(AA$5,'Oxford Economics'!$A$6:$AZ$6,0),MATCH(AA$5&amp;"",'Oxford Economics'!$A$6:$AZ$6,0))),'Oxford Economics'!$A$7:$A$1000,$C98,'Oxford Economics'!$B$7:$B$1000,Settings!$B$19)))),""))</f>
        <v>8112.11</v>
      </c>
      <c r="AB98" s="38" t="n">
        <f aca="false">IF($A98="","",IFERROR(1/(1/IF($B98="Residential",SUMIFS(INDEX('Oxford Economics'!$A$7:$AZ$1000,0,IFERROR(MATCH(AB$5,'Oxford Economics'!$A$6:$AZ$6,0),MATCH(AB$5&amp;"",'Oxford Economics'!$A$6:$AZ$6,0))),'Oxford Economics'!$A$7:$A$1000,$C98,'Oxford Economics'!$B$7:$B$1000,Settings!$B$12)-SUMIFS(INDEX('Oxford Economics'!$A$7:$AZ$1000,0,IFERROR(MATCH(AB$5,'Oxford Economics'!$A$6:$AZ$6,0),MATCH(AB$5&amp;"",'Oxford Economics'!$A$6:$AZ$6,0))),'Oxford Economics'!$A$7:$A$1000,$C98,'Oxford Economics'!$B$7:$B$1000,Settings!$B$14),SUMIFS(INDEX('Oxford Economics'!$A$7:$AZ$1000,0,IFERROR(MATCH(AB$5,'Oxford Economics'!$A$6:$AZ$6,0),MATCH(AB$5&amp;"",'Oxford Economics'!$A$6:$AZ$6,0))),'Oxford Economics'!$A$7:$A$1000,$C98,'Oxford Economics'!$B$7:$B$1000,Settings!$B$14)+SUMIFS(INDEX('Oxford Economics'!$A$7:$AZ$1000,0,IFERROR(MATCH(AB$5,'Oxford Economics'!$A$6:$AZ$6,0),MATCH(AB$5&amp;"",'Oxford Economics'!$A$6:$AZ$6,0))),'Oxford Economics'!$A$7:$A$1000,$C98,'Oxford Economics'!$B$7:$B$1000,Settings!$B$16)+IF(Settings!$B$18="",0,SUMIFS(INDEX('Oxford Economics'!$A$7:$AZ$1000,0,IFERROR(MATCH(AB$5,'Oxford Economics'!$A$6:$AZ$6,0),MATCH(AB$5&amp;"",'Oxford Economics'!$A$6:$AZ$6,0))),'Oxford Economics'!$A$7:$A$1000,$C98,'Oxford Economics'!$B$7:$B$1000,Settings!$B$18)))),""))</f>
        <v>9998.46</v>
      </c>
      <c r="AC98" s="38" t="n">
        <f aca="false">IF($A98="","",IFERROR(1/(1/IF($B98="Residential",SUMIFS(INDEX('Oxford Economics'!$A$7:$AZ$1000,0,IFERROR(MATCH(AC$5,'Oxford Economics'!$A$6:$AZ$6,0),MATCH(AC$5&amp;"",'Oxford Economics'!$A$6:$AZ$6,0))),'Oxford Economics'!$A$7:$A$1000,$C98,'Oxford Economics'!$B$7:$B$1000,Settings!$B$12)-SUMIFS(INDEX('Oxford Economics'!$A$7:$AZ$1000,0,IFERROR(MATCH(AC$5,'Oxford Economics'!$A$6:$AZ$6,0),MATCH(AC$5&amp;"",'Oxford Economics'!$A$6:$AZ$6,0))),'Oxford Economics'!$A$7:$A$1000,$C98,'Oxford Economics'!$B$7:$B$1000,Settings!$B$14),SUMIFS(INDEX('Oxford Economics'!$A$7:$AZ$1000,0,IFERROR(MATCH(AC$5,'Oxford Economics'!$A$6:$AZ$6,0),MATCH(AC$5&amp;"",'Oxford Economics'!$A$6:$AZ$6,0))),'Oxford Economics'!$A$7:$A$1000,$C98,'Oxford Economics'!$B$7:$B$1000,Settings!$B$14)+SUMIFS(INDEX('Oxford Economics'!$A$7:$AZ$1000,0,IFERROR(MATCH(AC$5,'Oxford Economics'!$A$6:$AZ$6,0),MATCH(AC$5&amp;"",'Oxford Economics'!$A$6:$AZ$6,0))),'Oxford Economics'!$A$7:$A$1000,$C98,'Oxford Economics'!$B$7:$B$1000,Settings!$B$16)+IF(Settings!$B$18="",0,SUMIFS(INDEX('Oxford Economics'!$A$7:$AZ$1000,0,IFERROR(MATCH(AC$5,'Oxford Economics'!$A$6:$AZ$6,0),MATCH(AC$5&amp;"",'Oxford Economics'!$A$6:$AZ$6,0))),'Oxford Economics'!$A$7:$A$1000,$C98,'Oxford Economics'!$B$7:$B$1000,Settings!$B$18)))),""))</f>
        <v>10460.52</v>
      </c>
      <c r="AD98" s="38" t="n">
        <f aca="false">IF($A98="","",IFERROR(1/(1/IF($B98="Residential",SUMIFS(INDEX('Oxford Economics'!$A$7:$AZ$1000,0,IFERROR(MATCH(AD$5,'Oxford Economics'!$A$6:$AZ$6,0),MATCH(AD$5&amp;"",'Oxford Economics'!$A$6:$AZ$6,0))),'Oxford Economics'!$A$7:$A$1000,$C98,'Oxford Economics'!$B$7:$B$1000,Settings!$B$12)-SUMIFS(INDEX('Oxford Economics'!$A$7:$AZ$1000,0,IFERROR(MATCH(AD$5,'Oxford Economics'!$A$6:$AZ$6,0),MATCH(AD$5&amp;"",'Oxford Economics'!$A$6:$AZ$6,0))),'Oxford Economics'!$A$7:$A$1000,$C98,'Oxford Economics'!$B$7:$B$1000,Settings!$B$14),SUMIFS(INDEX('Oxford Economics'!$A$7:$AZ$1000,0,IFERROR(MATCH(AD$5,'Oxford Economics'!$A$6:$AZ$6,0),MATCH(AD$5&amp;"",'Oxford Economics'!$A$6:$AZ$6,0))),'Oxford Economics'!$A$7:$A$1000,$C98,'Oxford Economics'!$B$7:$B$1000,Settings!$B$14)+SUMIFS(INDEX('Oxford Economics'!$A$7:$AZ$1000,0,IFERROR(MATCH(AD$5,'Oxford Economics'!$A$6:$AZ$6,0),MATCH(AD$5&amp;"",'Oxford Economics'!$A$6:$AZ$6,0))),'Oxford Economics'!$A$7:$A$1000,$C98,'Oxford Economics'!$B$7:$B$1000,Settings!$B$16)+IF(Settings!$B$18="",0,SUMIFS(INDEX('Oxford Economics'!$A$7:$AZ$1000,0,IFERROR(MATCH(AD$5,'Oxford Economics'!$A$6:$AZ$6,0),MATCH(AD$5&amp;"",'Oxford Economics'!$A$6:$AZ$6,0))),'Oxford Economics'!$A$7:$A$1000,$C98,'Oxford Economics'!$B$7:$B$1000,Settings!$B$18)))),""))</f>
        <v>11735.89</v>
      </c>
      <c r="AE98" s="38" t="n">
        <f aca="false">IF($A98="","",IFERROR(1/(1/IF($B98="Residential",SUMIFS(INDEX('Oxford Economics'!$A$7:$AZ$1000,0,IFERROR(MATCH(AE$5,'Oxford Economics'!$A$6:$AZ$6,0),MATCH(AE$5&amp;"",'Oxford Economics'!$A$6:$AZ$6,0))),'Oxford Economics'!$A$7:$A$1000,$C98,'Oxford Economics'!$B$7:$B$1000,Settings!$B$12)-SUMIFS(INDEX('Oxford Economics'!$A$7:$AZ$1000,0,IFERROR(MATCH(AE$5,'Oxford Economics'!$A$6:$AZ$6,0),MATCH(AE$5&amp;"",'Oxford Economics'!$A$6:$AZ$6,0))),'Oxford Economics'!$A$7:$A$1000,$C98,'Oxford Economics'!$B$7:$B$1000,Settings!$B$14),SUMIFS(INDEX('Oxford Economics'!$A$7:$AZ$1000,0,IFERROR(MATCH(AE$5,'Oxford Economics'!$A$6:$AZ$6,0),MATCH(AE$5&amp;"",'Oxford Economics'!$A$6:$AZ$6,0))),'Oxford Economics'!$A$7:$A$1000,$C98,'Oxford Economics'!$B$7:$B$1000,Settings!$B$14)+SUMIFS(INDEX('Oxford Economics'!$A$7:$AZ$1000,0,IFERROR(MATCH(AE$5,'Oxford Economics'!$A$6:$AZ$6,0),MATCH(AE$5&amp;"",'Oxford Economics'!$A$6:$AZ$6,0))),'Oxford Economics'!$A$7:$A$1000,$C98,'Oxford Economics'!$B$7:$B$1000,Settings!$B$16)+IF(Settings!$B$18="",0,SUMIFS(INDEX('Oxford Economics'!$A$7:$AZ$1000,0,IFERROR(MATCH(AE$5,'Oxford Economics'!$A$6:$AZ$6,0),MATCH(AE$5&amp;"",'Oxford Economics'!$A$6:$AZ$6,0))),'Oxford Economics'!$A$7:$A$1000,$C98,'Oxford Economics'!$B$7:$B$1000,Settings!$B$18)))),""))</f>
        <v>11480.93</v>
      </c>
      <c r="AF98" s="38" t="n">
        <f aca="false">IF($A98="","",IFERROR(1/(1/IF($B98="Residential",SUMIFS(INDEX('Oxford Economics'!$A$7:$AZ$1000,0,IFERROR(MATCH(AF$5,'Oxford Economics'!$A$6:$AZ$6,0),MATCH(AF$5&amp;"",'Oxford Economics'!$A$6:$AZ$6,0))),'Oxford Economics'!$A$7:$A$1000,$C98,'Oxford Economics'!$B$7:$B$1000,Settings!$B$12)-SUMIFS(INDEX('Oxford Economics'!$A$7:$AZ$1000,0,IFERROR(MATCH(AF$5,'Oxford Economics'!$A$6:$AZ$6,0),MATCH(AF$5&amp;"",'Oxford Economics'!$A$6:$AZ$6,0))),'Oxford Economics'!$A$7:$A$1000,$C98,'Oxford Economics'!$B$7:$B$1000,Settings!$B$14),SUMIFS(INDEX('Oxford Economics'!$A$7:$AZ$1000,0,IFERROR(MATCH(AF$5,'Oxford Economics'!$A$6:$AZ$6,0),MATCH(AF$5&amp;"",'Oxford Economics'!$A$6:$AZ$6,0))),'Oxford Economics'!$A$7:$A$1000,$C98,'Oxford Economics'!$B$7:$B$1000,Settings!$B$14)+SUMIFS(INDEX('Oxford Economics'!$A$7:$AZ$1000,0,IFERROR(MATCH(AF$5,'Oxford Economics'!$A$6:$AZ$6,0),MATCH(AF$5&amp;"",'Oxford Economics'!$A$6:$AZ$6,0))),'Oxford Economics'!$A$7:$A$1000,$C98,'Oxford Economics'!$B$7:$B$1000,Settings!$B$16)+IF(Settings!$B$18="",0,SUMIFS(INDEX('Oxford Economics'!$A$7:$AZ$1000,0,IFERROR(MATCH(AF$5,'Oxford Economics'!$A$6:$AZ$6,0),MATCH(AF$5&amp;"",'Oxford Economics'!$A$6:$AZ$6,0))),'Oxford Economics'!$A$7:$A$1000,$C98,'Oxford Economics'!$B$7:$B$1000,Settings!$B$18)))),""))</f>
        <v>11249.45</v>
      </c>
      <c r="AG98" s="38" t="n">
        <f aca="false">IF($A98="","",IFERROR(1/(1/IF($B98="Residential",SUMIFS(INDEX('Oxford Economics'!$A$7:$AZ$1000,0,IFERROR(MATCH(AG$5,'Oxford Economics'!$A$6:$AZ$6,0),MATCH(AG$5&amp;"",'Oxford Economics'!$A$6:$AZ$6,0))),'Oxford Economics'!$A$7:$A$1000,$C98,'Oxford Economics'!$B$7:$B$1000,Settings!$B$12)-SUMIFS(INDEX('Oxford Economics'!$A$7:$AZ$1000,0,IFERROR(MATCH(AG$5,'Oxford Economics'!$A$6:$AZ$6,0),MATCH(AG$5&amp;"",'Oxford Economics'!$A$6:$AZ$6,0))),'Oxford Economics'!$A$7:$A$1000,$C98,'Oxford Economics'!$B$7:$B$1000,Settings!$B$14),SUMIFS(INDEX('Oxford Economics'!$A$7:$AZ$1000,0,IFERROR(MATCH(AG$5,'Oxford Economics'!$A$6:$AZ$6,0),MATCH(AG$5&amp;"",'Oxford Economics'!$A$6:$AZ$6,0))),'Oxford Economics'!$A$7:$A$1000,$C98,'Oxford Economics'!$B$7:$B$1000,Settings!$B$14)+SUMIFS(INDEX('Oxford Economics'!$A$7:$AZ$1000,0,IFERROR(MATCH(AG$5,'Oxford Economics'!$A$6:$AZ$6,0),MATCH(AG$5&amp;"",'Oxford Economics'!$A$6:$AZ$6,0))),'Oxford Economics'!$A$7:$A$1000,$C98,'Oxford Economics'!$B$7:$B$1000,Settings!$B$16)+IF(Settings!$B$18="",0,SUMIFS(INDEX('Oxford Economics'!$A$7:$AZ$1000,0,IFERROR(MATCH(AG$5,'Oxford Economics'!$A$6:$AZ$6,0),MATCH(AG$5&amp;"",'Oxford Economics'!$A$6:$AZ$6,0))),'Oxford Economics'!$A$7:$A$1000,$C98,'Oxford Economics'!$B$7:$B$1000,Settings!$B$18)))),""))</f>
        <v>12294.86</v>
      </c>
      <c r="AH98" s="38" t="n">
        <f aca="false">IF($A98="","",IFERROR(1/(1/IF($B98="Residential",SUMIFS(INDEX('Oxford Economics'!$A$7:$AZ$1000,0,IFERROR(MATCH(AH$5,'Oxford Economics'!$A$6:$AZ$6,0),MATCH(AH$5&amp;"",'Oxford Economics'!$A$6:$AZ$6,0))),'Oxford Economics'!$A$7:$A$1000,$C98,'Oxford Economics'!$B$7:$B$1000,Settings!$B$12)-SUMIFS(INDEX('Oxford Economics'!$A$7:$AZ$1000,0,IFERROR(MATCH(AH$5,'Oxford Economics'!$A$6:$AZ$6,0),MATCH(AH$5&amp;"",'Oxford Economics'!$A$6:$AZ$6,0))),'Oxford Economics'!$A$7:$A$1000,$C98,'Oxford Economics'!$B$7:$B$1000,Settings!$B$14),SUMIFS(INDEX('Oxford Economics'!$A$7:$AZ$1000,0,IFERROR(MATCH(AH$5,'Oxford Economics'!$A$6:$AZ$6,0),MATCH(AH$5&amp;"",'Oxford Economics'!$A$6:$AZ$6,0))),'Oxford Economics'!$A$7:$A$1000,$C98,'Oxford Economics'!$B$7:$B$1000,Settings!$B$14)+SUMIFS(INDEX('Oxford Economics'!$A$7:$AZ$1000,0,IFERROR(MATCH(AH$5,'Oxford Economics'!$A$6:$AZ$6,0),MATCH(AH$5&amp;"",'Oxford Economics'!$A$6:$AZ$6,0))),'Oxford Economics'!$A$7:$A$1000,$C98,'Oxford Economics'!$B$7:$B$1000,Settings!$B$16)+IF(Settings!$B$18="",0,SUMIFS(INDEX('Oxford Economics'!$A$7:$AZ$1000,0,IFERROR(MATCH(AH$5,'Oxford Economics'!$A$6:$AZ$6,0),MATCH(AH$5&amp;"",'Oxford Economics'!$A$6:$AZ$6,0))),'Oxford Economics'!$A$7:$A$1000,$C98,'Oxford Economics'!$B$7:$B$1000,Settings!$B$18)))),""))</f>
        <v>12857.88</v>
      </c>
      <c r="AI98" s="38" t="n">
        <f aca="false">IF($A98="","",IFERROR(1/(1/IF($B98="Residential",SUMIFS(INDEX('Oxford Economics'!$A$7:$AZ$1000,0,IFERROR(MATCH(AI$5,'Oxford Economics'!$A$6:$AZ$6,0),MATCH(AI$5&amp;"",'Oxford Economics'!$A$6:$AZ$6,0))),'Oxford Economics'!$A$7:$A$1000,$C98,'Oxford Economics'!$B$7:$B$1000,Settings!$B$12)-SUMIFS(INDEX('Oxford Economics'!$A$7:$AZ$1000,0,IFERROR(MATCH(AI$5,'Oxford Economics'!$A$6:$AZ$6,0),MATCH(AI$5&amp;"",'Oxford Economics'!$A$6:$AZ$6,0))),'Oxford Economics'!$A$7:$A$1000,$C98,'Oxford Economics'!$B$7:$B$1000,Settings!$B$14),SUMIFS(INDEX('Oxford Economics'!$A$7:$AZ$1000,0,IFERROR(MATCH(AI$5,'Oxford Economics'!$A$6:$AZ$6,0),MATCH(AI$5&amp;"",'Oxford Economics'!$A$6:$AZ$6,0))),'Oxford Economics'!$A$7:$A$1000,$C98,'Oxford Economics'!$B$7:$B$1000,Settings!$B$14)+SUMIFS(INDEX('Oxford Economics'!$A$7:$AZ$1000,0,IFERROR(MATCH(AI$5,'Oxford Economics'!$A$6:$AZ$6,0),MATCH(AI$5&amp;"",'Oxford Economics'!$A$6:$AZ$6,0))),'Oxford Economics'!$A$7:$A$1000,$C98,'Oxford Economics'!$B$7:$B$1000,Settings!$B$16)+IF(Settings!$B$18="",0,SUMIFS(INDEX('Oxford Economics'!$A$7:$AZ$1000,0,IFERROR(MATCH(AI$5,'Oxford Economics'!$A$6:$AZ$6,0),MATCH(AI$5&amp;"",'Oxford Economics'!$A$6:$AZ$6,0))),'Oxford Economics'!$A$7:$A$1000,$C98,'Oxford Economics'!$B$7:$B$1000,Settings!$B$18)))),""))</f>
        <v>13620.19</v>
      </c>
      <c r="AJ98" s="38" t="n">
        <f aca="false">IF($A98="","",IFERROR(1/(1/IF($B98="Residential",SUMIFS(INDEX('Oxford Economics'!$A$7:$AZ$1000,0,IFERROR(MATCH(AJ$5,'Oxford Economics'!$A$6:$AZ$6,0),MATCH(AJ$5&amp;"",'Oxford Economics'!$A$6:$AZ$6,0))),'Oxford Economics'!$A$7:$A$1000,$C98,'Oxford Economics'!$B$7:$B$1000,Settings!$B$12)-SUMIFS(INDEX('Oxford Economics'!$A$7:$AZ$1000,0,IFERROR(MATCH(AJ$5,'Oxford Economics'!$A$6:$AZ$6,0),MATCH(AJ$5&amp;"",'Oxford Economics'!$A$6:$AZ$6,0))),'Oxford Economics'!$A$7:$A$1000,$C98,'Oxford Economics'!$B$7:$B$1000,Settings!$B$14),SUMIFS(INDEX('Oxford Economics'!$A$7:$AZ$1000,0,IFERROR(MATCH(AJ$5,'Oxford Economics'!$A$6:$AZ$6,0),MATCH(AJ$5&amp;"",'Oxford Economics'!$A$6:$AZ$6,0))),'Oxford Economics'!$A$7:$A$1000,$C98,'Oxford Economics'!$B$7:$B$1000,Settings!$B$14)+SUMIFS(INDEX('Oxford Economics'!$A$7:$AZ$1000,0,IFERROR(MATCH(AJ$5,'Oxford Economics'!$A$6:$AZ$6,0),MATCH(AJ$5&amp;"",'Oxford Economics'!$A$6:$AZ$6,0))),'Oxford Economics'!$A$7:$A$1000,$C98,'Oxford Economics'!$B$7:$B$1000,Settings!$B$16)+IF(Settings!$B$18="",0,SUMIFS(INDEX('Oxford Economics'!$A$7:$AZ$1000,0,IFERROR(MATCH(AJ$5,'Oxford Economics'!$A$6:$AZ$6,0),MATCH(AJ$5&amp;"",'Oxford Economics'!$A$6:$AZ$6,0))),'Oxford Economics'!$A$7:$A$1000,$C98,'Oxford Economics'!$B$7:$B$1000,Settings!$B$18)))),""))</f>
        <v>13849.72</v>
      </c>
      <c r="AK98" s="38" t="n">
        <f aca="false">IF($A98="","",IFERROR(1/(1/IF($B98="Residential",SUMIFS(INDEX('Oxford Economics'!$A$7:$AZ$1000,0,IFERROR(MATCH(AK$5,'Oxford Economics'!$A$6:$AZ$6,0),MATCH(AK$5&amp;"",'Oxford Economics'!$A$6:$AZ$6,0))),'Oxford Economics'!$A$7:$A$1000,$C98,'Oxford Economics'!$B$7:$B$1000,Settings!$B$12)-SUMIFS(INDEX('Oxford Economics'!$A$7:$AZ$1000,0,IFERROR(MATCH(AK$5,'Oxford Economics'!$A$6:$AZ$6,0),MATCH(AK$5&amp;"",'Oxford Economics'!$A$6:$AZ$6,0))),'Oxford Economics'!$A$7:$A$1000,$C98,'Oxford Economics'!$B$7:$B$1000,Settings!$B$14),SUMIFS(INDEX('Oxford Economics'!$A$7:$AZ$1000,0,IFERROR(MATCH(AK$5,'Oxford Economics'!$A$6:$AZ$6,0),MATCH(AK$5&amp;"",'Oxford Economics'!$A$6:$AZ$6,0))),'Oxford Economics'!$A$7:$A$1000,$C98,'Oxford Economics'!$B$7:$B$1000,Settings!$B$14)+SUMIFS(INDEX('Oxford Economics'!$A$7:$AZ$1000,0,IFERROR(MATCH(AK$5,'Oxford Economics'!$A$6:$AZ$6,0),MATCH(AK$5&amp;"",'Oxford Economics'!$A$6:$AZ$6,0))),'Oxford Economics'!$A$7:$A$1000,$C98,'Oxford Economics'!$B$7:$B$1000,Settings!$B$16)+IF(Settings!$B$18="",0,SUMIFS(INDEX('Oxford Economics'!$A$7:$AZ$1000,0,IFERROR(MATCH(AK$5,'Oxford Economics'!$A$6:$AZ$6,0),MATCH(AK$5&amp;"",'Oxford Economics'!$A$6:$AZ$6,0))),'Oxford Economics'!$A$7:$A$1000,$C98,'Oxford Economics'!$B$7:$B$1000,Settings!$B$18)))),""))</f>
        <v>13932.25</v>
      </c>
      <c r="AL98" s="38" t="n">
        <f aca="false">IF($A98="","",IFERROR(1/(1/IF($B98="Residential",SUMIFS(INDEX('Oxford Economics'!$A$7:$AZ$1000,0,IFERROR(MATCH(AL$5,'Oxford Economics'!$A$6:$AZ$6,0),MATCH(AL$5&amp;"",'Oxford Economics'!$A$6:$AZ$6,0))),'Oxford Economics'!$A$7:$A$1000,$C98,'Oxford Economics'!$B$7:$B$1000,Settings!$B$12)-SUMIFS(INDEX('Oxford Economics'!$A$7:$AZ$1000,0,IFERROR(MATCH(AL$5,'Oxford Economics'!$A$6:$AZ$6,0),MATCH(AL$5&amp;"",'Oxford Economics'!$A$6:$AZ$6,0))),'Oxford Economics'!$A$7:$A$1000,$C98,'Oxford Economics'!$B$7:$B$1000,Settings!$B$14),SUMIFS(INDEX('Oxford Economics'!$A$7:$AZ$1000,0,IFERROR(MATCH(AL$5,'Oxford Economics'!$A$6:$AZ$6,0),MATCH(AL$5&amp;"",'Oxford Economics'!$A$6:$AZ$6,0))),'Oxford Economics'!$A$7:$A$1000,$C98,'Oxford Economics'!$B$7:$B$1000,Settings!$B$14)+SUMIFS(INDEX('Oxford Economics'!$A$7:$AZ$1000,0,IFERROR(MATCH(AL$5,'Oxford Economics'!$A$6:$AZ$6,0),MATCH(AL$5&amp;"",'Oxford Economics'!$A$6:$AZ$6,0))),'Oxford Economics'!$A$7:$A$1000,$C98,'Oxford Economics'!$B$7:$B$1000,Settings!$B$16)+IF(Settings!$B$18="",0,SUMIFS(INDEX('Oxford Economics'!$A$7:$AZ$1000,0,IFERROR(MATCH(AL$5,'Oxford Economics'!$A$6:$AZ$6,0),MATCH(AL$5&amp;"",'Oxford Economics'!$A$6:$AZ$6,0))),'Oxford Economics'!$A$7:$A$1000,$C98,'Oxford Economics'!$B$7:$B$1000,Settings!$B$18)))),""))</f>
        <v>14001.27</v>
      </c>
      <c r="AM98" s="38" t="n">
        <f aca="false">IF($A98="","",IFERROR(1/(1/IF($B98="Residential",SUMIFS(INDEX('Oxford Economics'!$A$7:$AZ$1000,0,IFERROR(MATCH(AM$5,'Oxford Economics'!$A$6:$AZ$6,0),MATCH(AM$5&amp;"",'Oxford Economics'!$A$6:$AZ$6,0))),'Oxford Economics'!$A$7:$A$1000,$C98,'Oxford Economics'!$B$7:$B$1000,Settings!$B$12)-SUMIFS(INDEX('Oxford Economics'!$A$7:$AZ$1000,0,IFERROR(MATCH(AM$5,'Oxford Economics'!$A$6:$AZ$6,0),MATCH(AM$5&amp;"",'Oxford Economics'!$A$6:$AZ$6,0))),'Oxford Economics'!$A$7:$A$1000,$C98,'Oxford Economics'!$B$7:$B$1000,Settings!$B$14),SUMIFS(INDEX('Oxford Economics'!$A$7:$AZ$1000,0,IFERROR(MATCH(AM$5,'Oxford Economics'!$A$6:$AZ$6,0),MATCH(AM$5&amp;"",'Oxford Economics'!$A$6:$AZ$6,0))),'Oxford Economics'!$A$7:$A$1000,$C98,'Oxford Economics'!$B$7:$B$1000,Settings!$B$14)+SUMIFS(INDEX('Oxford Economics'!$A$7:$AZ$1000,0,IFERROR(MATCH(AM$5,'Oxford Economics'!$A$6:$AZ$6,0),MATCH(AM$5&amp;"",'Oxford Economics'!$A$6:$AZ$6,0))),'Oxford Economics'!$A$7:$A$1000,$C98,'Oxford Economics'!$B$7:$B$1000,Settings!$B$16)+IF(Settings!$B$18="",0,SUMIFS(INDEX('Oxford Economics'!$A$7:$AZ$1000,0,IFERROR(MATCH(AM$5,'Oxford Economics'!$A$6:$AZ$6,0),MATCH(AM$5&amp;"",'Oxford Economics'!$A$6:$AZ$6,0))),'Oxford Economics'!$A$7:$A$1000,$C98,'Oxford Economics'!$B$7:$B$1000,Settings!$B$18)))),""))</f>
        <v>14179.31</v>
      </c>
    </row>
    <row r="99" customFormat="false" ht="15" hidden="false" customHeight="false" outlineLevel="0" collapsed="false">
      <c r="A99" s="37" t="str">
        <f aca="false">IF('Raw data'!$A99="","",'Raw data'!$A99)</f>
        <v>Spain</v>
      </c>
      <c r="B99" s="37" t="str">
        <f aca="false">IF($A99="","",'Raw data'!$C99)</f>
        <v>Commercial</v>
      </c>
      <c r="C99" s="37" t="str">
        <f aca="false">IF($A99="","",IF('Raw data'!$E99="",$A99,'Raw data'!$E99))</f>
        <v>Spain</v>
      </c>
      <c r="D99" s="38" t="n">
        <f aca="false">IF($A99="","",IF(AND(ISNUMBER(P99),ISNUMBER(AB99)),P99+AB99,""))</f>
        <v>67956.51</v>
      </c>
      <c r="E99" s="38" t="n">
        <f aca="false">IF($A99="","",IF(AND(ISNUMBER(Q99),ISNUMBER(AC99)),Q99+AC99,""))</f>
        <v>65800.75</v>
      </c>
      <c r="F99" s="38" t="n">
        <f aca="false">IF($A99="","",IF(AND(ISNUMBER(R99),ISNUMBER(AD99)),R99+AD99,""))</f>
        <v>73496.76</v>
      </c>
      <c r="G99" s="38" t="n">
        <f aca="false">IF($A99="","",IF(AND(ISNUMBER(S99),ISNUMBER(AE99)),S99+AE99,""))</f>
        <v>76655.44</v>
      </c>
      <c r="H99" s="38" t="n">
        <f aca="false">IF($A99="","",IF(AND(ISNUMBER(T99),ISNUMBER(AF99)),T99+AF99,""))</f>
        <v>78112.83</v>
      </c>
      <c r="I99" s="38" t="n">
        <f aca="false">IF($A99="","",IF(AND(ISNUMBER(U99),ISNUMBER(AG99)),U99+AG99,""))</f>
        <v>85393.01</v>
      </c>
      <c r="J99" s="38" t="n">
        <f aca="false">IF($A99="","",IF(AND(ISNUMBER(V99),ISNUMBER(AH99)),V99+AH99,""))</f>
        <v>91094.94</v>
      </c>
      <c r="K99" s="38" t="n">
        <f aca="false">IF($A99="","",IF(AND(ISNUMBER(W99),ISNUMBER(AI99)),W99+AI99,""))</f>
        <v>95168.43</v>
      </c>
      <c r="L99" s="38" t="n">
        <f aca="false">IF($A99="","",IF(AND(ISNUMBER(X99),ISNUMBER(AJ99)),X99+AJ99,""))</f>
        <v>99206.61</v>
      </c>
      <c r="M99" s="38" t="n">
        <f aca="false">IF($A99="","",IF(AND(ISNUMBER(Y99),ISNUMBER(AK99)),Y99+AK99,""))</f>
        <v>103209.64</v>
      </c>
      <c r="N99" s="38" t="n">
        <f aca="false">IF($A99="","",IF(AND(ISNUMBER(Z99),ISNUMBER(AL99)),Z99+AL99,""))</f>
        <v>106794.56</v>
      </c>
      <c r="O99" s="38" t="n">
        <f aca="false">IF($A99="","",IF(AND(ISNUMBER(AA99),ISNUMBER(AM99)),AA99+AM99,""))</f>
        <v>109007.68</v>
      </c>
      <c r="P99" s="38" t="n">
        <f aca="false">IF($A99="","",IFERROR(1/(1/IF($B99="Residential",SUMIFS(INDEX('Oxford Economics'!$A$7:$AZ$1000,0,IFERROR(MATCH(P$5,'Oxford Economics'!$A$6:$AZ$6,0),MATCH(P$5&amp;"",'Oxford Economics'!$A$6:$AZ$6,0))),'Oxford Economics'!$A$7:$A$1000,$C99,'Oxford Economics'!$B$7:$B$1000,Settings!$B$13)-SUMIFS(INDEX('Oxford Economics'!$A$7:$AZ$1000,0,IFERROR(MATCH(P$5,'Oxford Economics'!$A$6:$AZ$6,0),MATCH(P$5&amp;"",'Oxford Economics'!$A$6:$AZ$6,0))),'Oxford Economics'!$A$7:$A$1000,$C99,'Oxford Economics'!$B$7:$B$1000,Settings!$B$15),SUMIFS(INDEX('Oxford Economics'!$A$7:$AZ$1000,0,IFERROR(MATCH(P$5,'Oxford Economics'!$A$6:$AZ$6,0),MATCH(P$5&amp;"",'Oxford Economics'!$A$6:$AZ$6,0))),'Oxford Economics'!$A$7:$A$1000,$C99,'Oxford Economics'!$B$7:$B$1000,Settings!$B$15)+SUMIFS(INDEX('Oxford Economics'!$A$7:$AZ$1000,0,IFERROR(MATCH(P$5,'Oxford Economics'!$A$6:$AZ$6,0),MATCH(P$5&amp;"",'Oxford Economics'!$A$6:$AZ$6,0))),'Oxford Economics'!$A$7:$A$1000,$C99,'Oxford Economics'!$B$7:$B$1000,Settings!$B$17)+IF(Settings!$B$19="",0,SUMIFS(INDEX('Oxford Economics'!$A$7:$AZ$1000,0,IFERROR(MATCH(P$5,'Oxford Economics'!$A$6:$AZ$6,0),MATCH(P$5&amp;"",'Oxford Economics'!$A$6:$AZ$6,0))),'Oxford Economics'!$A$7:$A$1000,$C99,'Oxford Economics'!$B$7:$B$1000,Settings!$B$19)))),""))</f>
        <v>23915.74</v>
      </c>
      <c r="Q99" s="38" t="n">
        <f aca="false">IF($A99="","",IFERROR(1/(1/IF($B99="Residential",SUMIFS(INDEX('Oxford Economics'!$A$7:$AZ$1000,0,IFERROR(MATCH(Q$5,'Oxford Economics'!$A$6:$AZ$6,0),MATCH(Q$5&amp;"",'Oxford Economics'!$A$6:$AZ$6,0))),'Oxford Economics'!$A$7:$A$1000,$C99,'Oxford Economics'!$B$7:$B$1000,Settings!$B$13)-SUMIFS(INDEX('Oxford Economics'!$A$7:$AZ$1000,0,IFERROR(MATCH(Q$5,'Oxford Economics'!$A$6:$AZ$6,0),MATCH(Q$5&amp;"",'Oxford Economics'!$A$6:$AZ$6,0))),'Oxford Economics'!$A$7:$A$1000,$C99,'Oxford Economics'!$B$7:$B$1000,Settings!$B$15),SUMIFS(INDEX('Oxford Economics'!$A$7:$AZ$1000,0,IFERROR(MATCH(Q$5,'Oxford Economics'!$A$6:$AZ$6,0),MATCH(Q$5&amp;"",'Oxford Economics'!$A$6:$AZ$6,0))),'Oxford Economics'!$A$7:$A$1000,$C99,'Oxford Economics'!$B$7:$B$1000,Settings!$B$15)+SUMIFS(INDEX('Oxford Economics'!$A$7:$AZ$1000,0,IFERROR(MATCH(Q$5,'Oxford Economics'!$A$6:$AZ$6,0),MATCH(Q$5&amp;"",'Oxford Economics'!$A$6:$AZ$6,0))),'Oxford Economics'!$A$7:$A$1000,$C99,'Oxford Economics'!$B$7:$B$1000,Settings!$B$17)+IF(Settings!$B$19="",0,SUMIFS(INDEX('Oxford Economics'!$A$7:$AZ$1000,0,IFERROR(MATCH(Q$5,'Oxford Economics'!$A$6:$AZ$6,0),MATCH(Q$5&amp;"",'Oxford Economics'!$A$6:$AZ$6,0))),'Oxford Economics'!$A$7:$A$1000,$C99,'Oxford Economics'!$B$7:$B$1000,Settings!$B$19)))),""))</f>
        <v>23729.23</v>
      </c>
      <c r="R99" s="38" t="n">
        <f aca="false">IF($A99="","",IFERROR(1/(1/IF($B99="Residential",SUMIFS(INDEX('Oxford Economics'!$A$7:$AZ$1000,0,IFERROR(MATCH(R$5,'Oxford Economics'!$A$6:$AZ$6,0),MATCH(R$5&amp;"",'Oxford Economics'!$A$6:$AZ$6,0))),'Oxford Economics'!$A$7:$A$1000,$C99,'Oxford Economics'!$B$7:$B$1000,Settings!$B$13)-SUMIFS(INDEX('Oxford Economics'!$A$7:$AZ$1000,0,IFERROR(MATCH(R$5,'Oxford Economics'!$A$6:$AZ$6,0),MATCH(R$5&amp;"",'Oxford Economics'!$A$6:$AZ$6,0))),'Oxford Economics'!$A$7:$A$1000,$C99,'Oxford Economics'!$B$7:$B$1000,Settings!$B$15),SUMIFS(INDEX('Oxford Economics'!$A$7:$AZ$1000,0,IFERROR(MATCH(R$5,'Oxford Economics'!$A$6:$AZ$6,0),MATCH(R$5&amp;"",'Oxford Economics'!$A$6:$AZ$6,0))),'Oxford Economics'!$A$7:$A$1000,$C99,'Oxford Economics'!$B$7:$B$1000,Settings!$B$15)+SUMIFS(INDEX('Oxford Economics'!$A$7:$AZ$1000,0,IFERROR(MATCH(R$5,'Oxford Economics'!$A$6:$AZ$6,0),MATCH(R$5&amp;"",'Oxford Economics'!$A$6:$AZ$6,0))),'Oxford Economics'!$A$7:$A$1000,$C99,'Oxford Economics'!$B$7:$B$1000,Settings!$B$17)+IF(Settings!$B$19="",0,SUMIFS(INDEX('Oxford Economics'!$A$7:$AZ$1000,0,IFERROR(MATCH(R$5,'Oxford Economics'!$A$6:$AZ$6,0),MATCH(R$5&amp;"",'Oxford Economics'!$A$6:$AZ$6,0))),'Oxford Economics'!$A$7:$A$1000,$C99,'Oxford Economics'!$B$7:$B$1000,Settings!$B$19)))),""))</f>
        <v>26423.86</v>
      </c>
      <c r="S99" s="38" t="n">
        <f aca="false">IF($A99="","",IFERROR(1/(1/IF($B99="Residential",SUMIFS(INDEX('Oxford Economics'!$A$7:$AZ$1000,0,IFERROR(MATCH(S$5,'Oxford Economics'!$A$6:$AZ$6,0),MATCH(S$5&amp;"",'Oxford Economics'!$A$6:$AZ$6,0))),'Oxford Economics'!$A$7:$A$1000,$C99,'Oxford Economics'!$B$7:$B$1000,Settings!$B$13)-SUMIFS(INDEX('Oxford Economics'!$A$7:$AZ$1000,0,IFERROR(MATCH(S$5,'Oxford Economics'!$A$6:$AZ$6,0),MATCH(S$5&amp;"",'Oxford Economics'!$A$6:$AZ$6,0))),'Oxford Economics'!$A$7:$A$1000,$C99,'Oxford Economics'!$B$7:$B$1000,Settings!$B$15),SUMIFS(INDEX('Oxford Economics'!$A$7:$AZ$1000,0,IFERROR(MATCH(S$5,'Oxford Economics'!$A$6:$AZ$6,0),MATCH(S$5&amp;"",'Oxford Economics'!$A$6:$AZ$6,0))),'Oxford Economics'!$A$7:$A$1000,$C99,'Oxford Economics'!$B$7:$B$1000,Settings!$B$15)+SUMIFS(INDEX('Oxford Economics'!$A$7:$AZ$1000,0,IFERROR(MATCH(S$5,'Oxford Economics'!$A$6:$AZ$6,0),MATCH(S$5&amp;"",'Oxford Economics'!$A$6:$AZ$6,0))),'Oxford Economics'!$A$7:$A$1000,$C99,'Oxford Economics'!$B$7:$B$1000,Settings!$B$17)+IF(Settings!$B$19="",0,SUMIFS(INDEX('Oxford Economics'!$A$7:$AZ$1000,0,IFERROR(MATCH(S$5,'Oxford Economics'!$A$6:$AZ$6,0),MATCH(S$5&amp;"",'Oxford Economics'!$A$6:$AZ$6,0))),'Oxford Economics'!$A$7:$A$1000,$C99,'Oxford Economics'!$B$7:$B$1000,Settings!$B$19)))),""))</f>
        <v>27513.56</v>
      </c>
      <c r="T99" s="38" t="n">
        <f aca="false">IF($A99="","",IFERROR(1/(1/IF($B99="Residential",SUMIFS(INDEX('Oxford Economics'!$A$7:$AZ$1000,0,IFERROR(MATCH(T$5,'Oxford Economics'!$A$6:$AZ$6,0),MATCH(T$5&amp;"",'Oxford Economics'!$A$6:$AZ$6,0))),'Oxford Economics'!$A$7:$A$1000,$C99,'Oxford Economics'!$B$7:$B$1000,Settings!$B$13)-SUMIFS(INDEX('Oxford Economics'!$A$7:$AZ$1000,0,IFERROR(MATCH(T$5,'Oxford Economics'!$A$6:$AZ$6,0),MATCH(T$5&amp;"",'Oxford Economics'!$A$6:$AZ$6,0))),'Oxford Economics'!$A$7:$A$1000,$C99,'Oxford Economics'!$B$7:$B$1000,Settings!$B$15),SUMIFS(INDEX('Oxford Economics'!$A$7:$AZ$1000,0,IFERROR(MATCH(T$5,'Oxford Economics'!$A$6:$AZ$6,0),MATCH(T$5&amp;"",'Oxford Economics'!$A$6:$AZ$6,0))),'Oxford Economics'!$A$7:$A$1000,$C99,'Oxford Economics'!$B$7:$B$1000,Settings!$B$15)+SUMIFS(INDEX('Oxford Economics'!$A$7:$AZ$1000,0,IFERROR(MATCH(T$5,'Oxford Economics'!$A$6:$AZ$6,0),MATCH(T$5&amp;"",'Oxford Economics'!$A$6:$AZ$6,0))),'Oxford Economics'!$A$7:$A$1000,$C99,'Oxford Economics'!$B$7:$B$1000,Settings!$B$17)+IF(Settings!$B$19="",0,SUMIFS(INDEX('Oxford Economics'!$A$7:$AZ$1000,0,IFERROR(MATCH(T$5,'Oxford Economics'!$A$6:$AZ$6,0),MATCH(T$5&amp;"",'Oxford Economics'!$A$6:$AZ$6,0))),'Oxford Economics'!$A$7:$A$1000,$C99,'Oxford Economics'!$B$7:$B$1000,Settings!$B$19)))),""))</f>
        <v>27909.21</v>
      </c>
      <c r="U99" s="38" t="n">
        <f aca="false">IF($A99="","",IFERROR(1/(1/IF($B99="Residential",SUMIFS(INDEX('Oxford Economics'!$A$7:$AZ$1000,0,IFERROR(MATCH(U$5,'Oxford Economics'!$A$6:$AZ$6,0),MATCH(U$5&amp;"",'Oxford Economics'!$A$6:$AZ$6,0))),'Oxford Economics'!$A$7:$A$1000,$C99,'Oxford Economics'!$B$7:$B$1000,Settings!$B$13)-SUMIFS(INDEX('Oxford Economics'!$A$7:$AZ$1000,0,IFERROR(MATCH(U$5,'Oxford Economics'!$A$6:$AZ$6,0),MATCH(U$5&amp;"",'Oxford Economics'!$A$6:$AZ$6,0))),'Oxford Economics'!$A$7:$A$1000,$C99,'Oxford Economics'!$B$7:$B$1000,Settings!$B$15),SUMIFS(INDEX('Oxford Economics'!$A$7:$AZ$1000,0,IFERROR(MATCH(U$5,'Oxford Economics'!$A$6:$AZ$6,0),MATCH(U$5&amp;"",'Oxford Economics'!$A$6:$AZ$6,0))),'Oxford Economics'!$A$7:$A$1000,$C99,'Oxford Economics'!$B$7:$B$1000,Settings!$B$15)+SUMIFS(INDEX('Oxford Economics'!$A$7:$AZ$1000,0,IFERROR(MATCH(U$5,'Oxford Economics'!$A$6:$AZ$6,0),MATCH(U$5&amp;"",'Oxford Economics'!$A$6:$AZ$6,0))),'Oxford Economics'!$A$7:$A$1000,$C99,'Oxford Economics'!$B$7:$B$1000,Settings!$B$17)+IF(Settings!$B$19="",0,SUMIFS(INDEX('Oxford Economics'!$A$7:$AZ$1000,0,IFERROR(MATCH(U$5,'Oxford Economics'!$A$6:$AZ$6,0),MATCH(U$5&amp;"",'Oxford Economics'!$A$6:$AZ$6,0))),'Oxford Economics'!$A$7:$A$1000,$C99,'Oxford Economics'!$B$7:$B$1000,Settings!$B$19)))),""))</f>
        <v>30613.39</v>
      </c>
      <c r="V99" s="38" t="n">
        <f aca="false">IF($A99="","",IFERROR(1/(1/IF($B99="Residential",SUMIFS(INDEX('Oxford Economics'!$A$7:$AZ$1000,0,IFERROR(MATCH(V$5,'Oxford Economics'!$A$6:$AZ$6,0),MATCH(V$5&amp;"",'Oxford Economics'!$A$6:$AZ$6,0))),'Oxford Economics'!$A$7:$A$1000,$C99,'Oxford Economics'!$B$7:$B$1000,Settings!$B$13)-SUMIFS(INDEX('Oxford Economics'!$A$7:$AZ$1000,0,IFERROR(MATCH(V$5,'Oxford Economics'!$A$6:$AZ$6,0),MATCH(V$5&amp;"",'Oxford Economics'!$A$6:$AZ$6,0))),'Oxford Economics'!$A$7:$A$1000,$C99,'Oxford Economics'!$B$7:$B$1000,Settings!$B$15),SUMIFS(INDEX('Oxford Economics'!$A$7:$AZ$1000,0,IFERROR(MATCH(V$5,'Oxford Economics'!$A$6:$AZ$6,0),MATCH(V$5&amp;"",'Oxford Economics'!$A$6:$AZ$6,0))),'Oxford Economics'!$A$7:$A$1000,$C99,'Oxford Economics'!$B$7:$B$1000,Settings!$B$15)+SUMIFS(INDEX('Oxford Economics'!$A$7:$AZ$1000,0,IFERROR(MATCH(V$5,'Oxford Economics'!$A$6:$AZ$6,0),MATCH(V$5&amp;"",'Oxford Economics'!$A$6:$AZ$6,0))),'Oxford Economics'!$A$7:$A$1000,$C99,'Oxford Economics'!$B$7:$B$1000,Settings!$B$17)+IF(Settings!$B$19="",0,SUMIFS(INDEX('Oxford Economics'!$A$7:$AZ$1000,0,IFERROR(MATCH(V$5,'Oxford Economics'!$A$6:$AZ$6,0),MATCH(V$5&amp;"",'Oxford Economics'!$A$6:$AZ$6,0))),'Oxford Economics'!$A$7:$A$1000,$C99,'Oxford Economics'!$B$7:$B$1000,Settings!$B$19)))),""))</f>
        <v>30574.66</v>
      </c>
      <c r="W99" s="38" t="n">
        <f aca="false">IF($A99="","",IFERROR(1/(1/IF($B99="Residential",SUMIFS(INDEX('Oxford Economics'!$A$7:$AZ$1000,0,IFERROR(MATCH(W$5,'Oxford Economics'!$A$6:$AZ$6,0),MATCH(W$5&amp;"",'Oxford Economics'!$A$6:$AZ$6,0))),'Oxford Economics'!$A$7:$A$1000,$C99,'Oxford Economics'!$B$7:$B$1000,Settings!$B$13)-SUMIFS(INDEX('Oxford Economics'!$A$7:$AZ$1000,0,IFERROR(MATCH(W$5,'Oxford Economics'!$A$6:$AZ$6,0),MATCH(W$5&amp;"",'Oxford Economics'!$A$6:$AZ$6,0))),'Oxford Economics'!$A$7:$A$1000,$C99,'Oxford Economics'!$B$7:$B$1000,Settings!$B$15),SUMIFS(INDEX('Oxford Economics'!$A$7:$AZ$1000,0,IFERROR(MATCH(W$5,'Oxford Economics'!$A$6:$AZ$6,0),MATCH(W$5&amp;"",'Oxford Economics'!$A$6:$AZ$6,0))),'Oxford Economics'!$A$7:$A$1000,$C99,'Oxford Economics'!$B$7:$B$1000,Settings!$B$15)+SUMIFS(INDEX('Oxford Economics'!$A$7:$AZ$1000,0,IFERROR(MATCH(W$5,'Oxford Economics'!$A$6:$AZ$6,0),MATCH(W$5&amp;"",'Oxford Economics'!$A$6:$AZ$6,0))),'Oxford Economics'!$A$7:$A$1000,$C99,'Oxford Economics'!$B$7:$B$1000,Settings!$B$17)+IF(Settings!$B$19="",0,SUMIFS(INDEX('Oxford Economics'!$A$7:$AZ$1000,0,IFERROR(MATCH(W$5,'Oxford Economics'!$A$6:$AZ$6,0),MATCH(W$5&amp;"",'Oxford Economics'!$A$6:$AZ$6,0))),'Oxford Economics'!$A$7:$A$1000,$C99,'Oxford Economics'!$B$7:$B$1000,Settings!$B$19)))),""))</f>
        <v>30659.59</v>
      </c>
      <c r="X99" s="38" t="n">
        <f aca="false">IF($A99="","",IFERROR(1/(1/IF($B99="Residential",SUMIFS(INDEX('Oxford Economics'!$A$7:$AZ$1000,0,IFERROR(MATCH(X$5,'Oxford Economics'!$A$6:$AZ$6,0),MATCH(X$5&amp;"",'Oxford Economics'!$A$6:$AZ$6,0))),'Oxford Economics'!$A$7:$A$1000,$C99,'Oxford Economics'!$B$7:$B$1000,Settings!$B$13)-SUMIFS(INDEX('Oxford Economics'!$A$7:$AZ$1000,0,IFERROR(MATCH(X$5,'Oxford Economics'!$A$6:$AZ$6,0),MATCH(X$5&amp;"",'Oxford Economics'!$A$6:$AZ$6,0))),'Oxford Economics'!$A$7:$A$1000,$C99,'Oxford Economics'!$B$7:$B$1000,Settings!$B$15),SUMIFS(INDEX('Oxford Economics'!$A$7:$AZ$1000,0,IFERROR(MATCH(X$5,'Oxford Economics'!$A$6:$AZ$6,0),MATCH(X$5&amp;"",'Oxford Economics'!$A$6:$AZ$6,0))),'Oxford Economics'!$A$7:$A$1000,$C99,'Oxford Economics'!$B$7:$B$1000,Settings!$B$15)+SUMIFS(INDEX('Oxford Economics'!$A$7:$AZ$1000,0,IFERROR(MATCH(X$5,'Oxford Economics'!$A$6:$AZ$6,0),MATCH(X$5&amp;"",'Oxford Economics'!$A$6:$AZ$6,0))),'Oxford Economics'!$A$7:$A$1000,$C99,'Oxford Economics'!$B$7:$B$1000,Settings!$B$17)+IF(Settings!$B$19="",0,SUMIFS(INDEX('Oxford Economics'!$A$7:$AZ$1000,0,IFERROR(MATCH(X$5,'Oxford Economics'!$A$6:$AZ$6,0),MATCH(X$5&amp;"",'Oxford Economics'!$A$6:$AZ$6,0))),'Oxford Economics'!$A$7:$A$1000,$C99,'Oxford Economics'!$B$7:$B$1000,Settings!$B$19)))),""))</f>
        <v>31976.78</v>
      </c>
      <c r="Y99" s="38" t="n">
        <f aca="false">IF($A99="","",IFERROR(1/(1/IF($B99="Residential",SUMIFS(INDEX('Oxford Economics'!$A$7:$AZ$1000,0,IFERROR(MATCH(Y$5,'Oxford Economics'!$A$6:$AZ$6,0),MATCH(Y$5&amp;"",'Oxford Economics'!$A$6:$AZ$6,0))),'Oxford Economics'!$A$7:$A$1000,$C99,'Oxford Economics'!$B$7:$B$1000,Settings!$B$13)-SUMIFS(INDEX('Oxford Economics'!$A$7:$AZ$1000,0,IFERROR(MATCH(Y$5,'Oxford Economics'!$A$6:$AZ$6,0),MATCH(Y$5&amp;"",'Oxford Economics'!$A$6:$AZ$6,0))),'Oxford Economics'!$A$7:$A$1000,$C99,'Oxford Economics'!$B$7:$B$1000,Settings!$B$15),SUMIFS(INDEX('Oxford Economics'!$A$7:$AZ$1000,0,IFERROR(MATCH(Y$5,'Oxford Economics'!$A$6:$AZ$6,0),MATCH(Y$5&amp;"",'Oxford Economics'!$A$6:$AZ$6,0))),'Oxford Economics'!$A$7:$A$1000,$C99,'Oxford Economics'!$B$7:$B$1000,Settings!$B$15)+SUMIFS(INDEX('Oxford Economics'!$A$7:$AZ$1000,0,IFERROR(MATCH(Y$5,'Oxford Economics'!$A$6:$AZ$6,0),MATCH(Y$5&amp;"",'Oxford Economics'!$A$6:$AZ$6,0))),'Oxford Economics'!$A$7:$A$1000,$C99,'Oxford Economics'!$B$7:$B$1000,Settings!$B$17)+IF(Settings!$B$19="",0,SUMIFS(INDEX('Oxford Economics'!$A$7:$AZ$1000,0,IFERROR(MATCH(Y$5,'Oxford Economics'!$A$6:$AZ$6,0),MATCH(Y$5&amp;"",'Oxford Economics'!$A$6:$AZ$6,0))),'Oxford Economics'!$A$7:$A$1000,$C99,'Oxford Economics'!$B$7:$B$1000,Settings!$B$19)))),""))</f>
        <v>34053.34</v>
      </c>
      <c r="Z99" s="38" t="n">
        <f aca="false">IF($A99="","",IFERROR(1/(1/IF($B99="Residential",SUMIFS(INDEX('Oxford Economics'!$A$7:$AZ$1000,0,IFERROR(MATCH(Z$5,'Oxford Economics'!$A$6:$AZ$6,0),MATCH(Z$5&amp;"",'Oxford Economics'!$A$6:$AZ$6,0))),'Oxford Economics'!$A$7:$A$1000,$C99,'Oxford Economics'!$B$7:$B$1000,Settings!$B$13)-SUMIFS(INDEX('Oxford Economics'!$A$7:$AZ$1000,0,IFERROR(MATCH(Z$5,'Oxford Economics'!$A$6:$AZ$6,0),MATCH(Z$5&amp;"",'Oxford Economics'!$A$6:$AZ$6,0))),'Oxford Economics'!$A$7:$A$1000,$C99,'Oxford Economics'!$B$7:$B$1000,Settings!$B$15),SUMIFS(INDEX('Oxford Economics'!$A$7:$AZ$1000,0,IFERROR(MATCH(Z$5,'Oxford Economics'!$A$6:$AZ$6,0),MATCH(Z$5&amp;"",'Oxford Economics'!$A$6:$AZ$6,0))),'Oxford Economics'!$A$7:$A$1000,$C99,'Oxford Economics'!$B$7:$B$1000,Settings!$B$15)+SUMIFS(INDEX('Oxford Economics'!$A$7:$AZ$1000,0,IFERROR(MATCH(Z$5,'Oxford Economics'!$A$6:$AZ$6,0),MATCH(Z$5&amp;"",'Oxford Economics'!$A$6:$AZ$6,0))),'Oxford Economics'!$A$7:$A$1000,$C99,'Oxford Economics'!$B$7:$B$1000,Settings!$B$17)+IF(Settings!$B$19="",0,SUMIFS(INDEX('Oxford Economics'!$A$7:$AZ$1000,0,IFERROR(MATCH(Z$5,'Oxford Economics'!$A$6:$AZ$6,0),MATCH(Z$5&amp;"",'Oxford Economics'!$A$6:$AZ$6,0))),'Oxford Economics'!$A$7:$A$1000,$C99,'Oxford Economics'!$B$7:$B$1000,Settings!$B$19)))),""))</f>
        <v>36143.78</v>
      </c>
      <c r="AA99" s="38" t="n">
        <f aca="false">IF($A99="","",IFERROR(1/(1/IF($B99="Residential",SUMIFS(INDEX('Oxford Economics'!$A$7:$AZ$1000,0,IFERROR(MATCH(AA$5,'Oxford Economics'!$A$6:$AZ$6,0),MATCH(AA$5&amp;"",'Oxford Economics'!$A$6:$AZ$6,0))),'Oxford Economics'!$A$7:$A$1000,$C99,'Oxford Economics'!$B$7:$B$1000,Settings!$B$13)-SUMIFS(INDEX('Oxford Economics'!$A$7:$AZ$1000,0,IFERROR(MATCH(AA$5,'Oxford Economics'!$A$6:$AZ$6,0),MATCH(AA$5&amp;"",'Oxford Economics'!$A$6:$AZ$6,0))),'Oxford Economics'!$A$7:$A$1000,$C99,'Oxford Economics'!$B$7:$B$1000,Settings!$B$15),SUMIFS(INDEX('Oxford Economics'!$A$7:$AZ$1000,0,IFERROR(MATCH(AA$5,'Oxford Economics'!$A$6:$AZ$6,0),MATCH(AA$5&amp;"",'Oxford Economics'!$A$6:$AZ$6,0))),'Oxford Economics'!$A$7:$A$1000,$C99,'Oxford Economics'!$B$7:$B$1000,Settings!$B$15)+SUMIFS(INDEX('Oxford Economics'!$A$7:$AZ$1000,0,IFERROR(MATCH(AA$5,'Oxford Economics'!$A$6:$AZ$6,0),MATCH(AA$5&amp;"",'Oxford Economics'!$A$6:$AZ$6,0))),'Oxford Economics'!$A$7:$A$1000,$C99,'Oxford Economics'!$B$7:$B$1000,Settings!$B$17)+IF(Settings!$B$19="",0,SUMIFS(INDEX('Oxford Economics'!$A$7:$AZ$1000,0,IFERROR(MATCH(AA$5,'Oxford Economics'!$A$6:$AZ$6,0),MATCH(AA$5&amp;"",'Oxford Economics'!$A$6:$AZ$6,0))),'Oxford Economics'!$A$7:$A$1000,$C99,'Oxford Economics'!$B$7:$B$1000,Settings!$B$19)))),""))</f>
        <v>37320.87</v>
      </c>
      <c r="AB99" s="38" t="n">
        <f aca="false">IF($A99="","",IFERROR(1/(1/IF($B99="Residential",SUMIFS(INDEX('Oxford Economics'!$A$7:$AZ$1000,0,IFERROR(MATCH(AB$5,'Oxford Economics'!$A$6:$AZ$6,0),MATCH(AB$5&amp;"",'Oxford Economics'!$A$6:$AZ$6,0))),'Oxford Economics'!$A$7:$A$1000,$C99,'Oxford Economics'!$B$7:$B$1000,Settings!$B$12)-SUMIFS(INDEX('Oxford Economics'!$A$7:$AZ$1000,0,IFERROR(MATCH(AB$5,'Oxford Economics'!$A$6:$AZ$6,0),MATCH(AB$5&amp;"",'Oxford Economics'!$A$6:$AZ$6,0))),'Oxford Economics'!$A$7:$A$1000,$C99,'Oxford Economics'!$B$7:$B$1000,Settings!$B$14),SUMIFS(INDEX('Oxford Economics'!$A$7:$AZ$1000,0,IFERROR(MATCH(AB$5,'Oxford Economics'!$A$6:$AZ$6,0),MATCH(AB$5&amp;"",'Oxford Economics'!$A$6:$AZ$6,0))),'Oxford Economics'!$A$7:$A$1000,$C99,'Oxford Economics'!$B$7:$B$1000,Settings!$B$14)+SUMIFS(INDEX('Oxford Economics'!$A$7:$AZ$1000,0,IFERROR(MATCH(AB$5,'Oxford Economics'!$A$6:$AZ$6,0),MATCH(AB$5&amp;"",'Oxford Economics'!$A$6:$AZ$6,0))),'Oxford Economics'!$A$7:$A$1000,$C99,'Oxford Economics'!$B$7:$B$1000,Settings!$B$16)+IF(Settings!$B$18="",0,SUMIFS(INDEX('Oxford Economics'!$A$7:$AZ$1000,0,IFERROR(MATCH(AB$5,'Oxford Economics'!$A$6:$AZ$6,0),MATCH(AB$5&amp;"",'Oxford Economics'!$A$6:$AZ$6,0))),'Oxford Economics'!$A$7:$A$1000,$C99,'Oxford Economics'!$B$7:$B$1000,Settings!$B$18)))),""))</f>
        <v>44040.77</v>
      </c>
      <c r="AC99" s="38" t="n">
        <f aca="false">IF($A99="","",IFERROR(1/(1/IF($B99="Residential",SUMIFS(INDEX('Oxford Economics'!$A$7:$AZ$1000,0,IFERROR(MATCH(AC$5,'Oxford Economics'!$A$6:$AZ$6,0),MATCH(AC$5&amp;"",'Oxford Economics'!$A$6:$AZ$6,0))),'Oxford Economics'!$A$7:$A$1000,$C99,'Oxford Economics'!$B$7:$B$1000,Settings!$B$12)-SUMIFS(INDEX('Oxford Economics'!$A$7:$AZ$1000,0,IFERROR(MATCH(AC$5,'Oxford Economics'!$A$6:$AZ$6,0),MATCH(AC$5&amp;"",'Oxford Economics'!$A$6:$AZ$6,0))),'Oxford Economics'!$A$7:$A$1000,$C99,'Oxford Economics'!$B$7:$B$1000,Settings!$B$14),SUMIFS(INDEX('Oxford Economics'!$A$7:$AZ$1000,0,IFERROR(MATCH(AC$5,'Oxford Economics'!$A$6:$AZ$6,0),MATCH(AC$5&amp;"",'Oxford Economics'!$A$6:$AZ$6,0))),'Oxford Economics'!$A$7:$A$1000,$C99,'Oxford Economics'!$B$7:$B$1000,Settings!$B$14)+SUMIFS(INDEX('Oxford Economics'!$A$7:$AZ$1000,0,IFERROR(MATCH(AC$5,'Oxford Economics'!$A$6:$AZ$6,0),MATCH(AC$5&amp;"",'Oxford Economics'!$A$6:$AZ$6,0))),'Oxford Economics'!$A$7:$A$1000,$C99,'Oxford Economics'!$B$7:$B$1000,Settings!$B$16)+IF(Settings!$B$18="",0,SUMIFS(INDEX('Oxford Economics'!$A$7:$AZ$1000,0,IFERROR(MATCH(AC$5,'Oxford Economics'!$A$6:$AZ$6,0),MATCH(AC$5&amp;"",'Oxford Economics'!$A$6:$AZ$6,0))),'Oxford Economics'!$A$7:$A$1000,$C99,'Oxford Economics'!$B$7:$B$1000,Settings!$B$18)))),""))</f>
        <v>42071.52</v>
      </c>
      <c r="AD99" s="38" t="n">
        <f aca="false">IF($A99="","",IFERROR(1/(1/IF($B99="Residential",SUMIFS(INDEX('Oxford Economics'!$A$7:$AZ$1000,0,IFERROR(MATCH(AD$5,'Oxford Economics'!$A$6:$AZ$6,0),MATCH(AD$5&amp;"",'Oxford Economics'!$A$6:$AZ$6,0))),'Oxford Economics'!$A$7:$A$1000,$C99,'Oxford Economics'!$B$7:$B$1000,Settings!$B$12)-SUMIFS(INDEX('Oxford Economics'!$A$7:$AZ$1000,0,IFERROR(MATCH(AD$5,'Oxford Economics'!$A$6:$AZ$6,0),MATCH(AD$5&amp;"",'Oxford Economics'!$A$6:$AZ$6,0))),'Oxford Economics'!$A$7:$A$1000,$C99,'Oxford Economics'!$B$7:$B$1000,Settings!$B$14),SUMIFS(INDEX('Oxford Economics'!$A$7:$AZ$1000,0,IFERROR(MATCH(AD$5,'Oxford Economics'!$A$6:$AZ$6,0),MATCH(AD$5&amp;"",'Oxford Economics'!$A$6:$AZ$6,0))),'Oxford Economics'!$A$7:$A$1000,$C99,'Oxford Economics'!$B$7:$B$1000,Settings!$B$14)+SUMIFS(INDEX('Oxford Economics'!$A$7:$AZ$1000,0,IFERROR(MATCH(AD$5,'Oxford Economics'!$A$6:$AZ$6,0),MATCH(AD$5&amp;"",'Oxford Economics'!$A$6:$AZ$6,0))),'Oxford Economics'!$A$7:$A$1000,$C99,'Oxford Economics'!$B$7:$B$1000,Settings!$B$16)+IF(Settings!$B$18="",0,SUMIFS(INDEX('Oxford Economics'!$A$7:$AZ$1000,0,IFERROR(MATCH(AD$5,'Oxford Economics'!$A$6:$AZ$6,0),MATCH(AD$5&amp;"",'Oxford Economics'!$A$6:$AZ$6,0))),'Oxford Economics'!$A$7:$A$1000,$C99,'Oxford Economics'!$B$7:$B$1000,Settings!$B$18)))),""))</f>
        <v>47072.9</v>
      </c>
      <c r="AE99" s="38" t="n">
        <f aca="false">IF($A99="","",IFERROR(1/(1/IF($B99="Residential",SUMIFS(INDEX('Oxford Economics'!$A$7:$AZ$1000,0,IFERROR(MATCH(AE$5,'Oxford Economics'!$A$6:$AZ$6,0),MATCH(AE$5&amp;"",'Oxford Economics'!$A$6:$AZ$6,0))),'Oxford Economics'!$A$7:$A$1000,$C99,'Oxford Economics'!$B$7:$B$1000,Settings!$B$12)-SUMIFS(INDEX('Oxford Economics'!$A$7:$AZ$1000,0,IFERROR(MATCH(AE$5,'Oxford Economics'!$A$6:$AZ$6,0),MATCH(AE$5&amp;"",'Oxford Economics'!$A$6:$AZ$6,0))),'Oxford Economics'!$A$7:$A$1000,$C99,'Oxford Economics'!$B$7:$B$1000,Settings!$B$14),SUMIFS(INDEX('Oxford Economics'!$A$7:$AZ$1000,0,IFERROR(MATCH(AE$5,'Oxford Economics'!$A$6:$AZ$6,0),MATCH(AE$5&amp;"",'Oxford Economics'!$A$6:$AZ$6,0))),'Oxford Economics'!$A$7:$A$1000,$C99,'Oxford Economics'!$B$7:$B$1000,Settings!$B$14)+SUMIFS(INDEX('Oxford Economics'!$A$7:$AZ$1000,0,IFERROR(MATCH(AE$5,'Oxford Economics'!$A$6:$AZ$6,0),MATCH(AE$5&amp;"",'Oxford Economics'!$A$6:$AZ$6,0))),'Oxford Economics'!$A$7:$A$1000,$C99,'Oxford Economics'!$B$7:$B$1000,Settings!$B$16)+IF(Settings!$B$18="",0,SUMIFS(INDEX('Oxford Economics'!$A$7:$AZ$1000,0,IFERROR(MATCH(AE$5,'Oxford Economics'!$A$6:$AZ$6,0),MATCH(AE$5&amp;"",'Oxford Economics'!$A$6:$AZ$6,0))),'Oxford Economics'!$A$7:$A$1000,$C99,'Oxford Economics'!$B$7:$B$1000,Settings!$B$18)))),""))</f>
        <v>49141.88</v>
      </c>
      <c r="AF99" s="38" t="n">
        <f aca="false">IF($A99="","",IFERROR(1/(1/IF($B99="Residential",SUMIFS(INDEX('Oxford Economics'!$A$7:$AZ$1000,0,IFERROR(MATCH(AF$5,'Oxford Economics'!$A$6:$AZ$6,0),MATCH(AF$5&amp;"",'Oxford Economics'!$A$6:$AZ$6,0))),'Oxford Economics'!$A$7:$A$1000,$C99,'Oxford Economics'!$B$7:$B$1000,Settings!$B$12)-SUMIFS(INDEX('Oxford Economics'!$A$7:$AZ$1000,0,IFERROR(MATCH(AF$5,'Oxford Economics'!$A$6:$AZ$6,0),MATCH(AF$5&amp;"",'Oxford Economics'!$A$6:$AZ$6,0))),'Oxford Economics'!$A$7:$A$1000,$C99,'Oxford Economics'!$B$7:$B$1000,Settings!$B$14),SUMIFS(INDEX('Oxford Economics'!$A$7:$AZ$1000,0,IFERROR(MATCH(AF$5,'Oxford Economics'!$A$6:$AZ$6,0),MATCH(AF$5&amp;"",'Oxford Economics'!$A$6:$AZ$6,0))),'Oxford Economics'!$A$7:$A$1000,$C99,'Oxford Economics'!$B$7:$B$1000,Settings!$B$14)+SUMIFS(INDEX('Oxford Economics'!$A$7:$AZ$1000,0,IFERROR(MATCH(AF$5,'Oxford Economics'!$A$6:$AZ$6,0),MATCH(AF$5&amp;"",'Oxford Economics'!$A$6:$AZ$6,0))),'Oxford Economics'!$A$7:$A$1000,$C99,'Oxford Economics'!$B$7:$B$1000,Settings!$B$16)+IF(Settings!$B$18="",0,SUMIFS(INDEX('Oxford Economics'!$A$7:$AZ$1000,0,IFERROR(MATCH(AF$5,'Oxford Economics'!$A$6:$AZ$6,0),MATCH(AF$5&amp;"",'Oxford Economics'!$A$6:$AZ$6,0))),'Oxford Economics'!$A$7:$A$1000,$C99,'Oxford Economics'!$B$7:$B$1000,Settings!$B$18)))),""))</f>
        <v>50203.62</v>
      </c>
      <c r="AG99" s="38" t="n">
        <f aca="false">IF($A99="","",IFERROR(1/(1/IF($B99="Residential",SUMIFS(INDEX('Oxford Economics'!$A$7:$AZ$1000,0,IFERROR(MATCH(AG$5,'Oxford Economics'!$A$6:$AZ$6,0),MATCH(AG$5&amp;"",'Oxford Economics'!$A$6:$AZ$6,0))),'Oxford Economics'!$A$7:$A$1000,$C99,'Oxford Economics'!$B$7:$B$1000,Settings!$B$12)-SUMIFS(INDEX('Oxford Economics'!$A$7:$AZ$1000,0,IFERROR(MATCH(AG$5,'Oxford Economics'!$A$6:$AZ$6,0),MATCH(AG$5&amp;"",'Oxford Economics'!$A$6:$AZ$6,0))),'Oxford Economics'!$A$7:$A$1000,$C99,'Oxford Economics'!$B$7:$B$1000,Settings!$B$14),SUMIFS(INDEX('Oxford Economics'!$A$7:$AZ$1000,0,IFERROR(MATCH(AG$5,'Oxford Economics'!$A$6:$AZ$6,0),MATCH(AG$5&amp;"",'Oxford Economics'!$A$6:$AZ$6,0))),'Oxford Economics'!$A$7:$A$1000,$C99,'Oxford Economics'!$B$7:$B$1000,Settings!$B$14)+SUMIFS(INDEX('Oxford Economics'!$A$7:$AZ$1000,0,IFERROR(MATCH(AG$5,'Oxford Economics'!$A$6:$AZ$6,0),MATCH(AG$5&amp;"",'Oxford Economics'!$A$6:$AZ$6,0))),'Oxford Economics'!$A$7:$A$1000,$C99,'Oxford Economics'!$B$7:$B$1000,Settings!$B$16)+IF(Settings!$B$18="",0,SUMIFS(INDEX('Oxford Economics'!$A$7:$AZ$1000,0,IFERROR(MATCH(AG$5,'Oxford Economics'!$A$6:$AZ$6,0),MATCH(AG$5&amp;"",'Oxford Economics'!$A$6:$AZ$6,0))),'Oxford Economics'!$A$7:$A$1000,$C99,'Oxford Economics'!$B$7:$B$1000,Settings!$B$18)))),""))</f>
        <v>54779.62</v>
      </c>
      <c r="AH99" s="38" t="n">
        <f aca="false">IF($A99="","",IFERROR(1/(1/IF($B99="Residential",SUMIFS(INDEX('Oxford Economics'!$A$7:$AZ$1000,0,IFERROR(MATCH(AH$5,'Oxford Economics'!$A$6:$AZ$6,0),MATCH(AH$5&amp;"",'Oxford Economics'!$A$6:$AZ$6,0))),'Oxford Economics'!$A$7:$A$1000,$C99,'Oxford Economics'!$B$7:$B$1000,Settings!$B$12)-SUMIFS(INDEX('Oxford Economics'!$A$7:$AZ$1000,0,IFERROR(MATCH(AH$5,'Oxford Economics'!$A$6:$AZ$6,0),MATCH(AH$5&amp;"",'Oxford Economics'!$A$6:$AZ$6,0))),'Oxford Economics'!$A$7:$A$1000,$C99,'Oxford Economics'!$B$7:$B$1000,Settings!$B$14),SUMIFS(INDEX('Oxford Economics'!$A$7:$AZ$1000,0,IFERROR(MATCH(AH$5,'Oxford Economics'!$A$6:$AZ$6,0),MATCH(AH$5&amp;"",'Oxford Economics'!$A$6:$AZ$6,0))),'Oxford Economics'!$A$7:$A$1000,$C99,'Oxford Economics'!$B$7:$B$1000,Settings!$B$14)+SUMIFS(INDEX('Oxford Economics'!$A$7:$AZ$1000,0,IFERROR(MATCH(AH$5,'Oxford Economics'!$A$6:$AZ$6,0),MATCH(AH$5&amp;"",'Oxford Economics'!$A$6:$AZ$6,0))),'Oxford Economics'!$A$7:$A$1000,$C99,'Oxford Economics'!$B$7:$B$1000,Settings!$B$16)+IF(Settings!$B$18="",0,SUMIFS(INDEX('Oxford Economics'!$A$7:$AZ$1000,0,IFERROR(MATCH(AH$5,'Oxford Economics'!$A$6:$AZ$6,0),MATCH(AH$5&amp;"",'Oxford Economics'!$A$6:$AZ$6,0))),'Oxford Economics'!$A$7:$A$1000,$C99,'Oxford Economics'!$B$7:$B$1000,Settings!$B$18)))),""))</f>
        <v>60520.28</v>
      </c>
      <c r="AI99" s="38" t="n">
        <f aca="false">IF($A99="","",IFERROR(1/(1/IF($B99="Residential",SUMIFS(INDEX('Oxford Economics'!$A$7:$AZ$1000,0,IFERROR(MATCH(AI$5,'Oxford Economics'!$A$6:$AZ$6,0),MATCH(AI$5&amp;"",'Oxford Economics'!$A$6:$AZ$6,0))),'Oxford Economics'!$A$7:$A$1000,$C99,'Oxford Economics'!$B$7:$B$1000,Settings!$B$12)-SUMIFS(INDEX('Oxford Economics'!$A$7:$AZ$1000,0,IFERROR(MATCH(AI$5,'Oxford Economics'!$A$6:$AZ$6,0),MATCH(AI$5&amp;"",'Oxford Economics'!$A$6:$AZ$6,0))),'Oxford Economics'!$A$7:$A$1000,$C99,'Oxford Economics'!$B$7:$B$1000,Settings!$B$14),SUMIFS(INDEX('Oxford Economics'!$A$7:$AZ$1000,0,IFERROR(MATCH(AI$5,'Oxford Economics'!$A$6:$AZ$6,0),MATCH(AI$5&amp;"",'Oxford Economics'!$A$6:$AZ$6,0))),'Oxford Economics'!$A$7:$A$1000,$C99,'Oxford Economics'!$B$7:$B$1000,Settings!$B$14)+SUMIFS(INDEX('Oxford Economics'!$A$7:$AZ$1000,0,IFERROR(MATCH(AI$5,'Oxford Economics'!$A$6:$AZ$6,0),MATCH(AI$5&amp;"",'Oxford Economics'!$A$6:$AZ$6,0))),'Oxford Economics'!$A$7:$A$1000,$C99,'Oxford Economics'!$B$7:$B$1000,Settings!$B$16)+IF(Settings!$B$18="",0,SUMIFS(INDEX('Oxford Economics'!$A$7:$AZ$1000,0,IFERROR(MATCH(AI$5,'Oxford Economics'!$A$6:$AZ$6,0),MATCH(AI$5&amp;"",'Oxford Economics'!$A$6:$AZ$6,0))),'Oxford Economics'!$A$7:$A$1000,$C99,'Oxford Economics'!$B$7:$B$1000,Settings!$B$18)))),""))</f>
        <v>64508.84</v>
      </c>
      <c r="AJ99" s="38" t="n">
        <f aca="false">IF($A99="","",IFERROR(1/(1/IF($B99="Residential",SUMIFS(INDEX('Oxford Economics'!$A$7:$AZ$1000,0,IFERROR(MATCH(AJ$5,'Oxford Economics'!$A$6:$AZ$6,0),MATCH(AJ$5&amp;"",'Oxford Economics'!$A$6:$AZ$6,0))),'Oxford Economics'!$A$7:$A$1000,$C99,'Oxford Economics'!$B$7:$B$1000,Settings!$B$12)-SUMIFS(INDEX('Oxford Economics'!$A$7:$AZ$1000,0,IFERROR(MATCH(AJ$5,'Oxford Economics'!$A$6:$AZ$6,0),MATCH(AJ$5&amp;"",'Oxford Economics'!$A$6:$AZ$6,0))),'Oxford Economics'!$A$7:$A$1000,$C99,'Oxford Economics'!$B$7:$B$1000,Settings!$B$14),SUMIFS(INDEX('Oxford Economics'!$A$7:$AZ$1000,0,IFERROR(MATCH(AJ$5,'Oxford Economics'!$A$6:$AZ$6,0),MATCH(AJ$5&amp;"",'Oxford Economics'!$A$6:$AZ$6,0))),'Oxford Economics'!$A$7:$A$1000,$C99,'Oxford Economics'!$B$7:$B$1000,Settings!$B$14)+SUMIFS(INDEX('Oxford Economics'!$A$7:$AZ$1000,0,IFERROR(MATCH(AJ$5,'Oxford Economics'!$A$6:$AZ$6,0),MATCH(AJ$5&amp;"",'Oxford Economics'!$A$6:$AZ$6,0))),'Oxford Economics'!$A$7:$A$1000,$C99,'Oxford Economics'!$B$7:$B$1000,Settings!$B$16)+IF(Settings!$B$18="",0,SUMIFS(INDEX('Oxford Economics'!$A$7:$AZ$1000,0,IFERROR(MATCH(AJ$5,'Oxford Economics'!$A$6:$AZ$6,0),MATCH(AJ$5&amp;"",'Oxford Economics'!$A$6:$AZ$6,0))),'Oxford Economics'!$A$7:$A$1000,$C99,'Oxford Economics'!$B$7:$B$1000,Settings!$B$18)))),""))</f>
        <v>67229.83</v>
      </c>
      <c r="AK99" s="38" t="n">
        <f aca="false">IF($A99="","",IFERROR(1/(1/IF($B99="Residential",SUMIFS(INDEX('Oxford Economics'!$A$7:$AZ$1000,0,IFERROR(MATCH(AK$5,'Oxford Economics'!$A$6:$AZ$6,0),MATCH(AK$5&amp;"",'Oxford Economics'!$A$6:$AZ$6,0))),'Oxford Economics'!$A$7:$A$1000,$C99,'Oxford Economics'!$B$7:$B$1000,Settings!$B$12)-SUMIFS(INDEX('Oxford Economics'!$A$7:$AZ$1000,0,IFERROR(MATCH(AK$5,'Oxford Economics'!$A$6:$AZ$6,0),MATCH(AK$5&amp;"",'Oxford Economics'!$A$6:$AZ$6,0))),'Oxford Economics'!$A$7:$A$1000,$C99,'Oxford Economics'!$B$7:$B$1000,Settings!$B$14),SUMIFS(INDEX('Oxford Economics'!$A$7:$AZ$1000,0,IFERROR(MATCH(AK$5,'Oxford Economics'!$A$6:$AZ$6,0),MATCH(AK$5&amp;"",'Oxford Economics'!$A$6:$AZ$6,0))),'Oxford Economics'!$A$7:$A$1000,$C99,'Oxford Economics'!$B$7:$B$1000,Settings!$B$14)+SUMIFS(INDEX('Oxford Economics'!$A$7:$AZ$1000,0,IFERROR(MATCH(AK$5,'Oxford Economics'!$A$6:$AZ$6,0),MATCH(AK$5&amp;"",'Oxford Economics'!$A$6:$AZ$6,0))),'Oxford Economics'!$A$7:$A$1000,$C99,'Oxford Economics'!$B$7:$B$1000,Settings!$B$16)+IF(Settings!$B$18="",0,SUMIFS(INDEX('Oxford Economics'!$A$7:$AZ$1000,0,IFERROR(MATCH(AK$5,'Oxford Economics'!$A$6:$AZ$6,0),MATCH(AK$5&amp;"",'Oxford Economics'!$A$6:$AZ$6,0))),'Oxford Economics'!$A$7:$A$1000,$C99,'Oxford Economics'!$B$7:$B$1000,Settings!$B$18)))),""))</f>
        <v>69156.3</v>
      </c>
      <c r="AL99" s="38" t="n">
        <f aca="false">IF($A99="","",IFERROR(1/(1/IF($B99="Residential",SUMIFS(INDEX('Oxford Economics'!$A$7:$AZ$1000,0,IFERROR(MATCH(AL$5,'Oxford Economics'!$A$6:$AZ$6,0),MATCH(AL$5&amp;"",'Oxford Economics'!$A$6:$AZ$6,0))),'Oxford Economics'!$A$7:$A$1000,$C99,'Oxford Economics'!$B$7:$B$1000,Settings!$B$12)-SUMIFS(INDEX('Oxford Economics'!$A$7:$AZ$1000,0,IFERROR(MATCH(AL$5,'Oxford Economics'!$A$6:$AZ$6,0),MATCH(AL$5&amp;"",'Oxford Economics'!$A$6:$AZ$6,0))),'Oxford Economics'!$A$7:$A$1000,$C99,'Oxford Economics'!$B$7:$B$1000,Settings!$B$14),SUMIFS(INDEX('Oxford Economics'!$A$7:$AZ$1000,0,IFERROR(MATCH(AL$5,'Oxford Economics'!$A$6:$AZ$6,0),MATCH(AL$5&amp;"",'Oxford Economics'!$A$6:$AZ$6,0))),'Oxford Economics'!$A$7:$A$1000,$C99,'Oxford Economics'!$B$7:$B$1000,Settings!$B$14)+SUMIFS(INDEX('Oxford Economics'!$A$7:$AZ$1000,0,IFERROR(MATCH(AL$5,'Oxford Economics'!$A$6:$AZ$6,0),MATCH(AL$5&amp;"",'Oxford Economics'!$A$6:$AZ$6,0))),'Oxford Economics'!$A$7:$A$1000,$C99,'Oxford Economics'!$B$7:$B$1000,Settings!$B$16)+IF(Settings!$B$18="",0,SUMIFS(INDEX('Oxford Economics'!$A$7:$AZ$1000,0,IFERROR(MATCH(AL$5,'Oxford Economics'!$A$6:$AZ$6,0),MATCH(AL$5&amp;"",'Oxford Economics'!$A$6:$AZ$6,0))),'Oxford Economics'!$A$7:$A$1000,$C99,'Oxford Economics'!$B$7:$B$1000,Settings!$B$18)))),""))</f>
        <v>70650.78</v>
      </c>
      <c r="AM99" s="38" t="n">
        <f aca="false">IF($A99="","",IFERROR(1/(1/IF($B99="Residential",SUMIFS(INDEX('Oxford Economics'!$A$7:$AZ$1000,0,IFERROR(MATCH(AM$5,'Oxford Economics'!$A$6:$AZ$6,0),MATCH(AM$5&amp;"",'Oxford Economics'!$A$6:$AZ$6,0))),'Oxford Economics'!$A$7:$A$1000,$C99,'Oxford Economics'!$B$7:$B$1000,Settings!$B$12)-SUMIFS(INDEX('Oxford Economics'!$A$7:$AZ$1000,0,IFERROR(MATCH(AM$5,'Oxford Economics'!$A$6:$AZ$6,0),MATCH(AM$5&amp;"",'Oxford Economics'!$A$6:$AZ$6,0))),'Oxford Economics'!$A$7:$A$1000,$C99,'Oxford Economics'!$B$7:$B$1000,Settings!$B$14),SUMIFS(INDEX('Oxford Economics'!$A$7:$AZ$1000,0,IFERROR(MATCH(AM$5,'Oxford Economics'!$A$6:$AZ$6,0),MATCH(AM$5&amp;"",'Oxford Economics'!$A$6:$AZ$6,0))),'Oxford Economics'!$A$7:$A$1000,$C99,'Oxford Economics'!$B$7:$B$1000,Settings!$B$14)+SUMIFS(INDEX('Oxford Economics'!$A$7:$AZ$1000,0,IFERROR(MATCH(AM$5,'Oxford Economics'!$A$6:$AZ$6,0),MATCH(AM$5&amp;"",'Oxford Economics'!$A$6:$AZ$6,0))),'Oxford Economics'!$A$7:$A$1000,$C99,'Oxford Economics'!$B$7:$B$1000,Settings!$B$16)+IF(Settings!$B$18="",0,SUMIFS(INDEX('Oxford Economics'!$A$7:$AZ$1000,0,IFERROR(MATCH(AM$5,'Oxford Economics'!$A$6:$AZ$6,0),MATCH(AM$5&amp;"",'Oxford Economics'!$A$6:$AZ$6,0))),'Oxford Economics'!$A$7:$A$1000,$C99,'Oxford Economics'!$B$7:$B$1000,Settings!$B$18)))),""))</f>
        <v>71686.81</v>
      </c>
    </row>
    <row r="100" customFormat="false" ht="15" hidden="false" customHeight="false" outlineLevel="0" collapsed="false">
      <c r="A100" s="37" t="str">
        <f aca="false">IF('Raw data'!$A100="","",'Raw data'!$A100)</f>
        <v>Spain</v>
      </c>
      <c r="B100" s="37" t="str">
        <f aca="false">IF($A100="","",'Raw data'!$C100)</f>
        <v>Commercial</v>
      </c>
      <c r="C100" s="37" t="str">
        <f aca="false">IF($A100="","",IF('Raw data'!$E100="",$A100,'Raw data'!$E100))</f>
        <v>Spain</v>
      </c>
      <c r="D100" s="38" t="n">
        <f aca="false">IF($A100="","",IF(AND(ISNUMBER(P100),ISNUMBER(AB100)),P100+AB100,""))</f>
        <v>67956.51</v>
      </c>
      <c r="E100" s="38" t="n">
        <f aca="false">IF($A100="","",IF(AND(ISNUMBER(Q100),ISNUMBER(AC100)),Q100+AC100,""))</f>
        <v>65800.75</v>
      </c>
      <c r="F100" s="38" t="n">
        <f aca="false">IF($A100="","",IF(AND(ISNUMBER(R100),ISNUMBER(AD100)),R100+AD100,""))</f>
        <v>73496.76</v>
      </c>
      <c r="G100" s="38" t="n">
        <f aca="false">IF($A100="","",IF(AND(ISNUMBER(S100),ISNUMBER(AE100)),S100+AE100,""))</f>
        <v>76655.44</v>
      </c>
      <c r="H100" s="38" t="n">
        <f aca="false">IF($A100="","",IF(AND(ISNUMBER(T100),ISNUMBER(AF100)),T100+AF100,""))</f>
        <v>78112.83</v>
      </c>
      <c r="I100" s="38" t="n">
        <f aca="false">IF($A100="","",IF(AND(ISNUMBER(U100),ISNUMBER(AG100)),U100+AG100,""))</f>
        <v>85393.01</v>
      </c>
      <c r="J100" s="38" t="n">
        <f aca="false">IF($A100="","",IF(AND(ISNUMBER(V100),ISNUMBER(AH100)),V100+AH100,""))</f>
        <v>91094.94</v>
      </c>
      <c r="K100" s="38" t="n">
        <f aca="false">IF($A100="","",IF(AND(ISNUMBER(W100),ISNUMBER(AI100)),W100+AI100,""))</f>
        <v>95168.43</v>
      </c>
      <c r="L100" s="38" t="n">
        <f aca="false">IF($A100="","",IF(AND(ISNUMBER(X100),ISNUMBER(AJ100)),X100+AJ100,""))</f>
        <v>99206.61</v>
      </c>
      <c r="M100" s="38" t="n">
        <f aca="false">IF($A100="","",IF(AND(ISNUMBER(Y100),ISNUMBER(AK100)),Y100+AK100,""))</f>
        <v>103209.64</v>
      </c>
      <c r="N100" s="38" t="n">
        <f aca="false">IF($A100="","",IF(AND(ISNUMBER(Z100),ISNUMBER(AL100)),Z100+AL100,""))</f>
        <v>106794.56</v>
      </c>
      <c r="O100" s="38" t="n">
        <f aca="false">IF($A100="","",IF(AND(ISNUMBER(AA100),ISNUMBER(AM100)),AA100+AM100,""))</f>
        <v>109007.68</v>
      </c>
      <c r="P100" s="38" t="n">
        <f aca="false">IF($A100="","",IFERROR(1/(1/IF($B100="Residential",SUMIFS(INDEX('Oxford Economics'!$A$7:$AZ$1000,0,IFERROR(MATCH(P$5,'Oxford Economics'!$A$6:$AZ$6,0),MATCH(P$5&amp;"",'Oxford Economics'!$A$6:$AZ$6,0))),'Oxford Economics'!$A$7:$A$1000,$C100,'Oxford Economics'!$B$7:$B$1000,Settings!$B$13)-SUMIFS(INDEX('Oxford Economics'!$A$7:$AZ$1000,0,IFERROR(MATCH(P$5,'Oxford Economics'!$A$6:$AZ$6,0),MATCH(P$5&amp;"",'Oxford Economics'!$A$6:$AZ$6,0))),'Oxford Economics'!$A$7:$A$1000,$C100,'Oxford Economics'!$B$7:$B$1000,Settings!$B$15),SUMIFS(INDEX('Oxford Economics'!$A$7:$AZ$1000,0,IFERROR(MATCH(P$5,'Oxford Economics'!$A$6:$AZ$6,0),MATCH(P$5&amp;"",'Oxford Economics'!$A$6:$AZ$6,0))),'Oxford Economics'!$A$7:$A$1000,$C100,'Oxford Economics'!$B$7:$B$1000,Settings!$B$15)+SUMIFS(INDEX('Oxford Economics'!$A$7:$AZ$1000,0,IFERROR(MATCH(P$5,'Oxford Economics'!$A$6:$AZ$6,0),MATCH(P$5&amp;"",'Oxford Economics'!$A$6:$AZ$6,0))),'Oxford Economics'!$A$7:$A$1000,$C100,'Oxford Economics'!$B$7:$B$1000,Settings!$B$17)+IF(Settings!$B$19="",0,SUMIFS(INDEX('Oxford Economics'!$A$7:$AZ$1000,0,IFERROR(MATCH(P$5,'Oxford Economics'!$A$6:$AZ$6,0),MATCH(P$5&amp;"",'Oxford Economics'!$A$6:$AZ$6,0))),'Oxford Economics'!$A$7:$A$1000,$C100,'Oxford Economics'!$B$7:$B$1000,Settings!$B$19)))),""))</f>
        <v>23915.74</v>
      </c>
      <c r="Q100" s="38" t="n">
        <f aca="false">IF($A100="","",IFERROR(1/(1/IF($B100="Residential",SUMIFS(INDEX('Oxford Economics'!$A$7:$AZ$1000,0,IFERROR(MATCH(Q$5,'Oxford Economics'!$A$6:$AZ$6,0),MATCH(Q$5&amp;"",'Oxford Economics'!$A$6:$AZ$6,0))),'Oxford Economics'!$A$7:$A$1000,$C100,'Oxford Economics'!$B$7:$B$1000,Settings!$B$13)-SUMIFS(INDEX('Oxford Economics'!$A$7:$AZ$1000,0,IFERROR(MATCH(Q$5,'Oxford Economics'!$A$6:$AZ$6,0),MATCH(Q$5&amp;"",'Oxford Economics'!$A$6:$AZ$6,0))),'Oxford Economics'!$A$7:$A$1000,$C100,'Oxford Economics'!$B$7:$B$1000,Settings!$B$15),SUMIFS(INDEX('Oxford Economics'!$A$7:$AZ$1000,0,IFERROR(MATCH(Q$5,'Oxford Economics'!$A$6:$AZ$6,0),MATCH(Q$5&amp;"",'Oxford Economics'!$A$6:$AZ$6,0))),'Oxford Economics'!$A$7:$A$1000,$C100,'Oxford Economics'!$B$7:$B$1000,Settings!$B$15)+SUMIFS(INDEX('Oxford Economics'!$A$7:$AZ$1000,0,IFERROR(MATCH(Q$5,'Oxford Economics'!$A$6:$AZ$6,0),MATCH(Q$5&amp;"",'Oxford Economics'!$A$6:$AZ$6,0))),'Oxford Economics'!$A$7:$A$1000,$C100,'Oxford Economics'!$B$7:$B$1000,Settings!$B$17)+IF(Settings!$B$19="",0,SUMIFS(INDEX('Oxford Economics'!$A$7:$AZ$1000,0,IFERROR(MATCH(Q$5,'Oxford Economics'!$A$6:$AZ$6,0),MATCH(Q$5&amp;"",'Oxford Economics'!$A$6:$AZ$6,0))),'Oxford Economics'!$A$7:$A$1000,$C100,'Oxford Economics'!$B$7:$B$1000,Settings!$B$19)))),""))</f>
        <v>23729.23</v>
      </c>
      <c r="R100" s="38" t="n">
        <f aca="false">IF($A100="","",IFERROR(1/(1/IF($B100="Residential",SUMIFS(INDEX('Oxford Economics'!$A$7:$AZ$1000,0,IFERROR(MATCH(R$5,'Oxford Economics'!$A$6:$AZ$6,0),MATCH(R$5&amp;"",'Oxford Economics'!$A$6:$AZ$6,0))),'Oxford Economics'!$A$7:$A$1000,$C100,'Oxford Economics'!$B$7:$B$1000,Settings!$B$13)-SUMIFS(INDEX('Oxford Economics'!$A$7:$AZ$1000,0,IFERROR(MATCH(R$5,'Oxford Economics'!$A$6:$AZ$6,0),MATCH(R$5&amp;"",'Oxford Economics'!$A$6:$AZ$6,0))),'Oxford Economics'!$A$7:$A$1000,$C100,'Oxford Economics'!$B$7:$B$1000,Settings!$B$15),SUMIFS(INDEX('Oxford Economics'!$A$7:$AZ$1000,0,IFERROR(MATCH(R$5,'Oxford Economics'!$A$6:$AZ$6,0),MATCH(R$5&amp;"",'Oxford Economics'!$A$6:$AZ$6,0))),'Oxford Economics'!$A$7:$A$1000,$C100,'Oxford Economics'!$B$7:$B$1000,Settings!$B$15)+SUMIFS(INDEX('Oxford Economics'!$A$7:$AZ$1000,0,IFERROR(MATCH(R$5,'Oxford Economics'!$A$6:$AZ$6,0),MATCH(R$5&amp;"",'Oxford Economics'!$A$6:$AZ$6,0))),'Oxford Economics'!$A$7:$A$1000,$C100,'Oxford Economics'!$B$7:$B$1000,Settings!$B$17)+IF(Settings!$B$19="",0,SUMIFS(INDEX('Oxford Economics'!$A$7:$AZ$1000,0,IFERROR(MATCH(R$5,'Oxford Economics'!$A$6:$AZ$6,0),MATCH(R$5&amp;"",'Oxford Economics'!$A$6:$AZ$6,0))),'Oxford Economics'!$A$7:$A$1000,$C100,'Oxford Economics'!$B$7:$B$1000,Settings!$B$19)))),""))</f>
        <v>26423.86</v>
      </c>
      <c r="S100" s="38" t="n">
        <f aca="false">IF($A100="","",IFERROR(1/(1/IF($B100="Residential",SUMIFS(INDEX('Oxford Economics'!$A$7:$AZ$1000,0,IFERROR(MATCH(S$5,'Oxford Economics'!$A$6:$AZ$6,0),MATCH(S$5&amp;"",'Oxford Economics'!$A$6:$AZ$6,0))),'Oxford Economics'!$A$7:$A$1000,$C100,'Oxford Economics'!$B$7:$B$1000,Settings!$B$13)-SUMIFS(INDEX('Oxford Economics'!$A$7:$AZ$1000,0,IFERROR(MATCH(S$5,'Oxford Economics'!$A$6:$AZ$6,0),MATCH(S$5&amp;"",'Oxford Economics'!$A$6:$AZ$6,0))),'Oxford Economics'!$A$7:$A$1000,$C100,'Oxford Economics'!$B$7:$B$1000,Settings!$B$15),SUMIFS(INDEX('Oxford Economics'!$A$7:$AZ$1000,0,IFERROR(MATCH(S$5,'Oxford Economics'!$A$6:$AZ$6,0),MATCH(S$5&amp;"",'Oxford Economics'!$A$6:$AZ$6,0))),'Oxford Economics'!$A$7:$A$1000,$C100,'Oxford Economics'!$B$7:$B$1000,Settings!$B$15)+SUMIFS(INDEX('Oxford Economics'!$A$7:$AZ$1000,0,IFERROR(MATCH(S$5,'Oxford Economics'!$A$6:$AZ$6,0),MATCH(S$5&amp;"",'Oxford Economics'!$A$6:$AZ$6,0))),'Oxford Economics'!$A$7:$A$1000,$C100,'Oxford Economics'!$B$7:$B$1000,Settings!$B$17)+IF(Settings!$B$19="",0,SUMIFS(INDEX('Oxford Economics'!$A$7:$AZ$1000,0,IFERROR(MATCH(S$5,'Oxford Economics'!$A$6:$AZ$6,0),MATCH(S$5&amp;"",'Oxford Economics'!$A$6:$AZ$6,0))),'Oxford Economics'!$A$7:$A$1000,$C100,'Oxford Economics'!$B$7:$B$1000,Settings!$B$19)))),""))</f>
        <v>27513.56</v>
      </c>
      <c r="T100" s="38" t="n">
        <f aca="false">IF($A100="","",IFERROR(1/(1/IF($B100="Residential",SUMIFS(INDEX('Oxford Economics'!$A$7:$AZ$1000,0,IFERROR(MATCH(T$5,'Oxford Economics'!$A$6:$AZ$6,0),MATCH(T$5&amp;"",'Oxford Economics'!$A$6:$AZ$6,0))),'Oxford Economics'!$A$7:$A$1000,$C100,'Oxford Economics'!$B$7:$B$1000,Settings!$B$13)-SUMIFS(INDEX('Oxford Economics'!$A$7:$AZ$1000,0,IFERROR(MATCH(T$5,'Oxford Economics'!$A$6:$AZ$6,0),MATCH(T$5&amp;"",'Oxford Economics'!$A$6:$AZ$6,0))),'Oxford Economics'!$A$7:$A$1000,$C100,'Oxford Economics'!$B$7:$B$1000,Settings!$B$15),SUMIFS(INDEX('Oxford Economics'!$A$7:$AZ$1000,0,IFERROR(MATCH(T$5,'Oxford Economics'!$A$6:$AZ$6,0),MATCH(T$5&amp;"",'Oxford Economics'!$A$6:$AZ$6,0))),'Oxford Economics'!$A$7:$A$1000,$C100,'Oxford Economics'!$B$7:$B$1000,Settings!$B$15)+SUMIFS(INDEX('Oxford Economics'!$A$7:$AZ$1000,0,IFERROR(MATCH(T$5,'Oxford Economics'!$A$6:$AZ$6,0),MATCH(T$5&amp;"",'Oxford Economics'!$A$6:$AZ$6,0))),'Oxford Economics'!$A$7:$A$1000,$C100,'Oxford Economics'!$B$7:$B$1000,Settings!$B$17)+IF(Settings!$B$19="",0,SUMIFS(INDEX('Oxford Economics'!$A$7:$AZ$1000,0,IFERROR(MATCH(T$5,'Oxford Economics'!$A$6:$AZ$6,0),MATCH(T$5&amp;"",'Oxford Economics'!$A$6:$AZ$6,0))),'Oxford Economics'!$A$7:$A$1000,$C100,'Oxford Economics'!$B$7:$B$1000,Settings!$B$19)))),""))</f>
        <v>27909.21</v>
      </c>
      <c r="U100" s="38" t="n">
        <f aca="false">IF($A100="","",IFERROR(1/(1/IF($B100="Residential",SUMIFS(INDEX('Oxford Economics'!$A$7:$AZ$1000,0,IFERROR(MATCH(U$5,'Oxford Economics'!$A$6:$AZ$6,0),MATCH(U$5&amp;"",'Oxford Economics'!$A$6:$AZ$6,0))),'Oxford Economics'!$A$7:$A$1000,$C100,'Oxford Economics'!$B$7:$B$1000,Settings!$B$13)-SUMIFS(INDEX('Oxford Economics'!$A$7:$AZ$1000,0,IFERROR(MATCH(U$5,'Oxford Economics'!$A$6:$AZ$6,0),MATCH(U$5&amp;"",'Oxford Economics'!$A$6:$AZ$6,0))),'Oxford Economics'!$A$7:$A$1000,$C100,'Oxford Economics'!$B$7:$B$1000,Settings!$B$15),SUMIFS(INDEX('Oxford Economics'!$A$7:$AZ$1000,0,IFERROR(MATCH(U$5,'Oxford Economics'!$A$6:$AZ$6,0),MATCH(U$5&amp;"",'Oxford Economics'!$A$6:$AZ$6,0))),'Oxford Economics'!$A$7:$A$1000,$C100,'Oxford Economics'!$B$7:$B$1000,Settings!$B$15)+SUMIFS(INDEX('Oxford Economics'!$A$7:$AZ$1000,0,IFERROR(MATCH(U$5,'Oxford Economics'!$A$6:$AZ$6,0),MATCH(U$5&amp;"",'Oxford Economics'!$A$6:$AZ$6,0))),'Oxford Economics'!$A$7:$A$1000,$C100,'Oxford Economics'!$B$7:$B$1000,Settings!$B$17)+IF(Settings!$B$19="",0,SUMIFS(INDEX('Oxford Economics'!$A$7:$AZ$1000,0,IFERROR(MATCH(U$5,'Oxford Economics'!$A$6:$AZ$6,0),MATCH(U$5&amp;"",'Oxford Economics'!$A$6:$AZ$6,0))),'Oxford Economics'!$A$7:$A$1000,$C100,'Oxford Economics'!$B$7:$B$1000,Settings!$B$19)))),""))</f>
        <v>30613.39</v>
      </c>
      <c r="V100" s="38" t="n">
        <f aca="false">IF($A100="","",IFERROR(1/(1/IF($B100="Residential",SUMIFS(INDEX('Oxford Economics'!$A$7:$AZ$1000,0,IFERROR(MATCH(V$5,'Oxford Economics'!$A$6:$AZ$6,0),MATCH(V$5&amp;"",'Oxford Economics'!$A$6:$AZ$6,0))),'Oxford Economics'!$A$7:$A$1000,$C100,'Oxford Economics'!$B$7:$B$1000,Settings!$B$13)-SUMIFS(INDEX('Oxford Economics'!$A$7:$AZ$1000,0,IFERROR(MATCH(V$5,'Oxford Economics'!$A$6:$AZ$6,0),MATCH(V$5&amp;"",'Oxford Economics'!$A$6:$AZ$6,0))),'Oxford Economics'!$A$7:$A$1000,$C100,'Oxford Economics'!$B$7:$B$1000,Settings!$B$15),SUMIFS(INDEX('Oxford Economics'!$A$7:$AZ$1000,0,IFERROR(MATCH(V$5,'Oxford Economics'!$A$6:$AZ$6,0),MATCH(V$5&amp;"",'Oxford Economics'!$A$6:$AZ$6,0))),'Oxford Economics'!$A$7:$A$1000,$C100,'Oxford Economics'!$B$7:$B$1000,Settings!$B$15)+SUMIFS(INDEX('Oxford Economics'!$A$7:$AZ$1000,0,IFERROR(MATCH(V$5,'Oxford Economics'!$A$6:$AZ$6,0),MATCH(V$5&amp;"",'Oxford Economics'!$A$6:$AZ$6,0))),'Oxford Economics'!$A$7:$A$1000,$C100,'Oxford Economics'!$B$7:$B$1000,Settings!$B$17)+IF(Settings!$B$19="",0,SUMIFS(INDEX('Oxford Economics'!$A$7:$AZ$1000,0,IFERROR(MATCH(V$5,'Oxford Economics'!$A$6:$AZ$6,0),MATCH(V$5&amp;"",'Oxford Economics'!$A$6:$AZ$6,0))),'Oxford Economics'!$A$7:$A$1000,$C100,'Oxford Economics'!$B$7:$B$1000,Settings!$B$19)))),""))</f>
        <v>30574.66</v>
      </c>
      <c r="W100" s="38" t="n">
        <f aca="false">IF($A100="","",IFERROR(1/(1/IF($B100="Residential",SUMIFS(INDEX('Oxford Economics'!$A$7:$AZ$1000,0,IFERROR(MATCH(W$5,'Oxford Economics'!$A$6:$AZ$6,0),MATCH(W$5&amp;"",'Oxford Economics'!$A$6:$AZ$6,0))),'Oxford Economics'!$A$7:$A$1000,$C100,'Oxford Economics'!$B$7:$B$1000,Settings!$B$13)-SUMIFS(INDEX('Oxford Economics'!$A$7:$AZ$1000,0,IFERROR(MATCH(W$5,'Oxford Economics'!$A$6:$AZ$6,0),MATCH(W$5&amp;"",'Oxford Economics'!$A$6:$AZ$6,0))),'Oxford Economics'!$A$7:$A$1000,$C100,'Oxford Economics'!$B$7:$B$1000,Settings!$B$15),SUMIFS(INDEX('Oxford Economics'!$A$7:$AZ$1000,0,IFERROR(MATCH(W$5,'Oxford Economics'!$A$6:$AZ$6,0),MATCH(W$5&amp;"",'Oxford Economics'!$A$6:$AZ$6,0))),'Oxford Economics'!$A$7:$A$1000,$C100,'Oxford Economics'!$B$7:$B$1000,Settings!$B$15)+SUMIFS(INDEX('Oxford Economics'!$A$7:$AZ$1000,0,IFERROR(MATCH(W$5,'Oxford Economics'!$A$6:$AZ$6,0),MATCH(W$5&amp;"",'Oxford Economics'!$A$6:$AZ$6,0))),'Oxford Economics'!$A$7:$A$1000,$C100,'Oxford Economics'!$B$7:$B$1000,Settings!$B$17)+IF(Settings!$B$19="",0,SUMIFS(INDEX('Oxford Economics'!$A$7:$AZ$1000,0,IFERROR(MATCH(W$5,'Oxford Economics'!$A$6:$AZ$6,0),MATCH(W$5&amp;"",'Oxford Economics'!$A$6:$AZ$6,0))),'Oxford Economics'!$A$7:$A$1000,$C100,'Oxford Economics'!$B$7:$B$1000,Settings!$B$19)))),""))</f>
        <v>30659.59</v>
      </c>
      <c r="X100" s="38" t="n">
        <f aca="false">IF($A100="","",IFERROR(1/(1/IF($B100="Residential",SUMIFS(INDEX('Oxford Economics'!$A$7:$AZ$1000,0,IFERROR(MATCH(X$5,'Oxford Economics'!$A$6:$AZ$6,0),MATCH(X$5&amp;"",'Oxford Economics'!$A$6:$AZ$6,0))),'Oxford Economics'!$A$7:$A$1000,$C100,'Oxford Economics'!$B$7:$B$1000,Settings!$B$13)-SUMIFS(INDEX('Oxford Economics'!$A$7:$AZ$1000,0,IFERROR(MATCH(X$5,'Oxford Economics'!$A$6:$AZ$6,0),MATCH(X$5&amp;"",'Oxford Economics'!$A$6:$AZ$6,0))),'Oxford Economics'!$A$7:$A$1000,$C100,'Oxford Economics'!$B$7:$B$1000,Settings!$B$15),SUMIFS(INDEX('Oxford Economics'!$A$7:$AZ$1000,0,IFERROR(MATCH(X$5,'Oxford Economics'!$A$6:$AZ$6,0),MATCH(X$5&amp;"",'Oxford Economics'!$A$6:$AZ$6,0))),'Oxford Economics'!$A$7:$A$1000,$C100,'Oxford Economics'!$B$7:$B$1000,Settings!$B$15)+SUMIFS(INDEX('Oxford Economics'!$A$7:$AZ$1000,0,IFERROR(MATCH(X$5,'Oxford Economics'!$A$6:$AZ$6,0),MATCH(X$5&amp;"",'Oxford Economics'!$A$6:$AZ$6,0))),'Oxford Economics'!$A$7:$A$1000,$C100,'Oxford Economics'!$B$7:$B$1000,Settings!$B$17)+IF(Settings!$B$19="",0,SUMIFS(INDEX('Oxford Economics'!$A$7:$AZ$1000,0,IFERROR(MATCH(X$5,'Oxford Economics'!$A$6:$AZ$6,0),MATCH(X$5&amp;"",'Oxford Economics'!$A$6:$AZ$6,0))),'Oxford Economics'!$A$7:$A$1000,$C100,'Oxford Economics'!$B$7:$B$1000,Settings!$B$19)))),""))</f>
        <v>31976.78</v>
      </c>
      <c r="Y100" s="38" t="n">
        <f aca="false">IF($A100="","",IFERROR(1/(1/IF($B100="Residential",SUMIFS(INDEX('Oxford Economics'!$A$7:$AZ$1000,0,IFERROR(MATCH(Y$5,'Oxford Economics'!$A$6:$AZ$6,0),MATCH(Y$5&amp;"",'Oxford Economics'!$A$6:$AZ$6,0))),'Oxford Economics'!$A$7:$A$1000,$C100,'Oxford Economics'!$B$7:$B$1000,Settings!$B$13)-SUMIFS(INDEX('Oxford Economics'!$A$7:$AZ$1000,0,IFERROR(MATCH(Y$5,'Oxford Economics'!$A$6:$AZ$6,0),MATCH(Y$5&amp;"",'Oxford Economics'!$A$6:$AZ$6,0))),'Oxford Economics'!$A$7:$A$1000,$C100,'Oxford Economics'!$B$7:$B$1000,Settings!$B$15),SUMIFS(INDEX('Oxford Economics'!$A$7:$AZ$1000,0,IFERROR(MATCH(Y$5,'Oxford Economics'!$A$6:$AZ$6,0),MATCH(Y$5&amp;"",'Oxford Economics'!$A$6:$AZ$6,0))),'Oxford Economics'!$A$7:$A$1000,$C100,'Oxford Economics'!$B$7:$B$1000,Settings!$B$15)+SUMIFS(INDEX('Oxford Economics'!$A$7:$AZ$1000,0,IFERROR(MATCH(Y$5,'Oxford Economics'!$A$6:$AZ$6,0),MATCH(Y$5&amp;"",'Oxford Economics'!$A$6:$AZ$6,0))),'Oxford Economics'!$A$7:$A$1000,$C100,'Oxford Economics'!$B$7:$B$1000,Settings!$B$17)+IF(Settings!$B$19="",0,SUMIFS(INDEX('Oxford Economics'!$A$7:$AZ$1000,0,IFERROR(MATCH(Y$5,'Oxford Economics'!$A$6:$AZ$6,0),MATCH(Y$5&amp;"",'Oxford Economics'!$A$6:$AZ$6,0))),'Oxford Economics'!$A$7:$A$1000,$C100,'Oxford Economics'!$B$7:$B$1000,Settings!$B$19)))),""))</f>
        <v>34053.34</v>
      </c>
      <c r="Z100" s="38" t="n">
        <f aca="false">IF($A100="","",IFERROR(1/(1/IF($B100="Residential",SUMIFS(INDEX('Oxford Economics'!$A$7:$AZ$1000,0,IFERROR(MATCH(Z$5,'Oxford Economics'!$A$6:$AZ$6,0),MATCH(Z$5&amp;"",'Oxford Economics'!$A$6:$AZ$6,0))),'Oxford Economics'!$A$7:$A$1000,$C100,'Oxford Economics'!$B$7:$B$1000,Settings!$B$13)-SUMIFS(INDEX('Oxford Economics'!$A$7:$AZ$1000,0,IFERROR(MATCH(Z$5,'Oxford Economics'!$A$6:$AZ$6,0),MATCH(Z$5&amp;"",'Oxford Economics'!$A$6:$AZ$6,0))),'Oxford Economics'!$A$7:$A$1000,$C100,'Oxford Economics'!$B$7:$B$1000,Settings!$B$15),SUMIFS(INDEX('Oxford Economics'!$A$7:$AZ$1000,0,IFERROR(MATCH(Z$5,'Oxford Economics'!$A$6:$AZ$6,0),MATCH(Z$5&amp;"",'Oxford Economics'!$A$6:$AZ$6,0))),'Oxford Economics'!$A$7:$A$1000,$C100,'Oxford Economics'!$B$7:$B$1000,Settings!$B$15)+SUMIFS(INDEX('Oxford Economics'!$A$7:$AZ$1000,0,IFERROR(MATCH(Z$5,'Oxford Economics'!$A$6:$AZ$6,0),MATCH(Z$5&amp;"",'Oxford Economics'!$A$6:$AZ$6,0))),'Oxford Economics'!$A$7:$A$1000,$C100,'Oxford Economics'!$B$7:$B$1000,Settings!$B$17)+IF(Settings!$B$19="",0,SUMIFS(INDEX('Oxford Economics'!$A$7:$AZ$1000,0,IFERROR(MATCH(Z$5,'Oxford Economics'!$A$6:$AZ$6,0),MATCH(Z$5&amp;"",'Oxford Economics'!$A$6:$AZ$6,0))),'Oxford Economics'!$A$7:$A$1000,$C100,'Oxford Economics'!$B$7:$B$1000,Settings!$B$19)))),""))</f>
        <v>36143.78</v>
      </c>
      <c r="AA100" s="38" t="n">
        <f aca="false">IF($A100="","",IFERROR(1/(1/IF($B100="Residential",SUMIFS(INDEX('Oxford Economics'!$A$7:$AZ$1000,0,IFERROR(MATCH(AA$5,'Oxford Economics'!$A$6:$AZ$6,0),MATCH(AA$5&amp;"",'Oxford Economics'!$A$6:$AZ$6,0))),'Oxford Economics'!$A$7:$A$1000,$C100,'Oxford Economics'!$B$7:$B$1000,Settings!$B$13)-SUMIFS(INDEX('Oxford Economics'!$A$7:$AZ$1000,0,IFERROR(MATCH(AA$5,'Oxford Economics'!$A$6:$AZ$6,0),MATCH(AA$5&amp;"",'Oxford Economics'!$A$6:$AZ$6,0))),'Oxford Economics'!$A$7:$A$1000,$C100,'Oxford Economics'!$B$7:$B$1000,Settings!$B$15),SUMIFS(INDEX('Oxford Economics'!$A$7:$AZ$1000,0,IFERROR(MATCH(AA$5,'Oxford Economics'!$A$6:$AZ$6,0),MATCH(AA$5&amp;"",'Oxford Economics'!$A$6:$AZ$6,0))),'Oxford Economics'!$A$7:$A$1000,$C100,'Oxford Economics'!$B$7:$B$1000,Settings!$B$15)+SUMIFS(INDEX('Oxford Economics'!$A$7:$AZ$1000,0,IFERROR(MATCH(AA$5,'Oxford Economics'!$A$6:$AZ$6,0),MATCH(AA$5&amp;"",'Oxford Economics'!$A$6:$AZ$6,0))),'Oxford Economics'!$A$7:$A$1000,$C100,'Oxford Economics'!$B$7:$B$1000,Settings!$B$17)+IF(Settings!$B$19="",0,SUMIFS(INDEX('Oxford Economics'!$A$7:$AZ$1000,0,IFERROR(MATCH(AA$5,'Oxford Economics'!$A$6:$AZ$6,0),MATCH(AA$5&amp;"",'Oxford Economics'!$A$6:$AZ$6,0))),'Oxford Economics'!$A$7:$A$1000,$C100,'Oxford Economics'!$B$7:$B$1000,Settings!$B$19)))),""))</f>
        <v>37320.87</v>
      </c>
      <c r="AB100" s="38" t="n">
        <f aca="false">IF($A100="","",IFERROR(1/(1/IF($B100="Residential",SUMIFS(INDEX('Oxford Economics'!$A$7:$AZ$1000,0,IFERROR(MATCH(AB$5,'Oxford Economics'!$A$6:$AZ$6,0),MATCH(AB$5&amp;"",'Oxford Economics'!$A$6:$AZ$6,0))),'Oxford Economics'!$A$7:$A$1000,$C100,'Oxford Economics'!$B$7:$B$1000,Settings!$B$12)-SUMIFS(INDEX('Oxford Economics'!$A$7:$AZ$1000,0,IFERROR(MATCH(AB$5,'Oxford Economics'!$A$6:$AZ$6,0),MATCH(AB$5&amp;"",'Oxford Economics'!$A$6:$AZ$6,0))),'Oxford Economics'!$A$7:$A$1000,$C100,'Oxford Economics'!$B$7:$B$1000,Settings!$B$14),SUMIFS(INDEX('Oxford Economics'!$A$7:$AZ$1000,0,IFERROR(MATCH(AB$5,'Oxford Economics'!$A$6:$AZ$6,0),MATCH(AB$5&amp;"",'Oxford Economics'!$A$6:$AZ$6,0))),'Oxford Economics'!$A$7:$A$1000,$C100,'Oxford Economics'!$B$7:$B$1000,Settings!$B$14)+SUMIFS(INDEX('Oxford Economics'!$A$7:$AZ$1000,0,IFERROR(MATCH(AB$5,'Oxford Economics'!$A$6:$AZ$6,0),MATCH(AB$5&amp;"",'Oxford Economics'!$A$6:$AZ$6,0))),'Oxford Economics'!$A$7:$A$1000,$C100,'Oxford Economics'!$B$7:$B$1000,Settings!$B$16)+IF(Settings!$B$18="",0,SUMIFS(INDEX('Oxford Economics'!$A$7:$AZ$1000,0,IFERROR(MATCH(AB$5,'Oxford Economics'!$A$6:$AZ$6,0),MATCH(AB$5&amp;"",'Oxford Economics'!$A$6:$AZ$6,0))),'Oxford Economics'!$A$7:$A$1000,$C100,'Oxford Economics'!$B$7:$B$1000,Settings!$B$18)))),""))</f>
        <v>44040.77</v>
      </c>
      <c r="AC100" s="38" t="n">
        <f aca="false">IF($A100="","",IFERROR(1/(1/IF($B100="Residential",SUMIFS(INDEX('Oxford Economics'!$A$7:$AZ$1000,0,IFERROR(MATCH(AC$5,'Oxford Economics'!$A$6:$AZ$6,0),MATCH(AC$5&amp;"",'Oxford Economics'!$A$6:$AZ$6,0))),'Oxford Economics'!$A$7:$A$1000,$C100,'Oxford Economics'!$B$7:$B$1000,Settings!$B$12)-SUMIFS(INDEX('Oxford Economics'!$A$7:$AZ$1000,0,IFERROR(MATCH(AC$5,'Oxford Economics'!$A$6:$AZ$6,0),MATCH(AC$5&amp;"",'Oxford Economics'!$A$6:$AZ$6,0))),'Oxford Economics'!$A$7:$A$1000,$C100,'Oxford Economics'!$B$7:$B$1000,Settings!$B$14),SUMIFS(INDEX('Oxford Economics'!$A$7:$AZ$1000,0,IFERROR(MATCH(AC$5,'Oxford Economics'!$A$6:$AZ$6,0),MATCH(AC$5&amp;"",'Oxford Economics'!$A$6:$AZ$6,0))),'Oxford Economics'!$A$7:$A$1000,$C100,'Oxford Economics'!$B$7:$B$1000,Settings!$B$14)+SUMIFS(INDEX('Oxford Economics'!$A$7:$AZ$1000,0,IFERROR(MATCH(AC$5,'Oxford Economics'!$A$6:$AZ$6,0),MATCH(AC$5&amp;"",'Oxford Economics'!$A$6:$AZ$6,0))),'Oxford Economics'!$A$7:$A$1000,$C100,'Oxford Economics'!$B$7:$B$1000,Settings!$B$16)+IF(Settings!$B$18="",0,SUMIFS(INDEX('Oxford Economics'!$A$7:$AZ$1000,0,IFERROR(MATCH(AC$5,'Oxford Economics'!$A$6:$AZ$6,0),MATCH(AC$5&amp;"",'Oxford Economics'!$A$6:$AZ$6,0))),'Oxford Economics'!$A$7:$A$1000,$C100,'Oxford Economics'!$B$7:$B$1000,Settings!$B$18)))),""))</f>
        <v>42071.52</v>
      </c>
      <c r="AD100" s="38" t="n">
        <f aca="false">IF($A100="","",IFERROR(1/(1/IF($B100="Residential",SUMIFS(INDEX('Oxford Economics'!$A$7:$AZ$1000,0,IFERROR(MATCH(AD$5,'Oxford Economics'!$A$6:$AZ$6,0),MATCH(AD$5&amp;"",'Oxford Economics'!$A$6:$AZ$6,0))),'Oxford Economics'!$A$7:$A$1000,$C100,'Oxford Economics'!$B$7:$B$1000,Settings!$B$12)-SUMIFS(INDEX('Oxford Economics'!$A$7:$AZ$1000,0,IFERROR(MATCH(AD$5,'Oxford Economics'!$A$6:$AZ$6,0),MATCH(AD$5&amp;"",'Oxford Economics'!$A$6:$AZ$6,0))),'Oxford Economics'!$A$7:$A$1000,$C100,'Oxford Economics'!$B$7:$B$1000,Settings!$B$14),SUMIFS(INDEX('Oxford Economics'!$A$7:$AZ$1000,0,IFERROR(MATCH(AD$5,'Oxford Economics'!$A$6:$AZ$6,0),MATCH(AD$5&amp;"",'Oxford Economics'!$A$6:$AZ$6,0))),'Oxford Economics'!$A$7:$A$1000,$C100,'Oxford Economics'!$B$7:$B$1000,Settings!$B$14)+SUMIFS(INDEX('Oxford Economics'!$A$7:$AZ$1000,0,IFERROR(MATCH(AD$5,'Oxford Economics'!$A$6:$AZ$6,0),MATCH(AD$5&amp;"",'Oxford Economics'!$A$6:$AZ$6,0))),'Oxford Economics'!$A$7:$A$1000,$C100,'Oxford Economics'!$B$7:$B$1000,Settings!$B$16)+IF(Settings!$B$18="",0,SUMIFS(INDEX('Oxford Economics'!$A$7:$AZ$1000,0,IFERROR(MATCH(AD$5,'Oxford Economics'!$A$6:$AZ$6,0),MATCH(AD$5&amp;"",'Oxford Economics'!$A$6:$AZ$6,0))),'Oxford Economics'!$A$7:$A$1000,$C100,'Oxford Economics'!$B$7:$B$1000,Settings!$B$18)))),""))</f>
        <v>47072.9</v>
      </c>
      <c r="AE100" s="38" t="n">
        <f aca="false">IF($A100="","",IFERROR(1/(1/IF($B100="Residential",SUMIFS(INDEX('Oxford Economics'!$A$7:$AZ$1000,0,IFERROR(MATCH(AE$5,'Oxford Economics'!$A$6:$AZ$6,0),MATCH(AE$5&amp;"",'Oxford Economics'!$A$6:$AZ$6,0))),'Oxford Economics'!$A$7:$A$1000,$C100,'Oxford Economics'!$B$7:$B$1000,Settings!$B$12)-SUMIFS(INDEX('Oxford Economics'!$A$7:$AZ$1000,0,IFERROR(MATCH(AE$5,'Oxford Economics'!$A$6:$AZ$6,0),MATCH(AE$5&amp;"",'Oxford Economics'!$A$6:$AZ$6,0))),'Oxford Economics'!$A$7:$A$1000,$C100,'Oxford Economics'!$B$7:$B$1000,Settings!$B$14),SUMIFS(INDEX('Oxford Economics'!$A$7:$AZ$1000,0,IFERROR(MATCH(AE$5,'Oxford Economics'!$A$6:$AZ$6,0),MATCH(AE$5&amp;"",'Oxford Economics'!$A$6:$AZ$6,0))),'Oxford Economics'!$A$7:$A$1000,$C100,'Oxford Economics'!$B$7:$B$1000,Settings!$B$14)+SUMIFS(INDEX('Oxford Economics'!$A$7:$AZ$1000,0,IFERROR(MATCH(AE$5,'Oxford Economics'!$A$6:$AZ$6,0),MATCH(AE$5&amp;"",'Oxford Economics'!$A$6:$AZ$6,0))),'Oxford Economics'!$A$7:$A$1000,$C100,'Oxford Economics'!$B$7:$B$1000,Settings!$B$16)+IF(Settings!$B$18="",0,SUMIFS(INDEX('Oxford Economics'!$A$7:$AZ$1000,0,IFERROR(MATCH(AE$5,'Oxford Economics'!$A$6:$AZ$6,0),MATCH(AE$5&amp;"",'Oxford Economics'!$A$6:$AZ$6,0))),'Oxford Economics'!$A$7:$A$1000,$C100,'Oxford Economics'!$B$7:$B$1000,Settings!$B$18)))),""))</f>
        <v>49141.88</v>
      </c>
      <c r="AF100" s="38" t="n">
        <f aca="false">IF($A100="","",IFERROR(1/(1/IF($B100="Residential",SUMIFS(INDEX('Oxford Economics'!$A$7:$AZ$1000,0,IFERROR(MATCH(AF$5,'Oxford Economics'!$A$6:$AZ$6,0),MATCH(AF$5&amp;"",'Oxford Economics'!$A$6:$AZ$6,0))),'Oxford Economics'!$A$7:$A$1000,$C100,'Oxford Economics'!$B$7:$B$1000,Settings!$B$12)-SUMIFS(INDEX('Oxford Economics'!$A$7:$AZ$1000,0,IFERROR(MATCH(AF$5,'Oxford Economics'!$A$6:$AZ$6,0),MATCH(AF$5&amp;"",'Oxford Economics'!$A$6:$AZ$6,0))),'Oxford Economics'!$A$7:$A$1000,$C100,'Oxford Economics'!$B$7:$B$1000,Settings!$B$14),SUMIFS(INDEX('Oxford Economics'!$A$7:$AZ$1000,0,IFERROR(MATCH(AF$5,'Oxford Economics'!$A$6:$AZ$6,0),MATCH(AF$5&amp;"",'Oxford Economics'!$A$6:$AZ$6,0))),'Oxford Economics'!$A$7:$A$1000,$C100,'Oxford Economics'!$B$7:$B$1000,Settings!$B$14)+SUMIFS(INDEX('Oxford Economics'!$A$7:$AZ$1000,0,IFERROR(MATCH(AF$5,'Oxford Economics'!$A$6:$AZ$6,0),MATCH(AF$5&amp;"",'Oxford Economics'!$A$6:$AZ$6,0))),'Oxford Economics'!$A$7:$A$1000,$C100,'Oxford Economics'!$B$7:$B$1000,Settings!$B$16)+IF(Settings!$B$18="",0,SUMIFS(INDEX('Oxford Economics'!$A$7:$AZ$1000,0,IFERROR(MATCH(AF$5,'Oxford Economics'!$A$6:$AZ$6,0),MATCH(AF$5&amp;"",'Oxford Economics'!$A$6:$AZ$6,0))),'Oxford Economics'!$A$7:$A$1000,$C100,'Oxford Economics'!$B$7:$B$1000,Settings!$B$18)))),""))</f>
        <v>50203.62</v>
      </c>
      <c r="AG100" s="38" t="n">
        <f aca="false">IF($A100="","",IFERROR(1/(1/IF($B100="Residential",SUMIFS(INDEX('Oxford Economics'!$A$7:$AZ$1000,0,IFERROR(MATCH(AG$5,'Oxford Economics'!$A$6:$AZ$6,0),MATCH(AG$5&amp;"",'Oxford Economics'!$A$6:$AZ$6,0))),'Oxford Economics'!$A$7:$A$1000,$C100,'Oxford Economics'!$B$7:$B$1000,Settings!$B$12)-SUMIFS(INDEX('Oxford Economics'!$A$7:$AZ$1000,0,IFERROR(MATCH(AG$5,'Oxford Economics'!$A$6:$AZ$6,0),MATCH(AG$5&amp;"",'Oxford Economics'!$A$6:$AZ$6,0))),'Oxford Economics'!$A$7:$A$1000,$C100,'Oxford Economics'!$B$7:$B$1000,Settings!$B$14),SUMIFS(INDEX('Oxford Economics'!$A$7:$AZ$1000,0,IFERROR(MATCH(AG$5,'Oxford Economics'!$A$6:$AZ$6,0),MATCH(AG$5&amp;"",'Oxford Economics'!$A$6:$AZ$6,0))),'Oxford Economics'!$A$7:$A$1000,$C100,'Oxford Economics'!$B$7:$B$1000,Settings!$B$14)+SUMIFS(INDEX('Oxford Economics'!$A$7:$AZ$1000,0,IFERROR(MATCH(AG$5,'Oxford Economics'!$A$6:$AZ$6,0),MATCH(AG$5&amp;"",'Oxford Economics'!$A$6:$AZ$6,0))),'Oxford Economics'!$A$7:$A$1000,$C100,'Oxford Economics'!$B$7:$B$1000,Settings!$B$16)+IF(Settings!$B$18="",0,SUMIFS(INDEX('Oxford Economics'!$A$7:$AZ$1000,0,IFERROR(MATCH(AG$5,'Oxford Economics'!$A$6:$AZ$6,0),MATCH(AG$5&amp;"",'Oxford Economics'!$A$6:$AZ$6,0))),'Oxford Economics'!$A$7:$A$1000,$C100,'Oxford Economics'!$B$7:$B$1000,Settings!$B$18)))),""))</f>
        <v>54779.62</v>
      </c>
      <c r="AH100" s="38" t="n">
        <f aca="false">IF($A100="","",IFERROR(1/(1/IF($B100="Residential",SUMIFS(INDEX('Oxford Economics'!$A$7:$AZ$1000,0,IFERROR(MATCH(AH$5,'Oxford Economics'!$A$6:$AZ$6,0),MATCH(AH$5&amp;"",'Oxford Economics'!$A$6:$AZ$6,0))),'Oxford Economics'!$A$7:$A$1000,$C100,'Oxford Economics'!$B$7:$B$1000,Settings!$B$12)-SUMIFS(INDEX('Oxford Economics'!$A$7:$AZ$1000,0,IFERROR(MATCH(AH$5,'Oxford Economics'!$A$6:$AZ$6,0),MATCH(AH$5&amp;"",'Oxford Economics'!$A$6:$AZ$6,0))),'Oxford Economics'!$A$7:$A$1000,$C100,'Oxford Economics'!$B$7:$B$1000,Settings!$B$14),SUMIFS(INDEX('Oxford Economics'!$A$7:$AZ$1000,0,IFERROR(MATCH(AH$5,'Oxford Economics'!$A$6:$AZ$6,0),MATCH(AH$5&amp;"",'Oxford Economics'!$A$6:$AZ$6,0))),'Oxford Economics'!$A$7:$A$1000,$C100,'Oxford Economics'!$B$7:$B$1000,Settings!$B$14)+SUMIFS(INDEX('Oxford Economics'!$A$7:$AZ$1000,0,IFERROR(MATCH(AH$5,'Oxford Economics'!$A$6:$AZ$6,0),MATCH(AH$5&amp;"",'Oxford Economics'!$A$6:$AZ$6,0))),'Oxford Economics'!$A$7:$A$1000,$C100,'Oxford Economics'!$B$7:$B$1000,Settings!$B$16)+IF(Settings!$B$18="",0,SUMIFS(INDEX('Oxford Economics'!$A$7:$AZ$1000,0,IFERROR(MATCH(AH$5,'Oxford Economics'!$A$6:$AZ$6,0),MATCH(AH$5&amp;"",'Oxford Economics'!$A$6:$AZ$6,0))),'Oxford Economics'!$A$7:$A$1000,$C100,'Oxford Economics'!$B$7:$B$1000,Settings!$B$18)))),""))</f>
        <v>60520.28</v>
      </c>
      <c r="AI100" s="38" t="n">
        <f aca="false">IF($A100="","",IFERROR(1/(1/IF($B100="Residential",SUMIFS(INDEX('Oxford Economics'!$A$7:$AZ$1000,0,IFERROR(MATCH(AI$5,'Oxford Economics'!$A$6:$AZ$6,0),MATCH(AI$5&amp;"",'Oxford Economics'!$A$6:$AZ$6,0))),'Oxford Economics'!$A$7:$A$1000,$C100,'Oxford Economics'!$B$7:$B$1000,Settings!$B$12)-SUMIFS(INDEX('Oxford Economics'!$A$7:$AZ$1000,0,IFERROR(MATCH(AI$5,'Oxford Economics'!$A$6:$AZ$6,0),MATCH(AI$5&amp;"",'Oxford Economics'!$A$6:$AZ$6,0))),'Oxford Economics'!$A$7:$A$1000,$C100,'Oxford Economics'!$B$7:$B$1000,Settings!$B$14),SUMIFS(INDEX('Oxford Economics'!$A$7:$AZ$1000,0,IFERROR(MATCH(AI$5,'Oxford Economics'!$A$6:$AZ$6,0),MATCH(AI$5&amp;"",'Oxford Economics'!$A$6:$AZ$6,0))),'Oxford Economics'!$A$7:$A$1000,$C100,'Oxford Economics'!$B$7:$B$1000,Settings!$B$14)+SUMIFS(INDEX('Oxford Economics'!$A$7:$AZ$1000,0,IFERROR(MATCH(AI$5,'Oxford Economics'!$A$6:$AZ$6,0),MATCH(AI$5&amp;"",'Oxford Economics'!$A$6:$AZ$6,0))),'Oxford Economics'!$A$7:$A$1000,$C100,'Oxford Economics'!$B$7:$B$1000,Settings!$B$16)+IF(Settings!$B$18="",0,SUMIFS(INDEX('Oxford Economics'!$A$7:$AZ$1000,0,IFERROR(MATCH(AI$5,'Oxford Economics'!$A$6:$AZ$6,0),MATCH(AI$5&amp;"",'Oxford Economics'!$A$6:$AZ$6,0))),'Oxford Economics'!$A$7:$A$1000,$C100,'Oxford Economics'!$B$7:$B$1000,Settings!$B$18)))),""))</f>
        <v>64508.84</v>
      </c>
      <c r="AJ100" s="38" t="n">
        <f aca="false">IF($A100="","",IFERROR(1/(1/IF($B100="Residential",SUMIFS(INDEX('Oxford Economics'!$A$7:$AZ$1000,0,IFERROR(MATCH(AJ$5,'Oxford Economics'!$A$6:$AZ$6,0),MATCH(AJ$5&amp;"",'Oxford Economics'!$A$6:$AZ$6,0))),'Oxford Economics'!$A$7:$A$1000,$C100,'Oxford Economics'!$B$7:$B$1000,Settings!$B$12)-SUMIFS(INDEX('Oxford Economics'!$A$7:$AZ$1000,0,IFERROR(MATCH(AJ$5,'Oxford Economics'!$A$6:$AZ$6,0),MATCH(AJ$5&amp;"",'Oxford Economics'!$A$6:$AZ$6,0))),'Oxford Economics'!$A$7:$A$1000,$C100,'Oxford Economics'!$B$7:$B$1000,Settings!$B$14),SUMIFS(INDEX('Oxford Economics'!$A$7:$AZ$1000,0,IFERROR(MATCH(AJ$5,'Oxford Economics'!$A$6:$AZ$6,0),MATCH(AJ$5&amp;"",'Oxford Economics'!$A$6:$AZ$6,0))),'Oxford Economics'!$A$7:$A$1000,$C100,'Oxford Economics'!$B$7:$B$1000,Settings!$B$14)+SUMIFS(INDEX('Oxford Economics'!$A$7:$AZ$1000,0,IFERROR(MATCH(AJ$5,'Oxford Economics'!$A$6:$AZ$6,0),MATCH(AJ$5&amp;"",'Oxford Economics'!$A$6:$AZ$6,0))),'Oxford Economics'!$A$7:$A$1000,$C100,'Oxford Economics'!$B$7:$B$1000,Settings!$B$16)+IF(Settings!$B$18="",0,SUMIFS(INDEX('Oxford Economics'!$A$7:$AZ$1000,0,IFERROR(MATCH(AJ$5,'Oxford Economics'!$A$6:$AZ$6,0),MATCH(AJ$5&amp;"",'Oxford Economics'!$A$6:$AZ$6,0))),'Oxford Economics'!$A$7:$A$1000,$C100,'Oxford Economics'!$B$7:$B$1000,Settings!$B$18)))),""))</f>
        <v>67229.83</v>
      </c>
      <c r="AK100" s="38" t="n">
        <f aca="false">IF($A100="","",IFERROR(1/(1/IF($B100="Residential",SUMIFS(INDEX('Oxford Economics'!$A$7:$AZ$1000,0,IFERROR(MATCH(AK$5,'Oxford Economics'!$A$6:$AZ$6,0),MATCH(AK$5&amp;"",'Oxford Economics'!$A$6:$AZ$6,0))),'Oxford Economics'!$A$7:$A$1000,$C100,'Oxford Economics'!$B$7:$B$1000,Settings!$B$12)-SUMIFS(INDEX('Oxford Economics'!$A$7:$AZ$1000,0,IFERROR(MATCH(AK$5,'Oxford Economics'!$A$6:$AZ$6,0),MATCH(AK$5&amp;"",'Oxford Economics'!$A$6:$AZ$6,0))),'Oxford Economics'!$A$7:$A$1000,$C100,'Oxford Economics'!$B$7:$B$1000,Settings!$B$14),SUMIFS(INDEX('Oxford Economics'!$A$7:$AZ$1000,0,IFERROR(MATCH(AK$5,'Oxford Economics'!$A$6:$AZ$6,0),MATCH(AK$5&amp;"",'Oxford Economics'!$A$6:$AZ$6,0))),'Oxford Economics'!$A$7:$A$1000,$C100,'Oxford Economics'!$B$7:$B$1000,Settings!$B$14)+SUMIFS(INDEX('Oxford Economics'!$A$7:$AZ$1000,0,IFERROR(MATCH(AK$5,'Oxford Economics'!$A$6:$AZ$6,0),MATCH(AK$5&amp;"",'Oxford Economics'!$A$6:$AZ$6,0))),'Oxford Economics'!$A$7:$A$1000,$C100,'Oxford Economics'!$B$7:$B$1000,Settings!$B$16)+IF(Settings!$B$18="",0,SUMIFS(INDEX('Oxford Economics'!$A$7:$AZ$1000,0,IFERROR(MATCH(AK$5,'Oxford Economics'!$A$6:$AZ$6,0),MATCH(AK$5&amp;"",'Oxford Economics'!$A$6:$AZ$6,0))),'Oxford Economics'!$A$7:$A$1000,$C100,'Oxford Economics'!$B$7:$B$1000,Settings!$B$18)))),""))</f>
        <v>69156.3</v>
      </c>
      <c r="AL100" s="38" t="n">
        <f aca="false">IF($A100="","",IFERROR(1/(1/IF($B100="Residential",SUMIFS(INDEX('Oxford Economics'!$A$7:$AZ$1000,0,IFERROR(MATCH(AL$5,'Oxford Economics'!$A$6:$AZ$6,0),MATCH(AL$5&amp;"",'Oxford Economics'!$A$6:$AZ$6,0))),'Oxford Economics'!$A$7:$A$1000,$C100,'Oxford Economics'!$B$7:$B$1000,Settings!$B$12)-SUMIFS(INDEX('Oxford Economics'!$A$7:$AZ$1000,0,IFERROR(MATCH(AL$5,'Oxford Economics'!$A$6:$AZ$6,0),MATCH(AL$5&amp;"",'Oxford Economics'!$A$6:$AZ$6,0))),'Oxford Economics'!$A$7:$A$1000,$C100,'Oxford Economics'!$B$7:$B$1000,Settings!$B$14),SUMIFS(INDEX('Oxford Economics'!$A$7:$AZ$1000,0,IFERROR(MATCH(AL$5,'Oxford Economics'!$A$6:$AZ$6,0),MATCH(AL$5&amp;"",'Oxford Economics'!$A$6:$AZ$6,0))),'Oxford Economics'!$A$7:$A$1000,$C100,'Oxford Economics'!$B$7:$B$1000,Settings!$B$14)+SUMIFS(INDEX('Oxford Economics'!$A$7:$AZ$1000,0,IFERROR(MATCH(AL$5,'Oxford Economics'!$A$6:$AZ$6,0),MATCH(AL$5&amp;"",'Oxford Economics'!$A$6:$AZ$6,0))),'Oxford Economics'!$A$7:$A$1000,$C100,'Oxford Economics'!$B$7:$B$1000,Settings!$B$16)+IF(Settings!$B$18="",0,SUMIFS(INDEX('Oxford Economics'!$A$7:$AZ$1000,0,IFERROR(MATCH(AL$5,'Oxford Economics'!$A$6:$AZ$6,0),MATCH(AL$5&amp;"",'Oxford Economics'!$A$6:$AZ$6,0))),'Oxford Economics'!$A$7:$A$1000,$C100,'Oxford Economics'!$B$7:$B$1000,Settings!$B$18)))),""))</f>
        <v>70650.78</v>
      </c>
      <c r="AM100" s="38" t="n">
        <f aca="false">IF($A100="","",IFERROR(1/(1/IF($B100="Residential",SUMIFS(INDEX('Oxford Economics'!$A$7:$AZ$1000,0,IFERROR(MATCH(AM$5,'Oxford Economics'!$A$6:$AZ$6,0),MATCH(AM$5&amp;"",'Oxford Economics'!$A$6:$AZ$6,0))),'Oxford Economics'!$A$7:$A$1000,$C100,'Oxford Economics'!$B$7:$B$1000,Settings!$B$12)-SUMIFS(INDEX('Oxford Economics'!$A$7:$AZ$1000,0,IFERROR(MATCH(AM$5,'Oxford Economics'!$A$6:$AZ$6,0),MATCH(AM$5&amp;"",'Oxford Economics'!$A$6:$AZ$6,0))),'Oxford Economics'!$A$7:$A$1000,$C100,'Oxford Economics'!$B$7:$B$1000,Settings!$B$14),SUMIFS(INDEX('Oxford Economics'!$A$7:$AZ$1000,0,IFERROR(MATCH(AM$5,'Oxford Economics'!$A$6:$AZ$6,0),MATCH(AM$5&amp;"",'Oxford Economics'!$A$6:$AZ$6,0))),'Oxford Economics'!$A$7:$A$1000,$C100,'Oxford Economics'!$B$7:$B$1000,Settings!$B$14)+SUMIFS(INDEX('Oxford Economics'!$A$7:$AZ$1000,0,IFERROR(MATCH(AM$5,'Oxford Economics'!$A$6:$AZ$6,0),MATCH(AM$5&amp;"",'Oxford Economics'!$A$6:$AZ$6,0))),'Oxford Economics'!$A$7:$A$1000,$C100,'Oxford Economics'!$B$7:$B$1000,Settings!$B$16)+IF(Settings!$B$18="",0,SUMIFS(INDEX('Oxford Economics'!$A$7:$AZ$1000,0,IFERROR(MATCH(AM$5,'Oxford Economics'!$A$6:$AZ$6,0),MATCH(AM$5&amp;"",'Oxford Economics'!$A$6:$AZ$6,0))),'Oxford Economics'!$A$7:$A$1000,$C100,'Oxford Economics'!$B$7:$B$1000,Settings!$B$18)))),""))</f>
        <v>71686.81</v>
      </c>
    </row>
    <row r="101" customFormat="false" ht="15" hidden="false" customHeight="false" outlineLevel="0" collapsed="false">
      <c r="A101" s="37" t="str">
        <f aca="false">IF('Raw data'!$A101="","",'Raw data'!$A101)</f>
        <v>Spain</v>
      </c>
      <c r="B101" s="37" t="str">
        <f aca="false">IF($A101="","",'Raw data'!$C101)</f>
        <v>Commercial</v>
      </c>
      <c r="C101" s="37" t="str">
        <f aca="false">IF($A101="","",IF('Raw data'!$E101="",$A101,'Raw data'!$E101))</f>
        <v>Spain</v>
      </c>
      <c r="D101" s="38" t="n">
        <f aca="false">IF($A101="","",IF(AND(ISNUMBER(P101),ISNUMBER(AB101)),P101+AB101,""))</f>
        <v>67956.51</v>
      </c>
      <c r="E101" s="38" t="n">
        <f aca="false">IF($A101="","",IF(AND(ISNUMBER(Q101),ISNUMBER(AC101)),Q101+AC101,""))</f>
        <v>65800.75</v>
      </c>
      <c r="F101" s="38" t="n">
        <f aca="false">IF($A101="","",IF(AND(ISNUMBER(R101),ISNUMBER(AD101)),R101+AD101,""))</f>
        <v>73496.76</v>
      </c>
      <c r="G101" s="38" t="n">
        <f aca="false">IF($A101="","",IF(AND(ISNUMBER(S101),ISNUMBER(AE101)),S101+AE101,""))</f>
        <v>76655.44</v>
      </c>
      <c r="H101" s="38" t="n">
        <f aca="false">IF($A101="","",IF(AND(ISNUMBER(T101),ISNUMBER(AF101)),T101+AF101,""))</f>
        <v>78112.83</v>
      </c>
      <c r="I101" s="38" t="n">
        <f aca="false">IF($A101="","",IF(AND(ISNUMBER(U101),ISNUMBER(AG101)),U101+AG101,""))</f>
        <v>85393.01</v>
      </c>
      <c r="J101" s="38" t="n">
        <f aca="false">IF($A101="","",IF(AND(ISNUMBER(V101),ISNUMBER(AH101)),V101+AH101,""))</f>
        <v>91094.94</v>
      </c>
      <c r="K101" s="38" t="n">
        <f aca="false">IF($A101="","",IF(AND(ISNUMBER(W101),ISNUMBER(AI101)),W101+AI101,""))</f>
        <v>95168.43</v>
      </c>
      <c r="L101" s="38" t="n">
        <f aca="false">IF($A101="","",IF(AND(ISNUMBER(X101),ISNUMBER(AJ101)),X101+AJ101,""))</f>
        <v>99206.61</v>
      </c>
      <c r="M101" s="38" t="n">
        <f aca="false">IF($A101="","",IF(AND(ISNUMBER(Y101),ISNUMBER(AK101)),Y101+AK101,""))</f>
        <v>103209.64</v>
      </c>
      <c r="N101" s="38" t="n">
        <f aca="false">IF($A101="","",IF(AND(ISNUMBER(Z101),ISNUMBER(AL101)),Z101+AL101,""))</f>
        <v>106794.56</v>
      </c>
      <c r="O101" s="38" t="n">
        <f aca="false">IF($A101="","",IF(AND(ISNUMBER(AA101),ISNUMBER(AM101)),AA101+AM101,""))</f>
        <v>109007.68</v>
      </c>
      <c r="P101" s="38" t="n">
        <f aca="false">IF($A101="","",IFERROR(1/(1/IF($B101="Residential",SUMIFS(INDEX('Oxford Economics'!$A$7:$AZ$1000,0,IFERROR(MATCH(P$5,'Oxford Economics'!$A$6:$AZ$6,0),MATCH(P$5&amp;"",'Oxford Economics'!$A$6:$AZ$6,0))),'Oxford Economics'!$A$7:$A$1000,$C101,'Oxford Economics'!$B$7:$B$1000,Settings!$B$13)-SUMIFS(INDEX('Oxford Economics'!$A$7:$AZ$1000,0,IFERROR(MATCH(P$5,'Oxford Economics'!$A$6:$AZ$6,0),MATCH(P$5&amp;"",'Oxford Economics'!$A$6:$AZ$6,0))),'Oxford Economics'!$A$7:$A$1000,$C101,'Oxford Economics'!$B$7:$B$1000,Settings!$B$15),SUMIFS(INDEX('Oxford Economics'!$A$7:$AZ$1000,0,IFERROR(MATCH(P$5,'Oxford Economics'!$A$6:$AZ$6,0),MATCH(P$5&amp;"",'Oxford Economics'!$A$6:$AZ$6,0))),'Oxford Economics'!$A$7:$A$1000,$C101,'Oxford Economics'!$B$7:$B$1000,Settings!$B$15)+SUMIFS(INDEX('Oxford Economics'!$A$7:$AZ$1000,0,IFERROR(MATCH(P$5,'Oxford Economics'!$A$6:$AZ$6,0),MATCH(P$5&amp;"",'Oxford Economics'!$A$6:$AZ$6,0))),'Oxford Economics'!$A$7:$A$1000,$C101,'Oxford Economics'!$B$7:$B$1000,Settings!$B$17)+IF(Settings!$B$19="",0,SUMIFS(INDEX('Oxford Economics'!$A$7:$AZ$1000,0,IFERROR(MATCH(P$5,'Oxford Economics'!$A$6:$AZ$6,0),MATCH(P$5&amp;"",'Oxford Economics'!$A$6:$AZ$6,0))),'Oxford Economics'!$A$7:$A$1000,$C101,'Oxford Economics'!$B$7:$B$1000,Settings!$B$19)))),""))</f>
        <v>23915.74</v>
      </c>
      <c r="Q101" s="38" t="n">
        <f aca="false">IF($A101="","",IFERROR(1/(1/IF($B101="Residential",SUMIFS(INDEX('Oxford Economics'!$A$7:$AZ$1000,0,IFERROR(MATCH(Q$5,'Oxford Economics'!$A$6:$AZ$6,0),MATCH(Q$5&amp;"",'Oxford Economics'!$A$6:$AZ$6,0))),'Oxford Economics'!$A$7:$A$1000,$C101,'Oxford Economics'!$B$7:$B$1000,Settings!$B$13)-SUMIFS(INDEX('Oxford Economics'!$A$7:$AZ$1000,0,IFERROR(MATCH(Q$5,'Oxford Economics'!$A$6:$AZ$6,0),MATCH(Q$5&amp;"",'Oxford Economics'!$A$6:$AZ$6,0))),'Oxford Economics'!$A$7:$A$1000,$C101,'Oxford Economics'!$B$7:$B$1000,Settings!$B$15),SUMIFS(INDEX('Oxford Economics'!$A$7:$AZ$1000,0,IFERROR(MATCH(Q$5,'Oxford Economics'!$A$6:$AZ$6,0),MATCH(Q$5&amp;"",'Oxford Economics'!$A$6:$AZ$6,0))),'Oxford Economics'!$A$7:$A$1000,$C101,'Oxford Economics'!$B$7:$B$1000,Settings!$B$15)+SUMIFS(INDEX('Oxford Economics'!$A$7:$AZ$1000,0,IFERROR(MATCH(Q$5,'Oxford Economics'!$A$6:$AZ$6,0),MATCH(Q$5&amp;"",'Oxford Economics'!$A$6:$AZ$6,0))),'Oxford Economics'!$A$7:$A$1000,$C101,'Oxford Economics'!$B$7:$B$1000,Settings!$B$17)+IF(Settings!$B$19="",0,SUMIFS(INDEX('Oxford Economics'!$A$7:$AZ$1000,0,IFERROR(MATCH(Q$5,'Oxford Economics'!$A$6:$AZ$6,0),MATCH(Q$5&amp;"",'Oxford Economics'!$A$6:$AZ$6,0))),'Oxford Economics'!$A$7:$A$1000,$C101,'Oxford Economics'!$B$7:$B$1000,Settings!$B$19)))),""))</f>
        <v>23729.23</v>
      </c>
      <c r="R101" s="38" t="n">
        <f aca="false">IF($A101="","",IFERROR(1/(1/IF($B101="Residential",SUMIFS(INDEX('Oxford Economics'!$A$7:$AZ$1000,0,IFERROR(MATCH(R$5,'Oxford Economics'!$A$6:$AZ$6,0),MATCH(R$5&amp;"",'Oxford Economics'!$A$6:$AZ$6,0))),'Oxford Economics'!$A$7:$A$1000,$C101,'Oxford Economics'!$B$7:$B$1000,Settings!$B$13)-SUMIFS(INDEX('Oxford Economics'!$A$7:$AZ$1000,0,IFERROR(MATCH(R$5,'Oxford Economics'!$A$6:$AZ$6,0),MATCH(R$5&amp;"",'Oxford Economics'!$A$6:$AZ$6,0))),'Oxford Economics'!$A$7:$A$1000,$C101,'Oxford Economics'!$B$7:$B$1000,Settings!$B$15),SUMIFS(INDEX('Oxford Economics'!$A$7:$AZ$1000,0,IFERROR(MATCH(R$5,'Oxford Economics'!$A$6:$AZ$6,0),MATCH(R$5&amp;"",'Oxford Economics'!$A$6:$AZ$6,0))),'Oxford Economics'!$A$7:$A$1000,$C101,'Oxford Economics'!$B$7:$B$1000,Settings!$B$15)+SUMIFS(INDEX('Oxford Economics'!$A$7:$AZ$1000,0,IFERROR(MATCH(R$5,'Oxford Economics'!$A$6:$AZ$6,0),MATCH(R$5&amp;"",'Oxford Economics'!$A$6:$AZ$6,0))),'Oxford Economics'!$A$7:$A$1000,$C101,'Oxford Economics'!$B$7:$B$1000,Settings!$B$17)+IF(Settings!$B$19="",0,SUMIFS(INDEX('Oxford Economics'!$A$7:$AZ$1000,0,IFERROR(MATCH(R$5,'Oxford Economics'!$A$6:$AZ$6,0),MATCH(R$5&amp;"",'Oxford Economics'!$A$6:$AZ$6,0))),'Oxford Economics'!$A$7:$A$1000,$C101,'Oxford Economics'!$B$7:$B$1000,Settings!$B$19)))),""))</f>
        <v>26423.86</v>
      </c>
      <c r="S101" s="38" t="n">
        <f aca="false">IF($A101="","",IFERROR(1/(1/IF($B101="Residential",SUMIFS(INDEX('Oxford Economics'!$A$7:$AZ$1000,0,IFERROR(MATCH(S$5,'Oxford Economics'!$A$6:$AZ$6,0),MATCH(S$5&amp;"",'Oxford Economics'!$A$6:$AZ$6,0))),'Oxford Economics'!$A$7:$A$1000,$C101,'Oxford Economics'!$B$7:$B$1000,Settings!$B$13)-SUMIFS(INDEX('Oxford Economics'!$A$7:$AZ$1000,0,IFERROR(MATCH(S$5,'Oxford Economics'!$A$6:$AZ$6,0),MATCH(S$5&amp;"",'Oxford Economics'!$A$6:$AZ$6,0))),'Oxford Economics'!$A$7:$A$1000,$C101,'Oxford Economics'!$B$7:$B$1000,Settings!$B$15),SUMIFS(INDEX('Oxford Economics'!$A$7:$AZ$1000,0,IFERROR(MATCH(S$5,'Oxford Economics'!$A$6:$AZ$6,0),MATCH(S$5&amp;"",'Oxford Economics'!$A$6:$AZ$6,0))),'Oxford Economics'!$A$7:$A$1000,$C101,'Oxford Economics'!$B$7:$B$1000,Settings!$B$15)+SUMIFS(INDEX('Oxford Economics'!$A$7:$AZ$1000,0,IFERROR(MATCH(S$5,'Oxford Economics'!$A$6:$AZ$6,0),MATCH(S$5&amp;"",'Oxford Economics'!$A$6:$AZ$6,0))),'Oxford Economics'!$A$7:$A$1000,$C101,'Oxford Economics'!$B$7:$B$1000,Settings!$B$17)+IF(Settings!$B$19="",0,SUMIFS(INDEX('Oxford Economics'!$A$7:$AZ$1000,0,IFERROR(MATCH(S$5,'Oxford Economics'!$A$6:$AZ$6,0),MATCH(S$5&amp;"",'Oxford Economics'!$A$6:$AZ$6,0))),'Oxford Economics'!$A$7:$A$1000,$C101,'Oxford Economics'!$B$7:$B$1000,Settings!$B$19)))),""))</f>
        <v>27513.56</v>
      </c>
      <c r="T101" s="38" t="n">
        <f aca="false">IF($A101="","",IFERROR(1/(1/IF($B101="Residential",SUMIFS(INDEX('Oxford Economics'!$A$7:$AZ$1000,0,IFERROR(MATCH(T$5,'Oxford Economics'!$A$6:$AZ$6,0),MATCH(T$5&amp;"",'Oxford Economics'!$A$6:$AZ$6,0))),'Oxford Economics'!$A$7:$A$1000,$C101,'Oxford Economics'!$B$7:$B$1000,Settings!$B$13)-SUMIFS(INDEX('Oxford Economics'!$A$7:$AZ$1000,0,IFERROR(MATCH(T$5,'Oxford Economics'!$A$6:$AZ$6,0),MATCH(T$5&amp;"",'Oxford Economics'!$A$6:$AZ$6,0))),'Oxford Economics'!$A$7:$A$1000,$C101,'Oxford Economics'!$B$7:$B$1000,Settings!$B$15),SUMIFS(INDEX('Oxford Economics'!$A$7:$AZ$1000,0,IFERROR(MATCH(T$5,'Oxford Economics'!$A$6:$AZ$6,0),MATCH(T$5&amp;"",'Oxford Economics'!$A$6:$AZ$6,0))),'Oxford Economics'!$A$7:$A$1000,$C101,'Oxford Economics'!$B$7:$B$1000,Settings!$B$15)+SUMIFS(INDEX('Oxford Economics'!$A$7:$AZ$1000,0,IFERROR(MATCH(T$5,'Oxford Economics'!$A$6:$AZ$6,0),MATCH(T$5&amp;"",'Oxford Economics'!$A$6:$AZ$6,0))),'Oxford Economics'!$A$7:$A$1000,$C101,'Oxford Economics'!$B$7:$B$1000,Settings!$B$17)+IF(Settings!$B$19="",0,SUMIFS(INDEX('Oxford Economics'!$A$7:$AZ$1000,0,IFERROR(MATCH(T$5,'Oxford Economics'!$A$6:$AZ$6,0),MATCH(T$5&amp;"",'Oxford Economics'!$A$6:$AZ$6,0))),'Oxford Economics'!$A$7:$A$1000,$C101,'Oxford Economics'!$B$7:$B$1000,Settings!$B$19)))),""))</f>
        <v>27909.21</v>
      </c>
      <c r="U101" s="38" t="n">
        <f aca="false">IF($A101="","",IFERROR(1/(1/IF($B101="Residential",SUMIFS(INDEX('Oxford Economics'!$A$7:$AZ$1000,0,IFERROR(MATCH(U$5,'Oxford Economics'!$A$6:$AZ$6,0),MATCH(U$5&amp;"",'Oxford Economics'!$A$6:$AZ$6,0))),'Oxford Economics'!$A$7:$A$1000,$C101,'Oxford Economics'!$B$7:$B$1000,Settings!$B$13)-SUMIFS(INDEX('Oxford Economics'!$A$7:$AZ$1000,0,IFERROR(MATCH(U$5,'Oxford Economics'!$A$6:$AZ$6,0),MATCH(U$5&amp;"",'Oxford Economics'!$A$6:$AZ$6,0))),'Oxford Economics'!$A$7:$A$1000,$C101,'Oxford Economics'!$B$7:$B$1000,Settings!$B$15),SUMIFS(INDEX('Oxford Economics'!$A$7:$AZ$1000,0,IFERROR(MATCH(U$5,'Oxford Economics'!$A$6:$AZ$6,0),MATCH(U$5&amp;"",'Oxford Economics'!$A$6:$AZ$6,0))),'Oxford Economics'!$A$7:$A$1000,$C101,'Oxford Economics'!$B$7:$B$1000,Settings!$B$15)+SUMIFS(INDEX('Oxford Economics'!$A$7:$AZ$1000,0,IFERROR(MATCH(U$5,'Oxford Economics'!$A$6:$AZ$6,0),MATCH(U$5&amp;"",'Oxford Economics'!$A$6:$AZ$6,0))),'Oxford Economics'!$A$7:$A$1000,$C101,'Oxford Economics'!$B$7:$B$1000,Settings!$B$17)+IF(Settings!$B$19="",0,SUMIFS(INDEX('Oxford Economics'!$A$7:$AZ$1000,0,IFERROR(MATCH(U$5,'Oxford Economics'!$A$6:$AZ$6,0),MATCH(U$5&amp;"",'Oxford Economics'!$A$6:$AZ$6,0))),'Oxford Economics'!$A$7:$A$1000,$C101,'Oxford Economics'!$B$7:$B$1000,Settings!$B$19)))),""))</f>
        <v>30613.39</v>
      </c>
      <c r="V101" s="38" t="n">
        <f aca="false">IF($A101="","",IFERROR(1/(1/IF($B101="Residential",SUMIFS(INDEX('Oxford Economics'!$A$7:$AZ$1000,0,IFERROR(MATCH(V$5,'Oxford Economics'!$A$6:$AZ$6,0),MATCH(V$5&amp;"",'Oxford Economics'!$A$6:$AZ$6,0))),'Oxford Economics'!$A$7:$A$1000,$C101,'Oxford Economics'!$B$7:$B$1000,Settings!$B$13)-SUMIFS(INDEX('Oxford Economics'!$A$7:$AZ$1000,0,IFERROR(MATCH(V$5,'Oxford Economics'!$A$6:$AZ$6,0),MATCH(V$5&amp;"",'Oxford Economics'!$A$6:$AZ$6,0))),'Oxford Economics'!$A$7:$A$1000,$C101,'Oxford Economics'!$B$7:$B$1000,Settings!$B$15),SUMIFS(INDEX('Oxford Economics'!$A$7:$AZ$1000,0,IFERROR(MATCH(V$5,'Oxford Economics'!$A$6:$AZ$6,0),MATCH(V$5&amp;"",'Oxford Economics'!$A$6:$AZ$6,0))),'Oxford Economics'!$A$7:$A$1000,$C101,'Oxford Economics'!$B$7:$B$1000,Settings!$B$15)+SUMIFS(INDEX('Oxford Economics'!$A$7:$AZ$1000,0,IFERROR(MATCH(V$5,'Oxford Economics'!$A$6:$AZ$6,0),MATCH(V$5&amp;"",'Oxford Economics'!$A$6:$AZ$6,0))),'Oxford Economics'!$A$7:$A$1000,$C101,'Oxford Economics'!$B$7:$B$1000,Settings!$B$17)+IF(Settings!$B$19="",0,SUMIFS(INDEX('Oxford Economics'!$A$7:$AZ$1000,0,IFERROR(MATCH(V$5,'Oxford Economics'!$A$6:$AZ$6,0),MATCH(V$5&amp;"",'Oxford Economics'!$A$6:$AZ$6,0))),'Oxford Economics'!$A$7:$A$1000,$C101,'Oxford Economics'!$B$7:$B$1000,Settings!$B$19)))),""))</f>
        <v>30574.66</v>
      </c>
      <c r="W101" s="38" t="n">
        <f aca="false">IF($A101="","",IFERROR(1/(1/IF($B101="Residential",SUMIFS(INDEX('Oxford Economics'!$A$7:$AZ$1000,0,IFERROR(MATCH(W$5,'Oxford Economics'!$A$6:$AZ$6,0),MATCH(W$5&amp;"",'Oxford Economics'!$A$6:$AZ$6,0))),'Oxford Economics'!$A$7:$A$1000,$C101,'Oxford Economics'!$B$7:$B$1000,Settings!$B$13)-SUMIFS(INDEX('Oxford Economics'!$A$7:$AZ$1000,0,IFERROR(MATCH(W$5,'Oxford Economics'!$A$6:$AZ$6,0),MATCH(W$5&amp;"",'Oxford Economics'!$A$6:$AZ$6,0))),'Oxford Economics'!$A$7:$A$1000,$C101,'Oxford Economics'!$B$7:$B$1000,Settings!$B$15),SUMIFS(INDEX('Oxford Economics'!$A$7:$AZ$1000,0,IFERROR(MATCH(W$5,'Oxford Economics'!$A$6:$AZ$6,0),MATCH(W$5&amp;"",'Oxford Economics'!$A$6:$AZ$6,0))),'Oxford Economics'!$A$7:$A$1000,$C101,'Oxford Economics'!$B$7:$B$1000,Settings!$B$15)+SUMIFS(INDEX('Oxford Economics'!$A$7:$AZ$1000,0,IFERROR(MATCH(W$5,'Oxford Economics'!$A$6:$AZ$6,0),MATCH(W$5&amp;"",'Oxford Economics'!$A$6:$AZ$6,0))),'Oxford Economics'!$A$7:$A$1000,$C101,'Oxford Economics'!$B$7:$B$1000,Settings!$B$17)+IF(Settings!$B$19="",0,SUMIFS(INDEX('Oxford Economics'!$A$7:$AZ$1000,0,IFERROR(MATCH(W$5,'Oxford Economics'!$A$6:$AZ$6,0),MATCH(W$5&amp;"",'Oxford Economics'!$A$6:$AZ$6,0))),'Oxford Economics'!$A$7:$A$1000,$C101,'Oxford Economics'!$B$7:$B$1000,Settings!$B$19)))),""))</f>
        <v>30659.59</v>
      </c>
      <c r="X101" s="38" t="n">
        <f aca="false">IF($A101="","",IFERROR(1/(1/IF($B101="Residential",SUMIFS(INDEX('Oxford Economics'!$A$7:$AZ$1000,0,IFERROR(MATCH(X$5,'Oxford Economics'!$A$6:$AZ$6,0),MATCH(X$5&amp;"",'Oxford Economics'!$A$6:$AZ$6,0))),'Oxford Economics'!$A$7:$A$1000,$C101,'Oxford Economics'!$B$7:$B$1000,Settings!$B$13)-SUMIFS(INDEX('Oxford Economics'!$A$7:$AZ$1000,0,IFERROR(MATCH(X$5,'Oxford Economics'!$A$6:$AZ$6,0),MATCH(X$5&amp;"",'Oxford Economics'!$A$6:$AZ$6,0))),'Oxford Economics'!$A$7:$A$1000,$C101,'Oxford Economics'!$B$7:$B$1000,Settings!$B$15),SUMIFS(INDEX('Oxford Economics'!$A$7:$AZ$1000,0,IFERROR(MATCH(X$5,'Oxford Economics'!$A$6:$AZ$6,0),MATCH(X$5&amp;"",'Oxford Economics'!$A$6:$AZ$6,0))),'Oxford Economics'!$A$7:$A$1000,$C101,'Oxford Economics'!$B$7:$B$1000,Settings!$B$15)+SUMIFS(INDEX('Oxford Economics'!$A$7:$AZ$1000,0,IFERROR(MATCH(X$5,'Oxford Economics'!$A$6:$AZ$6,0),MATCH(X$5&amp;"",'Oxford Economics'!$A$6:$AZ$6,0))),'Oxford Economics'!$A$7:$A$1000,$C101,'Oxford Economics'!$B$7:$B$1000,Settings!$B$17)+IF(Settings!$B$19="",0,SUMIFS(INDEX('Oxford Economics'!$A$7:$AZ$1000,0,IFERROR(MATCH(X$5,'Oxford Economics'!$A$6:$AZ$6,0),MATCH(X$5&amp;"",'Oxford Economics'!$A$6:$AZ$6,0))),'Oxford Economics'!$A$7:$A$1000,$C101,'Oxford Economics'!$B$7:$B$1000,Settings!$B$19)))),""))</f>
        <v>31976.78</v>
      </c>
      <c r="Y101" s="38" t="n">
        <f aca="false">IF($A101="","",IFERROR(1/(1/IF($B101="Residential",SUMIFS(INDEX('Oxford Economics'!$A$7:$AZ$1000,0,IFERROR(MATCH(Y$5,'Oxford Economics'!$A$6:$AZ$6,0),MATCH(Y$5&amp;"",'Oxford Economics'!$A$6:$AZ$6,0))),'Oxford Economics'!$A$7:$A$1000,$C101,'Oxford Economics'!$B$7:$B$1000,Settings!$B$13)-SUMIFS(INDEX('Oxford Economics'!$A$7:$AZ$1000,0,IFERROR(MATCH(Y$5,'Oxford Economics'!$A$6:$AZ$6,0),MATCH(Y$5&amp;"",'Oxford Economics'!$A$6:$AZ$6,0))),'Oxford Economics'!$A$7:$A$1000,$C101,'Oxford Economics'!$B$7:$B$1000,Settings!$B$15),SUMIFS(INDEX('Oxford Economics'!$A$7:$AZ$1000,0,IFERROR(MATCH(Y$5,'Oxford Economics'!$A$6:$AZ$6,0),MATCH(Y$5&amp;"",'Oxford Economics'!$A$6:$AZ$6,0))),'Oxford Economics'!$A$7:$A$1000,$C101,'Oxford Economics'!$B$7:$B$1000,Settings!$B$15)+SUMIFS(INDEX('Oxford Economics'!$A$7:$AZ$1000,0,IFERROR(MATCH(Y$5,'Oxford Economics'!$A$6:$AZ$6,0),MATCH(Y$5&amp;"",'Oxford Economics'!$A$6:$AZ$6,0))),'Oxford Economics'!$A$7:$A$1000,$C101,'Oxford Economics'!$B$7:$B$1000,Settings!$B$17)+IF(Settings!$B$19="",0,SUMIFS(INDEX('Oxford Economics'!$A$7:$AZ$1000,0,IFERROR(MATCH(Y$5,'Oxford Economics'!$A$6:$AZ$6,0),MATCH(Y$5&amp;"",'Oxford Economics'!$A$6:$AZ$6,0))),'Oxford Economics'!$A$7:$A$1000,$C101,'Oxford Economics'!$B$7:$B$1000,Settings!$B$19)))),""))</f>
        <v>34053.34</v>
      </c>
      <c r="Z101" s="38" t="n">
        <f aca="false">IF($A101="","",IFERROR(1/(1/IF($B101="Residential",SUMIFS(INDEX('Oxford Economics'!$A$7:$AZ$1000,0,IFERROR(MATCH(Z$5,'Oxford Economics'!$A$6:$AZ$6,0),MATCH(Z$5&amp;"",'Oxford Economics'!$A$6:$AZ$6,0))),'Oxford Economics'!$A$7:$A$1000,$C101,'Oxford Economics'!$B$7:$B$1000,Settings!$B$13)-SUMIFS(INDEX('Oxford Economics'!$A$7:$AZ$1000,0,IFERROR(MATCH(Z$5,'Oxford Economics'!$A$6:$AZ$6,0),MATCH(Z$5&amp;"",'Oxford Economics'!$A$6:$AZ$6,0))),'Oxford Economics'!$A$7:$A$1000,$C101,'Oxford Economics'!$B$7:$B$1000,Settings!$B$15),SUMIFS(INDEX('Oxford Economics'!$A$7:$AZ$1000,0,IFERROR(MATCH(Z$5,'Oxford Economics'!$A$6:$AZ$6,0),MATCH(Z$5&amp;"",'Oxford Economics'!$A$6:$AZ$6,0))),'Oxford Economics'!$A$7:$A$1000,$C101,'Oxford Economics'!$B$7:$B$1000,Settings!$B$15)+SUMIFS(INDEX('Oxford Economics'!$A$7:$AZ$1000,0,IFERROR(MATCH(Z$5,'Oxford Economics'!$A$6:$AZ$6,0),MATCH(Z$5&amp;"",'Oxford Economics'!$A$6:$AZ$6,0))),'Oxford Economics'!$A$7:$A$1000,$C101,'Oxford Economics'!$B$7:$B$1000,Settings!$B$17)+IF(Settings!$B$19="",0,SUMIFS(INDEX('Oxford Economics'!$A$7:$AZ$1000,0,IFERROR(MATCH(Z$5,'Oxford Economics'!$A$6:$AZ$6,0),MATCH(Z$5&amp;"",'Oxford Economics'!$A$6:$AZ$6,0))),'Oxford Economics'!$A$7:$A$1000,$C101,'Oxford Economics'!$B$7:$B$1000,Settings!$B$19)))),""))</f>
        <v>36143.78</v>
      </c>
      <c r="AA101" s="38" t="n">
        <f aca="false">IF($A101="","",IFERROR(1/(1/IF($B101="Residential",SUMIFS(INDEX('Oxford Economics'!$A$7:$AZ$1000,0,IFERROR(MATCH(AA$5,'Oxford Economics'!$A$6:$AZ$6,0),MATCH(AA$5&amp;"",'Oxford Economics'!$A$6:$AZ$6,0))),'Oxford Economics'!$A$7:$A$1000,$C101,'Oxford Economics'!$B$7:$B$1000,Settings!$B$13)-SUMIFS(INDEX('Oxford Economics'!$A$7:$AZ$1000,0,IFERROR(MATCH(AA$5,'Oxford Economics'!$A$6:$AZ$6,0),MATCH(AA$5&amp;"",'Oxford Economics'!$A$6:$AZ$6,0))),'Oxford Economics'!$A$7:$A$1000,$C101,'Oxford Economics'!$B$7:$B$1000,Settings!$B$15),SUMIFS(INDEX('Oxford Economics'!$A$7:$AZ$1000,0,IFERROR(MATCH(AA$5,'Oxford Economics'!$A$6:$AZ$6,0),MATCH(AA$5&amp;"",'Oxford Economics'!$A$6:$AZ$6,0))),'Oxford Economics'!$A$7:$A$1000,$C101,'Oxford Economics'!$B$7:$B$1000,Settings!$B$15)+SUMIFS(INDEX('Oxford Economics'!$A$7:$AZ$1000,0,IFERROR(MATCH(AA$5,'Oxford Economics'!$A$6:$AZ$6,0),MATCH(AA$5&amp;"",'Oxford Economics'!$A$6:$AZ$6,0))),'Oxford Economics'!$A$7:$A$1000,$C101,'Oxford Economics'!$B$7:$B$1000,Settings!$B$17)+IF(Settings!$B$19="",0,SUMIFS(INDEX('Oxford Economics'!$A$7:$AZ$1000,0,IFERROR(MATCH(AA$5,'Oxford Economics'!$A$6:$AZ$6,0),MATCH(AA$5&amp;"",'Oxford Economics'!$A$6:$AZ$6,0))),'Oxford Economics'!$A$7:$A$1000,$C101,'Oxford Economics'!$B$7:$B$1000,Settings!$B$19)))),""))</f>
        <v>37320.87</v>
      </c>
      <c r="AB101" s="38" t="n">
        <f aca="false">IF($A101="","",IFERROR(1/(1/IF($B101="Residential",SUMIFS(INDEX('Oxford Economics'!$A$7:$AZ$1000,0,IFERROR(MATCH(AB$5,'Oxford Economics'!$A$6:$AZ$6,0),MATCH(AB$5&amp;"",'Oxford Economics'!$A$6:$AZ$6,0))),'Oxford Economics'!$A$7:$A$1000,$C101,'Oxford Economics'!$B$7:$B$1000,Settings!$B$12)-SUMIFS(INDEX('Oxford Economics'!$A$7:$AZ$1000,0,IFERROR(MATCH(AB$5,'Oxford Economics'!$A$6:$AZ$6,0),MATCH(AB$5&amp;"",'Oxford Economics'!$A$6:$AZ$6,0))),'Oxford Economics'!$A$7:$A$1000,$C101,'Oxford Economics'!$B$7:$B$1000,Settings!$B$14),SUMIFS(INDEX('Oxford Economics'!$A$7:$AZ$1000,0,IFERROR(MATCH(AB$5,'Oxford Economics'!$A$6:$AZ$6,0),MATCH(AB$5&amp;"",'Oxford Economics'!$A$6:$AZ$6,0))),'Oxford Economics'!$A$7:$A$1000,$C101,'Oxford Economics'!$B$7:$B$1000,Settings!$B$14)+SUMIFS(INDEX('Oxford Economics'!$A$7:$AZ$1000,0,IFERROR(MATCH(AB$5,'Oxford Economics'!$A$6:$AZ$6,0),MATCH(AB$5&amp;"",'Oxford Economics'!$A$6:$AZ$6,0))),'Oxford Economics'!$A$7:$A$1000,$C101,'Oxford Economics'!$B$7:$B$1000,Settings!$B$16)+IF(Settings!$B$18="",0,SUMIFS(INDEX('Oxford Economics'!$A$7:$AZ$1000,0,IFERROR(MATCH(AB$5,'Oxford Economics'!$A$6:$AZ$6,0),MATCH(AB$5&amp;"",'Oxford Economics'!$A$6:$AZ$6,0))),'Oxford Economics'!$A$7:$A$1000,$C101,'Oxford Economics'!$B$7:$B$1000,Settings!$B$18)))),""))</f>
        <v>44040.77</v>
      </c>
      <c r="AC101" s="38" t="n">
        <f aca="false">IF($A101="","",IFERROR(1/(1/IF($B101="Residential",SUMIFS(INDEX('Oxford Economics'!$A$7:$AZ$1000,0,IFERROR(MATCH(AC$5,'Oxford Economics'!$A$6:$AZ$6,0),MATCH(AC$5&amp;"",'Oxford Economics'!$A$6:$AZ$6,0))),'Oxford Economics'!$A$7:$A$1000,$C101,'Oxford Economics'!$B$7:$B$1000,Settings!$B$12)-SUMIFS(INDEX('Oxford Economics'!$A$7:$AZ$1000,0,IFERROR(MATCH(AC$5,'Oxford Economics'!$A$6:$AZ$6,0),MATCH(AC$5&amp;"",'Oxford Economics'!$A$6:$AZ$6,0))),'Oxford Economics'!$A$7:$A$1000,$C101,'Oxford Economics'!$B$7:$B$1000,Settings!$B$14),SUMIFS(INDEX('Oxford Economics'!$A$7:$AZ$1000,0,IFERROR(MATCH(AC$5,'Oxford Economics'!$A$6:$AZ$6,0),MATCH(AC$5&amp;"",'Oxford Economics'!$A$6:$AZ$6,0))),'Oxford Economics'!$A$7:$A$1000,$C101,'Oxford Economics'!$B$7:$B$1000,Settings!$B$14)+SUMIFS(INDEX('Oxford Economics'!$A$7:$AZ$1000,0,IFERROR(MATCH(AC$5,'Oxford Economics'!$A$6:$AZ$6,0),MATCH(AC$5&amp;"",'Oxford Economics'!$A$6:$AZ$6,0))),'Oxford Economics'!$A$7:$A$1000,$C101,'Oxford Economics'!$B$7:$B$1000,Settings!$B$16)+IF(Settings!$B$18="",0,SUMIFS(INDEX('Oxford Economics'!$A$7:$AZ$1000,0,IFERROR(MATCH(AC$5,'Oxford Economics'!$A$6:$AZ$6,0),MATCH(AC$5&amp;"",'Oxford Economics'!$A$6:$AZ$6,0))),'Oxford Economics'!$A$7:$A$1000,$C101,'Oxford Economics'!$B$7:$B$1000,Settings!$B$18)))),""))</f>
        <v>42071.52</v>
      </c>
      <c r="AD101" s="38" t="n">
        <f aca="false">IF($A101="","",IFERROR(1/(1/IF($B101="Residential",SUMIFS(INDEX('Oxford Economics'!$A$7:$AZ$1000,0,IFERROR(MATCH(AD$5,'Oxford Economics'!$A$6:$AZ$6,0),MATCH(AD$5&amp;"",'Oxford Economics'!$A$6:$AZ$6,0))),'Oxford Economics'!$A$7:$A$1000,$C101,'Oxford Economics'!$B$7:$B$1000,Settings!$B$12)-SUMIFS(INDEX('Oxford Economics'!$A$7:$AZ$1000,0,IFERROR(MATCH(AD$5,'Oxford Economics'!$A$6:$AZ$6,0),MATCH(AD$5&amp;"",'Oxford Economics'!$A$6:$AZ$6,0))),'Oxford Economics'!$A$7:$A$1000,$C101,'Oxford Economics'!$B$7:$B$1000,Settings!$B$14),SUMIFS(INDEX('Oxford Economics'!$A$7:$AZ$1000,0,IFERROR(MATCH(AD$5,'Oxford Economics'!$A$6:$AZ$6,0),MATCH(AD$5&amp;"",'Oxford Economics'!$A$6:$AZ$6,0))),'Oxford Economics'!$A$7:$A$1000,$C101,'Oxford Economics'!$B$7:$B$1000,Settings!$B$14)+SUMIFS(INDEX('Oxford Economics'!$A$7:$AZ$1000,0,IFERROR(MATCH(AD$5,'Oxford Economics'!$A$6:$AZ$6,0),MATCH(AD$5&amp;"",'Oxford Economics'!$A$6:$AZ$6,0))),'Oxford Economics'!$A$7:$A$1000,$C101,'Oxford Economics'!$B$7:$B$1000,Settings!$B$16)+IF(Settings!$B$18="",0,SUMIFS(INDEX('Oxford Economics'!$A$7:$AZ$1000,0,IFERROR(MATCH(AD$5,'Oxford Economics'!$A$6:$AZ$6,0),MATCH(AD$5&amp;"",'Oxford Economics'!$A$6:$AZ$6,0))),'Oxford Economics'!$A$7:$A$1000,$C101,'Oxford Economics'!$B$7:$B$1000,Settings!$B$18)))),""))</f>
        <v>47072.9</v>
      </c>
      <c r="AE101" s="38" t="n">
        <f aca="false">IF($A101="","",IFERROR(1/(1/IF($B101="Residential",SUMIFS(INDEX('Oxford Economics'!$A$7:$AZ$1000,0,IFERROR(MATCH(AE$5,'Oxford Economics'!$A$6:$AZ$6,0),MATCH(AE$5&amp;"",'Oxford Economics'!$A$6:$AZ$6,0))),'Oxford Economics'!$A$7:$A$1000,$C101,'Oxford Economics'!$B$7:$B$1000,Settings!$B$12)-SUMIFS(INDEX('Oxford Economics'!$A$7:$AZ$1000,0,IFERROR(MATCH(AE$5,'Oxford Economics'!$A$6:$AZ$6,0),MATCH(AE$5&amp;"",'Oxford Economics'!$A$6:$AZ$6,0))),'Oxford Economics'!$A$7:$A$1000,$C101,'Oxford Economics'!$B$7:$B$1000,Settings!$B$14),SUMIFS(INDEX('Oxford Economics'!$A$7:$AZ$1000,0,IFERROR(MATCH(AE$5,'Oxford Economics'!$A$6:$AZ$6,0),MATCH(AE$5&amp;"",'Oxford Economics'!$A$6:$AZ$6,0))),'Oxford Economics'!$A$7:$A$1000,$C101,'Oxford Economics'!$B$7:$B$1000,Settings!$B$14)+SUMIFS(INDEX('Oxford Economics'!$A$7:$AZ$1000,0,IFERROR(MATCH(AE$5,'Oxford Economics'!$A$6:$AZ$6,0),MATCH(AE$5&amp;"",'Oxford Economics'!$A$6:$AZ$6,0))),'Oxford Economics'!$A$7:$A$1000,$C101,'Oxford Economics'!$B$7:$B$1000,Settings!$B$16)+IF(Settings!$B$18="",0,SUMIFS(INDEX('Oxford Economics'!$A$7:$AZ$1000,0,IFERROR(MATCH(AE$5,'Oxford Economics'!$A$6:$AZ$6,0),MATCH(AE$5&amp;"",'Oxford Economics'!$A$6:$AZ$6,0))),'Oxford Economics'!$A$7:$A$1000,$C101,'Oxford Economics'!$B$7:$B$1000,Settings!$B$18)))),""))</f>
        <v>49141.88</v>
      </c>
      <c r="AF101" s="38" t="n">
        <f aca="false">IF($A101="","",IFERROR(1/(1/IF($B101="Residential",SUMIFS(INDEX('Oxford Economics'!$A$7:$AZ$1000,0,IFERROR(MATCH(AF$5,'Oxford Economics'!$A$6:$AZ$6,0),MATCH(AF$5&amp;"",'Oxford Economics'!$A$6:$AZ$6,0))),'Oxford Economics'!$A$7:$A$1000,$C101,'Oxford Economics'!$B$7:$B$1000,Settings!$B$12)-SUMIFS(INDEX('Oxford Economics'!$A$7:$AZ$1000,0,IFERROR(MATCH(AF$5,'Oxford Economics'!$A$6:$AZ$6,0),MATCH(AF$5&amp;"",'Oxford Economics'!$A$6:$AZ$6,0))),'Oxford Economics'!$A$7:$A$1000,$C101,'Oxford Economics'!$B$7:$B$1000,Settings!$B$14),SUMIFS(INDEX('Oxford Economics'!$A$7:$AZ$1000,0,IFERROR(MATCH(AF$5,'Oxford Economics'!$A$6:$AZ$6,0),MATCH(AF$5&amp;"",'Oxford Economics'!$A$6:$AZ$6,0))),'Oxford Economics'!$A$7:$A$1000,$C101,'Oxford Economics'!$B$7:$B$1000,Settings!$B$14)+SUMIFS(INDEX('Oxford Economics'!$A$7:$AZ$1000,0,IFERROR(MATCH(AF$5,'Oxford Economics'!$A$6:$AZ$6,0),MATCH(AF$5&amp;"",'Oxford Economics'!$A$6:$AZ$6,0))),'Oxford Economics'!$A$7:$A$1000,$C101,'Oxford Economics'!$B$7:$B$1000,Settings!$B$16)+IF(Settings!$B$18="",0,SUMIFS(INDEX('Oxford Economics'!$A$7:$AZ$1000,0,IFERROR(MATCH(AF$5,'Oxford Economics'!$A$6:$AZ$6,0),MATCH(AF$5&amp;"",'Oxford Economics'!$A$6:$AZ$6,0))),'Oxford Economics'!$A$7:$A$1000,$C101,'Oxford Economics'!$B$7:$B$1000,Settings!$B$18)))),""))</f>
        <v>50203.62</v>
      </c>
      <c r="AG101" s="38" t="n">
        <f aca="false">IF($A101="","",IFERROR(1/(1/IF($B101="Residential",SUMIFS(INDEX('Oxford Economics'!$A$7:$AZ$1000,0,IFERROR(MATCH(AG$5,'Oxford Economics'!$A$6:$AZ$6,0),MATCH(AG$5&amp;"",'Oxford Economics'!$A$6:$AZ$6,0))),'Oxford Economics'!$A$7:$A$1000,$C101,'Oxford Economics'!$B$7:$B$1000,Settings!$B$12)-SUMIFS(INDEX('Oxford Economics'!$A$7:$AZ$1000,0,IFERROR(MATCH(AG$5,'Oxford Economics'!$A$6:$AZ$6,0),MATCH(AG$5&amp;"",'Oxford Economics'!$A$6:$AZ$6,0))),'Oxford Economics'!$A$7:$A$1000,$C101,'Oxford Economics'!$B$7:$B$1000,Settings!$B$14),SUMIFS(INDEX('Oxford Economics'!$A$7:$AZ$1000,0,IFERROR(MATCH(AG$5,'Oxford Economics'!$A$6:$AZ$6,0),MATCH(AG$5&amp;"",'Oxford Economics'!$A$6:$AZ$6,0))),'Oxford Economics'!$A$7:$A$1000,$C101,'Oxford Economics'!$B$7:$B$1000,Settings!$B$14)+SUMIFS(INDEX('Oxford Economics'!$A$7:$AZ$1000,0,IFERROR(MATCH(AG$5,'Oxford Economics'!$A$6:$AZ$6,0),MATCH(AG$5&amp;"",'Oxford Economics'!$A$6:$AZ$6,0))),'Oxford Economics'!$A$7:$A$1000,$C101,'Oxford Economics'!$B$7:$B$1000,Settings!$B$16)+IF(Settings!$B$18="",0,SUMIFS(INDEX('Oxford Economics'!$A$7:$AZ$1000,0,IFERROR(MATCH(AG$5,'Oxford Economics'!$A$6:$AZ$6,0),MATCH(AG$5&amp;"",'Oxford Economics'!$A$6:$AZ$6,0))),'Oxford Economics'!$A$7:$A$1000,$C101,'Oxford Economics'!$B$7:$B$1000,Settings!$B$18)))),""))</f>
        <v>54779.62</v>
      </c>
      <c r="AH101" s="38" t="n">
        <f aca="false">IF($A101="","",IFERROR(1/(1/IF($B101="Residential",SUMIFS(INDEX('Oxford Economics'!$A$7:$AZ$1000,0,IFERROR(MATCH(AH$5,'Oxford Economics'!$A$6:$AZ$6,0),MATCH(AH$5&amp;"",'Oxford Economics'!$A$6:$AZ$6,0))),'Oxford Economics'!$A$7:$A$1000,$C101,'Oxford Economics'!$B$7:$B$1000,Settings!$B$12)-SUMIFS(INDEX('Oxford Economics'!$A$7:$AZ$1000,0,IFERROR(MATCH(AH$5,'Oxford Economics'!$A$6:$AZ$6,0),MATCH(AH$5&amp;"",'Oxford Economics'!$A$6:$AZ$6,0))),'Oxford Economics'!$A$7:$A$1000,$C101,'Oxford Economics'!$B$7:$B$1000,Settings!$B$14),SUMIFS(INDEX('Oxford Economics'!$A$7:$AZ$1000,0,IFERROR(MATCH(AH$5,'Oxford Economics'!$A$6:$AZ$6,0),MATCH(AH$5&amp;"",'Oxford Economics'!$A$6:$AZ$6,0))),'Oxford Economics'!$A$7:$A$1000,$C101,'Oxford Economics'!$B$7:$B$1000,Settings!$B$14)+SUMIFS(INDEX('Oxford Economics'!$A$7:$AZ$1000,0,IFERROR(MATCH(AH$5,'Oxford Economics'!$A$6:$AZ$6,0),MATCH(AH$5&amp;"",'Oxford Economics'!$A$6:$AZ$6,0))),'Oxford Economics'!$A$7:$A$1000,$C101,'Oxford Economics'!$B$7:$B$1000,Settings!$B$16)+IF(Settings!$B$18="",0,SUMIFS(INDEX('Oxford Economics'!$A$7:$AZ$1000,0,IFERROR(MATCH(AH$5,'Oxford Economics'!$A$6:$AZ$6,0),MATCH(AH$5&amp;"",'Oxford Economics'!$A$6:$AZ$6,0))),'Oxford Economics'!$A$7:$A$1000,$C101,'Oxford Economics'!$B$7:$B$1000,Settings!$B$18)))),""))</f>
        <v>60520.28</v>
      </c>
      <c r="AI101" s="38" t="n">
        <f aca="false">IF($A101="","",IFERROR(1/(1/IF($B101="Residential",SUMIFS(INDEX('Oxford Economics'!$A$7:$AZ$1000,0,IFERROR(MATCH(AI$5,'Oxford Economics'!$A$6:$AZ$6,0),MATCH(AI$5&amp;"",'Oxford Economics'!$A$6:$AZ$6,0))),'Oxford Economics'!$A$7:$A$1000,$C101,'Oxford Economics'!$B$7:$B$1000,Settings!$B$12)-SUMIFS(INDEX('Oxford Economics'!$A$7:$AZ$1000,0,IFERROR(MATCH(AI$5,'Oxford Economics'!$A$6:$AZ$6,0),MATCH(AI$5&amp;"",'Oxford Economics'!$A$6:$AZ$6,0))),'Oxford Economics'!$A$7:$A$1000,$C101,'Oxford Economics'!$B$7:$B$1000,Settings!$B$14),SUMIFS(INDEX('Oxford Economics'!$A$7:$AZ$1000,0,IFERROR(MATCH(AI$5,'Oxford Economics'!$A$6:$AZ$6,0),MATCH(AI$5&amp;"",'Oxford Economics'!$A$6:$AZ$6,0))),'Oxford Economics'!$A$7:$A$1000,$C101,'Oxford Economics'!$B$7:$B$1000,Settings!$B$14)+SUMIFS(INDEX('Oxford Economics'!$A$7:$AZ$1000,0,IFERROR(MATCH(AI$5,'Oxford Economics'!$A$6:$AZ$6,0),MATCH(AI$5&amp;"",'Oxford Economics'!$A$6:$AZ$6,0))),'Oxford Economics'!$A$7:$A$1000,$C101,'Oxford Economics'!$B$7:$B$1000,Settings!$B$16)+IF(Settings!$B$18="",0,SUMIFS(INDEX('Oxford Economics'!$A$7:$AZ$1000,0,IFERROR(MATCH(AI$5,'Oxford Economics'!$A$6:$AZ$6,0),MATCH(AI$5&amp;"",'Oxford Economics'!$A$6:$AZ$6,0))),'Oxford Economics'!$A$7:$A$1000,$C101,'Oxford Economics'!$B$7:$B$1000,Settings!$B$18)))),""))</f>
        <v>64508.84</v>
      </c>
      <c r="AJ101" s="38" t="n">
        <f aca="false">IF($A101="","",IFERROR(1/(1/IF($B101="Residential",SUMIFS(INDEX('Oxford Economics'!$A$7:$AZ$1000,0,IFERROR(MATCH(AJ$5,'Oxford Economics'!$A$6:$AZ$6,0),MATCH(AJ$5&amp;"",'Oxford Economics'!$A$6:$AZ$6,0))),'Oxford Economics'!$A$7:$A$1000,$C101,'Oxford Economics'!$B$7:$B$1000,Settings!$B$12)-SUMIFS(INDEX('Oxford Economics'!$A$7:$AZ$1000,0,IFERROR(MATCH(AJ$5,'Oxford Economics'!$A$6:$AZ$6,0),MATCH(AJ$5&amp;"",'Oxford Economics'!$A$6:$AZ$6,0))),'Oxford Economics'!$A$7:$A$1000,$C101,'Oxford Economics'!$B$7:$B$1000,Settings!$B$14),SUMIFS(INDEX('Oxford Economics'!$A$7:$AZ$1000,0,IFERROR(MATCH(AJ$5,'Oxford Economics'!$A$6:$AZ$6,0),MATCH(AJ$5&amp;"",'Oxford Economics'!$A$6:$AZ$6,0))),'Oxford Economics'!$A$7:$A$1000,$C101,'Oxford Economics'!$B$7:$B$1000,Settings!$B$14)+SUMIFS(INDEX('Oxford Economics'!$A$7:$AZ$1000,0,IFERROR(MATCH(AJ$5,'Oxford Economics'!$A$6:$AZ$6,0),MATCH(AJ$5&amp;"",'Oxford Economics'!$A$6:$AZ$6,0))),'Oxford Economics'!$A$7:$A$1000,$C101,'Oxford Economics'!$B$7:$B$1000,Settings!$B$16)+IF(Settings!$B$18="",0,SUMIFS(INDEX('Oxford Economics'!$A$7:$AZ$1000,0,IFERROR(MATCH(AJ$5,'Oxford Economics'!$A$6:$AZ$6,0),MATCH(AJ$5&amp;"",'Oxford Economics'!$A$6:$AZ$6,0))),'Oxford Economics'!$A$7:$A$1000,$C101,'Oxford Economics'!$B$7:$B$1000,Settings!$B$18)))),""))</f>
        <v>67229.83</v>
      </c>
      <c r="AK101" s="38" t="n">
        <f aca="false">IF($A101="","",IFERROR(1/(1/IF($B101="Residential",SUMIFS(INDEX('Oxford Economics'!$A$7:$AZ$1000,0,IFERROR(MATCH(AK$5,'Oxford Economics'!$A$6:$AZ$6,0),MATCH(AK$5&amp;"",'Oxford Economics'!$A$6:$AZ$6,0))),'Oxford Economics'!$A$7:$A$1000,$C101,'Oxford Economics'!$B$7:$B$1000,Settings!$B$12)-SUMIFS(INDEX('Oxford Economics'!$A$7:$AZ$1000,0,IFERROR(MATCH(AK$5,'Oxford Economics'!$A$6:$AZ$6,0),MATCH(AK$5&amp;"",'Oxford Economics'!$A$6:$AZ$6,0))),'Oxford Economics'!$A$7:$A$1000,$C101,'Oxford Economics'!$B$7:$B$1000,Settings!$B$14),SUMIFS(INDEX('Oxford Economics'!$A$7:$AZ$1000,0,IFERROR(MATCH(AK$5,'Oxford Economics'!$A$6:$AZ$6,0),MATCH(AK$5&amp;"",'Oxford Economics'!$A$6:$AZ$6,0))),'Oxford Economics'!$A$7:$A$1000,$C101,'Oxford Economics'!$B$7:$B$1000,Settings!$B$14)+SUMIFS(INDEX('Oxford Economics'!$A$7:$AZ$1000,0,IFERROR(MATCH(AK$5,'Oxford Economics'!$A$6:$AZ$6,0),MATCH(AK$5&amp;"",'Oxford Economics'!$A$6:$AZ$6,0))),'Oxford Economics'!$A$7:$A$1000,$C101,'Oxford Economics'!$B$7:$B$1000,Settings!$B$16)+IF(Settings!$B$18="",0,SUMIFS(INDEX('Oxford Economics'!$A$7:$AZ$1000,0,IFERROR(MATCH(AK$5,'Oxford Economics'!$A$6:$AZ$6,0),MATCH(AK$5&amp;"",'Oxford Economics'!$A$6:$AZ$6,0))),'Oxford Economics'!$A$7:$A$1000,$C101,'Oxford Economics'!$B$7:$B$1000,Settings!$B$18)))),""))</f>
        <v>69156.3</v>
      </c>
      <c r="AL101" s="38" t="n">
        <f aca="false">IF($A101="","",IFERROR(1/(1/IF($B101="Residential",SUMIFS(INDEX('Oxford Economics'!$A$7:$AZ$1000,0,IFERROR(MATCH(AL$5,'Oxford Economics'!$A$6:$AZ$6,0),MATCH(AL$5&amp;"",'Oxford Economics'!$A$6:$AZ$6,0))),'Oxford Economics'!$A$7:$A$1000,$C101,'Oxford Economics'!$B$7:$B$1000,Settings!$B$12)-SUMIFS(INDEX('Oxford Economics'!$A$7:$AZ$1000,0,IFERROR(MATCH(AL$5,'Oxford Economics'!$A$6:$AZ$6,0),MATCH(AL$5&amp;"",'Oxford Economics'!$A$6:$AZ$6,0))),'Oxford Economics'!$A$7:$A$1000,$C101,'Oxford Economics'!$B$7:$B$1000,Settings!$B$14),SUMIFS(INDEX('Oxford Economics'!$A$7:$AZ$1000,0,IFERROR(MATCH(AL$5,'Oxford Economics'!$A$6:$AZ$6,0),MATCH(AL$5&amp;"",'Oxford Economics'!$A$6:$AZ$6,0))),'Oxford Economics'!$A$7:$A$1000,$C101,'Oxford Economics'!$B$7:$B$1000,Settings!$B$14)+SUMIFS(INDEX('Oxford Economics'!$A$7:$AZ$1000,0,IFERROR(MATCH(AL$5,'Oxford Economics'!$A$6:$AZ$6,0),MATCH(AL$5&amp;"",'Oxford Economics'!$A$6:$AZ$6,0))),'Oxford Economics'!$A$7:$A$1000,$C101,'Oxford Economics'!$B$7:$B$1000,Settings!$B$16)+IF(Settings!$B$18="",0,SUMIFS(INDEX('Oxford Economics'!$A$7:$AZ$1000,0,IFERROR(MATCH(AL$5,'Oxford Economics'!$A$6:$AZ$6,0),MATCH(AL$5&amp;"",'Oxford Economics'!$A$6:$AZ$6,0))),'Oxford Economics'!$A$7:$A$1000,$C101,'Oxford Economics'!$B$7:$B$1000,Settings!$B$18)))),""))</f>
        <v>70650.78</v>
      </c>
      <c r="AM101" s="38" t="n">
        <f aca="false">IF($A101="","",IFERROR(1/(1/IF($B101="Residential",SUMIFS(INDEX('Oxford Economics'!$A$7:$AZ$1000,0,IFERROR(MATCH(AM$5,'Oxford Economics'!$A$6:$AZ$6,0),MATCH(AM$5&amp;"",'Oxford Economics'!$A$6:$AZ$6,0))),'Oxford Economics'!$A$7:$A$1000,$C101,'Oxford Economics'!$B$7:$B$1000,Settings!$B$12)-SUMIFS(INDEX('Oxford Economics'!$A$7:$AZ$1000,0,IFERROR(MATCH(AM$5,'Oxford Economics'!$A$6:$AZ$6,0),MATCH(AM$5&amp;"",'Oxford Economics'!$A$6:$AZ$6,0))),'Oxford Economics'!$A$7:$A$1000,$C101,'Oxford Economics'!$B$7:$B$1000,Settings!$B$14),SUMIFS(INDEX('Oxford Economics'!$A$7:$AZ$1000,0,IFERROR(MATCH(AM$5,'Oxford Economics'!$A$6:$AZ$6,0),MATCH(AM$5&amp;"",'Oxford Economics'!$A$6:$AZ$6,0))),'Oxford Economics'!$A$7:$A$1000,$C101,'Oxford Economics'!$B$7:$B$1000,Settings!$B$14)+SUMIFS(INDEX('Oxford Economics'!$A$7:$AZ$1000,0,IFERROR(MATCH(AM$5,'Oxford Economics'!$A$6:$AZ$6,0),MATCH(AM$5&amp;"",'Oxford Economics'!$A$6:$AZ$6,0))),'Oxford Economics'!$A$7:$A$1000,$C101,'Oxford Economics'!$B$7:$B$1000,Settings!$B$16)+IF(Settings!$B$18="",0,SUMIFS(INDEX('Oxford Economics'!$A$7:$AZ$1000,0,IFERROR(MATCH(AM$5,'Oxford Economics'!$A$6:$AZ$6,0),MATCH(AM$5&amp;"",'Oxford Economics'!$A$6:$AZ$6,0))),'Oxford Economics'!$A$7:$A$1000,$C101,'Oxford Economics'!$B$7:$B$1000,Settings!$B$18)))),""))</f>
        <v>71686.81</v>
      </c>
    </row>
    <row r="102" customFormat="false" ht="15" hidden="false" customHeight="false" outlineLevel="0" collapsed="false">
      <c r="A102" s="37" t="str">
        <f aca="false">IF('Raw data'!$A102="","",'Raw data'!$A102)</f>
        <v>Portugal</v>
      </c>
      <c r="B102" s="37" t="str">
        <f aca="false">IF($A102="","",'Raw data'!$C102)</f>
        <v>Residential</v>
      </c>
      <c r="C102" s="37" t="str">
        <f aca="false">IF($A102="","",IF('Raw data'!$E102="",$A102,'Raw data'!$E102))</f>
        <v>Portugal</v>
      </c>
      <c r="D102" s="38" t="n">
        <f aca="false">IF($A102="","",IF(AND(ISNUMBER(P102),ISNUMBER(AB102)),P102+AB102,""))</f>
        <v>3422.41</v>
      </c>
      <c r="E102" s="38" t="n">
        <f aca="false">IF($A102="","",IF(AND(ISNUMBER(Q102),ISNUMBER(AC102)),Q102+AC102,""))</f>
        <v>3536.71</v>
      </c>
      <c r="F102" s="38" t="n">
        <f aca="false">IF($A102="","",IF(AND(ISNUMBER(R102),ISNUMBER(AD102)),R102+AD102,""))</f>
        <v>3544.62</v>
      </c>
      <c r="G102" s="38" t="n">
        <f aca="false">IF($A102="","",IF(AND(ISNUMBER(S102),ISNUMBER(AE102)),S102+AE102,""))</f>
        <v>3609.4</v>
      </c>
      <c r="H102" s="38" t="n">
        <f aca="false">IF($A102="","",IF(AND(ISNUMBER(T102),ISNUMBER(AF102)),T102+AF102,""))</f>
        <v>3659.01</v>
      </c>
      <c r="I102" s="38" t="n">
        <f aca="false">IF($A102="","",IF(AND(ISNUMBER(U102),ISNUMBER(AG102)),U102+AG102,""))</f>
        <v>3971.49</v>
      </c>
      <c r="J102" s="38" t="n">
        <f aca="false">IF($A102="","",IF(AND(ISNUMBER(V102),ISNUMBER(AH102)),V102+AH102,""))</f>
        <v>4139.38</v>
      </c>
      <c r="K102" s="38" t="n">
        <f aca="false">IF($A102="","",IF(AND(ISNUMBER(W102),ISNUMBER(AI102)),W102+AI102,""))</f>
        <v>4144.61</v>
      </c>
      <c r="L102" s="38" t="n">
        <f aca="false">IF($A102="","",IF(AND(ISNUMBER(X102),ISNUMBER(AJ102)),X102+AJ102,""))</f>
        <v>4112.18</v>
      </c>
      <c r="M102" s="38" t="n">
        <f aca="false">IF($A102="","",IF(AND(ISNUMBER(Y102),ISNUMBER(AK102)),Y102+AK102,""))</f>
        <v>4107.31</v>
      </c>
      <c r="N102" s="38" t="n">
        <f aca="false">IF($A102="","",IF(AND(ISNUMBER(Z102),ISNUMBER(AL102)),Z102+AL102,""))</f>
        <v>4139.33</v>
      </c>
      <c r="O102" s="38" t="n">
        <f aca="false">IF($A102="","",IF(AND(ISNUMBER(AA102),ISNUMBER(AM102)),AA102+AM102,""))</f>
        <v>4179.74</v>
      </c>
      <c r="P102" s="38" t="n">
        <f aca="false">IF($A102="","",IFERROR(1/(1/IF($B102="Residential",SUMIFS(INDEX('Oxford Economics'!$A$7:$AZ$1000,0,IFERROR(MATCH(P$5,'Oxford Economics'!$A$6:$AZ$6,0),MATCH(P$5&amp;"",'Oxford Economics'!$A$6:$AZ$6,0))),'Oxford Economics'!$A$7:$A$1000,$C102,'Oxford Economics'!$B$7:$B$1000,Settings!$B$13)-SUMIFS(INDEX('Oxford Economics'!$A$7:$AZ$1000,0,IFERROR(MATCH(P$5,'Oxford Economics'!$A$6:$AZ$6,0),MATCH(P$5&amp;"",'Oxford Economics'!$A$6:$AZ$6,0))),'Oxford Economics'!$A$7:$A$1000,$C102,'Oxford Economics'!$B$7:$B$1000,Settings!$B$15),SUMIFS(INDEX('Oxford Economics'!$A$7:$AZ$1000,0,IFERROR(MATCH(P$5,'Oxford Economics'!$A$6:$AZ$6,0),MATCH(P$5&amp;"",'Oxford Economics'!$A$6:$AZ$6,0))),'Oxford Economics'!$A$7:$A$1000,$C102,'Oxford Economics'!$B$7:$B$1000,Settings!$B$15)+SUMIFS(INDEX('Oxford Economics'!$A$7:$AZ$1000,0,IFERROR(MATCH(P$5,'Oxford Economics'!$A$6:$AZ$6,0),MATCH(P$5&amp;"",'Oxford Economics'!$A$6:$AZ$6,0))),'Oxford Economics'!$A$7:$A$1000,$C102,'Oxford Economics'!$B$7:$B$1000,Settings!$B$17)+IF(Settings!$B$19="",0,SUMIFS(INDEX('Oxford Economics'!$A$7:$AZ$1000,0,IFERROR(MATCH(P$5,'Oxford Economics'!$A$6:$AZ$6,0),MATCH(P$5&amp;"",'Oxford Economics'!$A$6:$AZ$6,0))),'Oxford Economics'!$A$7:$A$1000,$C102,'Oxford Economics'!$B$7:$B$1000,Settings!$B$19)))),""))</f>
        <v>2183.7</v>
      </c>
      <c r="Q102" s="38" t="n">
        <f aca="false">IF($A102="","",IFERROR(1/(1/IF($B102="Residential",SUMIFS(INDEX('Oxford Economics'!$A$7:$AZ$1000,0,IFERROR(MATCH(Q$5,'Oxford Economics'!$A$6:$AZ$6,0),MATCH(Q$5&amp;"",'Oxford Economics'!$A$6:$AZ$6,0))),'Oxford Economics'!$A$7:$A$1000,$C102,'Oxford Economics'!$B$7:$B$1000,Settings!$B$13)-SUMIFS(INDEX('Oxford Economics'!$A$7:$AZ$1000,0,IFERROR(MATCH(Q$5,'Oxford Economics'!$A$6:$AZ$6,0),MATCH(Q$5&amp;"",'Oxford Economics'!$A$6:$AZ$6,0))),'Oxford Economics'!$A$7:$A$1000,$C102,'Oxford Economics'!$B$7:$B$1000,Settings!$B$15),SUMIFS(INDEX('Oxford Economics'!$A$7:$AZ$1000,0,IFERROR(MATCH(Q$5,'Oxford Economics'!$A$6:$AZ$6,0),MATCH(Q$5&amp;"",'Oxford Economics'!$A$6:$AZ$6,0))),'Oxford Economics'!$A$7:$A$1000,$C102,'Oxford Economics'!$B$7:$B$1000,Settings!$B$15)+SUMIFS(INDEX('Oxford Economics'!$A$7:$AZ$1000,0,IFERROR(MATCH(Q$5,'Oxford Economics'!$A$6:$AZ$6,0),MATCH(Q$5&amp;"",'Oxford Economics'!$A$6:$AZ$6,0))),'Oxford Economics'!$A$7:$A$1000,$C102,'Oxford Economics'!$B$7:$B$1000,Settings!$B$17)+IF(Settings!$B$19="",0,SUMIFS(INDEX('Oxford Economics'!$A$7:$AZ$1000,0,IFERROR(MATCH(Q$5,'Oxford Economics'!$A$6:$AZ$6,0),MATCH(Q$5&amp;"",'Oxford Economics'!$A$6:$AZ$6,0))),'Oxford Economics'!$A$7:$A$1000,$C102,'Oxford Economics'!$B$7:$B$1000,Settings!$B$19)))),""))</f>
        <v>2610.81</v>
      </c>
      <c r="R102" s="38" t="n">
        <f aca="false">IF($A102="","",IFERROR(1/(1/IF($B102="Residential",SUMIFS(INDEX('Oxford Economics'!$A$7:$AZ$1000,0,IFERROR(MATCH(R$5,'Oxford Economics'!$A$6:$AZ$6,0),MATCH(R$5&amp;"",'Oxford Economics'!$A$6:$AZ$6,0))),'Oxford Economics'!$A$7:$A$1000,$C102,'Oxford Economics'!$B$7:$B$1000,Settings!$B$13)-SUMIFS(INDEX('Oxford Economics'!$A$7:$AZ$1000,0,IFERROR(MATCH(R$5,'Oxford Economics'!$A$6:$AZ$6,0),MATCH(R$5&amp;"",'Oxford Economics'!$A$6:$AZ$6,0))),'Oxford Economics'!$A$7:$A$1000,$C102,'Oxford Economics'!$B$7:$B$1000,Settings!$B$15),SUMIFS(INDEX('Oxford Economics'!$A$7:$AZ$1000,0,IFERROR(MATCH(R$5,'Oxford Economics'!$A$6:$AZ$6,0),MATCH(R$5&amp;"",'Oxford Economics'!$A$6:$AZ$6,0))),'Oxford Economics'!$A$7:$A$1000,$C102,'Oxford Economics'!$B$7:$B$1000,Settings!$B$15)+SUMIFS(INDEX('Oxford Economics'!$A$7:$AZ$1000,0,IFERROR(MATCH(R$5,'Oxford Economics'!$A$6:$AZ$6,0),MATCH(R$5&amp;"",'Oxford Economics'!$A$6:$AZ$6,0))),'Oxford Economics'!$A$7:$A$1000,$C102,'Oxford Economics'!$B$7:$B$1000,Settings!$B$17)+IF(Settings!$B$19="",0,SUMIFS(INDEX('Oxford Economics'!$A$7:$AZ$1000,0,IFERROR(MATCH(R$5,'Oxford Economics'!$A$6:$AZ$6,0),MATCH(R$5&amp;"",'Oxford Economics'!$A$6:$AZ$6,0))),'Oxford Economics'!$A$7:$A$1000,$C102,'Oxford Economics'!$B$7:$B$1000,Settings!$B$19)))),""))</f>
        <v>3033.45</v>
      </c>
      <c r="S102" s="38" t="n">
        <f aca="false">IF($A102="","",IFERROR(1/(1/IF($B102="Residential",SUMIFS(INDEX('Oxford Economics'!$A$7:$AZ$1000,0,IFERROR(MATCH(S$5,'Oxford Economics'!$A$6:$AZ$6,0),MATCH(S$5&amp;"",'Oxford Economics'!$A$6:$AZ$6,0))),'Oxford Economics'!$A$7:$A$1000,$C102,'Oxford Economics'!$B$7:$B$1000,Settings!$B$13)-SUMIFS(INDEX('Oxford Economics'!$A$7:$AZ$1000,0,IFERROR(MATCH(S$5,'Oxford Economics'!$A$6:$AZ$6,0),MATCH(S$5&amp;"",'Oxford Economics'!$A$6:$AZ$6,0))),'Oxford Economics'!$A$7:$A$1000,$C102,'Oxford Economics'!$B$7:$B$1000,Settings!$B$15),SUMIFS(INDEX('Oxford Economics'!$A$7:$AZ$1000,0,IFERROR(MATCH(S$5,'Oxford Economics'!$A$6:$AZ$6,0),MATCH(S$5&amp;"",'Oxford Economics'!$A$6:$AZ$6,0))),'Oxford Economics'!$A$7:$A$1000,$C102,'Oxford Economics'!$B$7:$B$1000,Settings!$B$15)+SUMIFS(INDEX('Oxford Economics'!$A$7:$AZ$1000,0,IFERROR(MATCH(S$5,'Oxford Economics'!$A$6:$AZ$6,0),MATCH(S$5&amp;"",'Oxford Economics'!$A$6:$AZ$6,0))),'Oxford Economics'!$A$7:$A$1000,$C102,'Oxford Economics'!$B$7:$B$1000,Settings!$B$17)+IF(Settings!$B$19="",0,SUMIFS(INDEX('Oxford Economics'!$A$7:$AZ$1000,0,IFERROR(MATCH(S$5,'Oxford Economics'!$A$6:$AZ$6,0),MATCH(S$5&amp;"",'Oxford Economics'!$A$6:$AZ$6,0))),'Oxford Economics'!$A$7:$A$1000,$C102,'Oxford Economics'!$B$7:$B$1000,Settings!$B$19)))),""))</f>
        <v>3004.15</v>
      </c>
      <c r="T102" s="38" t="n">
        <f aca="false">IF($A102="","",IFERROR(1/(1/IF($B102="Residential",SUMIFS(INDEX('Oxford Economics'!$A$7:$AZ$1000,0,IFERROR(MATCH(T$5,'Oxford Economics'!$A$6:$AZ$6,0),MATCH(T$5&amp;"",'Oxford Economics'!$A$6:$AZ$6,0))),'Oxford Economics'!$A$7:$A$1000,$C102,'Oxford Economics'!$B$7:$B$1000,Settings!$B$13)-SUMIFS(INDEX('Oxford Economics'!$A$7:$AZ$1000,0,IFERROR(MATCH(T$5,'Oxford Economics'!$A$6:$AZ$6,0),MATCH(T$5&amp;"",'Oxford Economics'!$A$6:$AZ$6,0))),'Oxford Economics'!$A$7:$A$1000,$C102,'Oxford Economics'!$B$7:$B$1000,Settings!$B$15),SUMIFS(INDEX('Oxford Economics'!$A$7:$AZ$1000,0,IFERROR(MATCH(T$5,'Oxford Economics'!$A$6:$AZ$6,0),MATCH(T$5&amp;"",'Oxford Economics'!$A$6:$AZ$6,0))),'Oxford Economics'!$A$7:$A$1000,$C102,'Oxford Economics'!$B$7:$B$1000,Settings!$B$15)+SUMIFS(INDEX('Oxford Economics'!$A$7:$AZ$1000,0,IFERROR(MATCH(T$5,'Oxford Economics'!$A$6:$AZ$6,0),MATCH(T$5&amp;"",'Oxford Economics'!$A$6:$AZ$6,0))),'Oxford Economics'!$A$7:$A$1000,$C102,'Oxford Economics'!$B$7:$B$1000,Settings!$B$17)+IF(Settings!$B$19="",0,SUMIFS(INDEX('Oxford Economics'!$A$7:$AZ$1000,0,IFERROR(MATCH(T$5,'Oxford Economics'!$A$6:$AZ$6,0),MATCH(T$5&amp;"",'Oxford Economics'!$A$6:$AZ$6,0))),'Oxford Economics'!$A$7:$A$1000,$C102,'Oxford Economics'!$B$7:$B$1000,Settings!$B$19)))),""))</f>
        <v>2992.25</v>
      </c>
      <c r="U102" s="38" t="n">
        <f aca="false">IF($A102="","",IFERROR(1/(1/IF($B102="Residential",SUMIFS(INDEX('Oxford Economics'!$A$7:$AZ$1000,0,IFERROR(MATCH(U$5,'Oxford Economics'!$A$6:$AZ$6,0),MATCH(U$5&amp;"",'Oxford Economics'!$A$6:$AZ$6,0))),'Oxford Economics'!$A$7:$A$1000,$C102,'Oxford Economics'!$B$7:$B$1000,Settings!$B$13)-SUMIFS(INDEX('Oxford Economics'!$A$7:$AZ$1000,0,IFERROR(MATCH(U$5,'Oxford Economics'!$A$6:$AZ$6,0),MATCH(U$5&amp;"",'Oxford Economics'!$A$6:$AZ$6,0))),'Oxford Economics'!$A$7:$A$1000,$C102,'Oxford Economics'!$B$7:$B$1000,Settings!$B$15),SUMIFS(INDEX('Oxford Economics'!$A$7:$AZ$1000,0,IFERROR(MATCH(U$5,'Oxford Economics'!$A$6:$AZ$6,0),MATCH(U$5&amp;"",'Oxford Economics'!$A$6:$AZ$6,0))),'Oxford Economics'!$A$7:$A$1000,$C102,'Oxford Economics'!$B$7:$B$1000,Settings!$B$15)+SUMIFS(INDEX('Oxford Economics'!$A$7:$AZ$1000,0,IFERROR(MATCH(U$5,'Oxford Economics'!$A$6:$AZ$6,0),MATCH(U$5&amp;"",'Oxford Economics'!$A$6:$AZ$6,0))),'Oxford Economics'!$A$7:$A$1000,$C102,'Oxford Economics'!$B$7:$B$1000,Settings!$B$17)+IF(Settings!$B$19="",0,SUMIFS(INDEX('Oxford Economics'!$A$7:$AZ$1000,0,IFERROR(MATCH(U$5,'Oxford Economics'!$A$6:$AZ$6,0),MATCH(U$5&amp;"",'Oxford Economics'!$A$6:$AZ$6,0))),'Oxford Economics'!$A$7:$A$1000,$C102,'Oxford Economics'!$B$7:$B$1000,Settings!$B$19)))),""))</f>
        <v>3160.22</v>
      </c>
      <c r="V102" s="38" t="n">
        <f aca="false">IF($A102="","",IFERROR(1/(1/IF($B102="Residential",SUMIFS(INDEX('Oxford Economics'!$A$7:$AZ$1000,0,IFERROR(MATCH(V$5,'Oxford Economics'!$A$6:$AZ$6,0),MATCH(V$5&amp;"",'Oxford Economics'!$A$6:$AZ$6,0))),'Oxford Economics'!$A$7:$A$1000,$C102,'Oxford Economics'!$B$7:$B$1000,Settings!$B$13)-SUMIFS(INDEX('Oxford Economics'!$A$7:$AZ$1000,0,IFERROR(MATCH(V$5,'Oxford Economics'!$A$6:$AZ$6,0),MATCH(V$5&amp;"",'Oxford Economics'!$A$6:$AZ$6,0))),'Oxford Economics'!$A$7:$A$1000,$C102,'Oxford Economics'!$B$7:$B$1000,Settings!$B$15),SUMIFS(INDEX('Oxford Economics'!$A$7:$AZ$1000,0,IFERROR(MATCH(V$5,'Oxford Economics'!$A$6:$AZ$6,0),MATCH(V$5&amp;"",'Oxford Economics'!$A$6:$AZ$6,0))),'Oxford Economics'!$A$7:$A$1000,$C102,'Oxford Economics'!$B$7:$B$1000,Settings!$B$15)+SUMIFS(INDEX('Oxford Economics'!$A$7:$AZ$1000,0,IFERROR(MATCH(V$5,'Oxford Economics'!$A$6:$AZ$6,0),MATCH(V$5&amp;"",'Oxford Economics'!$A$6:$AZ$6,0))),'Oxford Economics'!$A$7:$A$1000,$C102,'Oxford Economics'!$B$7:$B$1000,Settings!$B$17)+IF(Settings!$B$19="",0,SUMIFS(INDEX('Oxford Economics'!$A$7:$AZ$1000,0,IFERROR(MATCH(V$5,'Oxford Economics'!$A$6:$AZ$6,0),MATCH(V$5&amp;"",'Oxford Economics'!$A$6:$AZ$6,0))),'Oxford Economics'!$A$7:$A$1000,$C102,'Oxford Economics'!$B$7:$B$1000,Settings!$B$19)))),""))</f>
        <v>3258.65</v>
      </c>
      <c r="W102" s="38" t="n">
        <f aca="false">IF($A102="","",IFERROR(1/(1/IF($B102="Residential",SUMIFS(INDEX('Oxford Economics'!$A$7:$AZ$1000,0,IFERROR(MATCH(W$5,'Oxford Economics'!$A$6:$AZ$6,0),MATCH(W$5&amp;"",'Oxford Economics'!$A$6:$AZ$6,0))),'Oxford Economics'!$A$7:$A$1000,$C102,'Oxford Economics'!$B$7:$B$1000,Settings!$B$13)-SUMIFS(INDEX('Oxford Economics'!$A$7:$AZ$1000,0,IFERROR(MATCH(W$5,'Oxford Economics'!$A$6:$AZ$6,0),MATCH(W$5&amp;"",'Oxford Economics'!$A$6:$AZ$6,0))),'Oxford Economics'!$A$7:$A$1000,$C102,'Oxford Economics'!$B$7:$B$1000,Settings!$B$15),SUMIFS(INDEX('Oxford Economics'!$A$7:$AZ$1000,0,IFERROR(MATCH(W$5,'Oxford Economics'!$A$6:$AZ$6,0),MATCH(W$5&amp;"",'Oxford Economics'!$A$6:$AZ$6,0))),'Oxford Economics'!$A$7:$A$1000,$C102,'Oxford Economics'!$B$7:$B$1000,Settings!$B$15)+SUMIFS(INDEX('Oxford Economics'!$A$7:$AZ$1000,0,IFERROR(MATCH(W$5,'Oxford Economics'!$A$6:$AZ$6,0),MATCH(W$5&amp;"",'Oxford Economics'!$A$6:$AZ$6,0))),'Oxford Economics'!$A$7:$A$1000,$C102,'Oxford Economics'!$B$7:$B$1000,Settings!$B$17)+IF(Settings!$B$19="",0,SUMIFS(INDEX('Oxford Economics'!$A$7:$AZ$1000,0,IFERROR(MATCH(W$5,'Oxford Economics'!$A$6:$AZ$6,0),MATCH(W$5&amp;"",'Oxford Economics'!$A$6:$AZ$6,0))),'Oxford Economics'!$A$7:$A$1000,$C102,'Oxford Economics'!$B$7:$B$1000,Settings!$B$19)))),""))</f>
        <v>3249.54</v>
      </c>
      <c r="X102" s="38" t="n">
        <f aca="false">IF($A102="","",IFERROR(1/(1/IF($B102="Residential",SUMIFS(INDEX('Oxford Economics'!$A$7:$AZ$1000,0,IFERROR(MATCH(X$5,'Oxford Economics'!$A$6:$AZ$6,0),MATCH(X$5&amp;"",'Oxford Economics'!$A$6:$AZ$6,0))),'Oxford Economics'!$A$7:$A$1000,$C102,'Oxford Economics'!$B$7:$B$1000,Settings!$B$13)-SUMIFS(INDEX('Oxford Economics'!$A$7:$AZ$1000,0,IFERROR(MATCH(X$5,'Oxford Economics'!$A$6:$AZ$6,0),MATCH(X$5&amp;"",'Oxford Economics'!$A$6:$AZ$6,0))),'Oxford Economics'!$A$7:$A$1000,$C102,'Oxford Economics'!$B$7:$B$1000,Settings!$B$15),SUMIFS(INDEX('Oxford Economics'!$A$7:$AZ$1000,0,IFERROR(MATCH(X$5,'Oxford Economics'!$A$6:$AZ$6,0),MATCH(X$5&amp;"",'Oxford Economics'!$A$6:$AZ$6,0))),'Oxford Economics'!$A$7:$A$1000,$C102,'Oxford Economics'!$B$7:$B$1000,Settings!$B$15)+SUMIFS(INDEX('Oxford Economics'!$A$7:$AZ$1000,0,IFERROR(MATCH(X$5,'Oxford Economics'!$A$6:$AZ$6,0),MATCH(X$5&amp;"",'Oxford Economics'!$A$6:$AZ$6,0))),'Oxford Economics'!$A$7:$A$1000,$C102,'Oxford Economics'!$B$7:$B$1000,Settings!$B$17)+IF(Settings!$B$19="",0,SUMIFS(INDEX('Oxford Economics'!$A$7:$AZ$1000,0,IFERROR(MATCH(X$5,'Oxford Economics'!$A$6:$AZ$6,0),MATCH(X$5&amp;"",'Oxford Economics'!$A$6:$AZ$6,0))),'Oxford Economics'!$A$7:$A$1000,$C102,'Oxford Economics'!$B$7:$B$1000,Settings!$B$19)))),""))</f>
        <v>3218.37</v>
      </c>
      <c r="Y102" s="38" t="n">
        <f aca="false">IF($A102="","",IFERROR(1/(1/IF($B102="Residential",SUMIFS(INDEX('Oxford Economics'!$A$7:$AZ$1000,0,IFERROR(MATCH(Y$5,'Oxford Economics'!$A$6:$AZ$6,0),MATCH(Y$5&amp;"",'Oxford Economics'!$A$6:$AZ$6,0))),'Oxford Economics'!$A$7:$A$1000,$C102,'Oxford Economics'!$B$7:$B$1000,Settings!$B$13)-SUMIFS(INDEX('Oxford Economics'!$A$7:$AZ$1000,0,IFERROR(MATCH(Y$5,'Oxford Economics'!$A$6:$AZ$6,0),MATCH(Y$5&amp;"",'Oxford Economics'!$A$6:$AZ$6,0))),'Oxford Economics'!$A$7:$A$1000,$C102,'Oxford Economics'!$B$7:$B$1000,Settings!$B$15),SUMIFS(INDEX('Oxford Economics'!$A$7:$AZ$1000,0,IFERROR(MATCH(Y$5,'Oxford Economics'!$A$6:$AZ$6,0),MATCH(Y$5&amp;"",'Oxford Economics'!$A$6:$AZ$6,0))),'Oxford Economics'!$A$7:$A$1000,$C102,'Oxford Economics'!$B$7:$B$1000,Settings!$B$15)+SUMIFS(INDEX('Oxford Economics'!$A$7:$AZ$1000,0,IFERROR(MATCH(Y$5,'Oxford Economics'!$A$6:$AZ$6,0),MATCH(Y$5&amp;"",'Oxford Economics'!$A$6:$AZ$6,0))),'Oxford Economics'!$A$7:$A$1000,$C102,'Oxford Economics'!$B$7:$B$1000,Settings!$B$17)+IF(Settings!$B$19="",0,SUMIFS(INDEX('Oxford Economics'!$A$7:$AZ$1000,0,IFERROR(MATCH(Y$5,'Oxford Economics'!$A$6:$AZ$6,0),MATCH(Y$5&amp;"",'Oxford Economics'!$A$6:$AZ$6,0))),'Oxford Economics'!$A$7:$A$1000,$C102,'Oxford Economics'!$B$7:$B$1000,Settings!$B$19)))),""))</f>
        <v>3201.23</v>
      </c>
      <c r="Z102" s="38" t="n">
        <f aca="false">IF($A102="","",IFERROR(1/(1/IF($B102="Residential",SUMIFS(INDEX('Oxford Economics'!$A$7:$AZ$1000,0,IFERROR(MATCH(Z$5,'Oxford Economics'!$A$6:$AZ$6,0),MATCH(Z$5&amp;"",'Oxford Economics'!$A$6:$AZ$6,0))),'Oxford Economics'!$A$7:$A$1000,$C102,'Oxford Economics'!$B$7:$B$1000,Settings!$B$13)-SUMIFS(INDEX('Oxford Economics'!$A$7:$AZ$1000,0,IFERROR(MATCH(Z$5,'Oxford Economics'!$A$6:$AZ$6,0),MATCH(Z$5&amp;"",'Oxford Economics'!$A$6:$AZ$6,0))),'Oxford Economics'!$A$7:$A$1000,$C102,'Oxford Economics'!$B$7:$B$1000,Settings!$B$15),SUMIFS(INDEX('Oxford Economics'!$A$7:$AZ$1000,0,IFERROR(MATCH(Z$5,'Oxford Economics'!$A$6:$AZ$6,0),MATCH(Z$5&amp;"",'Oxford Economics'!$A$6:$AZ$6,0))),'Oxford Economics'!$A$7:$A$1000,$C102,'Oxford Economics'!$B$7:$B$1000,Settings!$B$15)+SUMIFS(INDEX('Oxford Economics'!$A$7:$AZ$1000,0,IFERROR(MATCH(Z$5,'Oxford Economics'!$A$6:$AZ$6,0),MATCH(Z$5&amp;"",'Oxford Economics'!$A$6:$AZ$6,0))),'Oxford Economics'!$A$7:$A$1000,$C102,'Oxford Economics'!$B$7:$B$1000,Settings!$B$17)+IF(Settings!$B$19="",0,SUMIFS(INDEX('Oxford Economics'!$A$7:$AZ$1000,0,IFERROR(MATCH(Z$5,'Oxford Economics'!$A$6:$AZ$6,0),MATCH(Z$5&amp;"",'Oxford Economics'!$A$6:$AZ$6,0))),'Oxford Economics'!$A$7:$A$1000,$C102,'Oxford Economics'!$B$7:$B$1000,Settings!$B$19)))),""))</f>
        <v>3206.35</v>
      </c>
      <c r="AA102" s="38" t="n">
        <f aca="false">IF($A102="","",IFERROR(1/(1/IF($B102="Residential",SUMIFS(INDEX('Oxford Economics'!$A$7:$AZ$1000,0,IFERROR(MATCH(AA$5,'Oxford Economics'!$A$6:$AZ$6,0),MATCH(AA$5&amp;"",'Oxford Economics'!$A$6:$AZ$6,0))),'Oxford Economics'!$A$7:$A$1000,$C102,'Oxford Economics'!$B$7:$B$1000,Settings!$B$13)-SUMIFS(INDEX('Oxford Economics'!$A$7:$AZ$1000,0,IFERROR(MATCH(AA$5,'Oxford Economics'!$A$6:$AZ$6,0),MATCH(AA$5&amp;"",'Oxford Economics'!$A$6:$AZ$6,0))),'Oxford Economics'!$A$7:$A$1000,$C102,'Oxford Economics'!$B$7:$B$1000,Settings!$B$15),SUMIFS(INDEX('Oxford Economics'!$A$7:$AZ$1000,0,IFERROR(MATCH(AA$5,'Oxford Economics'!$A$6:$AZ$6,0),MATCH(AA$5&amp;"",'Oxford Economics'!$A$6:$AZ$6,0))),'Oxford Economics'!$A$7:$A$1000,$C102,'Oxford Economics'!$B$7:$B$1000,Settings!$B$15)+SUMIFS(INDEX('Oxford Economics'!$A$7:$AZ$1000,0,IFERROR(MATCH(AA$5,'Oxford Economics'!$A$6:$AZ$6,0),MATCH(AA$5&amp;"",'Oxford Economics'!$A$6:$AZ$6,0))),'Oxford Economics'!$A$7:$A$1000,$C102,'Oxford Economics'!$B$7:$B$1000,Settings!$B$17)+IF(Settings!$B$19="",0,SUMIFS(INDEX('Oxford Economics'!$A$7:$AZ$1000,0,IFERROR(MATCH(AA$5,'Oxford Economics'!$A$6:$AZ$6,0),MATCH(AA$5&amp;"",'Oxford Economics'!$A$6:$AZ$6,0))),'Oxford Economics'!$A$7:$A$1000,$C102,'Oxford Economics'!$B$7:$B$1000,Settings!$B$19)))),""))</f>
        <v>3220.96</v>
      </c>
      <c r="AB102" s="38" t="n">
        <f aca="false">IF($A102="","",IFERROR(1/(1/IF($B102="Residential",SUMIFS(INDEX('Oxford Economics'!$A$7:$AZ$1000,0,IFERROR(MATCH(AB$5,'Oxford Economics'!$A$6:$AZ$6,0),MATCH(AB$5&amp;"",'Oxford Economics'!$A$6:$AZ$6,0))),'Oxford Economics'!$A$7:$A$1000,$C102,'Oxford Economics'!$B$7:$B$1000,Settings!$B$12)-SUMIFS(INDEX('Oxford Economics'!$A$7:$AZ$1000,0,IFERROR(MATCH(AB$5,'Oxford Economics'!$A$6:$AZ$6,0),MATCH(AB$5&amp;"",'Oxford Economics'!$A$6:$AZ$6,0))),'Oxford Economics'!$A$7:$A$1000,$C102,'Oxford Economics'!$B$7:$B$1000,Settings!$B$14),SUMIFS(INDEX('Oxford Economics'!$A$7:$AZ$1000,0,IFERROR(MATCH(AB$5,'Oxford Economics'!$A$6:$AZ$6,0),MATCH(AB$5&amp;"",'Oxford Economics'!$A$6:$AZ$6,0))),'Oxford Economics'!$A$7:$A$1000,$C102,'Oxford Economics'!$B$7:$B$1000,Settings!$B$14)+SUMIFS(INDEX('Oxford Economics'!$A$7:$AZ$1000,0,IFERROR(MATCH(AB$5,'Oxford Economics'!$A$6:$AZ$6,0),MATCH(AB$5&amp;"",'Oxford Economics'!$A$6:$AZ$6,0))),'Oxford Economics'!$A$7:$A$1000,$C102,'Oxford Economics'!$B$7:$B$1000,Settings!$B$16)+IF(Settings!$B$18="",0,SUMIFS(INDEX('Oxford Economics'!$A$7:$AZ$1000,0,IFERROR(MATCH(AB$5,'Oxford Economics'!$A$6:$AZ$6,0),MATCH(AB$5&amp;"",'Oxford Economics'!$A$6:$AZ$6,0))),'Oxford Economics'!$A$7:$A$1000,$C102,'Oxford Economics'!$B$7:$B$1000,Settings!$B$18)))),""))</f>
        <v>1238.71</v>
      </c>
      <c r="AC102" s="38" t="n">
        <f aca="false">IF($A102="","",IFERROR(1/(1/IF($B102="Residential",SUMIFS(INDEX('Oxford Economics'!$A$7:$AZ$1000,0,IFERROR(MATCH(AC$5,'Oxford Economics'!$A$6:$AZ$6,0),MATCH(AC$5&amp;"",'Oxford Economics'!$A$6:$AZ$6,0))),'Oxford Economics'!$A$7:$A$1000,$C102,'Oxford Economics'!$B$7:$B$1000,Settings!$B$12)-SUMIFS(INDEX('Oxford Economics'!$A$7:$AZ$1000,0,IFERROR(MATCH(AC$5,'Oxford Economics'!$A$6:$AZ$6,0),MATCH(AC$5&amp;"",'Oxford Economics'!$A$6:$AZ$6,0))),'Oxford Economics'!$A$7:$A$1000,$C102,'Oxford Economics'!$B$7:$B$1000,Settings!$B$14),SUMIFS(INDEX('Oxford Economics'!$A$7:$AZ$1000,0,IFERROR(MATCH(AC$5,'Oxford Economics'!$A$6:$AZ$6,0),MATCH(AC$5&amp;"",'Oxford Economics'!$A$6:$AZ$6,0))),'Oxford Economics'!$A$7:$A$1000,$C102,'Oxford Economics'!$B$7:$B$1000,Settings!$B$14)+SUMIFS(INDEX('Oxford Economics'!$A$7:$AZ$1000,0,IFERROR(MATCH(AC$5,'Oxford Economics'!$A$6:$AZ$6,0),MATCH(AC$5&amp;"",'Oxford Economics'!$A$6:$AZ$6,0))),'Oxford Economics'!$A$7:$A$1000,$C102,'Oxford Economics'!$B$7:$B$1000,Settings!$B$16)+IF(Settings!$B$18="",0,SUMIFS(INDEX('Oxford Economics'!$A$7:$AZ$1000,0,IFERROR(MATCH(AC$5,'Oxford Economics'!$A$6:$AZ$6,0),MATCH(AC$5&amp;"",'Oxford Economics'!$A$6:$AZ$6,0))),'Oxford Economics'!$A$7:$A$1000,$C102,'Oxford Economics'!$B$7:$B$1000,Settings!$B$18)))),""))</f>
        <v>925.9</v>
      </c>
      <c r="AD102" s="38" t="n">
        <f aca="false">IF($A102="","",IFERROR(1/(1/IF($B102="Residential",SUMIFS(INDEX('Oxford Economics'!$A$7:$AZ$1000,0,IFERROR(MATCH(AD$5,'Oxford Economics'!$A$6:$AZ$6,0),MATCH(AD$5&amp;"",'Oxford Economics'!$A$6:$AZ$6,0))),'Oxford Economics'!$A$7:$A$1000,$C102,'Oxford Economics'!$B$7:$B$1000,Settings!$B$12)-SUMIFS(INDEX('Oxford Economics'!$A$7:$AZ$1000,0,IFERROR(MATCH(AD$5,'Oxford Economics'!$A$6:$AZ$6,0),MATCH(AD$5&amp;"",'Oxford Economics'!$A$6:$AZ$6,0))),'Oxford Economics'!$A$7:$A$1000,$C102,'Oxford Economics'!$B$7:$B$1000,Settings!$B$14),SUMIFS(INDEX('Oxford Economics'!$A$7:$AZ$1000,0,IFERROR(MATCH(AD$5,'Oxford Economics'!$A$6:$AZ$6,0),MATCH(AD$5&amp;"",'Oxford Economics'!$A$6:$AZ$6,0))),'Oxford Economics'!$A$7:$A$1000,$C102,'Oxford Economics'!$B$7:$B$1000,Settings!$B$14)+SUMIFS(INDEX('Oxford Economics'!$A$7:$AZ$1000,0,IFERROR(MATCH(AD$5,'Oxford Economics'!$A$6:$AZ$6,0),MATCH(AD$5&amp;"",'Oxford Economics'!$A$6:$AZ$6,0))),'Oxford Economics'!$A$7:$A$1000,$C102,'Oxford Economics'!$B$7:$B$1000,Settings!$B$16)+IF(Settings!$B$18="",0,SUMIFS(INDEX('Oxford Economics'!$A$7:$AZ$1000,0,IFERROR(MATCH(AD$5,'Oxford Economics'!$A$6:$AZ$6,0),MATCH(AD$5&amp;"",'Oxford Economics'!$A$6:$AZ$6,0))),'Oxford Economics'!$A$7:$A$1000,$C102,'Oxford Economics'!$B$7:$B$1000,Settings!$B$18)))),""))</f>
        <v>511.17</v>
      </c>
      <c r="AE102" s="38" t="n">
        <f aca="false">IF($A102="","",IFERROR(1/(1/IF($B102="Residential",SUMIFS(INDEX('Oxford Economics'!$A$7:$AZ$1000,0,IFERROR(MATCH(AE$5,'Oxford Economics'!$A$6:$AZ$6,0),MATCH(AE$5&amp;"",'Oxford Economics'!$A$6:$AZ$6,0))),'Oxford Economics'!$A$7:$A$1000,$C102,'Oxford Economics'!$B$7:$B$1000,Settings!$B$12)-SUMIFS(INDEX('Oxford Economics'!$A$7:$AZ$1000,0,IFERROR(MATCH(AE$5,'Oxford Economics'!$A$6:$AZ$6,0),MATCH(AE$5&amp;"",'Oxford Economics'!$A$6:$AZ$6,0))),'Oxford Economics'!$A$7:$A$1000,$C102,'Oxford Economics'!$B$7:$B$1000,Settings!$B$14),SUMIFS(INDEX('Oxford Economics'!$A$7:$AZ$1000,0,IFERROR(MATCH(AE$5,'Oxford Economics'!$A$6:$AZ$6,0),MATCH(AE$5&amp;"",'Oxford Economics'!$A$6:$AZ$6,0))),'Oxford Economics'!$A$7:$A$1000,$C102,'Oxford Economics'!$B$7:$B$1000,Settings!$B$14)+SUMIFS(INDEX('Oxford Economics'!$A$7:$AZ$1000,0,IFERROR(MATCH(AE$5,'Oxford Economics'!$A$6:$AZ$6,0),MATCH(AE$5&amp;"",'Oxford Economics'!$A$6:$AZ$6,0))),'Oxford Economics'!$A$7:$A$1000,$C102,'Oxford Economics'!$B$7:$B$1000,Settings!$B$16)+IF(Settings!$B$18="",0,SUMIFS(INDEX('Oxford Economics'!$A$7:$AZ$1000,0,IFERROR(MATCH(AE$5,'Oxford Economics'!$A$6:$AZ$6,0),MATCH(AE$5&amp;"",'Oxford Economics'!$A$6:$AZ$6,0))),'Oxford Economics'!$A$7:$A$1000,$C102,'Oxford Economics'!$B$7:$B$1000,Settings!$B$18)))),""))</f>
        <v>605.25</v>
      </c>
      <c r="AF102" s="38" t="n">
        <f aca="false">IF($A102="","",IFERROR(1/(1/IF($B102="Residential",SUMIFS(INDEX('Oxford Economics'!$A$7:$AZ$1000,0,IFERROR(MATCH(AF$5,'Oxford Economics'!$A$6:$AZ$6,0),MATCH(AF$5&amp;"",'Oxford Economics'!$A$6:$AZ$6,0))),'Oxford Economics'!$A$7:$A$1000,$C102,'Oxford Economics'!$B$7:$B$1000,Settings!$B$12)-SUMIFS(INDEX('Oxford Economics'!$A$7:$AZ$1000,0,IFERROR(MATCH(AF$5,'Oxford Economics'!$A$6:$AZ$6,0),MATCH(AF$5&amp;"",'Oxford Economics'!$A$6:$AZ$6,0))),'Oxford Economics'!$A$7:$A$1000,$C102,'Oxford Economics'!$B$7:$B$1000,Settings!$B$14),SUMIFS(INDEX('Oxford Economics'!$A$7:$AZ$1000,0,IFERROR(MATCH(AF$5,'Oxford Economics'!$A$6:$AZ$6,0),MATCH(AF$5&amp;"",'Oxford Economics'!$A$6:$AZ$6,0))),'Oxford Economics'!$A$7:$A$1000,$C102,'Oxford Economics'!$B$7:$B$1000,Settings!$B$14)+SUMIFS(INDEX('Oxford Economics'!$A$7:$AZ$1000,0,IFERROR(MATCH(AF$5,'Oxford Economics'!$A$6:$AZ$6,0),MATCH(AF$5&amp;"",'Oxford Economics'!$A$6:$AZ$6,0))),'Oxford Economics'!$A$7:$A$1000,$C102,'Oxford Economics'!$B$7:$B$1000,Settings!$B$16)+IF(Settings!$B$18="",0,SUMIFS(INDEX('Oxford Economics'!$A$7:$AZ$1000,0,IFERROR(MATCH(AF$5,'Oxford Economics'!$A$6:$AZ$6,0),MATCH(AF$5&amp;"",'Oxford Economics'!$A$6:$AZ$6,0))),'Oxford Economics'!$A$7:$A$1000,$C102,'Oxford Economics'!$B$7:$B$1000,Settings!$B$18)))),""))</f>
        <v>666.76</v>
      </c>
      <c r="AG102" s="38" t="n">
        <f aca="false">IF($A102="","",IFERROR(1/(1/IF($B102="Residential",SUMIFS(INDEX('Oxford Economics'!$A$7:$AZ$1000,0,IFERROR(MATCH(AG$5,'Oxford Economics'!$A$6:$AZ$6,0),MATCH(AG$5&amp;"",'Oxford Economics'!$A$6:$AZ$6,0))),'Oxford Economics'!$A$7:$A$1000,$C102,'Oxford Economics'!$B$7:$B$1000,Settings!$B$12)-SUMIFS(INDEX('Oxford Economics'!$A$7:$AZ$1000,0,IFERROR(MATCH(AG$5,'Oxford Economics'!$A$6:$AZ$6,0),MATCH(AG$5&amp;"",'Oxford Economics'!$A$6:$AZ$6,0))),'Oxford Economics'!$A$7:$A$1000,$C102,'Oxford Economics'!$B$7:$B$1000,Settings!$B$14),SUMIFS(INDEX('Oxford Economics'!$A$7:$AZ$1000,0,IFERROR(MATCH(AG$5,'Oxford Economics'!$A$6:$AZ$6,0),MATCH(AG$5&amp;"",'Oxford Economics'!$A$6:$AZ$6,0))),'Oxford Economics'!$A$7:$A$1000,$C102,'Oxford Economics'!$B$7:$B$1000,Settings!$B$14)+SUMIFS(INDEX('Oxford Economics'!$A$7:$AZ$1000,0,IFERROR(MATCH(AG$5,'Oxford Economics'!$A$6:$AZ$6,0),MATCH(AG$5&amp;"",'Oxford Economics'!$A$6:$AZ$6,0))),'Oxford Economics'!$A$7:$A$1000,$C102,'Oxford Economics'!$B$7:$B$1000,Settings!$B$16)+IF(Settings!$B$18="",0,SUMIFS(INDEX('Oxford Economics'!$A$7:$AZ$1000,0,IFERROR(MATCH(AG$5,'Oxford Economics'!$A$6:$AZ$6,0),MATCH(AG$5&amp;"",'Oxford Economics'!$A$6:$AZ$6,0))),'Oxford Economics'!$A$7:$A$1000,$C102,'Oxford Economics'!$B$7:$B$1000,Settings!$B$18)))),""))</f>
        <v>811.27</v>
      </c>
      <c r="AH102" s="38" t="n">
        <f aca="false">IF($A102="","",IFERROR(1/(1/IF($B102="Residential",SUMIFS(INDEX('Oxford Economics'!$A$7:$AZ$1000,0,IFERROR(MATCH(AH$5,'Oxford Economics'!$A$6:$AZ$6,0),MATCH(AH$5&amp;"",'Oxford Economics'!$A$6:$AZ$6,0))),'Oxford Economics'!$A$7:$A$1000,$C102,'Oxford Economics'!$B$7:$B$1000,Settings!$B$12)-SUMIFS(INDEX('Oxford Economics'!$A$7:$AZ$1000,0,IFERROR(MATCH(AH$5,'Oxford Economics'!$A$6:$AZ$6,0),MATCH(AH$5&amp;"",'Oxford Economics'!$A$6:$AZ$6,0))),'Oxford Economics'!$A$7:$A$1000,$C102,'Oxford Economics'!$B$7:$B$1000,Settings!$B$14),SUMIFS(INDEX('Oxford Economics'!$A$7:$AZ$1000,0,IFERROR(MATCH(AH$5,'Oxford Economics'!$A$6:$AZ$6,0),MATCH(AH$5&amp;"",'Oxford Economics'!$A$6:$AZ$6,0))),'Oxford Economics'!$A$7:$A$1000,$C102,'Oxford Economics'!$B$7:$B$1000,Settings!$B$14)+SUMIFS(INDEX('Oxford Economics'!$A$7:$AZ$1000,0,IFERROR(MATCH(AH$5,'Oxford Economics'!$A$6:$AZ$6,0),MATCH(AH$5&amp;"",'Oxford Economics'!$A$6:$AZ$6,0))),'Oxford Economics'!$A$7:$A$1000,$C102,'Oxford Economics'!$B$7:$B$1000,Settings!$B$16)+IF(Settings!$B$18="",0,SUMIFS(INDEX('Oxford Economics'!$A$7:$AZ$1000,0,IFERROR(MATCH(AH$5,'Oxford Economics'!$A$6:$AZ$6,0),MATCH(AH$5&amp;"",'Oxford Economics'!$A$6:$AZ$6,0))),'Oxford Economics'!$A$7:$A$1000,$C102,'Oxford Economics'!$B$7:$B$1000,Settings!$B$18)))),""))</f>
        <v>880.73</v>
      </c>
      <c r="AI102" s="38" t="n">
        <f aca="false">IF($A102="","",IFERROR(1/(1/IF($B102="Residential",SUMIFS(INDEX('Oxford Economics'!$A$7:$AZ$1000,0,IFERROR(MATCH(AI$5,'Oxford Economics'!$A$6:$AZ$6,0),MATCH(AI$5&amp;"",'Oxford Economics'!$A$6:$AZ$6,0))),'Oxford Economics'!$A$7:$A$1000,$C102,'Oxford Economics'!$B$7:$B$1000,Settings!$B$12)-SUMIFS(INDEX('Oxford Economics'!$A$7:$AZ$1000,0,IFERROR(MATCH(AI$5,'Oxford Economics'!$A$6:$AZ$6,0),MATCH(AI$5&amp;"",'Oxford Economics'!$A$6:$AZ$6,0))),'Oxford Economics'!$A$7:$A$1000,$C102,'Oxford Economics'!$B$7:$B$1000,Settings!$B$14),SUMIFS(INDEX('Oxford Economics'!$A$7:$AZ$1000,0,IFERROR(MATCH(AI$5,'Oxford Economics'!$A$6:$AZ$6,0),MATCH(AI$5&amp;"",'Oxford Economics'!$A$6:$AZ$6,0))),'Oxford Economics'!$A$7:$A$1000,$C102,'Oxford Economics'!$B$7:$B$1000,Settings!$B$14)+SUMIFS(INDEX('Oxford Economics'!$A$7:$AZ$1000,0,IFERROR(MATCH(AI$5,'Oxford Economics'!$A$6:$AZ$6,0),MATCH(AI$5&amp;"",'Oxford Economics'!$A$6:$AZ$6,0))),'Oxford Economics'!$A$7:$A$1000,$C102,'Oxford Economics'!$B$7:$B$1000,Settings!$B$16)+IF(Settings!$B$18="",0,SUMIFS(INDEX('Oxford Economics'!$A$7:$AZ$1000,0,IFERROR(MATCH(AI$5,'Oxford Economics'!$A$6:$AZ$6,0),MATCH(AI$5&amp;"",'Oxford Economics'!$A$6:$AZ$6,0))),'Oxford Economics'!$A$7:$A$1000,$C102,'Oxford Economics'!$B$7:$B$1000,Settings!$B$18)))),""))</f>
        <v>895.07</v>
      </c>
      <c r="AJ102" s="38" t="n">
        <f aca="false">IF($A102="","",IFERROR(1/(1/IF($B102="Residential",SUMIFS(INDEX('Oxford Economics'!$A$7:$AZ$1000,0,IFERROR(MATCH(AJ$5,'Oxford Economics'!$A$6:$AZ$6,0),MATCH(AJ$5&amp;"",'Oxford Economics'!$A$6:$AZ$6,0))),'Oxford Economics'!$A$7:$A$1000,$C102,'Oxford Economics'!$B$7:$B$1000,Settings!$B$12)-SUMIFS(INDEX('Oxford Economics'!$A$7:$AZ$1000,0,IFERROR(MATCH(AJ$5,'Oxford Economics'!$A$6:$AZ$6,0),MATCH(AJ$5&amp;"",'Oxford Economics'!$A$6:$AZ$6,0))),'Oxford Economics'!$A$7:$A$1000,$C102,'Oxford Economics'!$B$7:$B$1000,Settings!$B$14),SUMIFS(INDEX('Oxford Economics'!$A$7:$AZ$1000,0,IFERROR(MATCH(AJ$5,'Oxford Economics'!$A$6:$AZ$6,0),MATCH(AJ$5&amp;"",'Oxford Economics'!$A$6:$AZ$6,0))),'Oxford Economics'!$A$7:$A$1000,$C102,'Oxford Economics'!$B$7:$B$1000,Settings!$B$14)+SUMIFS(INDEX('Oxford Economics'!$A$7:$AZ$1000,0,IFERROR(MATCH(AJ$5,'Oxford Economics'!$A$6:$AZ$6,0),MATCH(AJ$5&amp;"",'Oxford Economics'!$A$6:$AZ$6,0))),'Oxford Economics'!$A$7:$A$1000,$C102,'Oxford Economics'!$B$7:$B$1000,Settings!$B$16)+IF(Settings!$B$18="",0,SUMIFS(INDEX('Oxford Economics'!$A$7:$AZ$1000,0,IFERROR(MATCH(AJ$5,'Oxford Economics'!$A$6:$AZ$6,0),MATCH(AJ$5&amp;"",'Oxford Economics'!$A$6:$AZ$6,0))),'Oxford Economics'!$A$7:$A$1000,$C102,'Oxford Economics'!$B$7:$B$1000,Settings!$B$18)))),""))</f>
        <v>893.81</v>
      </c>
      <c r="AK102" s="38" t="n">
        <f aca="false">IF($A102="","",IFERROR(1/(1/IF($B102="Residential",SUMIFS(INDEX('Oxford Economics'!$A$7:$AZ$1000,0,IFERROR(MATCH(AK$5,'Oxford Economics'!$A$6:$AZ$6,0),MATCH(AK$5&amp;"",'Oxford Economics'!$A$6:$AZ$6,0))),'Oxford Economics'!$A$7:$A$1000,$C102,'Oxford Economics'!$B$7:$B$1000,Settings!$B$12)-SUMIFS(INDEX('Oxford Economics'!$A$7:$AZ$1000,0,IFERROR(MATCH(AK$5,'Oxford Economics'!$A$6:$AZ$6,0),MATCH(AK$5&amp;"",'Oxford Economics'!$A$6:$AZ$6,0))),'Oxford Economics'!$A$7:$A$1000,$C102,'Oxford Economics'!$B$7:$B$1000,Settings!$B$14),SUMIFS(INDEX('Oxford Economics'!$A$7:$AZ$1000,0,IFERROR(MATCH(AK$5,'Oxford Economics'!$A$6:$AZ$6,0),MATCH(AK$5&amp;"",'Oxford Economics'!$A$6:$AZ$6,0))),'Oxford Economics'!$A$7:$A$1000,$C102,'Oxford Economics'!$B$7:$B$1000,Settings!$B$14)+SUMIFS(INDEX('Oxford Economics'!$A$7:$AZ$1000,0,IFERROR(MATCH(AK$5,'Oxford Economics'!$A$6:$AZ$6,0),MATCH(AK$5&amp;"",'Oxford Economics'!$A$6:$AZ$6,0))),'Oxford Economics'!$A$7:$A$1000,$C102,'Oxford Economics'!$B$7:$B$1000,Settings!$B$16)+IF(Settings!$B$18="",0,SUMIFS(INDEX('Oxford Economics'!$A$7:$AZ$1000,0,IFERROR(MATCH(AK$5,'Oxford Economics'!$A$6:$AZ$6,0),MATCH(AK$5&amp;"",'Oxford Economics'!$A$6:$AZ$6,0))),'Oxford Economics'!$A$7:$A$1000,$C102,'Oxford Economics'!$B$7:$B$1000,Settings!$B$18)))),""))</f>
        <v>906.08</v>
      </c>
      <c r="AL102" s="38" t="n">
        <f aca="false">IF($A102="","",IFERROR(1/(1/IF($B102="Residential",SUMIFS(INDEX('Oxford Economics'!$A$7:$AZ$1000,0,IFERROR(MATCH(AL$5,'Oxford Economics'!$A$6:$AZ$6,0),MATCH(AL$5&amp;"",'Oxford Economics'!$A$6:$AZ$6,0))),'Oxford Economics'!$A$7:$A$1000,$C102,'Oxford Economics'!$B$7:$B$1000,Settings!$B$12)-SUMIFS(INDEX('Oxford Economics'!$A$7:$AZ$1000,0,IFERROR(MATCH(AL$5,'Oxford Economics'!$A$6:$AZ$6,0),MATCH(AL$5&amp;"",'Oxford Economics'!$A$6:$AZ$6,0))),'Oxford Economics'!$A$7:$A$1000,$C102,'Oxford Economics'!$B$7:$B$1000,Settings!$B$14),SUMIFS(INDEX('Oxford Economics'!$A$7:$AZ$1000,0,IFERROR(MATCH(AL$5,'Oxford Economics'!$A$6:$AZ$6,0),MATCH(AL$5&amp;"",'Oxford Economics'!$A$6:$AZ$6,0))),'Oxford Economics'!$A$7:$A$1000,$C102,'Oxford Economics'!$B$7:$B$1000,Settings!$B$14)+SUMIFS(INDEX('Oxford Economics'!$A$7:$AZ$1000,0,IFERROR(MATCH(AL$5,'Oxford Economics'!$A$6:$AZ$6,0),MATCH(AL$5&amp;"",'Oxford Economics'!$A$6:$AZ$6,0))),'Oxford Economics'!$A$7:$A$1000,$C102,'Oxford Economics'!$B$7:$B$1000,Settings!$B$16)+IF(Settings!$B$18="",0,SUMIFS(INDEX('Oxford Economics'!$A$7:$AZ$1000,0,IFERROR(MATCH(AL$5,'Oxford Economics'!$A$6:$AZ$6,0),MATCH(AL$5&amp;"",'Oxford Economics'!$A$6:$AZ$6,0))),'Oxford Economics'!$A$7:$A$1000,$C102,'Oxford Economics'!$B$7:$B$1000,Settings!$B$18)))),""))</f>
        <v>932.98</v>
      </c>
      <c r="AM102" s="38" t="n">
        <f aca="false">IF($A102="","",IFERROR(1/(1/IF($B102="Residential",SUMIFS(INDEX('Oxford Economics'!$A$7:$AZ$1000,0,IFERROR(MATCH(AM$5,'Oxford Economics'!$A$6:$AZ$6,0),MATCH(AM$5&amp;"",'Oxford Economics'!$A$6:$AZ$6,0))),'Oxford Economics'!$A$7:$A$1000,$C102,'Oxford Economics'!$B$7:$B$1000,Settings!$B$12)-SUMIFS(INDEX('Oxford Economics'!$A$7:$AZ$1000,0,IFERROR(MATCH(AM$5,'Oxford Economics'!$A$6:$AZ$6,0),MATCH(AM$5&amp;"",'Oxford Economics'!$A$6:$AZ$6,0))),'Oxford Economics'!$A$7:$A$1000,$C102,'Oxford Economics'!$B$7:$B$1000,Settings!$B$14),SUMIFS(INDEX('Oxford Economics'!$A$7:$AZ$1000,0,IFERROR(MATCH(AM$5,'Oxford Economics'!$A$6:$AZ$6,0),MATCH(AM$5&amp;"",'Oxford Economics'!$A$6:$AZ$6,0))),'Oxford Economics'!$A$7:$A$1000,$C102,'Oxford Economics'!$B$7:$B$1000,Settings!$B$14)+SUMIFS(INDEX('Oxford Economics'!$A$7:$AZ$1000,0,IFERROR(MATCH(AM$5,'Oxford Economics'!$A$6:$AZ$6,0),MATCH(AM$5&amp;"",'Oxford Economics'!$A$6:$AZ$6,0))),'Oxford Economics'!$A$7:$A$1000,$C102,'Oxford Economics'!$B$7:$B$1000,Settings!$B$16)+IF(Settings!$B$18="",0,SUMIFS(INDEX('Oxford Economics'!$A$7:$AZ$1000,0,IFERROR(MATCH(AM$5,'Oxford Economics'!$A$6:$AZ$6,0),MATCH(AM$5&amp;"",'Oxford Economics'!$A$6:$AZ$6,0))),'Oxford Economics'!$A$7:$A$1000,$C102,'Oxford Economics'!$B$7:$B$1000,Settings!$B$18)))),""))</f>
        <v>958.78</v>
      </c>
    </row>
    <row r="103" customFormat="false" ht="15" hidden="false" customHeight="false" outlineLevel="0" collapsed="false">
      <c r="A103" s="37" t="str">
        <f aca="false">IF('Raw data'!$A103="","",'Raw data'!$A103)</f>
        <v>Portugal</v>
      </c>
      <c r="B103" s="37" t="str">
        <f aca="false">IF($A103="","",'Raw data'!$C103)</f>
        <v>Residential</v>
      </c>
      <c r="C103" s="37" t="str">
        <f aca="false">IF($A103="","",IF('Raw data'!$E103="",$A103,'Raw data'!$E103))</f>
        <v>Portugal</v>
      </c>
      <c r="D103" s="38" t="n">
        <f aca="false">IF($A103="","",IF(AND(ISNUMBER(P103),ISNUMBER(AB103)),P103+AB103,""))</f>
        <v>3422.41</v>
      </c>
      <c r="E103" s="38" t="n">
        <f aca="false">IF($A103="","",IF(AND(ISNUMBER(Q103),ISNUMBER(AC103)),Q103+AC103,""))</f>
        <v>3536.71</v>
      </c>
      <c r="F103" s="38" t="n">
        <f aca="false">IF($A103="","",IF(AND(ISNUMBER(R103),ISNUMBER(AD103)),R103+AD103,""))</f>
        <v>3544.62</v>
      </c>
      <c r="G103" s="38" t="n">
        <f aca="false">IF($A103="","",IF(AND(ISNUMBER(S103),ISNUMBER(AE103)),S103+AE103,""))</f>
        <v>3609.4</v>
      </c>
      <c r="H103" s="38" t="n">
        <f aca="false">IF($A103="","",IF(AND(ISNUMBER(T103),ISNUMBER(AF103)),T103+AF103,""))</f>
        <v>3659.01</v>
      </c>
      <c r="I103" s="38" t="n">
        <f aca="false">IF($A103="","",IF(AND(ISNUMBER(U103),ISNUMBER(AG103)),U103+AG103,""))</f>
        <v>3971.49</v>
      </c>
      <c r="J103" s="38" t="n">
        <f aca="false">IF($A103="","",IF(AND(ISNUMBER(V103),ISNUMBER(AH103)),V103+AH103,""))</f>
        <v>4139.38</v>
      </c>
      <c r="K103" s="38" t="n">
        <f aca="false">IF($A103="","",IF(AND(ISNUMBER(W103),ISNUMBER(AI103)),W103+AI103,""))</f>
        <v>4144.61</v>
      </c>
      <c r="L103" s="38" t="n">
        <f aca="false">IF($A103="","",IF(AND(ISNUMBER(X103),ISNUMBER(AJ103)),X103+AJ103,""))</f>
        <v>4112.18</v>
      </c>
      <c r="M103" s="38" t="n">
        <f aca="false">IF($A103="","",IF(AND(ISNUMBER(Y103),ISNUMBER(AK103)),Y103+AK103,""))</f>
        <v>4107.31</v>
      </c>
      <c r="N103" s="38" t="n">
        <f aca="false">IF($A103="","",IF(AND(ISNUMBER(Z103),ISNUMBER(AL103)),Z103+AL103,""))</f>
        <v>4139.33</v>
      </c>
      <c r="O103" s="38" t="n">
        <f aca="false">IF($A103="","",IF(AND(ISNUMBER(AA103),ISNUMBER(AM103)),AA103+AM103,""))</f>
        <v>4179.74</v>
      </c>
      <c r="P103" s="38" t="n">
        <f aca="false">IF($A103="","",IFERROR(1/(1/IF($B103="Residential",SUMIFS(INDEX('Oxford Economics'!$A$7:$AZ$1000,0,IFERROR(MATCH(P$5,'Oxford Economics'!$A$6:$AZ$6,0),MATCH(P$5&amp;"",'Oxford Economics'!$A$6:$AZ$6,0))),'Oxford Economics'!$A$7:$A$1000,$C103,'Oxford Economics'!$B$7:$B$1000,Settings!$B$13)-SUMIFS(INDEX('Oxford Economics'!$A$7:$AZ$1000,0,IFERROR(MATCH(P$5,'Oxford Economics'!$A$6:$AZ$6,0),MATCH(P$5&amp;"",'Oxford Economics'!$A$6:$AZ$6,0))),'Oxford Economics'!$A$7:$A$1000,$C103,'Oxford Economics'!$B$7:$B$1000,Settings!$B$15),SUMIFS(INDEX('Oxford Economics'!$A$7:$AZ$1000,0,IFERROR(MATCH(P$5,'Oxford Economics'!$A$6:$AZ$6,0),MATCH(P$5&amp;"",'Oxford Economics'!$A$6:$AZ$6,0))),'Oxford Economics'!$A$7:$A$1000,$C103,'Oxford Economics'!$B$7:$B$1000,Settings!$B$15)+SUMIFS(INDEX('Oxford Economics'!$A$7:$AZ$1000,0,IFERROR(MATCH(P$5,'Oxford Economics'!$A$6:$AZ$6,0),MATCH(P$5&amp;"",'Oxford Economics'!$A$6:$AZ$6,0))),'Oxford Economics'!$A$7:$A$1000,$C103,'Oxford Economics'!$B$7:$B$1000,Settings!$B$17)+IF(Settings!$B$19="",0,SUMIFS(INDEX('Oxford Economics'!$A$7:$AZ$1000,0,IFERROR(MATCH(P$5,'Oxford Economics'!$A$6:$AZ$6,0),MATCH(P$5&amp;"",'Oxford Economics'!$A$6:$AZ$6,0))),'Oxford Economics'!$A$7:$A$1000,$C103,'Oxford Economics'!$B$7:$B$1000,Settings!$B$19)))),""))</f>
        <v>2183.7</v>
      </c>
      <c r="Q103" s="38" t="n">
        <f aca="false">IF($A103="","",IFERROR(1/(1/IF($B103="Residential",SUMIFS(INDEX('Oxford Economics'!$A$7:$AZ$1000,0,IFERROR(MATCH(Q$5,'Oxford Economics'!$A$6:$AZ$6,0),MATCH(Q$5&amp;"",'Oxford Economics'!$A$6:$AZ$6,0))),'Oxford Economics'!$A$7:$A$1000,$C103,'Oxford Economics'!$B$7:$B$1000,Settings!$B$13)-SUMIFS(INDEX('Oxford Economics'!$A$7:$AZ$1000,0,IFERROR(MATCH(Q$5,'Oxford Economics'!$A$6:$AZ$6,0),MATCH(Q$5&amp;"",'Oxford Economics'!$A$6:$AZ$6,0))),'Oxford Economics'!$A$7:$A$1000,$C103,'Oxford Economics'!$B$7:$B$1000,Settings!$B$15),SUMIFS(INDEX('Oxford Economics'!$A$7:$AZ$1000,0,IFERROR(MATCH(Q$5,'Oxford Economics'!$A$6:$AZ$6,0),MATCH(Q$5&amp;"",'Oxford Economics'!$A$6:$AZ$6,0))),'Oxford Economics'!$A$7:$A$1000,$C103,'Oxford Economics'!$B$7:$B$1000,Settings!$B$15)+SUMIFS(INDEX('Oxford Economics'!$A$7:$AZ$1000,0,IFERROR(MATCH(Q$5,'Oxford Economics'!$A$6:$AZ$6,0),MATCH(Q$5&amp;"",'Oxford Economics'!$A$6:$AZ$6,0))),'Oxford Economics'!$A$7:$A$1000,$C103,'Oxford Economics'!$B$7:$B$1000,Settings!$B$17)+IF(Settings!$B$19="",0,SUMIFS(INDEX('Oxford Economics'!$A$7:$AZ$1000,0,IFERROR(MATCH(Q$5,'Oxford Economics'!$A$6:$AZ$6,0),MATCH(Q$5&amp;"",'Oxford Economics'!$A$6:$AZ$6,0))),'Oxford Economics'!$A$7:$A$1000,$C103,'Oxford Economics'!$B$7:$B$1000,Settings!$B$19)))),""))</f>
        <v>2610.81</v>
      </c>
      <c r="R103" s="38" t="n">
        <f aca="false">IF($A103="","",IFERROR(1/(1/IF($B103="Residential",SUMIFS(INDEX('Oxford Economics'!$A$7:$AZ$1000,0,IFERROR(MATCH(R$5,'Oxford Economics'!$A$6:$AZ$6,0),MATCH(R$5&amp;"",'Oxford Economics'!$A$6:$AZ$6,0))),'Oxford Economics'!$A$7:$A$1000,$C103,'Oxford Economics'!$B$7:$B$1000,Settings!$B$13)-SUMIFS(INDEX('Oxford Economics'!$A$7:$AZ$1000,0,IFERROR(MATCH(R$5,'Oxford Economics'!$A$6:$AZ$6,0),MATCH(R$5&amp;"",'Oxford Economics'!$A$6:$AZ$6,0))),'Oxford Economics'!$A$7:$A$1000,$C103,'Oxford Economics'!$B$7:$B$1000,Settings!$B$15),SUMIFS(INDEX('Oxford Economics'!$A$7:$AZ$1000,0,IFERROR(MATCH(R$5,'Oxford Economics'!$A$6:$AZ$6,0),MATCH(R$5&amp;"",'Oxford Economics'!$A$6:$AZ$6,0))),'Oxford Economics'!$A$7:$A$1000,$C103,'Oxford Economics'!$B$7:$B$1000,Settings!$B$15)+SUMIFS(INDEX('Oxford Economics'!$A$7:$AZ$1000,0,IFERROR(MATCH(R$5,'Oxford Economics'!$A$6:$AZ$6,0),MATCH(R$5&amp;"",'Oxford Economics'!$A$6:$AZ$6,0))),'Oxford Economics'!$A$7:$A$1000,$C103,'Oxford Economics'!$B$7:$B$1000,Settings!$B$17)+IF(Settings!$B$19="",0,SUMIFS(INDEX('Oxford Economics'!$A$7:$AZ$1000,0,IFERROR(MATCH(R$5,'Oxford Economics'!$A$6:$AZ$6,0),MATCH(R$5&amp;"",'Oxford Economics'!$A$6:$AZ$6,0))),'Oxford Economics'!$A$7:$A$1000,$C103,'Oxford Economics'!$B$7:$B$1000,Settings!$B$19)))),""))</f>
        <v>3033.45</v>
      </c>
      <c r="S103" s="38" t="n">
        <f aca="false">IF($A103="","",IFERROR(1/(1/IF($B103="Residential",SUMIFS(INDEX('Oxford Economics'!$A$7:$AZ$1000,0,IFERROR(MATCH(S$5,'Oxford Economics'!$A$6:$AZ$6,0),MATCH(S$5&amp;"",'Oxford Economics'!$A$6:$AZ$6,0))),'Oxford Economics'!$A$7:$A$1000,$C103,'Oxford Economics'!$B$7:$B$1000,Settings!$B$13)-SUMIFS(INDEX('Oxford Economics'!$A$7:$AZ$1000,0,IFERROR(MATCH(S$5,'Oxford Economics'!$A$6:$AZ$6,0),MATCH(S$5&amp;"",'Oxford Economics'!$A$6:$AZ$6,0))),'Oxford Economics'!$A$7:$A$1000,$C103,'Oxford Economics'!$B$7:$B$1000,Settings!$B$15),SUMIFS(INDEX('Oxford Economics'!$A$7:$AZ$1000,0,IFERROR(MATCH(S$5,'Oxford Economics'!$A$6:$AZ$6,0),MATCH(S$5&amp;"",'Oxford Economics'!$A$6:$AZ$6,0))),'Oxford Economics'!$A$7:$A$1000,$C103,'Oxford Economics'!$B$7:$B$1000,Settings!$B$15)+SUMIFS(INDEX('Oxford Economics'!$A$7:$AZ$1000,0,IFERROR(MATCH(S$5,'Oxford Economics'!$A$6:$AZ$6,0),MATCH(S$5&amp;"",'Oxford Economics'!$A$6:$AZ$6,0))),'Oxford Economics'!$A$7:$A$1000,$C103,'Oxford Economics'!$B$7:$B$1000,Settings!$B$17)+IF(Settings!$B$19="",0,SUMIFS(INDEX('Oxford Economics'!$A$7:$AZ$1000,0,IFERROR(MATCH(S$5,'Oxford Economics'!$A$6:$AZ$6,0),MATCH(S$5&amp;"",'Oxford Economics'!$A$6:$AZ$6,0))),'Oxford Economics'!$A$7:$A$1000,$C103,'Oxford Economics'!$B$7:$B$1000,Settings!$B$19)))),""))</f>
        <v>3004.15</v>
      </c>
      <c r="T103" s="38" t="n">
        <f aca="false">IF($A103="","",IFERROR(1/(1/IF($B103="Residential",SUMIFS(INDEX('Oxford Economics'!$A$7:$AZ$1000,0,IFERROR(MATCH(T$5,'Oxford Economics'!$A$6:$AZ$6,0),MATCH(T$5&amp;"",'Oxford Economics'!$A$6:$AZ$6,0))),'Oxford Economics'!$A$7:$A$1000,$C103,'Oxford Economics'!$B$7:$B$1000,Settings!$B$13)-SUMIFS(INDEX('Oxford Economics'!$A$7:$AZ$1000,0,IFERROR(MATCH(T$5,'Oxford Economics'!$A$6:$AZ$6,0),MATCH(T$5&amp;"",'Oxford Economics'!$A$6:$AZ$6,0))),'Oxford Economics'!$A$7:$A$1000,$C103,'Oxford Economics'!$B$7:$B$1000,Settings!$B$15),SUMIFS(INDEX('Oxford Economics'!$A$7:$AZ$1000,0,IFERROR(MATCH(T$5,'Oxford Economics'!$A$6:$AZ$6,0),MATCH(T$5&amp;"",'Oxford Economics'!$A$6:$AZ$6,0))),'Oxford Economics'!$A$7:$A$1000,$C103,'Oxford Economics'!$B$7:$B$1000,Settings!$B$15)+SUMIFS(INDEX('Oxford Economics'!$A$7:$AZ$1000,0,IFERROR(MATCH(T$5,'Oxford Economics'!$A$6:$AZ$6,0),MATCH(T$5&amp;"",'Oxford Economics'!$A$6:$AZ$6,0))),'Oxford Economics'!$A$7:$A$1000,$C103,'Oxford Economics'!$B$7:$B$1000,Settings!$B$17)+IF(Settings!$B$19="",0,SUMIFS(INDEX('Oxford Economics'!$A$7:$AZ$1000,0,IFERROR(MATCH(T$5,'Oxford Economics'!$A$6:$AZ$6,0),MATCH(T$5&amp;"",'Oxford Economics'!$A$6:$AZ$6,0))),'Oxford Economics'!$A$7:$A$1000,$C103,'Oxford Economics'!$B$7:$B$1000,Settings!$B$19)))),""))</f>
        <v>2992.25</v>
      </c>
      <c r="U103" s="38" t="n">
        <f aca="false">IF($A103="","",IFERROR(1/(1/IF($B103="Residential",SUMIFS(INDEX('Oxford Economics'!$A$7:$AZ$1000,0,IFERROR(MATCH(U$5,'Oxford Economics'!$A$6:$AZ$6,0),MATCH(U$5&amp;"",'Oxford Economics'!$A$6:$AZ$6,0))),'Oxford Economics'!$A$7:$A$1000,$C103,'Oxford Economics'!$B$7:$B$1000,Settings!$B$13)-SUMIFS(INDEX('Oxford Economics'!$A$7:$AZ$1000,0,IFERROR(MATCH(U$5,'Oxford Economics'!$A$6:$AZ$6,0),MATCH(U$5&amp;"",'Oxford Economics'!$A$6:$AZ$6,0))),'Oxford Economics'!$A$7:$A$1000,$C103,'Oxford Economics'!$B$7:$B$1000,Settings!$B$15),SUMIFS(INDEX('Oxford Economics'!$A$7:$AZ$1000,0,IFERROR(MATCH(U$5,'Oxford Economics'!$A$6:$AZ$6,0),MATCH(U$5&amp;"",'Oxford Economics'!$A$6:$AZ$6,0))),'Oxford Economics'!$A$7:$A$1000,$C103,'Oxford Economics'!$B$7:$B$1000,Settings!$B$15)+SUMIFS(INDEX('Oxford Economics'!$A$7:$AZ$1000,0,IFERROR(MATCH(U$5,'Oxford Economics'!$A$6:$AZ$6,0),MATCH(U$5&amp;"",'Oxford Economics'!$A$6:$AZ$6,0))),'Oxford Economics'!$A$7:$A$1000,$C103,'Oxford Economics'!$B$7:$B$1000,Settings!$B$17)+IF(Settings!$B$19="",0,SUMIFS(INDEX('Oxford Economics'!$A$7:$AZ$1000,0,IFERROR(MATCH(U$5,'Oxford Economics'!$A$6:$AZ$6,0),MATCH(U$5&amp;"",'Oxford Economics'!$A$6:$AZ$6,0))),'Oxford Economics'!$A$7:$A$1000,$C103,'Oxford Economics'!$B$7:$B$1000,Settings!$B$19)))),""))</f>
        <v>3160.22</v>
      </c>
      <c r="V103" s="38" t="n">
        <f aca="false">IF($A103="","",IFERROR(1/(1/IF($B103="Residential",SUMIFS(INDEX('Oxford Economics'!$A$7:$AZ$1000,0,IFERROR(MATCH(V$5,'Oxford Economics'!$A$6:$AZ$6,0),MATCH(V$5&amp;"",'Oxford Economics'!$A$6:$AZ$6,0))),'Oxford Economics'!$A$7:$A$1000,$C103,'Oxford Economics'!$B$7:$B$1000,Settings!$B$13)-SUMIFS(INDEX('Oxford Economics'!$A$7:$AZ$1000,0,IFERROR(MATCH(V$5,'Oxford Economics'!$A$6:$AZ$6,0),MATCH(V$5&amp;"",'Oxford Economics'!$A$6:$AZ$6,0))),'Oxford Economics'!$A$7:$A$1000,$C103,'Oxford Economics'!$B$7:$B$1000,Settings!$B$15),SUMIFS(INDEX('Oxford Economics'!$A$7:$AZ$1000,0,IFERROR(MATCH(V$5,'Oxford Economics'!$A$6:$AZ$6,0),MATCH(V$5&amp;"",'Oxford Economics'!$A$6:$AZ$6,0))),'Oxford Economics'!$A$7:$A$1000,$C103,'Oxford Economics'!$B$7:$B$1000,Settings!$B$15)+SUMIFS(INDEX('Oxford Economics'!$A$7:$AZ$1000,0,IFERROR(MATCH(V$5,'Oxford Economics'!$A$6:$AZ$6,0),MATCH(V$5&amp;"",'Oxford Economics'!$A$6:$AZ$6,0))),'Oxford Economics'!$A$7:$A$1000,$C103,'Oxford Economics'!$B$7:$B$1000,Settings!$B$17)+IF(Settings!$B$19="",0,SUMIFS(INDEX('Oxford Economics'!$A$7:$AZ$1000,0,IFERROR(MATCH(V$5,'Oxford Economics'!$A$6:$AZ$6,0),MATCH(V$5&amp;"",'Oxford Economics'!$A$6:$AZ$6,0))),'Oxford Economics'!$A$7:$A$1000,$C103,'Oxford Economics'!$B$7:$B$1000,Settings!$B$19)))),""))</f>
        <v>3258.65</v>
      </c>
      <c r="W103" s="38" t="n">
        <f aca="false">IF($A103="","",IFERROR(1/(1/IF($B103="Residential",SUMIFS(INDEX('Oxford Economics'!$A$7:$AZ$1000,0,IFERROR(MATCH(W$5,'Oxford Economics'!$A$6:$AZ$6,0),MATCH(W$5&amp;"",'Oxford Economics'!$A$6:$AZ$6,0))),'Oxford Economics'!$A$7:$A$1000,$C103,'Oxford Economics'!$B$7:$B$1000,Settings!$B$13)-SUMIFS(INDEX('Oxford Economics'!$A$7:$AZ$1000,0,IFERROR(MATCH(W$5,'Oxford Economics'!$A$6:$AZ$6,0),MATCH(W$5&amp;"",'Oxford Economics'!$A$6:$AZ$6,0))),'Oxford Economics'!$A$7:$A$1000,$C103,'Oxford Economics'!$B$7:$B$1000,Settings!$B$15),SUMIFS(INDEX('Oxford Economics'!$A$7:$AZ$1000,0,IFERROR(MATCH(W$5,'Oxford Economics'!$A$6:$AZ$6,0),MATCH(W$5&amp;"",'Oxford Economics'!$A$6:$AZ$6,0))),'Oxford Economics'!$A$7:$A$1000,$C103,'Oxford Economics'!$B$7:$B$1000,Settings!$B$15)+SUMIFS(INDEX('Oxford Economics'!$A$7:$AZ$1000,0,IFERROR(MATCH(W$5,'Oxford Economics'!$A$6:$AZ$6,0),MATCH(W$5&amp;"",'Oxford Economics'!$A$6:$AZ$6,0))),'Oxford Economics'!$A$7:$A$1000,$C103,'Oxford Economics'!$B$7:$B$1000,Settings!$B$17)+IF(Settings!$B$19="",0,SUMIFS(INDEX('Oxford Economics'!$A$7:$AZ$1000,0,IFERROR(MATCH(W$5,'Oxford Economics'!$A$6:$AZ$6,0),MATCH(W$5&amp;"",'Oxford Economics'!$A$6:$AZ$6,0))),'Oxford Economics'!$A$7:$A$1000,$C103,'Oxford Economics'!$B$7:$B$1000,Settings!$B$19)))),""))</f>
        <v>3249.54</v>
      </c>
      <c r="X103" s="38" t="n">
        <f aca="false">IF($A103="","",IFERROR(1/(1/IF($B103="Residential",SUMIFS(INDEX('Oxford Economics'!$A$7:$AZ$1000,0,IFERROR(MATCH(X$5,'Oxford Economics'!$A$6:$AZ$6,0),MATCH(X$5&amp;"",'Oxford Economics'!$A$6:$AZ$6,0))),'Oxford Economics'!$A$7:$A$1000,$C103,'Oxford Economics'!$B$7:$B$1000,Settings!$B$13)-SUMIFS(INDEX('Oxford Economics'!$A$7:$AZ$1000,0,IFERROR(MATCH(X$5,'Oxford Economics'!$A$6:$AZ$6,0),MATCH(X$5&amp;"",'Oxford Economics'!$A$6:$AZ$6,0))),'Oxford Economics'!$A$7:$A$1000,$C103,'Oxford Economics'!$B$7:$B$1000,Settings!$B$15),SUMIFS(INDEX('Oxford Economics'!$A$7:$AZ$1000,0,IFERROR(MATCH(X$5,'Oxford Economics'!$A$6:$AZ$6,0),MATCH(X$5&amp;"",'Oxford Economics'!$A$6:$AZ$6,0))),'Oxford Economics'!$A$7:$A$1000,$C103,'Oxford Economics'!$B$7:$B$1000,Settings!$B$15)+SUMIFS(INDEX('Oxford Economics'!$A$7:$AZ$1000,0,IFERROR(MATCH(X$5,'Oxford Economics'!$A$6:$AZ$6,0),MATCH(X$5&amp;"",'Oxford Economics'!$A$6:$AZ$6,0))),'Oxford Economics'!$A$7:$A$1000,$C103,'Oxford Economics'!$B$7:$B$1000,Settings!$B$17)+IF(Settings!$B$19="",0,SUMIFS(INDEX('Oxford Economics'!$A$7:$AZ$1000,0,IFERROR(MATCH(X$5,'Oxford Economics'!$A$6:$AZ$6,0),MATCH(X$5&amp;"",'Oxford Economics'!$A$6:$AZ$6,0))),'Oxford Economics'!$A$7:$A$1000,$C103,'Oxford Economics'!$B$7:$B$1000,Settings!$B$19)))),""))</f>
        <v>3218.37</v>
      </c>
      <c r="Y103" s="38" t="n">
        <f aca="false">IF($A103="","",IFERROR(1/(1/IF($B103="Residential",SUMIFS(INDEX('Oxford Economics'!$A$7:$AZ$1000,0,IFERROR(MATCH(Y$5,'Oxford Economics'!$A$6:$AZ$6,0),MATCH(Y$5&amp;"",'Oxford Economics'!$A$6:$AZ$6,0))),'Oxford Economics'!$A$7:$A$1000,$C103,'Oxford Economics'!$B$7:$B$1000,Settings!$B$13)-SUMIFS(INDEX('Oxford Economics'!$A$7:$AZ$1000,0,IFERROR(MATCH(Y$5,'Oxford Economics'!$A$6:$AZ$6,0),MATCH(Y$5&amp;"",'Oxford Economics'!$A$6:$AZ$6,0))),'Oxford Economics'!$A$7:$A$1000,$C103,'Oxford Economics'!$B$7:$B$1000,Settings!$B$15),SUMIFS(INDEX('Oxford Economics'!$A$7:$AZ$1000,0,IFERROR(MATCH(Y$5,'Oxford Economics'!$A$6:$AZ$6,0),MATCH(Y$5&amp;"",'Oxford Economics'!$A$6:$AZ$6,0))),'Oxford Economics'!$A$7:$A$1000,$C103,'Oxford Economics'!$B$7:$B$1000,Settings!$B$15)+SUMIFS(INDEX('Oxford Economics'!$A$7:$AZ$1000,0,IFERROR(MATCH(Y$5,'Oxford Economics'!$A$6:$AZ$6,0),MATCH(Y$5&amp;"",'Oxford Economics'!$A$6:$AZ$6,0))),'Oxford Economics'!$A$7:$A$1000,$C103,'Oxford Economics'!$B$7:$B$1000,Settings!$B$17)+IF(Settings!$B$19="",0,SUMIFS(INDEX('Oxford Economics'!$A$7:$AZ$1000,0,IFERROR(MATCH(Y$5,'Oxford Economics'!$A$6:$AZ$6,0),MATCH(Y$5&amp;"",'Oxford Economics'!$A$6:$AZ$6,0))),'Oxford Economics'!$A$7:$A$1000,$C103,'Oxford Economics'!$B$7:$B$1000,Settings!$B$19)))),""))</f>
        <v>3201.23</v>
      </c>
      <c r="Z103" s="38" t="n">
        <f aca="false">IF($A103="","",IFERROR(1/(1/IF($B103="Residential",SUMIFS(INDEX('Oxford Economics'!$A$7:$AZ$1000,0,IFERROR(MATCH(Z$5,'Oxford Economics'!$A$6:$AZ$6,0),MATCH(Z$5&amp;"",'Oxford Economics'!$A$6:$AZ$6,0))),'Oxford Economics'!$A$7:$A$1000,$C103,'Oxford Economics'!$B$7:$B$1000,Settings!$B$13)-SUMIFS(INDEX('Oxford Economics'!$A$7:$AZ$1000,0,IFERROR(MATCH(Z$5,'Oxford Economics'!$A$6:$AZ$6,0),MATCH(Z$5&amp;"",'Oxford Economics'!$A$6:$AZ$6,0))),'Oxford Economics'!$A$7:$A$1000,$C103,'Oxford Economics'!$B$7:$B$1000,Settings!$B$15),SUMIFS(INDEX('Oxford Economics'!$A$7:$AZ$1000,0,IFERROR(MATCH(Z$5,'Oxford Economics'!$A$6:$AZ$6,0),MATCH(Z$5&amp;"",'Oxford Economics'!$A$6:$AZ$6,0))),'Oxford Economics'!$A$7:$A$1000,$C103,'Oxford Economics'!$B$7:$B$1000,Settings!$B$15)+SUMIFS(INDEX('Oxford Economics'!$A$7:$AZ$1000,0,IFERROR(MATCH(Z$5,'Oxford Economics'!$A$6:$AZ$6,0),MATCH(Z$5&amp;"",'Oxford Economics'!$A$6:$AZ$6,0))),'Oxford Economics'!$A$7:$A$1000,$C103,'Oxford Economics'!$B$7:$B$1000,Settings!$B$17)+IF(Settings!$B$19="",0,SUMIFS(INDEX('Oxford Economics'!$A$7:$AZ$1000,0,IFERROR(MATCH(Z$5,'Oxford Economics'!$A$6:$AZ$6,0),MATCH(Z$5&amp;"",'Oxford Economics'!$A$6:$AZ$6,0))),'Oxford Economics'!$A$7:$A$1000,$C103,'Oxford Economics'!$B$7:$B$1000,Settings!$B$19)))),""))</f>
        <v>3206.35</v>
      </c>
      <c r="AA103" s="38" t="n">
        <f aca="false">IF($A103="","",IFERROR(1/(1/IF($B103="Residential",SUMIFS(INDEX('Oxford Economics'!$A$7:$AZ$1000,0,IFERROR(MATCH(AA$5,'Oxford Economics'!$A$6:$AZ$6,0),MATCH(AA$5&amp;"",'Oxford Economics'!$A$6:$AZ$6,0))),'Oxford Economics'!$A$7:$A$1000,$C103,'Oxford Economics'!$B$7:$B$1000,Settings!$B$13)-SUMIFS(INDEX('Oxford Economics'!$A$7:$AZ$1000,0,IFERROR(MATCH(AA$5,'Oxford Economics'!$A$6:$AZ$6,0),MATCH(AA$5&amp;"",'Oxford Economics'!$A$6:$AZ$6,0))),'Oxford Economics'!$A$7:$A$1000,$C103,'Oxford Economics'!$B$7:$B$1000,Settings!$B$15),SUMIFS(INDEX('Oxford Economics'!$A$7:$AZ$1000,0,IFERROR(MATCH(AA$5,'Oxford Economics'!$A$6:$AZ$6,0),MATCH(AA$5&amp;"",'Oxford Economics'!$A$6:$AZ$6,0))),'Oxford Economics'!$A$7:$A$1000,$C103,'Oxford Economics'!$B$7:$B$1000,Settings!$B$15)+SUMIFS(INDEX('Oxford Economics'!$A$7:$AZ$1000,0,IFERROR(MATCH(AA$5,'Oxford Economics'!$A$6:$AZ$6,0),MATCH(AA$5&amp;"",'Oxford Economics'!$A$6:$AZ$6,0))),'Oxford Economics'!$A$7:$A$1000,$C103,'Oxford Economics'!$B$7:$B$1000,Settings!$B$17)+IF(Settings!$B$19="",0,SUMIFS(INDEX('Oxford Economics'!$A$7:$AZ$1000,0,IFERROR(MATCH(AA$5,'Oxford Economics'!$A$6:$AZ$6,0),MATCH(AA$5&amp;"",'Oxford Economics'!$A$6:$AZ$6,0))),'Oxford Economics'!$A$7:$A$1000,$C103,'Oxford Economics'!$B$7:$B$1000,Settings!$B$19)))),""))</f>
        <v>3220.96</v>
      </c>
      <c r="AB103" s="38" t="n">
        <f aca="false">IF($A103="","",IFERROR(1/(1/IF($B103="Residential",SUMIFS(INDEX('Oxford Economics'!$A$7:$AZ$1000,0,IFERROR(MATCH(AB$5,'Oxford Economics'!$A$6:$AZ$6,0),MATCH(AB$5&amp;"",'Oxford Economics'!$A$6:$AZ$6,0))),'Oxford Economics'!$A$7:$A$1000,$C103,'Oxford Economics'!$B$7:$B$1000,Settings!$B$12)-SUMIFS(INDEX('Oxford Economics'!$A$7:$AZ$1000,0,IFERROR(MATCH(AB$5,'Oxford Economics'!$A$6:$AZ$6,0),MATCH(AB$5&amp;"",'Oxford Economics'!$A$6:$AZ$6,0))),'Oxford Economics'!$A$7:$A$1000,$C103,'Oxford Economics'!$B$7:$B$1000,Settings!$B$14),SUMIFS(INDEX('Oxford Economics'!$A$7:$AZ$1000,0,IFERROR(MATCH(AB$5,'Oxford Economics'!$A$6:$AZ$6,0),MATCH(AB$5&amp;"",'Oxford Economics'!$A$6:$AZ$6,0))),'Oxford Economics'!$A$7:$A$1000,$C103,'Oxford Economics'!$B$7:$B$1000,Settings!$B$14)+SUMIFS(INDEX('Oxford Economics'!$A$7:$AZ$1000,0,IFERROR(MATCH(AB$5,'Oxford Economics'!$A$6:$AZ$6,0),MATCH(AB$5&amp;"",'Oxford Economics'!$A$6:$AZ$6,0))),'Oxford Economics'!$A$7:$A$1000,$C103,'Oxford Economics'!$B$7:$B$1000,Settings!$B$16)+IF(Settings!$B$18="",0,SUMIFS(INDEX('Oxford Economics'!$A$7:$AZ$1000,0,IFERROR(MATCH(AB$5,'Oxford Economics'!$A$6:$AZ$6,0),MATCH(AB$5&amp;"",'Oxford Economics'!$A$6:$AZ$6,0))),'Oxford Economics'!$A$7:$A$1000,$C103,'Oxford Economics'!$B$7:$B$1000,Settings!$B$18)))),""))</f>
        <v>1238.71</v>
      </c>
      <c r="AC103" s="38" t="n">
        <f aca="false">IF($A103="","",IFERROR(1/(1/IF($B103="Residential",SUMIFS(INDEX('Oxford Economics'!$A$7:$AZ$1000,0,IFERROR(MATCH(AC$5,'Oxford Economics'!$A$6:$AZ$6,0),MATCH(AC$5&amp;"",'Oxford Economics'!$A$6:$AZ$6,0))),'Oxford Economics'!$A$7:$A$1000,$C103,'Oxford Economics'!$B$7:$B$1000,Settings!$B$12)-SUMIFS(INDEX('Oxford Economics'!$A$7:$AZ$1000,0,IFERROR(MATCH(AC$5,'Oxford Economics'!$A$6:$AZ$6,0),MATCH(AC$5&amp;"",'Oxford Economics'!$A$6:$AZ$6,0))),'Oxford Economics'!$A$7:$A$1000,$C103,'Oxford Economics'!$B$7:$B$1000,Settings!$B$14),SUMIFS(INDEX('Oxford Economics'!$A$7:$AZ$1000,0,IFERROR(MATCH(AC$5,'Oxford Economics'!$A$6:$AZ$6,0),MATCH(AC$5&amp;"",'Oxford Economics'!$A$6:$AZ$6,0))),'Oxford Economics'!$A$7:$A$1000,$C103,'Oxford Economics'!$B$7:$B$1000,Settings!$B$14)+SUMIFS(INDEX('Oxford Economics'!$A$7:$AZ$1000,0,IFERROR(MATCH(AC$5,'Oxford Economics'!$A$6:$AZ$6,0),MATCH(AC$5&amp;"",'Oxford Economics'!$A$6:$AZ$6,0))),'Oxford Economics'!$A$7:$A$1000,$C103,'Oxford Economics'!$B$7:$B$1000,Settings!$B$16)+IF(Settings!$B$18="",0,SUMIFS(INDEX('Oxford Economics'!$A$7:$AZ$1000,0,IFERROR(MATCH(AC$5,'Oxford Economics'!$A$6:$AZ$6,0),MATCH(AC$5&amp;"",'Oxford Economics'!$A$6:$AZ$6,0))),'Oxford Economics'!$A$7:$A$1000,$C103,'Oxford Economics'!$B$7:$B$1000,Settings!$B$18)))),""))</f>
        <v>925.9</v>
      </c>
      <c r="AD103" s="38" t="n">
        <f aca="false">IF($A103="","",IFERROR(1/(1/IF($B103="Residential",SUMIFS(INDEX('Oxford Economics'!$A$7:$AZ$1000,0,IFERROR(MATCH(AD$5,'Oxford Economics'!$A$6:$AZ$6,0),MATCH(AD$5&amp;"",'Oxford Economics'!$A$6:$AZ$6,0))),'Oxford Economics'!$A$7:$A$1000,$C103,'Oxford Economics'!$B$7:$B$1000,Settings!$B$12)-SUMIFS(INDEX('Oxford Economics'!$A$7:$AZ$1000,0,IFERROR(MATCH(AD$5,'Oxford Economics'!$A$6:$AZ$6,0),MATCH(AD$5&amp;"",'Oxford Economics'!$A$6:$AZ$6,0))),'Oxford Economics'!$A$7:$A$1000,$C103,'Oxford Economics'!$B$7:$B$1000,Settings!$B$14),SUMIFS(INDEX('Oxford Economics'!$A$7:$AZ$1000,0,IFERROR(MATCH(AD$5,'Oxford Economics'!$A$6:$AZ$6,0),MATCH(AD$5&amp;"",'Oxford Economics'!$A$6:$AZ$6,0))),'Oxford Economics'!$A$7:$A$1000,$C103,'Oxford Economics'!$B$7:$B$1000,Settings!$B$14)+SUMIFS(INDEX('Oxford Economics'!$A$7:$AZ$1000,0,IFERROR(MATCH(AD$5,'Oxford Economics'!$A$6:$AZ$6,0),MATCH(AD$5&amp;"",'Oxford Economics'!$A$6:$AZ$6,0))),'Oxford Economics'!$A$7:$A$1000,$C103,'Oxford Economics'!$B$7:$B$1000,Settings!$B$16)+IF(Settings!$B$18="",0,SUMIFS(INDEX('Oxford Economics'!$A$7:$AZ$1000,0,IFERROR(MATCH(AD$5,'Oxford Economics'!$A$6:$AZ$6,0),MATCH(AD$5&amp;"",'Oxford Economics'!$A$6:$AZ$6,0))),'Oxford Economics'!$A$7:$A$1000,$C103,'Oxford Economics'!$B$7:$B$1000,Settings!$B$18)))),""))</f>
        <v>511.17</v>
      </c>
      <c r="AE103" s="38" t="n">
        <f aca="false">IF($A103="","",IFERROR(1/(1/IF($B103="Residential",SUMIFS(INDEX('Oxford Economics'!$A$7:$AZ$1000,0,IFERROR(MATCH(AE$5,'Oxford Economics'!$A$6:$AZ$6,0),MATCH(AE$5&amp;"",'Oxford Economics'!$A$6:$AZ$6,0))),'Oxford Economics'!$A$7:$A$1000,$C103,'Oxford Economics'!$B$7:$B$1000,Settings!$B$12)-SUMIFS(INDEX('Oxford Economics'!$A$7:$AZ$1000,0,IFERROR(MATCH(AE$5,'Oxford Economics'!$A$6:$AZ$6,0),MATCH(AE$5&amp;"",'Oxford Economics'!$A$6:$AZ$6,0))),'Oxford Economics'!$A$7:$A$1000,$C103,'Oxford Economics'!$B$7:$B$1000,Settings!$B$14),SUMIFS(INDEX('Oxford Economics'!$A$7:$AZ$1000,0,IFERROR(MATCH(AE$5,'Oxford Economics'!$A$6:$AZ$6,0),MATCH(AE$5&amp;"",'Oxford Economics'!$A$6:$AZ$6,0))),'Oxford Economics'!$A$7:$A$1000,$C103,'Oxford Economics'!$B$7:$B$1000,Settings!$B$14)+SUMIFS(INDEX('Oxford Economics'!$A$7:$AZ$1000,0,IFERROR(MATCH(AE$5,'Oxford Economics'!$A$6:$AZ$6,0),MATCH(AE$5&amp;"",'Oxford Economics'!$A$6:$AZ$6,0))),'Oxford Economics'!$A$7:$A$1000,$C103,'Oxford Economics'!$B$7:$B$1000,Settings!$B$16)+IF(Settings!$B$18="",0,SUMIFS(INDEX('Oxford Economics'!$A$7:$AZ$1000,0,IFERROR(MATCH(AE$5,'Oxford Economics'!$A$6:$AZ$6,0),MATCH(AE$5&amp;"",'Oxford Economics'!$A$6:$AZ$6,0))),'Oxford Economics'!$A$7:$A$1000,$C103,'Oxford Economics'!$B$7:$B$1000,Settings!$B$18)))),""))</f>
        <v>605.25</v>
      </c>
      <c r="AF103" s="38" t="n">
        <f aca="false">IF($A103="","",IFERROR(1/(1/IF($B103="Residential",SUMIFS(INDEX('Oxford Economics'!$A$7:$AZ$1000,0,IFERROR(MATCH(AF$5,'Oxford Economics'!$A$6:$AZ$6,0),MATCH(AF$5&amp;"",'Oxford Economics'!$A$6:$AZ$6,0))),'Oxford Economics'!$A$7:$A$1000,$C103,'Oxford Economics'!$B$7:$B$1000,Settings!$B$12)-SUMIFS(INDEX('Oxford Economics'!$A$7:$AZ$1000,0,IFERROR(MATCH(AF$5,'Oxford Economics'!$A$6:$AZ$6,0),MATCH(AF$5&amp;"",'Oxford Economics'!$A$6:$AZ$6,0))),'Oxford Economics'!$A$7:$A$1000,$C103,'Oxford Economics'!$B$7:$B$1000,Settings!$B$14),SUMIFS(INDEX('Oxford Economics'!$A$7:$AZ$1000,0,IFERROR(MATCH(AF$5,'Oxford Economics'!$A$6:$AZ$6,0),MATCH(AF$5&amp;"",'Oxford Economics'!$A$6:$AZ$6,0))),'Oxford Economics'!$A$7:$A$1000,$C103,'Oxford Economics'!$B$7:$B$1000,Settings!$B$14)+SUMIFS(INDEX('Oxford Economics'!$A$7:$AZ$1000,0,IFERROR(MATCH(AF$5,'Oxford Economics'!$A$6:$AZ$6,0),MATCH(AF$5&amp;"",'Oxford Economics'!$A$6:$AZ$6,0))),'Oxford Economics'!$A$7:$A$1000,$C103,'Oxford Economics'!$B$7:$B$1000,Settings!$B$16)+IF(Settings!$B$18="",0,SUMIFS(INDEX('Oxford Economics'!$A$7:$AZ$1000,0,IFERROR(MATCH(AF$5,'Oxford Economics'!$A$6:$AZ$6,0),MATCH(AF$5&amp;"",'Oxford Economics'!$A$6:$AZ$6,0))),'Oxford Economics'!$A$7:$A$1000,$C103,'Oxford Economics'!$B$7:$B$1000,Settings!$B$18)))),""))</f>
        <v>666.76</v>
      </c>
      <c r="AG103" s="38" t="n">
        <f aca="false">IF($A103="","",IFERROR(1/(1/IF($B103="Residential",SUMIFS(INDEX('Oxford Economics'!$A$7:$AZ$1000,0,IFERROR(MATCH(AG$5,'Oxford Economics'!$A$6:$AZ$6,0),MATCH(AG$5&amp;"",'Oxford Economics'!$A$6:$AZ$6,0))),'Oxford Economics'!$A$7:$A$1000,$C103,'Oxford Economics'!$B$7:$B$1000,Settings!$B$12)-SUMIFS(INDEX('Oxford Economics'!$A$7:$AZ$1000,0,IFERROR(MATCH(AG$5,'Oxford Economics'!$A$6:$AZ$6,0),MATCH(AG$5&amp;"",'Oxford Economics'!$A$6:$AZ$6,0))),'Oxford Economics'!$A$7:$A$1000,$C103,'Oxford Economics'!$B$7:$B$1000,Settings!$B$14),SUMIFS(INDEX('Oxford Economics'!$A$7:$AZ$1000,0,IFERROR(MATCH(AG$5,'Oxford Economics'!$A$6:$AZ$6,0),MATCH(AG$5&amp;"",'Oxford Economics'!$A$6:$AZ$6,0))),'Oxford Economics'!$A$7:$A$1000,$C103,'Oxford Economics'!$B$7:$B$1000,Settings!$B$14)+SUMIFS(INDEX('Oxford Economics'!$A$7:$AZ$1000,0,IFERROR(MATCH(AG$5,'Oxford Economics'!$A$6:$AZ$6,0),MATCH(AG$5&amp;"",'Oxford Economics'!$A$6:$AZ$6,0))),'Oxford Economics'!$A$7:$A$1000,$C103,'Oxford Economics'!$B$7:$B$1000,Settings!$B$16)+IF(Settings!$B$18="",0,SUMIFS(INDEX('Oxford Economics'!$A$7:$AZ$1000,0,IFERROR(MATCH(AG$5,'Oxford Economics'!$A$6:$AZ$6,0),MATCH(AG$5&amp;"",'Oxford Economics'!$A$6:$AZ$6,0))),'Oxford Economics'!$A$7:$A$1000,$C103,'Oxford Economics'!$B$7:$B$1000,Settings!$B$18)))),""))</f>
        <v>811.27</v>
      </c>
      <c r="AH103" s="38" t="n">
        <f aca="false">IF($A103="","",IFERROR(1/(1/IF($B103="Residential",SUMIFS(INDEX('Oxford Economics'!$A$7:$AZ$1000,0,IFERROR(MATCH(AH$5,'Oxford Economics'!$A$6:$AZ$6,0),MATCH(AH$5&amp;"",'Oxford Economics'!$A$6:$AZ$6,0))),'Oxford Economics'!$A$7:$A$1000,$C103,'Oxford Economics'!$B$7:$B$1000,Settings!$B$12)-SUMIFS(INDEX('Oxford Economics'!$A$7:$AZ$1000,0,IFERROR(MATCH(AH$5,'Oxford Economics'!$A$6:$AZ$6,0),MATCH(AH$5&amp;"",'Oxford Economics'!$A$6:$AZ$6,0))),'Oxford Economics'!$A$7:$A$1000,$C103,'Oxford Economics'!$B$7:$B$1000,Settings!$B$14),SUMIFS(INDEX('Oxford Economics'!$A$7:$AZ$1000,0,IFERROR(MATCH(AH$5,'Oxford Economics'!$A$6:$AZ$6,0),MATCH(AH$5&amp;"",'Oxford Economics'!$A$6:$AZ$6,0))),'Oxford Economics'!$A$7:$A$1000,$C103,'Oxford Economics'!$B$7:$B$1000,Settings!$B$14)+SUMIFS(INDEX('Oxford Economics'!$A$7:$AZ$1000,0,IFERROR(MATCH(AH$5,'Oxford Economics'!$A$6:$AZ$6,0),MATCH(AH$5&amp;"",'Oxford Economics'!$A$6:$AZ$6,0))),'Oxford Economics'!$A$7:$A$1000,$C103,'Oxford Economics'!$B$7:$B$1000,Settings!$B$16)+IF(Settings!$B$18="",0,SUMIFS(INDEX('Oxford Economics'!$A$7:$AZ$1000,0,IFERROR(MATCH(AH$5,'Oxford Economics'!$A$6:$AZ$6,0),MATCH(AH$5&amp;"",'Oxford Economics'!$A$6:$AZ$6,0))),'Oxford Economics'!$A$7:$A$1000,$C103,'Oxford Economics'!$B$7:$B$1000,Settings!$B$18)))),""))</f>
        <v>880.73</v>
      </c>
      <c r="AI103" s="38" t="n">
        <f aca="false">IF($A103="","",IFERROR(1/(1/IF($B103="Residential",SUMIFS(INDEX('Oxford Economics'!$A$7:$AZ$1000,0,IFERROR(MATCH(AI$5,'Oxford Economics'!$A$6:$AZ$6,0),MATCH(AI$5&amp;"",'Oxford Economics'!$A$6:$AZ$6,0))),'Oxford Economics'!$A$7:$A$1000,$C103,'Oxford Economics'!$B$7:$B$1000,Settings!$B$12)-SUMIFS(INDEX('Oxford Economics'!$A$7:$AZ$1000,0,IFERROR(MATCH(AI$5,'Oxford Economics'!$A$6:$AZ$6,0),MATCH(AI$5&amp;"",'Oxford Economics'!$A$6:$AZ$6,0))),'Oxford Economics'!$A$7:$A$1000,$C103,'Oxford Economics'!$B$7:$B$1000,Settings!$B$14),SUMIFS(INDEX('Oxford Economics'!$A$7:$AZ$1000,0,IFERROR(MATCH(AI$5,'Oxford Economics'!$A$6:$AZ$6,0),MATCH(AI$5&amp;"",'Oxford Economics'!$A$6:$AZ$6,0))),'Oxford Economics'!$A$7:$A$1000,$C103,'Oxford Economics'!$B$7:$B$1000,Settings!$B$14)+SUMIFS(INDEX('Oxford Economics'!$A$7:$AZ$1000,0,IFERROR(MATCH(AI$5,'Oxford Economics'!$A$6:$AZ$6,0),MATCH(AI$5&amp;"",'Oxford Economics'!$A$6:$AZ$6,0))),'Oxford Economics'!$A$7:$A$1000,$C103,'Oxford Economics'!$B$7:$B$1000,Settings!$B$16)+IF(Settings!$B$18="",0,SUMIFS(INDEX('Oxford Economics'!$A$7:$AZ$1000,0,IFERROR(MATCH(AI$5,'Oxford Economics'!$A$6:$AZ$6,0),MATCH(AI$5&amp;"",'Oxford Economics'!$A$6:$AZ$6,0))),'Oxford Economics'!$A$7:$A$1000,$C103,'Oxford Economics'!$B$7:$B$1000,Settings!$B$18)))),""))</f>
        <v>895.07</v>
      </c>
      <c r="AJ103" s="38" t="n">
        <f aca="false">IF($A103="","",IFERROR(1/(1/IF($B103="Residential",SUMIFS(INDEX('Oxford Economics'!$A$7:$AZ$1000,0,IFERROR(MATCH(AJ$5,'Oxford Economics'!$A$6:$AZ$6,0),MATCH(AJ$5&amp;"",'Oxford Economics'!$A$6:$AZ$6,0))),'Oxford Economics'!$A$7:$A$1000,$C103,'Oxford Economics'!$B$7:$B$1000,Settings!$B$12)-SUMIFS(INDEX('Oxford Economics'!$A$7:$AZ$1000,0,IFERROR(MATCH(AJ$5,'Oxford Economics'!$A$6:$AZ$6,0),MATCH(AJ$5&amp;"",'Oxford Economics'!$A$6:$AZ$6,0))),'Oxford Economics'!$A$7:$A$1000,$C103,'Oxford Economics'!$B$7:$B$1000,Settings!$B$14),SUMIFS(INDEX('Oxford Economics'!$A$7:$AZ$1000,0,IFERROR(MATCH(AJ$5,'Oxford Economics'!$A$6:$AZ$6,0),MATCH(AJ$5&amp;"",'Oxford Economics'!$A$6:$AZ$6,0))),'Oxford Economics'!$A$7:$A$1000,$C103,'Oxford Economics'!$B$7:$B$1000,Settings!$B$14)+SUMIFS(INDEX('Oxford Economics'!$A$7:$AZ$1000,0,IFERROR(MATCH(AJ$5,'Oxford Economics'!$A$6:$AZ$6,0),MATCH(AJ$5&amp;"",'Oxford Economics'!$A$6:$AZ$6,0))),'Oxford Economics'!$A$7:$A$1000,$C103,'Oxford Economics'!$B$7:$B$1000,Settings!$B$16)+IF(Settings!$B$18="",0,SUMIFS(INDEX('Oxford Economics'!$A$7:$AZ$1000,0,IFERROR(MATCH(AJ$5,'Oxford Economics'!$A$6:$AZ$6,0),MATCH(AJ$5&amp;"",'Oxford Economics'!$A$6:$AZ$6,0))),'Oxford Economics'!$A$7:$A$1000,$C103,'Oxford Economics'!$B$7:$B$1000,Settings!$B$18)))),""))</f>
        <v>893.81</v>
      </c>
      <c r="AK103" s="38" t="n">
        <f aca="false">IF($A103="","",IFERROR(1/(1/IF($B103="Residential",SUMIFS(INDEX('Oxford Economics'!$A$7:$AZ$1000,0,IFERROR(MATCH(AK$5,'Oxford Economics'!$A$6:$AZ$6,0),MATCH(AK$5&amp;"",'Oxford Economics'!$A$6:$AZ$6,0))),'Oxford Economics'!$A$7:$A$1000,$C103,'Oxford Economics'!$B$7:$B$1000,Settings!$B$12)-SUMIFS(INDEX('Oxford Economics'!$A$7:$AZ$1000,0,IFERROR(MATCH(AK$5,'Oxford Economics'!$A$6:$AZ$6,0),MATCH(AK$5&amp;"",'Oxford Economics'!$A$6:$AZ$6,0))),'Oxford Economics'!$A$7:$A$1000,$C103,'Oxford Economics'!$B$7:$B$1000,Settings!$B$14),SUMIFS(INDEX('Oxford Economics'!$A$7:$AZ$1000,0,IFERROR(MATCH(AK$5,'Oxford Economics'!$A$6:$AZ$6,0),MATCH(AK$5&amp;"",'Oxford Economics'!$A$6:$AZ$6,0))),'Oxford Economics'!$A$7:$A$1000,$C103,'Oxford Economics'!$B$7:$B$1000,Settings!$B$14)+SUMIFS(INDEX('Oxford Economics'!$A$7:$AZ$1000,0,IFERROR(MATCH(AK$5,'Oxford Economics'!$A$6:$AZ$6,0),MATCH(AK$5&amp;"",'Oxford Economics'!$A$6:$AZ$6,0))),'Oxford Economics'!$A$7:$A$1000,$C103,'Oxford Economics'!$B$7:$B$1000,Settings!$B$16)+IF(Settings!$B$18="",0,SUMIFS(INDEX('Oxford Economics'!$A$7:$AZ$1000,0,IFERROR(MATCH(AK$5,'Oxford Economics'!$A$6:$AZ$6,0),MATCH(AK$5&amp;"",'Oxford Economics'!$A$6:$AZ$6,0))),'Oxford Economics'!$A$7:$A$1000,$C103,'Oxford Economics'!$B$7:$B$1000,Settings!$B$18)))),""))</f>
        <v>906.08</v>
      </c>
      <c r="AL103" s="38" t="n">
        <f aca="false">IF($A103="","",IFERROR(1/(1/IF($B103="Residential",SUMIFS(INDEX('Oxford Economics'!$A$7:$AZ$1000,0,IFERROR(MATCH(AL$5,'Oxford Economics'!$A$6:$AZ$6,0),MATCH(AL$5&amp;"",'Oxford Economics'!$A$6:$AZ$6,0))),'Oxford Economics'!$A$7:$A$1000,$C103,'Oxford Economics'!$B$7:$B$1000,Settings!$B$12)-SUMIFS(INDEX('Oxford Economics'!$A$7:$AZ$1000,0,IFERROR(MATCH(AL$5,'Oxford Economics'!$A$6:$AZ$6,0),MATCH(AL$5&amp;"",'Oxford Economics'!$A$6:$AZ$6,0))),'Oxford Economics'!$A$7:$A$1000,$C103,'Oxford Economics'!$B$7:$B$1000,Settings!$B$14),SUMIFS(INDEX('Oxford Economics'!$A$7:$AZ$1000,0,IFERROR(MATCH(AL$5,'Oxford Economics'!$A$6:$AZ$6,0),MATCH(AL$5&amp;"",'Oxford Economics'!$A$6:$AZ$6,0))),'Oxford Economics'!$A$7:$A$1000,$C103,'Oxford Economics'!$B$7:$B$1000,Settings!$B$14)+SUMIFS(INDEX('Oxford Economics'!$A$7:$AZ$1000,0,IFERROR(MATCH(AL$5,'Oxford Economics'!$A$6:$AZ$6,0),MATCH(AL$5&amp;"",'Oxford Economics'!$A$6:$AZ$6,0))),'Oxford Economics'!$A$7:$A$1000,$C103,'Oxford Economics'!$B$7:$B$1000,Settings!$B$16)+IF(Settings!$B$18="",0,SUMIFS(INDEX('Oxford Economics'!$A$7:$AZ$1000,0,IFERROR(MATCH(AL$5,'Oxford Economics'!$A$6:$AZ$6,0),MATCH(AL$5&amp;"",'Oxford Economics'!$A$6:$AZ$6,0))),'Oxford Economics'!$A$7:$A$1000,$C103,'Oxford Economics'!$B$7:$B$1000,Settings!$B$18)))),""))</f>
        <v>932.98</v>
      </c>
      <c r="AM103" s="38" t="n">
        <f aca="false">IF($A103="","",IFERROR(1/(1/IF($B103="Residential",SUMIFS(INDEX('Oxford Economics'!$A$7:$AZ$1000,0,IFERROR(MATCH(AM$5,'Oxford Economics'!$A$6:$AZ$6,0),MATCH(AM$5&amp;"",'Oxford Economics'!$A$6:$AZ$6,0))),'Oxford Economics'!$A$7:$A$1000,$C103,'Oxford Economics'!$B$7:$B$1000,Settings!$B$12)-SUMIFS(INDEX('Oxford Economics'!$A$7:$AZ$1000,0,IFERROR(MATCH(AM$5,'Oxford Economics'!$A$6:$AZ$6,0),MATCH(AM$5&amp;"",'Oxford Economics'!$A$6:$AZ$6,0))),'Oxford Economics'!$A$7:$A$1000,$C103,'Oxford Economics'!$B$7:$B$1000,Settings!$B$14),SUMIFS(INDEX('Oxford Economics'!$A$7:$AZ$1000,0,IFERROR(MATCH(AM$5,'Oxford Economics'!$A$6:$AZ$6,0),MATCH(AM$5&amp;"",'Oxford Economics'!$A$6:$AZ$6,0))),'Oxford Economics'!$A$7:$A$1000,$C103,'Oxford Economics'!$B$7:$B$1000,Settings!$B$14)+SUMIFS(INDEX('Oxford Economics'!$A$7:$AZ$1000,0,IFERROR(MATCH(AM$5,'Oxford Economics'!$A$6:$AZ$6,0),MATCH(AM$5&amp;"",'Oxford Economics'!$A$6:$AZ$6,0))),'Oxford Economics'!$A$7:$A$1000,$C103,'Oxford Economics'!$B$7:$B$1000,Settings!$B$16)+IF(Settings!$B$18="",0,SUMIFS(INDEX('Oxford Economics'!$A$7:$AZ$1000,0,IFERROR(MATCH(AM$5,'Oxford Economics'!$A$6:$AZ$6,0),MATCH(AM$5&amp;"",'Oxford Economics'!$A$6:$AZ$6,0))),'Oxford Economics'!$A$7:$A$1000,$C103,'Oxford Economics'!$B$7:$B$1000,Settings!$B$18)))),""))</f>
        <v>958.78</v>
      </c>
    </row>
    <row r="104" customFormat="false" ht="15" hidden="false" customHeight="false" outlineLevel="0" collapsed="false">
      <c r="A104" s="37" t="str">
        <f aca="false">IF('Raw data'!$A104="","",'Raw data'!$A104)</f>
        <v>Portugal</v>
      </c>
      <c r="B104" s="37" t="str">
        <f aca="false">IF($A104="","",'Raw data'!$C104)</f>
        <v>Residential</v>
      </c>
      <c r="C104" s="37" t="str">
        <f aca="false">IF($A104="","",IF('Raw data'!$E104="",$A104,'Raw data'!$E104))</f>
        <v>Portugal</v>
      </c>
      <c r="D104" s="38" t="n">
        <f aca="false">IF($A104="","",IF(AND(ISNUMBER(P104),ISNUMBER(AB104)),P104+AB104,""))</f>
        <v>3422.41</v>
      </c>
      <c r="E104" s="38" t="n">
        <f aca="false">IF($A104="","",IF(AND(ISNUMBER(Q104),ISNUMBER(AC104)),Q104+AC104,""))</f>
        <v>3536.71</v>
      </c>
      <c r="F104" s="38" t="n">
        <f aca="false">IF($A104="","",IF(AND(ISNUMBER(R104),ISNUMBER(AD104)),R104+AD104,""))</f>
        <v>3544.62</v>
      </c>
      <c r="G104" s="38" t="n">
        <f aca="false">IF($A104="","",IF(AND(ISNUMBER(S104),ISNUMBER(AE104)),S104+AE104,""))</f>
        <v>3609.4</v>
      </c>
      <c r="H104" s="38" t="n">
        <f aca="false">IF($A104="","",IF(AND(ISNUMBER(T104),ISNUMBER(AF104)),T104+AF104,""))</f>
        <v>3659.01</v>
      </c>
      <c r="I104" s="38" t="n">
        <f aca="false">IF($A104="","",IF(AND(ISNUMBER(U104),ISNUMBER(AG104)),U104+AG104,""))</f>
        <v>3971.49</v>
      </c>
      <c r="J104" s="38" t="n">
        <f aca="false">IF($A104="","",IF(AND(ISNUMBER(V104),ISNUMBER(AH104)),V104+AH104,""))</f>
        <v>4139.38</v>
      </c>
      <c r="K104" s="38" t="n">
        <f aca="false">IF($A104="","",IF(AND(ISNUMBER(W104),ISNUMBER(AI104)),W104+AI104,""))</f>
        <v>4144.61</v>
      </c>
      <c r="L104" s="38" t="n">
        <f aca="false">IF($A104="","",IF(AND(ISNUMBER(X104),ISNUMBER(AJ104)),X104+AJ104,""))</f>
        <v>4112.18</v>
      </c>
      <c r="M104" s="38" t="n">
        <f aca="false">IF($A104="","",IF(AND(ISNUMBER(Y104),ISNUMBER(AK104)),Y104+AK104,""))</f>
        <v>4107.31</v>
      </c>
      <c r="N104" s="38" t="n">
        <f aca="false">IF($A104="","",IF(AND(ISNUMBER(Z104),ISNUMBER(AL104)),Z104+AL104,""))</f>
        <v>4139.33</v>
      </c>
      <c r="O104" s="38" t="n">
        <f aca="false">IF($A104="","",IF(AND(ISNUMBER(AA104),ISNUMBER(AM104)),AA104+AM104,""))</f>
        <v>4179.74</v>
      </c>
      <c r="P104" s="38" t="n">
        <f aca="false">IF($A104="","",IFERROR(1/(1/IF($B104="Residential",SUMIFS(INDEX('Oxford Economics'!$A$7:$AZ$1000,0,IFERROR(MATCH(P$5,'Oxford Economics'!$A$6:$AZ$6,0),MATCH(P$5&amp;"",'Oxford Economics'!$A$6:$AZ$6,0))),'Oxford Economics'!$A$7:$A$1000,$C104,'Oxford Economics'!$B$7:$B$1000,Settings!$B$13)-SUMIFS(INDEX('Oxford Economics'!$A$7:$AZ$1000,0,IFERROR(MATCH(P$5,'Oxford Economics'!$A$6:$AZ$6,0),MATCH(P$5&amp;"",'Oxford Economics'!$A$6:$AZ$6,0))),'Oxford Economics'!$A$7:$A$1000,$C104,'Oxford Economics'!$B$7:$B$1000,Settings!$B$15),SUMIFS(INDEX('Oxford Economics'!$A$7:$AZ$1000,0,IFERROR(MATCH(P$5,'Oxford Economics'!$A$6:$AZ$6,0),MATCH(P$5&amp;"",'Oxford Economics'!$A$6:$AZ$6,0))),'Oxford Economics'!$A$7:$A$1000,$C104,'Oxford Economics'!$B$7:$B$1000,Settings!$B$15)+SUMIFS(INDEX('Oxford Economics'!$A$7:$AZ$1000,0,IFERROR(MATCH(P$5,'Oxford Economics'!$A$6:$AZ$6,0),MATCH(P$5&amp;"",'Oxford Economics'!$A$6:$AZ$6,0))),'Oxford Economics'!$A$7:$A$1000,$C104,'Oxford Economics'!$B$7:$B$1000,Settings!$B$17)+IF(Settings!$B$19="",0,SUMIFS(INDEX('Oxford Economics'!$A$7:$AZ$1000,0,IFERROR(MATCH(P$5,'Oxford Economics'!$A$6:$AZ$6,0),MATCH(P$5&amp;"",'Oxford Economics'!$A$6:$AZ$6,0))),'Oxford Economics'!$A$7:$A$1000,$C104,'Oxford Economics'!$B$7:$B$1000,Settings!$B$19)))),""))</f>
        <v>2183.7</v>
      </c>
      <c r="Q104" s="38" t="n">
        <f aca="false">IF($A104="","",IFERROR(1/(1/IF($B104="Residential",SUMIFS(INDEX('Oxford Economics'!$A$7:$AZ$1000,0,IFERROR(MATCH(Q$5,'Oxford Economics'!$A$6:$AZ$6,0),MATCH(Q$5&amp;"",'Oxford Economics'!$A$6:$AZ$6,0))),'Oxford Economics'!$A$7:$A$1000,$C104,'Oxford Economics'!$B$7:$B$1000,Settings!$B$13)-SUMIFS(INDEX('Oxford Economics'!$A$7:$AZ$1000,0,IFERROR(MATCH(Q$5,'Oxford Economics'!$A$6:$AZ$6,0),MATCH(Q$5&amp;"",'Oxford Economics'!$A$6:$AZ$6,0))),'Oxford Economics'!$A$7:$A$1000,$C104,'Oxford Economics'!$B$7:$B$1000,Settings!$B$15),SUMIFS(INDEX('Oxford Economics'!$A$7:$AZ$1000,0,IFERROR(MATCH(Q$5,'Oxford Economics'!$A$6:$AZ$6,0),MATCH(Q$5&amp;"",'Oxford Economics'!$A$6:$AZ$6,0))),'Oxford Economics'!$A$7:$A$1000,$C104,'Oxford Economics'!$B$7:$B$1000,Settings!$B$15)+SUMIFS(INDEX('Oxford Economics'!$A$7:$AZ$1000,0,IFERROR(MATCH(Q$5,'Oxford Economics'!$A$6:$AZ$6,0),MATCH(Q$5&amp;"",'Oxford Economics'!$A$6:$AZ$6,0))),'Oxford Economics'!$A$7:$A$1000,$C104,'Oxford Economics'!$B$7:$B$1000,Settings!$B$17)+IF(Settings!$B$19="",0,SUMIFS(INDEX('Oxford Economics'!$A$7:$AZ$1000,0,IFERROR(MATCH(Q$5,'Oxford Economics'!$A$6:$AZ$6,0),MATCH(Q$5&amp;"",'Oxford Economics'!$A$6:$AZ$6,0))),'Oxford Economics'!$A$7:$A$1000,$C104,'Oxford Economics'!$B$7:$B$1000,Settings!$B$19)))),""))</f>
        <v>2610.81</v>
      </c>
      <c r="R104" s="38" t="n">
        <f aca="false">IF($A104="","",IFERROR(1/(1/IF($B104="Residential",SUMIFS(INDEX('Oxford Economics'!$A$7:$AZ$1000,0,IFERROR(MATCH(R$5,'Oxford Economics'!$A$6:$AZ$6,0),MATCH(R$5&amp;"",'Oxford Economics'!$A$6:$AZ$6,0))),'Oxford Economics'!$A$7:$A$1000,$C104,'Oxford Economics'!$B$7:$B$1000,Settings!$B$13)-SUMIFS(INDEX('Oxford Economics'!$A$7:$AZ$1000,0,IFERROR(MATCH(R$5,'Oxford Economics'!$A$6:$AZ$6,0),MATCH(R$5&amp;"",'Oxford Economics'!$A$6:$AZ$6,0))),'Oxford Economics'!$A$7:$A$1000,$C104,'Oxford Economics'!$B$7:$B$1000,Settings!$B$15),SUMIFS(INDEX('Oxford Economics'!$A$7:$AZ$1000,0,IFERROR(MATCH(R$5,'Oxford Economics'!$A$6:$AZ$6,0),MATCH(R$5&amp;"",'Oxford Economics'!$A$6:$AZ$6,0))),'Oxford Economics'!$A$7:$A$1000,$C104,'Oxford Economics'!$B$7:$B$1000,Settings!$B$15)+SUMIFS(INDEX('Oxford Economics'!$A$7:$AZ$1000,0,IFERROR(MATCH(R$5,'Oxford Economics'!$A$6:$AZ$6,0),MATCH(R$5&amp;"",'Oxford Economics'!$A$6:$AZ$6,0))),'Oxford Economics'!$A$7:$A$1000,$C104,'Oxford Economics'!$B$7:$B$1000,Settings!$B$17)+IF(Settings!$B$19="",0,SUMIFS(INDEX('Oxford Economics'!$A$7:$AZ$1000,0,IFERROR(MATCH(R$5,'Oxford Economics'!$A$6:$AZ$6,0),MATCH(R$5&amp;"",'Oxford Economics'!$A$6:$AZ$6,0))),'Oxford Economics'!$A$7:$A$1000,$C104,'Oxford Economics'!$B$7:$B$1000,Settings!$B$19)))),""))</f>
        <v>3033.45</v>
      </c>
      <c r="S104" s="38" t="n">
        <f aca="false">IF($A104="","",IFERROR(1/(1/IF($B104="Residential",SUMIFS(INDEX('Oxford Economics'!$A$7:$AZ$1000,0,IFERROR(MATCH(S$5,'Oxford Economics'!$A$6:$AZ$6,0),MATCH(S$5&amp;"",'Oxford Economics'!$A$6:$AZ$6,0))),'Oxford Economics'!$A$7:$A$1000,$C104,'Oxford Economics'!$B$7:$B$1000,Settings!$B$13)-SUMIFS(INDEX('Oxford Economics'!$A$7:$AZ$1000,0,IFERROR(MATCH(S$5,'Oxford Economics'!$A$6:$AZ$6,0),MATCH(S$5&amp;"",'Oxford Economics'!$A$6:$AZ$6,0))),'Oxford Economics'!$A$7:$A$1000,$C104,'Oxford Economics'!$B$7:$B$1000,Settings!$B$15),SUMIFS(INDEX('Oxford Economics'!$A$7:$AZ$1000,0,IFERROR(MATCH(S$5,'Oxford Economics'!$A$6:$AZ$6,0),MATCH(S$5&amp;"",'Oxford Economics'!$A$6:$AZ$6,0))),'Oxford Economics'!$A$7:$A$1000,$C104,'Oxford Economics'!$B$7:$B$1000,Settings!$B$15)+SUMIFS(INDEX('Oxford Economics'!$A$7:$AZ$1000,0,IFERROR(MATCH(S$5,'Oxford Economics'!$A$6:$AZ$6,0),MATCH(S$5&amp;"",'Oxford Economics'!$A$6:$AZ$6,0))),'Oxford Economics'!$A$7:$A$1000,$C104,'Oxford Economics'!$B$7:$B$1000,Settings!$B$17)+IF(Settings!$B$19="",0,SUMIFS(INDEX('Oxford Economics'!$A$7:$AZ$1000,0,IFERROR(MATCH(S$5,'Oxford Economics'!$A$6:$AZ$6,0),MATCH(S$5&amp;"",'Oxford Economics'!$A$6:$AZ$6,0))),'Oxford Economics'!$A$7:$A$1000,$C104,'Oxford Economics'!$B$7:$B$1000,Settings!$B$19)))),""))</f>
        <v>3004.15</v>
      </c>
      <c r="T104" s="38" t="n">
        <f aca="false">IF($A104="","",IFERROR(1/(1/IF($B104="Residential",SUMIFS(INDEX('Oxford Economics'!$A$7:$AZ$1000,0,IFERROR(MATCH(T$5,'Oxford Economics'!$A$6:$AZ$6,0),MATCH(T$5&amp;"",'Oxford Economics'!$A$6:$AZ$6,0))),'Oxford Economics'!$A$7:$A$1000,$C104,'Oxford Economics'!$B$7:$B$1000,Settings!$B$13)-SUMIFS(INDEX('Oxford Economics'!$A$7:$AZ$1000,0,IFERROR(MATCH(T$5,'Oxford Economics'!$A$6:$AZ$6,0),MATCH(T$5&amp;"",'Oxford Economics'!$A$6:$AZ$6,0))),'Oxford Economics'!$A$7:$A$1000,$C104,'Oxford Economics'!$B$7:$B$1000,Settings!$B$15),SUMIFS(INDEX('Oxford Economics'!$A$7:$AZ$1000,0,IFERROR(MATCH(T$5,'Oxford Economics'!$A$6:$AZ$6,0),MATCH(T$5&amp;"",'Oxford Economics'!$A$6:$AZ$6,0))),'Oxford Economics'!$A$7:$A$1000,$C104,'Oxford Economics'!$B$7:$B$1000,Settings!$B$15)+SUMIFS(INDEX('Oxford Economics'!$A$7:$AZ$1000,0,IFERROR(MATCH(T$5,'Oxford Economics'!$A$6:$AZ$6,0),MATCH(T$5&amp;"",'Oxford Economics'!$A$6:$AZ$6,0))),'Oxford Economics'!$A$7:$A$1000,$C104,'Oxford Economics'!$B$7:$B$1000,Settings!$B$17)+IF(Settings!$B$19="",0,SUMIFS(INDEX('Oxford Economics'!$A$7:$AZ$1000,0,IFERROR(MATCH(T$5,'Oxford Economics'!$A$6:$AZ$6,0),MATCH(T$5&amp;"",'Oxford Economics'!$A$6:$AZ$6,0))),'Oxford Economics'!$A$7:$A$1000,$C104,'Oxford Economics'!$B$7:$B$1000,Settings!$B$19)))),""))</f>
        <v>2992.25</v>
      </c>
      <c r="U104" s="38" t="n">
        <f aca="false">IF($A104="","",IFERROR(1/(1/IF($B104="Residential",SUMIFS(INDEX('Oxford Economics'!$A$7:$AZ$1000,0,IFERROR(MATCH(U$5,'Oxford Economics'!$A$6:$AZ$6,0),MATCH(U$5&amp;"",'Oxford Economics'!$A$6:$AZ$6,0))),'Oxford Economics'!$A$7:$A$1000,$C104,'Oxford Economics'!$B$7:$B$1000,Settings!$B$13)-SUMIFS(INDEX('Oxford Economics'!$A$7:$AZ$1000,0,IFERROR(MATCH(U$5,'Oxford Economics'!$A$6:$AZ$6,0),MATCH(U$5&amp;"",'Oxford Economics'!$A$6:$AZ$6,0))),'Oxford Economics'!$A$7:$A$1000,$C104,'Oxford Economics'!$B$7:$B$1000,Settings!$B$15),SUMIFS(INDEX('Oxford Economics'!$A$7:$AZ$1000,0,IFERROR(MATCH(U$5,'Oxford Economics'!$A$6:$AZ$6,0),MATCH(U$5&amp;"",'Oxford Economics'!$A$6:$AZ$6,0))),'Oxford Economics'!$A$7:$A$1000,$C104,'Oxford Economics'!$B$7:$B$1000,Settings!$B$15)+SUMIFS(INDEX('Oxford Economics'!$A$7:$AZ$1000,0,IFERROR(MATCH(U$5,'Oxford Economics'!$A$6:$AZ$6,0),MATCH(U$5&amp;"",'Oxford Economics'!$A$6:$AZ$6,0))),'Oxford Economics'!$A$7:$A$1000,$C104,'Oxford Economics'!$B$7:$B$1000,Settings!$B$17)+IF(Settings!$B$19="",0,SUMIFS(INDEX('Oxford Economics'!$A$7:$AZ$1000,0,IFERROR(MATCH(U$5,'Oxford Economics'!$A$6:$AZ$6,0),MATCH(U$5&amp;"",'Oxford Economics'!$A$6:$AZ$6,0))),'Oxford Economics'!$A$7:$A$1000,$C104,'Oxford Economics'!$B$7:$B$1000,Settings!$B$19)))),""))</f>
        <v>3160.22</v>
      </c>
      <c r="V104" s="38" t="n">
        <f aca="false">IF($A104="","",IFERROR(1/(1/IF($B104="Residential",SUMIFS(INDEX('Oxford Economics'!$A$7:$AZ$1000,0,IFERROR(MATCH(V$5,'Oxford Economics'!$A$6:$AZ$6,0),MATCH(V$5&amp;"",'Oxford Economics'!$A$6:$AZ$6,0))),'Oxford Economics'!$A$7:$A$1000,$C104,'Oxford Economics'!$B$7:$B$1000,Settings!$B$13)-SUMIFS(INDEX('Oxford Economics'!$A$7:$AZ$1000,0,IFERROR(MATCH(V$5,'Oxford Economics'!$A$6:$AZ$6,0),MATCH(V$5&amp;"",'Oxford Economics'!$A$6:$AZ$6,0))),'Oxford Economics'!$A$7:$A$1000,$C104,'Oxford Economics'!$B$7:$B$1000,Settings!$B$15),SUMIFS(INDEX('Oxford Economics'!$A$7:$AZ$1000,0,IFERROR(MATCH(V$5,'Oxford Economics'!$A$6:$AZ$6,0),MATCH(V$5&amp;"",'Oxford Economics'!$A$6:$AZ$6,0))),'Oxford Economics'!$A$7:$A$1000,$C104,'Oxford Economics'!$B$7:$B$1000,Settings!$B$15)+SUMIFS(INDEX('Oxford Economics'!$A$7:$AZ$1000,0,IFERROR(MATCH(V$5,'Oxford Economics'!$A$6:$AZ$6,0),MATCH(V$5&amp;"",'Oxford Economics'!$A$6:$AZ$6,0))),'Oxford Economics'!$A$7:$A$1000,$C104,'Oxford Economics'!$B$7:$B$1000,Settings!$B$17)+IF(Settings!$B$19="",0,SUMIFS(INDEX('Oxford Economics'!$A$7:$AZ$1000,0,IFERROR(MATCH(V$5,'Oxford Economics'!$A$6:$AZ$6,0),MATCH(V$5&amp;"",'Oxford Economics'!$A$6:$AZ$6,0))),'Oxford Economics'!$A$7:$A$1000,$C104,'Oxford Economics'!$B$7:$B$1000,Settings!$B$19)))),""))</f>
        <v>3258.65</v>
      </c>
      <c r="W104" s="38" t="n">
        <f aca="false">IF($A104="","",IFERROR(1/(1/IF($B104="Residential",SUMIFS(INDEX('Oxford Economics'!$A$7:$AZ$1000,0,IFERROR(MATCH(W$5,'Oxford Economics'!$A$6:$AZ$6,0),MATCH(W$5&amp;"",'Oxford Economics'!$A$6:$AZ$6,0))),'Oxford Economics'!$A$7:$A$1000,$C104,'Oxford Economics'!$B$7:$B$1000,Settings!$B$13)-SUMIFS(INDEX('Oxford Economics'!$A$7:$AZ$1000,0,IFERROR(MATCH(W$5,'Oxford Economics'!$A$6:$AZ$6,0),MATCH(W$5&amp;"",'Oxford Economics'!$A$6:$AZ$6,0))),'Oxford Economics'!$A$7:$A$1000,$C104,'Oxford Economics'!$B$7:$B$1000,Settings!$B$15),SUMIFS(INDEX('Oxford Economics'!$A$7:$AZ$1000,0,IFERROR(MATCH(W$5,'Oxford Economics'!$A$6:$AZ$6,0),MATCH(W$5&amp;"",'Oxford Economics'!$A$6:$AZ$6,0))),'Oxford Economics'!$A$7:$A$1000,$C104,'Oxford Economics'!$B$7:$B$1000,Settings!$B$15)+SUMIFS(INDEX('Oxford Economics'!$A$7:$AZ$1000,0,IFERROR(MATCH(W$5,'Oxford Economics'!$A$6:$AZ$6,0),MATCH(W$5&amp;"",'Oxford Economics'!$A$6:$AZ$6,0))),'Oxford Economics'!$A$7:$A$1000,$C104,'Oxford Economics'!$B$7:$B$1000,Settings!$B$17)+IF(Settings!$B$19="",0,SUMIFS(INDEX('Oxford Economics'!$A$7:$AZ$1000,0,IFERROR(MATCH(W$5,'Oxford Economics'!$A$6:$AZ$6,0),MATCH(W$5&amp;"",'Oxford Economics'!$A$6:$AZ$6,0))),'Oxford Economics'!$A$7:$A$1000,$C104,'Oxford Economics'!$B$7:$B$1000,Settings!$B$19)))),""))</f>
        <v>3249.54</v>
      </c>
      <c r="X104" s="38" t="n">
        <f aca="false">IF($A104="","",IFERROR(1/(1/IF($B104="Residential",SUMIFS(INDEX('Oxford Economics'!$A$7:$AZ$1000,0,IFERROR(MATCH(X$5,'Oxford Economics'!$A$6:$AZ$6,0),MATCH(X$5&amp;"",'Oxford Economics'!$A$6:$AZ$6,0))),'Oxford Economics'!$A$7:$A$1000,$C104,'Oxford Economics'!$B$7:$B$1000,Settings!$B$13)-SUMIFS(INDEX('Oxford Economics'!$A$7:$AZ$1000,0,IFERROR(MATCH(X$5,'Oxford Economics'!$A$6:$AZ$6,0),MATCH(X$5&amp;"",'Oxford Economics'!$A$6:$AZ$6,0))),'Oxford Economics'!$A$7:$A$1000,$C104,'Oxford Economics'!$B$7:$B$1000,Settings!$B$15),SUMIFS(INDEX('Oxford Economics'!$A$7:$AZ$1000,0,IFERROR(MATCH(X$5,'Oxford Economics'!$A$6:$AZ$6,0),MATCH(X$5&amp;"",'Oxford Economics'!$A$6:$AZ$6,0))),'Oxford Economics'!$A$7:$A$1000,$C104,'Oxford Economics'!$B$7:$B$1000,Settings!$B$15)+SUMIFS(INDEX('Oxford Economics'!$A$7:$AZ$1000,0,IFERROR(MATCH(X$5,'Oxford Economics'!$A$6:$AZ$6,0),MATCH(X$5&amp;"",'Oxford Economics'!$A$6:$AZ$6,0))),'Oxford Economics'!$A$7:$A$1000,$C104,'Oxford Economics'!$B$7:$B$1000,Settings!$B$17)+IF(Settings!$B$19="",0,SUMIFS(INDEX('Oxford Economics'!$A$7:$AZ$1000,0,IFERROR(MATCH(X$5,'Oxford Economics'!$A$6:$AZ$6,0),MATCH(X$5&amp;"",'Oxford Economics'!$A$6:$AZ$6,0))),'Oxford Economics'!$A$7:$A$1000,$C104,'Oxford Economics'!$B$7:$B$1000,Settings!$B$19)))),""))</f>
        <v>3218.37</v>
      </c>
      <c r="Y104" s="38" t="n">
        <f aca="false">IF($A104="","",IFERROR(1/(1/IF($B104="Residential",SUMIFS(INDEX('Oxford Economics'!$A$7:$AZ$1000,0,IFERROR(MATCH(Y$5,'Oxford Economics'!$A$6:$AZ$6,0),MATCH(Y$5&amp;"",'Oxford Economics'!$A$6:$AZ$6,0))),'Oxford Economics'!$A$7:$A$1000,$C104,'Oxford Economics'!$B$7:$B$1000,Settings!$B$13)-SUMIFS(INDEX('Oxford Economics'!$A$7:$AZ$1000,0,IFERROR(MATCH(Y$5,'Oxford Economics'!$A$6:$AZ$6,0),MATCH(Y$5&amp;"",'Oxford Economics'!$A$6:$AZ$6,0))),'Oxford Economics'!$A$7:$A$1000,$C104,'Oxford Economics'!$B$7:$B$1000,Settings!$B$15),SUMIFS(INDEX('Oxford Economics'!$A$7:$AZ$1000,0,IFERROR(MATCH(Y$5,'Oxford Economics'!$A$6:$AZ$6,0),MATCH(Y$5&amp;"",'Oxford Economics'!$A$6:$AZ$6,0))),'Oxford Economics'!$A$7:$A$1000,$C104,'Oxford Economics'!$B$7:$B$1000,Settings!$B$15)+SUMIFS(INDEX('Oxford Economics'!$A$7:$AZ$1000,0,IFERROR(MATCH(Y$5,'Oxford Economics'!$A$6:$AZ$6,0),MATCH(Y$5&amp;"",'Oxford Economics'!$A$6:$AZ$6,0))),'Oxford Economics'!$A$7:$A$1000,$C104,'Oxford Economics'!$B$7:$B$1000,Settings!$B$17)+IF(Settings!$B$19="",0,SUMIFS(INDEX('Oxford Economics'!$A$7:$AZ$1000,0,IFERROR(MATCH(Y$5,'Oxford Economics'!$A$6:$AZ$6,0),MATCH(Y$5&amp;"",'Oxford Economics'!$A$6:$AZ$6,0))),'Oxford Economics'!$A$7:$A$1000,$C104,'Oxford Economics'!$B$7:$B$1000,Settings!$B$19)))),""))</f>
        <v>3201.23</v>
      </c>
      <c r="Z104" s="38" t="n">
        <f aca="false">IF($A104="","",IFERROR(1/(1/IF($B104="Residential",SUMIFS(INDEX('Oxford Economics'!$A$7:$AZ$1000,0,IFERROR(MATCH(Z$5,'Oxford Economics'!$A$6:$AZ$6,0),MATCH(Z$5&amp;"",'Oxford Economics'!$A$6:$AZ$6,0))),'Oxford Economics'!$A$7:$A$1000,$C104,'Oxford Economics'!$B$7:$B$1000,Settings!$B$13)-SUMIFS(INDEX('Oxford Economics'!$A$7:$AZ$1000,0,IFERROR(MATCH(Z$5,'Oxford Economics'!$A$6:$AZ$6,0),MATCH(Z$5&amp;"",'Oxford Economics'!$A$6:$AZ$6,0))),'Oxford Economics'!$A$7:$A$1000,$C104,'Oxford Economics'!$B$7:$B$1000,Settings!$B$15),SUMIFS(INDEX('Oxford Economics'!$A$7:$AZ$1000,0,IFERROR(MATCH(Z$5,'Oxford Economics'!$A$6:$AZ$6,0),MATCH(Z$5&amp;"",'Oxford Economics'!$A$6:$AZ$6,0))),'Oxford Economics'!$A$7:$A$1000,$C104,'Oxford Economics'!$B$7:$B$1000,Settings!$B$15)+SUMIFS(INDEX('Oxford Economics'!$A$7:$AZ$1000,0,IFERROR(MATCH(Z$5,'Oxford Economics'!$A$6:$AZ$6,0),MATCH(Z$5&amp;"",'Oxford Economics'!$A$6:$AZ$6,0))),'Oxford Economics'!$A$7:$A$1000,$C104,'Oxford Economics'!$B$7:$B$1000,Settings!$B$17)+IF(Settings!$B$19="",0,SUMIFS(INDEX('Oxford Economics'!$A$7:$AZ$1000,0,IFERROR(MATCH(Z$5,'Oxford Economics'!$A$6:$AZ$6,0),MATCH(Z$5&amp;"",'Oxford Economics'!$A$6:$AZ$6,0))),'Oxford Economics'!$A$7:$A$1000,$C104,'Oxford Economics'!$B$7:$B$1000,Settings!$B$19)))),""))</f>
        <v>3206.35</v>
      </c>
      <c r="AA104" s="38" t="n">
        <f aca="false">IF($A104="","",IFERROR(1/(1/IF($B104="Residential",SUMIFS(INDEX('Oxford Economics'!$A$7:$AZ$1000,0,IFERROR(MATCH(AA$5,'Oxford Economics'!$A$6:$AZ$6,0),MATCH(AA$5&amp;"",'Oxford Economics'!$A$6:$AZ$6,0))),'Oxford Economics'!$A$7:$A$1000,$C104,'Oxford Economics'!$B$7:$B$1000,Settings!$B$13)-SUMIFS(INDEX('Oxford Economics'!$A$7:$AZ$1000,0,IFERROR(MATCH(AA$5,'Oxford Economics'!$A$6:$AZ$6,0),MATCH(AA$5&amp;"",'Oxford Economics'!$A$6:$AZ$6,0))),'Oxford Economics'!$A$7:$A$1000,$C104,'Oxford Economics'!$B$7:$B$1000,Settings!$B$15),SUMIFS(INDEX('Oxford Economics'!$A$7:$AZ$1000,0,IFERROR(MATCH(AA$5,'Oxford Economics'!$A$6:$AZ$6,0),MATCH(AA$5&amp;"",'Oxford Economics'!$A$6:$AZ$6,0))),'Oxford Economics'!$A$7:$A$1000,$C104,'Oxford Economics'!$B$7:$B$1000,Settings!$B$15)+SUMIFS(INDEX('Oxford Economics'!$A$7:$AZ$1000,0,IFERROR(MATCH(AA$5,'Oxford Economics'!$A$6:$AZ$6,0),MATCH(AA$5&amp;"",'Oxford Economics'!$A$6:$AZ$6,0))),'Oxford Economics'!$A$7:$A$1000,$C104,'Oxford Economics'!$B$7:$B$1000,Settings!$B$17)+IF(Settings!$B$19="",0,SUMIFS(INDEX('Oxford Economics'!$A$7:$AZ$1000,0,IFERROR(MATCH(AA$5,'Oxford Economics'!$A$6:$AZ$6,0),MATCH(AA$5&amp;"",'Oxford Economics'!$A$6:$AZ$6,0))),'Oxford Economics'!$A$7:$A$1000,$C104,'Oxford Economics'!$B$7:$B$1000,Settings!$B$19)))),""))</f>
        <v>3220.96</v>
      </c>
      <c r="AB104" s="38" t="n">
        <f aca="false">IF($A104="","",IFERROR(1/(1/IF($B104="Residential",SUMIFS(INDEX('Oxford Economics'!$A$7:$AZ$1000,0,IFERROR(MATCH(AB$5,'Oxford Economics'!$A$6:$AZ$6,0),MATCH(AB$5&amp;"",'Oxford Economics'!$A$6:$AZ$6,0))),'Oxford Economics'!$A$7:$A$1000,$C104,'Oxford Economics'!$B$7:$B$1000,Settings!$B$12)-SUMIFS(INDEX('Oxford Economics'!$A$7:$AZ$1000,0,IFERROR(MATCH(AB$5,'Oxford Economics'!$A$6:$AZ$6,0),MATCH(AB$5&amp;"",'Oxford Economics'!$A$6:$AZ$6,0))),'Oxford Economics'!$A$7:$A$1000,$C104,'Oxford Economics'!$B$7:$B$1000,Settings!$B$14),SUMIFS(INDEX('Oxford Economics'!$A$7:$AZ$1000,0,IFERROR(MATCH(AB$5,'Oxford Economics'!$A$6:$AZ$6,0),MATCH(AB$5&amp;"",'Oxford Economics'!$A$6:$AZ$6,0))),'Oxford Economics'!$A$7:$A$1000,$C104,'Oxford Economics'!$B$7:$B$1000,Settings!$B$14)+SUMIFS(INDEX('Oxford Economics'!$A$7:$AZ$1000,0,IFERROR(MATCH(AB$5,'Oxford Economics'!$A$6:$AZ$6,0),MATCH(AB$5&amp;"",'Oxford Economics'!$A$6:$AZ$6,0))),'Oxford Economics'!$A$7:$A$1000,$C104,'Oxford Economics'!$B$7:$B$1000,Settings!$B$16)+IF(Settings!$B$18="",0,SUMIFS(INDEX('Oxford Economics'!$A$7:$AZ$1000,0,IFERROR(MATCH(AB$5,'Oxford Economics'!$A$6:$AZ$6,0),MATCH(AB$5&amp;"",'Oxford Economics'!$A$6:$AZ$6,0))),'Oxford Economics'!$A$7:$A$1000,$C104,'Oxford Economics'!$B$7:$B$1000,Settings!$B$18)))),""))</f>
        <v>1238.71</v>
      </c>
      <c r="AC104" s="38" t="n">
        <f aca="false">IF($A104="","",IFERROR(1/(1/IF($B104="Residential",SUMIFS(INDEX('Oxford Economics'!$A$7:$AZ$1000,0,IFERROR(MATCH(AC$5,'Oxford Economics'!$A$6:$AZ$6,0),MATCH(AC$5&amp;"",'Oxford Economics'!$A$6:$AZ$6,0))),'Oxford Economics'!$A$7:$A$1000,$C104,'Oxford Economics'!$B$7:$B$1000,Settings!$B$12)-SUMIFS(INDEX('Oxford Economics'!$A$7:$AZ$1000,0,IFERROR(MATCH(AC$5,'Oxford Economics'!$A$6:$AZ$6,0),MATCH(AC$5&amp;"",'Oxford Economics'!$A$6:$AZ$6,0))),'Oxford Economics'!$A$7:$A$1000,$C104,'Oxford Economics'!$B$7:$B$1000,Settings!$B$14),SUMIFS(INDEX('Oxford Economics'!$A$7:$AZ$1000,0,IFERROR(MATCH(AC$5,'Oxford Economics'!$A$6:$AZ$6,0),MATCH(AC$5&amp;"",'Oxford Economics'!$A$6:$AZ$6,0))),'Oxford Economics'!$A$7:$A$1000,$C104,'Oxford Economics'!$B$7:$B$1000,Settings!$B$14)+SUMIFS(INDEX('Oxford Economics'!$A$7:$AZ$1000,0,IFERROR(MATCH(AC$5,'Oxford Economics'!$A$6:$AZ$6,0),MATCH(AC$5&amp;"",'Oxford Economics'!$A$6:$AZ$6,0))),'Oxford Economics'!$A$7:$A$1000,$C104,'Oxford Economics'!$B$7:$B$1000,Settings!$B$16)+IF(Settings!$B$18="",0,SUMIFS(INDEX('Oxford Economics'!$A$7:$AZ$1000,0,IFERROR(MATCH(AC$5,'Oxford Economics'!$A$6:$AZ$6,0),MATCH(AC$5&amp;"",'Oxford Economics'!$A$6:$AZ$6,0))),'Oxford Economics'!$A$7:$A$1000,$C104,'Oxford Economics'!$B$7:$B$1000,Settings!$B$18)))),""))</f>
        <v>925.9</v>
      </c>
      <c r="AD104" s="38" t="n">
        <f aca="false">IF($A104="","",IFERROR(1/(1/IF($B104="Residential",SUMIFS(INDEX('Oxford Economics'!$A$7:$AZ$1000,0,IFERROR(MATCH(AD$5,'Oxford Economics'!$A$6:$AZ$6,0),MATCH(AD$5&amp;"",'Oxford Economics'!$A$6:$AZ$6,0))),'Oxford Economics'!$A$7:$A$1000,$C104,'Oxford Economics'!$B$7:$B$1000,Settings!$B$12)-SUMIFS(INDEX('Oxford Economics'!$A$7:$AZ$1000,0,IFERROR(MATCH(AD$5,'Oxford Economics'!$A$6:$AZ$6,0),MATCH(AD$5&amp;"",'Oxford Economics'!$A$6:$AZ$6,0))),'Oxford Economics'!$A$7:$A$1000,$C104,'Oxford Economics'!$B$7:$B$1000,Settings!$B$14),SUMIFS(INDEX('Oxford Economics'!$A$7:$AZ$1000,0,IFERROR(MATCH(AD$5,'Oxford Economics'!$A$6:$AZ$6,0),MATCH(AD$5&amp;"",'Oxford Economics'!$A$6:$AZ$6,0))),'Oxford Economics'!$A$7:$A$1000,$C104,'Oxford Economics'!$B$7:$B$1000,Settings!$B$14)+SUMIFS(INDEX('Oxford Economics'!$A$7:$AZ$1000,0,IFERROR(MATCH(AD$5,'Oxford Economics'!$A$6:$AZ$6,0),MATCH(AD$5&amp;"",'Oxford Economics'!$A$6:$AZ$6,0))),'Oxford Economics'!$A$7:$A$1000,$C104,'Oxford Economics'!$B$7:$B$1000,Settings!$B$16)+IF(Settings!$B$18="",0,SUMIFS(INDEX('Oxford Economics'!$A$7:$AZ$1000,0,IFERROR(MATCH(AD$5,'Oxford Economics'!$A$6:$AZ$6,0),MATCH(AD$5&amp;"",'Oxford Economics'!$A$6:$AZ$6,0))),'Oxford Economics'!$A$7:$A$1000,$C104,'Oxford Economics'!$B$7:$B$1000,Settings!$B$18)))),""))</f>
        <v>511.17</v>
      </c>
      <c r="AE104" s="38" t="n">
        <f aca="false">IF($A104="","",IFERROR(1/(1/IF($B104="Residential",SUMIFS(INDEX('Oxford Economics'!$A$7:$AZ$1000,0,IFERROR(MATCH(AE$5,'Oxford Economics'!$A$6:$AZ$6,0),MATCH(AE$5&amp;"",'Oxford Economics'!$A$6:$AZ$6,0))),'Oxford Economics'!$A$7:$A$1000,$C104,'Oxford Economics'!$B$7:$B$1000,Settings!$B$12)-SUMIFS(INDEX('Oxford Economics'!$A$7:$AZ$1000,0,IFERROR(MATCH(AE$5,'Oxford Economics'!$A$6:$AZ$6,0),MATCH(AE$5&amp;"",'Oxford Economics'!$A$6:$AZ$6,0))),'Oxford Economics'!$A$7:$A$1000,$C104,'Oxford Economics'!$B$7:$B$1000,Settings!$B$14),SUMIFS(INDEX('Oxford Economics'!$A$7:$AZ$1000,0,IFERROR(MATCH(AE$5,'Oxford Economics'!$A$6:$AZ$6,0),MATCH(AE$5&amp;"",'Oxford Economics'!$A$6:$AZ$6,0))),'Oxford Economics'!$A$7:$A$1000,$C104,'Oxford Economics'!$B$7:$B$1000,Settings!$B$14)+SUMIFS(INDEX('Oxford Economics'!$A$7:$AZ$1000,0,IFERROR(MATCH(AE$5,'Oxford Economics'!$A$6:$AZ$6,0),MATCH(AE$5&amp;"",'Oxford Economics'!$A$6:$AZ$6,0))),'Oxford Economics'!$A$7:$A$1000,$C104,'Oxford Economics'!$B$7:$B$1000,Settings!$B$16)+IF(Settings!$B$18="",0,SUMIFS(INDEX('Oxford Economics'!$A$7:$AZ$1000,0,IFERROR(MATCH(AE$5,'Oxford Economics'!$A$6:$AZ$6,0),MATCH(AE$5&amp;"",'Oxford Economics'!$A$6:$AZ$6,0))),'Oxford Economics'!$A$7:$A$1000,$C104,'Oxford Economics'!$B$7:$B$1000,Settings!$B$18)))),""))</f>
        <v>605.25</v>
      </c>
      <c r="AF104" s="38" t="n">
        <f aca="false">IF($A104="","",IFERROR(1/(1/IF($B104="Residential",SUMIFS(INDEX('Oxford Economics'!$A$7:$AZ$1000,0,IFERROR(MATCH(AF$5,'Oxford Economics'!$A$6:$AZ$6,0),MATCH(AF$5&amp;"",'Oxford Economics'!$A$6:$AZ$6,0))),'Oxford Economics'!$A$7:$A$1000,$C104,'Oxford Economics'!$B$7:$B$1000,Settings!$B$12)-SUMIFS(INDEX('Oxford Economics'!$A$7:$AZ$1000,0,IFERROR(MATCH(AF$5,'Oxford Economics'!$A$6:$AZ$6,0),MATCH(AF$5&amp;"",'Oxford Economics'!$A$6:$AZ$6,0))),'Oxford Economics'!$A$7:$A$1000,$C104,'Oxford Economics'!$B$7:$B$1000,Settings!$B$14),SUMIFS(INDEX('Oxford Economics'!$A$7:$AZ$1000,0,IFERROR(MATCH(AF$5,'Oxford Economics'!$A$6:$AZ$6,0),MATCH(AF$5&amp;"",'Oxford Economics'!$A$6:$AZ$6,0))),'Oxford Economics'!$A$7:$A$1000,$C104,'Oxford Economics'!$B$7:$B$1000,Settings!$B$14)+SUMIFS(INDEX('Oxford Economics'!$A$7:$AZ$1000,0,IFERROR(MATCH(AF$5,'Oxford Economics'!$A$6:$AZ$6,0),MATCH(AF$5&amp;"",'Oxford Economics'!$A$6:$AZ$6,0))),'Oxford Economics'!$A$7:$A$1000,$C104,'Oxford Economics'!$B$7:$B$1000,Settings!$B$16)+IF(Settings!$B$18="",0,SUMIFS(INDEX('Oxford Economics'!$A$7:$AZ$1000,0,IFERROR(MATCH(AF$5,'Oxford Economics'!$A$6:$AZ$6,0),MATCH(AF$5&amp;"",'Oxford Economics'!$A$6:$AZ$6,0))),'Oxford Economics'!$A$7:$A$1000,$C104,'Oxford Economics'!$B$7:$B$1000,Settings!$B$18)))),""))</f>
        <v>666.76</v>
      </c>
      <c r="AG104" s="38" t="n">
        <f aca="false">IF($A104="","",IFERROR(1/(1/IF($B104="Residential",SUMIFS(INDEX('Oxford Economics'!$A$7:$AZ$1000,0,IFERROR(MATCH(AG$5,'Oxford Economics'!$A$6:$AZ$6,0),MATCH(AG$5&amp;"",'Oxford Economics'!$A$6:$AZ$6,0))),'Oxford Economics'!$A$7:$A$1000,$C104,'Oxford Economics'!$B$7:$B$1000,Settings!$B$12)-SUMIFS(INDEX('Oxford Economics'!$A$7:$AZ$1000,0,IFERROR(MATCH(AG$5,'Oxford Economics'!$A$6:$AZ$6,0),MATCH(AG$5&amp;"",'Oxford Economics'!$A$6:$AZ$6,0))),'Oxford Economics'!$A$7:$A$1000,$C104,'Oxford Economics'!$B$7:$B$1000,Settings!$B$14),SUMIFS(INDEX('Oxford Economics'!$A$7:$AZ$1000,0,IFERROR(MATCH(AG$5,'Oxford Economics'!$A$6:$AZ$6,0),MATCH(AG$5&amp;"",'Oxford Economics'!$A$6:$AZ$6,0))),'Oxford Economics'!$A$7:$A$1000,$C104,'Oxford Economics'!$B$7:$B$1000,Settings!$B$14)+SUMIFS(INDEX('Oxford Economics'!$A$7:$AZ$1000,0,IFERROR(MATCH(AG$5,'Oxford Economics'!$A$6:$AZ$6,0),MATCH(AG$5&amp;"",'Oxford Economics'!$A$6:$AZ$6,0))),'Oxford Economics'!$A$7:$A$1000,$C104,'Oxford Economics'!$B$7:$B$1000,Settings!$B$16)+IF(Settings!$B$18="",0,SUMIFS(INDEX('Oxford Economics'!$A$7:$AZ$1000,0,IFERROR(MATCH(AG$5,'Oxford Economics'!$A$6:$AZ$6,0),MATCH(AG$5&amp;"",'Oxford Economics'!$A$6:$AZ$6,0))),'Oxford Economics'!$A$7:$A$1000,$C104,'Oxford Economics'!$B$7:$B$1000,Settings!$B$18)))),""))</f>
        <v>811.27</v>
      </c>
      <c r="AH104" s="38" t="n">
        <f aca="false">IF($A104="","",IFERROR(1/(1/IF($B104="Residential",SUMIFS(INDEX('Oxford Economics'!$A$7:$AZ$1000,0,IFERROR(MATCH(AH$5,'Oxford Economics'!$A$6:$AZ$6,0),MATCH(AH$5&amp;"",'Oxford Economics'!$A$6:$AZ$6,0))),'Oxford Economics'!$A$7:$A$1000,$C104,'Oxford Economics'!$B$7:$B$1000,Settings!$B$12)-SUMIFS(INDEX('Oxford Economics'!$A$7:$AZ$1000,0,IFERROR(MATCH(AH$5,'Oxford Economics'!$A$6:$AZ$6,0),MATCH(AH$5&amp;"",'Oxford Economics'!$A$6:$AZ$6,0))),'Oxford Economics'!$A$7:$A$1000,$C104,'Oxford Economics'!$B$7:$B$1000,Settings!$B$14),SUMIFS(INDEX('Oxford Economics'!$A$7:$AZ$1000,0,IFERROR(MATCH(AH$5,'Oxford Economics'!$A$6:$AZ$6,0),MATCH(AH$5&amp;"",'Oxford Economics'!$A$6:$AZ$6,0))),'Oxford Economics'!$A$7:$A$1000,$C104,'Oxford Economics'!$B$7:$B$1000,Settings!$B$14)+SUMIFS(INDEX('Oxford Economics'!$A$7:$AZ$1000,0,IFERROR(MATCH(AH$5,'Oxford Economics'!$A$6:$AZ$6,0),MATCH(AH$5&amp;"",'Oxford Economics'!$A$6:$AZ$6,0))),'Oxford Economics'!$A$7:$A$1000,$C104,'Oxford Economics'!$B$7:$B$1000,Settings!$B$16)+IF(Settings!$B$18="",0,SUMIFS(INDEX('Oxford Economics'!$A$7:$AZ$1000,0,IFERROR(MATCH(AH$5,'Oxford Economics'!$A$6:$AZ$6,0),MATCH(AH$5&amp;"",'Oxford Economics'!$A$6:$AZ$6,0))),'Oxford Economics'!$A$7:$A$1000,$C104,'Oxford Economics'!$B$7:$B$1000,Settings!$B$18)))),""))</f>
        <v>880.73</v>
      </c>
      <c r="AI104" s="38" t="n">
        <f aca="false">IF($A104="","",IFERROR(1/(1/IF($B104="Residential",SUMIFS(INDEX('Oxford Economics'!$A$7:$AZ$1000,0,IFERROR(MATCH(AI$5,'Oxford Economics'!$A$6:$AZ$6,0),MATCH(AI$5&amp;"",'Oxford Economics'!$A$6:$AZ$6,0))),'Oxford Economics'!$A$7:$A$1000,$C104,'Oxford Economics'!$B$7:$B$1000,Settings!$B$12)-SUMIFS(INDEX('Oxford Economics'!$A$7:$AZ$1000,0,IFERROR(MATCH(AI$5,'Oxford Economics'!$A$6:$AZ$6,0),MATCH(AI$5&amp;"",'Oxford Economics'!$A$6:$AZ$6,0))),'Oxford Economics'!$A$7:$A$1000,$C104,'Oxford Economics'!$B$7:$B$1000,Settings!$B$14),SUMIFS(INDEX('Oxford Economics'!$A$7:$AZ$1000,0,IFERROR(MATCH(AI$5,'Oxford Economics'!$A$6:$AZ$6,0),MATCH(AI$5&amp;"",'Oxford Economics'!$A$6:$AZ$6,0))),'Oxford Economics'!$A$7:$A$1000,$C104,'Oxford Economics'!$B$7:$B$1000,Settings!$B$14)+SUMIFS(INDEX('Oxford Economics'!$A$7:$AZ$1000,0,IFERROR(MATCH(AI$5,'Oxford Economics'!$A$6:$AZ$6,0),MATCH(AI$5&amp;"",'Oxford Economics'!$A$6:$AZ$6,0))),'Oxford Economics'!$A$7:$A$1000,$C104,'Oxford Economics'!$B$7:$B$1000,Settings!$B$16)+IF(Settings!$B$18="",0,SUMIFS(INDEX('Oxford Economics'!$A$7:$AZ$1000,0,IFERROR(MATCH(AI$5,'Oxford Economics'!$A$6:$AZ$6,0),MATCH(AI$5&amp;"",'Oxford Economics'!$A$6:$AZ$6,0))),'Oxford Economics'!$A$7:$A$1000,$C104,'Oxford Economics'!$B$7:$B$1000,Settings!$B$18)))),""))</f>
        <v>895.07</v>
      </c>
      <c r="AJ104" s="38" t="n">
        <f aca="false">IF($A104="","",IFERROR(1/(1/IF($B104="Residential",SUMIFS(INDEX('Oxford Economics'!$A$7:$AZ$1000,0,IFERROR(MATCH(AJ$5,'Oxford Economics'!$A$6:$AZ$6,0),MATCH(AJ$5&amp;"",'Oxford Economics'!$A$6:$AZ$6,0))),'Oxford Economics'!$A$7:$A$1000,$C104,'Oxford Economics'!$B$7:$B$1000,Settings!$B$12)-SUMIFS(INDEX('Oxford Economics'!$A$7:$AZ$1000,0,IFERROR(MATCH(AJ$5,'Oxford Economics'!$A$6:$AZ$6,0),MATCH(AJ$5&amp;"",'Oxford Economics'!$A$6:$AZ$6,0))),'Oxford Economics'!$A$7:$A$1000,$C104,'Oxford Economics'!$B$7:$B$1000,Settings!$B$14),SUMIFS(INDEX('Oxford Economics'!$A$7:$AZ$1000,0,IFERROR(MATCH(AJ$5,'Oxford Economics'!$A$6:$AZ$6,0),MATCH(AJ$5&amp;"",'Oxford Economics'!$A$6:$AZ$6,0))),'Oxford Economics'!$A$7:$A$1000,$C104,'Oxford Economics'!$B$7:$B$1000,Settings!$B$14)+SUMIFS(INDEX('Oxford Economics'!$A$7:$AZ$1000,0,IFERROR(MATCH(AJ$5,'Oxford Economics'!$A$6:$AZ$6,0),MATCH(AJ$5&amp;"",'Oxford Economics'!$A$6:$AZ$6,0))),'Oxford Economics'!$A$7:$A$1000,$C104,'Oxford Economics'!$B$7:$B$1000,Settings!$B$16)+IF(Settings!$B$18="",0,SUMIFS(INDEX('Oxford Economics'!$A$7:$AZ$1000,0,IFERROR(MATCH(AJ$5,'Oxford Economics'!$A$6:$AZ$6,0),MATCH(AJ$5&amp;"",'Oxford Economics'!$A$6:$AZ$6,0))),'Oxford Economics'!$A$7:$A$1000,$C104,'Oxford Economics'!$B$7:$B$1000,Settings!$B$18)))),""))</f>
        <v>893.81</v>
      </c>
      <c r="AK104" s="38" t="n">
        <f aca="false">IF($A104="","",IFERROR(1/(1/IF($B104="Residential",SUMIFS(INDEX('Oxford Economics'!$A$7:$AZ$1000,0,IFERROR(MATCH(AK$5,'Oxford Economics'!$A$6:$AZ$6,0),MATCH(AK$5&amp;"",'Oxford Economics'!$A$6:$AZ$6,0))),'Oxford Economics'!$A$7:$A$1000,$C104,'Oxford Economics'!$B$7:$B$1000,Settings!$B$12)-SUMIFS(INDEX('Oxford Economics'!$A$7:$AZ$1000,0,IFERROR(MATCH(AK$5,'Oxford Economics'!$A$6:$AZ$6,0),MATCH(AK$5&amp;"",'Oxford Economics'!$A$6:$AZ$6,0))),'Oxford Economics'!$A$7:$A$1000,$C104,'Oxford Economics'!$B$7:$B$1000,Settings!$B$14),SUMIFS(INDEX('Oxford Economics'!$A$7:$AZ$1000,0,IFERROR(MATCH(AK$5,'Oxford Economics'!$A$6:$AZ$6,0),MATCH(AK$5&amp;"",'Oxford Economics'!$A$6:$AZ$6,0))),'Oxford Economics'!$A$7:$A$1000,$C104,'Oxford Economics'!$B$7:$B$1000,Settings!$B$14)+SUMIFS(INDEX('Oxford Economics'!$A$7:$AZ$1000,0,IFERROR(MATCH(AK$5,'Oxford Economics'!$A$6:$AZ$6,0),MATCH(AK$5&amp;"",'Oxford Economics'!$A$6:$AZ$6,0))),'Oxford Economics'!$A$7:$A$1000,$C104,'Oxford Economics'!$B$7:$B$1000,Settings!$B$16)+IF(Settings!$B$18="",0,SUMIFS(INDEX('Oxford Economics'!$A$7:$AZ$1000,0,IFERROR(MATCH(AK$5,'Oxford Economics'!$A$6:$AZ$6,0),MATCH(AK$5&amp;"",'Oxford Economics'!$A$6:$AZ$6,0))),'Oxford Economics'!$A$7:$A$1000,$C104,'Oxford Economics'!$B$7:$B$1000,Settings!$B$18)))),""))</f>
        <v>906.08</v>
      </c>
      <c r="AL104" s="38" t="n">
        <f aca="false">IF($A104="","",IFERROR(1/(1/IF($B104="Residential",SUMIFS(INDEX('Oxford Economics'!$A$7:$AZ$1000,0,IFERROR(MATCH(AL$5,'Oxford Economics'!$A$6:$AZ$6,0),MATCH(AL$5&amp;"",'Oxford Economics'!$A$6:$AZ$6,0))),'Oxford Economics'!$A$7:$A$1000,$C104,'Oxford Economics'!$B$7:$B$1000,Settings!$B$12)-SUMIFS(INDEX('Oxford Economics'!$A$7:$AZ$1000,0,IFERROR(MATCH(AL$5,'Oxford Economics'!$A$6:$AZ$6,0),MATCH(AL$5&amp;"",'Oxford Economics'!$A$6:$AZ$6,0))),'Oxford Economics'!$A$7:$A$1000,$C104,'Oxford Economics'!$B$7:$B$1000,Settings!$B$14),SUMIFS(INDEX('Oxford Economics'!$A$7:$AZ$1000,0,IFERROR(MATCH(AL$5,'Oxford Economics'!$A$6:$AZ$6,0),MATCH(AL$5&amp;"",'Oxford Economics'!$A$6:$AZ$6,0))),'Oxford Economics'!$A$7:$A$1000,$C104,'Oxford Economics'!$B$7:$B$1000,Settings!$B$14)+SUMIFS(INDEX('Oxford Economics'!$A$7:$AZ$1000,0,IFERROR(MATCH(AL$5,'Oxford Economics'!$A$6:$AZ$6,0),MATCH(AL$5&amp;"",'Oxford Economics'!$A$6:$AZ$6,0))),'Oxford Economics'!$A$7:$A$1000,$C104,'Oxford Economics'!$B$7:$B$1000,Settings!$B$16)+IF(Settings!$B$18="",0,SUMIFS(INDEX('Oxford Economics'!$A$7:$AZ$1000,0,IFERROR(MATCH(AL$5,'Oxford Economics'!$A$6:$AZ$6,0),MATCH(AL$5&amp;"",'Oxford Economics'!$A$6:$AZ$6,0))),'Oxford Economics'!$A$7:$A$1000,$C104,'Oxford Economics'!$B$7:$B$1000,Settings!$B$18)))),""))</f>
        <v>932.98</v>
      </c>
      <c r="AM104" s="38" t="n">
        <f aca="false">IF($A104="","",IFERROR(1/(1/IF($B104="Residential",SUMIFS(INDEX('Oxford Economics'!$A$7:$AZ$1000,0,IFERROR(MATCH(AM$5,'Oxford Economics'!$A$6:$AZ$6,0),MATCH(AM$5&amp;"",'Oxford Economics'!$A$6:$AZ$6,0))),'Oxford Economics'!$A$7:$A$1000,$C104,'Oxford Economics'!$B$7:$B$1000,Settings!$B$12)-SUMIFS(INDEX('Oxford Economics'!$A$7:$AZ$1000,0,IFERROR(MATCH(AM$5,'Oxford Economics'!$A$6:$AZ$6,0),MATCH(AM$5&amp;"",'Oxford Economics'!$A$6:$AZ$6,0))),'Oxford Economics'!$A$7:$A$1000,$C104,'Oxford Economics'!$B$7:$B$1000,Settings!$B$14),SUMIFS(INDEX('Oxford Economics'!$A$7:$AZ$1000,0,IFERROR(MATCH(AM$5,'Oxford Economics'!$A$6:$AZ$6,0),MATCH(AM$5&amp;"",'Oxford Economics'!$A$6:$AZ$6,0))),'Oxford Economics'!$A$7:$A$1000,$C104,'Oxford Economics'!$B$7:$B$1000,Settings!$B$14)+SUMIFS(INDEX('Oxford Economics'!$A$7:$AZ$1000,0,IFERROR(MATCH(AM$5,'Oxford Economics'!$A$6:$AZ$6,0),MATCH(AM$5&amp;"",'Oxford Economics'!$A$6:$AZ$6,0))),'Oxford Economics'!$A$7:$A$1000,$C104,'Oxford Economics'!$B$7:$B$1000,Settings!$B$16)+IF(Settings!$B$18="",0,SUMIFS(INDEX('Oxford Economics'!$A$7:$AZ$1000,0,IFERROR(MATCH(AM$5,'Oxford Economics'!$A$6:$AZ$6,0),MATCH(AM$5&amp;"",'Oxford Economics'!$A$6:$AZ$6,0))),'Oxford Economics'!$A$7:$A$1000,$C104,'Oxford Economics'!$B$7:$B$1000,Settings!$B$18)))),""))</f>
        <v>958.78</v>
      </c>
    </row>
    <row r="105" customFormat="false" ht="15" hidden="false" customHeight="false" outlineLevel="0" collapsed="false">
      <c r="A105" s="37" t="str">
        <f aca="false">IF('Raw data'!$A105="","",'Raw data'!$A105)</f>
        <v>Portugal</v>
      </c>
      <c r="B105" s="37" t="str">
        <f aca="false">IF($A105="","",'Raw data'!$C105)</f>
        <v>Commercial</v>
      </c>
      <c r="C105" s="37" t="str">
        <f aca="false">IF($A105="","",IF('Raw data'!$E105="",$A105,'Raw data'!$E105))</f>
        <v>Portugal</v>
      </c>
      <c r="D105" s="38" t="n">
        <f aca="false">IF($A105="","",IF(AND(ISNUMBER(P105),ISNUMBER(AB105)),P105+AB105,""))</f>
        <v>7017.82</v>
      </c>
      <c r="E105" s="38" t="n">
        <f aca="false">IF($A105="","",IF(AND(ISNUMBER(Q105),ISNUMBER(AC105)),Q105+AC105,""))</f>
        <v>7418.12</v>
      </c>
      <c r="F105" s="38" t="n">
        <f aca="false">IF($A105="","",IF(AND(ISNUMBER(R105),ISNUMBER(AD105)),R105+AD105,""))</f>
        <v>7578.38</v>
      </c>
      <c r="G105" s="38" t="n">
        <f aca="false">IF($A105="","",IF(AND(ISNUMBER(S105),ISNUMBER(AE105)),S105+AE105,""))</f>
        <v>7713.88</v>
      </c>
      <c r="H105" s="38" t="n">
        <f aca="false">IF($A105="","",IF(AND(ISNUMBER(T105),ISNUMBER(AF105)),T105+AF105,""))</f>
        <v>7919</v>
      </c>
      <c r="I105" s="38" t="n">
        <f aca="false">IF($A105="","",IF(AND(ISNUMBER(U105),ISNUMBER(AG105)),U105+AG105,""))</f>
        <v>8433.78</v>
      </c>
      <c r="J105" s="38" t="n">
        <f aca="false">IF($A105="","",IF(AND(ISNUMBER(V105),ISNUMBER(AH105)),V105+AH105,""))</f>
        <v>9146.9</v>
      </c>
      <c r="K105" s="38" t="n">
        <f aca="false">IF($A105="","",IF(AND(ISNUMBER(W105),ISNUMBER(AI105)),W105+AI105,""))</f>
        <v>9585.74</v>
      </c>
      <c r="L105" s="38" t="n">
        <f aca="false">IF($A105="","",IF(AND(ISNUMBER(X105),ISNUMBER(AJ105)),X105+AJ105,""))</f>
        <v>9824.28</v>
      </c>
      <c r="M105" s="38" t="n">
        <f aca="false">IF($A105="","",IF(AND(ISNUMBER(Y105),ISNUMBER(AK105)),Y105+AK105,""))</f>
        <v>10014.62</v>
      </c>
      <c r="N105" s="38" t="n">
        <f aca="false">IF($A105="","",IF(AND(ISNUMBER(Z105),ISNUMBER(AL105)),Z105+AL105,""))</f>
        <v>10248.43</v>
      </c>
      <c r="O105" s="38" t="n">
        <f aca="false">IF($A105="","",IF(AND(ISNUMBER(AA105),ISNUMBER(AM105)),AA105+AM105,""))</f>
        <v>10477.1</v>
      </c>
      <c r="P105" s="38" t="n">
        <f aca="false">IF($A105="","",IFERROR(1/(1/IF($B105="Residential",SUMIFS(INDEX('Oxford Economics'!$A$7:$AZ$1000,0,IFERROR(MATCH(P$5,'Oxford Economics'!$A$6:$AZ$6,0),MATCH(P$5&amp;"",'Oxford Economics'!$A$6:$AZ$6,0))),'Oxford Economics'!$A$7:$A$1000,$C105,'Oxford Economics'!$B$7:$B$1000,Settings!$B$13)-SUMIFS(INDEX('Oxford Economics'!$A$7:$AZ$1000,0,IFERROR(MATCH(P$5,'Oxford Economics'!$A$6:$AZ$6,0),MATCH(P$5&amp;"",'Oxford Economics'!$A$6:$AZ$6,0))),'Oxford Economics'!$A$7:$A$1000,$C105,'Oxford Economics'!$B$7:$B$1000,Settings!$B$15),SUMIFS(INDEX('Oxford Economics'!$A$7:$AZ$1000,0,IFERROR(MATCH(P$5,'Oxford Economics'!$A$6:$AZ$6,0),MATCH(P$5&amp;"",'Oxford Economics'!$A$6:$AZ$6,0))),'Oxford Economics'!$A$7:$A$1000,$C105,'Oxford Economics'!$B$7:$B$1000,Settings!$B$15)+SUMIFS(INDEX('Oxford Economics'!$A$7:$AZ$1000,0,IFERROR(MATCH(P$5,'Oxford Economics'!$A$6:$AZ$6,0),MATCH(P$5&amp;"",'Oxford Economics'!$A$6:$AZ$6,0))),'Oxford Economics'!$A$7:$A$1000,$C105,'Oxford Economics'!$B$7:$B$1000,Settings!$B$17)+IF(Settings!$B$19="",0,SUMIFS(INDEX('Oxford Economics'!$A$7:$AZ$1000,0,IFERROR(MATCH(P$5,'Oxford Economics'!$A$6:$AZ$6,0),MATCH(P$5&amp;"",'Oxford Economics'!$A$6:$AZ$6,0))),'Oxford Economics'!$A$7:$A$1000,$C105,'Oxford Economics'!$B$7:$B$1000,Settings!$B$19)))),""))</f>
        <v>4205.94</v>
      </c>
      <c r="Q105" s="38" t="n">
        <f aca="false">IF($A105="","",IFERROR(1/(1/IF($B105="Residential",SUMIFS(INDEX('Oxford Economics'!$A$7:$AZ$1000,0,IFERROR(MATCH(Q$5,'Oxford Economics'!$A$6:$AZ$6,0),MATCH(Q$5&amp;"",'Oxford Economics'!$A$6:$AZ$6,0))),'Oxford Economics'!$A$7:$A$1000,$C105,'Oxford Economics'!$B$7:$B$1000,Settings!$B$13)-SUMIFS(INDEX('Oxford Economics'!$A$7:$AZ$1000,0,IFERROR(MATCH(Q$5,'Oxford Economics'!$A$6:$AZ$6,0),MATCH(Q$5&amp;"",'Oxford Economics'!$A$6:$AZ$6,0))),'Oxford Economics'!$A$7:$A$1000,$C105,'Oxford Economics'!$B$7:$B$1000,Settings!$B$15),SUMIFS(INDEX('Oxford Economics'!$A$7:$AZ$1000,0,IFERROR(MATCH(Q$5,'Oxford Economics'!$A$6:$AZ$6,0),MATCH(Q$5&amp;"",'Oxford Economics'!$A$6:$AZ$6,0))),'Oxford Economics'!$A$7:$A$1000,$C105,'Oxford Economics'!$B$7:$B$1000,Settings!$B$15)+SUMIFS(INDEX('Oxford Economics'!$A$7:$AZ$1000,0,IFERROR(MATCH(Q$5,'Oxford Economics'!$A$6:$AZ$6,0),MATCH(Q$5&amp;"",'Oxford Economics'!$A$6:$AZ$6,0))),'Oxford Economics'!$A$7:$A$1000,$C105,'Oxford Economics'!$B$7:$B$1000,Settings!$B$17)+IF(Settings!$B$19="",0,SUMIFS(INDEX('Oxford Economics'!$A$7:$AZ$1000,0,IFERROR(MATCH(Q$5,'Oxford Economics'!$A$6:$AZ$6,0),MATCH(Q$5&amp;"",'Oxford Economics'!$A$6:$AZ$6,0))),'Oxford Economics'!$A$7:$A$1000,$C105,'Oxford Economics'!$B$7:$B$1000,Settings!$B$19)))),""))</f>
        <v>4211.78</v>
      </c>
      <c r="R105" s="38" t="n">
        <f aca="false">IF($A105="","",IFERROR(1/(1/IF($B105="Residential",SUMIFS(INDEX('Oxford Economics'!$A$7:$AZ$1000,0,IFERROR(MATCH(R$5,'Oxford Economics'!$A$6:$AZ$6,0),MATCH(R$5&amp;"",'Oxford Economics'!$A$6:$AZ$6,0))),'Oxford Economics'!$A$7:$A$1000,$C105,'Oxford Economics'!$B$7:$B$1000,Settings!$B$13)-SUMIFS(INDEX('Oxford Economics'!$A$7:$AZ$1000,0,IFERROR(MATCH(R$5,'Oxford Economics'!$A$6:$AZ$6,0),MATCH(R$5&amp;"",'Oxford Economics'!$A$6:$AZ$6,0))),'Oxford Economics'!$A$7:$A$1000,$C105,'Oxford Economics'!$B$7:$B$1000,Settings!$B$15),SUMIFS(INDEX('Oxford Economics'!$A$7:$AZ$1000,0,IFERROR(MATCH(R$5,'Oxford Economics'!$A$6:$AZ$6,0),MATCH(R$5&amp;"",'Oxford Economics'!$A$6:$AZ$6,0))),'Oxford Economics'!$A$7:$A$1000,$C105,'Oxford Economics'!$B$7:$B$1000,Settings!$B$15)+SUMIFS(INDEX('Oxford Economics'!$A$7:$AZ$1000,0,IFERROR(MATCH(R$5,'Oxford Economics'!$A$6:$AZ$6,0),MATCH(R$5&amp;"",'Oxford Economics'!$A$6:$AZ$6,0))),'Oxford Economics'!$A$7:$A$1000,$C105,'Oxford Economics'!$B$7:$B$1000,Settings!$B$17)+IF(Settings!$B$19="",0,SUMIFS(INDEX('Oxford Economics'!$A$7:$AZ$1000,0,IFERROR(MATCH(R$5,'Oxford Economics'!$A$6:$AZ$6,0),MATCH(R$5&amp;"",'Oxford Economics'!$A$6:$AZ$6,0))),'Oxford Economics'!$A$7:$A$1000,$C105,'Oxford Economics'!$B$7:$B$1000,Settings!$B$19)))),""))</f>
        <v>3885.91</v>
      </c>
      <c r="S105" s="38" t="n">
        <f aca="false">IF($A105="","",IFERROR(1/(1/IF($B105="Residential",SUMIFS(INDEX('Oxford Economics'!$A$7:$AZ$1000,0,IFERROR(MATCH(S$5,'Oxford Economics'!$A$6:$AZ$6,0),MATCH(S$5&amp;"",'Oxford Economics'!$A$6:$AZ$6,0))),'Oxford Economics'!$A$7:$A$1000,$C105,'Oxford Economics'!$B$7:$B$1000,Settings!$B$13)-SUMIFS(INDEX('Oxford Economics'!$A$7:$AZ$1000,0,IFERROR(MATCH(S$5,'Oxford Economics'!$A$6:$AZ$6,0),MATCH(S$5&amp;"",'Oxford Economics'!$A$6:$AZ$6,0))),'Oxford Economics'!$A$7:$A$1000,$C105,'Oxford Economics'!$B$7:$B$1000,Settings!$B$15),SUMIFS(INDEX('Oxford Economics'!$A$7:$AZ$1000,0,IFERROR(MATCH(S$5,'Oxford Economics'!$A$6:$AZ$6,0),MATCH(S$5&amp;"",'Oxford Economics'!$A$6:$AZ$6,0))),'Oxford Economics'!$A$7:$A$1000,$C105,'Oxford Economics'!$B$7:$B$1000,Settings!$B$15)+SUMIFS(INDEX('Oxford Economics'!$A$7:$AZ$1000,0,IFERROR(MATCH(S$5,'Oxford Economics'!$A$6:$AZ$6,0),MATCH(S$5&amp;"",'Oxford Economics'!$A$6:$AZ$6,0))),'Oxford Economics'!$A$7:$A$1000,$C105,'Oxford Economics'!$B$7:$B$1000,Settings!$B$17)+IF(Settings!$B$19="",0,SUMIFS(INDEX('Oxford Economics'!$A$7:$AZ$1000,0,IFERROR(MATCH(S$5,'Oxford Economics'!$A$6:$AZ$6,0),MATCH(S$5&amp;"",'Oxford Economics'!$A$6:$AZ$6,0))),'Oxford Economics'!$A$7:$A$1000,$C105,'Oxford Economics'!$B$7:$B$1000,Settings!$B$19)))),""))</f>
        <v>4033.69</v>
      </c>
      <c r="T105" s="38" t="n">
        <f aca="false">IF($A105="","",IFERROR(1/(1/IF($B105="Residential",SUMIFS(INDEX('Oxford Economics'!$A$7:$AZ$1000,0,IFERROR(MATCH(T$5,'Oxford Economics'!$A$6:$AZ$6,0),MATCH(T$5&amp;"",'Oxford Economics'!$A$6:$AZ$6,0))),'Oxford Economics'!$A$7:$A$1000,$C105,'Oxford Economics'!$B$7:$B$1000,Settings!$B$13)-SUMIFS(INDEX('Oxford Economics'!$A$7:$AZ$1000,0,IFERROR(MATCH(T$5,'Oxford Economics'!$A$6:$AZ$6,0),MATCH(T$5&amp;"",'Oxford Economics'!$A$6:$AZ$6,0))),'Oxford Economics'!$A$7:$A$1000,$C105,'Oxford Economics'!$B$7:$B$1000,Settings!$B$15),SUMIFS(INDEX('Oxford Economics'!$A$7:$AZ$1000,0,IFERROR(MATCH(T$5,'Oxford Economics'!$A$6:$AZ$6,0),MATCH(T$5&amp;"",'Oxford Economics'!$A$6:$AZ$6,0))),'Oxford Economics'!$A$7:$A$1000,$C105,'Oxford Economics'!$B$7:$B$1000,Settings!$B$15)+SUMIFS(INDEX('Oxford Economics'!$A$7:$AZ$1000,0,IFERROR(MATCH(T$5,'Oxford Economics'!$A$6:$AZ$6,0),MATCH(T$5&amp;"",'Oxford Economics'!$A$6:$AZ$6,0))),'Oxford Economics'!$A$7:$A$1000,$C105,'Oxford Economics'!$B$7:$B$1000,Settings!$B$17)+IF(Settings!$B$19="",0,SUMIFS(INDEX('Oxford Economics'!$A$7:$AZ$1000,0,IFERROR(MATCH(T$5,'Oxford Economics'!$A$6:$AZ$6,0),MATCH(T$5&amp;"",'Oxford Economics'!$A$6:$AZ$6,0))),'Oxford Economics'!$A$7:$A$1000,$C105,'Oxford Economics'!$B$7:$B$1000,Settings!$B$19)))),""))</f>
        <v>4158.4</v>
      </c>
      <c r="U105" s="38" t="n">
        <f aca="false">IF($A105="","",IFERROR(1/(1/IF($B105="Residential",SUMIFS(INDEX('Oxford Economics'!$A$7:$AZ$1000,0,IFERROR(MATCH(U$5,'Oxford Economics'!$A$6:$AZ$6,0),MATCH(U$5&amp;"",'Oxford Economics'!$A$6:$AZ$6,0))),'Oxford Economics'!$A$7:$A$1000,$C105,'Oxford Economics'!$B$7:$B$1000,Settings!$B$13)-SUMIFS(INDEX('Oxford Economics'!$A$7:$AZ$1000,0,IFERROR(MATCH(U$5,'Oxford Economics'!$A$6:$AZ$6,0),MATCH(U$5&amp;"",'Oxford Economics'!$A$6:$AZ$6,0))),'Oxford Economics'!$A$7:$A$1000,$C105,'Oxford Economics'!$B$7:$B$1000,Settings!$B$15),SUMIFS(INDEX('Oxford Economics'!$A$7:$AZ$1000,0,IFERROR(MATCH(U$5,'Oxford Economics'!$A$6:$AZ$6,0),MATCH(U$5&amp;"",'Oxford Economics'!$A$6:$AZ$6,0))),'Oxford Economics'!$A$7:$A$1000,$C105,'Oxford Economics'!$B$7:$B$1000,Settings!$B$15)+SUMIFS(INDEX('Oxford Economics'!$A$7:$AZ$1000,0,IFERROR(MATCH(U$5,'Oxford Economics'!$A$6:$AZ$6,0),MATCH(U$5&amp;"",'Oxford Economics'!$A$6:$AZ$6,0))),'Oxford Economics'!$A$7:$A$1000,$C105,'Oxford Economics'!$B$7:$B$1000,Settings!$B$17)+IF(Settings!$B$19="",0,SUMIFS(INDEX('Oxford Economics'!$A$7:$AZ$1000,0,IFERROR(MATCH(U$5,'Oxford Economics'!$A$6:$AZ$6,0),MATCH(U$5&amp;"",'Oxford Economics'!$A$6:$AZ$6,0))),'Oxford Economics'!$A$7:$A$1000,$C105,'Oxford Economics'!$B$7:$B$1000,Settings!$B$19)))),""))</f>
        <v>4557.43</v>
      </c>
      <c r="V105" s="38" t="n">
        <f aca="false">IF($A105="","",IFERROR(1/(1/IF($B105="Residential",SUMIFS(INDEX('Oxford Economics'!$A$7:$AZ$1000,0,IFERROR(MATCH(V$5,'Oxford Economics'!$A$6:$AZ$6,0),MATCH(V$5&amp;"",'Oxford Economics'!$A$6:$AZ$6,0))),'Oxford Economics'!$A$7:$A$1000,$C105,'Oxford Economics'!$B$7:$B$1000,Settings!$B$13)-SUMIFS(INDEX('Oxford Economics'!$A$7:$AZ$1000,0,IFERROR(MATCH(V$5,'Oxford Economics'!$A$6:$AZ$6,0),MATCH(V$5&amp;"",'Oxford Economics'!$A$6:$AZ$6,0))),'Oxford Economics'!$A$7:$A$1000,$C105,'Oxford Economics'!$B$7:$B$1000,Settings!$B$15),SUMIFS(INDEX('Oxford Economics'!$A$7:$AZ$1000,0,IFERROR(MATCH(V$5,'Oxford Economics'!$A$6:$AZ$6,0),MATCH(V$5&amp;"",'Oxford Economics'!$A$6:$AZ$6,0))),'Oxford Economics'!$A$7:$A$1000,$C105,'Oxford Economics'!$B$7:$B$1000,Settings!$B$15)+SUMIFS(INDEX('Oxford Economics'!$A$7:$AZ$1000,0,IFERROR(MATCH(V$5,'Oxford Economics'!$A$6:$AZ$6,0),MATCH(V$5&amp;"",'Oxford Economics'!$A$6:$AZ$6,0))),'Oxford Economics'!$A$7:$A$1000,$C105,'Oxford Economics'!$B$7:$B$1000,Settings!$B$17)+IF(Settings!$B$19="",0,SUMIFS(INDEX('Oxford Economics'!$A$7:$AZ$1000,0,IFERROR(MATCH(V$5,'Oxford Economics'!$A$6:$AZ$6,0),MATCH(V$5&amp;"",'Oxford Economics'!$A$6:$AZ$6,0))),'Oxford Economics'!$A$7:$A$1000,$C105,'Oxford Economics'!$B$7:$B$1000,Settings!$B$19)))),""))</f>
        <v>4956.6</v>
      </c>
      <c r="W105" s="38" t="n">
        <f aca="false">IF($A105="","",IFERROR(1/(1/IF($B105="Residential",SUMIFS(INDEX('Oxford Economics'!$A$7:$AZ$1000,0,IFERROR(MATCH(W$5,'Oxford Economics'!$A$6:$AZ$6,0),MATCH(W$5&amp;"",'Oxford Economics'!$A$6:$AZ$6,0))),'Oxford Economics'!$A$7:$A$1000,$C105,'Oxford Economics'!$B$7:$B$1000,Settings!$B$13)-SUMIFS(INDEX('Oxford Economics'!$A$7:$AZ$1000,0,IFERROR(MATCH(W$5,'Oxford Economics'!$A$6:$AZ$6,0),MATCH(W$5&amp;"",'Oxford Economics'!$A$6:$AZ$6,0))),'Oxford Economics'!$A$7:$A$1000,$C105,'Oxford Economics'!$B$7:$B$1000,Settings!$B$15),SUMIFS(INDEX('Oxford Economics'!$A$7:$AZ$1000,0,IFERROR(MATCH(W$5,'Oxford Economics'!$A$6:$AZ$6,0),MATCH(W$5&amp;"",'Oxford Economics'!$A$6:$AZ$6,0))),'Oxford Economics'!$A$7:$A$1000,$C105,'Oxford Economics'!$B$7:$B$1000,Settings!$B$15)+SUMIFS(INDEX('Oxford Economics'!$A$7:$AZ$1000,0,IFERROR(MATCH(W$5,'Oxford Economics'!$A$6:$AZ$6,0),MATCH(W$5&amp;"",'Oxford Economics'!$A$6:$AZ$6,0))),'Oxford Economics'!$A$7:$A$1000,$C105,'Oxford Economics'!$B$7:$B$1000,Settings!$B$17)+IF(Settings!$B$19="",0,SUMIFS(INDEX('Oxford Economics'!$A$7:$AZ$1000,0,IFERROR(MATCH(W$5,'Oxford Economics'!$A$6:$AZ$6,0),MATCH(W$5&amp;"",'Oxford Economics'!$A$6:$AZ$6,0))),'Oxford Economics'!$A$7:$A$1000,$C105,'Oxford Economics'!$B$7:$B$1000,Settings!$B$19)))),""))</f>
        <v>5283.7</v>
      </c>
      <c r="X105" s="38" t="n">
        <f aca="false">IF($A105="","",IFERROR(1/(1/IF($B105="Residential",SUMIFS(INDEX('Oxford Economics'!$A$7:$AZ$1000,0,IFERROR(MATCH(X$5,'Oxford Economics'!$A$6:$AZ$6,0),MATCH(X$5&amp;"",'Oxford Economics'!$A$6:$AZ$6,0))),'Oxford Economics'!$A$7:$A$1000,$C105,'Oxford Economics'!$B$7:$B$1000,Settings!$B$13)-SUMIFS(INDEX('Oxford Economics'!$A$7:$AZ$1000,0,IFERROR(MATCH(X$5,'Oxford Economics'!$A$6:$AZ$6,0),MATCH(X$5&amp;"",'Oxford Economics'!$A$6:$AZ$6,0))),'Oxford Economics'!$A$7:$A$1000,$C105,'Oxford Economics'!$B$7:$B$1000,Settings!$B$15),SUMIFS(INDEX('Oxford Economics'!$A$7:$AZ$1000,0,IFERROR(MATCH(X$5,'Oxford Economics'!$A$6:$AZ$6,0),MATCH(X$5&amp;"",'Oxford Economics'!$A$6:$AZ$6,0))),'Oxford Economics'!$A$7:$A$1000,$C105,'Oxford Economics'!$B$7:$B$1000,Settings!$B$15)+SUMIFS(INDEX('Oxford Economics'!$A$7:$AZ$1000,0,IFERROR(MATCH(X$5,'Oxford Economics'!$A$6:$AZ$6,0),MATCH(X$5&amp;"",'Oxford Economics'!$A$6:$AZ$6,0))),'Oxford Economics'!$A$7:$A$1000,$C105,'Oxford Economics'!$B$7:$B$1000,Settings!$B$17)+IF(Settings!$B$19="",0,SUMIFS(INDEX('Oxford Economics'!$A$7:$AZ$1000,0,IFERROR(MATCH(X$5,'Oxford Economics'!$A$6:$AZ$6,0),MATCH(X$5&amp;"",'Oxford Economics'!$A$6:$AZ$6,0))),'Oxford Economics'!$A$7:$A$1000,$C105,'Oxford Economics'!$B$7:$B$1000,Settings!$B$19)))),""))</f>
        <v>5440.4</v>
      </c>
      <c r="Y105" s="38" t="n">
        <f aca="false">IF($A105="","",IFERROR(1/(1/IF($B105="Residential",SUMIFS(INDEX('Oxford Economics'!$A$7:$AZ$1000,0,IFERROR(MATCH(Y$5,'Oxford Economics'!$A$6:$AZ$6,0),MATCH(Y$5&amp;"",'Oxford Economics'!$A$6:$AZ$6,0))),'Oxford Economics'!$A$7:$A$1000,$C105,'Oxford Economics'!$B$7:$B$1000,Settings!$B$13)-SUMIFS(INDEX('Oxford Economics'!$A$7:$AZ$1000,0,IFERROR(MATCH(Y$5,'Oxford Economics'!$A$6:$AZ$6,0),MATCH(Y$5&amp;"",'Oxford Economics'!$A$6:$AZ$6,0))),'Oxford Economics'!$A$7:$A$1000,$C105,'Oxford Economics'!$B$7:$B$1000,Settings!$B$15),SUMIFS(INDEX('Oxford Economics'!$A$7:$AZ$1000,0,IFERROR(MATCH(Y$5,'Oxford Economics'!$A$6:$AZ$6,0),MATCH(Y$5&amp;"",'Oxford Economics'!$A$6:$AZ$6,0))),'Oxford Economics'!$A$7:$A$1000,$C105,'Oxford Economics'!$B$7:$B$1000,Settings!$B$15)+SUMIFS(INDEX('Oxford Economics'!$A$7:$AZ$1000,0,IFERROR(MATCH(Y$5,'Oxford Economics'!$A$6:$AZ$6,0),MATCH(Y$5&amp;"",'Oxford Economics'!$A$6:$AZ$6,0))),'Oxford Economics'!$A$7:$A$1000,$C105,'Oxford Economics'!$B$7:$B$1000,Settings!$B$17)+IF(Settings!$B$19="",0,SUMIFS(INDEX('Oxford Economics'!$A$7:$AZ$1000,0,IFERROR(MATCH(Y$5,'Oxford Economics'!$A$6:$AZ$6,0),MATCH(Y$5&amp;"",'Oxford Economics'!$A$6:$AZ$6,0))),'Oxford Economics'!$A$7:$A$1000,$C105,'Oxford Economics'!$B$7:$B$1000,Settings!$B$19)))),""))</f>
        <v>5540.03</v>
      </c>
      <c r="Z105" s="38" t="n">
        <f aca="false">IF($A105="","",IFERROR(1/(1/IF($B105="Residential",SUMIFS(INDEX('Oxford Economics'!$A$7:$AZ$1000,0,IFERROR(MATCH(Z$5,'Oxford Economics'!$A$6:$AZ$6,0),MATCH(Z$5&amp;"",'Oxford Economics'!$A$6:$AZ$6,0))),'Oxford Economics'!$A$7:$A$1000,$C105,'Oxford Economics'!$B$7:$B$1000,Settings!$B$13)-SUMIFS(INDEX('Oxford Economics'!$A$7:$AZ$1000,0,IFERROR(MATCH(Z$5,'Oxford Economics'!$A$6:$AZ$6,0),MATCH(Z$5&amp;"",'Oxford Economics'!$A$6:$AZ$6,0))),'Oxford Economics'!$A$7:$A$1000,$C105,'Oxford Economics'!$B$7:$B$1000,Settings!$B$15),SUMIFS(INDEX('Oxford Economics'!$A$7:$AZ$1000,0,IFERROR(MATCH(Z$5,'Oxford Economics'!$A$6:$AZ$6,0),MATCH(Z$5&amp;"",'Oxford Economics'!$A$6:$AZ$6,0))),'Oxford Economics'!$A$7:$A$1000,$C105,'Oxford Economics'!$B$7:$B$1000,Settings!$B$15)+SUMIFS(INDEX('Oxford Economics'!$A$7:$AZ$1000,0,IFERROR(MATCH(Z$5,'Oxford Economics'!$A$6:$AZ$6,0),MATCH(Z$5&amp;"",'Oxford Economics'!$A$6:$AZ$6,0))),'Oxford Economics'!$A$7:$A$1000,$C105,'Oxford Economics'!$B$7:$B$1000,Settings!$B$17)+IF(Settings!$B$19="",0,SUMIFS(INDEX('Oxford Economics'!$A$7:$AZ$1000,0,IFERROR(MATCH(Z$5,'Oxford Economics'!$A$6:$AZ$6,0),MATCH(Z$5&amp;"",'Oxford Economics'!$A$6:$AZ$6,0))),'Oxford Economics'!$A$7:$A$1000,$C105,'Oxford Economics'!$B$7:$B$1000,Settings!$B$19)))),""))</f>
        <v>5644.9</v>
      </c>
      <c r="AA105" s="38" t="n">
        <f aca="false">IF($A105="","",IFERROR(1/(1/IF($B105="Residential",SUMIFS(INDEX('Oxford Economics'!$A$7:$AZ$1000,0,IFERROR(MATCH(AA$5,'Oxford Economics'!$A$6:$AZ$6,0),MATCH(AA$5&amp;"",'Oxford Economics'!$A$6:$AZ$6,0))),'Oxford Economics'!$A$7:$A$1000,$C105,'Oxford Economics'!$B$7:$B$1000,Settings!$B$13)-SUMIFS(INDEX('Oxford Economics'!$A$7:$AZ$1000,0,IFERROR(MATCH(AA$5,'Oxford Economics'!$A$6:$AZ$6,0),MATCH(AA$5&amp;"",'Oxford Economics'!$A$6:$AZ$6,0))),'Oxford Economics'!$A$7:$A$1000,$C105,'Oxford Economics'!$B$7:$B$1000,Settings!$B$15),SUMIFS(INDEX('Oxford Economics'!$A$7:$AZ$1000,0,IFERROR(MATCH(AA$5,'Oxford Economics'!$A$6:$AZ$6,0),MATCH(AA$5&amp;"",'Oxford Economics'!$A$6:$AZ$6,0))),'Oxford Economics'!$A$7:$A$1000,$C105,'Oxford Economics'!$B$7:$B$1000,Settings!$B$15)+SUMIFS(INDEX('Oxford Economics'!$A$7:$AZ$1000,0,IFERROR(MATCH(AA$5,'Oxford Economics'!$A$6:$AZ$6,0),MATCH(AA$5&amp;"",'Oxford Economics'!$A$6:$AZ$6,0))),'Oxford Economics'!$A$7:$A$1000,$C105,'Oxford Economics'!$B$7:$B$1000,Settings!$B$17)+IF(Settings!$B$19="",0,SUMIFS(INDEX('Oxford Economics'!$A$7:$AZ$1000,0,IFERROR(MATCH(AA$5,'Oxford Economics'!$A$6:$AZ$6,0),MATCH(AA$5&amp;"",'Oxford Economics'!$A$6:$AZ$6,0))),'Oxford Economics'!$A$7:$A$1000,$C105,'Oxford Economics'!$B$7:$B$1000,Settings!$B$19)))),""))</f>
        <v>5778.22</v>
      </c>
      <c r="AB105" s="38" t="n">
        <f aca="false">IF($A105="","",IFERROR(1/(1/IF($B105="Residential",SUMIFS(INDEX('Oxford Economics'!$A$7:$AZ$1000,0,IFERROR(MATCH(AB$5,'Oxford Economics'!$A$6:$AZ$6,0),MATCH(AB$5&amp;"",'Oxford Economics'!$A$6:$AZ$6,0))),'Oxford Economics'!$A$7:$A$1000,$C105,'Oxford Economics'!$B$7:$B$1000,Settings!$B$12)-SUMIFS(INDEX('Oxford Economics'!$A$7:$AZ$1000,0,IFERROR(MATCH(AB$5,'Oxford Economics'!$A$6:$AZ$6,0),MATCH(AB$5&amp;"",'Oxford Economics'!$A$6:$AZ$6,0))),'Oxford Economics'!$A$7:$A$1000,$C105,'Oxford Economics'!$B$7:$B$1000,Settings!$B$14),SUMIFS(INDEX('Oxford Economics'!$A$7:$AZ$1000,0,IFERROR(MATCH(AB$5,'Oxford Economics'!$A$6:$AZ$6,0),MATCH(AB$5&amp;"",'Oxford Economics'!$A$6:$AZ$6,0))),'Oxford Economics'!$A$7:$A$1000,$C105,'Oxford Economics'!$B$7:$B$1000,Settings!$B$14)+SUMIFS(INDEX('Oxford Economics'!$A$7:$AZ$1000,0,IFERROR(MATCH(AB$5,'Oxford Economics'!$A$6:$AZ$6,0),MATCH(AB$5&amp;"",'Oxford Economics'!$A$6:$AZ$6,0))),'Oxford Economics'!$A$7:$A$1000,$C105,'Oxford Economics'!$B$7:$B$1000,Settings!$B$16)+IF(Settings!$B$18="",0,SUMIFS(INDEX('Oxford Economics'!$A$7:$AZ$1000,0,IFERROR(MATCH(AB$5,'Oxford Economics'!$A$6:$AZ$6,0),MATCH(AB$5&amp;"",'Oxford Economics'!$A$6:$AZ$6,0))),'Oxford Economics'!$A$7:$A$1000,$C105,'Oxford Economics'!$B$7:$B$1000,Settings!$B$18)))),""))</f>
        <v>2811.88</v>
      </c>
      <c r="AC105" s="38" t="n">
        <f aca="false">IF($A105="","",IFERROR(1/(1/IF($B105="Residential",SUMIFS(INDEX('Oxford Economics'!$A$7:$AZ$1000,0,IFERROR(MATCH(AC$5,'Oxford Economics'!$A$6:$AZ$6,0),MATCH(AC$5&amp;"",'Oxford Economics'!$A$6:$AZ$6,0))),'Oxford Economics'!$A$7:$A$1000,$C105,'Oxford Economics'!$B$7:$B$1000,Settings!$B$12)-SUMIFS(INDEX('Oxford Economics'!$A$7:$AZ$1000,0,IFERROR(MATCH(AC$5,'Oxford Economics'!$A$6:$AZ$6,0),MATCH(AC$5&amp;"",'Oxford Economics'!$A$6:$AZ$6,0))),'Oxford Economics'!$A$7:$A$1000,$C105,'Oxford Economics'!$B$7:$B$1000,Settings!$B$14),SUMIFS(INDEX('Oxford Economics'!$A$7:$AZ$1000,0,IFERROR(MATCH(AC$5,'Oxford Economics'!$A$6:$AZ$6,0),MATCH(AC$5&amp;"",'Oxford Economics'!$A$6:$AZ$6,0))),'Oxford Economics'!$A$7:$A$1000,$C105,'Oxford Economics'!$B$7:$B$1000,Settings!$B$14)+SUMIFS(INDEX('Oxford Economics'!$A$7:$AZ$1000,0,IFERROR(MATCH(AC$5,'Oxford Economics'!$A$6:$AZ$6,0),MATCH(AC$5&amp;"",'Oxford Economics'!$A$6:$AZ$6,0))),'Oxford Economics'!$A$7:$A$1000,$C105,'Oxford Economics'!$B$7:$B$1000,Settings!$B$16)+IF(Settings!$B$18="",0,SUMIFS(INDEX('Oxford Economics'!$A$7:$AZ$1000,0,IFERROR(MATCH(AC$5,'Oxford Economics'!$A$6:$AZ$6,0),MATCH(AC$5&amp;"",'Oxford Economics'!$A$6:$AZ$6,0))),'Oxford Economics'!$A$7:$A$1000,$C105,'Oxford Economics'!$B$7:$B$1000,Settings!$B$18)))),""))</f>
        <v>3206.34</v>
      </c>
      <c r="AD105" s="38" t="n">
        <f aca="false">IF($A105="","",IFERROR(1/(1/IF($B105="Residential",SUMIFS(INDEX('Oxford Economics'!$A$7:$AZ$1000,0,IFERROR(MATCH(AD$5,'Oxford Economics'!$A$6:$AZ$6,0),MATCH(AD$5&amp;"",'Oxford Economics'!$A$6:$AZ$6,0))),'Oxford Economics'!$A$7:$A$1000,$C105,'Oxford Economics'!$B$7:$B$1000,Settings!$B$12)-SUMIFS(INDEX('Oxford Economics'!$A$7:$AZ$1000,0,IFERROR(MATCH(AD$5,'Oxford Economics'!$A$6:$AZ$6,0),MATCH(AD$5&amp;"",'Oxford Economics'!$A$6:$AZ$6,0))),'Oxford Economics'!$A$7:$A$1000,$C105,'Oxford Economics'!$B$7:$B$1000,Settings!$B$14),SUMIFS(INDEX('Oxford Economics'!$A$7:$AZ$1000,0,IFERROR(MATCH(AD$5,'Oxford Economics'!$A$6:$AZ$6,0),MATCH(AD$5&amp;"",'Oxford Economics'!$A$6:$AZ$6,0))),'Oxford Economics'!$A$7:$A$1000,$C105,'Oxford Economics'!$B$7:$B$1000,Settings!$B$14)+SUMIFS(INDEX('Oxford Economics'!$A$7:$AZ$1000,0,IFERROR(MATCH(AD$5,'Oxford Economics'!$A$6:$AZ$6,0),MATCH(AD$5&amp;"",'Oxford Economics'!$A$6:$AZ$6,0))),'Oxford Economics'!$A$7:$A$1000,$C105,'Oxford Economics'!$B$7:$B$1000,Settings!$B$16)+IF(Settings!$B$18="",0,SUMIFS(INDEX('Oxford Economics'!$A$7:$AZ$1000,0,IFERROR(MATCH(AD$5,'Oxford Economics'!$A$6:$AZ$6,0),MATCH(AD$5&amp;"",'Oxford Economics'!$A$6:$AZ$6,0))),'Oxford Economics'!$A$7:$A$1000,$C105,'Oxford Economics'!$B$7:$B$1000,Settings!$B$18)))),""))</f>
        <v>3692.47</v>
      </c>
      <c r="AE105" s="38" t="n">
        <f aca="false">IF($A105="","",IFERROR(1/(1/IF($B105="Residential",SUMIFS(INDEX('Oxford Economics'!$A$7:$AZ$1000,0,IFERROR(MATCH(AE$5,'Oxford Economics'!$A$6:$AZ$6,0),MATCH(AE$5&amp;"",'Oxford Economics'!$A$6:$AZ$6,0))),'Oxford Economics'!$A$7:$A$1000,$C105,'Oxford Economics'!$B$7:$B$1000,Settings!$B$12)-SUMIFS(INDEX('Oxford Economics'!$A$7:$AZ$1000,0,IFERROR(MATCH(AE$5,'Oxford Economics'!$A$6:$AZ$6,0),MATCH(AE$5&amp;"",'Oxford Economics'!$A$6:$AZ$6,0))),'Oxford Economics'!$A$7:$A$1000,$C105,'Oxford Economics'!$B$7:$B$1000,Settings!$B$14),SUMIFS(INDEX('Oxford Economics'!$A$7:$AZ$1000,0,IFERROR(MATCH(AE$5,'Oxford Economics'!$A$6:$AZ$6,0),MATCH(AE$5&amp;"",'Oxford Economics'!$A$6:$AZ$6,0))),'Oxford Economics'!$A$7:$A$1000,$C105,'Oxford Economics'!$B$7:$B$1000,Settings!$B$14)+SUMIFS(INDEX('Oxford Economics'!$A$7:$AZ$1000,0,IFERROR(MATCH(AE$5,'Oxford Economics'!$A$6:$AZ$6,0),MATCH(AE$5&amp;"",'Oxford Economics'!$A$6:$AZ$6,0))),'Oxford Economics'!$A$7:$A$1000,$C105,'Oxford Economics'!$B$7:$B$1000,Settings!$B$16)+IF(Settings!$B$18="",0,SUMIFS(INDEX('Oxford Economics'!$A$7:$AZ$1000,0,IFERROR(MATCH(AE$5,'Oxford Economics'!$A$6:$AZ$6,0),MATCH(AE$5&amp;"",'Oxford Economics'!$A$6:$AZ$6,0))),'Oxford Economics'!$A$7:$A$1000,$C105,'Oxford Economics'!$B$7:$B$1000,Settings!$B$18)))),""))</f>
        <v>3680.19</v>
      </c>
      <c r="AF105" s="38" t="n">
        <f aca="false">IF($A105="","",IFERROR(1/(1/IF($B105="Residential",SUMIFS(INDEX('Oxford Economics'!$A$7:$AZ$1000,0,IFERROR(MATCH(AF$5,'Oxford Economics'!$A$6:$AZ$6,0),MATCH(AF$5&amp;"",'Oxford Economics'!$A$6:$AZ$6,0))),'Oxford Economics'!$A$7:$A$1000,$C105,'Oxford Economics'!$B$7:$B$1000,Settings!$B$12)-SUMIFS(INDEX('Oxford Economics'!$A$7:$AZ$1000,0,IFERROR(MATCH(AF$5,'Oxford Economics'!$A$6:$AZ$6,0),MATCH(AF$5&amp;"",'Oxford Economics'!$A$6:$AZ$6,0))),'Oxford Economics'!$A$7:$A$1000,$C105,'Oxford Economics'!$B$7:$B$1000,Settings!$B$14),SUMIFS(INDEX('Oxford Economics'!$A$7:$AZ$1000,0,IFERROR(MATCH(AF$5,'Oxford Economics'!$A$6:$AZ$6,0),MATCH(AF$5&amp;"",'Oxford Economics'!$A$6:$AZ$6,0))),'Oxford Economics'!$A$7:$A$1000,$C105,'Oxford Economics'!$B$7:$B$1000,Settings!$B$14)+SUMIFS(INDEX('Oxford Economics'!$A$7:$AZ$1000,0,IFERROR(MATCH(AF$5,'Oxford Economics'!$A$6:$AZ$6,0),MATCH(AF$5&amp;"",'Oxford Economics'!$A$6:$AZ$6,0))),'Oxford Economics'!$A$7:$A$1000,$C105,'Oxford Economics'!$B$7:$B$1000,Settings!$B$16)+IF(Settings!$B$18="",0,SUMIFS(INDEX('Oxford Economics'!$A$7:$AZ$1000,0,IFERROR(MATCH(AF$5,'Oxford Economics'!$A$6:$AZ$6,0),MATCH(AF$5&amp;"",'Oxford Economics'!$A$6:$AZ$6,0))),'Oxford Economics'!$A$7:$A$1000,$C105,'Oxford Economics'!$B$7:$B$1000,Settings!$B$18)))),""))</f>
        <v>3760.6</v>
      </c>
      <c r="AG105" s="38" t="n">
        <f aca="false">IF($A105="","",IFERROR(1/(1/IF($B105="Residential",SUMIFS(INDEX('Oxford Economics'!$A$7:$AZ$1000,0,IFERROR(MATCH(AG$5,'Oxford Economics'!$A$6:$AZ$6,0),MATCH(AG$5&amp;"",'Oxford Economics'!$A$6:$AZ$6,0))),'Oxford Economics'!$A$7:$A$1000,$C105,'Oxford Economics'!$B$7:$B$1000,Settings!$B$12)-SUMIFS(INDEX('Oxford Economics'!$A$7:$AZ$1000,0,IFERROR(MATCH(AG$5,'Oxford Economics'!$A$6:$AZ$6,0),MATCH(AG$5&amp;"",'Oxford Economics'!$A$6:$AZ$6,0))),'Oxford Economics'!$A$7:$A$1000,$C105,'Oxford Economics'!$B$7:$B$1000,Settings!$B$14),SUMIFS(INDEX('Oxford Economics'!$A$7:$AZ$1000,0,IFERROR(MATCH(AG$5,'Oxford Economics'!$A$6:$AZ$6,0),MATCH(AG$5&amp;"",'Oxford Economics'!$A$6:$AZ$6,0))),'Oxford Economics'!$A$7:$A$1000,$C105,'Oxford Economics'!$B$7:$B$1000,Settings!$B$14)+SUMIFS(INDEX('Oxford Economics'!$A$7:$AZ$1000,0,IFERROR(MATCH(AG$5,'Oxford Economics'!$A$6:$AZ$6,0),MATCH(AG$5&amp;"",'Oxford Economics'!$A$6:$AZ$6,0))),'Oxford Economics'!$A$7:$A$1000,$C105,'Oxford Economics'!$B$7:$B$1000,Settings!$B$16)+IF(Settings!$B$18="",0,SUMIFS(INDEX('Oxford Economics'!$A$7:$AZ$1000,0,IFERROR(MATCH(AG$5,'Oxford Economics'!$A$6:$AZ$6,0),MATCH(AG$5&amp;"",'Oxford Economics'!$A$6:$AZ$6,0))),'Oxford Economics'!$A$7:$A$1000,$C105,'Oxford Economics'!$B$7:$B$1000,Settings!$B$18)))),""))</f>
        <v>3876.35</v>
      </c>
      <c r="AH105" s="38" t="n">
        <f aca="false">IF($A105="","",IFERROR(1/(1/IF($B105="Residential",SUMIFS(INDEX('Oxford Economics'!$A$7:$AZ$1000,0,IFERROR(MATCH(AH$5,'Oxford Economics'!$A$6:$AZ$6,0),MATCH(AH$5&amp;"",'Oxford Economics'!$A$6:$AZ$6,0))),'Oxford Economics'!$A$7:$A$1000,$C105,'Oxford Economics'!$B$7:$B$1000,Settings!$B$12)-SUMIFS(INDEX('Oxford Economics'!$A$7:$AZ$1000,0,IFERROR(MATCH(AH$5,'Oxford Economics'!$A$6:$AZ$6,0),MATCH(AH$5&amp;"",'Oxford Economics'!$A$6:$AZ$6,0))),'Oxford Economics'!$A$7:$A$1000,$C105,'Oxford Economics'!$B$7:$B$1000,Settings!$B$14),SUMIFS(INDEX('Oxford Economics'!$A$7:$AZ$1000,0,IFERROR(MATCH(AH$5,'Oxford Economics'!$A$6:$AZ$6,0),MATCH(AH$5&amp;"",'Oxford Economics'!$A$6:$AZ$6,0))),'Oxford Economics'!$A$7:$A$1000,$C105,'Oxford Economics'!$B$7:$B$1000,Settings!$B$14)+SUMIFS(INDEX('Oxford Economics'!$A$7:$AZ$1000,0,IFERROR(MATCH(AH$5,'Oxford Economics'!$A$6:$AZ$6,0),MATCH(AH$5&amp;"",'Oxford Economics'!$A$6:$AZ$6,0))),'Oxford Economics'!$A$7:$A$1000,$C105,'Oxford Economics'!$B$7:$B$1000,Settings!$B$16)+IF(Settings!$B$18="",0,SUMIFS(INDEX('Oxford Economics'!$A$7:$AZ$1000,0,IFERROR(MATCH(AH$5,'Oxford Economics'!$A$6:$AZ$6,0),MATCH(AH$5&amp;"",'Oxford Economics'!$A$6:$AZ$6,0))),'Oxford Economics'!$A$7:$A$1000,$C105,'Oxford Economics'!$B$7:$B$1000,Settings!$B$18)))),""))</f>
        <v>4190.3</v>
      </c>
      <c r="AI105" s="38" t="n">
        <f aca="false">IF($A105="","",IFERROR(1/(1/IF($B105="Residential",SUMIFS(INDEX('Oxford Economics'!$A$7:$AZ$1000,0,IFERROR(MATCH(AI$5,'Oxford Economics'!$A$6:$AZ$6,0),MATCH(AI$5&amp;"",'Oxford Economics'!$A$6:$AZ$6,0))),'Oxford Economics'!$A$7:$A$1000,$C105,'Oxford Economics'!$B$7:$B$1000,Settings!$B$12)-SUMIFS(INDEX('Oxford Economics'!$A$7:$AZ$1000,0,IFERROR(MATCH(AI$5,'Oxford Economics'!$A$6:$AZ$6,0),MATCH(AI$5&amp;"",'Oxford Economics'!$A$6:$AZ$6,0))),'Oxford Economics'!$A$7:$A$1000,$C105,'Oxford Economics'!$B$7:$B$1000,Settings!$B$14),SUMIFS(INDEX('Oxford Economics'!$A$7:$AZ$1000,0,IFERROR(MATCH(AI$5,'Oxford Economics'!$A$6:$AZ$6,0),MATCH(AI$5&amp;"",'Oxford Economics'!$A$6:$AZ$6,0))),'Oxford Economics'!$A$7:$A$1000,$C105,'Oxford Economics'!$B$7:$B$1000,Settings!$B$14)+SUMIFS(INDEX('Oxford Economics'!$A$7:$AZ$1000,0,IFERROR(MATCH(AI$5,'Oxford Economics'!$A$6:$AZ$6,0),MATCH(AI$5&amp;"",'Oxford Economics'!$A$6:$AZ$6,0))),'Oxford Economics'!$A$7:$A$1000,$C105,'Oxford Economics'!$B$7:$B$1000,Settings!$B$16)+IF(Settings!$B$18="",0,SUMIFS(INDEX('Oxford Economics'!$A$7:$AZ$1000,0,IFERROR(MATCH(AI$5,'Oxford Economics'!$A$6:$AZ$6,0),MATCH(AI$5&amp;"",'Oxford Economics'!$A$6:$AZ$6,0))),'Oxford Economics'!$A$7:$A$1000,$C105,'Oxford Economics'!$B$7:$B$1000,Settings!$B$18)))),""))</f>
        <v>4302.04</v>
      </c>
      <c r="AJ105" s="38" t="n">
        <f aca="false">IF($A105="","",IFERROR(1/(1/IF($B105="Residential",SUMIFS(INDEX('Oxford Economics'!$A$7:$AZ$1000,0,IFERROR(MATCH(AJ$5,'Oxford Economics'!$A$6:$AZ$6,0),MATCH(AJ$5&amp;"",'Oxford Economics'!$A$6:$AZ$6,0))),'Oxford Economics'!$A$7:$A$1000,$C105,'Oxford Economics'!$B$7:$B$1000,Settings!$B$12)-SUMIFS(INDEX('Oxford Economics'!$A$7:$AZ$1000,0,IFERROR(MATCH(AJ$5,'Oxford Economics'!$A$6:$AZ$6,0),MATCH(AJ$5&amp;"",'Oxford Economics'!$A$6:$AZ$6,0))),'Oxford Economics'!$A$7:$A$1000,$C105,'Oxford Economics'!$B$7:$B$1000,Settings!$B$14),SUMIFS(INDEX('Oxford Economics'!$A$7:$AZ$1000,0,IFERROR(MATCH(AJ$5,'Oxford Economics'!$A$6:$AZ$6,0),MATCH(AJ$5&amp;"",'Oxford Economics'!$A$6:$AZ$6,0))),'Oxford Economics'!$A$7:$A$1000,$C105,'Oxford Economics'!$B$7:$B$1000,Settings!$B$14)+SUMIFS(INDEX('Oxford Economics'!$A$7:$AZ$1000,0,IFERROR(MATCH(AJ$5,'Oxford Economics'!$A$6:$AZ$6,0),MATCH(AJ$5&amp;"",'Oxford Economics'!$A$6:$AZ$6,0))),'Oxford Economics'!$A$7:$A$1000,$C105,'Oxford Economics'!$B$7:$B$1000,Settings!$B$16)+IF(Settings!$B$18="",0,SUMIFS(INDEX('Oxford Economics'!$A$7:$AZ$1000,0,IFERROR(MATCH(AJ$5,'Oxford Economics'!$A$6:$AZ$6,0),MATCH(AJ$5&amp;"",'Oxford Economics'!$A$6:$AZ$6,0))),'Oxford Economics'!$A$7:$A$1000,$C105,'Oxford Economics'!$B$7:$B$1000,Settings!$B$18)))),""))</f>
        <v>4383.88</v>
      </c>
      <c r="AK105" s="38" t="n">
        <f aca="false">IF($A105="","",IFERROR(1/(1/IF($B105="Residential",SUMIFS(INDEX('Oxford Economics'!$A$7:$AZ$1000,0,IFERROR(MATCH(AK$5,'Oxford Economics'!$A$6:$AZ$6,0),MATCH(AK$5&amp;"",'Oxford Economics'!$A$6:$AZ$6,0))),'Oxford Economics'!$A$7:$A$1000,$C105,'Oxford Economics'!$B$7:$B$1000,Settings!$B$12)-SUMIFS(INDEX('Oxford Economics'!$A$7:$AZ$1000,0,IFERROR(MATCH(AK$5,'Oxford Economics'!$A$6:$AZ$6,0),MATCH(AK$5&amp;"",'Oxford Economics'!$A$6:$AZ$6,0))),'Oxford Economics'!$A$7:$A$1000,$C105,'Oxford Economics'!$B$7:$B$1000,Settings!$B$14),SUMIFS(INDEX('Oxford Economics'!$A$7:$AZ$1000,0,IFERROR(MATCH(AK$5,'Oxford Economics'!$A$6:$AZ$6,0),MATCH(AK$5&amp;"",'Oxford Economics'!$A$6:$AZ$6,0))),'Oxford Economics'!$A$7:$A$1000,$C105,'Oxford Economics'!$B$7:$B$1000,Settings!$B$14)+SUMIFS(INDEX('Oxford Economics'!$A$7:$AZ$1000,0,IFERROR(MATCH(AK$5,'Oxford Economics'!$A$6:$AZ$6,0),MATCH(AK$5&amp;"",'Oxford Economics'!$A$6:$AZ$6,0))),'Oxford Economics'!$A$7:$A$1000,$C105,'Oxford Economics'!$B$7:$B$1000,Settings!$B$16)+IF(Settings!$B$18="",0,SUMIFS(INDEX('Oxford Economics'!$A$7:$AZ$1000,0,IFERROR(MATCH(AK$5,'Oxford Economics'!$A$6:$AZ$6,0),MATCH(AK$5&amp;"",'Oxford Economics'!$A$6:$AZ$6,0))),'Oxford Economics'!$A$7:$A$1000,$C105,'Oxford Economics'!$B$7:$B$1000,Settings!$B$18)))),""))</f>
        <v>4474.59</v>
      </c>
      <c r="AL105" s="38" t="n">
        <f aca="false">IF($A105="","",IFERROR(1/(1/IF($B105="Residential",SUMIFS(INDEX('Oxford Economics'!$A$7:$AZ$1000,0,IFERROR(MATCH(AL$5,'Oxford Economics'!$A$6:$AZ$6,0),MATCH(AL$5&amp;"",'Oxford Economics'!$A$6:$AZ$6,0))),'Oxford Economics'!$A$7:$A$1000,$C105,'Oxford Economics'!$B$7:$B$1000,Settings!$B$12)-SUMIFS(INDEX('Oxford Economics'!$A$7:$AZ$1000,0,IFERROR(MATCH(AL$5,'Oxford Economics'!$A$6:$AZ$6,0),MATCH(AL$5&amp;"",'Oxford Economics'!$A$6:$AZ$6,0))),'Oxford Economics'!$A$7:$A$1000,$C105,'Oxford Economics'!$B$7:$B$1000,Settings!$B$14),SUMIFS(INDEX('Oxford Economics'!$A$7:$AZ$1000,0,IFERROR(MATCH(AL$5,'Oxford Economics'!$A$6:$AZ$6,0),MATCH(AL$5&amp;"",'Oxford Economics'!$A$6:$AZ$6,0))),'Oxford Economics'!$A$7:$A$1000,$C105,'Oxford Economics'!$B$7:$B$1000,Settings!$B$14)+SUMIFS(INDEX('Oxford Economics'!$A$7:$AZ$1000,0,IFERROR(MATCH(AL$5,'Oxford Economics'!$A$6:$AZ$6,0),MATCH(AL$5&amp;"",'Oxford Economics'!$A$6:$AZ$6,0))),'Oxford Economics'!$A$7:$A$1000,$C105,'Oxford Economics'!$B$7:$B$1000,Settings!$B$16)+IF(Settings!$B$18="",0,SUMIFS(INDEX('Oxford Economics'!$A$7:$AZ$1000,0,IFERROR(MATCH(AL$5,'Oxford Economics'!$A$6:$AZ$6,0),MATCH(AL$5&amp;"",'Oxford Economics'!$A$6:$AZ$6,0))),'Oxford Economics'!$A$7:$A$1000,$C105,'Oxford Economics'!$B$7:$B$1000,Settings!$B$18)))),""))</f>
        <v>4603.53</v>
      </c>
      <c r="AM105" s="38" t="n">
        <f aca="false">IF($A105="","",IFERROR(1/(1/IF($B105="Residential",SUMIFS(INDEX('Oxford Economics'!$A$7:$AZ$1000,0,IFERROR(MATCH(AM$5,'Oxford Economics'!$A$6:$AZ$6,0),MATCH(AM$5&amp;"",'Oxford Economics'!$A$6:$AZ$6,0))),'Oxford Economics'!$A$7:$A$1000,$C105,'Oxford Economics'!$B$7:$B$1000,Settings!$B$12)-SUMIFS(INDEX('Oxford Economics'!$A$7:$AZ$1000,0,IFERROR(MATCH(AM$5,'Oxford Economics'!$A$6:$AZ$6,0),MATCH(AM$5&amp;"",'Oxford Economics'!$A$6:$AZ$6,0))),'Oxford Economics'!$A$7:$A$1000,$C105,'Oxford Economics'!$B$7:$B$1000,Settings!$B$14),SUMIFS(INDEX('Oxford Economics'!$A$7:$AZ$1000,0,IFERROR(MATCH(AM$5,'Oxford Economics'!$A$6:$AZ$6,0),MATCH(AM$5&amp;"",'Oxford Economics'!$A$6:$AZ$6,0))),'Oxford Economics'!$A$7:$A$1000,$C105,'Oxford Economics'!$B$7:$B$1000,Settings!$B$14)+SUMIFS(INDEX('Oxford Economics'!$A$7:$AZ$1000,0,IFERROR(MATCH(AM$5,'Oxford Economics'!$A$6:$AZ$6,0),MATCH(AM$5&amp;"",'Oxford Economics'!$A$6:$AZ$6,0))),'Oxford Economics'!$A$7:$A$1000,$C105,'Oxford Economics'!$B$7:$B$1000,Settings!$B$16)+IF(Settings!$B$18="",0,SUMIFS(INDEX('Oxford Economics'!$A$7:$AZ$1000,0,IFERROR(MATCH(AM$5,'Oxford Economics'!$A$6:$AZ$6,0),MATCH(AM$5&amp;"",'Oxford Economics'!$A$6:$AZ$6,0))),'Oxford Economics'!$A$7:$A$1000,$C105,'Oxford Economics'!$B$7:$B$1000,Settings!$B$18)))),""))</f>
        <v>4698.88</v>
      </c>
    </row>
    <row r="106" customFormat="false" ht="15" hidden="false" customHeight="false" outlineLevel="0" collapsed="false">
      <c r="A106" s="37" t="str">
        <f aca="false">IF('Raw data'!$A106="","",'Raw data'!$A106)</f>
        <v>Portugal</v>
      </c>
      <c r="B106" s="37" t="str">
        <f aca="false">IF($A106="","",'Raw data'!$C106)</f>
        <v>Commercial</v>
      </c>
      <c r="C106" s="37" t="str">
        <f aca="false">IF($A106="","",IF('Raw data'!$E106="",$A106,'Raw data'!$E106))</f>
        <v>Portugal</v>
      </c>
      <c r="D106" s="38" t="n">
        <f aca="false">IF($A106="","",IF(AND(ISNUMBER(P106),ISNUMBER(AB106)),P106+AB106,""))</f>
        <v>7017.82</v>
      </c>
      <c r="E106" s="38" t="n">
        <f aca="false">IF($A106="","",IF(AND(ISNUMBER(Q106),ISNUMBER(AC106)),Q106+AC106,""))</f>
        <v>7418.12</v>
      </c>
      <c r="F106" s="38" t="n">
        <f aca="false">IF($A106="","",IF(AND(ISNUMBER(R106),ISNUMBER(AD106)),R106+AD106,""))</f>
        <v>7578.38</v>
      </c>
      <c r="G106" s="38" t="n">
        <f aca="false">IF($A106="","",IF(AND(ISNUMBER(S106),ISNUMBER(AE106)),S106+AE106,""))</f>
        <v>7713.88</v>
      </c>
      <c r="H106" s="38" t="n">
        <f aca="false">IF($A106="","",IF(AND(ISNUMBER(T106),ISNUMBER(AF106)),T106+AF106,""))</f>
        <v>7919</v>
      </c>
      <c r="I106" s="38" t="n">
        <f aca="false">IF($A106="","",IF(AND(ISNUMBER(U106),ISNUMBER(AG106)),U106+AG106,""))</f>
        <v>8433.78</v>
      </c>
      <c r="J106" s="38" t="n">
        <f aca="false">IF($A106="","",IF(AND(ISNUMBER(V106),ISNUMBER(AH106)),V106+AH106,""))</f>
        <v>9146.9</v>
      </c>
      <c r="K106" s="38" t="n">
        <f aca="false">IF($A106="","",IF(AND(ISNUMBER(W106),ISNUMBER(AI106)),W106+AI106,""))</f>
        <v>9585.74</v>
      </c>
      <c r="L106" s="38" t="n">
        <f aca="false">IF($A106="","",IF(AND(ISNUMBER(X106),ISNUMBER(AJ106)),X106+AJ106,""))</f>
        <v>9824.28</v>
      </c>
      <c r="M106" s="38" t="n">
        <f aca="false">IF($A106="","",IF(AND(ISNUMBER(Y106),ISNUMBER(AK106)),Y106+AK106,""))</f>
        <v>10014.62</v>
      </c>
      <c r="N106" s="38" t="n">
        <f aca="false">IF($A106="","",IF(AND(ISNUMBER(Z106),ISNUMBER(AL106)),Z106+AL106,""))</f>
        <v>10248.43</v>
      </c>
      <c r="O106" s="38" t="n">
        <f aca="false">IF($A106="","",IF(AND(ISNUMBER(AA106),ISNUMBER(AM106)),AA106+AM106,""))</f>
        <v>10477.1</v>
      </c>
      <c r="P106" s="38" t="n">
        <f aca="false">IF($A106="","",IFERROR(1/(1/IF($B106="Residential",SUMIFS(INDEX('Oxford Economics'!$A$7:$AZ$1000,0,IFERROR(MATCH(P$5,'Oxford Economics'!$A$6:$AZ$6,0),MATCH(P$5&amp;"",'Oxford Economics'!$A$6:$AZ$6,0))),'Oxford Economics'!$A$7:$A$1000,$C106,'Oxford Economics'!$B$7:$B$1000,Settings!$B$13)-SUMIFS(INDEX('Oxford Economics'!$A$7:$AZ$1000,0,IFERROR(MATCH(P$5,'Oxford Economics'!$A$6:$AZ$6,0),MATCH(P$5&amp;"",'Oxford Economics'!$A$6:$AZ$6,0))),'Oxford Economics'!$A$7:$A$1000,$C106,'Oxford Economics'!$B$7:$B$1000,Settings!$B$15),SUMIFS(INDEX('Oxford Economics'!$A$7:$AZ$1000,0,IFERROR(MATCH(P$5,'Oxford Economics'!$A$6:$AZ$6,0),MATCH(P$5&amp;"",'Oxford Economics'!$A$6:$AZ$6,0))),'Oxford Economics'!$A$7:$A$1000,$C106,'Oxford Economics'!$B$7:$B$1000,Settings!$B$15)+SUMIFS(INDEX('Oxford Economics'!$A$7:$AZ$1000,0,IFERROR(MATCH(P$5,'Oxford Economics'!$A$6:$AZ$6,0),MATCH(P$5&amp;"",'Oxford Economics'!$A$6:$AZ$6,0))),'Oxford Economics'!$A$7:$A$1000,$C106,'Oxford Economics'!$B$7:$B$1000,Settings!$B$17)+IF(Settings!$B$19="",0,SUMIFS(INDEX('Oxford Economics'!$A$7:$AZ$1000,0,IFERROR(MATCH(P$5,'Oxford Economics'!$A$6:$AZ$6,0),MATCH(P$5&amp;"",'Oxford Economics'!$A$6:$AZ$6,0))),'Oxford Economics'!$A$7:$A$1000,$C106,'Oxford Economics'!$B$7:$B$1000,Settings!$B$19)))),""))</f>
        <v>4205.94</v>
      </c>
      <c r="Q106" s="38" t="n">
        <f aca="false">IF($A106="","",IFERROR(1/(1/IF($B106="Residential",SUMIFS(INDEX('Oxford Economics'!$A$7:$AZ$1000,0,IFERROR(MATCH(Q$5,'Oxford Economics'!$A$6:$AZ$6,0),MATCH(Q$5&amp;"",'Oxford Economics'!$A$6:$AZ$6,0))),'Oxford Economics'!$A$7:$A$1000,$C106,'Oxford Economics'!$B$7:$B$1000,Settings!$B$13)-SUMIFS(INDEX('Oxford Economics'!$A$7:$AZ$1000,0,IFERROR(MATCH(Q$5,'Oxford Economics'!$A$6:$AZ$6,0),MATCH(Q$5&amp;"",'Oxford Economics'!$A$6:$AZ$6,0))),'Oxford Economics'!$A$7:$A$1000,$C106,'Oxford Economics'!$B$7:$B$1000,Settings!$B$15),SUMIFS(INDEX('Oxford Economics'!$A$7:$AZ$1000,0,IFERROR(MATCH(Q$5,'Oxford Economics'!$A$6:$AZ$6,0),MATCH(Q$5&amp;"",'Oxford Economics'!$A$6:$AZ$6,0))),'Oxford Economics'!$A$7:$A$1000,$C106,'Oxford Economics'!$B$7:$B$1000,Settings!$B$15)+SUMIFS(INDEX('Oxford Economics'!$A$7:$AZ$1000,0,IFERROR(MATCH(Q$5,'Oxford Economics'!$A$6:$AZ$6,0),MATCH(Q$5&amp;"",'Oxford Economics'!$A$6:$AZ$6,0))),'Oxford Economics'!$A$7:$A$1000,$C106,'Oxford Economics'!$B$7:$B$1000,Settings!$B$17)+IF(Settings!$B$19="",0,SUMIFS(INDEX('Oxford Economics'!$A$7:$AZ$1000,0,IFERROR(MATCH(Q$5,'Oxford Economics'!$A$6:$AZ$6,0),MATCH(Q$5&amp;"",'Oxford Economics'!$A$6:$AZ$6,0))),'Oxford Economics'!$A$7:$A$1000,$C106,'Oxford Economics'!$B$7:$B$1000,Settings!$B$19)))),""))</f>
        <v>4211.78</v>
      </c>
      <c r="R106" s="38" t="n">
        <f aca="false">IF($A106="","",IFERROR(1/(1/IF($B106="Residential",SUMIFS(INDEX('Oxford Economics'!$A$7:$AZ$1000,0,IFERROR(MATCH(R$5,'Oxford Economics'!$A$6:$AZ$6,0),MATCH(R$5&amp;"",'Oxford Economics'!$A$6:$AZ$6,0))),'Oxford Economics'!$A$7:$A$1000,$C106,'Oxford Economics'!$B$7:$B$1000,Settings!$B$13)-SUMIFS(INDEX('Oxford Economics'!$A$7:$AZ$1000,0,IFERROR(MATCH(R$5,'Oxford Economics'!$A$6:$AZ$6,0),MATCH(R$5&amp;"",'Oxford Economics'!$A$6:$AZ$6,0))),'Oxford Economics'!$A$7:$A$1000,$C106,'Oxford Economics'!$B$7:$B$1000,Settings!$B$15),SUMIFS(INDEX('Oxford Economics'!$A$7:$AZ$1000,0,IFERROR(MATCH(R$5,'Oxford Economics'!$A$6:$AZ$6,0),MATCH(R$5&amp;"",'Oxford Economics'!$A$6:$AZ$6,0))),'Oxford Economics'!$A$7:$A$1000,$C106,'Oxford Economics'!$B$7:$B$1000,Settings!$B$15)+SUMIFS(INDEX('Oxford Economics'!$A$7:$AZ$1000,0,IFERROR(MATCH(R$5,'Oxford Economics'!$A$6:$AZ$6,0),MATCH(R$5&amp;"",'Oxford Economics'!$A$6:$AZ$6,0))),'Oxford Economics'!$A$7:$A$1000,$C106,'Oxford Economics'!$B$7:$B$1000,Settings!$B$17)+IF(Settings!$B$19="",0,SUMIFS(INDEX('Oxford Economics'!$A$7:$AZ$1000,0,IFERROR(MATCH(R$5,'Oxford Economics'!$A$6:$AZ$6,0),MATCH(R$5&amp;"",'Oxford Economics'!$A$6:$AZ$6,0))),'Oxford Economics'!$A$7:$A$1000,$C106,'Oxford Economics'!$B$7:$B$1000,Settings!$B$19)))),""))</f>
        <v>3885.91</v>
      </c>
      <c r="S106" s="38" t="n">
        <f aca="false">IF($A106="","",IFERROR(1/(1/IF($B106="Residential",SUMIFS(INDEX('Oxford Economics'!$A$7:$AZ$1000,0,IFERROR(MATCH(S$5,'Oxford Economics'!$A$6:$AZ$6,0),MATCH(S$5&amp;"",'Oxford Economics'!$A$6:$AZ$6,0))),'Oxford Economics'!$A$7:$A$1000,$C106,'Oxford Economics'!$B$7:$B$1000,Settings!$B$13)-SUMIFS(INDEX('Oxford Economics'!$A$7:$AZ$1000,0,IFERROR(MATCH(S$5,'Oxford Economics'!$A$6:$AZ$6,0),MATCH(S$5&amp;"",'Oxford Economics'!$A$6:$AZ$6,0))),'Oxford Economics'!$A$7:$A$1000,$C106,'Oxford Economics'!$B$7:$B$1000,Settings!$B$15),SUMIFS(INDEX('Oxford Economics'!$A$7:$AZ$1000,0,IFERROR(MATCH(S$5,'Oxford Economics'!$A$6:$AZ$6,0),MATCH(S$5&amp;"",'Oxford Economics'!$A$6:$AZ$6,0))),'Oxford Economics'!$A$7:$A$1000,$C106,'Oxford Economics'!$B$7:$B$1000,Settings!$B$15)+SUMIFS(INDEX('Oxford Economics'!$A$7:$AZ$1000,0,IFERROR(MATCH(S$5,'Oxford Economics'!$A$6:$AZ$6,0),MATCH(S$5&amp;"",'Oxford Economics'!$A$6:$AZ$6,0))),'Oxford Economics'!$A$7:$A$1000,$C106,'Oxford Economics'!$B$7:$B$1000,Settings!$B$17)+IF(Settings!$B$19="",0,SUMIFS(INDEX('Oxford Economics'!$A$7:$AZ$1000,0,IFERROR(MATCH(S$5,'Oxford Economics'!$A$6:$AZ$6,0),MATCH(S$5&amp;"",'Oxford Economics'!$A$6:$AZ$6,0))),'Oxford Economics'!$A$7:$A$1000,$C106,'Oxford Economics'!$B$7:$B$1000,Settings!$B$19)))),""))</f>
        <v>4033.69</v>
      </c>
      <c r="T106" s="38" t="n">
        <f aca="false">IF($A106="","",IFERROR(1/(1/IF($B106="Residential",SUMIFS(INDEX('Oxford Economics'!$A$7:$AZ$1000,0,IFERROR(MATCH(T$5,'Oxford Economics'!$A$6:$AZ$6,0),MATCH(T$5&amp;"",'Oxford Economics'!$A$6:$AZ$6,0))),'Oxford Economics'!$A$7:$A$1000,$C106,'Oxford Economics'!$B$7:$B$1000,Settings!$B$13)-SUMIFS(INDEX('Oxford Economics'!$A$7:$AZ$1000,0,IFERROR(MATCH(T$5,'Oxford Economics'!$A$6:$AZ$6,0),MATCH(T$5&amp;"",'Oxford Economics'!$A$6:$AZ$6,0))),'Oxford Economics'!$A$7:$A$1000,$C106,'Oxford Economics'!$B$7:$B$1000,Settings!$B$15),SUMIFS(INDEX('Oxford Economics'!$A$7:$AZ$1000,0,IFERROR(MATCH(T$5,'Oxford Economics'!$A$6:$AZ$6,0),MATCH(T$5&amp;"",'Oxford Economics'!$A$6:$AZ$6,0))),'Oxford Economics'!$A$7:$A$1000,$C106,'Oxford Economics'!$B$7:$B$1000,Settings!$B$15)+SUMIFS(INDEX('Oxford Economics'!$A$7:$AZ$1000,0,IFERROR(MATCH(T$5,'Oxford Economics'!$A$6:$AZ$6,0),MATCH(T$5&amp;"",'Oxford Economics'!$A$6:$AZ$6,0))),'Oxford Economics'!$A$7:$A$1000,$C106,'Oxford Economics'!$B$7:$B$1000,Settings!$B$17)+IF(Settings!$B$19="",0,SUMIFS(INDEX('Oxford Economics'!$A$7:$AZ$1000,0,IFERROR(MATCH(T$5,'Oxford Economics'!$A$6:$AZ$6,0),MATCH(T$5&amp;"",'Oxford Economics'!$A$6:$AZ$6,0))),'Oxford Economics'!$A$7:$A$1000,$C106,'Oxford Economics'!$B$7:$B$1000,Settings!$B$19)))),""))</f>
        <v>4158.4</v>
      </c>
      <c r="U106" s="38" t="n">
        <f aca="false">IF($A106="","",IFERROR(1/(1/IF($B106="Residential",SUMIFS(INDEX('Oxford Economics'!$A$7:$AZ$1000,0,IFERROR(MATCH(U$5,'Oxford Economics'!$A$6:$AZ$6,0),MATCH(U$5&amp;"",'Oxford Economics'!$A$6:$AZ$6,0))),'Oxford Economics'!$A$7:$A$1000,$C106,'Oxford Economics'!$B$7:$B$1000,Settings!$B$13)-SUMIFS(INDEX('Oxford Economics'!$A$7:$AZ$1000,0,IFERROR(MATCH(U$5,'Oxford Economics'!$A$6:$AZ$6,0),MATCH(U$5&amp;"",'Oxford Economics'!$A$6:$AZ$6,0))),'Oxford Economics'!$A$7:$A$1000,$C106,'Oxford Economics'!$B$7:$B$1000,Settings!$B$15),SUMIFS(INDEX('Oxford Economics'!$A$7:$AZ$1000,0,IFERROR(MATCH(U$5,'Oxford Economics'!$A$6:$AZ$6,0),MATCH(U$5&amp;"",'Oxford Economics'!$A$6:$AZ$6,0))),'Oxford Economics'!$A$7:$A$1000,$C106,'Oxford Economics'!$B$7:$B$1000,Settings!$B$15)+SUMIFS(INDEX('Oxford Economics'!$A$7:$AZ$1000,0,IFERROR(MATCH(U$5,'Oxford Economics'!$A$6:$AZ$6,0),MATCH(U$5&amp;"",'Oxford Economics'!$A$6:$AZ$6,0))),'Oxford Economics'!$A$7:$A$1000,$C106,'Oxford Economics'!$B$7:$B$1000,Settings!$B$17)+IF(Settings!$B$19="",0,SUMIFS(INDEX('Oxford Economics'!$A$7:$AZ$1000,0,IFERROR(MATCH(U$5,'Oxford Economics'!$A$6:$AZ$6,0),MATCH(U$5&amp;"",'Oxford Economics'!$A$6:$AZ$6,0))),'Oxford Economics'!$A$7:$A$1000,$C106,'Oxford Economics'!$B$7:$B$1000,Settings!$B$19)))),""))</f>
        <v>4557.43</v>
      </c>
      <c r="V106" s="38" t="n">
        <f aca="false">IF($A106="","",IFERROR(1/(1/IF($B106="Residential",SUMIFS(INDEX('Oxford Economics'!$A$7:$AZ$1000,0,IFERROR(MATCH(V$5,'Oxford Economics'!$A$6:$AZ$6,0),MATCH(V$5&amp;"",'Oxford Economics'!$A$6:$AZ$6,0))),'Oxford Economics'!$A$7:$A$1000,$C106,'Oxford Economics'!$B$7:$B$1000,Settings!$B$13)-SUMIFS(INDEX('Oxford Economics'!$A$7:$AZ$1000,0,IFERROR(MATCH(V$5,'Oxford Economics'!$A$6:$AZ$6,0),MATCH(V$5&amp;"",'Oxford Economics'!$A$6:$AZ$6,0))),'Oxford Economics'!$A$7:$A$1000,$C106,'Oxford Economics'!$B$7:$B$1000,Settings!$B$15),SUMIFS(INDEX('Oxford Economics'!$A$7:$AZ$1000,0,IFERROR(MATCH(V$5,'Oxford Economics'!$A$6:$AZ$6,0),MATCH(V$5&amp;"",'Oxford Economics'!$A$6:$AZ$6,0))),'Oxford Economics'!$A$7:$A$1000,$C106,'Oxford Economics'!$B$7:$B$1000,Settings!$B$15)+SUMIFS(INDEX('Oxford Economics'!$A$7:$AZ$1000,0,IFERROR(MATCH(V$5,'Oxford Economics'!$A$6:$AZ$6,0),MATCH(V$5&amp;"",'Oxford Economics'!$A$6:$AZ$6,0))),'Oxford Economics'!$A$7:$A$1000,$C106,'Oxford Economics'!$B$7:$B$1000,Settings!$B$17)+IF(Settings!$B$19="",0,SUMIFS(INDEX('Oxford Economics'!$A$7:$AZ$1000,0,IFERROR(MATCH(V$5,'Oxford Economics'!$A$6:$AZ$6,0),MATCH(V$5&amp;"",'Oxford Economics'!$A$6:$AZ$6,0))),'Oxford Economics'!$A$7:$A$1000,$C106,'Oxford Economics'!$B$7:$B$1000,Settings!$B$19)))),""))</f>
        <v>4956.6</v>
      </c>
      <c r="W106" s="38" t="n">
        <f aca="false">IF($A106="","",IFERROR(1/(1/IF($B106="Residential",SUMIFS(INDEX('Oxford Economics'!$A$7:$AZ$1000,0,IFERROR(MATCH(W$5,'Oxford Economics'!$A$6:$AZ$6,0),MATCH(W$5&amp;"",'Oxford Economics'!$A$6:$AZ$6,0))),'Oxford Economics'!$A$7:$A$1000,$C106,'Oxford Economics'!$B$7:$B$1000,Settings!$B$13)-SUMIFS(INDEX('Oxford Economics'!$A$7:$AZ$1000,0,IFERROR(MATCH(W$5,'Oxford Economics'!$A$6:$AZ$6,0),MATCH(W$5&amp;"",'Oxford Economics'!$A$6:$AZ$6,0))),'Oxford Economics'!$A$7:$A$1000,$C106,'Oxford Economics'!$B$7:$B$1000,Settings!$B$15),SUMIFS(INDEX('Oxford Economics'!$A$7:$AZ$1000,0,IFERROR(MATCH(W$5,'Oxford Economics'!$A$6:$AZ$6,0),MATCH(W$5&amp;"",'Oxford Economics'!$A$6:$AZ$6,0))),'Oxford Economics'!$A$7:$A$1000,$C106,'Oxford Economics'!$B$7:$B$1000,Settings!$B$15)+SUMIFS(INDEX('Oxford Economics'!$A$7:$AZ$1000,0,IFERROR(MATCH(W$5,'Oxford Economics'!$A$6:$AZ$6,0),MATCH(W$5&amp;"",'Oxford Economics'!$A$6:$AZ$6,0))),'Oxford Economics'!$A$7:$A$1000,$C106,'Oxford Economics'!$B$7:$B$1000,Settings!$B$17)+IF(Settings!$B$19="",0,SUMIFS(INDEX('Oxford Economics'!$A$7:$AZ$1000,0,IFERROR(MATCH(W$5,'Oxford Economics'!$A$6:$AZ$6,0),MATCH(W$5&amp;"",'Oxford Economics'!$A$6:$AZ$6,0))),'Oxford Economics'!$A$7:$A$1000,$C106,'Oxford Economics'!$B$7:$B$1000,Settings!$B$19)))),""))</f>
        <v>5283.7</v>
      </c>
      <c r="X106" s="38" t="n">
        <f aca="false">IF($A106="","",IFERROR(1/(1/IF($B106="Residential",SUMIFS(INDEX('Oxford Economics'!$A$7:$AZ$1000,0,IFERROR(MATCH(X$5,'Oxford Economics'!$A$6:$AZ$6,0),MATCH(X$5&amp;"",'Oxford Economics'!$A$6:$AZ$6,0))),'Oxford Economics'!$A$7:$A$1000,$C106,'Oxford Economics'!$B$7:$B$1000,Settings!$B$13)-SUMIFS(INDEX('Oxford Economics'!$A$7:$AZ$1000,0,IFERROR(MATCH(X$5,'Oxford Economics'!$A$6:$AZ$6,0),MATCH(X$5&amp;"",'Oxford Economics'!$A$6:$AZ$6,0))),'Oxford Economics'!$A$7:$A$1000,$C106,'Oxford Economics'!$B$7:$B$1000,Settings!$B$15),SUMIFS(INDEX('Oxford Economics'!$A$7:$AZ$1000,0,IFERROR(MATCH(X$5,'Oxford Economics'!$A$6:$AZ$6,0),MATCH(X$5&amp;"",'Oxford Economics'!$A$6:$AZ$6,0))),'Oxford Economics'!$A$7:$A$1000,$C106,'Oxford Economics'!$B$7:$B$1000,Settings!$B$15)+SUMIFS(INDEX('Oxford Economics'!$A$7:$AZ$1000,0,IFERROR(MATCH(X$5,'Oxford Economics'!$A$6:$AZ$6,0),MATCH(X$5&amp;"",'Oxford Economics'!$A$6:$AZ$6,0))),'Oxford Economics'!$A$7:$A$1000,$C106,'Oxford Economics'!$B$7:$B$1000,Settings!$B$17)+IF(Settings!$B$19="",0,SUMIFS(INDEX('Oxford Economics'!$A$7:$AZ$1000,0,IFERROR(MATCH(X$5,'Oxford Economics'!$A$6:$AZ$6,0),MATCH(X$5&amp;"",'Oxford Economics'!$A$6:$AZ$6,0))),'Oxford Economics'!$A$7:$A$1000,$C106,'Oxford Economics'!$B$7:$B$1000,Settings!$B$19)))),""))</f>
        <v>5440.4</v>
      </c>
      <c r="Y106" s="38" t="n">
        <f aca="false">IF($A106="","",IFERROR(1/(1/IF($B106="Residential",SUMIFS(INDEX('Oxford Economics'!$A$7:$AZ$1000,0,IFERROR(MATCH(Y$5,'Oxford Economics'!$A$6:$AZ$6,0),MATCH(Y$5&amp;"",'Oxford Economics'!$A$6:$AZ$6,0))),'Oxford Economics'!$A$7:$A$1000,$C106,'Oxford Economics'!$B$7:$B$1000,Settings!$B$13)-SUMIFS(INDEX('Oxford Economics'!$A$7:$AZ$1000,0,IFERROR(MATCH(Y$5,'Oxford Economics'!$A$6:$AZ$6,0),MATCH(Y$5&amp;"",'Oxford Economics'!$A$6:$AZ$6,0))),'Oxford Economics'!$A$7:$A$1000,$C106,'Oxford Economics'!$B$7:$B$1000,Settings!$B$15),SUMIFS(INDEX('Oxford Economics'!$A$7:$AZ$1000,0,IFERROR(MATCH(Y$5,'Oxford Economics'!$A$6:$AZ$6,0),MATCH(Y$5&amp;"",'Oxford Economics'!$A$6:$AZ$6,0))),'Oxford Economics'!$A$7:$A$1000,$C106,'Oxford Economics'!$B$7:$B$1000,Settings!$B$15)+SUMIFS(INDEX('Oxford Economics'!$A$7:$AZ$1000,0,IFERROR(MATCH(Y$5,'Oxford Economics'!$A$6:$AZ$6,0),MATCH(Y$5&amp;"",'Oxford Economics'!$A$6:$AZ$6,0))),'Oxford Economics'!$A$7:$A$1000,$C106,'Oxford Economics'!$B$7:$B$1000,Settings!$B$17)+IF(Settings!$B$19="",0,SUMIFS(INDEX('Oxford Economics'!$A$7:$AZ$1000,0,IFERROR(MATCH(Y$5,'Oxford Economics'!$A$6:$AZ$6,0),MATCH(Y$5&amp;"",'Oxford Economics'!$A$6:$AZ$6,0))),'Oxford Economics'!$A$7:$A$1000,$C106,'Oxford Economics'!$B$7:$B$1000,Settings!$B$19)))),""))</f>
        <v>5540.03</v>
      </c>
      <c r="Z106" s="38" t="n">
        <f aca="false">IF($A106="","",IFERROR(1/(1/IF($B106="Residential",SUMIFS(INDEX('Oxford Economics'!$A$7:$AZ$1000,0,IFERROR(MATCH(Z$5,'Oxford Economics'!$A$6:$AZ$6,0),MATCH(Z$5&amp;"",'Oxford Economics'!$A$6:$AZ$6,0))),'Oxford Economics'!$A$7:$A$1000,$C106,'Oxford Economics'!$B$7:$B$1000,Settings!$B$13)-SUMIFS(INDEX('Oxford Economics'!$A$7:$AZ$1000,0,IFERROR(MATCH(Z$5,'Oxford Economics'!$A$6:$AZ$6,0),MATCH(Z$5&amp;"",'Oxford Economics'!$A$6:$AZ$6,0))),'Oxford Economics'!$A$7:$A$1000,$C106,'Oxford Economics'!$B$7:$B$1000,Settings!$B$15),SUMIFS(INDEX('Oxford Economics'!$A$7:$AZ$1000,0,IFERROR(MATCH(Z$5,'Oxford Economics'!$A$6:$AZ$6,0),MATCH(Z$5&amp;"",'Oxford Economics'!$A$6:$AZ$6,0))),'Oxford Economics'!$A$7:$A$1000,$C106,'Oxford Economics'!$B$7:$B$1000,Settings!$B$15)+SUMIFS(INDEX('Oxford Economics'!$A$7:$AZ$1000,0,IFERROR(MATCH(Z$5,'Oxford Economics'!$A$6:$AZ$6,0),MATCH(Z$5&amp;"",'Oxford Economics'!$A$6:$AZ$6,0))),'Oxford Economics'!$A$7:$A$1000,$C106,'Oxford Economics'!$B$7:$B$1000,Settings!$B$17)+IF(Settings!$B$19="",0,SUMIFS(INDEX('Oxford Economics'!$A$7:$AZ$1000,0,IFERROR(MATCH(Z$5,'Oxford Economics'!$A$6:$AZ$6,0),MATCH(Z$5&amp;"",'Oxford Economics'!$A$6:$AZ$6,0))),'Oxford Economics'!$A$7:$A$1000,$C106,'Oxford Economics'!$B$7:$B$1000,Settings!$B$19)))),""))</f>
        <v>5644.9</v>
      </c>
      <c r="AA106" s="38" t="n">
        <f aca="false">IF($A106="","",IFERROR(1/(1/IF($B106="Residential",SUMIFS(INDEX('Oxford Economics'!$A$7:$AZ$1000,0,IFERROR(MATCH(AA$5,'Oxford Economics'!$A$6:$AZ$6,0),MATCH(AA$5&amp;"",'Oxford Economics'!$A$6:$AZ$6,0))),'Oxford Economics'!$A$7:$A$1000,$C106,'Oxford Economics'!$B$7:$B$1000,Settings!$B$13)-SUMIFS(INDEX('Oxford Economics'!$A$7:$AZ$1000,0,IFERROR(MATCH(AA$5,'Oxford Economics'!$A$6:$AZ$6,0),MATCH(AA$5&amp;"",'Oxford Economics'!$A$6:$AZ$6,0))),'Oxford Economics'!$A$7:$A$1000,$C106,'Oxford Economics'!$B$7:$B$1000,Settings!$B$15),SUMIFS(INDEX('Oxford Economics'!$A$7:$AZ$1000,0,IFERROR(MATCH(AA$5,'Oxford Economics'!$A$6:$AZ$6,0),MATCH(AA$5&amp;"",'Oxford Economics'!$A$6:$AZ$6,0))),'Oxford Economics'!$A$7:$A$1000,$C106,'Oxford Economics'!$B$7:$B$1000,Settings!$B$15)+SUMIFS(INDEX('Oxford Economics'!$A$7:$AZ$1000,0,IFERROR(MATCH(AA$5,'Oxford Economics'!$A$6:$AZ$6,0),MATCH(AA$5&amp;"",'Oxford Economics'!$A$6:$AZ$6,0))),'Oxford Economics'!$A$7:$A$1000,$C106,'Oxford Economics'!$B$7:$B$1000,Settings!$B$17)+IF(Settings!$B$19="",0,SUMIFS(INDEX('Oxford Economics'!$A$7:$AZ$1000,0,IFERROR(MATCH(AA$5,'Oxford Economics'!$A$6:$AZ$6,0),MATCH(AA$5&amp;"",'Oxford Economics'!$A$6:$AZ$6,0))),'Oxford Economics'!$A$7:$A$1000,$C106,'Oxford Economics'!$B$7:$B$1000,Settings!$B$19)))),""))</f>
        <v>5778.22</v>
      </c>
      <c r="AB106" s="38" t="n">
        <f aca="false">IF($A106="","",IFERROR(1/(1/IF($B106="Residential",SUMIFS(INDEX('Oxford Economics'!$A$7:$AZ$1000,0,IFERROR(MATCH(AB$5,'Oxford Economics'!$A$6:$AZ$6,0),MATCH(AB$5&amp;"",'Oxford Economics'!$A$6:$AZ$6,0))),'Oxford Economics'!$A$7:$A$1000,$C106,'Oxford Economics'!$B$7:$B$1000,Settings!$B$12)-SUMIFS(INDEX('Oxford Economics'!$A$7:$AZ$1000,0,IFERROR(MATCH(AB$5,'Oxford Economics'!$A$6:$AZ$6,0),MATCH(AB$5&amp;"",'Oxford Economics'!$A$6:$AZ$6,0))),'Oxford Economics'!$A$7:$A$1000,$C106,'Oxford Economics'!$B$7:$B$1000,Settings!$B$14),SUMIFS(INDEX('Oxford Economics'!$A$7:$AZ$1000,0,IFERROR(MATCH(AB$5,'Oxford Economics'!$A$6:$AZ$6,0),MATCH(AB$5&amp;"",'Oxford Economics'!$A$6:$AZ$6,0))),'Oxford Economics'!$A$7:$A$1000,$C106,'Oxford Economics'!$B$7:$B$1000,Settings!$B$14)+SUMIFS(INDEX('Oxford Economics'!$A$7:$AZ$1000,0,IFERROR(MATCH(AB$5,'Oxford Economics'!$A$6:$AZ$6,0),MATCH(AB$5&amp;"",'Oxford Economics'!$A$6:$AZ$6,0))),'Oxford Economics'!$A$7:$A$1000,$C106,'Oxford Economics'!$B$7:$B$1000,Settings!$B$16)+IF(Settings!$B$18="",0,SUMIFS(INDEX('Oxford Economics'!$A$7:$AZ$1000,0,IFERROR(MATCH(AB$5,'Oxford Economics'!$A$6:$AZ$6,0),MATCH(AB$5&amp;"",'Oxford Economics'!$A$6:$AZ$6,0))),'Oxford Economics'!$A$7:$A$1000,$C106,'Oxford Economics'!$B$7:$B$1000,Settings!$B$18)))),""))</f>
        <v>2811.88</v>
      </c>
      <c r="AC106" s="38" t="n">
        <f aca="false">IF($A106="","",IFERROR(1/(1/IF($B106="Residential",SUMIFS(INDEX('Oxford Economics'!$A$7:$AZ$1000,0,IFERROR(MATCH(AC$5,'Oxford Economics'!$A$6:$AZ$6,0),MATCH(AC$5&amp;"",'Oxford Economics'!$A$6:$AZ$6,0))),'Oxford Economics'!$A$7:$A$1000,$C106,'Oxford Economics'!$B$7:$B$1000,Settings!$B$12)-SUMIFS(INDEX('Oxford Economics'!$A$7:$AZ$1000,0,IFERROR(MATCH(AC$5,'Oxford Economics'!$A$6:$AZ$6,0),MATCH(AC$5&amp;"",'Oxford Economics'!$A$6:$AZ$6,0))),'Oxford Economics'!$A$7:$A$1000,$C106,'Oxford Economics'!$B$7:$B$1000,Settings!$B$14),SUMIFS(INDEX('Oxford Economics'!$A$7:$AZ$1000,0,IFERROR(MATCH(AC$5,'Oxford Economics'!$A$6:$AZ$6,0),MATCH(AC$5&amp;"",'Oxford Economics'!$A$6:$AZ$6,0))),'Oxford Economics'!$A$7:$A$1000,$C106,'Oxford Economics'!$B$7:$B$1000,Settings!$B$14)+SUMIFS(INDEX('Oxford Economics'!$A$7:$AZ$1000,0,IFERROR(MATCH(AC$5,'Oxford Economics'!$A$6:$AZ$6,0),MATCH(AC$5&amp;"",'Oxford Economics'!$A$6:$AZ$6,0))),'Oxford Economics'!$A$7:$A$1000,$C106,'Oxford Economics'!$B$7:$B$1000,Settings!$B$16)+IF(Settings!$B$18="",0,SUMIFS(INDEX('Oxford Economics'!$A$7:$AZ$1000,0,IFERROR(MATCH(AC$5,'Oxford Economics'!$A$6:$AZ$6,0),MATCH(AC$5&amp;"",'Oxford Economics'!$A$6:$AZ$6,0))),'Oxford Economics'!$A$7:$A$1000,$C106,'Oxford Economics'!$B$7:$B$1000,Settings!$B$18)))),""))</f>
        <v>3206.34</v>
      </c>
      <c r="AD106" s="38" t="n">
        <f aca="false">IF($A106="","",IFERROR(1/(1/IF($B106="Residential",SUMIFS(INDEX('Oxford Economics'!$A$7:$AZ$1000,0,IFERROR(MATCH(AD$5,'Oxford Economics'!$A$6:$AZ$6,0),MATCH(AD$5&amp;"",'Oxford Economics'!$A$6:$AZ$6,0))),'Oxford Economics'!$A$7:$A$1000,$C106,'Oxford Economics'!$B$7:$B$1000,Settings!$B$12)-SUMIFS(INDEX('Oxford Economics'!$A$7:$AZ$1000,0,IFERROR(MATCH(AD$5,'Oxford Economics'!$A$6:$AZ$6,0),MATCH(AD$5&amp;"",'Oxford Economics'!$A$6:$AZ$6,0))),'Oxford Economics'!$A$7:$A$1000,$C106,'Oxford Economics'!$B$7:$B$1000,Settings!$B$14),SUMIFS(INDEX('Oxford Economics'!$A$7:$AZ$1000,0,IFERROR(MATCH(AD$5,'Oxford Economics'!$A$6:$AZ$6,0),MATCH(AD$5&amp;"",'Oxford Economics'!$A$6:$AZ$6,0))),'Oxford Economics'!$A$7:$A$1000,$C106,'Oxford Economics'!$B$7:$B$1000,Settings!$B$14)+SUMIFS(INDEX('Oxford Economics'!$A$7:$AZ$1000,0,IFERROR(MATCH(AD$5,'Oxford Economics'!$A$6:$AZ$6,0),MATCH(AD$5&amp;"",'Oxford Economics'!$A$6:$AZ$6,0))),'Oxford Economics'!$A$7:$A$1000,$C106,'Oxford Economics'!$B$7:$B$1000,Settings!$B$16)+IF(Settings!$B$18="",0,SUMIFS(INDEX('Oxford Economics'!$A$7:$AZ$1000,0,IFERROR(MATCH(AD$5,'Oxford Economics'!$A$6:$AZ$6,0),MATCH(AD$5&amp;"",'Oxford Economics'!$A$6:$AZ$6,0))),'Oxford Economics'!$A$7:$A$1000,$C106,'Oxford Economics'!$B$7:$B$1000,Settings!$B$18)))),""))</f>
        <v>3692.47</v>
      </c>
      <c r="AE106" s="38" t="n">
        <f aca="false">IF($A106="","",IFERROR(1/(1/IF($B106="Residential",SUMIFS(INDEX('Oxford Economics'!$A$7:$AZ$1000,0,IFERROR(MATCH(AE$5,'Oxford Economics'!$A$6:$AZ$6,0),MATCH(AE$5&amp;"",'Oxford Economics'!$A$6:$AZ$6,0))),'Oxford Economics'!$A$7:$A$1000,$C106,'Oxford Economics'!$B$7:$B$1000,Settings!$B$12)-SUMIFS(INDEX('Oxford Economics'!$A$7:$AZ$1000,0,IFERROR(MATCH(AE$5,'Oxford Economics'!$A$6:$AZ$6,0),MATCH(AE$5&amp;"",'Oxford Economics'!$A$6:$AZ$6,0))),'Oxford Economics'!$A$7:$A$1000,$C106,'Oxford Economics'!$B$7:$B$1000,Settings!$B$14),SUMIFS(INDEX('Oxford Economics'!$A$7:$AZ$1000,0,IFERROR(MATCH(AE$5,'Oxford Economics'!$A$6:$AZ$6,0),MATCH(AE$5&amp;"",'Oxford Economics'!$A$6:$AZ$6,0))),'Oxford Economics'!$A$7:$A$1000,$C106,'Oxford Economics'!$B$7:$B$1000,Settings!$B$14)+SUMIFS(INDEX('Oxford Economics'!$A$7:$AZ$1000,0,IFERROR(MATCH(AE$5,'Oxford Economics'!$A$6:$AZ$6,0),MATCH(AE$5&amp;"",'Oxford Economics'!$A$6:$AZ$6,0))),'Oxford Economics'!$A$7:$A$1000,$C106,'Oxford Economics'!$B$7:$B$1000,Settings!$B$16)+IF(Settings!$B$18="",0,SUMIFS(INDEX('Oxford Economics'!$A$7:$AZ$1000,0,IFERROR(MATCH(AE$5,'Oxford Economics'!$A$6:$AZ$6,0),MATCH(AE$5&amp;"",'Oxford Economics'!$A$6:$AZ$6,0))),'Oxford Economics'!$A$7:$A$1000,$C106,'Oxford Economics'!$B$7:$B$1000,Settings!$B$18)))),""))</f>
        <v>3680.19</v>
      </c>
      <c r="AF106" s="38" t="n">
        <f aca="false">IF($A106="","",IFERROR(1/(1/IF($B106="Residential",SUMIFS(INDEX('Oxford Economics'!$A$7:$AZ$1000,0,IFERROR(MATCH(AF$5,'Oxford Economics'!$A$6:$AZ$6,0),MATCH(AF$5&amp;"",'Oxford Economics'!$A$6:$AZ$6,0))),'Oxford Economics'!$A$7:$A$1000,$C106,'Oxford Economics'!$B$7:$B$1000,Settings!$B$12)-SUMIFS(INDEX('Oxford Economics'!$A$7:$AZ$1000,0,IFERROR(MATCH(AF$5,'Oxford Economics'!$A$6:$AZ$6,0),MATCH(AF$5&amp;"",'Oxford Economics'!$A$6:$AZ$6,0))),'Oxford Economics'!$A$7:$A$1000,$C106,'Oxford Economics'!$B$7:$B$1000,Settings!$B$14),SUMIFS(INDEX('Oxford Economics'!$A$7:$AZ$1000,0,IFERROR(MATCH(AF$5,'Oxford Economics'!$A$6:$AZ$6,0),MATCH(AF$5&amp;"",'Oxford Economics'!$A$6:$AZ$6,0))),'Oxford Economics'!$A$7:$A$1000,$C106,'Oxford Economics'!$B$7:$B$1000,Settings!$B$14)+SUMIFS(INDEX('Oxford Economics'!$A$7:$AZ$1000,0,IFERROR(MATCH(AF$5,'Oxford Economics'!$A$6:$AZ$6,0),MATCH(AF$5&amp;"",'Oxford Economics'!$A$6:$AZ$6,0))),'Oxford Economics'!$A$7:$A$1000,$C106,'Oxford Economics'!$B$7:$B$1000,Settings!$B$16)+IF(Settings!$B$18="",0,SUMIFS(INDEX('Oxford Economics'!$A$7:$AZ$1000,0,IFERROR(MATCH(AF$5,'Oxford Economics'!$A$6:$AZ$6,0),MATCH(AF$5&amp;"",'Oxford Economics'!$A$6:$AZ$6,0))),'Oxford Economics'!$A$7:$A$1000,$C106,'Oxford Economics'!$B$7:$B$1000,Settings!$B$18)))),""))</f>
        <v>3760.6</v>
      </c>
      <c r="AG106" s="38" t="n">
        <f aca="false">IF($A106="","",IFERROR(1/(1/IF($B106="Residential",SUMIFS(INDEX('Oxford Economics'!$A$7:$AZ$1000,0,IFERROR(MATCH(AG$5,'Oxford Economics'!$A$6:$AZ$6,0),MATCH(AG$5&amp;"",'Oxford Economics'!$A$6:$AZ$6,0))),'Oxford Economics'!$A$7:$A$1000,$C106,'Oxford Economics'!$B$7:$B$1000,Settings!$B$12)-SUMIFS(INDEX('Oxford Economics'!$A$7:$AZ$1000,0,IFERROR(MATCH(AG$5,'Oxford Economics'!$A$6:$AZ$6,0),MATCH(AG$5&amp;"",'Oxford Economics'!$A$6:$AZ$6,0))),'Oxford Economics'!$A$7:$A$1000,$C106,'Oxford Economics'!$B$7:$B$1000,Settings!$B$14),SUMIFS(INDEX('Oxford Economics'!$A$7:$AZ$1000,0,IFERROR(MATCH(AG$5,'Oxford Economics'!$A$6:$AZ$6,0),MATCH(AG$5&amp;"",'Oxford Economics'!$A$6:$AZ$6,0))),'Oxford Economics'!$A$7:$A$1000,$C106,'Oxford Economics'!$B$7:$B$1000,Settings!$B$14)+SUMIFS(INDEX('Oxford Economics'!$A$7:$AZ$1000,0,IFERROR(MATCH(AG$5,'Oxford Economics'!$A$6:$AZ$6,0),MATCH(AG$5&amp;"",'Oxford Economics'!$A$6:$AZ$6,0))),'Oxford Economics'!$A$7:$A$1000,$C106,'Oxford Economics'!$B$7:$B$1000,Settings!$B$16)+IF(Settings!$B$18="",0,SUMIFS(INDEX('Oxford Economics'!$A$7:$AZ$1000,0,IFERROR(MATCH(AG$5,'Oxford Economics'!$A$6:$AZ$6,0),MATCH(AG$5&amp;"",'Oxford Economics'!$A$6:$AZ$6,0))),'Oxford Economics'!$A$7:$A$1000,$C106,'Oxford Economics'!$B$7:$B$1000,Settings!$B$18)))),""))</f>
        <v>3876.35</v>
      </c>
      <c r="AH106" s="38" t="n">
        <f aca="false">IF($A106="","",IFERROR(1/(1/IF($B106="Residential",SUMIFS(INDEX('Oxford Economics'!$A$7:$AZ$1000,0,IFERROR(MATCH(AH$5,'Oxford Economics'!$A$6:$AZ$6,0),MATCH(AH$5&amp;"",'Oxford Economics'!$A$6:$AZ$6,0))),'Oxford Economics'!$A$7:$A$1000,$C106,'Oxford Economics'!$B$7:$B$1000,Settings!$B$12)-SUMIFS(INDEX('Oxford Economics'!$A$7:$AZ$1000,0,IFERROR(MATCH(AH$5,'Oxford Economics'!$A$6:$AZ$6,0),MATCH(AH$5&amp;"",'Oxford Economics'!$A$6:$AZ$6,0))),'Oxford Economics'!$A$7:$A$1000,$C106,'Oxford Economics'!$B$7:$B$1000,Settings!$B$14),SUMIFS(INDEX('Oxford Economics'!$A$7:$AZ$1000,0,IFERROR(MATCH(AH$5,'Oxford Economics'!$A$6:$AZ$6,0),MATCH(AH$5&amp;"",'Oxford Economics'!$A$6:$AZ$6,0))),'Oxford Economics'!$A$7:$A$1000,$C106,'Oxford Economics'!$B$7:$B$1000,Settings!$B$14)+SUMIFS(INDEX('Oxford Economics'!$A$7:$AZ$1000,0,IFERROR(MATCH(AH$5,'Oxford Economics'!$A$6:$AZ$6,0),MATCH(AH$5&amp;"",'Oxford Economics'!$A$6:$AZ$6,0))),'Oxford Economics'!$A$7:$A$1000,$C106,'Oxford Economics'!$B$7:$B$1000,Settings!$B$16)+IF(Settings!$B$18="",0,SUMIFS(INDEX('Oxford Economics'!$A$7:$AZ$1000,0,IFERROR(MATCH(AH$5,'Oxford Economics'!$A$6:$AZ$6,0),MATCH(AH$5&amp;"",'Oxford Economics'!$A$6:$AZ$6,0))),'Oxford Economics'!$A$7:$A$1000,$C106,'Oxford Economics'!$B$7:$B$1000,Settings!$B$18)))),""))</f>
        <v>4190.3</v>
      </c>
      <c r="AI106" s="38" t="n">
        <f aca="false">IF($A106="","",IFERROR(1/(1/IF($B106="Residential",SUMIFS(INDEX('Oxford Economics'!$A$7:$AZ$1000,0,IFERROR(MATCH(AI$5,'Oxford Economics'!$A$6:$AZ$6,0),MATCH(AI$5&amp;"",'Oxford Economics'!$A$6:$AZ$6,0))),'Oxford Economics'!$A$7:$A$1000,$C106,'Oxford Economics'!$B$7:$B$1000,Settings!$B$12)-SUMIFS(INDEX('Oxford Economics'!$A$7:$AZ$1000,0,IFERROR(MATCH(AI$5,'Oxford Economics'!$A$6:$AZ$6,0),MATCH(AI$5&amp;"",'Oxford Economics'!$A$6:$AZ$6,0))),'Oxford Economics'!$A$7:$A$1000,$C106,'Oxford Economics'!$B$7:$B$1000,Settings!$B$14),SUMIFS(INDEX('Oxford Economics'!$A$7:$AZ$1000,0,IFERROR(MATCH(AI$5,'Oxford Economics'!$A$6:$AZ$6,0),MATCH(AI$5&amp;"",'Oxford Economics'!$A$6:$AZ$6,0))),'Oxford Economics'!$A$7:$A$1000,$C106,'Oxford Economics'!$B$7:$B$1000,Settings!$B$14)+SUMIFS(INDEX('Oxford Economics'!$A$7:$AZ$1000,0,IFERROR(MATCH(AI$5,'Oxford Economics'!$A$6:$AZ$6,0),MATCH(AI$5&amp;"",'Oxford Economics'!$A$6:$AZ$6,0))),'Oxford Economics'!$A$7:$A$1000,$C106,'Oxford Economics'!$B$7:$B$1000,Settings!$B$16)+IF(Settings!$B$18="",0,SUMIFS(INDEX('Oxford Economics'!$A$7:$AZ$1000,0,IFERROR(MATCH(AI$5,'Oxford Economics'!$A$6:$AZ$6,0),MATCH(AI$5&amp;"",'Oxford Economics'!$A$6:$AZ$6,0))),'Oxford Economics'!$A$7:$A$1000,$C106,'Oxford Economics'!$B$7:$B$1000,Settings!$B$18)))),""))</f>
        <v>4302.04</v>
      </c>
      <c r="AJ106" s="38" t="n">
        <f aca="false">IF($A106="","",IFERROR(1/(1/IF($B106="Residential",SUMIFS(INDEX('Oxford Economics'!$A$7:$AZ$1000,0,IFERROR(MATCH(AJ$5,'Oxford Economics'!$A$6:$AZ$6,0),MATCH(AJ$5&amp;"",'Oxford Economics'!$A$6:$AZ$6,0))),'Oxford Economics'!$A$7:$A$1000,$C106,'Oxford Economics'!$B$7:$B$1000,Settings!$B$12)-SUMIFS(INDEX('Oxford Economics'!$A$7:$AZ$1000,0,IFERROR(MATCH(AJ$5,'Oxford Economics'!$A$6:$AZ$6,0),MATCH(AJ$5&amp;"",'Oxford Economics'!$A$6:$AZ$6,0))),'Oxford Economics'!$A$7:$A$1000,$C106,'Oxford Economics'!$B$7:$B$1000,Settings!$B$14),SUMIFS(INDEX('Oxford Economics'!$A$7:$AZ$1000,0,IFERROR(MATCH(AJ$5,'Oxford Economics'!$A$6:$AZ$6,0),MATCH(AJ$5&amp;"",'Oxford Economics'!$A$6:$AZ$6,0))),'Oxford Economics'!$A$7:$A$1000,$C106,'Oxford Economics'!$B$7:$B$1000,Settings!$B$14)+SUMIFS(INDEX('Oxford Economics'!$A$7:$AZ$1000,0,IFERROR(MATCH(AJ$5,'Oxford Economics'!$A$6:$AZ$6,0),MATCH(AJ$5&amp;"",'Oxford Economics'!$A$6:$AZ$6,0))),'Oxford Economics'!$A$7:$A$1000,$C106,'Oxford Economics'!$B$7:$B$1000,Settings!$B$16)+IF(Settings!$B$18="",0,SUMIFS(INDEX('Oxford Economics'!$A$7:$AZ$1000,0,IFERROR(MATCH(AJ$5,'Oxford Economics'!$A$6:$AZ$6,0),MATCH(AJ$5&amp;"",'Oxford Economics'!$A$6:$AZ$6,0))),'Oxford Economics'!$A$7:$A$1000,$C106,'Oxford Economics'!$B$7:$B$1000,Settings!$B$18)))),""))</f>
        <v>4383.88</v>
      </c>
      <c r="AK106" s="38" t="n">
        <f aca="false">IF($A106="","",IFERROR(1/(1/IF($B106="Residential",SUMIFS(INDEX('Oxford Economics'!$A$7:$AZ$1000,0,IFERROR(MATCH(AK$5,'Oxford Economics'!$A$6:$AZ$6,0),MATCH(AK$5&amp;"",'Oxford Economics'!$A$6:$AZ$6,0))),'Oxford Economics'!$A$7:$A$1000,$C106,'Oxford Economics'!$B$7:$B$1000,Settings!$B$12)-SUMIFS(INDEX('Oxford Economics'!$A$7:$AZ$1000,0,IFERROR(MATCH(AK$5,'Oxford Economics'!$A$6:$AZ$6,0),MATCH(AK$5&amp;"",'Oxford Economics'!$A$6:$AZ$6,0))),'Oxford Economics'!$A$7:$A$1000,$C106,'Oxford Economics'!$B$7:$B$1000,Settings!$B$14),SUMIFS(INDEX('Oxford Economics'!$A$7:$AZ$1000,0,IFERROR(MATCH(AK$5,'Oxford Economics'!$A$6:$AZ$6,0),MATCH(AK$5&amp;"",'Oxford Economics'!$A$6:$AZ$6,0))),'Oxford Economics'!$A$7:$A$1000,$C106,'Oxford Economics'!$B$7:$B$1000,Settings!$B$14)+SUMIFS(INDEX('Oxford Economics'!$A$7:$AZ$1000,0,IFERROR(MATCH(AK$5,'Oxford Economics'!$A$6:$AZ$6,0),MATCH(AK$5&amp;"",'Oxford Economics'!$A$6:$AZ$6,0))),'Oxford Economics'!$A$7:$A$1000,$C106,'Oxford Economics'!$B$7:$B$1000,Settings!$B$16)+IF(Settings!$B$18="",0,SUMIFS(INDEX('Oxford Economics'!$A$7:$AZ$1000,0,IFERROR(MATCH(AK$5,'Oxford Economics'!$A$6:$AZ$6,0),MATCH(AK$5&amp;"",'Oxford Economics'!$A$6:$AZ$6,0))),'Oxford Economics'!$A$7:$A$1000,$C106,'Oxford Economics'!$B$7:$B$1000,Settings!$B$18)))),""))</f>
        <v>4474.59</v>
      </c>
      <c r="AL106" s="38" t="n">
        <f aca="false">IF($A106="","",IFERROR(1/(1/IF($B106="Residential",SUMIFS(INDEX('Oxford Economics'!$A$7:$AZ$1000,0,IFERROR(MATCH(AL$5,'Oxford Economics'!$A$6:$AZ$6,0),MATCH(AL$5&amp;"",'Oxford Economics'!$A$6:$AZ$6,0))),'Oxford Economics'!$A$7:$A$1000,$C106,'Oxford Economics'!$B$7:$B$1000,Settings!$B$12)-SUMIFS(INDEX('Oxford Economics'!$A$7:$AZ$1000,0,IFERROR(MATCH(AL$5,'Oxford Economics'!$A$6:$AZ$6,0),MATCH(AL$5&amp;"",'Oxford Economics'!$A$6:$AZ$6,0))),'Oxford Economics'!$A$7:$A$1000,$C106,'Oxford Economics'!$B$7:$B$1000,Settings!$B$14),SUMIFS(INDEX('Oxford Economics'!$A$7:$AZ$1000,0,IFERROR(MATCH(AL$5,'Oxford Economics'!$A$6:$AZ$6,0),MATCH(AL$5&amp;"",'Oxford Economics'!$A$6:$AZ$6,0))),'Oxford Economics'!$A$7:$A$1000,$C106,'Oxford Economics'!$B$7:$B$1000,Settings!$B$14)+SUMIFS(INDEX('Oxford Economics'!$A$7:$AZ$1000,0,IFERROR(MATCH(AL$5,'Oxford Economics'!$A$6:$AZ$6,0),MATCH(AL$5&amp;"",'Oxford Economics'!$A$6:$AZ$6,0))),'Oxford Economics'!$A$7:$A$1000,$C106,'Oxford Economics'!$B$7:$B$1000,Settings!$B$16)+IF(Settings!$B$18="",0,SUMIFS(INDEX('Oxford Economics'!$A$7:$AZ$1000,0,IFERROR(MATCH(AL$5,'Oxford Economics'!$A$6:$AZ$6,0),MATCH(AL$5&amp;"",'Oxford Economics'!$A$6:$AZ$6,0))),'Oxford Economics'!$A$7:$A$1000,$C106,'Oxford Economics'!$B$7:$B$1000,Settings!$B$18)))),""))</f>
        <v>4603.53</v>
      </c>
      <c r="AM106" s="38" t="n">
        <f aca="false">IF($A106="","",IFERROR(1/(1/IF($B106="Residential",SUMIFS(INDEX('Oxford Economics'!$A$7:$AZ$1000,0,IFERROR(MATCH(AM$5,'Oxford Economics'!$A$6:$AZ$6,0),MATCH(AM$5&amp;"",'Oxford Economics'!$A$6:$AZ$6,0))),'Oxford Economics'!$A$7:$A$1000,$C106,'Oxford Economics'!$B$7:$B$1000,Settings!$B$12)-SUMIFS(INDEX('Oxford Economics'!$A$7:$AZ$1000,0,IFERROR(MATCH(AM$5,'Oxford Economics'!$A$6:$AZ$6,0),MATCH(AM$5&amp;"",'Oxford Economics'!$A$6:$AZ$6,0))),'Oxford Economics'!$A$7:$A$1000,$C106,'Oxford Economics'!$B$7:$B$1000,Settings!$B$14),SUMIFS(INDEX('Oxford Economics'!$A$7:$AZ$1000,0,IFERROR(MATCH(AM$5,'Oxford Economics'!$A$6:$AZ$6,0),MATCH(AM$5&amp;"",'Oxford Economics'!$A$6:$AZ$6,0))),'Oxford Economics'!$A$7:$A$1000,$C106,'Oxford Economics'!$B$7:$B$1000,Settings!$B$14)+SUMIFS(INDEX('Oxford Economics'!$A$7:$AZ$1000,0,IFERROR(MATCH(AM$5,'Oxford Economics'!$A$6:$AZ$6,0),MATCH(AM$5&amp;"",'Oxford Economics'!$A$6:$AZ$6,0))),'Oxford Economics'!$A$7:$A$1000,$C106,'Oxford Economics'!$B$7:$B$1000,Settings!$B$16)+IF(Settings!$B$18="",0,SUMIFS(INDEX('Oxford Economics'!$A$7:$AZ$1000,0,IFERROR(MATCH(AM$5,'Oxford Economics'!$A$6:$AZ$6,0),MATCH(AM$5&amp;"",'Oxford Economics'!$A$6:$AZ$6,0))),'Oxford Economics'!$A$7:$A$1000,$C106,'Oxford Economics'!$B$7:$B$1000,Settings!$B$18)))),""))</f>
        <v>4698.88</v>
      </c>
    </row>
    <row r="107" customFormat="false" ht="15" hidden="false" customHeight="false" outlineLevel="0" collapsed="false">
      <c r="A107" s="37" t="str">
        <f aca="false">IF('Raw data'!$A107="","",'Raw data'!$A107)</f>
        <v>Portugal</v>
      </c>
      <c r="B107" s="37" t="str">
        <f aca="false">IF($A107="","",'Raw data'!$C107)</f>
        <v>Commercial</v>
      </c>
      <c r="C107" s="37" t="str">
        <f aca="false">IF($A107="","",IF('Raw data'!$E107="",$A107,'Raw data'!$E107))</f>
        <v>Portugal</v>
      </c>
      <c r="D107" s="38" t="n">
        <f aca="false">IF($A107="","",IF(AND(ISNUMBER(P107),ISNUMBER(AB107)),P107+AB107,""))</f>
        <v>7017.82</v>
      </c>
      <c r="E107" s="38" t="n">
        <f aca="false">IF($A107="","",IF(AND(ISNUMBER(Q107),ISNUMBER(AC107)),Q107+AC107,""))</f>
        <v>7418.12</v>
      </c>
      <c r="F107" s="38" t="n">
        <f aca="false">IF($A107="","",IF(AND(ISNUMBER(R107),ISNUMBER(AD107)),R107+AD107,""))</f>
        <v>7578.38</v>
      </c>
      <c r="G107" s="38" t="n">
        <f aca="false">IF($A107="","",IF(AND(ISNUMBER(S107),ISNUMBER(AE107)),S107+AE107,""))</f>
        <v>7713.88</v>
      </c>
      <c r="H107" s="38" t="n">
        <f aca="false">IF($A107="","",IF(AND(ISNUMBER(T107),ISNUMBER(AF107)),T107+AF107,""))</f>
        <v>7919</v>
      </c>
      <c r="I107" s="38" t="n">
        <f aca="false">IF($A107="","",IF(AND(ISNUMBER(U107),ISNUMBER(AG107)),U107+AG107,""))</f>
        <v>8433.78</v>
      </c>
      <c r="J107" s="38" t="n">
        <f aca="false">IF($A107="","",IF(AND(ISNUMBER(V107),ISNUMBER(AH107)),V107+AH107,""))</f>
        <v>9146.9</v>
      </c>
      <c r="K107" s="38" t="n">
        <f aca="false">IF($A107="","",IF(AND(ISNUMBER(W107),ISNUMBER(AI107)),W107+AI107,""))</f>
        <v>9585.74</v>
      </c>
      <c r="L107" s="38" t="n">
        <f aca="false">IF($A107="","",IF(AND(ISNUMBER(X107),ISNUMBER(AJ107)),X107+AJ107,""))</f>
        <v>9824.28</v>
      </c>
      <c r="M107" s="38" t="n">
        <f aca="false">IF($A107="","",IF(AND(ISNUMBER(Y107),ISNUMBER(AK107)),Y107+AK107,""))</f>
        <v>10014.62</v>
      </c>
      <c r="N107" s="38" t="n">
        <f aca="false">IF($A107="","",IF(AND(ISNUMBER(Z107),ISNUMBER(AL107)),Z107+AL107,""))</f>
        <v>10248.43</v>
      </c>
      <c r="O107" s="38" t="n">
        <f aca="false">IF($A107="","",IF(AND(ISNUMBER(AA107),ISNUMBER(AM107)),AA107+AM107,""))</f>
        <v>10477.1</v>
      </c>
      <c r="P107" s="38" t="n">
        <f aca="false">IF($A107="","",IFERROR(1/(1/IF($B107="Residential",SUMIFS(INDEX('Oxford Economics'!$A$7:$AZ$1000,0,IFERROR(MATCH(P$5,'Oxford Economics'!$A$6:$AZ$6,0),MATCH(P$5&amp;"",'Oxford Economics'!$A$6:$AZ$6,0))),'Oxford Economics'!$A$7:$A$1000,$C107,'Oxford Economics'!$B$7:$B$1000,Settings!$B$13)-SUMIFS(INDEX('Oxford Economics'!$A$7:$AZ$1000,0,IFERROR(MATCH(P$5,'Oxford Economics'!$A$6:$AZ$6,0),MATCH(P$5&amp;"",'Oxford Economics'!$A$6:$AZ$6,0))),'Oxford Economics'!$A$7:$A$1000,$C107,'Oxford Economics'!$B$7:$B$1000,Settings!$B$15),SUMIFS(INDEX('Oxford Economics'!$A$7:$AZ$1000,0,IFERROR(MATCH(P$5,'Oxford Economics'!$A$6:$AZ$6,0),MATCH(P$5&amp;"",'Oxford Economics'!$A$6:$AZ$6,0))),'Oxford Economics'!$A$7:$A$1000,$C107,'Oxford Economics'!$B$7:$B$1000,Settings!$B$15)+SUMIFS(INDEX('Oxford Economics'!$A$7:$AZ$1000,0,IFERROR(MATCH(P$5,'Oxford Economics'!$A$6:$AZ$6,0),MATCH(P$5&amp;"",'Oxford Economics'!$A$6:$AZ$6,0))),'Oxford Economics'!$A$7:$A$1000,$C107,'Oxford Economics'!$B$7:$B$1000,Settings!$B$17)+IF(Settings!$B$19="",0,SUMIFS(INDEX('Oxford Economics'!$A$7:$AZ$1000,0,IFERROR(MATCH(P$5,'Oxford Economics'!$A$6:$AZ$6,0),MATCH(P$5&amp;"",'Oxford Economics'!$A$6:$AZ$6,0))),'Oxford Economics'!$A$7:$A$1000,$C107,'Oxford Economics'!$B$7:$B$1000,Settings!$B$19)))),""))</f>
        <v>4205.94</v>
      </c>
      <c r="Q107" s="38" t="n">
        <f aca="false">IF($A107="","",IFERROR(1/(1/IF($B107="Residential",SUMIFS(INDEX('Oxford Economics'!$A$7:$AZ$1000,0,IFERROR(MATCH(Q$5,'Oxford Economics'!$A$6:$AZ$6,0),MATCH(Q$5&amp;"",'Oxford Economics'!$A$6:$AZ$6,0))),'Oxford Economics'!$A$7:$A$1000,$C107,'Oxford Economics'!$B$7:$B$1000,Settings!$B$13)-SUMIFS(INDEX('Oxford Economics'!$A$7:$AZ$1000,0,IFERROR(MATCH(Q$5,'Oxford Economics'!$A$6:$AZ$6,0),MATCH(Q$5&amp;"",'Oxford Economics'!$A$6:$AZ$6,0))),'Oxford Economics'!$A$7:$A$1000,$C107,'Oxford Economics'!$B$7:$B$1000,Settings!$B$15),SUMIFS(INDEX('Oxford Economics'!$A$7:$AZ$1000,0,IFERROR(MATCH(Q$5,'Oxford Economics'!$A$6:$AZ$6,0),MATCH(Q$5&amp;"",'Oxford Economics'!$A$6:$AZ$6,0))),'Oxford Economics'!$A$7:$A$1000,$C107,'Oxford Economics'!$B$7:$B$1000,Settings!$B$15)+SUMIFS(INDEX('Oxford Economics'!$A$7:$AZ$1000,0,IFERROR(MATCH(Q$5,'Oxford Economics'!$A$6:$AZ$6,0),MATCH(Q$5&amp;"",'Oxford Economics'!$A$6:$AZ$6,0))),'Oxford Economics'!$A$7:$A$1000,$C107,'Oxford Economics'!$B$7:$B$1000,Settings!$B$17)+IF(Settings!$B$19="",0,SUMIFS(INDEX('Oxford Economics'!$A$7:$AZ$1000,0,IFERROR(MATCH(Q$5,'Oxford Economics'!$A$6:$AZ$6,0),MATCH(Q$5&amp;"",'Oxford Economics'!$A$6:$AZ$6,0))),'Oxford Economics'!$A$7:$A$1000,$C107,'Oxford Economics'!$B$7:$B$1000,Settings!$B$19)))),""))</f>
        <v>4211.78</v>
      </c>
      <c r="R107" s="38" t="n">
        <f aca="false">IF($A107="","",IFERROR(1/(1/IF($B107="Residential",SUMIFS(INDEX('Oxford Economics'!$A$7:$AZ$1000,0,IFERROR(MATCH(R$5,'Oxford Economics'!$A$6:$AZ$6,0),MATCH(R$5&amp;"",'Oxford Economics'!$A$6:$AZ$6,0))),'Oxford Economics'!$A$7:$A$1000,$C107,'Oxford Economics'!$B$7:$B$1000,Settings!$B$13)-SUMIFS(INDEX('Oxford Economics'!$A$7:$AZ$1000,0,IFERROR(MATCH(R$5,'Oxford Economics'!$A$6:$AZ$6,0),MATCH(R$5&amp;"",'Oxford Economics'!$A$6:$AZ$6,0))),'Oxford Economics'!$A$7:$A$1000,$C107,'Oxford Economics'!$B$7:$B$1000,Settings!$B$15),SUMIFS(INDEX('Oxford Economics'!$A$7:$AZ$1000,0,IFERROR(MATCH(R$5,'Oxford Economics'!$A$6:$AZ$6,0),MATCH(R$5&amp;"",'Oxford Economics'!$A$6:$AZ$6,0))),'Oxford Economics'!$A$7:$A$1000,$C107,'Oxford Economics'!$B$7:$B$1000,Settings!$B$15)+SUMIFS(INDEX('Oxford Economics'!$A$7:$AZ$1000,0,IFERROR(MATCH(R$5,'Oxford Economics'!$A$6:$AZ$6,0),MATCH(R$5&amp;"",'Oxford Economics'!$A$6:$AZ$6,0))),'Oxford Economics'!$A$7:$A$1000,$C107,'Oxford Economics'!$B$7:$B$1000,Settings!$B$17)+IF(Settings!$B$19="",0,SUMIFS(INDEX('Oxford Economics'!$A$7:$AZ$1000,0,IFERROR(MATCH(R$5,'Oxford Economics'!$A$6:$AZ$6,0),MATCH(R$5&amp;"",'Oxford Economics'!$A$6:$AZ$6,0))),'Oxford Economics'!$A$7:$A$1000,$C107,'Oxford Economics'!$B$7:$B$1000,Settings!$B$19)))),""))</f>
        <v>3885.91</v>
      </c>
      <c r="S107" s="38" t="n">
        <f aca="false">IF($A107="","",IFERROR(1/(1/IF($B107="Residential",SUMIFS(INDEX('Oxford Economics'!$A$7:$AZ$1000,0,IFERROR(MATCH(S$5,'Oxford Economics'!$A$6:$AZ$6,0),MATCH(S$5&amp;"",'Oxford Economics'!$A$6:$AZ$6,0))),'Oxford Economics'!$A$7:$A$1000,$C107,'Oxford Economics'!$B$7:$B$1000,Settings!$B$13)-SUMIFS(INDEX('Oxford Economics'!$A$7:$AZ$1000,0,IFERROR(MATCH(S$5,'Oxford Economics'!$A$6:$AZ$6,0),MATCH(S$5&amp;"",'Oxford Economics'!$A$6:$AZ$6,0))),'Oxford Economics'!$A$7:$A$1000,$C107,'Oxford Economics'!$B$7:$B$1000,Settings!$B$15),SUMIFS(INDEX('Oxford Economics'!$A$7:$AZ$1000,0,IFERROR(MATCH(S$5,'Oxford Economics'!$A$6:$AZ$6,0),MATCH(S$5&amp;"",'Oxford Economics'!$A$6:$AZ$6,0))),'Oxford Economics'!$A$7:$A$1000,$C107,'Oxford Economics'!$B$7:$B$1000,Settings!$B$15)+SUMIFS(INDEX('Oxford Economics'!$A$7:$AZ$1000,0,IFERROR(MATCH(S$5,'Oxford Economics'!$A$6:$AZ$6,0),MATCH(S$5&amp;"",'Oxford Economics'!$A$6:$AZ$6,0))),'Oxford Economics'!$A$7:$A$1000,$C107,'Oxford Economics'!$B$7:$B$1000,Settings!$B$17)+IF(Settings!$B$19="",0,SUMIFS(INDEX('Oxford Economics'!$A$7:$AZ$1000,0,IFERROR(MATCH(S$5,'Oxford Economics'!$A$6:$AZ$6,0),MATCH(S$5&amp;"",'Oxford Economics'!$A$6:$AZ$6,0))),'Oxford Economics'!$A$7:$A$1000,$C107,'Oxford Economics'!$B$7:$B$1000,Settings!$B$19)))),""))</f>
        <v>4033.69</v>
      </c>
      <c r="T107" s="38" t="n">
        <f aca="false">IF($A107="","",IFERROR(1/(1/IF($B107="Residential",SUMIFS(INDEX('Oxford Economics'!$A$7:$AZ$1000,0,IFERROR(MATCH(T$5,'Oxford Economics'!$A$6:$AZ$6,0),MATCH(T$5&amp;"",'Oxford Economics'!$A$6:$AZ$6,0))),'Oxford Economics'!$A$7:$A$1000,$C107,'Oxford Economics'!$B$7:$B$1000,Settings!$B$13)-SUMIFS(INDEX('Oxford Economics'!$A$7:$AZ$1000,0,IFERROR(MATCH(T$5,'Oxford Economics'!$A$6:$AZ$6,0),MATCH(T$5&amp;"",'Oxford Economics'!$A$6:$AZ$6,0))),'Oxford Economics'!$A$7:$A$1000,$C107,'Oxford Economics'!$B$7:$B$1000,Settings!$B$15),SUMIFS(INDEX('Oxford Economics'!$A$7:$AZ$1000,0,IFERROR(MATCH(T$5,'Oxford Economics'!$A$6:$AZ$6,0),MATCH(T$5&amp;"",'Oxford Economics'!$A$6:$AZ$6,0))),'Oxford Economics'!$A$7:$A$1000,$C107,'Oxford Economics'!$B$7:$B$1000,Settings!$B$15)+SUMIFS(INDEX('Oxford Economics'!$A$7:$AZ$1000,0,IFERROR(MATCH(T$5,'Oxford Economics'!$A$6:$AZ$6,0),MATCH(T$5&amp;"",'Oxford Economics'!$A$6:$AZ$6,0))),'Oxford Economics'!$A$7:$A$1000,$C107,'Oxford Economics'!$B$7:$B$1000,Settings!$B$17)+IF(Settings!$B$19="",0,SUMIFS(INDEX('Oxford Economics'!$A$7:$AZ$1000,0,IFERROR(MATCH(T$5,'Oxford Economics'!$A$6:$AZ$6,0),MATCH(T$5&amp;"",'Oxford Economics'!$A$6:$AZ$6,0))),'Oxford Economics'!$A$7:$A$1000,$C107,'Oxford Economics'!$B$7:$B$1000,Settings!$B$19)))),""))</f>
        <v>4158.4</v>
      </c>
      <c r="U107" s="38" t="n">
        <f aca="false">IF($A107="","",IFERROR(1/(1/IF($B107="Residential",SUMIFS(INDEX('Oxford Economics'!$A$7:$AZ$1000,0,IFERROR(MATCH(U$5,'Oxford Economics'!$A$6:$AZ$6,0),MATCH(U$5&amp;"",'Oxford Economics'!$A$6:$AZ$6,0))),'Oxford Economics'!$A$7:$A$1000,$C107,'Oxford Economics'!$B$7:$B$1000,Settings!$B$13)-SUMIFS(INDEX('Oxford Economics'!$A$7:$AZ$1000,0,IFERROR(MATCH(U$5,'Oxford Economics'!$A$6:$AZ$6,0),MATCH(U$5&amp;"",'Oxford Economics'!$A$6:$AZ$6,0))),'Oxford Economics'!$A$7:$A$1000,$C107,'Oxford Economics'!$B$7:$B$1000,Settings!$B$15),SUMIFS(INDEX('Oxford Economics'!$A$7:$AZ$1000,0,IFERROR(MATCH(U$5,'Oxford Economics'!$A$6:$AZ$6,0),MATCH(U$5&amp;"",'Oxford Economics'!$A$6:$AZ$6,0))),'Oxford Economics'!$A$7:$A$1000,$C107,'Oxford Economics'!$B$7:$B$1000,Settings!$B$15)+SUMIFS(INDEX('Oxford Economics'!$A$7:$AZ$1000,0,IFERROR(MATCH(U$5,'Oxford Economics'!$A$6:$AZ$6,0),MATCH(U$5&amp;"",'Oxford Economics'!$A$6:$AZ$6,0))),'Oxford Economics'!$A$7:$A$1000,$C107,'Oxford Economics'!$B$7:$B$1000,Settings!$B$17)+IF(Settings!$B$19="",0,SUMIFS(INDEX('Oxford Economics'!$A$7:$AZ$1000,0,IFERROR(MATCH(U$5,'Oxford Economics'!$A$6:$AZ$6,0),MATCH(U$5&amp;"",'Oxford Economics'!$A$6:$AZ$6,0))),'Oxford Economics'!$A$7:$A$1000,$C107,'Oxford Economics'!$B$7:$B$1000,Settings!$B$19)))),""))</f>
        <v>4557.43</v>
      </c>
      <c r="V107" s="38" t="n">
        <f aca="false">IF($A107="","",IFERROR(1/(1/IF($B107="Residential",SUMIFS(INDEX('Oxford Economics'!$A$7:$AZ$1000,0,IFERROR(MATCH(V$5,'Oxford Economics'!$A$6:$AZ$6,0),MATCH(V$5&amp;"",'Oxford Economics'!$A$6:$AZ$6,0))),'Oxford Economics'!$A$7:$A$1000,$C107,'Oxford Economics'!$B$7:$B$1000,Settings!$B$13)-SUMIFS(INDEX('Oxford Economics'!$A$7:$AZ$1000,0,IFERROR(MATCH(V$5,'Oxford Economics'!$A$6:$AZ$6,0),MATCH(V$5&amp;"",'Oxford Economics'!$A$6:$AZ$6,0))),'Oxford Economics'!$A$7:$A$1000,$C107,'Oxford Economics'!$B$7:$B$1000,Settings!$B$15),SUMIFS(INDEX('Oxford Economics'!$A$7:$AZ$1000,0,IFERROR(MATCH(V$5,'Oxford Economics'!$A$6:$AZ$6,0),MATCH(V$5&amp;"",'Oxford Economics'!$A$6:$AZ$6,0))),'Oxford Economics'!$A$7:$A$1000,$C107,'Oxford Economics'!$B$7:$B$1000,Settings!$B$15)+SUMIFS(INDEX('Oxford Economics'!$A$7:$AZ$1000,0,IFERROR(MATCH(V$5,'Oxford Economics'!$A$6:$AZ$6,0),MATCH(V$5&amp;"",'Oxford Economics'!$A$6:$AZ$6,0))),'Oxford Economics'!$A$7:$A$1000,$C107,'Oxford Economics'!$B$7:$B$1000,Settings!$B$17)+IF(Settings!$B$19="",0,SUMIFS(INDEX('Oxford Economics'!$A$7:$AZ$1000,0,IFERROR(MATCH(V$5,'Oxford Economics'!$A$6:$AZ$6,0),MATCH(V$5&amp;"",'Oxford Economics'!$A$6:$AZ$6,0))),'Oxford Economics'!$A$7:$A$1000,$C107,'Oxford Economics'!$B$7:$B$1000,Settings!$B$19)))),""))</f>
        <v>4956.6</v>
      </c>
      <c r="W107" s="38" t="n">
        <f aca="false">IF($A107="","",IFERROR(1/(1/IF($B107="Residential",SUMIFS(INDEX('Oxford Economics'!$A$7:$AZ$1000,0,IFERROR(MATCH(W$5,'Oxford Economics'!$A$6:$AZ$6,0),MATCH(W$5&amp;"",'Oxford Economics'!$A$6:$AZ$6,0))),'Oxford Economics'!$A$7:$A$1000,$C107,'Oxford Economics'!$B$7:$B$1000,Settings!$B$13)-SUMIFS(INDEX('Oxford Economics'!$A$7:$AZ$1000,0,IFERROR(MATCH(W$5,'Oxford Economics'!$A$6:$AZ$6,0),MATCH(W$5&amp;"",'Oxford Economics'!$A$6:$AZ$6,0))),'Oxford Economics'!$A$7:$A$1000,$C107,'Oxford Economics'!$B$7:$B$1000,Settings!$B$15),SUMIFS(INDEX('Oxford Economics'!$A$7:$AZ$1000,0,IFERROR(MATCH(W$5,'Oxford Economics'!$A$6:$AZ$6,0),MATCH(W$5&amp;"",'Oxford Economics'!$A$6:$AZ$6,0))),'Oxford Economics'!$A$7:$A$1000,$C107,'Oxford Economics'!$B$7:$B$1000,Settings!$B$15)+SUMIFS(INDEX('Oxford Economics'!$A$7:$AZ$1000,0,IFERROR(MATCH(W$5,'Oxford Economics'!$A$6:$AZ$6,0),MATCH(W$5&amp;"",'Oxford Economics'!$A$6:$AZ$6,0))),'Oxford Economics'!$A$7:$A$1000,$C107,'Oxford Economics'!$B$7:$B$1000,Settings!$B$17)+IF(Settings!$B$19="",0,SUMIFS(INDEX('Oxford Economics'!$A$7:$AZ$1000,0,IFERROR(MATCH(W$5,'Oxford Economics'!$A$6:$AZ$6,0),MATCH(W$5&amp;"",'Oxford Economics'!$A$6:$AZ$6,0))),'Oxford Economics'!$A$7:$A$1000,$C107,'Oxford Economics'!$B$7:$B$1000,Settings!$B$19)))),""))</f>
        <v>5283.7</v>
      </c>
      <c r="X107" s="38" t="n">
        <f aca="false">IF($A107="","",IFERROR(1/(1/IF($B107="Residential",SUMIFS(INDEX('Oxford Economics'!$A$7:$AZ$1000,0,IFERROR(MATCH(X$5,'Oxford Economics'!$A$6:$AZ$6,0),MATCH(X$5&amp;"",'Oxford Economics'!$A$6:$AZ$6,0))),'Oxford Economics'!$A$7:$A$1000,$C107,'Oxford Economics'!$B$7:$B$1000,Settings!$B$13)-SUMIFS(INDEX('Oxford Economics'!$A$7:$AZ$1000,0,IFERROR(MATCH(X$5,'Oxford Economics'!$A$6:$AZ$6,0),MATCH(X$5&amp;"",'Oxford Economics'!$A$6:$AZ$6,0))),'Oxford Economics'!$A$7:$A$1000,$C107,'Oxford Economics'!$B$7:$B$1000,Settings!$B$15),SUMIFS(INDEX('Oxford Economics'!$A$7:$AZ$1000,0,IFERROR(MATCH(X$5,'Oxford Economics'!$A$6:$AZ$6,0),MATCH(X$5&amp;"",'Oxford Economics'!$A$6:$AZ$6,0))),'Oxford Economics'!$A$7:$A$1000,$C107,'Oxford Economics'!$B$7:$B$1000,Settings!$B$15)+SUMIFS(INDEX('Oxford Economics'!$A$7:$AZ$1000,0,IFERROR(MATCH(X$5,'Oxford Economics'!$A$6:$AZ$6,0),MATCH(X$5&amp;"",'Oxford Economics'!$A$6:$AZ$6,0))),'Oxford Economics'!$A$7:$A$1000,$C107,'Oxford Economics'!$B$7:$B$1000,Settings!$B$17)+IF(Settings!$B$19="",0,SUMIFS(INDEX('Oxford Economics'!$A$7:$AZ$1000,0,IFERROR(MATCH(X$5,'Oxford Economics'!$A$6:$AZ$6,0),MATCH(X$5&amp;"",'Oxford Economics'!$A$6:$AZ$6,0))),'Oxford Economics'!$A$7:$A$1000,$C107,'Oxford Economics'!$B$7:$B$1000,Settings!$B$19)))),""))</f>
        <v>5440.4</v>
      </c>
      <c r="Y107" s="38" t="n">
        <f aca="false">IF($A107="","",IFERROR(1/(1/IF($B107="Residential",SUMIFS(INDEX('Oxford Economics'!$A$7:$AZ$1000,0,IFERROR(MATCH(Y$5,'Oxford Economics'!$A$6:$AZ$6,0),MATCH(Y$5&amp;"",'Oxford Economics'!$A$6:$AZ$6,0))),'Oxford Economics'!$A$7:$A$1000,$C107,'Oxford Economics'!$B$7:$B$1000,Settings!$B$13)-SUMIFS(INDEX('Oxford Economics'!$A$7:$AZ$1000,0,IFERROR(MATCH(Y$5,'Oxford Economics'!$A$6:$AZ$6,0),MATCH(Y$5&amp;"",'Oxford Economics'!$A$6:$AZ$6,0))),'Oxford Economics'!$A$7:$A$1000,$C107,'Oxford Economics'!$B$7:$B$1000,Settings!$B$15),SUMIFS(INDEX('Oxford Economics'!$A$7:$AZ$1000,0,IFERROR(MATCH(Y$5,'Oxford Economics'!$A$6:$AZ$6,0),MATCH(Y$5&amp;"",'Oxford Economics'!$A$6:$AZ$6,0))),'Oxford Economics'!$A$7:$A$1000,$C107,'Oxford Economics'!$B$7:$B$1000,Settings!$B$15)+SUMIFS(INDEX('Oxford Economics'!$A$7:$AZ$1000,0,IFERROR(MATCH(Y$5,'Oxford Economics'!$A$6:$AZ$6,0),MATCH(Y$5&amp;"",'Oxford Economics'!$A$6:$AZ$6,0))),'Oxford Economics'!$A$7:$A$1000,$C107,'Oxford Economics'!$B$7:$B$1000,Settings!$B$17)+IF(Settings!$B$19="",0,SUMIFS(INDEX('Oxford Economics'!$A$7:$AZ$1000,0,IFERROR(MATCH(Y$5,'Oxford Economics'!$A$6:$AZ$6,0),MATCH(Y$5&amp;"",'Oxford Economics'!$A$6:$AZ$6,0))),'Oxford Economics'!$A$7:$A$1000,$C107,'Oxford Economics'!$B$7:$B$1000,Settings!$B$19)))),""))</f>
        <v>5540.03</v>
      </c>
      <c r="Z107" s="38" t="n">
        <f aca="false">IF($A107="","",IFERROR(1/(1/IF($B107="Residential",SUMIFS(INDEX('Oxford Economics'!$A$7:$AZ$1000,0,IFERROR(MATCH(Z$5,'Oxford Economics'!$A$6:$AZ$6,0),MATCH(Z$5&amp;"",'Oxford Economics'!$A$6:$AZ$6,0))),'Oxford Economics'!$A$7:$A$1000,$C107,'Oxford Economics'!$B$7:$B$1000,Settings!$B$13)-SUMIFS(INDEX('Oxford Economics'!$A$7:$AZ$1000,0,IFERROR(MATCH(Z$5,'Oxford Economics'!$A$6:$AZ$6,0),MATCH(Z$5&amp;"",'Oxford Economics'!$A$6:$AZ$6,0))),'Oxford Economics'!$A$7:$A$1000,$C107,'Oxford Economics'!$B$7:$B$1000,Settings!$B$15),SUMIFS(INDEX('Oxford Economics'!$A$7:$AZ$1000,0,IFERROR(MATCH(Z$5,'Oxford Economics'!$A$6:$AZ$6,0),MATCH(Z$5&amp;"",'Oxford Economics'!$A$6:$AZ$6,0))),'Oxford Economics'!$A$7:$A$1000,$C107,'Oxford Economics'!$B$7:$B$1000,Settings!$B$15)+SUMIFS(INDEX('Oxford Economics'!$A$7:$AZ$1000,0,IFERROR(MATCH(Z$5,'Oxford Economics'!$A$6:$AZ$6,0),MATCH(Z$5&amp;"",'Oxford Economics'!$A$6:$AZ$6,0))),'Oxford Economics'!$A$7:$A$1000,$C107,'Oxford Economics'!$B$7:$B$1000,Settings!$B$17)+IF(Settings!$B$19="",0,SUMIFS(INDEX('Oxford Economics'!$A$7:$AZ$1000,0,IFERROR(MATCH(Z$5,'Oxford Economics'!$A$6:$AZ$6,0),MATCH(Z$5&amp;"",'Oxford Economics'!$A$6:$AZ$6,0))),'Oxford Economics'!$A$7:$A$1000,$C107,'Oxford Economics'!$B$7:$B$1000,Settings!$B$19)))),""))</f>
        <v>5644.9</v>
      </c>
      <c r="AA107" s="38" t="n">
        <f aca="false">IF($A107="","",IFERROR(1/(1/IF($B107="Residential",SUMIFS(INDEX('Oxford Economics'!$A$7:$AZ$1000,0,IFERROR(MATCH(AA$5,'Oxford Economics'!$A$6:$AZ$6,0),MATCH(AA$5&amp;"",'Oxford Economics'!$A$6:$AZ$6,0))),'Oxford Economics'!$A$7:$A$1000,$C107,'Oxford Economics'!$B$7:$B$1000,Settings!$B$13)-SUMIFS(INDEX('Oxford Economics'!$A$7:$AZ$1000,0,IFERROR(MATCH(AA$5,'Oxford Economics'!$A$6:$AZ$6,0),MATCH(AA$5&amp;"",'Oxford Economics'!$A$6:$AZ$6,0))),'Oxford Economics'!$A$7:$A$1000,$C107,'Oxford Economics'!$B$7:$B$1000,Settings!$B$15),SUMIFS(INDEX('Oxford Economics'!$A$7:$AZ$1000,0,IFERROR(MATCH(AA$5,'Oxford Economics'!$A$6:$AZ$6,0),MATCH(AA$5&amp;"",'Oxford Economics'!$A$6:$AZ$6,0))),'Oxford Economics'!$A$7:$A$1000,$C107,'Oxford Economics'!$B$7:$B$1000,Settings!$B$15)+SUMIFS(INDEX('Oxford Economics'!$A$7:$AZ$1000,0,IFERROR(MATCH(AA$5,'Oxford Economics'!$A$6:$AZ$6,0),MATCH(AA$5&amp;"",'Oxford Economics'!$A$6:$AZ$6,0))),'Oxford Economics'!$A$7:$A$1000,$C107,'Oxford Economics'!$B$7:$B$1000,Settings!$B$17)+IF(Settings!$B$19="",0,SUMIFS(INDEX('Oxford Economics'!$A$7:$AZ$1000,0,IFERROR(MATCH(AA$5,'Oxford Economics'!$A$6:$AZ$6,0),MATCH(AA$5&amp;"",'Oxford Economics'!$A$6:$AZ$6,0))),'Oxford Economics'!$A$7:$A$1000,$C107,'Oxford Economics'!$B$7:$B$1000,Settings!$B$19)))),""))</f>
        <v>5778.22</v>
      </c>
      <c r="AB107" s="38" t="n">
        <f aca="false">IF($A107="","",IFERROR(1/(1/IF($B107="Residential",SUMIFS(INDEX('Oxford Economics'!$A$7:$AZ$1000,0,IFERROR(MATCH(AB$5,'Oxford Economics'!$A$6:$AZ$6,0),MATCH(AB$5&amp;"",'Oxford Economics'!$A$6:$AZ$6,0))),'Oxford Economics'!$A$7:$A$1000,$C107,'Oxford Economics'!$B$7:$B$1000,Settings!$B$12)-SUMIFS(INDEX('Oxford Economics'!$A$7:$AZ$1000,0,IFERROR(MATCH(AB$5,'Oxford Economics'!$A$6:$AZ$6,0),MATCH(AB$5&amp;"",'Oxford Economics'!$A$6:$AZ$6,0))),'Oxford Economics'!$A$7:$A$1000,$C107,'Oxford Economics'!$B$7:$B$1000,Settings!$B$14),SUMIFS(INDEX('Oxford Economics'!$A$7:$AZ$1000,0,IFERROR(MATCH(AB$5,'Oxford Economics'!$A$6:$AZ$6,0),MATCH(AB$5&amp;"",'Oxford Economics'!$A$6:$AZ$6,0))),'Oxford Economics'!$A$7:$A$1000,$C107,'Oxford Economics'!$B$7:$B$1000,Settings!$B$14)+SUMIFS(INDEX('Oxford Economics'!$A$7:$AZ$1000,0,IFERROR(MATCH(AB$5,'Oxford Economics'!$A$6:$AZ$6,0),MATCH(AB$5&amp;"",'Oxford Economics'!$A$6:$AZ$6,0))),'Oxford Economics'!$A$7:$A$1000,$C107,'Oxford Economics'!$B$7:$B$1000,Settings!$B$16)+IF(Settings!$B$18="",0,SUMIFS(INDEX('Oxford Economics'!$A$7:$AZ$1000,0,IFERROR(MATCH(AB$5,'Oxford Economics'!$A$6:$AZ$6,0),MATCH(AB$5&amp;"",'Oxford Economics'!$A$6:$AZ$6,0))),'Oxford Economics'!$A$7:$A$1000,$C107,'Oxford Economics'!$B$7:$B$1000,Settings!$B$18)))),""))</f>
        <v>2811.88</v>
      </c>
      <c r="AC107" s="38" t="n">
        <f aca="false">IF($A107="","",IFERROR(1/(1/IF($B107="Residential",SUMIFS(INDEX('Oxford Economics'!$A$7:$AZ$1000,0,IFERROR(MATCH(AC$5,'Oxford Economics'!$A$6:$AZ$6,0),MATCH(AC$5&amp;"",'Oxford Economics'!$A$6:$AZ$6,0))),'Oxford Economics'!$A$7:$A$1000,$C107,'Oxford Economics'!$B$7:$B$1000,Settings!$B$12)-SUMIFS(INDEX('Oxford Economics'!$A$7:$AZ$1000,0,IFERROR(MATCH(AC$5,'Oxford Economics'!$A$6:$AZ$6,0),MATCH(AC$5&amp;"",'Oxford Economics'!$A$6:$AZ$6,0))),'Oxford Economics'!$A$7:$A$1000,$C107,'Oxford Economics'!$B$7:$B$1000,Settings!$B$14),SUMIFS(INDEX('Oxford Economics'!$A$7:$AZ$1000,0,IFERROR(MATCH(AC$5,'Oxford Economics'!$A$6:$AZ$6,0),MATCH(AC$5&amp;"",'Oxford Economics'!$A$6:$AZ$6,0))),'Oxford Economics'!$A$7:$A$1000,$C107,'Oxford Economics'!$B$7:$B$1000,Settings!$B$14)+SUMIFS(INDEX('Oxford Economics'!$A$7:$AZ$1000,0,IFERROR(MATCH(AC$5,'Oxford Economics'!$A$6:$AZ$6,0),MATCH(AC$5&amp;"",'Oxford Economics'!$A$6:$AZ$6,0))),'Oxford Economics'!$A$7:$A$1000,$C107,'Oxford Economics'!$B$7:$B$1000,Settings!$B$16)+IF(Settings!$B$18="",0,SUMIFS(INDEX('Oxford Economics'!$A$7:$AZ$1000,0,IFERROR(MATCH(AC$5,'Oxford Economics'!$A$6:$AZ$6,0),MATCH(AC$5&amp;"",'Oxford Economics'!$A$6:$AZ$6,0))),'Oxford Economics'!$A$7:$A$1000,$C107,'Oxford Economics'!$B$7:$B$1000,Settings!$B$18)))),""))</f>
        <v>3206.34</v>
      </c>
      <c r="AD107" s="38" t="n">
        <f aca="false">IF($A107="","",IFERROR(1/(1/IF($B107="Residential",SUMIFS(INDEX('Oxford Economics'!$A$7:$AZ$1000,0,IFERROR(MATCH(AD$5,'Oxford Economics'!$A$6:$AZ$6,0),MATCH(AD$5&amp;"",'Oxford Economics'!$A$6:$AZ$6,0))),'Oxford Economics'!$A$7:$A$1000,$C107,'Oxford Economics'!$B$7:$B$1000,Settings!$B$12)-SUMIFS(INDEX('Oxford Economics'!$A$7:$AZ$1000,0,IFERROR(MATCH(AD$5,'Oxford Economics'!$A$6:$AZ$6,0),MATCH(AD$5&amp;"",'Oxford Economics'!$A$6:$AZ$6,0))),'Oxford Economics'!$A$7:$A$1000,$C107,'Oxford Economics'!$B$7:$B$1000,Settings!$B$14),SUMIFS(INDEX('Oxford Economics'!$A$7:$AZ$1000,0,IFERROR(MATCH(AD$5,'Oxford Economics'!$A$6:$AZ$6,0),MATCH(AD$5&amp;"",'Oxford Economics'!$A$6:$AZ$6,0))),'Oxford Economics'!$A$7:$A$1000,$C107,'Oxford Economics'!$B$7:$B$1000,Settings!$B$14)+SUMIFS(INDEX('Oxford Economics'!$A$7:$AZ$1000,0,IFERROR(MATCH(AD$5,'Oxford Economics'!$A$6:$AZ$6,0),MATCH(AD$5&amp;"",'Oxford Economics'!$A$6:$AZ$6,0))),'Oxford Economics'!$A$7:$A$1000,$C107,'Oxford Economics'!$B$7:$B$1000,Settings!$B$16)+IF(Settings!$B$18="",0,SUMIFS(INDEX('Oxford Economics'!$A$7:$AZ$1000,0,IFERROR(MATCH(AD$5,'Oxford Economics'!$A$6:$AZ$6,0),MATCH(AD$5&amp;"",'Oxford Economics'!$A$6:$AZ$6,0))),'Oxford Economics'!$A$7:$A$1000,$C107,'Oxford Economics'!$B$7:$B$1000,Settings!$B$18)))),""))</f>
        <v>3692.47</v>
      </c>
      <c r="AE107" s="38" t="n">
        <f aca="false">IF($A107="","",IFERROR(1/(1/IF($B107="Residential",SUMIFS(INDEX('Oxford Economics'!$A$7:$AZ$1000,0,IFERROR(MATCH(AE$5,'Oxford Economics'!$A$6:$AZ$6,0),MATCH(AE$5&amp;"",'Oxford Economics'!$A$6:$AZ$6,0))),'Oxford Economics'!$A$7:$A$1000,$C107,'Oxford Economics'!$B$7:$B$1000,Settings!$B$12)-SUMIFS(INDEX('Oxford Economics'!$A$7:$AZ$1000,0,IFERROR(MATCH(AE$5,'Oxford Economics'!$A$6:$AZ$6,0),MATCH(AE$5&amp;"",'Oxford Economics'!$A$6:$AZ$6,0))),'Oxford Economics'!$A$7:$A$1000,$C107,'Oxford Economics'!$B$7:$B$1000,Settings!$B$14),SUMIFS(INDEX('Oxford Economics'!$A$7:$AZ$1000,0,IFERROR(MATCH(AE$5,'Oxford Economics'!$A$6:$AZ$6,0),MATCH(AE$5&amp;"",'Oxford Economics'!$A$6:$AZ$6,0))),'Oxford Economics'!$A$7:$A$1000,$C107,'Oxford Economics'!$B$7:$B$1000,Settings!$B$14)+SUMIFS(INDEX('Oxford Economics'!$A$7:$AZ$1000,0,IFERROR(MATCH(AE$5,'Oxford Economics'!$A$6:$AZ$6,0),MATCH(AE$5&amp;"",'Oxford Economics'!$A$6:$AZ$6,0))),'Oxford Economics'!$A$7:$A$1000,$C107,'Oxford Economics'!$B$7:$B$1000,Settings!$B$16)+IF(Settings!$B$18="",0,SUMIFS(INDEX('Oxford Economics'!$A$7:$AZ$1000,0,IFERROR(MATCH(AE$5,'Oxford Economics'!$A$6:$AZ$6,0),MATCH(AE$5&amp;"",'Oxford Economics'!$A$6:$AZ$6,0))),'Oxford Economics'!$A$7:$A$1000,$C107,'Oxford Economics'!$B$7:$B$1000,Settings!$B$18)))),""))</f>
        <v>3680.19</v>
      </c>
      <c r="AF107" s="38" t="n">
        <f aca="false">IF($A107="","",IFERROR(1/(1/IF($B107="Residential",SUMIFS(INDEX('Oxford Economics'!$A$7:$AZ$1000,0,IFERROR(MATCH(AF$5,'Oxford Economics'!$A$6:$AZ$6,0),MATCH(AF$5&amp;"",'Oxford Economics'!$A$6:$AZ$6,0))),'Oxford Economics'!$A$7:$A$1000,$C107,'Oxford Economics'!$B$7:$B$1000,Settings!$B$12)-SUMIFS(INDEX('Oxford Economics'!$A$7:$AZ$1000,0,IFERROR(MATCH(AF$5,'Oxford Economics'!$A$6:$AZ$6,0),MATCH(AF$5&amp;"",'Oxford Economics'!$A$6:$AZ$6,0))),'Oxford Economics'!$A$7:$A$1000,$C107,'Oxford Economics'!$B$7:$B$1000,Settings!$B$14),SUMIFS(INDEX('Oxford Economics'!$A$7:$AZ$1000,0,IFERROR(MATCH(AF$5,'Oxford Economics'!$A$6:$AZ$6,0),MATCH(AF$5&amp;"",'Oxford Economics'!$A$6:$AZ$6,0))),'Oxford Economics'!$A$7:$A$1000,$C107,'Oxford Economics'!$B$7:$B$1000,Settings!$B$14)+SUMIFS(INDEX('Oxford Economics'!$A$7:$AZ$1000,0,IFERROR(MATCH(AF$5,'Oxford Economics'!$A$6:$AZ$6,0),MATCH(AF$5&amp;"",'Oxford Economics'!$A$6:$AZ$6,0))),'Oxford Economics'!$A$7:$A$1000,$C107,'Oxford Economics'!$B$7:$B$1000,Settings!$B$16)+IF(Settings!$B$18="",0,SUMIFS(INDEX('Oxford Economics'!$A$7:$AZ$1000,0,IFERROR(MATCH(AF$5,'Oxford Economics'!$A$6:$AZ$6,0),MATCH(AF$5&amp;"",'Oxford Economics'!$A$6:$AZ$6,0))),'Oxford Economics'!$A$7:$A$1000,$C107,'Oxford Economics'!$B$7:$B$1000,Settings!$B$18)))),""))</f>
        <v>3760.6</v>
      </c>
      <c r="AG107" s="38" t="n">
        <f aca="false">IF($A107="","",IFERROR(1/(1/IF($B107="Residential",SUMIFS(INDEX('Oxford Economics'!$A$7:$AZ$1000,0,IFERROR(MATCH(AG$5,'Oxford Economics'!$A$6:$AZ$6,0),MATCH(AG$5&amp;"",'Oxford Economics'!$A$6:$AZ$6,0))),'Oxford Economics'!$A$7:$A$1000,$C107,'Oxford Economics'!$B$7:$B$1000,Settings!$B$12)-SUMIFS(INDEX('Oxford Economics'!$A$7:$AZ$1000,0,IFERROR(MATCH(AG$5,'Oxford Economics'!$A$6:$AZ$6,0),MATCH(AG$5&amp;"",'Oxford Economics'!$A$6:$AZ$6,0))),'Oxford Economics'!$A$7:$A$1000,$C107,'Oxford Economics'!$B$7:$B$1000,Settings!$B$14),SUMIFS(INDEX('Oxford Economics'!$A$7:$AZ$1000,0,IFERROR(MATCH(AG$5,'Oxford Economics'!$A$6:$AZ$6,0),MATCH(AG$5&amp;"",'Oxford Economics'!$A$6:$AZ$6,0))),'Oxford Economics'!$A$7:$A$1000,$C107,'Oxford Economics'!$B$7:$B$1000,Settings!$B$14)+SUMIFS(INDEX('Oxford Economics'!$A$7:$AZ$1000,0,IFERROR(MATCH(AG$5,'Oxford Economics'!$A$6:$AZ$6,0),MATCH(AG$5&amp;"",'Oxford Economics'!$A$6:$AZ$6,0))),'Oxford Economics'!$A$7:$A$1000,$C107,'Oxford Economics'!$B$7:$B$1000,Settings!$B$16)+IF(Settings!$B$18="",0,SUMIFS(INDEX('Oxford Economics'!$A$7:$AZ$1000,0,IFERROR(MATCH(AG$5,'Oxford Economics'!$A$6:$AZ$6,0),MATCH(AG$5&amp;"",'Oxford Economics'!$A$6:$AZ$6,0))),'Oxford Economics'!$A$7:$A$1000,$C107,'Oxford Economics'!$B$7:$B$1000,Settings!$B$18)))),""))</f>
        <v>3876.35</v>
      </c>
      <c r="AH107" s="38" t="n">
        <f aca="false">IF($A107="","",IFERROR(1/(1/IF($B107="Residential",SUMIFS(INDEX('Oxford Economics'!$A$7:$AZ$1000,0,IFERROR(MATCH(AH$5,'Oxford Economics'!$A$6:$AZ$6,0),MATCH(AH$5&amp;"",'Oxford Economics'!$A$6:$AZ$6,0))),'Oxford Economics'!$A$7:$A$1000,$C107,'Oxford Economics'!$B$7:$B$1000,Settings!$B$12)-SUMIFS(INDEX('Oxford Economics'!$A$7:$AZ$1000,0,IFERROR(MATCH(AH$5,'Oxford Economics'!$A$6:$AZ$6,0),MATCH(AH$5&amp;"",'Oxford Economics'!$A$6:$AZ$6,0))),'Oxford Economics'!$A$7:$A$1000,$C107,'Oxford Economics'!$B$7:$B$1000,Settings!$B$14),SUMIFS(INDEX('Oxford Economics'!$A$7:$AZ$1000,0,IFERROR(MATCH(AH$5,'Oxford Economics'!$A$6:$AZ$6,0),MATCH(AH$5&amp;"",'Oxford Economics'!$A$6:$AZ$6,0))),'Oxford Economics'!$A$7:$A$1000,$C107,'Oxford Economics'!$B$7:$B$1000,Settings!$B$14)+SUMIFS(INDEX('Oxford Economics'!$A$7:$AZ$1000,0,IFERROR(MATCH(AH$5,'Oxford Economics'!$A$6:$AZ$6,0),MATCH(AH$5&amp;"",'Oxford Economics'!$A$6:$AZ$6,0))),'Oxford Economics'!$A$7:$A$1000,$C107,'Oxford Economics'!$B$7:$B$1000,Settings!$B$16)+IF(Settings!$B$18="",0,SUMIFS(INDEX('Oxford Economics'!$A$7:$AZ$1000,0,IFERROR(MATCH(AH$5,'Oxford Economics'!$A$6:$AZ$6,0),MATCH(AH$5&amp;"",'Oxford Economics'!$A$6:$AZ$6,0))),'Oxford Economics'!$A$7:$A$1000,$C107,'Oxford Economics'!$B$7:$B$1000,Settings!$B$18)))),""))</f>
        <v>4190.3</v>
      </c>
      <c r="AI107" s="38" t="n">
        <f aca="false">IF($A107="","",IFERROR(1/(1/IF($B107="Residential",SUMIFS(INDEX('Oxford Economics'!$A$7:$AZ$1000,0,IFERROR(MATCH(AI$5,'Oxford Economics'!$A$6:$AZ$6,0),MATCH(AI$5&amp;"",'Oxford Economics'!$A$6:$AZ$6,0))),'Oxford Economics'!$A$7:$A$1000,$C107,'Oxford Economics'!$B$7:$B$1000,Settings!$B$12)-SUMIFS(INDEX('Oxford Economics'!$A$7:$AZ$1000,0,IFERROR(MATCH(AI$5,'Oxford Economics'!$A$6:$AZ$6,0),MATCH(AI$5&amp;"",'Oxford Economics'!$A$6:$AZ$6,0))),'Oxford Economics'!$A$7:$A$1000,$C107,'Oxford Economics'!$B$7:$B$1000,Settings!$B$14),SUMIFS(INDEX('Oxford Economics'!$A$7:$AZ$1000,0,IFERROR(MATCH(AI$5,'Oxford Economics'!$A$6:$AZ$6,0),MATCH(AI$5&amp;"",'Oxford Economics'!$A$6:$AZ$6,0))),'Oxford Economics'!$A$7:$A$1000,$C107,'Oxford Economics'!$B$7:$B$1000,Settings!$B$14)+SUMIFS(INDEX('Oxford Economics'!$A$7:$AZ$1000,0,IFERROR(MATCH(AI$5,'Oxford Economics'!$A$6:$AZ$6,0),MATCH(AI$5&amp;"",'Oxford Economics'!$A$6:$AZ$6,0))),'Oxford Economics'!$A$7:$A$1000,$C107,'Oxford Economics'!$B$7:$B$1000,Settings!$B$16)+IF(Settings!$B$18="",0,SUMIFS(INDEX('Oxford Economics'!$A$7:$AZ$1000,0,IFERROR(MATCH(AI$5,'Oxford Economics'!$A$6:$AZ$6,0),MATCH(AI$5&amp;"",'Oxford Economics'!$A$6:$AZ$6,0))),'Oxford Economics'!$A$7:$A$1000,$C107,'Oxford Economics'!$B$7:$B$1000,Settings!$B$18)))),""))</f>
        <v>4302.04</v>
      </c>
      <c r="AJ107" s="38" t="n">
        <f aca="false">IF($A107="","",IFERROR(1/(1/IF($B107="Residential",SUMIFS(INDEX('Oxford Economics'!$A$7:$AZ$1000,0,IFERROR(MATCH(AJ$5,'Oxford Economics'!$A$6:$AZ$6,0),MATCH(AJ$5&amp;"",'Oxford Economics'!$A$6:$AZ$6,0))),'Oxford Economics'!$A$7:$A$1000,$C107,'Oxford Economics'!$B$7:$B$1000,Settings!$B$12)-SUMIFS(INDEX('Oxford Economics'!$A$7:$AZ$1000,0,IFERROR(MATCH(AJ$5,'Oxford Economics'!$A$6:$AZ$6,0),MATCH(AJ$5&amp;"",'Oxford Economics'!$A$6:$AZ$6,0))),'Oxford Economics'!$A$7:$A$1000,$C107,'Oxford Economics'!$B$7:$B$1000,Settings!$B$14),SUMIFS(INDEX('Oxford Economics'!$A$7:$AZ$1000,0,IFERROR(MATCH(AJ$5,'Oxford Economics'!$A$6:$AZ$6,0),MATCH(AJ$5&amp;"",'Oxford Economics'!$A$6:$AZ$6,0))),'Oxford Economics'!$A$7:$A$1000,$C107,'Oxford Economics'!$B$7:$B$1000,Settings!$B$14)+SUMIFS(INDEX('Oxford Economics'!$A$7:$AZ$1000,0,IFERROR(MATCH(AJ$5,'Oxford Economics'!$A$6:$AZ$6,0),MATCH(AJ$5&amp;"",'Oxford Economics'!$A$6:$AZ$6,0))),'Oxford Economics'!$A$7:$A$1000,$C107,'Oxford Economics'!$B$7:$B$1000,Settings!$B$16)+IF(Settings!$B$18="",0,SUMIFS(INDEX('Oxford Economics'!$A$7:$AZ$1000,0,IFERROR(MATCH(AJ$5,'Oxford Economics'!$A$6:$AZ$6,0),MATCH(AJ$5&amp;"",'Oxford Economics'!$A$6:$AZ$6,0))),'Oxford Economics'!$A$7:$A$1000,$C107,'Oxford Economics'!$B$7:$B$1000,Settings!$B$18)))),""))</f>
        <v>4383.88</v>
      </c>
      <c r="AK107" s="38" t="n">
        <f aca="false">IF($A107="","",IFERROR(1/(1/IF($B107="Residential",SUMIFS(INDEX('Oxford Economics'!$A$7:$AZ$1000,0,IFERROR(MATCH(AK$5,'Oxford Economics'!$A$6:$AZ$6,0),MATCH(AK$5&amp;"",'Oxford Economics'!$A$6:$AZ$6,0))),'Oxford Economics'!$A$7:$A$1000,$C107,'Oxford Economics'!$B$7:$B$1000,Settings!$B$12)-SUMIFS(INDEX('Oxford Economics'!$A$7:$AZ$1000,0,IFERROR(MATCH(AK$5,'Oxford Economics'!$A$6:$AZ$6,0),MATCH(AK$5&amp;"",'Oxford Economics'!$A$6:$AZ$6,0))),'Oxford Economics'!$A$7:$A$1000,$C107,'Oxford Economics'!$B$7:$B$1000,Settings!$B$14),SUMIFS(INDEX('Oxford Economics'!$A$7:$AZ$1000,0,IFERROR(MATCH(AK$5,'Oxford Economics'!$A$6:$AZ$6,0),MATCH(AK$5&amp;"",'Oxford Economics'!$A$6:$AZ$6,0))),'Oxford Economics'!$A$7:$A$1000,$C107,'Oxford Economics'!$B$7:$B$1000,Settings!$B$14)+SUMIFS(INDEX('Oxford Economics'!$A$7:$AZ$1000,0,IFERROR(MATCH(AK$5,'Oxford Economics'!$A$6:$AZ$6,0),MATCH(AK$5&amp;"",'Oxford Economics'!$A$6:$AZ$6,0))),'Oxford Economics'!$A$7:$A$1000,$C107,'Oxford Economics'!$B$7:$B$1000,Settings!$B$16)+IF(Settings!$B$18="",0,SUMIFS(INDEX('Oxford Economics'!$A$7:$AZ$1000,0,IFERROR(MATCH(AK$5,'Oxford Economics'!$A$6:$AZ$6,0),MATCH(AK$5&amp;"",'Oxford Economics'!$A$6:$AZ$6,0))),'Oxford Economics'!$A$7:$A$1000,$C107,'Oxford Economics'!$B$7:$B$1000,Settings!$B$18)))),""))</f>
        <v>4474.59</v>
      </c>
      <c r="AL107" s="38" t="n">
        <f aca="false">IF($A107="","",IFERROR(1/(1/IF($B107="Residential",SUMIFS(INDEX('Oxford Economics'!$A$7:$AZ$1000,0,IFERROR(MATCH(AL$5,'Oxford Economics'!$A$6:$AZ$6,0),MATCH(AL$5&amp;"",'Oxford Economics'!$A$6:$AZ$6,0))),'Oxford Economics'!$A$7:$A$1000,$C107,'Oxford Economics'!$B$7:$B$1000,Settings!$B$12)-SUMIFS(INDEX('Oxford Economics'!$A$7:$AZ$1000,0,IFERROR(MATCH(AL$5,'Oxford Economics'!$A$6:$AZ$6,0),MATCH(AL$5&amp;"",'Oxford Economics'!$A$6:$AZ$6,0))),'Oxford Economics'!$A$7:$A$1000,$C107,'Oxford Economics'!$B$7:$B$1000,Settings!$B$14),SUMIFS(INDEX('Oxford Economics'!$A$7:$AZ$1000,0,IFERROR(MATCH(AL$5,'Oxford Economics'!$A$6:$AZ$6,0),MATCH(AL$5&amp;"",'Oxford Economics'!$A$6:$AZ$6,0))),'Oxford Economics'!$A$7:$A$1000,$C107,'Oxford Economics'!$B$7:$B$1000,Settings!$B$14)+SUMIFS(INDEX('Oxford Economics'!$A$7:$AZ$1000,0,IFERROR(MATCH(AL$5,'Oxford Economics'!$A$6:$AZ$6,0),MATCH(AL$5&amp;"",'Oxford Economics'!$A$6:$AZ$6,0))),'Oxford Economics'!$A$7:$A$1000,$C107,'Oxford Economics'!$B$7:$B$1000,Settings!$B$16)+IF(Settings!$B$18="",0,SUMIFS(INDEX('Oxford Economics'!$A$7:$AZ$1000,0,IFERROR(MATCH(AL$5,'Oxford Economics'!$A$6:$AZ$6,0),MATCH(AL$5&amp;"",'Oxford Economics'!$A$6:$AZ$6,0))),'Oxford Economics'!$A$7:$A$1000,$C107,'Oxford Economics'!$B$7:$B$1000,Settings!$B$18)))),""))</f>
        <v>4603.53</v>
      </c>
      <c r="AM107" s="38" t="n">
        <f aca="false">IF($A107="","",IFERROR(1/(1/IF($B107="Residential",SUMIFS(INDEX('Oxford Economics'!$A$7:$AZ$1000,0,IFERROR(MATCH(AM$5,'Oxford Economics'!$A$6:$AZ$6,0),MATCH(AM$5&amp;"",'Oxford Economics'!$A$6:$AZ$6,0))),'Oxford Economics'!$A$7:$A$1000,$C107,'Oxford Economics'!$B$7:$B$1000,Settings!$B$12)-SUMIFS(INDEX('Oxford Economics'!$A$7:$AZ$1000,0,IFERROR(MATCH(AM$5,'Oxford Economics'!$A$6:$AZ$6,0),MATCH(AM$5&amp;"",'Oxford Economics'!$A$6:$AZ$6,0))),'Oxford Economics'!$A$7:$A$1000,$C107,'Oxford Economics'!$B$7:$B$1000,Settings!$B$14),SUMIFS(INDEX('Oxford Economics'!$A$7:$AZ$1000,0,IFERROR(MATCH(AM$5,'Oxford Economics'!$A$6:$AZ$6,0),MATCH(AM$5&amp;"",'Oxford Economics'!$A$6:$AZ$6,0))),'Oxford Economics'!$A$7:$A$1000,$C107,'Oxford Economics'!$B$7:$B$1000,Settings!$B$14)+SUMIFS(INDEX('Oxford Economics'!$A$7:$AZ$1000,0,IFERROR(MATCH(AM$5,'Oxford Economics'!$A$6:$AZ$6,0),MATCH(AM$5&amp;"",'Oxford Economics'!$A$6:$AZ$6,0))),'Oxford Economics'!$A$7:$A$1000,$C107,'Oxford Economics'!$B$7:$B$1000,Settings!$B$16)+IF(Settings!$B$18="",0,SUMIFS(INDEX('Oxford Economics'!$A$7:$AZ$1000,0,IFERROR(MATCH(AM$5,'Oxford Economics'!$A$6:$AZ$6,0),MATCH(AM$5&amp;"",'Oxford Economics'!$A$6:$AZ$6,0))),'Oxford Economics'!$A$7:$A$1000,$C107,'Oxford Economics'!$B$7:$B$1000,Settings!$B$18)))),""))</f>
        <v>4698.88</v>
      </c>
    </row>
    <row r="108" customFormat="false" ht="15" hidden="false" customHeight="false" outlineLevel="0" collapsed="false">
      <c r="A108" s="37" t="str">
        <f aca="false">IF('Raw data'!$A108="","",'Raw data'!$A108)</f>
        <v/>
      </c>
      <c r="B108" s="37" t="str">
        <f aca="false">IF($A108="","",'Raw data'!$C108)</f>
        <v/>
      </c>
      <c r="C108" s="37" t="str">
        <f aca="false">IF($A108="","",IF('Raw data'!$E108="",$A108,'Raw data'!$E108))</f>
        <v/>
      </c>
      <c r="D108" s="38" t="str">
        <f aca="false">IF($A108="","",IF(AND(ISNUMBER(P108),ISNUMBER(AB108)),P108+AB108,""))</f>
        <v/>
      </c>
      <c r="E108" s="38" t="str">
        <f aca="false">IF($A108="","",IF(AND(ISNUMBER(Q108),ISNUMBER(AC108)),Q108+AC108,""))</f>
        <v/>
      </c>
      <c r="F108" s="38" t="str">
        <f aca="false">IF($A108="","",IF(AND(ISNUMBER(R108),ISNUMBER(AD108)),R108+AD108,""))</f>
        <v/>
      </c>
      <c r="G108" s="38" t="str">
        <f aca="false">IF($A108="","",IF(AND(ISNUMBER(S108),ISNUMBER(AE108)),S108+AE108,""))</f>
        <v/>
      </c>
      <c r="H108" s="38" t="str">
        <f aca="false">IF($A108="","",IF(AND(ISNUMBER(T108),ISNUMBER(AF108)),T108+AF108,""))</f>
        <v/>
      </c>
      <c r="I108" s="38" t="str">
        <f aca="false">IF($A108="","",IF(AND(ISNUMBER(U108),ISNUMBER(AG108)),U108+AG108,""))</f>
        <v/>
      </c>
      <c r="J108" s="38" t="str">
        <f aca="false">IF($A108="","",IF(AND(ISNUMBER(V108),ISNUMBER(AH108)),V108+AH108,""))</f>
        <v/>
      </c>
      <c r="K108" s="38" t="str">
        <f aca="false">IF($A108="","",IF(AND(ISNUMBER(W108),ISNUMBER(AI108)),W108+AI108,""))</f>
        <v/>
      </c>
      <c r="L108" s="38" t="str">
        <f aca="false">IF($A108="","",IF(AND(ISNUMBER(X108),ISNUMBER(AJ108)),X108+AJ108,""))</f>
        <v/>
      </c>
      <c r="M108" s="38" t="str">
        <f aca="false">IF($A108="","",IF(AND(ISNUMBER(Y108),ISNUMBER(AK108)),Y108+AK108,""))</f>
        <v/>
      </c>
      <c r="N108" s="38" t="str">
        <f aca="false">IF($A108="","",IF(AND(ISNUMBER(Z108),ISNUMBER(AL108)),Z108+AL108,""))</f>
        <v/>
      </c>
      <c r="O108" s="38" t="str">
        <f aca="false">IF($A108="","",IF(AND(ISNUMBER(AA108),ISNUMBER(AM108)),AA108+AM108,""))</f>
        <v/>
      </c>
      <c r="P108" s="38" t="str">
        <f aca="false">IF($A108="","",IFERROR(1/(1/IF($B108="Residential",SUMIFS(INDEX('Oxford Economics'!$A$7:$AZ$1000,0,IFERROR(MATCH(P$5,'Oxford Economics'!$A$6:$AZ$6,0),MATCH(P$5&amp;"",'Oxford Economics'!$A$6:$AZ$6,0))),'Oxford Economics'!$A$7:$A$1000,$C108,'Oxford Economics'!$B$7:$B$1000,Settings!$B$13)-SUMIFS(INDEX('Oxford Economics'!$A$7:$AZ$1000,0,IFERROR(MATCH(P$5,'Oxford Economics'!$A$6:$AZ$6,0),MATCH(P$5&amp;"",'Oxford Economics'!$A$6:$AZ$6,0))),'Oxford Economics'!$A$7:$A$1000,$C108,'Oxford Economics'!$B$7:$B$1000,Settings!$B$15),SUMIFS(INDEX('Oxford Economics'!$A$7:$AZ$1000,0,IFERROR(MATCH(P$5,'Oxford Economics'!$A$6:$AZ$6,0),MATCH(P$5&amp;"",'Oxford Economics'!$A$6:$AZ$6,0))),'Oxford Economics'!$A$7:$A$1000,$C108,'Oxford Economics'!$B$7:$B$1000,Settings!$B$15)+SUMIFS(INDEX('Oxford Economics'!$A$7:$AZ$1000,0,IFERROR(MATCH(P$5,'Oxford Economics'!$A$6:$AZ$6,0),MATCH(P$5&amp;"",'Oxford Economics'!$A$6:$AZ$6,0))),'Oxford Economics'!$A$7:$A$1000,$C108,'Oxford Economics'!$B$7:$B$1000,Settings!$B$17)+IF(Settings!$B$19="",0,SUMIFS(INDEX('Oxford Economics'!$A$7:$AZ$1000,0,IFERROR(MATCH(P$5,'Oxford Economics'!$A$6:$AZ$6,0),MATCH(P$5&amp;"",'Oxford Economics'!$A$6:$AZ$6,0))),'Oxford Economics'!$A$7:$A$1000,$C108,'Oxford Economics'!$B$7:$B$1000,Settings!$B$19)))),""))</f>
        <v/>
      </c>
      <c r="Q108" s="38" t="str">
        <f aca="false">IF($A108="","",IFERROR(1/(1/IF($B108="Residential",SUMIFS(INDEX('Oxford Economics'!$A$7:$AZ$1000,0,IFERROR(MATCH(Q$5,'Oxford Economics'!$A$6:$AZ$6,0),MATCH(Q$5&amp;"",'Oxford Economics'!$A$6:$AZ$6,0))),'Oxford Economics'!$A$7:$A$1000,$C108,'Oxford Economics'!$B$7:$B$1000,Settings!$B$13)-SUMIFS(INDEX('Oxford Economics'!$A$7:$AZ$1000,0,IFERROR(MATCH(Q$5,'Oxford Economics'!$A$6:$AZ$6,0),MATCH(Q$5&amp;"",'Oxford Economics'!$A$6:$AZ$6,0))),'Oxford Economics'!$A$7:$A$1000,$C108,'Oxford Economics'!$B$7:$B$1000,Settings!$B$15),SUMIFS(INDEX('Oxford Economics'!$A$7:$AZ$1000,0,IFERROR(MATCH(Q$5,'Oxford Economics'!$A$6:$AZ$6,0),MATCH(Q$5&amp;"",'Oxford Economics'!$A$6:$AZ$6,0))),'Oxford Economics'!$A$7:$A$1000,$C108,'Oxford Economics'!$B$7:$B$1000,Settings!$B$15)+SUMIFS(INDEX('Oxford Economics'!$A$7:$AZ$1000,0,IFERROR(MATCH(Q$5,'Oxford Economics'!$A$6:$AZ$6,0),MATCH(Q$5&amp;"",'Oxford Economics'!$A$6:$AZ$6,0))),'Oxford Economics'!$A$7:$A$1000,$C108,'Oxford Economics'!$B$7:$B$1000,Settings!$B$17)+IF(Settings!$B$19="",0,SUMIFS(INDEX('Oxford Economics'!$A$7:$AZ$1000,0,IFERROR(MATCH(Q$5,'Oxford Economics'!$A$6:$AZ$6,0),MATCH(Q$5&amp;"",'Oxford Economics'!$A$6:$AZ$6,0))),'Oxford Economics'!$A$7:$A$1000,$C108,'Oxford Economics'!$B$7:$B$1000,Settings!$B$19)))),""))</f>
        <v/>
      </c>
      <c r="R108" s="38" t="str">
        <f aca="false">IF($A108="","",IFERROR(1/(1/IF($B108="Residential",SUMIFS(INDEX('Oxford Economics'!$A$7:$AZ$1000,0,IFERROR(MATCH(R$5,'Oxford Economics'!$A$6:$AZ$6,0),MATCH(R$5&amp;"",'Oxford Economics'!$A$6:$AZ$6,0))),'Oxford Economics'!$A$7:$A$1000,$C108,'Oxford Economics'!$B$7:$B$1000,Settings!$B$13)-SUMIFS(INDEX('Oxford Economics'!$A$7:$AZ$1000,0,IFERROR(MATCH(R$5,'Oxford Economics'!$A$6:$AZ$6,0),MATCH(R$5&amp;"",'Oxford Economics'!$A$6:$AZ$6,0))),'Oxford Economics'!$A$7:$A$1000,$C108,'Oxford Economics'!$B$7:$B$1000,Settings!$B$15),SUMIFS(INDEX('Oxford Economics'!$A$7:$AZ$1000,0,IFERROR(MATCH(R$5,'Oxford Economics'!$A$6:$AZ$6,0),MATCH(R$5&amp;"",'Oxford Economics'!$A$6:$AZ$6,0))),'Oxford Economics'!$A$7:$A$1000,$C108,'Oxford Economics'!$B$7:$B$1000,Settings!$B$15)+SUMIFS(INDEX('Oxford Economics'!$A$7:$AZ$1000,0,IFERROR(MATCH(R$5,'Oxford Economics'!$A$6:$AZ$6,0),MATCH(R$5&amp;"",'Oxford Economics'!$A$6:$AZ$6,0))),'Oxford Economics'!$A$7:$A$1000,$C108,'Oxford Economics'!$B$7:$B$1000,Settings!$B$17)+IF(Settings!$B$19="",0,SUMIFS(INDEX('Oxford Economics'!$A$7:$AZ$1000,0,IFERROR(MATCH(R$5,'Oxford Economics'!$A$6:$AZ$6,0),MATCH(R$5&amp;"",'Oxford Economics'!$A$6:$AZ$6,0))),'Oxford Economics'!$A$7:$A$1000,$C108,'Oxford Economics'!$B$7:$B$1000,Settings!$B$19)))),""))</f>
        <v/>
      </c>
      <c r="S108" s="38" t="str">
        <f aca="false">IF($A108="","",IFERROR(1/(1/IF($B108="Residential",SUMIFS(INDEX('Oxford Economics'!$A$7:$AZ$1000,0,IFERROR(MATCH(S$5,'Oxford Economics'!$A$6:$AZ$6,0),MATCH(S$5&amp;"",'Oxford Economics'!$A$6:$AZ$6,0))),'Oxford Economics'!$A$7:$A$1000,$C108,'Oxford Economics'!$B$7:$B$1000,Settings!$B$13)-SUMIFS(INDEX('Oxford Economics'!$A$7:$AZ$1000,0,IFERROR(MATCH(S$5,'Oxford Economics'!$A$6:$AZ$6,0),MATCH(S$5&amp;"",'Oxford Economics'!$A$6:$AZ$6,0))),'Oxford Economics'!$A$7:$A$1000,$C108,'Oxford Economics'!$B$7:$B$1000,Settings!$B$15),SUMIFS(INDEX('Oxford Economics'!$A$7:$AZ$1000,0,IFERROR(MATCH(S$5,'Oxford Economics'!$A$6:$AZ$6,0),MATCH(S$5&amp;"",'Oxford Economics'!$A$6:$AZ$6,0))),'Oxford Economics'!$A$7:$A$1000,$C108,'Oxford Economics'!$B$7:$B$1000,Settings!$B$15)+SUMIFS(INDEX('Oxford Economics'!$A$7:$AZ$1000,0,IFERROR(MATCH(S$5,'Oxford Economics'!$A$6:$AZ$6,0),MATCH(S$5&amp;"",'Oxford Economics'!$A$6:$AZ$6,0))),'Oxford Economics'!$A$7:$A$1000,$C108,'Oxford Economics'!$B$7:$B$1000,Settings!$B$17)+IF(Settings!$B$19="",0,SUMIFS(INDEX('Oxford Economics'!$A$7:$AZ$1000,0,IFERROR(MATCH(S$5,'Oxford Economics'!$A$6:$AZ$6,0),MATCH(S$5&amp;"",'Oxford Economics'!$A$6:$AZ$6,0))),'Oxford Economics'!$A$7:$A$1000,$C108,'Oxford Economics'!$B$7:$B$1000,Settings!$B$19)))),""))</f>
        <v/>
      </c>
      <c r="T108" s="38" t="str">
        <f aca="false">IF($A108="","",IFERROR(1/(1/IF($B108="Residential",SUMIFS(INDEX('Oxford Economics'!$A$7:$AZ$1000,0,IFERROR(MATCH(T$5,'Oxford Economics'!$A$6:$AZ$6,0),MATCH(T$5&amp;"",'Oxford Economics'!$A$6:$AZ$6,0))),'Oxford Economics'!$A$7:$A$1000,$C108,'Oxford Economics'!$B$7:$B$1000,Settings!$B$13)-SUMIFS(INDEX('Oxford Economics'!$A$7:$AZ$1000,0,IFERROR(MATCH(T$5,'Oxford Economics'!$A$6:$AZ$6,0),MATCH(T$5&amp;"",'Oxford Economics'!$A$6:$AZ$6,0))),'Oxford Economics'!$A$7:$A$1000,$C108,'Oxford Economics'!$B$7:$B$1000,Settings!$B$15),SUMIFS(INDEX('Oxford Economics'!$A$7:$AZ$1000,0,IFERROR(MATCH(T$5,'Oxford Economics'!$A$6:$AZ$6,0),MATCH(T$5&amp;"",'Oxford Economics'!$A$6:$AZ$6,0))),'Oxford Economics'!$A$7:$A$1000,$C108,'Oxford Economics'!$B$7:$B$1000,Settings!$B$15)+SUMIFS(INDEX('Oxford Economics'!$A$7:$AZ$1000,0,IFERROR(MATCH(T$5,'Oxford Economics'!$A$6:$AZ$6,0),MATCH(T$5&amp;"",'Oxford Economics'!$A$6:$AZ$6,0))),'Oxford Economics'!$A$7:$A$1000,$C108,'Oxford Economics'!$B$7:$B$1000,Settings!$B$17)+IF(Settings!$B$19="",0,SUMIFS(INDEX('Oxford Economics'!$A$7:$AZ$1000,0,IFERROR(MATCH(T$5,'Oxford Economics'!$A$6:$AZ$6,0),MATCH(T$5&amp;"",'Oxford Economics'!$A$6:$AZ$6,0))),'Oxford Economics'!$A$7:$A$1000,$C108,'Oxford Economics'!$B$7:$B$1000,Settings!$B$19)))),""))</f>
        <v/>
      </c>
      <c r="U108" s="38" t="str">
        <f aca="false">IF($A108="","",IFERROR(1/(1/IF($B108="Residential",SUMIFS(INDEX('Oxford Economics'!$A$7:$AZ$1000,0,IFERROR(MATCH(U$5,'Oxford Economics'!$A$6:$AZ$6,0),MATCH(U$5&amp;"",'Oxford Economics'!$A$6:$AZ$6,0))),'Oxford Economics'!$A$7:$A$1000,$C108,'Oxford Economics'!$B$7:$B$1000,Settings!$B$13)-SUMIFS(INDEX('Oxford Economics'!$A$7:$AZ$1000,0,IFERROR(MATCH(U$5,'Oxford Economics'!$A$6:$AZ$6,0),MATCH(U$5&amp;"",'Oxford Economics'!$A$6:$AZ$6,0))),'Oxford Economics'!$A$7:$A$1000,$C108,'Oxford Economics'!$B$7:$B$1000,Settings!$B$15),SUMIFS(INDEX('Oxford Economics'!$A$7:$AZ$1000,0,IFERROR(MATCH(U$5,'Oxford Economics'!$A$6:$AZ$6,0),MATCH(U$5&amp;"",'Oxford Economics'!$A$6:$AZ$6,0))),'Oxford Economics'!$A$7:$A$1000,$C108,'Oxford Economics'!$B$7:$B$1000,Settings!$B$15)+SUMIFS(INDEX('Oxford Economics'!$A$7:$AZ$1000,0,IFERROR(MATCH(U$5,'Oxford Economics'!$A$6:$AZ$6,0),MATCH(U$5&amp;"",'Oxford Economics'!$A$6:$AZ$6,0))),'Oxford Economics'!$A$7:$A$1000,$C108,'Oxford Economics'!$B$7:$B$1000,Settings!$B$17)+IF(Settings!$B$19="",0,SUMIFS(INDEX('Oxford Economics'!$A$7:$AZ$1000,0,IFERROR(MATCH(U$5,'Oxford Economics'!$A$6:$AZ$6,0),MATCH(U$5&amp;"",'Oxford Economics'!$A$6:$AZ$6,0))),'Oxford Economics'!$A$7:$A$1000,$C108,'Oxford Economics'!$B$7:$B$1000,Settings!$B$19)))),""))</f>
        <v/>
      </c>
      <c r="V108" s="38" t="str">
        <f aca="false">IF($A108="","",IFERROR(1/(1/IF($B108="Residential",SUMIFS(INDEX('Oxford Economics'!$A$7:$AZ$1000,0,IFERROR(MATCH(V$5,'Oxford Economics'!$A$6:$AZ$6,0),MATCH(V$5&amp;"",'Oxford Economics'!$A$6:$AZ$6,0))),'Oxford Economics'!$A$7:$A$1000,$C108,'Oxford Economics'!$B$7:$B$1000,Settings!$B$13)-SUMIFS(INDEX('Oxford Economics'!$A$7:$AZ$1000,0,IFERROR(MATCH(V$5,'Oxford Economics'!$A$6:$AZ$6,0),MATCH(V$5&amp;"",'Oxford Economics'!$A$6:$AZ$6,0))),'Oxford Economics'!$A$7:$A$1000,$C108,'Oxford Economics'!$B$7:$B$1000,Settings!$B$15),SUMIFS(INDEX('Oxford Economics'!$A$7:$AZ$1000,0,IFERROR(MATCH(V$5,'Oxford Economics'!$A$6:$AZ$6,0),MATCH(V$5&amp;"",'Oxford Economics'!$A$6:$AZ$6,0))),'Oxford Economics'!$A$7:$A$1000,$C108,'Oxford Economics'!$B$7:$B$1000,Settings!$B$15)+SUMIFS(INDEX('Oxford Economics'!$A$7:$AZ$1000,0,IFERROR(MATCH(V$5,'Oxford Economics'!$A$6:$AZ$6,0),MATCH(V$5&amp;"",'Oxford Economics'!$A$6:$AZ$6,0))),'Oxford Economics'!$A$7:$A$1000,$C108,'Oxford Economics'!$B$7:$B$1000,Settings!$B$17)+IF(Settings!$B$19="",0,SUMIFS(INDEX('Oxford Economics'!$A$7:$AZ$1000,0,IFERROR(MATCH(V$5,'Oxford Economics'!$A$6:$AZ$6,0),MATCH(V$5&amp;"",'Oxford Economics'!$A$6:$AZ$6,0))),'Oxford Economics'!$A$7:$A$1000,$C108,'Oxford Economics'!$B$7:$B$1000,Settings!$B$19)))),""))</f>
        <v/>
      </c>
      <c r="W108" s="38" t="str">
        <f aca="false">IF($A108="","",IFERROR(1/(1/IF($B108="Residential",SUMIFS(INDEX('Oxford Economics'!$A$7:$AZ$1000,0,IFERROR(MATCH(W$5,'Oxford Economics'!$A$6:$AZ$6,0),MATCH(W$5&amp;"",'Oxford Economics'!$A$6:$AZ$6,0))),'Oxford Economics'!$A$7:$A$1000,$C108,'Oxford Economics'!$B$7:$B$1000,Settings!$B$13)-SUMIFS(INDEX('Oxford Economics'!$A$7:$AZ$1000,0,IFERROR(MATCH(W$5,'Oxford Economics'!$A$6:$AZ$6,0),MATCH(W$5&amp;"",'Oxford Economics'!$A$6:$AZ$6,0))),'Oxford Economics'!$A$7:$A$1000,$C108,'Oxford Economics'!$B$7:$B$1000,Settings!$B$15),SUMIFS(INDEX('Oxford Economics'!$A$7:$AZ$1000,0,IFERROR(MATCH(W$5,'Oxford Economics'!$A$6:$AZ$6,0),MATCH(W$5&amp;"",'Oxford Economics'!$A$6:$AZ$6,0))),'Oxford Economics'!$A$7:$A$1000,$C108,'Oxford Economics'!$B$7:$B$1000,Settings!$B$15)+SUMIFS(INDEX('Oxford Economics'!$A$7:$AZ$1000,0,IFERROR(MATCH(W$5,'Oxford Economics'!$A$6:$AZ$6,0),MATCH(W$5&amp;"",'Oxford Economics'!$A$6:$AZ$6,0))),'Oxford Economics'!$A$7:$A$1000,$C108,'Oxford Economics'!$B$7:$B$1000,Settings!$B$17)+IF(Settings!$B$19="",0,SUMIFS(INDEX('Oxford Economics'!$A$7:$AZ$1000,0,IFERROR(MATCH(W$5,'Oxford Economics'!$A$6:$AZ$6,0),MATCH(W$5&amp;"",'Oxford Economics'!$A$6:$AZ$6,0))),'Oxford Economics'!$A$7:$A$1000,$C108,'Oxford Economics'!$B$7:$B$1000,Settings!$B$19)))),""))</f>
        <v/>
      </c>
      <c r="X108" s="38" t="str">
        <f aca="false">IF($A108="","",IFERROR(1/(1/IF($B108="Residential",SUMIFS(INDEX('Oxford Economics'!$A$7:$AZ$1000,0,IFERROR(MATCH(X$5,'Oxford Economics'!$A$6:$AZ$6,0),MATCH(X$5&amp;"",'Oxford Economics'!$A$6:$AZ$6,0))),'Oxford Economics'!$A$7:$A$1000,$C108,'Oxford Economics'!$B$7:$B$1000,Settings!$B$13)-SUMIFS(INDEX('Oxford Economics'!$A$7:$AZ$1000,0,IFERROR(MATCH(X$5,'Oxford Economics'!$A$6:$AZ$6,0),MATCH(X$5&amp;"",'Oxford Economics'!$A$6:$AZ$6,0))),'Oxford Economics'!$A$7:$A$1000,$C108,'Oxford Economics'!$B$7:$B$1000,Settings!$B$15),SUMIFS(INDEX('Oxford Economics'!$A$7:$AZ$1000,0,IFERROR(MATCH(X$5,'Oxford Economics'!$A$6:$AZ$6,0),MATCH(X$5&amp;"",'Oxford Economics'!$A$6:$AZ$6,0))),'Oxford Economics'!$A$7:$A$1000,$C108,'Oxford Economics'!$B$7:$B$1000,Settings!$B$15)+SUMIFS(INDEX('Oxford Economics'!$A$7:$AZ$1000,0,IFERROR(MATCH(X$5,'Oxford Economics'!$A$6:$AZ$6,0),MATCH(X$5&amp;"",'Oxford Economics'!$A$6:$AZ$6,0))),'Oxford Economics'!$A$7:$A$1000,$C108,'Oxford Economics'!$B$7:$B$1000,Settings!$B$17)+IF(Settings!$B$19="",0,SUMIFS(INDEX('Oxford Economics'!$A$7:$AZ$1000,0,IFERROR(MATCH(X$5,'Oxford Economics'!$A$6:$AZ$6,0),MATCH(X$5&amp;"",'Oxford Economics'!$A$6:$AZ$6,0))),'Oxford Economics'!$A$7:$A$1000,$C108,'Oxford Economics'!$B$7:$B$1000,Settings!$B$19)))),""))</f>
        <v/>
      </c>
      <c r="Y108" s="38" t="str">
        <f aca="false">IF($A108="","",IFERROR(1/(1/IF($B108="Residential",SUMIFS(INDEX('Oxford Economics'!$A$7:$AZ$1000,0,IFERROR(MATCH(Y$5,'Oxford Economics'!$A$6:$AZ$6,0),MATCH(Y$5&amp;"",'Oxford Economics'!$A$6:$AZ$6,0))),'Oxford Economics'!$A$7:$A$1000,$C108,'Oxford Economics'!$B$7:$B$1000,Settings!$B$13)-SUMIFS(INDEX('Oxford Economics'!$A$7:$AZ$1000,0,IFERROR(MATCH(Y$5,'Oxford Economics'!$A$6:$AZ$6,0),MATCH(Y$5&amp;"",'Oxford Economics'!$A$6:$AZ$6,0))),'Oxford Economics'!$A$7:$A$1000,$C108,'Oxford Economics'!$B$7:$B$1000,Settings!$B$15),SUMIFS(INDEX('Oxford Economics'!$A$7:$AZ$1000,0,IFERROR(MATCH(Y$5,'Oxford Economics'!$A$6:$AZ$6,0),MATCH(Y$5&amp;"",'Oxford Economics'!$A$6:$AZ$6,0))),'Oxford Economics'!$A$7:$A$1000,$C108,'Oxford Economics'!$B$7:$B$1000,Settings!$B$15)+SUMIFS(INDEX('Oxford Economics'!$A$7:$AZ$1000,0,IFERROR(MATCH(Y$5,'Oxford Economics'!$A$6:$AZ$6,0),MATCH(Y$5&amp;"",'Oxford Economics'!$A$6:$AZ$6,0))),'Oxford Economics'!$A$7:$A$1000,$C108,'Oxford Economics'!$B$7:$B$1000,Settings!$B$17)+IF(Settings!$B$19="",0,SUMIFS(INDEX('Oxford Economics'!$A$7:$AZ$1000,0,IFERROR(MATCH(Y$5,'Oxford Economics'!$A$6:$AZ$6,0),MATCH(Y$5&amp;"",'Oxford Economics'!$A$6:$AZ$6,0))),'Oxford Economics'!$A$7:$A$1000,$C108,'Oxford Economics'!$B$7:$B$1000,Settings!$B$19)))),""))</f>
        <v/>
      </c>
      <c r="Z108" s="38" t="str">
        <f aca="false">IF($A108="","",IFERROR(1/(1/IF($B108="Residential",SUMIFS(INDEX('Oxford Economics'!$A$7:$AZ$1000,0,IFERROR(MATCH(Z$5,'Oxford Economics'!$A$6:$AZ$6,0),MATCH(Z$5&amp;"",'Oxford Economics'!$A$6:$AZ$6,0))),'Oxford Economics'!$A$7:$A$1000,$C108,'Oxford Economics'!$B$7:$B$1000,Settings!$B$13)-SUMIFS(INDEX('Oxford Economics'!$A$7:$AZ$1000,0,IFERROR(MATCH(Z$5,'Oxford Economics'!$A$6:$AZ$6,0),MATCH(Z$5&amp;"",'Oxford Economics'!$A$6:$AZ$6,0))),'Oxford Economics'!$A$7:$A$1000,$C108,'Oxford Economics'!$B$7:$B$1000,Settings!$B$15),SUMIFS(INDEX('Oxford Economics'!$A$7:$AZ$1000,0,IFERROR(MATCH(Z$5,'Oxford Economics'!$A$6:$AZ$6,0),MATCH(Z$5&amp;"",'Oxford Economics'!$A$6:$AZ$6,0))),'Oxford Economics'!$A$7:$A$1000,$C108,'Oxford Economics'!$B$7:$B$1000,Settings!$B$15)+SUMIFS(INDEX('Oxford Economics'!$A$7:$AZ$1000,0,IFERROR(MATCH(Z$5,'Oxford Economics'!$A$6:$AZ$6,0),MATCH(Z$5&amp;"",'Oxford Economics'!$A$6:$AZ$6,0))),'Oxford Economics'!$A$7:$A$1000,$C108,'Oxford Economics'!$B$7:$B$1000,Settings!$B$17)+IF(Settings!$B$19="",0,SUMIFS(INDEX('Oxford Economics'!$A$7:$AZ$1000,0,IFERROR(MATCH(Z$5,'Oxford Economics'!$A$6:$AZ$6,0),MATCH(Z$5&amp;"",'Oxford Economics'!$A$6:$AZ$6,0))),'Oxford Economics'!$A$7:$A$1000,$C108,'Oxford Economics'!$B$7:$B$1000,Settings!$B$19)))),""))</f>
        <v/>
      </c>
      <c r="AA108" s="38" t="str">
        <f aca="false">IF($A108="","",IFERROR(1/(1/IF($B108="Residential",SUMIFS(INDEX('Oxford Economics'!$A$7:$AZ$1000,0,IFERROR(MATCH(AA$5,'Oxford Economics'!$A$6:$AZ$6,0),MATCH(AA$5&amp;"",'Oxford Economics'!$A$6:$AZ$6,0))),'Oxford Economics'!$A$7:$A$1000,$C108,'Oxford Economics'!$B$7:$B$1000,Settings!$B$13)-SUMIFS(INDEX('Oxford Economics'!$A$7:$AZ$1000,0,IFERROR(MATCH(AA$5,'Oxford Economics'!$A$6:$AZ$6,0),MATCH(AA$5&amp;"",'Oxford Economics'!$A$6:$AZ$6,0))),'Oxford Economics'!$A$7:$A$1000,$C108,'Oxford Economics'!$B$7:$B$1000,Settings!$B$15),SUMIFS(INDEX('Oxford Economics'!$A$7:$AZ$1000,0,IFERROR(MATCH(AA$5,'Oxford Economics'!$A$6:$AZ$6,0),MATCH(AA$5&amp;"",'Oxford Economics'!$A$6:$AZ$6,0))),'Oxford Economics'!$A$7:$A$1000,$C108,'Oxford Economics'!$B$7:$B$1000,Settings!$B$15)+SUMIFS(INDEX('Oxford Economics'!$A$7:$AZ$1000,0,IFERROR(MATCH(AA$5,'Oxford Economics'!$A$6:$AZ$6,0),MATCH(AA$5&amp;"",'Oxford Economics'!$A$6:$AZ$6,0))),'Oxford Economics'!$A$7:$A$1000,$C108,'Oxford Economics'!$B$7:$B$1000,Settings!$B$17)+IF(Settings!$B$19="",0,SUMIFS(INDEX('Oxford Economics'!$A$7:$AZ$1000,0,IFERROR(MATCH(AA$5,'Oxford Economics'!$A$6:$AZ$6,0),MATCH(AA$5&amp;"",'Oxford Economics'!$A$6:$AZ$6,0))),'Oxford Economics'!$A$7:$A$1000,$C108,'Oxford Economics'!$B$7:$B$1000,Settings!$B$19)))),""))</f>
        <v/>
      </c>
      <c r="AB108" s="38" t="str">
        <f aca="false">IF($A108="","",IFERROR(1/(1/IF($B108="Residential",SUMIFS(INDEX('Oxford Economics'!$A$7:$AZ$1000,0,IFERROR(MATCH(AB$5,'Oxford Economics'!$A$6:$AZ$6,0),MATCH(AB$5&amp;"",'Oxford Economics'!$A$6:$AZ$6,0))),'Oxford Economics'!$A$7:$A$1000,$C108,'Oxford Economics'!$B$7:$B$1000,Settings!$B$12)-SUMIFS(INDEX('Oxford Economics'!$A$7:$AZ$1000,0,IFERROR(MATCH(AB$5,'Oxford Economics'!$A$6:$AZ$6,0),MATCH(AB$5&amp;"",'Oxford Economics'!$A$6:$AZ$6,0))),'Oxford Economics'!$A$7:$A$1000,$C108,'Oxford Economics'!$B$7:$B$1000,Settings!$B$14),SUMIFS(INDEX('Oxford Economics'!$A$7:$AZ$1000,0,IFERROR(MATCH(AB$5,'Oxford Economics'!$A$6:$AZ$6,0),MATCH(AB$5&amp;"",'Oxford Economics'!$A$6:$AZ$6,0))),'Oxford Economics'!$A$7:$A$1000,$C108,'Oxford Economics'!$B$7:$B$1000,Settings!$B$14)+SUMIFS(INDEX('Oxford Economics'!$A$7:$AZ$1000,0,IFERROR(MATCH(AB$5,'Oxford Economics'!$A$6:$AZ$6,0),MATCH(AB$5&amp;"",'Oxford Economics'!$A$6:$AZ$6,0))),'Oxford Economics'!$A$7:$A$1000,$C108,'Oxford Economics'!$B$7:$B$1000,Settings!$B$16)+IF(Settings!$B$18="",0,SUMIFS(INDEX('Oxford Economics'!$A$7:$AZ$1000,0,IFERROR(MATCH(AB$5,'Oxford Economics'!$A$6:$AZ$6,0),MATCH(AB$5&amp;"",'Oxford Economics'!$A$6:$AZ$6,0))),'Oxford Economics'!$A$7:$A$1000,$C108,'Oxford Economics'!$B$7:$B$1000,Settings!$B$18)))),""))</f>
        <v/>
      </c>
      <c r="AC108" s="38" t="str">
        <f aca="false">IF($A108="","",IFERROR(1/(1/IF($B108="Residential",SUMIFS(INDEX('Oxford Economics'!$A$7:$AZ$1000,0,IFERROR(MATCH(AC$5,'Oxford Economics'!$A$6:$AZ$6,0),MATCH(AC$5&amp;"",'Oxford Economics'!$A$6:$AZ$6,0))),'Oxford Economics'!$A$7:$A$1000,$C108,'Oxford Economics'!$B$7:$B$1000,Settings!$B$12)-SUMIFS(INDEX('Oxford Economics'!$A$7:$AZ$1000,0,IFERROR(MATCH(AC$5,'Oxford Economics'!$A$6:$AZ$6,0),MATCH(AC$5&amp;"",'Oxford Economics'!$A$6:$AZ$6,0))),'Oxford Economics'!$A$7:$A$1000,$C108,'Oxford Economics'!$B$7:$B$1000,Settings!$B$14),SUMIFS(INDEX('Oxford Economics'!$A$7:$AZ$1000,0,IFERROR(MATCH(AC$5,'Oxford Economics'!$A$6:$AZ$6,0),MATCH(AC$5&amp;"",'Oxford Economics'!$A$6:$AZ$6,0))),'Oxford Economics'!$A$7:$A$1000,$C108,'Oxford Economics'!$B$7:$B$1000,Settings!$B$14)+SUMIFS(INDEX('Oxford Economics'!$A$7:$AZ$1000,0,IFERROR(MATCH(AC$5,'Oxford Economics'!$A$6:$AZ$6,0),MATCH(AC$5&amp;"",'Oxford Economics'!$A$6:$AZ$6,0))),'Oxford Economics'!$A$7:$A$1000,$C108,'Oxford Economics'!$B$7:$B$1000,Settings!$B$16)+IF(Settings!$B$18="",0,SUMIFS(INDEX('Oxford Economics'!$A$7:$AZ$1000,0,IFERROR(MATCH(AC$5,'Oxford Economics'!$A$6:$AZ$6,0),MATCH(AC$5&amp;"",'Oxford Economics'!$A$6:$AZ$6,0))),'Oxford Economics'!$A$7:$A$1000,$C108,'Oxford Economics'!$B$7:$B$1000,Settings!$B$18)))),""))</f>
        <v/>
      </c>
      <c r="AD108" s="38" t="str">
        <f aca="false">IF($A108="","",IFERROR(1/(1/IF($B108="Residential",SUMIFS(INDEX('Oxford Economics'!$A$7:$AZ$1000,0,IFERROR(MATCH(AD$5,'Oxford Economics'!$A$6:$AZ$6,0),MATCH(AD$5&amp;"",'Oxford Economics'!$A$6:$AZ$6,0))),'Oxford Economics'!$A$7:$A$1000,$C108,'Oxford Economics'!$B$7:$B$1000,Settings!$B$12)-SUMIFS(INDEX('Oxford Economics'!$A$7:$AZ$1000,0,IFERROR(MATCH(AD$5,'Oxford Economics'!$A$6:$AZ$6,0),MATCH(AD$5&amp;"",'Oxford Economics'!$A$6:$AZ$6,0))),'Oxford Economics'!$A$7:$A$1000,$C108,'Oxford Economics'!$B$7:$B$1000,Settings!$B$14),SUMIFS(INDEX('Oxford Economics'!$A$7:$AZ$1000,0,IFERROR(MATCH(AD$5,'Oxford Economics'!$A$6:$AZ$6,0),MATCH(AD$5&amp;"",'Oxford Economics'!$A$6:$AZ$6,0))),'Oxford Economics'!$A$7:$A$1000,$C108,'Oxford Economics'!$B$7:$B$1000,Settings!$B$14)+SUMIFS(INDEX('Oxford Economics'!$A$7:$AZ$1000,0,IFERROR(MATCH(AD$5,'Oxford Economics'!$A$6:$AZ$6,0),MATCH(AD$5&amp;"",'Oxford Economics'!$A$6:$AZ$6,0))),'Oxford Economics'!$A$7:$A$1000,$C108,'Oxford Economics'!$B$7:$B$1000,Settings!$B$16)+IF(Settings!$B$18="",0,SUMIFS(INDEX('Oxford Economics'!$A$7:$AZ$1000,0,IFERROR(MATCH(AD$5,'Oxford Economics'!$A$6:$AZ$6,0),MATCH(AD$5&amp;"",'Oxford Economics'!$A$6:$AZ$6,0))),'Oxford Economics'!$A$7:$A$1000,$C108,'Oxford Economics'!$B$7:$B$1000,Settings!$B$18)))),""))</f>
        <v/>
      </c>
      <c r="AE108" s="38" t="str">
        <f aca="false">IF($A108="","",IFERROR(1/(1/IF($B108="Residential",SUMIFS(INDEX('Oxford Economics'!$A$7:$AZ$1000,0,IFERROR(MATCH(AE$5,'Oxford Economics'!$A$6:$AZ$6,0),MATCH(AE$5&amp;"",'Oxford Economics'!$A$6:$AZ$6,0))),'Oxford Economics'!$A$7:$A$1000,$C108,'Oxford Economics'!$B$7:$B$1000,Settings!$B$12)-SUMIFS(INDEX('Oxford Economics'!$A$7:$AZ$1000,0,IFERROR(MATCH(AE$5,'Oxford Economics'!$A$6:$AZ$6,0),MATCH(AE$5&amp;"",'Oxford Economics'!$A$6:$AZ$6,0))),'Oxford Economics'!$A$7:$A$1000,$C108,'Oxford Economics'!$B$7:$B$1000,Settings!$B$14),SUMIFS(INDEX('Oxford Economics'!$A$7:$AZ$1000,0,IFERROR(MATCH(AE$5,'Oxford Economics'!$A$6:$AZ$6,0),MATCH(AE$5&amp;"",'Oxford Economics'!$A$6:$AZ$6,0))),'Oxford Economics'!$A$7:$A$1000,$C108,'Oxford Economics'!$B$7:$B$1000,Settings!$B$14)+SUMIFS(INDEX('Oxford Economics'!$A$7:$AZ$1000,0,IFERROR(MATCH(AE$5,'Oxford Economics'!$A$6:$AZ$6,0),MATCH(AE$5&amp;"",'Oxford Economics'!$A$6:$AZ$6,0))),'Oxford Economics'!$A$7:$A$1000,$C108,'Oxford Economics'!$B$7:$B$1000,Settings!$B$16)+IF(Settings!$B$18="",0,SUMIFS(INDEX('Oxford Economics'!$A$7:$AZ$1000,0,IFERROR(MATCH(AE$5,'Oxford Economics'!$A$6:$AZ$6,0),MATCH(AE$5&amp;"",'Oxford Economics'!$A$6:$AZ$6,0))),'Oxford Economics'!$A$7:$A$1000,$C108,'Oxford Economics'!$B$7:$B$1000,Settings!$B$18)))),""))</f>
        <v/>
      </c>
      <c r="AF108" s="38" t="str">
        <f aca="false">IF($A108="","",IFERROR(1/(1/IF($B108="Residential",SUMIFS(INDEX('Oxford Economics'!$A$7:$AZ$1000,0,IFERROR(MATCH(AF$5,'Oxford Economics'!$A$6:$AZ$6,0),MATCH(AF$5&amp;"",'Oxford Economics'!$A$6:$AZ$6,0))),'Oxford Economics'!$A$7:$A$1000,$C108,'Oxford Economics'!$B$7:$B$1000,Settings!$B$12)-SUMIFS(INDEX('Oxford Economics'!$A$7:$AZ$1000,0,IFERROR(MATCH(AF$5,'Oxford Economics'!$A$6:$AZ$6,0),MATCH(AF$5&amp;"",'Oxford Economics'!$A$6:$AZ$6,0))),'Oxford Economics'!$A$7:$A$1000,$C108,'Oxford Economics'!$B$7:$B$1000,Settings!$B$14),SUMIFS(INDEX('Oxford Economics'!$A$7:$AZ$1000,0,IFERROR(MATCH(AF$5,'Oxford Economics'!$A$6:$AZ$6,0),MATCH(AF$5&amp;"",'Oxford Economics'!$A$6:$AZ$6,0))),'Oxford Economics'!$A$7:$A$1000,$C108,'Oxford Economics'!$B$7:$B$1000,Settings!$B$14)+SUMIFS(INDEX('Oxford Economics'!$A$7:$AZ$1000,0,IFERROR(MATCH(AF$5,'Oxford Economics'!$A$6:$AZ$6,0),MATCH(AF$5&amp;"",'Oxford Economics'!$A$6:$AZ$6,0))),'Oxford Economics'!$A$7:$A$1000,$C108,'Oxford Economics'!$B$7:$B$1000,Settings!$B$16)+IF(Settings!$B$18="",0,SUMIFS(INDEX('Oxford Economics'!$A$7:$AZ$1000,0,IFERROR(MATCH(AF$5,'Oxford Economics'!$A$6:$AZ$6,0),MATCH(AF$5&amp;"",'Oxford Economics'!$A$6:$AZ$6,0))),'Oxford Economics'!$A$7:$A$1000,$C108,'Oxford Economics'!$B$7:$B$1000,Settings!$B$18)))),""))</f>
        <v/>
      </c>
      <c r="AG108" s="38" t="str">
        <f aca="false">IF($A108="","",IFERROR(1/(1/IF($B108="Residential",SUMIFS(INDEX('Oxford Economics'!$A$7:$AZ$1000,0,IFERROR(MATCH(AG$5,'Oxford Economics'!$A$6:$AZ$6,0),MATCH(AG$5&amp;"",'Oxford Economics'!$A$6:$AZ$6,0))),'Oxford Economics'!$A$7:$A$1000,$C108,'Oxford Economics'!$B$7:$B$1000,Settings!$B$12)-SUMIFS(INDEX('Oxford Economics'!$A$7:$AZ$1000,0,IFERROR(MATCH(AG$5,'Oxford Economics'!$A$6:$AZ$6,0),MATCH(AG$5&amp;"",'Oxford Economics'!$A$6:$AZ$6,0))),'Oxford Economics'!$A$7:$A$1000,$C108,'Oxford Economics'!$B$7:$B$1000,Settings!$B$14),SUMIFS(INDEX('Oxford Economics'!$A$7:$AZ$1000,0,IFERROR(MATCH(AG$5,'Oxford Economics'!$A$6:$AZ$6,0),MATCH(AG$5&amp;"",'Oxford Economics'!$A$6:$AZ$6,0))),'Oxford Economics'!$A$7:$A$1000,$C108,'Oxford Economics'!$B$7:$B$1000,Settings!$B$14)+SUMIFS(INDEX('Oxford Economics'!$A$7:$AZ$1000,0,IFERROR(MATCH(AG$5,'Oxford Economics'!$A$6:$AZ$6,0),MATCH(AG$5&amp;"",'Oxford Economics'!$A$6:$AZ$6,0))),'Oxford Economics'!$A$7:$A$1000,$C108,'Oxford Economics'!$B$7:$B$1000,Settings!$B$16)+IF(Settings!$B$18="",0,SUMIFS(INDEX('Oxford Economics'!$A$7:$AZ$1000,0,IFERROR(MATCH(AG$5,'Oxford Economics'!$A$6:$AZ$6,0),MATCH(AG$5&amp;"",'Oxford Economics'!$A$6:$AZ$6,0))),'Oxford Economics'!$A$7:$A$1000,$C108,'Oxford Economics'!$B$7:$B$1000,Settings!$B$18)))),""))</f>
        <v/>
      </c>
      <c r="AH108" s="38" t="str">
        <f aca="false">IF($A108="","",IFERROR(1/(1/IF($B108="Residential",SUMIFS(INDEX('Oxford Economics'!$A$7:$AZ$1000,0,IFERROR(MATCH(AH$5,'Oxford Economics'!$A$6:$AZ$6,0),MATCH(AH$5&amp;"",'Oxford Economics'!$A$6:$AZ$6,0))),'Oxford Economics'!$A$7:$A$1000,$C108,'Oxford Economics'!$B$7:$B$1000,Settings!$B$12)-SUMIFS(INDEX('Oxford Economics'!$A$7:$AZ$1000,0,IFERROR(MATCH(AH$5,'Oxford Economics'!$A$6:$AZ$6,0),MATCH(AH$5&amp;"",'Oxford Economics'!$A$6:$AZ$6,0))),'Oxford Economics'!$A$7:$A$1000,$C108,'Oxford Economics'!$B$7:$B$1000,Settings!$B$14),SUMIFS(INDEX('Oxford Economics'!$A$7:$AZ$1000,0,IFERROR(MATCH(AH$5,'Oxford Economics'!$A$6:$AZ$6,0),MATCH(AH$5&amp;"",'Oxford Economics'!$A$6:$AZ$6,0))),'Oxford Economics'!$A$7:$A$1000,$C108,'Oxford Economics'!$B$7:$B$1000,Settings!$B$14)+SUMIFS(INDEX('Oxford Economics'!$A$7:$AZ$1000,0,IFERROR(MATCH(AH$5,'Oxford Economics'!$A$6:$AZ$6,0),MATCH(AH$5&amp;"",'Oxford Economics'!$A$6:$AZ$6,0))),'Oxford Economics'!$A$7:$A$1000,$C108,'Oxford Economics'!$B$7:$B$1000,Settings!$B$16)+IF(Settings!$B$18="",0,SUMIFS(INDEX('Oxford Economics'!$A$7:$AZ$1000,0,IFERROR(MATCH(AH$5,'Oxford Economics'!$A$6:$AZ$6,0),MATCH(AH$5&amp;"",'Oxford Economics'!$A$6:$AZ$6,0))),'Oxford Economics'!$A$7:$A$1000,$C108,'Oxford Economics'!$B$7:$B$1000,Settings!$B$18)))),""))</f>
        <v/>
      </c>
      <c r="AI108" s="38" t="str">
        <f aca="false">IF($A108="","",IFERROR(1/(1/IF($B108="Residential",SUMIFS(INDEX('Oxford Economics'!$A$7:$AZ$1000,0,IFERROR(MATCH(AI$5,'Oxford Economics'!$A$6:$AZ$6,0),MATCH(AI$5&amp;"",'Oxford Economics'!$A$6:$AZ$6,0))),'Oxford Economics'!$A$7:$A$1000,$C108,'Oxford Economics'!$B$7:$B$1000,Settings!$B$12)-SUMIFS(INDEX('Oxford Economics'!$A$7:$AZ$1000,0,IFERROR(MATCH(AI$5,'Oxford Economics'!$A$6:$AZ$6,0),MATCH(AI$5&amp;"",'Oxford Economics'!$A$6:$AZ$6,0))),'Oxford Economics'!$A$7:$A$1000,$C108,'Oxford Economics'!$B$7:$B$1000,Settings!$B$14),SUMIFS(INDEX('Oxford Economics'!$A$7:$AZ$1000,0,IFERROR(MATCH(AI$5,'Oxford Economics'!$A$6:$AZ$6,0),MATCH(AI$5&amp;"",'Oxford Economics'!$A$6:$AZ$6,0))),'Oxford Economics'!$A$7:$A$1000,$C108,'Oxford Economics'!$B$7:$B$1000,Settings!$B$14)+SUMIFS(INDEX('Oxford Economics'!$A$7:$AZ$1000,0,IFERROR(MATCH(AI$5,'Oxford Economics'!$A$6:$AZ$6,0),MATCH(AI$5&amp;"",'Oxford Economics'!$A$6:$AZ$6,0))),'Oxford Economics'!$A$7:$A$1000,$C108,'Oxford Economics'!$B$7:$B$1000,Settings!$B$16)+IF(Settings!$B$18="",0,SUMIFS(INDEX('Oxford Economics'!$A$7:$AZ$1000,0,IFERROR(MATCH(AI$5,'Oxford Economics'!$A$6:$AZ$6,0),MATCH(AI$5&amp;"",'Oxford Economics'!$A$6:$AZ$6,0))),'Oxford Economics'!$A$7:$A$1000,$C108,'Oxford Economics'!$B$7:$B$1000,Settings!$B$18)))),""))</f>
        <v/>
      </c>
      <c r="AJ108" s="38" t="str">
        <f aca="false">IF($A108="","",IFERROR(1/(1/IF($B108="Residential",SUMIFS(INDEX('Oxford Economics'!$A$7:$AZ$1000,0,IFERROR(MATCH(AJ$5,'Oxford Economics'!$A$6:$AZ$6,0),MATCH(AJ$5&amp;"",'Oxford Economics'!$A$6:$AZ$6,0))),'Oxford Economics'!$A$7:$A$1000,$C108,'Oxford Economics'!$B$7:$B$1000,Settings!$B$12)-SUMIFS(INDEX('Oxford Economics'!$A$7:$AZ$1000,0,IFERROR(MATCH(AJ$5,'Oxford Economics'!$A$6:$AZ$6,0),MATCH(AJ$5&amp;"",'Oxford Economics'!$A$6:$AZ$6,0))),'Oxford Economics'!$A$7:$A$1000,$C108,'Oxford Economics'!$B$7:$B$1000,Settings!$B$14),SUMIFS(INDEX('Oxford Economics'!$A$7:$AZ$1000,0,IFERROR(MATCH(AJ$5,'Oxford Economics'!$A$6:$AZ$6,0),MATCH(AJ$5&amp;"",'Oxford Economics'!$A$6:$AZ$6,0))),'Oxford Economics'!$A$7:$A$1000,$C108,'Oxford Economics'!$B$7:$B$1000,Settings!$B$14)+SUMIFS(INDEX('Oxford Economics'!$A$7:$AZ$1000,0,IFERROR(MATCH(AJ$5,'Oxford Economics'!$A$6:$AZ$6,0),MATCH(AJ$5&amp;"",'Oxford Economics'!$A$6:$AZ$6,0))),'Oxford Economics'!$A$7:$A$1000,$C108,'Oxford Economics'!$B$7:$B$1000,Settings!$B$16)+IF(Settings!$B$18="",0,SUMIFS(INDEX('Oxford Economics'!$A$7:$AZ$1000,0,IFERROR(MATCH(AJ$5,'Oxford Economics'!$A$6:$AZ$6,0),MATCH(AJ$5&amp;"",'Oxford Economics'!$A$6:$AZ$6,0))),'Oxford Economics'!$A$7:$A$1000,$C108,'Oxford Economics'!$B$7:$B$1000,Settings!$B$18)))),""))</f>
        <v/>
      </c>
      <c r="AK108" s="38" t="str">
        <f aca="false">IF($A108="","",IFERROR(1/(1/IF($B108="Residential",SUMIFS(INDEX('Oxford Economics'!$A$7:$AZ$1000,0,IFERROR(MATCH(AK$5,'Oxford Economics'!$A$6:$AZ$6,0),MATCH(AK$5&amp;"",'Oxford Economics'!$A$6:$AZ$6,0))),'Oxford Economics'!$A$7:$A$1000,$C108,'Oxford Economics'!$B$7:$B$1000,Settings!$B$12)-SUMIFS(INDEX('Oxford Economics'!$A$7:$AZ$1000,0,IFERROR(MATCH(AK$5,'Oxford Economics'!$A$6:$AZ$6,0),MATCH(AK$5&amp;"",'Oxford Economics'!$A$6:$AZ$6,0))),'Oxford Economics'!$A$7:$A$1000,$C108,'Oxford Economics'!$B$7:$B$1000,Settings!$B$14),SUMIFS(INDEX('Oxford Economics'!$A$7:$AZ$1000,0,IFERROR(MATCH(AK$5,'Oxford Economics'!$A$6:$AZ$6,0),MATCH(AK$5&amp;"",'Oxford Economics'!$A$6:$AZ$6,0))),'Oxford Economics'!$A$7:$A$1000,$C108,'Oxford Economics'!$B$7:$B$1000,Settings!$B$14)+SUMIFS(INDEX('Oxford Economics'!$A$7:$AZ$1000,0,IFERROR(MATCH(AK$5,'Oxford Economics'!$A$6:$AZ$6,0),MATCH(AK$5&amp;"",'Oxford Economics'!$A$6:$AZ$6,0))),'Oxford Economics'!$A$7:$A$1000,$C108,'Oxford Economics'!$B$7:$B$1000,Settings!$B$16)+IF(Settings!$B$18="",0,SUMIFS(INDEX('Oxford Economics'!$A$7:$AZ$1000,0,IFERROR(MATCH(AK$5,'Oxford Economics'!$A$6:$AZ$6,0),MATCH(AK$5&amp;"",'Oxford Economics'!$A$6:$AZ$6,0))),'Oxford Economics'!$A$7:$A$1000,$C108,'Oxford Economics'!$B$7:$B$1000,Settings!$B$18)))),""))</f>
        <v/>
      </c>
      <c r="AL108" s="38" t="str">
        <f aca="false">IF($A108="","",IFERROR(1/(1/IF($B108="Residential",SUMIFS(INDEX('Oxford Economics'!$A$7:$AZ$1000,0,IFERROR(MATCH(AL$5,'Oxford Economics'!$A$6:$AZ$6,0),MATCH(AL$5&amp;"",'Oxford Economics'!$A$6:$AZ$6,0))),'Oxford Economics'!$A$7:$A$1000,$C108,'Oxford Economics'!$B$7:$B$1000,Settings!$B$12)-SUMIFS(INDEX('Oxford Economics'!$A$7:$AZ$1000,0,IFERROR(MATCH(AL$5,'Oxford Economics'!$A$6:$AZ$6,0),MATCH(AL$5&amp;"",'Oxford Economics'!$A$6:$AZ$6,0))),'Oxford Economics'!$A$7:$A$1000,$C108,'Oxford Economics'!$B$7:$B$1000,Settings!$B$14),SUMIFS(INDEX('Oxford Economics'!$A$7:$AZ$1000,0,IFERROR(MATCH(AL$5,'Oxford Economics'!$A$6:$AZ$6,0),MATCH(AL$5&amp;"",'Oxford Economics'!$A$6:$AZ$6,0))),'Oxford Economics'!$A$7:$A$1000,$C108,'Oxford Economics'!$B$7:$B$1000,Settings!$B$14)+SUMIFS(INDEX('Oxford Economics'!$A$7:$AZ$1000,0,IFERROR(MATCH(AL$5,'Oxford Economics'!$A$6:$AZ$6,0),MATCH(AL$5&amp;"",'Oxford Economics'!$A$6:$AZ$6,0))),'Oxford Economics'!$A$7:$A$1000,$C108,'Oxford Economics'!$B$7:$B$1000,Settings!$B$16)+IF(Settings!$B$18="",0,SUMIFS(INDEX('Oxford Economics'!$A$7:$AZ$1000,0,IFERROR(MATCH(AL$5,'Oxford Economics'!$A$6:$AZ$6,0),MATCH(AL$5&amp;"",'Oxford Economics'!$A$6:$AZ$6,0))),'Oxford Economics'!$A$7:$A$1000,$C108,'Oxford Economics'!$B$7:$B$1000,Settings!$B$18)))),""))</f>
        <v/>
      </c>
      <c r="AM108" s="38" t="str">
        <f aca="false">IF($A108="","",IFERROR(1/(1/IF($B108="Residential",SUMIFS(INDEX('Oxford Economics'!$A$7:$AZ$1000,0,IFERROR(MATCH(AM$5,'Oxford Economics'!$A$6:$AZ$6,0),MATCH(AM$5&amp;"",'Oxford Economics'!$A$6:$AZ$6,0))),'Oxford Economics'!$A$7:$A$1000,$C108,'Oxford Economics'!$B$7:$B$1000,Settings!$B$12)-SUMIFS(INDEX('Oxford Economics'!$A$7:$AZ$1000,0,IFERROR(MATCH(AM$5,'Oxford Economics'!$A$6:$AZ$6,0),MATCH(AM$5&amp;"",'Oxford Economics'!$A$6:$AZ$6,0))),'Oxford Economics'!$A$7:$A$1000,$C108,'Oxford Economics'!$B$7:$B$1000,Settings!$B$14),SUMIFS(INDEX('Oxford Economics'!$A$7:$AZ$1000,0,IFERROR(MATCH(AM$5,'Oxford Economics'!$A$6:$AZ$6,0),MATCH(AM$5&amp;"",'Oxford Economics'!$A$6:$AZ$6,0))),'Oxford Economics'!$A$7:$A$1000,$C108,'Oxford Economics'!$B$7:$B$1000,Settings!$B$14)+SUMIFS(INDEX('Oxford Economics'!$A$7:$AZ$1000,0,IFERROR(MATCH(AM$5,'Oxford Economics'!$A$6:$AZ$6,0),MATCH(AM$5&amp;"",'Oxford Economics'!$A$6:$AZ$6,0))),'Oxford Economics'!$A$7:$A$1000,$C108,'Oxford Economics'!$B$7:$B$1000,Settings!$B$16)+IF(Settings!$B$18="",0,SUMIFS(INDEX('Oxford Economics'!$A$7:$AZ$1000,0,IFERROR(MATCH(AM$5,'Oxford Economics'!$A$6:$AZ$6,0),MATCH(AM$5&amp;"",'Oxford Economics'!$A$6:$AZ$6,0))),'Oxford Economics'!$A$7:$A$1000,$C108,'Oxford Economics'!$B$7:$B$1000,Settings!$B$18)))),""))</f>
        <v/>
      </c>
    </row>
    <row r="109" customFormat="false" ht="15" hidden="false" customHeight="false" outlineLevel="0" collapsed="false">
      <c r="A109" s="37" t="str">
        <f aca="false">IF('Raw data'!$A109="","",'Raw data'!$A109)</f>
        <v/>
      </c>
      <c r="B109" s="37" t="str">
        <f aca="false">IF($A109="","",'Raw data'!$C109)</f>
        <v/>
      </c>
      <c r="C109" s="37" t="str">
        <f aca="false">IF($A109="","",IF('Raw data'!$E109="",$A109,'Raw data'!$E109))</f>
        <v/>
      </c>
      <c r="D109" s="38" t="str">
        <f aca="false">IF($A109="","",IF(AND(ISNUMBER(P109),ISNUMBER(AB109)),P109+AB109,""))</f>
        <v/>
      </c>
      <c r="E109" s="38" t="str">
        <f aca="false">IF($A109="","",IF(AND(ISNUMBER(Q109),ISNUMBER(AC109)),Q109+AC109,""))</f>
        <v/>
      </c>
      <c r="F109" s="38" t="str">
        <f aca="false">IF($A109="","",IF(AND(ISNUMBER(R109),ISNUMBER(AD109)),R109+AD109,""))</f>
        <v/>
      </c>
      <c r="G109" s="38" t="str">
        <f aca="false">IF($A109="","",IF(AND(ISNUMBER(S109),ISNUMBER(AE109)),S109+AE109,""))</f>
        <v/>
      </c>
      <c r="H109" s="38" t="str">
        <f aca="false">IF($A109="","",IF(AND(ISNUMBER(T109),ISNUMBER(AF109)),T109+AF109,""))</f>
        <v/>
      </c>
      <c r="I109" s="38" t="str">
        <f aca="false">IF($A109="","",IF(AND(ISNUMBER(U109),ISNUMBER(AG109)),U109+AG109,""))</f>
        <v/>
      </c>
      <c r="J109" s="38" t="str">
        <f aca="false">IF($A109="","",IF(AND(ISNUMBER(V109),ISNUMBER(AH109)),V109+AH109,""))</f>
        <v/>
      </c>
      <c r="K109" s="38" t="str">
        <f aca="false">IF($A109="","",IF(AND(ISNUMBER(W109),ISNUMBER(AI109)),W109+AI109,""))</f>
        <v/>
      </c>
      <c r="L109" s="38" t="str">
        <f aca="false">IF($A109="","",IF(AND(ISNUMBER(X109),ISNUMBER(AJ109)),X109+AJ109,""))</f>
        <v/>
      </c>
      <c r="M109" s="38" t="str">
        <f aca="false">IF($A109="","",IF(AND(ISNUMBER(Y109),ISNUMBER(AK109)),Y109+AK109,""))</f>
        <v/>
      </c>
      <c r="N109" s="38" t="str">
        <f aca="false">IF($A109="","",IF(AND(ISNUMBER(Z109),ISNUMBER(AL109)),Z109+AL109,""))</f>
        <v/>
      </c>
      <c r="O109" s="38" t="str">
        <f aca="false">IF($A109="","",IF(AND(ISNUMBER(AA109),ISNUMBER(AM109)),AA109+AM109,""))</f>
        <v/>
      </c>
      <c r="P109" s="38" t="str">
        <f aca="false">IF($A109="","",IFERROR(1/(1/IF($B109="Residential",SUMIFS(INDEX('Oxford Economics'!$A$7:$AZ$1000,0,IFERROR(MATCH(P$5,'Oxford Economics'!$A$6:$AZ$6,0),MATCH(P$5&amp;"",'Oxford Economics'!$A$6:$AZ$6,0))),'Oxford Economics'!$A$7:$A$1000,$C109,'Oxford Economics'!$B$7:$B$1000,Settings!$B$13)-SUMIFS(INDEX('Oxford Economics'!$A$7:$AZ$1000,0,IFERROR(MATCH(P$5,'Oxford Economics'!$A$6:$AZ$6,0),MATCH(P$5&amp;"",'Oxford Economics'!$A$6:$AZ$6,0))),'Oxford Economics'!$A$7:$A$1000,$C109,'Oxford Economics'!$B$7:$B$1000,Settings!$B$15),SUMIFS(INDEX('Oxford Economics'!$A$7:$AZ$1000,0,IFERROR(MATCH(P$5,'Oxford Economics'!$A$6:$AZ$6,0),MATCH(P$5&amp;"",'Oxford Economics'!$A$6:$AZ$6,0))),'Oxford Economics'!$A$7:$A$1000,$C109,'Oxford Economics'!$B$7:$B$1000,Settings!$B$15)+SUMIFS(INDEX('Oxford Economics'!$A$7:$AZ$1000,0,IFERROR(MATCH(P$5,'Oxford Economics'!$A$6:$AZ$6,0),MATCH(P$5&amp;"",'Oxford Economics'!$A$6:$AZ$6,0))),'Oxford Economics'!$A$7:$A$1000,$C109,'Oxford Economics'!$B$7:$B$1000,Settings!$B$17)+IF(Settings!$B$19="",0,SUMIFS(INDEX('Oxford Economics'!$A$7:$AZ$1000,0,IFERROR(MATCH(P$5,'Oxford Economics'!$A$6:$AZ$6,0),MATCH(P$5&amp;"",'Oxford Economics'!$A$6:$AZ$6,0))),'Oxford Economics'!$A$7:$A$1000,$C109,'Oxford Economics'!$B$7:$B$1000,Settings!$B$19)))),""))</f>
        <v/>
      </c>
      <c r="Q109" s="38" t="str">
        <f aca="false">IF($A109="","",IFERROR(1/(1/IF($B109="Residential",SUMIFS(INDEX('Oxford Economics'!$A$7:$AZ$1000,0,IFERROR(MATCH(Q$5,'Oxford Economics'!$A$6:$AZ$6,0),MATCH(Q$5&amp;"",'Oxford Economics'!$A$6:$AZ$6,0))),'Oxford Economics'!$A$7:$A$1000,$C109,'Oxford Economics'!$B$7:$B$1000,Settings!$B$13)-SUMIFS(INDEX('Oxford Economics'!$A$7:$AZ$1000,0,IFERROR(MATCH(Q$5,'Oxford Economics'!$A$6:$AZ$6,0),MATCH(Q$5&amp;"",'Oxford Economics'!$A$6:$AZ$6,0))),'Oxford Economics'!$A$7:$A$1000,$C109,'Oxford Economics'!$B$7:$B$1000,Settings!$B$15),SUMIFS(INDEX('Oxford Economics'!$A$7:$AZ$1000,0,IFERROR(MATCH(Q$5,'Oxford Economics'!$A$6:$AZ$6,0),MATCH(Q$5&amp;"",'Oxford Economics'!$A$6:$AZ$6,0))),'Oxford Economics'!$A$7:$A$1000,$C109,'Oxford Economics'!$B$7:$B$1000,Settings!$B$15)+SUMIFS(INDEX('Oxford Economics'!$A$7:$AZ$1000,0,IFERROR(MATCH(Q$5,'Oxford Economics'!$A$6:$AZ$6,0),MATCH(Q$5&amp;"",'Oxford Economics'!$A$6:$AZ$6,0))),'Oxford Economics'!$A$7:$A$1000,$C109,'Oxford Economics'!$B$7:$B$1000,Settings!$B$17)+IF(Settings!$B$19="",0,SUMIFS(INDEX('Oxford Economics'!$A$7:$AZ$1000,0,IFERROR(MATCH(Q$5,'Oxford Economics'!$A$6:$AZ$6,0),MATCH(Q$5&amp;"",'Oxford Economics'!$A$6:$AZ$6,0))),'Oxford Economics'!$A$7:$A$1000,$C109,'Oxford Economics'!$B$7:$B$1000,Settings!$B$19)))),""))</f>
        <v/>
      </c>
      <c r="R109" s="38" t="str">
        <f aca="false">IF($A109="","",IFERROR(1/(1/IF($B109="Residential",SUMIFS(INDEX('Oxford Economics'!$A$7:$AZ$1000,0,IFERROR(MATCH(R$5,'Oxford Economics'!$A$6:$AZ$6,0),MATCH(R$5&amp;"",'Oxford Economics'!$A$6:$AZ$6,0))),'Oxford Economics'!$A$7:$A$1000,$C109,'Oxford Economics'!$B$7:$B$1000,Settings!$B$13)-SUMIFS(INDEX('Oxford Economics'!$A$7:$AZ$1000,0,IFERROR(MATCH(R$5,'Oxford Economics'!$A$6:$AZ$6,0),MATCH(R$5&amp;"",'Oxford Economics'!$A$6:$AZ$6,0))),'Oxford Economics'!$A$7:$A$1000,$C109,'Oxford Economics'!$B$7:$B$1000,Settings!$B$15),SUMIFS(INDEX('Oxford Economics'!$A$7:$AZ$1000,0,IFERROR(MATCH(R$5,'Oxford Economics'!$A$6:$AZ$6,0),MATCH(R$5&amp;"",'Oxford Economics'!$A$6:$AZ$6,0))),'Oxford Economics'!$A$7:$A$1000,$C109,'Oxford Economics'!$B$7:$B$1000,Settings!$B$15)+SUMIFS(INDEX('Oxford Economics'!$A$7:$AZ$1000,0,IFERROR(MATCH(R$5,'Oxford Economics'!$A$6:$AZ$6,0),MATCH(R$5&amp;"",'Oxford Economics'!$A$6:$AZ$6,0))),'Oxford Economics'!$A$7:$A$1000,$C109,'Oxford Economics'!$B$7:$B$1000,Settings!$B$17)+IF(Settings!$B$19="",0,SUMIFS(INDEX('Oxford Economics'!$A$7:$AZ$1000,0,IFERROR(MATCH(R$5,'Oxford Economics'!$A$6:$AZ$6,0),MATCH(R$5&amp;"",'Oxford Economics'!$A$6:$AZ$6,0))),'Oxford Economics'!$A$7:$A$1000,$C109,'Oxford Economics'!$B$7:$B$1000,Settings!$B$19)))),""))</f>
        <v/>
      </c>
      <c r="S109" s="38" t="str">
        <f aca="false">IF($A109="","",IFERROR(1/(1/IF($B109="Residential",SUMIFS(INDEX('Oxford Economics'!$A$7:$AZ$1000,0,IFERROR(MATCH(S$5,'Oxford Economics'!$A$6:$AZ$6,0),MATCH(S$5&amp;"",'Oxford Economics'!$A$6:$AZ$6,0))),'Oxford Economics'!$A$7:$A$1000,$C109,'Oxford Economics'!$B$7:$B$1000,Settings!$B$13)-SUMIFS(INDEX('Oxford Economics'!$A$7:$AZ$1000,0,IFERROR(MATCH(S$5,'Oxford Economics'!$A$6:$AZ$6,0),MATCH(S$5&amp;"",'Oxford Economics'!$A$6:$AZ$6,0))),'Oxford Economics'!$A$7:$A$1000,$C109,'Oxford Economics'!$B$7:$B$1000,Settings!$B$15),SUMIFS(INDEX('Oxford Economics'!$A$7:$AZ$1000,0,IFERROR(MATCH(S$5,'Oxford Economics'!$A$6:$AZ$6,0),MATCH(S$5&amp;"",'Oxford Economics'!$A$6:$AZ$6,0))),'Oxford Economics'!$A$7:$A$1000,$C109,'Oxford Economics'!$B$7:$B$1000,Settings!$B$15)+SUMIFS(INDEX('Oxford Economics'!$A$7:$AZ$1000,0,IFERROR(MATCH(S$5,'Oxford Economics'!$A$6:$AZ$6,0),MATCH(S$5&amp;"",'Oxford Economics'!$A$6:$AZ$6,0))),'Oxford Economics'!$A$7:$A$1000,$C109,'Oxford Economics'!$B$7:$B$1000,Settings!$B$17)+IF(Settings!$B$19="",0,SUMIFS(INDEX('Oxford Economics'!$A$7:$AZ$1000,0,IFERROR(MATCH(S$5,'Oxford Economics'!$A$6:$AZ$6,0),MATCH(S$5&amp;"",'Oxford Economics'!$A$6:$AZ$6,0))),'Oxford Economics'!$A$7:$A$1000,$C109,'Oxford Economics'!$B$7:$B$1000,Settings!$B$19)))),""))</f>
        <v/>
      </c>
      <c r="T109" s="38" t="str">
        <f aca="false">IF($A109="","",IFERROR(1/(1/IF($B109="Residential",SUMIFS(INDEX('Oxford Economics'!$A$7:$AZ$1000,0,IFERROR(MATCH(T$5,'Oxford Economics'!$A$6:$AZ$6,0),MATCH(T$5&amp;"",'Oxford Economics'!$A$6:$AZ$6,0))),'Oxford Economics'!$A$7:$A$1000,$C109,'Oxford Economics'!$B$7:$B$1000,Settings!$B$13)-SUMIFS(INDEX('Oxford Economics'!$A$7:$AZ$1000,0,IFERROR(MATCH(T$5,'Oxford Economics'!$A$6:$AZ$6,0),MATCH(T$5&amp;"",'Oxford Economics'!$A$6:$AZ$6,0))),'Oxford Economics'!$A$7:$A$1000,$C109,'Oxford Economics'!$B$7:$B$1000,Settings!$B$15),SUMIFS(INDEX('Oxford Economics'!$A$7:$AZ$1000,0,IFERROR(MATCH(T$5,'Oxford Economics'!$A$6:$AZ$6,0),MATCH(T$5&amp;"",'Oxford Economics'!$A$6:$AZ$6,0))),'Oxford Economics'!$A$7:$A$1000,$C109,'Oxford Economics'!$B$7:$B$1000,Settings!$B$15)+SUMIFS(INDEX('Oxford Economics'!$A$7:$AZ$1000,0,IFERROR(MATCH(T$5,'Oxford Economics'!$A$6:$AZ$6,0),MATCH(T$5&amp;"",'Oxford Economics'!$A$6:$AZ$6,0))),'Oxford Economics'!$A$7:$A$1000,$C109,'Oxford Economics'!$B$7:$B$1000,Settings!$B$17)+IF(Settings!$B$19="",0,SUMIFS(INDEX('Oxford Economics'!$A$7:$AZ$1000,0,IFERROR(MATCH(T$5,'Oxford Economics'!$A$6:$AZ$6,0),MATCH(T$5&amp;"",'Oxford Economics'!$A$6:$AZ$6,0))),'Oxford Economics'!$A$7:$A$1000,$C109,'Oxford Economics'!$B$7:$B$1000,Settings!$B$19)))),""))</f>
        <v/>
      </c>
      <c r="U109" s="38" t="str">
        <f aca="false">IF($A109="","",IFERROR(1/(1/IF($B109="Residential",SUMIFS(INDEX('Oxford Economics'!$A$7:$AZ$1000,0,IFERROR(MATCH(U$5,'Oxford Economics'!$A$6:$AZ$6,0),MATCH(U$5&amp;"",'Oxford Economics'!$A$6:$AZ$6,0))),'Oxford Economics'!$A$7:$A$1000,$C109,'Oxford Economics'!$B$7:$B$1000,Settings!$B$13)-SUMIFS(INDEX('Oxford Economics'!$A$7:$AZ$1000,0,IFERROR(MATCH(U$5,'Oxford Economics'!$A$6:$AZ$6,0),MATCH(U$5&amp;"",'Oxford Economics'!$A$6:$AZ$6,0))),'Oxford Economics'!$A$7:$A$1000,$C109,'Oxford Economics'!$B$7:$B$1000,Settings!$B$15),SUMIFS(INDEX('Oxford Economics'!$A$7:$AZ$1000,0,IFERROR(MATCH(U$5,'Oxford Economics'!$A$6:$AZ$6,0),MATCH(U$5&amp;"",'Oxford Economics'!$A$6:$AZ$6,0))),'Oxford Economics'!$A$7:$A$1000,$C109,'Oxford Economics'!$B$7:$B$1000,Settings!$B$15)+SUMIFS(INDEX('Oxford Economics'!$A$7:$AZ$1000,0,IFERROR(MATCH(U$5,'Oxford Economics'!$A$6:$AZ$6,0),MATCH(U$5&amp;"",'Oxford Economics'!$A$6:$AZ$6,0))),'Oxford Economics'!$A$7:$A$1000,$C109,'Oxford Economics'!$B$7:$B$1000,Settings!$B$17)+IF(Settings!$B$19="",0,SUMIFS(INDEX('Oxford Economics'!$A$7:$AZ$1000,0,IFERROR(MATCH(U$5,'Oxford Economics'!$A$6:$AZ$6,0),MATCH(U$5&amp;"",'Oxford Economics'!$A$6:$AZ$6,0))),'Oxford Economics'!$A$7:$A$1000,$C109,'Oxford Economics'!$B$7:$B$1000,Settings!$B$19)))),""))</f>
        <v/>
      </c>
      <c r="V109" s="38" t="str">
        <f aca="false">IF($A109="","",IFERROR(1/(1/IF($B109="Residential",SUMIFS(INDEX('Oxford Economics'!$A$7:$AZ$1000,0,IFERROR(MATCH(V$5,'Oxford Economics'!$A$6:$AZ$6,0),MATCH(V$5&amp;"",'Oxford Economics'!$A$6:$AZ$6,0))),'Oxford Economics'!$A$7:$A$1000,$C109,'Oxford Economics'!$B$7:$B$1000,Settings!$B$13)-SUMIFS(INDEX('Oxford Economics'!$A$7:$AZ$1000,0,IFERROR(MATCH(V$5,'Oxford Economics'!$A$6:$AZ$6,0),MATCH(V$5&amp;"",'Oxford Economics'!$A$6:$AZ$6,0))),'Oxford Economics'!$A$7:$A$1000,$C109,'Oxford Economics'!$B$7:$B$1000,Settings!$B$15),SUMIFS(INDEX('Oxford Economics'!$A$7:$AZ$1000,0,IFERROR(MATCH(V$5,'Oxford Economics'!$A$6:$AZ$6,0),MATCH(V$5&amp;"",'Oxford Economics'!$A$6:$AZ$6,0))),'Oxford Economics'!$A$7:$A$1000,$C109,'Oxford Economics'!$B$7:$B$1000,Settings!$B$15)+SUMIFS(INDEX('Oxford Economics'!$A$7:$AZ$1000,0,IFERROR(MATCH(V$5,'Oxford Economics'!$A$6:$AZ$6,0),MATCH(V$5&amp;"",'Oxford Economics'!$A$6:$AZ$6,0))),'Oxford Economics'!$A$7:$A$1000,$C109,'Oxford Economics'!$B$7:$B$1000,Settings!$B$17)+IF(Settings!$B$19="",0,SUMIFS(INDEX('Oxford Economics'!$A$7:$AZ$1000,0,IFERROR(MATCH(V$5,'Oxford Economics'!$A$6:$AZ$6,0),MATCH(V$5&amp;"",'Oxford Economics'!$A$6:$AZ$6,0))),'Oxford Economics'!$A$7:$A$1000,$C109,'Oxford Economics'!$B$7:$B$1000,Settings!$B$19)))),""))</f>
        <v/>
      </c>
      <c r="W109" s="38" t="str">
        <f aca="false">IF($A109="","",IFERROR(1/(1/IF($B109="Residential",SUMIFS(INDEX('Oxford Economics'!$A$7:$AZ$1000,0,IFERROR(MATCH(W$5,'Oxford Economics'!$A$6:$AZ$6,0),MATCH(W$5&amp;"",'Oxford Economics'!$A$6:$AZ$6,0))),'Oxford Economics'!$A$7:$A$1000,$C109,'Oxford Economics'!$B$7:$B$1000,Settings!$B$13)-SUMIFS(INDEX('Oxford Economics'!$A$7:$AZ$1000,0,IFERROR(MATCH(W$5,'Oxford Economics'!$A$6:$AZ$6,0),MATCH(W$5&amp;"",'Oxford Economics'!$A$6:$AZ$6,0))),'Oxford Economics'!$A$7:$A$1000,$C109,'Oxford Economics'!$B$7:$B$1000,Settings!$B$15),SUMIFS(INDEX('Oxford Economics'!$A$7:$AZ$1000,0,IFERROR(MATCH(W$5,'Oxford Economics'!$A$6:$AZ$6,0),MATCH(W$5&amp;"",'Oxford Economics'!$A$6:$AZ$6,0))),'Oxford Economics'!$A$7:$A$1000,$C109,'Oxford Economics'!$B$7:$B$1000,Settings!$B$15)+SUMIFS(INDEX('Oxford Economics'!$A$7:$AZ$1000,0,IFERROR(MATCH(W$5,'Oxford Economics'!$A$6:$AZ$6,0),MATCH(W$5&amp;"",'Oxford Economics'!$A$6:$AZ$6,0))),'Oxford Economics'!$A$7:$A$1000,$C109,'Oxford Economics'!$B$7:$B$1000,Settings!$B$17)+IF(Settings!$B$19="",0,SUMIFS(INDEX('Oxford Economics'!$A$7:$AZ$1000,0,IFERROR(MATCH(W$5,'Oxford Economics'!$A$6:$AZ$6,0),MATCH(W$5&amp;"",'Oxford Economics'!$A$6:$AZ$6,0))),'Oxford Economics'!$A$7:$A$1000,$C109,'Oxford Economics'!$B$7:$B$1000,Settings!$B$19)))),""))</f>
        <v/>
      </c>
      <c r="X109" s="38" t="str">
        <f aca="false">IF($A109="","",IFERROR(1/(1/IF($B109="Residential",SUMIFS(INDEX('Oxford Economics'!$A$7:$AZ$1000,0,IFERROR(MATCH(X$5,'Oxford Economics'!$A$6:$AZ$6,0),MATCH(X$5&amp;"",'Oxford Economics'!$A$6:$AZ$6,0))),'Oxford Economics'!$A$7:$A$1000,$C109,'Oxford Economics'!$B$7:$B$1000,Settings!$B$13)-SUMIFS(INDEX('Oxford Economics'!$A$7:$AZ$1000,0,IFERROR(MATCH(X$5,'Oxford Economics'!$A$6:$AZ$6,0),MATCH(X$5&amp;"",'Oxford Economics'!$A$6:$AZ$6,0))),'Oxford Economics'!$A$7:$A$1000,$C109,'Oxford Economics'!$B$7:$B$1000,Settings!$B$15),SUMIFS(INDEX('Oxford Economics'!$A$7:$AZ$1000,0,IFERROR(MATCH(X$5,'Oxford Economics'!$A$6:$AZ$6,0),MATCH(X$5&amp;"",'Oxford Economics'!$A$6:$AZ$6,0))),'Oxford Economics'!$A$7:$A$1000,$C109,'Oxford Economics'!$B$7:$B$1000,Settings!$B$15)+SUMIFS(INDEX('Oxford Economics'!$A$7:$AZ$1000,0,IFERROR(MATCH(X$5,'Oxford Economics'!$A$6:$AZ$6,0),MATCH(X$5&amp;"",'Oxford Economics'!$A$6:$AZ$6,0))),'Oxford Economics'!$A$7:$A$1000,$C109,'Oxford Economics'!$B$7:$B$1000,Settings!$B$17)+IF(Settings!$B$19="",0,SUMIFS(INDEX('Oxford Economics'!$A$7:$AZ$1000,0,IFERROR(MATCH(X$5,'Oxford Economics'!$A$6:$AZ$6,0),MATCH(X$5&amp;"",'Oxford Economics'!$A$6:$AZ$6,0))),'Oxford Economics'!$A$7:$A$1000,$C109,'Oxford Economics'!$B$7:$B$1000,Settings!$B$19)))),""))</f>
        <v/>
      </c>
      <c r="Y109" s="38" t="str">
        <f aca="false">IF($A109="","",IFERROR(1/(1/IF($B109="Residential",SUMIFS(INDEX('Oxford Economics'!$A$7:$AZ$1000,0,IFERROR(MATCH(Y$5,'Oxford Economics'!$A$6:$AZ$6,0),MATCH(Y$5&amp;"",'Oxford Economics'!$A$6:$AZ$6,0))),'Oxford Economics'!$A$7:$A$1000,$C109,'Oxford Economics'!$B$7:$B$1000,Settings!$B$13)-SUMIFS(INDEX('Oxford Economics'!$A$7:$AZ$1000,0,IFERROR(MATCH(Y$5,'Oxford Economics'!$A$6:$AZ$6,0),MATCH(Y$5&amp;"",'Oxford Economics'!$A$6:$AZ$6,0))),'Oxford Economics'!$A$7:$A$1000,$C109,'Oxford Economics'!$B$7:$B$1000,Settings!$B$15),SUMIFS(INDEX('Oxford Economics'!$A$7:$AZ$1000,0,IFERROR(MATCH(Y$5,'Oxford Economics'!$A$6:$AZ$6,0),MATCH(Y$5&amp;"",'Oxford Economics'!$A$6:$AZ$6,0))),'Oxford Economics'!$A$7:$A$1000,$C109,'Oxford Economics'!$B$7:$B$1000,Settings!$B$15)+SUMIFS(INDEX('Oxford Economics'!$A$7:$AZ$1000,0,IFERROR(MATCH(Y$5,'Oxford Economics'!$A$6:$AZ$6,0),MATCH(Y$5&amp;"",'Oxford Economics'!$A$6:$AZ$6,0))),'Oxford Economics'!$A$7:$A$1000,$C109,'Oxford Economics'!$B$7:$B$1000,Settings!$B$17)+IF(Settings!$B$19="",0,SUMIFS(INDEX('Oxford Economics'!$A$7:$AZ$1000,0,IFERROR(MATCH(Y$5,'Oxford Economics'!$A$6:$AZ$6,0),MATCH(Y$5&amp;"",'Oxford Economics'!$A$6:$AZ$6,0))),'Oxford Economics'!$A$7:$A$1000,$C109,'Oxford Economics'!$B$7:$B$1000,Settings!$B$19)))),""))</f>
        <v/>
      </c>
      <c r="Z109" s="38" t="str">
        <f aca="false">IF($A109="","",IFERROR(1/(1/IF($B109="Residential",SUMIFS(INDEX('Oxford Economics'!$A$7:$AZ$1000,0,IFERROR(MATCH(Z$5,'Oxford Economics'!$A$6:$AZ$6,0),MATCH(Z$5&amp;"",'Oxford Economics'!$A$6:$AZ$6,0))),'Oxford Economics'!$A$7:$A$1000,$C109,'Oxford Economics'!$B$7:$B$1000,Settings!$B$13)-SUMIFS(INDEX('Oxford Economics'!$A$7:$AZ$1000,0,IFERROR(MATCH(Z$5,'Oxford Economics'!$A$6:$AZ$6,0),MATCH(Z$5&amp;"",'Oxford Economics'!$A$6:$AZ$6,0))),'Oxford Economics'!$A$7:$A$1000,$C109,'Oxford Economics'!$B$7:$B$1000,Settings!$B$15),SUMIFS(INDEX('Oxford Economics'!$A$7:$AZ$1000,0,IFERROR(MATCH(Z$5,'Oxford Economics'!$A$6:$AZ$6,0),MATCH(Z$5&amp;"",'Oxford Economics'!$A$6:$AZ$6,0))),'Oxford Economics'!$A$7:$A$1000,$C109,'Oxford Economics'!$B$7:$B$1000,Settings!$B$15)+SUMIFS(INDEX('Oxford Economics'!$A$7:$AZ$1000,0,IFERROR(MATCH(Z$5,'Oxford Economics'!$A$6:$AZ$6,0),MATCH(Z$5&amp;"",'Oxford Economics'!$A$6:$AZ$6,0))),'Oxford Economics'!$A$7:$A$1000,$C109,'Oxford Economics'!$B$7:$B$1000,Settings!$B$17)+IF(Settings!$B$19="",0,SUMIFS(INDEX('Oxford Economics'!$A$7:$AZ$1000,0,IFERROR(MATCH(Z$5,'Oxford Economics'!$A$6:$AZ$6,0),MATCH(Z$5&amp;"",'Oxford Economics'!$A$6:$AZ$6,0))),'Oxford Economics'!$A$7:$A$1000,$C109,'Oxford Economics'!$B$7:$B$1000,Settings!$B$19)))),""))</f>
        <v/>
      </c>
      <c r="AA109" s="38" t="str">
        <f aca="false">IF($A109="","",IFERROR(1/(1/IF($B109="Residential",SUMIFS(INDEX('Oxford Economics'!$A$7:$AZ$1000,0,IFERROR(MATCH(AA$5,'Oxford Economics'!$A$6:$AZ$6,0),MATCH(AA$5&amp;"",'Oxford Economics'!$A$6:$AZ$6,0))),'Oxford Economics'!$A$7:$A$1000,$C109,'Oxford Economics'!$B$7:$B$1000,Settings!$B$13)-SUMIFS(INDEX('Oxford Economics'!$A$7:$AZ$1000,0,IFERROR(MATCH(AA$5,'Oxford Economics'!$A$6:$AZ$6,0),MATCH(AA$5&amp;"",'Oxford Economics'!$A$6:$AZ$6,0))),'Oxford Economics'!$A$7:$A$1000,$C109,'Oxford Economics'!$B$7:$B$1000,Settings!$B$15),SUMIFS(INDEX('Oxford Economics'!$A$7:$AZ$1000,0,IFERROR(MATCH(AA$5,'Oxford Economics'!$A$6:$AZ$6,0),MATCH(AA$5&amp;"",'Oxford Economics'!$A$6:$AZ$6,0))),'Oxford Economics'!$A$7:$A$1000,$C109,'Oxford Economics'!$B$7:$B$1000,Settings!$B$15)+SUMIFS(INDEX('Oxford Economics'!$A$7:$AZ$1000,0,IFERROR(MATCH(AA$5,'Oxford Economics'!$A$6:$AZ$6,0),MATCH(AA$5&amp;"",'Oxford Economics'!$A$6:$AZ$6,0))),'Oxford Economics'!$A$7:$A$1000,$C109,'Oxford Economics'!$B$7:$B$1000,Settings!$B$17)+IF(Settings!$B$19="",0,SUMIFS(INDEX('Oxford Economics'!$A$7:$AZ$1000,0,IFERROR(MATCH(AA$5,'Oxford Economics'!$A$6:$AZ$6,0),MATCH(AA$5&amp;"",'Oxford Economics'!$A$6:$AZ$6,0))),'Oxford Economics'!$A$7:$A$1000,$C109,'Oxford Economics'!$B$7:$B$1000,Settings!$B$19)))),""))</f>
        <v/>
      </c>
      <c r="AB109" s="38" t="str">
        <f aca="false">IF($A109="","",IFERROR(1/(1/IF($B109="Residential",SUMIFS(INDEX('Oxford Economics'!$A$7:$AZ$1000,0,IFERROR(MATCH(AB$5,'Oxford Economics'!$A$6:$AZ$6,0),MATCH(AB$5&amp;"",'Oxford Economics'!$A$6:$AZ$6,0))),'Oxford Economics'!$A$7:$A$1000,$C109,'Oxford Economics'!$B$7:$B$1000,Settings!$B$12)-SUMIFS(INDEX('Oxford Economics'!$A$7:$AZ$1000,0,IFERROR(MATCH(AB$5,'Oxford Economics'!$A$6:$AZ$6,0),MATCH(AB$5&amp;"",'Oxford Economics'!$A$6:$AZ$6,0))),'Oxford Economics'!$A$7:$A$1000,$C109,'Oxford Economics'!$B$7:$B$1000,Settings!$B$14),SUMIFS(INDEX('Oxford Economics'!$A$7:$AZ$1000,0,IFERROR(MATCH(AB$5,'Oxford Economics'!$A$6:$AZ$6,0),MATCH(AB$5&amp;"",'Oxford Economics'!$A$6:$AZ$6,0))),'Oxford Economics'!$A$7:$A$1000,$C109,'Oxford Economics'!$B$7:$B$1000,Settings!$B$14)+SUMIFS(INDEX('Oxford Economics'!$A$7:$AZ$1000,0,IFERROR(MATCH(AB$5,'Oxford Economics'!$A$6:$AZ$6,0),MATCH(AB$5&amp;"",'Oxford Economics'!$A$6:$AZ$6,0))),'Oxford Economics'!$A$7:$A$1000,$C109,'Oxford Economics'!$B$7:$B$1000,Settings!$B$16)+IF(Settings!$B$18="",0,SUMIFS(INDEX('Oxford Economics'!$A$7:$AZ$1000,0,IFERROR(MATCH(AB$5,'Oxford Economics'!$A$6:$AZ$6,0),MATCH(AB$5&amp;"",'Oxford Economics'!$A$6:$AZ$6,0))),'Oxford Economics'!$A$7:$A$1000,$C109,'Oxford Economics'!$B$7:$B$1000,Settings!$B$18)))),""))</f>
        <v/>
      </c>
      <c r="AC109" s="38" t="str">
        <f aca="false">IF($A109="","",IFERROR(1/(1/IF($B109="Residential",SUMIFS(INDEX('Oxford Economics'!$A$7:$AZ$1000,0,IFERROR(MATCH(AC$5,'Oxford Economics'!$A$6:$AZ$6,0),MATCH(AC$5&amp;"",'Oxford Economics'!$A$6:$AZ$6,0))),'Oxford Economics'!$A$7:$A$1000,$C109,'Oxford Economics'!$B$7:$B$1000,Settings!$B$12)-SUMIFS(INDEX('Oxford Economics'!$A$7:$AZ$1000,0,IFERROR(MATCH(AC$5,'Oxford Economics'!$A$6:$AZ$6,0),MATCH(AC$5&amp;"",'Oxford Economics'!$A$6:$AZ$6,0))),'Oxford Economics'!$A$7:$A$1000,$C109,'Oxford Economics'!$B$7:$B$1000,Settings!$B$14),SUMIFS(INDEX('Oxford Economics'!$A$7:$AZ$1000,0,IFERROR(MATCH(AC$5,'Oxford Economics'!$A$6:$AZ$6,0),MATCH(AC$5&amp;"",'Oxford Economics'!$A$6:$AZ$6,0))),'Oxford Economics'!$A$7:$A$1000,$C109,'Oxford Economics'!$B$7:$B$1000,Settings!$B$14)+SUMIFS(INDEX('Oxford Economics'!$A$7:$AZ$1000,0,IFERROR(MATCH(AC$5,'Oxford Economics'!$A$6:$AZ$6,0),MATCH(AC$5&amp;"",'Oxford Economics'!$A$6:$AZ$6,0))),'Oxford Economics'!$A$7:$A$1000,$C109,'Oxford Economics'!$B$7:$B$1000,Settings!$B$16)+IF(Settings!$B$18="",0,SUMIFS(INDEX('Oxford Economics'!$A$7:$AZ$1000,0,IFERROR(MATCH(AC$5,'Oxford Economics'!$A$6:$AZ$6,0),MATCH(AC$5&amp;"",'Oxford Economics'!$A$6:$AZ$6,0))),'Oxford Economics'!$A$7:$A$1000,$C109,'Oxford Economics'!$B$7:$B$1000,Settings!$B$18)))),""))</f>
        <v/>
      </c>
      <c r="AD109" s="38" t="str">
        <f aca="false">IF($A109="","",IFERROR(1/(1/IF($B109="Residential",SUMIFS(INDEX('Oxford Economics'!$A$7:$AZ$1000,0,IFERROR(MATCH(AD$5,'Oxford Economics'!$A$6:$AZ$6,0),MATCH(AD$5&amp;"",'Oxford Economics'!$A$6:$AZ$6,0))),'Oxford Economics'!$A$7:$A$1000,$C109,'Oxford Economics'!$B$7:$B$1000,Settings!$B$12)-SUMIFS(INDEX('Oxford Economics'!$A$7:$AZ$1000,0,IFERROR(MATCH(AD$5,'Oxford Economics'!$A$6:$AZ$6,0),MATCH(AD$5&amp;"",'Oxford Economics'!$A$6:$AZ$6,0))),'Oxford Economics'!$A$7:$A$1000,$C109,'Oxford Economics'!$B$7:$B$1000,Settings!$B$14),SUMIFS(INDEX('Oxford Economics'!$A$7:$AZ$1000,0,IFERROR(MATCH(AD$5,'Oxford Economics'!$A$6:$AZ$6,0),MATCH(AD$5&amp;"",'Oxford Economics'!$A$6:$AZ$6,0))),'Oxford Economics'!$A$7:$A$1000,$C109,'Oxford Economics'!$B$7:$B$1000,Settings!$B$14)+SUMIFS(INDEX('Oxford Economics'!$A$7:$AZ$1000,0,IFERROR(MATCH(AD$5,'Oxford Economics'!$A$6:$AZ$6,0),MATCH(AD$5&amp;"",'Oxford Economics'!$A$6:$AZ$6,0))),'Oxford Economics'!$A$7:$A$1000,$C109,'Oxford Economics'!$B$7:$B$1000,Settings!$B$16)+IF(Settings!$B$18="",0,SUMIFS(INDEX('Oxford Economics'!$A$7:$AZ$1000,0,IFERROR(MATCH(AD$5,'Oxford Economics'!$A$6:$AZ$6,0),MATCH(AD$5&amp;"",'Oxford Economics'!$A$6:$AZ$6,0))),'Oxford Economics'!$A$7:$A$1000,$C109,'Oxford Economics'!$B$7:$B$1000,Settings!$B$18)))),""))</f>
        <v/>
      </c>
      <c r="AE109" s="38" t="str">
        <f aca="false">IF($A109="","",IFERROR(1/(1/IF($B109="Residential",SUMIFS(INDEX('Oxford Economics'!$A$7:$AZ$1000,0,IFERROR(MATCH(AE$5,'Oxford Economics'!$A$6:$AZ$6,0),MATCH(AE$5&amp;"",'Oxford Economics'!$A$6:$AZ$6,0))),'Oxford Economics'!$A$7:$A$1000,$C109,'Oxford Economics'!$B$7:$B$1000,Settings!$B$12)-SUMIFS(INDEX('Oxford Economics'!$A$7:$AZ$1000,0,IFERROR(MATCH(AE$5,'Oxford Economics'!$A$6:$AZ$6,0),MATCH(AE$5&amp;"",'Oxford Economics'!$A$6:$AZ$6,0))),'Oxford Economics'!$A$7:$A$1000,$C109,'Oxford Economics'!$B$7:$B$1000,Settings!$B$14),SUMIFS(INDEX('Oxford Economics'!$A$7:$AZ$1000,0,IFERROR(MATCH(AE$5,'Oxford Economics'!$A$6:$AZ$6,0),MATCH(AE$5&amp;"",'Oxford Economics'!$A$6:$AZ$6,0))),'Oxford Economics'!$A$7:$A$1000,$C109,'Oxford Economics'!$B$7:$B$1000,Settings!$B$14)+SUMIFS(INDEX('Oxford Economics'!$A$7:$AZ$1000,0,IFERROR(MATCH(AE$5,'Oxford Economics'!$A$6:$AZ$6,0),MATCH(AE$5&amp;"",'Oxford Economics'!$A$6:$AZ$6,0))),'Oxford Economics'!$A$7:$A$1000,$C109,'Oxford Economics'!$B$7:$B$1000,Settings!$B$16)+IF(Settings!$B$18="",0,SUMIFS(INDEX('Oxford Economics'!$A$7:$AZ$1000,0,IFERROR(MATCH(AE$5,'Oxford Economics'!$A$6:$AZ$6,0),MATCH(AE$5&amp;"",'Oxford Economics'!$A$6:$AZ$6,0))),'Oxford Economics'!$A$7:$A$1000,$C109,'Oxford Economics'!$B$7:$B$1000,Settings!$B$18)))),""))</f>
        <v/>
      </c>
      <c r="AF109" s="38" t="str">
        <f aca="false">IF($A109="","",IFERROR(1/(1/IF($B109="Residential",SUMIFS(INDEX('Oxford Economics'!$A$7:$AZ$1000,0,IFERROR(MATCH(AF$5,'Oxford Economics'!$A$6:$AZ$6,0),MATCH(AF$5&amp;"",'Oxford Economics'!$A$6:$AZ$6,0))),'Oxford Economics'!$A$7:$A$1000,$C109,'Oxford Economics'!$B$7:$B$1000,Settings!$B$12)-SUMIFS(INDEX('Oxford Economics'!$A$7:$AZ$1000,0,IFERROR(MATCH(AF$5,'Oxford Economics'!$A$6:$AZ$6,0),MATCH(AF$5&amp;"",'Oxford Economics'!$A$6:$AZ$6,0))),'Oxford Economics'!$A$7:$A$1000,$C109,'Oxford Economics'!$B$7:$B$1000,Settings!$B$14),SUMIFS(INDEX('Oxford Economics'!$A$7:$AZ$1000,0,IFERROR(MATCH(AF$5,'Oxford Economics'!$A$6:$AZ$6,0),MATCH(AF$5&amp;"",'Oxford Economics'!$A$6:$AZ$6,0))),'Oxford Economics'!$A$7:$A$1000,$C109,'Oxford Economics'!$B$7:$B$1000,Settings!$B$14)+SUMIFS(INDEX('Oxford Economics'!$A$7:$AZ$1000,0,IFERROR(MATCH(AF$5,'Oxford Economics'!$A$6:$AZ$6,0),MATCH(AF$5&amp;"",'Oxford Economics'!$A$6:$AZ$6,0))),'Oxford Economics'!$A$7:$A$1000,$C109,'Oxford Economics'!$B$7:$B$1000,Settings!$B$16)+IF(Settings!$B$18="",0,SUMIFS(INDEX('Oxford Economics'!$A$7:$AZ$1000,0,IFERROR(MATCH(AF$5,'Oxford Economics'!$A$6:$AZ$6,0),MATCH(AF$5&amp;"",'Oxford Economics'!$A$6:$AZ$6,0))),'Oxford Economics'!$A$7:$A$1000,$C109,'Oxford Economics'!$B$7:$B$1000,Settings!$B$18)))),""))</f>
        <v/>
      </c>
      <c r="AG109" s="38" t="str">
        <f aca="false">IF($A109="","",IFERROR(1/(1/IF($B109="Residential",SUMIFS(INDEX('Oxford Economics'!$A$7:$AZ$1000,0,IFERROR(MATCH(AG$5,'Oxford Economics'!$A$6:$AZ$6,0),MATCH(AG$5&amp;"",'Oxford Economics'!$A$6:$AZ$6,0))),'Oxford Economics'!$A$7:$A$1000,$C109,'Oxford Economics'!$B$7:$B$1000,Settings!$B$12)-SUMIFS(INDEX('Oxford Economics'!$A$7:$AZ$1000,0,IFERROR(MATCH(AG$5,'Oxford Economics'!$A$6:$AZ$6,0),MATCH(AG$5&amp;"",'Oxford Economics'!$A$6:$AZ$6,0))),'Oxford Economics'!$A$7:$A$1000,$C109,'Oxford Economics'!$B$7:$B$1000,Settings!$B$14),SUMIFS(INDEX('Oxford Economics'!$A$7:$AZ$1000,0,IFERROR(MATCH(AG$5,'Oxford Economics'!$A$6:$AZ$6,0),MATCH(AG$5&amp;"",'Oxford Economics'!$A$6:$AZ$6,0))),'Oxford Economics'!$A$7:$A$1000,$C109,'Oxford Economics'!$B$7:$B$1000,Settings!$B$14)+SUMIFS(INDEX('Oxford Economics'!$A$7:$AZ$1000,0,IFERROR(MATCH(AG$5,'Oxford Economics'!$A$6:$AZ$6,0),MATCH(AG$5&amp;"",'Oxford Economics'!$A$6:$AZ$6,0))),'Oxford Economics'!$A$7:$A$1000,$C109,'Oxford Economics'!$B$7:$B$1000,Settings!$B$16)+IF(Settings!$B$18="",0,SUMIFS(INDEX('Oxford Economics'!$A$7:$AZ$1000,0,IFERROR(MATCH(AG$5,'Oxford Economics'!$A$6:$AZ$6,0),MATCH(AG$5&amp;"",'Oxford Economics'!$A$6:$AZ$6,0))),'Oxford Economics'!$A$7:$A$1000,$C109,'Oxford Economics'!$B$7:$B$1000,Settings!$B$18)))),""))</f>
        <v/>
      </c>
      <c r="AH109" s="38" t="str">
        <f aca="false">IF($A109="","",IFERROR(1/(1/IF($B109="Residential",SUMIFS(INDEX('Oxford Economics'!$A$7:$AZ$1000,0,IFERROR(MATCH(AH$5,'Oxford Economics'!$A$6:$AZ$6,0),MATCH(AH$5&amp;"",'Oxford Economics'!$A$6:$AZ$6,0))),'Oxford Economics'!$A$7:$A$1000,$C109,'Oxford Economics'!$B$7:$B$1000,Settings!$B$12)-SUMIFS(INDEX('Oxford Economics'!$A$7:$AZ$1000,0,IFERROR(MATCH(AH$5,'Oxford Economics'!$A$6:$AZ$6,0),MATCH(AH$5&amp;"",'Oxford Economics'!$A$6:$AZ$6,0))),'Oxford Economics'!$A$7:$A$1000,$C109,'Oxford Economics'!$B$7:$B$1000,Settings!$B$14),SUMIFS(INDEX('Oxford Economics'!$A$7:$AZ$1000,0,IFERROR(MATCH(AH$5,'Oxford Economics'!$A$6:$AZ$6,0),MATCH(AH$5&amp;"",'Oxford Economics'!$A$6:$AZ$6,0))),'Oxford Economics'!$A$7:$A$1000,$C109,'Oxford Economics'!$B$7:$B$1000,Settings!$B$14)+SUMIFS(INDEX('Oxford Economics'!$A$7:$AZ$1000,0,IFERROR(MATCH(AH$5,'Oxford Economics'!$A$6:$AZ$6,0),MATCH(AH$5&amp;"",'Oxford Economics'!$A$6:$AZ$6,0))),'Oxford Economics'!$A$7:$A$1000,$C109,'Oxford Economics'!$B$7:$B$1000,Settings!$B$16)+IF(Settings!$B$18="",0,SUMIFS(INDEX('Oxford Economics'!$A$7:$AZ$1000,0,IFERROR(MATCH(AH$5,'Oxford Economics'!$A$6:$AZ$6,0),MATCH(AH$5&amp;"",'Oxford Economics'!$A$6:$AZ$6,0))),'Oxford Economics'!$A$7:$A$1000,$C109,'Oxford Economics'!$B$7:$B$1000,Settings!$B$18)))),""))</f>
        <v/>
      </c>
      <c r="AI109" s="38" t="str">
        <f aca="false">IF($A109="","",IFERROR(1/(1/IF($B109="Residential",SUMIFS(INDEX('Oxford Economics'!$A$7:$AZ$1000,0,IFERROR(MATCH(AI$5,'Oxford Economics'!$A$6:$AZ$6,0),MATCH(AI$5&amp;"",'Oxford Economics'!$A$6:$AZ$6,0))),'Oxford Economics'!$A$7:$A$1000,$C109,'Oxford Economics'!$B$7:$B$1000,Settings!$B$12)-SUMIFS(INDEX('Oxford Economics'!$A$7:$AZ$1000,0,IFERROR(MATCH(AI$5,'Oxford Economics'!$A$6:$AZ$6,0),MATCH(AI$5&amp;"",'Oxford Economics'!$A$6:$AZ$6,0))),'Oxford Economics'!$A$7:$A$1000,$C109,'Oxford Economics'!$B$7:$B$1000,Settings!$B$14),SUMIFS(INDEX('Oxford Economics'!$A$7:$AZ$1000,0,IFERROR(MATCH(AI$5,'Oxford Economics'!$A$6:$AZ$6,0),MATCH(AI$5&amp;"",'Oxford Economics'!$A$6:$AZ$6,0))),'Oxford Economics'!$A$7:$A$1000,$C109,'Oxford Economics'!$B$7:$B$1000,Settings!$B$14)+SUMIFS(INDEX('Oxford Economics'!$A$7:$AZ$1000,0,IFERROR(MATCH(AI$5,'Oxford Economics'!$A$6:$AZ$6,0),MATCH(AI$5&amp;"",'Oxford Economics'!$A$6:$AZ$6,0))),'Oxford Economics'!$A$7:$A$1000,$C109,'Oxford Economics'!$B$7:$B$1000,Settings!$B$16)+IF(Settings!$B$18="",0,SUMIFS(INDEX('Oxford Economics'!$A$7:$AZ$1000,0,IFERROR(MATCH(AI$5,'Oxford Economics'!$A$6:$AZ$6,0),MATCH(AI$5&amp;"",'Oxford Economics'!$A$6:$AZ$6,0))),'Oxford Economics'!$A$7:$A$1000,$C109,'Oxford Economics'!$B$7:$B$1000,Settings!$B$18)))),""))</f>
        <v/>
      </c>
      <c r="AJ109" s="38" t="str">
        <f aca="false">IF($A109="","",IFERROR(1/(1/IF($B109="Residential",SUMIFS(INDEX('Oxford Economics'!$A$7:$AZ$1000,0,IFERROR(MATCH(AJ$5,'Oxford Economics'!$A$6:$AZ$6,0),MATCH(AJ$5&amp;"",'Oxford Economics'!$A$6:$AZ$6,0))),'Oxford Economics'!$A$7:$A$1000,$C109,'Oxford Economics'!$B$7:$B$1000,Settings!$B$12)-SUMIFS(INDEX('Oxford Economics'!$A$7:$AZ$1000,0,IFERROR(MATCH(AJ$5,'Oxford Economics'!$A$6:$AZ$6,0),MATCH(AJ$5&amp;"",'Oxford Economics'!$A$6:$AZ$6,0))),'Oxford Economics'!$A$7:$A$1000,$C109,'Oxford Economics'!$B$7:$B$1000,Settings!$B$14),SUMIFS(INDEX('Oxford Economics'!$A$7:$AZ$1000,0,IFERROR(MATCH(AJ$5,'Oxford Economics'!$A$6:$AZ$6,0),MATCH(AJ$5&amp;"",'Oxford Economics'!$A$6:$AZ$6,0))),'Oxford Economics'!$A$7:$A$1000,$C109,'Oxford Economics'!$B$7:$B$1000,Settings!$B$14)+SUMIFS(INDEX('Oxford Economics'!$A$7:$AZ$1000,0,IFERROR(MATCH(AJ$5,'Oxford Economics'!$A$6:$AZ$6,0),MATCH(AJ$5&amp;"",'Oxford Economics'!$A$6:$AZ$6,0))),'Oxford Economics'!$A$7:$A$1000,$C109,'Oxford Economics'!$B$7:$B$1000,Settings!$B$16)+IF(Settings!$B$18="",0,SUMIFS(INDEX('Oxford Economics'!$A$7:$AZ$1000,0,IFERROR(MATCH(AJ$5,'Oxford Economics'!$A$6:$AZ$6,0),MATCH(AJ$5&amp;"",'Oxford Economics'!$A$6:$AZ$6,0))),'Oxford Economics'!$A$7:$A$1000,$C109,'Oxford Economics'!$B$7:$B$1000,Settings!$B$18)))),""))</f>
        <v/>
      </c>
      <c r="AK109" s="38" t="str">
        <f aca="false">IF($A109="","",IFERROR(1/(1/IF($B109="Residential",SUMIFS(INDEX('Oxford Economics'!$A$7:$AZ$1000,0,IFERROR(MATCH(AK$5,'Oxford Economics'!$A$6:$AZ$6,0),MATCH(AK$5&amp;"",'Oxford Economics'!$A$6:$AZ$6,0))),'Oxford Economics'!$A$7:$A$1000,$C109,'Oxford Economics'!$B$7:$B$1000,Settings!$B$12)-SUMIFS(INDEX('Oxford Economics'!$A$7:$AZ$1000,0,IFERROR(MATCH(AK$5,'Oxford Economics'!$A$6:$AZ$6,0),MATCH(AK$5&amp;"",'Oxford Economics'!$A$6:$AZ$6,0))),'Oxford Economics'!$A$7:$A$1000,$C109,'Oxford Economics'!$B$7:$B$1000,Settings!$B$14),SUMIFS(INDEX('Oxford Economics'!$A$7:$AZ$1000,0,IFERROR(MATCH(AK$5,'Oxford Economics'!$A$6:$AZ$6,0),MATCH(AK$5&amp;"",'Oxford Economics'!$A$6:$AZ$6,0))),'Oxford Economics'!$A$7:$A$1000,$C109,'Oxford Economics'!$B$7:$B$1000,Settings!$B$14)+SUMIFS(INDEX('Oxford Economics'!$A$7:$AZ$1000,0,IFERROR(MATCH(AK$5,'Oxford Economics'!$A$6:$AZ$6,0),MATCH(AK$5&amp;"",'Oxford Economics'!$A$6:$AZ$6,0))),'Oxford Economics'!$A$7:$A$1000,$C109,'Oxford Economics'!$B$7:$B$1000,Settings!$B$16)+IF(Settings!$B$18="",0,SUMIFS(INDEX('Oxford Economics'!$A$7:$AZ$1000,0,IFERROR(MATCH(AK$5,'Oxford Economics'!$A$6:$AZ$6,0),MATCH(AK$5&amp;"",'Oxford Economics'!$A$6:$AZ$6,0))),'Oxford Economics'!$A$7:$A$1000,$C109,'Oxford Economics'!$B$7:$B$1000,Settings!$B$18)))),""))</f>
        <v/>
      </c>
      <c r="AL109" s="38" t="str">
        <f aca="false">IF($A109="","",IFERROR(1/(1/IF($B109="Residential",SUMIFS(INDEX('Oxford Economics'!$A$7:$AZ$1000,0,IFERROR(MATCH(AL$5,'Oxford Economics'!$A$6:$AZ$6,0),MATCH(AL$5&amp;"",'Oxford Economics'!$A$6:$AZ$6,0))),'Oxford Economics'!$A$7:$A$1000,$C109,'Oxford Economics'!$B$7:$B$1000,Settings!$B$12)-SUMIFS(INDEX('Oxford Economics'!$A$7:$AZ$1000,0,IFERROR(MATCH(AL$5,'Oxford Economics'!$A$6:$AZ$6,0),MATCH(AL$5&amp;"",'Oxford Economics'!$A$6:$AZ$6,0))),'Oxford Economics'!$A$7:$A$1000,$C109,'Oxford Economics'!$B$7:$B$1000,Settings!$B$14),SUMIFS(INDEX('Oxford Economics'!$A$7:$AZ$1000,0,IFERROR(MATCH(AL$5,'Oxford Economics'!$A$6:$AZ$6,0),MATCH(AL$5&amp;"",'Oxford Economics'!$A$6:$AZ$6,0))),'Oxford Economics'!$A$7:$A$1000,$C109,'Oxford Economics'!$B$7:$B$1000,Settings!$B$14)+SUMIFS(INDEX('Oxford Economics'!$A$7:$AZ$1000,0,IFERROR(MATCH(AL$5,'Oxford Economics'!$A$6:$AZ$6,0),MATCH(AL$5&amp;"",'Oxford Economics'!$A$6:$AZ$6,0))),'Oxford Economics'!$A$7:$A$1000,$C109,'Oxford Economics'!$B$7:$B$1000,Settings!$B$16)+IF(Settings!$B$18="",0,SUMIFS(INDEX('Oxford Economics'!$A$7:$AZ$1000,0,IFERROR(MATCH(AL$5,'Oxford Economics'!$A$6:$AZ$6,0),MATCH(AL$5&amp;"",'Oxford Economics'!$A$6:$AZ$6,0))),'Oxford Economics'!$A$7:$A$1000,$C109,'Oxford Economics'!$B$7:$B$1000,Settings!$B$18)))),""))</f>
        <v/>
      </c>
      <c r="AM109" s="38" t="str">
        <f aca="false">IF($A109="","",IFERROR(1/(1/IF($B109="Residential",SUMIFS(INDEX('Oxford Economics'!$A$7:$AZ$1000,0,IFERROR(MATCH(AM$5,'Oxford Economics'!$A$6:$AZ$6,0),MATCH(AM$5&amp;"",'Oxford Economics'!$A$6:$AZ$6,0))),'Oxford Economics'!$A$7:$A$1000,$C109,'Oxford Economics'!$B$7:$B$1000,Settings!$B$12)-SUMIFS(INDEX('Oxford Economics'!$A$7:$AZ$1000,0,IFERROR(MATCH(AM$5,'Oxford Economics'!$A$6:$AZ$6,0),MATCH(AM$5&amp;"",'Oxford Economics'!$A$6:$AZ$6,0))),'Oxford Economics'!$A$7:$A$1000,$C109,'Oxford Economics'!$B$7:$B$1000,Settings!$B$14),SUMIFS(INDEX('Oxford Economics'!$A$7:$AZ$1000,0,IFERROR(MATCH(AM$5,'Oxford Economics'!$A$6:$AZ$6,0),MATCH(AM$5&amp;"",'Oxford Economics'!$A$6:$AZ$6,0))),'Oxford Economics'!$A$7:$A$1000,$C109,'Oxford Economics'!$B$7:$B$1000,Settings!$B$14)+SUMIFS(INDEX('Oxford Economics'!$A$7:$AZ$1000,0,IFERROR(MATCH(AM$5,'Oxford Economics'!$A$6:$AZ$6,0),MATCH(AM$5&amp;"",'Oxford Economics'!$A$6:$AZ$6,0))),'Oxford Economics'!$A$7:$A$1000,$C109,'Oxford Economics'!$B$7:$B$1000,Settings!$B$16)+IF(Settings!$B$18="",0,SUMIFS(INDEX('Oxford Economics'!$A$7:$AZ$1000,0,IFERROR(MATCH(AM$5,'Oxford Economics'!$A$6:$AZ$6,0),MATCH(AM$5&amp;"",'Oxford Economics'!$A$6:$AZ$6,0))),'Oxford Economics'!$A$7:$A$1000,$C109,'Oxford Economics'!$B$7:$B$1000,Settings!$B$18)))),""))</f>
        <v/>
      </c>
    </row>
    <row r="110" customFormat="false" ht="15" hidden="false" customHeight="false" outlineLevel="0" collapsed="false">
      <c r="A110" s="37" t="str">
        <f aca="false">IF('Raw data'!$A110="","",'Raw data'!$A110)</f>
        <v/>
      </c>
      <c r="B110" s="37" t="str">
        <f aca="false">IF($A110="","",'Raw data'!$C110)</f>
        <v/>
      </c>
      <c r="C110" s="37" t="str">
        <f aca="false">IF($A110="","",IF('Raw data'!$E110="",$A110,'Raw data'!$E110))</f>
        <v/>
      </c>
      <c r="D110" s="38" t="str">
        <f aca="false">IF($A110="","",IF(AND(ISNUMBER(P110),ISNUMBER(AB110)),P110+AB110,""))</f>
        <v/>
      </c>
      <c r="E110" s="38" t="str">
        <f aca="false">IF($A110="","",IF(AND(ISNUMBER(Q110),ISNUMBER(AC110)),Q110+AC110,""))</f>
        <v/>
      </c>
      <c r="F110" s="38" t="str">
        <f aca="false">IF($A110="","",IF(AND(ISNUMBER(R110),ISNUMBER(AD110)),R110+AD110,""))</f>
        <v/>
      </c>
      <c r="G110" s="38" t="str">
        <f aca="false">IF($A110="","",IF(AND(ISNUMBER(S110),ISNUMBER(AE110)),S110+AE110,""))</f>
        <v/>
      </c>
      <c r="H110" s="38" t="str">
        <f aca="false">IF($A110="","",IF(AND(ISNUMBER(T110),ISNUMBER(AF110)),T110+AF110,""))</f>
        <v/>
      </c>
      <c r="I110" s="38" t="str">
        <f aca="false">IF($A110="","",IF(AND(ISNUMBER(U110),ISNUMBER(AG110)),U110+AG110,""))</f>
        <v/>
      </c>
      <c r="J110" s="38" t="str">
        <f aca="false">IF($A110="","",IF(AND(ISNUMBER(V110),ISNUMBER(AH110)),V110+AH110,""))</f>
        <v/>
      </c>
      <c r="K110" s="38" t="str">
        <f aca="false">IF($A110="","",IF(AND(ISNUMBER(W110),ISNUMBER(AI110)),W110+AI110,""))</f>
        <v/>
      </c>
      <c r="L110" s="38" t="str">
        <f aca="false">IF($A110="","",IF(AND(ISNUMBER(X110),ISNUMBER(AJ110)),X110+AJ110,""))</f>
        <v/>
      </c>
      <c r="M110" s="38" t="str">
        <f aca="false">IF($A110="","",IF(AND(ISNUMBER(Y110),ISNUMBER(AK110)),Y110+AK110,""))</f>
        <v/>
      </c>
      <c r="N110" s="38" t="str">
        <f aca="false">IF($A110="","",IF(AND(ISNUMBER(Z110),ISNUMBER(AL110)),Z110+AL110,""))</f>
        <v/>
      </c>
      <c r="O110" s="38" t="str">
        <f aca="false">IF($A110="","",IF(AND(ISNUMBER(AA110),ISNUMBER(AM110)),AA110+AM110,""))</f>
        <v/>
      </c>
      <c r="P110" s="38" t="str">
        <f aca="false">IF($A110="","",IFERROR(1/(1/IF($B110="Residential",SUMIFS(INDEX('Oxford Economics'!$A$7:$AZ$1000,0,IFERROR(MATCH(P$5,'Oxford Economics'!$A$6:$AZ$6,0),MATCH(P$5&amp;"",'Oxford Economics'!$A$6:$AZ$6,0))),'Oxford Economics'!$A$7:$A$1000,$C110,'Oxford Economics'!$B$7:$B$1000,Settings!$B$13)-SUMIFS(INDEX('Oxford Economics'!$A$7:$AZ$1000,0,IFERROR(MATCH(P$5,'Oxford Economics'!$A$6:$AZ$6,0),MATCH(P$5&amp;"",'Oxford Economics'!$A$6:$AZ$6,0))),'Oxford Economics'!$A$7:$A$1000,$C110,'Oxford Economics'!$B$7:$B$1000,Settings!$B$15),SUMIFS(INDEX('Oxford Economics'!$A$7:$AZ$1000,0,IFERROR(MATCH(P$5,'Oxford Economics'!$A$6:$AZ$6,0),MATCH(P$5&amp;"",'Oxford Economics'!$A$6:$AZ$6,0))),'Oxford Economics'!$A$7:$A$1000,$C110,'Oxford Economics'!$B$7:$B$1000,Settings!$B$15)+SUMIFS(INDEX('Oxford Economics'!$A$7:$AZ$1000,0,IFERROR(MATCH(P$5,'Oxford Economics'!$A$6:$AZ$6,0),MATCH(P$5&amp;"",'Oxford Economics'!$A$6:$AZ$6,0))),'Oxford Economics'!$A$7:$A$1000,$C110,'Oxford Economics'!$B$7:$B$1000,Settings!$B$17)+IF(Settings!$B$19="",0,SUMIFS(INDEX('Oxford Economics'!$A$7:$AZ$1000,0,IFERROR(MATCH(P$5,'Oxford Economics'!$A$6:$AZ$6,0),MATCH(P$5&amp;"",'Oxford Economics'!$A$6:$AZ$6,0))),'Oxford Economics'!$A$7:$A$1000,$C110,'Oxford Economics'!$B$7:$B$1000,Settings!$B$19)))),""))</f>
        <v/>
      </c>
      <c r="Q110" s="38" t="str">
        <f aca="false">IF($A110="","",IFERROR(1/(1/IF($B110="Residential",SUMIFS(INDEX('Oxford Economics'!$A$7:$AZ$1000,0,IFERROR(MATCH(Q$5,'Oxford Economics'!$A$6:$AZ$6,0),MATCH(Q$5&amp;"",'Oxford Economics'!$A$6:$AZ$6,0))),'Oxford Economics'!$A$7:$A$1000,$C110,'Oxford Economics'!$B$7:$B$1000,Settings!$B$13)-SUMIFS(INDEX('Oxford Economics'!$A$7:$AZ$1000,0,IFERROR(MATCH(Q$5,'Oxford Economics'!$A$6:$AZ$6,0),MATCH(Q$5&amp;"",'Oxford Economics'!$A$6:$AZ$6,0))),'Oxford Economics'!$A$7:$A$1000,$C110,'Oxford Economics'!$B$7:$B$1000,Settings!$B$15),SUMIFS(INDEX('Oxford Economics'!$A$7:$AZ$1000,0,IFERROR(MATCH(Q$5,'Oxford Economics'!$A$6:$AZ$6,0),MATCH(Q$5&amp;"",'Oxford Economics'!$A$6:$AZ$6,0))),'Oxford Economics'!$A$7:$A$1000,$C110,'Oxford Economics'!$B$7:$B$1000,Settings!$B$15)+SUMIFS(INDEX('Oxford Economics'!$A$7:$AZ$1000,0,IFERROR(MATCH(Q$5,'Oxford Economics'!$A$6:$AZ$6,0),MATCH(Q$5&amp;"",'Oxford Economics'!$A$6:$AZ$6,0))),'Oxford Economics'!$A$7:$A$1000,$C110,'Oxford Economics'!$B$7:$B$1000,Settings!$B$17)+IF(Settings!$B$19="",0,SUMIFS(INDEX('Oxford Economics'!$A$7:$AZ$1000,0,IFERROR(MATCH(Q$5,'Oxford Economics'!$A$6:$AZ$6,0),MATCH(Q$5&amp;"",'Oxford Economics'!$A$6:$AZ$6,0))),'Oxford Economics'!$A$7:$A$1000,$C110,'Oxford Economics'!$B$7:$B$1000,Settings!$B$19)))),""))</f>
        <v/>
      </c>
      <c r="R110" s="38" t="str">
        <f aca="false">IF($A110="","",IFERROR(1/(1/IF($B110="Residential",SUMIFS(INDEX('Oxford Economics'!$A$7:$AZ$1000,0,IFERROR(MATCH(R$5,'Oxford Economics'!$A$6:$AZ$6,0),MATCH(R$5&amp;"",'Oxford Economics'!$A$6:$AZ$6,0))),'Oxford Economics'!$A$7:$A$1000,$C110,'Oxford Economics'!$B$7:$B$1000,Settings!$B$13)-SUMIFS(INDEX('Oxford Economics'!$A$7:$AZ$1000,0,IFERROR(MATCH(R$5,'Oxford Economics'!$A$6:$AZ$6,0),MATCH(R$5&amp;"",'Oxford Economics'!$A$6:$AZ$6,0))),'Oxford Economics'!$A$7:$A$1000,$C110,'Oxford Economics'!$B$7:$B$1000,Settings!$B$15),SUMIFS(INDEX('Oxford Economics'!$A$7:$AZ$1000,0,IFERROR(MATCH(R$5,'Oxford Economics'!$A$6:$AZ$6,0),MATCH(R$5&amp;"",'Oxford Economics'!$A$6:$AZ$6,0))),'Oxford Economics'!$A$7:$A$1000,$C110,'Oxford Economics'!$B$7:$B$1000,Settings!$B$15)+SUMIFS(INDEX('Oxford Economics'!$A$7:$AZ$1000,0,IFERROR(MATCH(R$5,'Oxford Economics'!$A$6:$AZ$6,0),MATCH(R$5&amp;"",'Oxford Economics'!$A$6:$AZ$6,0))),'Oxford Economics'!$A$7:$A$1000,$C110,'Oxford Economics'!$B$7:$B$1000,Settings!$B$17)+IF(Settings!$B$19="",0,SUMIFS(INDEX('Oxford Economics'!$A$7:$AZ$1000,0,IFERROR(MATCH(R$5,'Oxford Economics'!$A$6:$AZ$6,0),MATCH(R$5&amp;"",'Oxford Economics'!$A$6:$AZ$6,0))),'Oxford Economics'!$A$7:$A$1000,$C110,'Oxford Economics'!$B$7:$B$1000,Settings!$B$19)))),""))</f>
        <v/>
      </c>
      <c r="S110" s="38" t="str">
        <f aca="false">IF($A110="","",IFERROR(1/(1/IF($B110="Residential",SUMIFS(INDEX('Oxford Economics'!$A$7:$AZ$1000,0,IFERROR(MATCH(S$5,'Oxford Economics'!$A$6:$AZ$6,0),MATCH(S$5&amp;"",'Oxford Economics'!$A$6:$AZ$6,0))),'Oxford Economics'!$A$7:$A$1000,$C110,'Oxford Economics'!$B$7:$B$1000,Settings!$B$13)-SUMIFS(INDEX('Oxford Economics'!$A$7:$AZ$1000,0,IFERROR(MATCH(S$5,'Oxford Economics'!$A$6:$AZ$6,0),MATCH(S$5&amp;"",'Oxford Economics'!$A$6:$AZ$6,0))),'Oxford Economics'!$A$7:$A$1000,$C110,'Oxford Economics'!$B$7:$B$1000,Settings!$B$15),SUMIFS(INDEX('Oxford Economics'!$A$7:$AZ$1000,0,IFERROR(MATCH(S$5,'Oxford Economics'!$A$6:$AZ$6,0),MATCH(S$5&amp;"",'Oxford Economics'!$A$6:$AZ$6,0))),'Oxford Economics'!$A$7:$A$1000,$C110,'Oxford Economics'!$B$7:$B$1000,Settings!$B$15)+SUMIFS(INDEX('Oxford Economics'!$A$7:$AZ$1000,0,IFERROR(MATCH(S$5,'Oxford Economics'!$A$6:$AZ$6,0),MATCH(S$5&amp;"",'Oxford Economics'!$A$6:$AZ$6,0))),'Oxford Economics'!$A$7:$A$1000,$C110,'Oxford Economics'!$B$7:$B$1000,Settings!$B$17)+IF(Settings!$B$19="",0,SUMIFS(INDEX('Oxford Economics'!$A$7:$AZ$1000,0,IFERROR(MATCH(S$5,'Oxford Economics'!$A$6:$AZ$6,0),MATCH(S$5&amp;"",'Oxford Economics'!$A$6:$AZ$6,0))),'Oxford Economics'!$A$7:$A$1000,$C110,'Oxford Economics'!$B$7:$B$1000,Settings!$B$19)))),""))</f>
        <v/>
      </c>
      <c r="T110" s="38" t="str">
        <f aca="false">IF($A110="","",IFERROR(1/(1/IF($B110="Residential",SUMIFS(INDEX('Oxford Economics'!$A$7:$AZ$1000,0,IFERROR(MATCH(T$5,'Oxford Economics'!$A$6:$AZ$6,0),MATCH(T$5&amp;"",'Oxford Economics'!$A$6:$AZ$6,0))),'Oxford Economics'!$A$7:$A$1000,$C110,'Oxford Economics'!$B$7:$B$1000,Settings!$B$13)-SUMIFS(INDEX('Oxford Economics'!$A$7:$AZ$1000,0,IFERROR(MATCH(T$5,'Oxford Economics'!$A$6:$AZ$6,0),MATCH(T$5&amp;"",'Oxford Economics'!$A$6:$AZ$6,0))),'Oxford Economics'!$A$7:$A$1000,$C110,'Oxford Economics'!$B$7:$B$1000,Settings!$B$15),SUMIFS(INDEX('Oxford Economics'!$A$7:$AZ$1000,0,IFERROR(MATCH(T$5,'Oxford Economics'!$A$6:$AZ$6,0),MATCH(T$5&amp;"",'Oxford Economics'!$A$6:$AZ$6,0))),'Oxford Economics'!$A$7:$A$1000,$C110,'Oxford Economics'!$B$7:$B$1000,Settings!$B$15)+SUMIFS(INDEX('Oxford Economics'!$A$7:$AZ$1000,0,IFERROR(MATCH(T$5,'Oxford Economics'!$A$6:$AZ$6,0),MATCH(T$5&amp;"",'Oxford Economics'!$A$6:$AZ$6,0))),'Oxford Economics'!$A$7:$A$1000,$C110,'Oxford Economics'!$B$7:$B$1000,Settings!$B$17)+IF(Settings!$B$19="",0,SUMIFS(INDEX('Oxford Economics'!$A$7:$AZ$1000,0,IFERROR(MATCH(T$5,'Oxford Economics'!$A$6:$AZ$6,0),MATCH(T$5&amp;"",'Oxford Economics'!$A$6:$AZ$6,0))),'Oxford Economics'!$A$7:$A$1000,$C110,'Oxford Economics'!$B$7:$B$1000,Settings!$B$19)))),""))</f>
        <v/>
      </c>
      <c r="U110" s="38" t="str">
        <f aca="false">IF($A110="","",IFERROR(1/(1/IF($B110="Residential",SUMIFS(INDEX('Oxford Economics'!$A$7:$AZ$1000,0,IFERROR(MATCH(U$5,'Oxford Economics'!$A$6:$AZ$6,0),MATCH(U$5&amp;"",'Oxford Economics'!$A$6:$AZ$6,0))),'Oxford Economics'!$A$7:$A$1000,$C110,'Oxford Economics'!$B$7:$B$1000,Settings!$B$13)-SUMIFS(INDEX('Oxford Economics'!$A$7:$AZ$1000,0,IFERROR(MATCH(U$5,'Oxford Economics'!$A$6:$AZ$6,0),MATCH(U$5&amp;"",'Oxford Economics'!$A$6:$AZ$6,0))),'Oxford Economics'!$A$7:$A$1000,$C110,'Oxford Economics'!$B$7:$B$1000,Settings!$B$15),SUMIFS(INDEX('Oxford Economics'!$A$7:$AZ$1000,0,IFERROR(MATCH(U$5,'Oxford Economics'!$A$6:$AZ$6,0),MATCH(U$5&amp;"",'Oxford Economics'!$A$6:$AZ$6,0))),'Oxford Economics'!$A$7:$A$1000,$C110,'Oxford Economics'!$B$7:$B$1000,Settings!$B$15)+SUMIFS(INDEX('Oxford Economics'!$A$7:$AZ$1000,0,IFERROR(MATCH(U$5,'Oxford Economics'!$A$6:$AZ$6,0),MATCH(U$5&amp;"",'Oxford Economics'!$A$6:$AZ$6,0))),'Oxford Economics'!$A$7:$A$1000,$C110,'Oxford Economics'!$B$7:$B$1000,Settings!$B$17)+IF(Settings!$B$19="",0,SUMIFS(INDEX('Oxford Economics'!$A$7:$AZ$1000,0,IFERROR(MATCH(U$5,'Oxford Economics'!$A$6:$AZ$6,0),MATCH(U$5&amp;"",'Oxford Economics'!$A$6:$AZ$6,0))),'Oxford Economics'!$A$7:$A$1000,$C110,'Oxford Economics'!$B$7:$B$1000,Settings!$B$19)))),""))</f>
        <v/>
      </c>
      <c r="V110" s="38" t="str">
        <f aca="false">IF($A110="","",IFERROR(1/(1/IF($B110="Residential",SUMIFS(INDEX('Oxford Economics'!$A$7:$AZ$1000,0,IFERROR(MATCH(V$5,'Oxford Economics'!$A$6:$AZ$6,0),MATCH(V$5&amp;"",'Oxford Economics'!$A$6:$AZ$6,0))),'Oxford Economics'!$A$7:$A$1000,$C110,'Oxford Economics'!$B$7:$B$1000,Settings!$B$13)-SUMIFS(INDEX('Oxford Economics'!$A$7:$AZ$1000,0,IFERROR(MATCH(V$5,'Oxford Economics'!$A$6:$AZ$6,0),MATCH(V$5&amp;"",'Oxford Economics'!$A$6:$AZ$6,0))),'Oxford Economics'!$A$7:$A$1000,$C110,'Oxford Economics'!$B$7:$B$1000,Settings!$B$15),SUMIFS(INDEX('Oxford Economics'!$A$7:$AZ$1000,0,IFERROR(MATCH(V$5,'Oxford Economics'!$A$6:$AZ$6,0),MATCH(V$5&amp;"",'Oxford Economics'!$A$6:$AZ$6,0))),'Oxford Economics'!$A$7:$A$1000,$C110,'Oxford Economics'!$B$7:$B$1000,Settings!$B$15)+SUMIFS(INDEX('Oxford Economics'!$A$7:$AZ$1000,0,IFERROR(MATCH(V$5,'Oxford Economics'!$A$6:$AZ$6,0),MATCH(V$5&amp;"",'Oxford Economics'!$A$6:$AZ$6,0))),'Oxford Economics'!$A$7:$A$1000,$C110,'Oxford Economics'!$B$7:$B$1000,Settings!$B$17)+IF(Settings!$B$19="",0,SUMIFS(INDEX('Oxford Economics'!$A$7:$AZ$1000,0,IFERROR(MATCH(V$5,'Oxford Economics'!$A$6:$AZ$6,0),MATCH(V$5&amp;"",'Oxford Economics'!$A$6:$AZ$6,0))),'Oxford Economics'!$A$7:$A$1000,$C110,'Oxford Economics'!$B$7:$B$1000,Settings!$B$19)))),""))</f>
        <v/>
      </c>
      <c r="W110" s="38" t="str">
        <f aca="false">IF($A110="","",IFERROR(1/(1/IF($B110="Residential",SUMIFS(INDEX('Oxford Economics'!$A$7:$AZ$1000,0,IFERROR(MATCH(W$5,'Oxford Economics'!$A$6:$AZ$6,0),MATCH(W$5&amp;"",'Oxford Economics'!$A$6:$AZ$6,0))),'Oxford Economics'!$A$7:$A$1000,$C110,'Oxford Economics'!$B$7:$B$1000,Settings!$B$13)-SUMIFS(INDEX('Oxford Economics'!$A$7:$AZ$1000,0,IFERROR(MATCH(W$5,'Oxford Economics'!$A$6:$AZ$6,0),MATCH(W$5&amp;"",'Oxford Economics'!$A$6:$AZ$6,0))),'Oxford Economics'!$A$7:$A$1000,$C110,'Oxford Economics'!$B$7:$B$1000,Settings!$B$15),SUMIFS(INDEX('Oxford Economics'!$A$7:$AZ$1000,0,IFERROR(MATCH(W$5,'Oxford Economics'!$A$6:$AZ$6,0),MATCH(W$5&amp;"",'Oxford Economics'!$A$6:$AZ$6,0))),'Oxford Economics'!$A$7:$A$1000,$C110,'Oxford Economics'!$B$7:$B$1000,Settings!$B$15)+SUMIFS(INDEX('Oxford Economics'!$A$7:$AZ$1000,0,IFERROR(MATCH(W$5,'Oxford Economics'!$A$6:$AZ$6,0),MATCH(W$5&amp;"",'Oxford Economics'!$A$6:$AZ$6,0))),'Oxford Economics'!$A$7:$A$1000,$C110,'Oxford Economics'!$B$7:$B$1000,Settings!$B$17)+IF(Settings!$B$19="",0,SUMIFS(INDEX('Oxford Economics'!$A$7:$AZ$1000,0,IFERROR(MATCH(W$5,'Oxford Economics'!$A$6:$AZ$6,0),MATCH(W$5&amp;"",'Oxford Economics'!$A$6:$AZ$6,0))),'Oxford Economics'!$A$7:$A$1000,$C110,'Oxford Economics'!$B$7:$B$1000,Settings!$B$19)))),""))</f>
        <v/>
      </c>
      <c r="X110" s="38" t="str">
        <f aca="false">IF($A110="","",IFERROR(1/(1/IF($B110="Residential",SUMIFS(INDEX('Oxford Economics'!$A$7:$AZ$1000,0,IFERROR(MATCH(X$5,'Oxford Economics'!$A$6:$AZ$6,0),MATCH(X$5&amp;"",'Oxford Economics'!$A$6:$AZ$6,0))),'Oxford Economics'!$A$7:$A$1000,$C110,'Oxford Economics'!$B$7:$B$1000,Settings!$B$13)-SUMIFS(INDEX('Oxford Economics'!$A$7:$AZ$1000,0,IFERROR(MATCH(X$5,'Oxford Economics'!$A$6:$AZ$6,0),MATCH(X$5&amp;"",'Oxford Economics'!$A$6:$AZ$6,0))),'Oxford Economics'!$A$7:$A$1000,$C110,'Oxford Economics'!$B$7:$B$1000,Settings!$B$15),SUMIFS(INDEX('Oxford Economics'!$A$7:$AZ$1000,0,IFERROR(MATCH(X$5,'Oxford Economics'!$A$6:$AZ$6,0),MATCH(X$5&amp;"",'Oxford Economics'!$A$6:$AZ$6,0))),'Oxford Economics'!$A$7:$A$1000,$C110,'Oxford Economics'!$B$7:$B$1000,Settings!$B$15)+SUMIFS(INDEX('Oxford Economics'!$A$7:$AZ$1000,0,IFERROR(MATCH(X$5,'Oxford Economics'!$A$6:$AZ$6,0),MATCH(X$5&amp;"",'Oxford Economics'!$A$6:$AZ$6,0))),'Oxford Economics'!$A$7:$A$1000,$C110,'Oxford Economics'!$B$7:$B$1000,Settings!$B$17)+IF(Settings!$B$19="",0,SUMIFS(INDEX('Oxford Economics'!$A$7:$AZ$1000,0,IFERROR(MATCH(X$5,'Oxford Economics'!$A$6:$AZ$6,0),MATCH(X$5&amp;"",'Oxford Economics'!$A$6:$AZ$6,0))),'Oxford Economics'!$A$7:$A$1000,$C110,'Oxford Economics'!$B$7:$B$1000,Settings!$B$19)))),""))</f>
        <v/>
      </c>
      <c r="Y110" s="38" t="str">
        <f aca="false">IF($A110="","",IFERROR(1/(1/IF($B110="Residential",SUMIFS(INDEX('Oxford Economics'!$A$7:$AZ$1000,0,IFERROR(MATCH(Y$5,'Oxford Economics'!$A$6:$AZ$6,0),MATCH(Y$5&amp;"",'Oxford Economics'!$A$6:$AZ$6,0))),'Oxford Economics'!$A$7:$A$1000,$C110,'Oxford Economics'!$B$7:$B$1000,Settings!$B$13)-SUMIFS(INDEX('Oxford Economics'!$A$7:$AZ$1000,0,IFERROR(MATCH(Y$5,'Oxford Economics'!$A$6:$AZ$6,0),MATCH(Y$5&amp;"",'Oxford Economics'!$A$6:$AZ$6,0))),'Oxford Economics'!$A$7:$A$1000,$C110,'Oxford Economics'!$B$7:$B$1000,Settings!$B$15),SUMIFS(INDEX('Oxford Economics'!$A$7:$AZ$1000,0,IFERROR(MATCH(Y$5,'Oxford Economics'!$A$6:$AZ$6,0),MATCH(Y$5&amp;"",'Oxford Economics'!$A$6:$AZ$6,0))),'Oxford Economics'!$A$7:$A$1000,$C110,'Oxford Economics'!$B$7:$B$1000,Settings!$B$15)+SUMIFS(INDEX('Oxford Economics'!$A$7:$AZ$1000,0,IFERROR(MATCH(Y$5,'Oxford Economics'!$A$6:$AZ$6,0),MATCH(Y$5&amp;"",'Oxford Economics'!$A$6:$AZ$6,0))),'Oxford Economics'!$A$7:$A$1000,$C110,'Oxford Economics'!$B$7:$B$1000,Settings!$B$17)+IF(Settings!$B$19="",0,SUMIFS(INDEX('Oxford Economics'!$A$7:$AZ$1000,0,IFERROR(MATCH(Y$5,'Oxford Economics'!$A$6:$AZ$6,0),MATCH(Y$5&amp;"",'Oxford Economics'!$A$6:$AZ$6,0))),'Oxford Economics'!$A$7:$A$1000,$C110,'Oxford Economics'!$B$7:$B$1000,Settings!$B$19)))),""))</f>
        <v/>
      </c>
      <c r="Z110" s="38" t="str">
        <f aca="false">IF($A110="","",IFERROR(1/(1/IF($B110="Residential",SUMIFS(INDEX('Oxford Economics'!$A$7:$AZ$1000,0,IFERROR(MATCH(Z$5,'Oxford Economics'!$A$6:$AZ$6,0),MATCH(Z$5&amp;"",'Oxford Economics'!$A$6:$AZ$6,0))),'Oxford Economics'!$A$7:$A$1000,$C110,'Oxford Economics'!$B$7:$B$1000,Settings!$B$13)-SUMIFS(INDEX('Oxford Economics'!$A$7:$AZ$1000,0,IFERROR(MATCH(Z$5,'Oxford Economics'!$A$6:$AZ$6,0),MATCH(Z$5&amp;"",'Oxford Economics'!$A$6:$AZ$6,0))),'Oxford Economics'!$A$7:$A$1000,$C110,'Oxford Economics'!$B$7:$B$1000,Settings!$B$15),SUMIFS(INDEX('Oxford Economics'!$A$7:$AZ$1000,0,IFERROR(MATCH(Z$5,'Oxford Economics'!$A$6:$AZ$6,0),MATCH(Z$5&amp;"",'Oxford Economics'!$A$6:$AZ$6,0))),'Oxford Economics'!$A$7:$A$1000,$C110,'Oxford Economics'!$B$7:$B$1000,Settings!$B$15)+SUMIFS(INDEX('Oxford Economics'!$A$7:$AZ$1000,0,IFERROR(MATCH(Z$5,'Oxford Economics'!$A$6:$AZ$6,0),MATCH(Z$5&amp;"",'Oxford Economics'!$A$6:$AZ$6,0))),'Oxford Economics'!$A$7:$A$1000,$C110,'Oxford Economics'!$B$7:$B$1000,Settings!$B$17)+IF(Settings!$B$19="",0,SUMIFS(INDEX('Oxford Economics'!$A$7:$AZ$1000,0,IFERROR(MATCH(Z$5,'Oxford Economics'!$A$6:$AZ$6,0),MATCH(Z$5&amp;"",'Oxford Economics'!$A$6:$AZ$6,0))),'Oxford Economics'!$A$7:$A$1000,$C110,'Oxford Economics'!$B$7:$B$1000,Settings!$B$19)))),""))</f>
        <v/>
      </c>
      <c r="AA110" s="38" t="str">
        <f aca="false">IF($A110="","",IFERROR(1/(1/IF($B110="Residential",SUMIFS(INDEX('Oxford Economics'!$A$7:$AZ$1000,0,IFERROR(MATCH(AA$5,'Oxford Economics'!$A$6:$AZ$6,0),MATCH(AA$5&amp;"",'Oxford Economics'!$A$6:$AZ$6,0))),'Oxford Economics'!$A$7:$A$1000,$C110,'Oxford Economics'!$B$7:$B$1000,Settings!$B$13)-SUMIFS(INDEX('Oxford Economics'!$A$7:$AZ$1000,0,IFERROR(MATCH(AA$5,'Oxford Economics'!$A$6:$AZ$6,0),MATCH(AA$5&amp;"",'Oxford Economics'!$A$6:$AZ$6,0))),'Oxford Economics'!$A$7:$A$1000,$C110,'Oxford Economics'!$B$7:$B$1000,Settings!$B$15),SUMIFS(INDEX('Oxford Economics'!$A$7:$AZ$1000,0,IFERROR(MATCH(AA$5,'Oxford Economics'!$A$6:$AZ$6,0),MATCH(AA$5&amp;"",'Oxford Economics'!$A$6:$AZ$6,0))),'Oxford Economics'!$A$7:$A$1000,$C110,'Oxford Economics'!$B$7:$B$1000,Settings!$B$15)+SUMIFS(INDEX('Oxford Economics'!$A$7:$AZ$1000,0,IFERROR(MATCH(AA$5,'Oxford Economics'!$A$6:$AZ$6,0),MATCH(AA$5&amp;"",'Oxford Economics'!$A$6:$AZ$6,0))),'Oxford Economics'!$A$7:$A$1000,$C110,'Oxford Economics'!$B$7:$B$1000,Settings!$B$17)+IF(Settings!$B$19="",0,SUMIFS(INDEX('Oxford Economics'!$A$7:$AZ$1000,0,IFERROR(MATCH(AA$5,'Oxford Economics'!$A$6:$AZ$6,0),MATCH(AA$5&amp;"",'Oxford Economics'!$A$6:$AZ$6,0))),'Oxford Economics'!$A$7:$A$1000,$C110,'Oxford Economics'!$B$7:$B$1000,Settings!$B$19)))),""))</f>
        <v/>
      </c>
      <c r="AB110" s="38" t="str">
        <f aca="false">IF($A110="","",IFERROR(1/(1/IF($B110="Residential",SUMIFS(INDEX('Oxford Economics'!$A$7:$AZ$1000,0,IFERROR(MATCH(AB$5,'Oxford Economics'!$A$6:$AZ$6,0),MATCH(AB$5&amp;"",'Oxford Economics'!$A$6:$AZ$6,0))),'Oxford Economics'!$A$7:$A$1000,$C110,'Oxford Economics'!$B$7:$B$1000,Settings!$B$12)-SUMIFS(INDEX('Oxford Economics'!$A$7:$AZ$1000,0,IFERROR(MATCH(AB$5,'Oxford Economics'!$A$6:$AZ$6,0),MATCH(AB$5&amp;"",'Oxford Economics'!$A$6:$AZ$6,0))),'Oxford Economics'!$A$7:$A$1000,$C110,'Oxford Economics'!$B$7:$B$1000,Settings!$B$14),SUMIFS(INDEX('Oxford Economics'!$A$7:$AZ$1000,0,IFERROR(MATCH(AB$5,'Oxford Economics'!$A$6:$AZ$6,0),MATCH(AB$5&amp;"",'Oxford Economics'!$A$6:$AZ$6,0))),'Oxford Economics'!$A$7:$A$1000,$C110,'Oxford Economics'!$B$7:$B$1000,Settings!$B$14)+SUMIFS(INDEX('Oxford Economics'!$A$7:$AZ$1000,0,IFERROR(MATCH(AB$5,'Oxford Economics'!$A$6:$AZ$6,0),MATCH(AB$5&amp;"",'Oxford Economics'!$A$6:$AZ$6,0))),'Oxford Economics'!$A$7:$A$1000,$C110,'Oxford Economics'!$B$7:$B$1000,Settings!$B$16)+IF(Settings!$B$18="",0,SUMIFS(INDEX('Oxford Economics'!$A$7:$AZ$1000,0,IFERROR(MATCH(AB$5,'Oxford Economics'!$A$6:$AZ$6,0),MATCH(AB$5&amp;"",'Oxford Economics'!$A$6:$AZ$6,0))),'Oxford Economics'!$A$7:$A$1000,$C110,'Oxford Economics'!$B$7:$B$1000,Settings!$B$18)))),""))</f>
        <v/>
      </c>
      <c r="AC110" s="38" t="str">
        <f aca="false">IF($A110="","",IFERROR(1/(1/IF($B110="Residential",SUMIFS(INDEX('Oxford Economics'!$A$7:$AZ$1000,0,IFERROR(MATCH(AC$5,'Oxford Economics'!$A$6:$AZ$6,0),MATCH(AC$5&amp;"",'Oxford Economics'!$A$6:$AZ$6,0))),'Oxford Economics'!$A$7:$A$1000,$C110,'Oxford Economics'!$B$7:$B$1000,Settings!$B$12)-SUMIFS(INDEX('Oxford Economics'!$A$7:$AZ$1000,0,IFERROR(MATCH(AC$5,'Oxford Economics'!$A$6:$AZ$6,0),MATCH(AC$5&amp;"",'Oxford Economics'!$A$6:$AZ$6,0))),'Oxford Economics'!$A$7:$A$1000,$C110,'Oxford Economics'!$B$7:$B$1000,Settings!$B$14),SUMIFS(INDEX('Oxford Economics'!$A$7:$AZ$1000,0,IFERROR(MATCH(AC$5,'Oxford Economics'!$A$6:$AZ$6,0),MATCH(AC$5&amp;"",'Oxford Economics'!$A$6:$AZ$6,0))),'Oxford Economics'!$A$7:$A$1000,$C110,'Oxford Economics'!$B$7:$B$1000,Settings!$B$14)+SUMIFS(INDEX('Oxford Economics'!$A$7:$AZ$1000,0,IFERROR(MATCH(AC$5,'Oxford Economics'!$A$6:$AZ$6,0),MATCH(AC$5&amp;"",'Oxford Economics'!$A$6:$AZ$6,0))),'Oxford Economics'!$A$7:$A$1000,$C110,'Oxford Economics'!$B$7:$B$1000,Settings!$B$16)+IF(Settings!$B$18="",0,SUMIFS(INDEX('Oxford Economics'!$A$7:$AZ$1000,0,IFERROR(MATCH(AC$5,'Oxford Economics'!$A$6:$AZ$6,0),MATCH(AC$5&amp;"",'Oxford Economics'!$A$6:$AZ$6,0))),'Oxford Economics'!$A$7:$A$1000,$C110,'Oxford Economics'!$B$7:$B$1000,Settings!$B$18)))),""))</f>
        <v/>
      </c>
      <c r="AD110" s="38" t="str">
        <f aca="false">IF($A110="","",IFERROR(1/(1/IF($B110="Residential",SUMIFS(INDEX('Oxford Economics'!$A$7:$AZ$1000,0,IFERROR(MATCH(AD$5,'Oxford Economics'!$A$6:$AZ$6,0),MATCH(AD$5&amp;"",'Oxford Economics'!$A$6:$AZ$6,0))),'Oxford Economics'!$A$7:$A$1000,$C110,'Oxford Economics'!$B$7:$B$1000,Settings!$B$12)-SUMIFS(INDEX('Oxford Economics'!$A$7:$AZ$1000,0,IFERROR(MATCH(AD$5,'Oxford Economics'!$A$6:$AZ$6,0),MATCH(AD$5&amp;"",'Oxford Economics'!$A$6:$AZ$6,0))),'Oxford Economics'!$A$7:$A$1000,$C110,'Oxford Economics'!$B$7:$B$1000,Settings!$B$14),SUMIFS(INDEX('Oxford Economics'!$A$7:$AZ$1000,0,IFERROR(MATCH(AD$5,'Oxford Economics'!$A$6:$AZ$6,0),MATCH(AD$5&amp;"",'Oxford Economics'!$A$6:$AZ$6,0))),'Oxford Economics'!$A$7:$A$1000,$C110,'Oxford Economics'!$B$7:$B$1000,Settings!$B$14)+SUMIFS(INDEX('Oxford Economics'!$A$7:$AZ$1000,0,IFERROR(MATCH(AD$5,'Oxford Economics'!$A$6:$AZ$6,0),MATCH(AD$5&amp;"",'Oxford Economics'!$A$6:$AZ$6,0))),'Oxford Economics'!$A$7:$A$1000,$C110,'Oxford Economics'!$B$7:$B$1000,Settings!$B$16)+IF(Settings!$B$18="",0,SUMIFS(INDEX('Oxford Economics'!$A$7:$AZ$1000,0,IFERROR(MATCH(AD$5,'Oxford Economics'!$A$6:$AZ$6,0),MATCH(AD$5&amp;"",'Oxford Economics'!$A$6:$AZ$6,0))),'Oxford Economics'!$A$7:$A$1000,$C110,'Oxford Economics'!$B$7:$B$1000,Settings!$B$18)))),""))</f>
        <v/>
      </c>
      <c r="AE110" s="38" t="str">
        <f aca="false">IF($A110="","",IFERROR(1/(1/IF($B110="Residential",SUMIFS(INDEX('Oxford Economics'!$A$7:$AZ$1000,0,IFERROR(MATCH(AE$5,'Oxford Economics'!$A$6:$AZ$6,0),MATCH(AE$5&amp;"",'Oxford Economics'!$A$6:$AZ$6,0))),'Oxford Economics'!$A$7:$A$1000,$C110,'Oxford Economics'!$B$7:$B$1000,Settings!$B$12)-SUMIFS(INDEX('Oxford Economics'!$A$7:$AZ$1000,0,IFERROR(MATCH(AE$5,'Oxford Economics'!$A$6:$AZ$6,0),MATCH(AE$5&amp;"",'Oxford Economics'!$A$6:$AZ$6,0))),'Oxford Economics'!$A$7:$A$1000,$C110,'Oxford Economics'!$B$7:$B$1000,Settings!$B$14),SUMIFS(INDEX('Oxford Economics'!$A$7:$AZ$1000,0,IFERROR(MATCH(AE$5,'Oxford Economics'!$A$6:$AZ$6,0),MATCH(AE$5&amp;"",'Oxford Economics'!$A$6:$AZ$6,0))),'Oxford Economics'!$A$7:$A$1000,$C110,'Oxford Economics'!$B$7:$B$1000,Settings!$B$14)+SUMIFS(INDEX('Oxford Economics'!$A$7:$AZ$1000,0,IFERROR(MATCH(AE$5,'Oxford Economics'!$A$6:$AZ$6,0),MATCH(AE$5&amp;"",'Oxford Economics'!$A$6:$AZ$6,0))),'Oxford Economics'!$A$7:$A$1000,$C110,'Oxford Economics'!$B$7:$B$1000,Settings!$B$16)+IF(Settings!$B$18="",0,SUMIFS(INDEX('Oxford Economics'!$A$7:$AZ$1000,0,IFERROR(MATCH(AE$5,'Oxford Economics'!$A$6:$AZ$6,0),MATCH(AE$5&amp;"",'Oxford Economics'!$A$6:$AZ$6,0))),'Oxford Economics'!$A$7:$A$1000,$C110,'Oxford Economics'!$B$7:$B$1000,Settings!$B$18)))),""))</f>
        <v/>
      </c>
      <c r="AF110" s="38" t="str">
        <f aca="false">IF($A110="","",IFERROR(1/(1/IF($B110="Residential",SUMIFS(INDEX('Oxford Economics'!$A$7:$AZ$1000,0,IFERROR(MATCH(AF$5,'Oxford Economics'!$A$6:$AZ$6,0),MATCH(AF$5&amp;"",'Oxford Economics'!$A$6:$AZ$6,0))),'Oxford Economics'!$A$7:$A$1000,$C110,'Oxford Economics'!$B$7:$B$1000,Settings!$B$12)-SUMIFS(INDEX('Oxford Economics'!$A$7:$AZ$1000,0,IFERROR(MATCH(AF$5,'Oxford Economics'!$A$6:$AZ$6,0),MATCH(AF$5&amp;"",'Oxford Economics'!$A$6:$AZ$6,0))),'Oxford Economics'!$A$7:$A$1000,$C110,'Oxford Economics'!$B$7:$B$1000,Settings!$B$14),SUMIFS(INDEX('Oxford Economics'!$A$7:$AZ$1000,0,IFERROR(MATCH(AF$5,'Oxford Economics'!$A$6:$AZ$6,0),MATCH(AF$5&amp;"",'Oxford Economics'!$A$6:$AZ$6,0))),'Oxford Economics'!$A$7:$A$1000,$C110,'Oxford Economics'!$B$7:$B$1000,Settings!$B$14)+SUMIFS(INDEX('Oxford Economics'!$A$7:$AZ$1000,0,IFERROR(MATCH(AF$5,'Oxford Economics'!$A$6:$AZ$6,0),MATCH(AF$5&amp;"",'Oxford Economics'!$A$6:$AZ$6,0))),'Oxford Economics'!$A$7:$A$1000,$C110,'Oxford Economics'!$B$7:$B$1000,Settings!$B$16)+IF(Settings!$B$18="",0,SUMIFS(INDEX('Oxford Economics'!$A$7:$AZ$1000,0,IFERROR(MATCH(AF$5,'Oxford Economics'!$A$6:$AZ$6,0),MATCH(AF$5&amp;"",'Oxford Economics'!$A$6:$AZ$6,0))),'Oxford Economics'!$A$7:$A$1000,$C110,'Oxford Economics'!$B$7:$B$1000,Settings!$B$18)))),""))</f>
        <v/>
      </c>
      <c r="AG110" s="38" t="str">
        <f aca="false">IF($A110="","",IFERROR(1/(1/IF($B110="Residential",SUMIFS(INDEX('Oxford Economics'!$A$7:$AZ$1000,0,IFERROR(MATCH(AG$5,'Oxford Economics'!$A$6:$AZ$6,0),MATCH(AG$5&amp;"",'Oxford Economics'!$A$6:$AZ$6,0))),'Oxford Economics'!$A$7:$A$1000,$C110,'Oxford Economics'!$B$7:$B$1000,Settings!$B$12)-SUMIFS(INDEX('Oxford Economics'!$A$7:$AZ$1000,0,IFERROR(MATCH(AG$5,'Oxford Economics'!$A$6:$AZ$6,0),MATCH(AG$5&amp;"",'Oxford Economics'!$A$6:$AZ$6,0))),'Oxford Economics'!$A$7:$A$1000,$C110,'Oxford Economics'!$B$7:$B$1000,Settings!$B$14),SUMIFS(INDEX('Oxford Economics'!$A$7:$AZ$1000,0,IFERROR(MATCH(AG$5,'Oxford Economics'!$A$6:$AZ$6,0),MATCH(AG$5&amp;"",'Oxford Economics'!$A$6:$AZ$6,0))),'Oxford Economics'!$A$7:$A$1000,$C110,'Oxford Economics'!$B$7:$B$1000,Settings!$B$14)+SUMIFS(INDEX('Oxford Economics'!$A$7:$AZ$1000,0,IFERROR(MATCH(AG$5,'Oxford Economics'!$A$6:$AZ$6,0),MATCH(AG$5&amp;"",'Oxford Economics'!$A$6:$AZ$6,0))),'Oxford Economics'!$A$7:$A$1000,$C110,'Oxford Economics'!$B$7:$B$1000,Settings!$B$16)+IF(Settings!$B$18="",0,SUMIFS(INDEX('Oxford Economics'!$A$7:$AZ$1000,0,IFERROR(MATCH(AG$5,'Oxford Economics'!$A$6:$AZ$6,0),MATCH(AG$5&amp;"",'Oxford Economics'!$A$6:$AZ$6,0))),'Oxford Economics'!$A$7:$A$1000,$C110,'Oxford Economics'!$B$7:$B$1000,Settings!$B$18)))),""))</f>
        <v/>
      </c>
      <c r="AH110" s="38" t="str">
        <f aca="false">IF($A110="","",IFERROR(1/(1/IF($B110="Residential",SUMIFS(INDEX('Oxford Economics'!$A$7:$AZ$1000,0,IFERROR(MATCH(AH$5,'Oxford Economics'!$A$6:$AZ$6,0),MATCH(AH$5&amp;"",'Oxford Economics'!$A$6:$AZ$6,0))),'Oxford Economics'!$A$7:$A$1000,$C110,'Oxford Economics'!$B$7:$B$1000,Settings!$B$12)-SUMIFS(INDEX('Oxford Economics'!$A$7:$AZ$1000,0,IFERROR(MATCH(AH$5,'Oxford Economics'!$A$6:$AZ$6,0),MATCH(AH$5&amp;"",'Oxford Economics'!$A$6:$AZ$6,0))),'Oxford Economics'!$A$7:$A$1000,$C110,'Oxford Economics'!$B$7:$B$1000,Settings!$B$14),SUMIFS(INDEX('Oxford Economics'!$A$7:$AZ$1000,0,IFERROR(MATCH(AH$5,'Oxford Economics'!$A$6:$AZ$6,0),MATCH(AH$5&amp;"",'Oxford Economics'!$A$6:$AZ$6,0))),'Oxford Economics'!$A$7:$A$1000,$C110,'Oxford Economics'!$B$7:$B$1000,Settings!$B$14)+SUMIFS(INDEX('Oxford Economics'!$A$7:$AZ$1000,0,IFERROR(MATCH(AH$5,'Oxford Economics'!$A$6:$AZ$6,0),MATCH(AH$5&amp;"",'Oxford Economics'!$A$6:$AZ$6,0))),'Oxford Economics'!$A$7:$A$1000,$C110,'Oxford Economics'!$B$7:$B$1000,Settings!$B$16)+IF(Settings!$B$18="",0,SUMIFS(INDEX('Oxford Economics'!$A$7:$AZ$1000,0,IFERROR(MATCH(AH$5,'Oxford Economics'!$A$6:$AZ$6,0),MATCH(AH$5&amp;"",'Oxford Economics'!$A$6:$AZ$6,0))),'Oxford Economics'!$A$7:$A$1000,$C110,'Oxford Economics'!$B$7:$B$1000,Settings!$B$18)))),""))</f>
        <v/>
      </c>
      <c r="AI110" s="38" t="str">
        <f aca="false">IF($A110="","",IFERROR(1/(1/IF($B110="Residential",SUMIFS(INDEX('Oxford Economics'!$A$7:$AZ$1000,0,IFERROR(MATCH(AI$5,'Oxford Economics'!$A$6:$AZ$6,0),MATCH(AI$5&amp;"",'Oxford Economics'!$A$6:$AZ$6,0))),'Oxford Economics'!$A$7:$A$1000,$C110,'Oxford Economics'!$B$7:$B$1000,Settings!$B$12)-SUMIFS(INDEX('Oxford Economics'!$A$7:$AZ$1000,0,IFERROR(MATCH(AI$5,'Oxford Economics'!$A$6:$AZ$6,0),MATCH(AI$5&amp;"",'Oxford Economics'!$A$6:$AZ$6,0))),'Oxford Economics'!$A$7:$A$1000,$C110,'Oxford Economics'!$B$7:$B$1000,Settings!$B$14),SUMIFS(INDEX('Oxford Economics'!$A$7:$AZ$1000,0,IFERROR(MATCH(AI$5,'Oxford Economics'!$A$6:$AZ$6,0),MATCH(AI$5&amp;"",'Oxford Economics'!$A$6:$AZ$6,0))),'Oxford Economics'!$A$7:$A$1000,$C110,'Oxford Economics'!$B$7:$B$1000,Settings!$B$14)+SUMIFS(INDEX('Oxford Economics'!$A$7:$AZ$1000,0,IFERROR(MATCH(AI$5,'Oxford Economics'!$A$6:$AZ$6,0),MATCH(AI$5&amp;"",'Oxford Economics'!$A$6:$AZ$6,0))),'Oxford Economics'!$A$7:$A$1000,$C110,'Oxford Economics'!$B$7:$B$1000,Settings!$B$16)+IF(Settings!$B$18="",0,SUMIFS(INDEX('Oxford Economics'!$A$7:$AZ$1000,0,IFERROR(MATCH(AI$5,'Oxford Economics'!$A$6:$AZ$6,0),MATCH(AI$5&amp;"",'Oxford Economics'!$A$6:$AZ$6,0))),'Oxford Economics'!$A$7:$A$1000,$C110,'Oxford Economics'!$B$7:$B$1000,Settings!$B$18)))),""))</f>
        <v/>
      </c>
      <c r="AJ110" s="38" t="str">
        <f aca="false">IF($A110="","",IFERROR(1/(1/IF($B110="Residential",SUMIFS(INDEX('Oxford Economics'!$A$7:$AZ$1000,0,IFERROR(MATCH(AJ$5,'Oxford Economics'!$A$6:$AZ$6,0),MATCH(AJ$5&amp;"",'Oxford Economics'!$A$6:$AZ$6,0))),'Oxford Economics'!$A$7:$A$1000,$C110,'Oxford Economics'!$B$7:$B$1000,Settings!$B$12)-SUMIFS(INDEX('Oxford Economics'!$A$7:$AZ$1000,0,IFERROR(MATCH(AJ$5,'Oxford Economics'!$A$6:$AZ$6,0),MATCH(AJ$5&amp;"",'Oxford Economics'!$A$6:$AZ$6,0))),'Oxford Economics'!$A$7:$A$1000,$C110,'Oxford Economics'!$B$7:$B$1000,Settings!$B$14),SUMIFS(INDEX('Oxford Economics'!$A$7:$AZ$1000,0,IFERROR(MATCH(AJ$5,'Oxford Economics'!$A$6:$AZ$6,0),MATCH(AJ$5&amp;"",'Oxford Economics'!$A$6:$AZ$6,0))),'Oxford Economics'!$A$7:$A$1000,$C110,'Oxford Economics'!$B$7:$B$1000,Settings!$B$14)+SUMIFS(INDEX('Oxford Economics'!$A$7:$AZ$1000,0,IFERROR(MATCH(AJ$5,'Oxford Economics'!$A$6:$AZ$6,0),MATCH(AJ$5&amp;"",'Oxford Economics'!$A$6:$AZ$6,0))),'Oxford Economics'!$A$7:$A$1000,$C110,'Oxford Economics'!$B$7:$B$1000,Settings!$B$16)+IF(Settings!$B$18="",0,SUMIFS(INDEX('Oxford Economics'!$A$7:$AZ$1000,0,IFERROR(MATCH(AJ$5,'Oxford Economics'!$A$6:$AZ$6,0),MATCH(AJ$5&amp;"",'Oxford Economics'!$A$6:$AZ$6,0))),'Oxford Economics'!$A$7:$A$1000,$C110,'Oxford Economics'!$B$7:$B$1000,Settings!$B$18)))),""))</f>
        <v/>
      </c>
      <c r="AK110" s="38" t="str">
        <f aca="false">IF($A110="","",IFERROR(1/(1/IF($B110="Residential",SUMIFS(INDEX('Oxford Economics'!$A$7:$AZ$1000,0,IFERROR(MATCH(AK$5,'Oxford Economics'!$A$6:$AZ$6,0),MATCH(AK$5&amp;"",'Oxford Economics'!$A$6:$AZ$6,0))),'Oxford Economics'!$A$7:$A$1000,$C110,'Oxford Economics'!$B$7:$B$1000,Settings!$B$12)-SUMIFS(INDEX('Oxford Economics'!$A$7:$AZ$1000,0,IFERROR(MATCH(AK$5,'Oxford Economics'!$A$6:$AZ$6,0),MATCH(AK$5&amp;"",'Oxford Economics'!$A$6:$AZ$6,0))),'Oxford Economics'!$A$7:$A$1000,$C110,'Oxford Economics'!$B$7:$B$1000,Settings!$B$14),SUMIFS(INDEX('Oxford Economics'!$A$7:$AZ$1000,0,IFERROR(MATCH(AK$5,'Oxford Economics'!$A$6:$AZ$6,0),MATCH(AK$5&amp;"",'Oxford Economics'!$A$6:$AZ$6,0))),'Oxford Economics'!$A$7:$A$1000,$C110,'Oxford Economics'!$B$7:$B$1000,Settings!$B$14)+SUMIFS(INDEX('Oxford Economics'!$A$7:$AZ$1000,0,IFERROR(MATCH(AK$5,'Oxford Economics'!$A$6:$AZ$6,0),MATCH(AK$5&amp;"",'Oxford Economics'!$A$6:$AZ$6,0))),'Oxford Economics'!$A$7:$A$1000,$C110,'Oxford Economics'!$B$7:$B$1000,Settings!$B$16)+IF(Settings!$B$18="",0,SUMIFS(INDEX('Oxford Economics'!$A$7:$AZ$1000,0,IFERROR(MATCH(AK$5,'Oxford Economics'!$A$6:$AZ$6,0),MATCH(AK$5&amp;"",'Oxford Economics'!$A$6:$AZ$6,0))),'Oxford Economics'!$A$7:$A$1000,$C110,'Oxford Economics'!$B$7:$B$1000,Settings!$B$18)))),""))</f>
        <v/>
      </c>
      <c r="AL110" s="38" t="str">
        <f aca="false">IF($A110="","",IFERROR(1/(1/IF($B110="Residential",SUMIFS(INDEX('Oxford Economics'!$A$7:$AZ$1000,0,IFERROR(MATCH(AL$5,'Oxford Economics'!$A$6:$AZ$6,0),MATCH(AL$5&amp;"",'Oxford Economics'!$A$6:$AZ$6,0))),'Oxford Economics'!$A$7:$A$1000,$C110,'Oxford Economics'!$B$7:$B$1000,Settings!$B$12)-SUMIFS(INDEX('Oxford Economics'!$A$7:$AZ$1000,0,IFERROR(MATCH(AL$5,'Oxford Economics'!$A$6:$AZ$6,0),MATCH(AL$5&amp;"",'Oxford Economics'!$A$6:$AZ$6,0))),'Oxford Economics'!$A$7:$A$1000,$C110,'Oxford Economics'!$B$7:$B$1000,Settings!$B$14),SUMIFS(INDEX('Oxford Economics'!$A$7:$AZ$1000,0,IFERROR(MATCH(AL$5,'Oxford Economics'!$A$6:$AZ$6,0),MATCH(AL$5&amp;"",'Oxford Economics'!$A$6:$AZ$6,0))),'Oxford Economics'!$A$7:$A$1000,$C110,'Oxford Economics'!$B$7:$B$1000,Settings!$B$14)+SUMIFS(INDEX('Oxford Economics'!$A$7:$AZ$1000,0,IFERROR(MATCH(AL$5,'Oxford Economics'!$A$6:$AZ$6,0),MATCH(AL$5&amp;"",'Oxford Economics'!$A$6:$AZ$6,0))),'Oxford Economics'!$A$7:$A$1000,$C110,'Oxford Economics'!$B$7:$B$1000,Settings!$B$16)+IF(Settings!$B$18="",0,SUMIFS(INDEX('Oxford Economics'!$A$7:$AZ$1000,0,IFERROR(MATCH(AL$5,'Oxford Economics'!$A$6:$AZ$6,0),MATCH(AL$5&amp;"",'Oxford Economics'!$A$6:$AZ$6,0))),'Oxford Economics'!$A$7:$A$1000,$C110,'Oxford Economics'!$B$7:$B$1000,Settings!$B$18)))),""))</f>
        <v/>
      </c>
      <c r="AM110" s="38" t="str">
        <f aca="false">IF($A110="","",IFERROR(1/(1/IF($B110="Residential",SUMIFS(INDEX('Oxford Economics'!$A$7:$AZ$1000,0,IFERROR(MATCH(AM$5,'Oxford Economics'!$A$6:$AZ$6,0),MATCH(AM$5&amp;"",'Oxford Economics'!$A$6:$AZ$6,0))),'Oxford Economics'!$A$7:$A$1000,$C110,'Oxford Economics'!$B$7:$B$1000,Settings!$B$12)-SUMIFS(INDEX('Oxford Economics'!$A$7:$AZ$1000,0,IFERROR(MATCH(AM$5,'Oxford Economics'!$A$6:$AZ$6,0),MATCH(AM$5&amp;"",'Oxford Economics'!$A$6:$AZ$6,0))),'Oxford Economics'!$A$7:$A$1000,$C110,'Oxford Economics'!$B$7:$B$1000,Settings!$B$14),SUMIFS(INDEX('Oxford Economics'!$A$7:$AZ$1000,0,IFERROR(MATCH(AM$5,'Oxford Economics'!$A$6:$AZ$6,0),MATCH(AM$5&amp;"",'Oxford Economics'!$A$6:$AZ$6,0))),'Oxford Economics'!$A$7:$A$1000,$C110,'Oxford Economics'!$B$7:$B$1000,Settings!$B$14)+SUMIFS(INDEX('Oxford Economics'!$A$7:$AZ$1000,0,IFERROR(MATCH(AM$5,'Oxford Economics'!$A$6:$AZ$6,0),MATCH(AM$5&amp;"",'Oxford Economics'!$A$6:$AZ$6,0))),'Oxford Economics'!$A$7:$A$1000,$C110,'Oxford Economics'!$B$7:$B$1000,Settings!$B$16)+IF(Settings!$B$18="",0,SUMIFS(INDEX('Oxford Economics'!$A$7:$AZ$1000,0,IFERROR(MATCH(AM$5,'Oxford Economics'!$A$6:$AZ$6,0),MATCH(AM$5&amp;"",'Oxford Economics'!$A$6:$AZ$6,0))),'Oxford Economics'!$A$7:$A$1000,$C110,'Oxford Economics'!$B$7:$B$1000,Settings!$B$18)))),""))</f>
        <v/>
      </c>
    </row>
    <row r="111" customFormat="false" ht="15" hidden="false" customHeight="false" outlineLevel="0" collapsed="false">
      <c r="A111" s="37" t="str">
        <f aca="false">IF('Raw data'!$A111="","",'Raw data'!$A111)</f>
        <v/>
      </c>
      <c r="B111" s="37" t="str">
        <f aca="false">IF($A111="","",'Raw data'!$C111)</f>
        <v/>
      </c>
      <c r="C111" s="37" t="str">
        <f aca="false">IF($A111="","",IF('Raw data'!$E111="",$A111,'Raw data'!$E111))</f>
        <v/>
      </c>
      <c r="D111" s="38" t="str">
        <f aca="false">IF($A111="","",IF(AND(ISNUMBER(P111),ISNUMBER(AB111)),P111+AB111,""))</f>
        <v/>
      </c>
      <c r="E111" s="38" t="str">
        <f aca="false">IF($A111="","",IF(AND(ISNUMBER(Q111),ISNUMBER(AC111)),Q111+AC111,""))</f>
        <v/>
      </c>
      <c r="F111" s="38" t="str">
        <f aca="false">IF($A111="","",IF(AND(ISNUMBER(R111),ISNUMBER(AD111)),R111+AD111,""))</f>
        <v/>
      </c>
      <c r="G111" s="38" t="str">
        <f aca="false">IF($A111="","",IF(AND(ISNUMBER(S111),ISNUMBER(AE111)),S111+AE111,""))</f>
        <v/>
      </c>
      <c r="H111" s="38" t="str">
        <f aca="false">IF($A111="","",IF(AND(ISNUMBER(T111),ISNUMBER(AF111)),T111+AF111,""))</f>
        <v/>
      </c>
      <c r="I111" s="38" t="str">
        <f aca="false">IF($A111="","",IF(AND(ISNUMBER(U111),ISNUMBER(AG111)),U111+AG111,""))</f>
        <v/>
      </c>
      <c r="J111" s="38" t="str">
        <f aca="false">IF($A111="","",IF(AND(ISNUMBER(V111),ISNUMBER(AH111)),V111+AH111,""))</f>
        <v/>
      </c>
      <c r="K111" s="38" t="str">
        <f aca="false">IF($A111="","",IF(AND(ISNUMBER(W111),ISNUMBER(AI111)),W111+AI111,""))</f>
        <v/>
      </c>
      <c r="L111" s="38" t="str">
        <f aca="false">IF($A111="","",IF(AND(ISNUMBER(X111),ISNUMBER(AJ111)),X111+AJ111,""))</f>
        <v/>
      </c>
      <c r="M111" s="38" t="str">
        <f aca="false">IF($A111="","",IF(AND(ISNUMBER(Y111),ISNUMBER(AK111)),Y111+AK111,""))</f>
        <v/>
      </c>
      <c r="N111" s="38" t="str">
        <f aca="false">IF($A111="","",IF(AND(ISNUMBER(Z111),ISNUMBER(AL111)),Z111+AL111,""))</f>
        <v/>
      </c>
      <c r="O111" s="38" t="str">
        <f aca="false">IF($A111="","",IF(AND(ISNUMBER(AA111),ISNUMBER(AM111)),AA111+AM111,""))</f>
        <v/>
      </c>
      <c r="P111" s="38" t="str">
        <f aca="false">IF($A111="","",IFERROR(1/(1/IF($B111="Residential",SUMIFS(INDEX('Oxford Economics'!$A$7:$AZ$1000,0,IFERROR(MATCH(P$5,'Oxford Economics'!$A$6:$AZ$6,0),MATCH(P$5&amp;"",'Oxford Economics'!$A$6:$AZ$6,0))),'Oxford Economics'!$A$7:$A$1000,$C111,'Oxford Economics'!$B$7:$B$1000,Settings!$B$13)-SUMIFS(INDEX('Oxford Economics'!$A$7:$AZ$1000,0,IFERROR(MATCH(P$5,'Oxford Economics'!$A$6:$AZ$6,0),MATCH(P$5&amp;"",'Oxford Economics'!$A$6:$AZ$6,0))),'Oxford Economics'!$A$7:$A$1000,$C111,'Oxford Economics'!$B$7:$B$1000,Settings!$B$15),SUMIFS(INDEX('Oxford Economics'!$A$7:$AZ$1000,0,IFERROR(MATCH(P$5,'Oxford Economics'!$A$6:$AZ$6,0),MATCH(P$5&amp;"",'Oxford Economics'!$A$6:$AZ$6,0))),'Oxford Economics'!$A$7:$A$1000,$C111,'Oxford Economics'!$B$7:$B$1000,Settings!$B$15)+SUMIFS(INDEX('Oxford Economics'!$A$7:$AZ$1000,0,IFERROR(MATCH(P$5,'Oxford Economics'!$A$6:$AZ$6,0),MATCH(P$5&amp;"",'Oxford Economics'!$A$6:$AZ$6,0))),'Oxford Economics'!$A$7:$A$1000,$C111,'Oxford Economics'!$B$7:$B$1000,Settings!$B$17)+IF(Settings!$B$19="",0,SUMIFS(INDEX('Oxford Economics'!$A$7:$AZ$1000,0,IFERROR(MATCH(P$5,'Oxford Economics'!$A$6:$AZ$6,0),MATCH(P$5&amp;"",'Oxford Economics'!$A$6:$AZ$6,0))),'Oxford Economics'!$A$7:$A$1000,$C111,'Oxford Economics'!$B$7:$B$1000,Settings!$B$19)))),""))</f>
        <v/>
      </c>
      <c r="Q111" s="38" t="str">
        <f aca="false">IF($A111="","",IFERROR(1/(1/IF($B111="Residential",SUMIFS(INDEX('Oxford Economics'!$A$7:$AZ$1000,0,IFERROR(MATCH(Q$5,'Oxford Economics'!$A$6:$AZ$6,0),MATCH(Q$5&amp;"",'Oxford Economics'!$A$6:$AZ$6,0))),'Oxford Economics'!$A$7:$A$1000,$C111,'Oxford Economics'!$B$7:$B$1000,Settings!$B$13)-SUMIFS(INDEX('Oxford Economics'!$A$7:$AZ$1000,0,IFERROR(MATCH(Q$5,'Oxford Economics'!$A$6:$AZ$6,0),MATCH(Q$5&amp;"",'Oxford Economics'!$A$6:$AZ$6,0))),'Oxford Economics'!$A$7:$A$1000,$C111,'Oxford Economics'!$B$7:$B$1000,Settings!$B$15),SUMIFS(INDEX('Oxford Economics'!$A$7:$AZ$1000,0,IFERROR(MATCH(Q$5,'Oxford Economics'!$A$6:$AZ$6,0),MATCH(Q$5&amp;"",'Oxford Economics'!$A$6:$AZ$6,0))),'Oxford Economics'!$A$7:$A$1000,$C111,'Oxford Economics'!$B$7:$B$1000,Settings!$B$15)+SUMIFS(INDEX('Oxford Economics'!$A$7:$AZ$1000,0,IFERROR(MATCH(Q$5,'Oxford Economics'!$A$6:$AZ$6,0),MATCH(Q$5&amp;"",'Oxford Economics'!$A$6:$AZ$6,0))),'Oxford Economics'!$A$7:$A$1000,$C111,'Oxford Economics'!$B$7:$B$1000,Settings!$B$17)+IF(Settings!$B$19="",0,SUMIFS(INDEX('Oxford Economics'!$A$7:$AZ$1000,0,IFERROR(MATCH(Q$5,'Oxford Economics'!$A$6:$AZ$6,0),MATCH(Q$5&amp;"",'Oxford Economics'!$A$6:$AZ$6,0))),'Oxford Economics'!$A$7:$A$1000,$C111,'Oxford Economics'!$B$7:$B$1000,Settings!$B$19)))),""))</f>
        <v/>
      </c>
      <c r="R111" s="38" t="str">
        <f aca="false">IF($A111="","",IFERROR(1/(1/IF($B111="Residential",SUMIFS(INDEX('Oxford Economics'!$A$7:$AZ$1000,0,IFERROR(MATCH(R$5,'Oxford Economics'!$A$6:$AZ$6,0),MATCH(R$5&amp;"",'Oxford Economics'!$A$6:$AZ$6,0))),'Oxford Economics'!$A$7:$A$1000,$C111,'Oxford Economics'!$B$7:$B$1000,Settings!$B$13)-SUMIFS(INDEX('Oxford Economics'!$A$7:$AZ$1000,0,IFERROR(MATCH(R$5,'Oxford Economics'!$A$6:$AZ$6,0),MATCH(R$5&amp;"",'Oxford Economics'!$A$6:$AZ$6,0))),'Oxford Economics'!$A$7:$A$1000,$C111,'Oxford Economics'!$B$7:$B$1000,Settings!$B$15),SUMIFS(INDEX('Oxford Economics'!$A$7:$AZ$1000,0,IFERROR(MATCH(R$5,'Oxford Economics'!$A$6:$AZ$6,0),MATCH(R$5&amp;"",'Oxford Economics'!$A$6:$AZ$6,0))),'Oxford Economics'!$A$7:$A$1000,$C111,'Oxford Economics'!$B$7:$B$1000,Settings!$B$15)+SUMIFS(INDEX('Oxford Economics'!$A$7:$AZ$1000,0,IFERROR(MATCH(R$5,'Oxford Economics'!$A$6:$AZ$6,0),MATCH(R$5&amp;"",'Oxford Economics'!$A$6:$AZ$6,0))),'Oxford Economics'!$A$7:$A$1000,$C111,'Oxford Economics'!$B$7:$B$1000,Settings!$B$17)+IF(Settings!$B$19="",0,SUMIFS(INDEX('Oxford Economics'!$A$7:$AZ$1000,0,IFERROR(MATCH(R$5,'Oxford Economics'!$A$6:$AZ$6,0),MATCH(R$5&amp;"",'Oxford Economics'!$A$6:$AZ$6,0))),'Oxford Economics'!$A$7:$A$1000,$C111,'Oxford Economics'!$B$7:$B$1000,Settings!$B$19)))),""))</f>
        <v/>
      </c>
      <c r="S111" s="38" t="str">
        <f aca="false">IF($A111="","",IFERROR(1/(1/IF($B111="Residential",SUMIFS(INDEX('Oxford Economics'!$A$7:$AZ$1000,0,IFERROR(MATCH(S$5,'Oxford Economics'!$A$6:$AZ$6,0),MATCH(S$5&amp;"",'Oxford Economics'!$A$6:$AZ$6,0))),'Oxford Economics'!$A$7:$A$1000,$C111,'Oxford Economics'!$B$7:$B$1000,Settings!$B$13)-SUMIFS(INDEX('Oxford Economics'!$A$7:$AZ$1000,0,IFERROR(MATCH(S$5,'Oxford Economics'!$A$6:$AZ$6,0),MATCH(S$5&amp;"",'Oxford Economics'!$A$6:$AZ$6,0))),'Oxford Economics'!$A$7:$A$1000,$C111,'Oxford Economics'!$B$7:$B$1000,Settings!$B$15),SUMIFS(INDEX('Oxford Economics'!$A$7:$AZ$1000,0,IFERROR(MATCH(S$5,'Oxford Economics'!$A$6:$AZ$6,0),MATCH(S$5&amp;"",'Oxford Economics'!$A$6:$AZ$6,0))),'Oxford Economics'!$A$7:$A$1000,$C111,'Oxford Economics'!$B$7:$B$1000,Settings!$B$15)+SUMIFS(INDEX('Oxford Economics'!$A$7:$AZ$1000,0,IFERROR(MATCH(S$5,'Oxford Economics'!$A$6:$AZ$6,0),MATCH(S$5&amp;"",'Oxford Economics'!$A$6:$AZ$6,0))),'Oxford Economics'!$A$7:$A$1000,$C111,'Oxford Economics'!$B$7:$B$1000,Settings!$B$17)+IF(Settings!$B$19="",0,SUMIFS(INDEX('Oxford Economics'!$A$7:$AZ$1000,0,IFERROR(MATCH(S$5,'Oxford Economics'!$A$6:$AZ$6,0),MATCH(S$5&amp;"",'Oxford Economics'!$A$6:$AZ$6,0))),'Oxford Economics'!$A$7:$A$1000,$C111,'Oxford Economics'!$B$7:$B$1000,Settings!$B$19)))),""))</f>
        <v/>
      </c>
      <c r="T111" s="38" t="str">
        <f aca="false">IF($A111="","",IFERROR(1/(1/IF($B111="Residential",SUMIFS(INDEX('Oxford Economics'!$A$7:$AZ$1000,0,IFERROR(MATCH(T$5,'Oxford Economics'!$A$6:$AZ$6,0),MATCH(T$5&amp;"",'Oxford Economics'!$A$6:$AZ$6,0))),'Oxford Economics'!$A$7:$A$1000,$C111,'Oxford Economics'!$B$7:$B$1000,Settings!$B$13)-SUMIFS(INDEX('Oxford Economics'!$A$7:$AZ$1000,0,IFERROR(MATCH(T$5,'Oxford Economics'!$A$6:$AZ$6,0),MATCH(T$5&amp;"",'Oxford Economics'!$A$6:$AZ$6,0))),'Oxford Economics'!$A$7:$A$1000,$C111,'Oxford Economics'!$B$7:$B$1000,Settings!$B$15),SUMIFS(INDEX('Oxford Economics'!$A$7:$AZ$1000,0,IFERROR(MATCH(T$5,'Oxford Economics'!$A$6:$AZ$6,0),MATCH(T$5&amp;"",'Oxford Economics'!$A$6:$AZ$6,0))),'Oxford Economics'!$A$7:$A$1000,$C111,'Oxford Economics'!$B$7:$B$1000,Settings!$B$15)+SUMIFS(INDEX('Oxford Economics'!$A$7:$AZ$1000,0,IFERROR(MATCH(T$5,'Oxford Economics'!$A$6:$AZ$6,0),MATCH(T$5&amp;"",'Oxford Economics'!$A$6:$AZ$6,0))),'Oxford Economics'!$A$7:$A$1000,$C111,'Oxford Economics'!$B$7:$B$1000,Settings!$B$17)+IF(Settings!$B$19="",0,SUMIFS(INDEX('Oxford Economics'!$A$7:$AZ$1000,0,IFERROR(MATCH(T$5,'Oxford Economics'!$A$6:$AZ$6,0),MATCH(T$5&amp;"",'Oxford Economics'!$A$6:$AZ$6,0))),'Oxford Economics'!$A$7:$A$1000,$C111,'Oxford Economics'!$B$7:$B$1000,Settings!$B$19)))),""))</f>
        <v/>
      </c>
      <c r="U111" s="38" t="str">
        <f aca="false">IF($A111="","",IFERROR(1/(1/IF($B111="Residential",SUMIFS(INDEX('Oxford Economics'!$A$7:$AZ$1000,0,IFERROR(MATCH(U$5,'Oxford Economics'!$A$6:$AZ$6,0),MATCH(U$5&amp;"",'Oxford Economics'!$A$6:$AZ$6,0))),'Oxford Economics'!$A$7:$A$1000,$C111,'Oxford Economics'!$B$7:$B$1000,Settings!$B$13)-SUMIFS(INDEX('Oxford Economics'!$A$7:$AZ$1000,0,IFERROR(MATCH(U$5,'Oxford Economics'!$A$6:$AZ$6,0),MATCH(U$5&amp;"",'Oxford Economics'!$A$6:$AZ$6,0))),'Oxford Economics'!$A$7:$A$1000,$C111,'Oxford Economics'!$B$7:$B$1000,Settings!$B$15),SUMIFS(INDEX('Oxford Economics'!$A$7:$AZ$1000,0,IFERROR(MATCH(U$5,'Oxford Economics'!$A$6:$AZ$6,0),MATCH(U$5&amp;"",'Oxford Economics'!$A$6:$AZ$6,0))),'Oxford Economics'!$A$7:$A$1000,$C111,'Oxford Economics'!$B$7:$B$1000,Settings!$B$15)+SUMIFS(INDEX('Oxford Economics'!$A$7:$AZ$1000,0,IFERROR(MATCH(U$5,'Oxford Economics'!$A$6:$AZ$6,0),MATCH(U$5&amp;"",'Oxford Economics'!$A$6:$AZ$6,0))),'Oxford Economics'!$A$7:$A$1000,$C111,'Oxford Economics'!$B$7:$B$1000,Settings!$B$17)+IF(Settings!$B$19="",0,SUMIFS(INDEX('Oxford Economics'!$A$7:$AZ$1000,0,IFERROR(MATCH(U$5,'Oxford Economics'!$A$6:$AZ$6,0),MATCH(U$5&amp;"",'Oxford Economics'!$A$6:$AZ$6,0))),'Oxford Economics'!$A$7:$A$1000,$C111,'Oxford Economics'!$B$7:$B$1000,Settings!$B$19)))),""))</f>
        <v/>
      </c>
      <c r="V111" s="38" t="str">
        <f aca="false">IF($A111="","",IFERROR(1/(1/IF($B111="Residential",SUMIFS(INDEX('Oxford Economics'!$A$7:$AZ$1000,0,IFERROR(MATCH(V$5,'Oxford Economics'!$A$6:$AZ$6,0),MATCH(V$5&amp;"",'Oxford Economics'!$A$6:$AZ$6,0))),'Oxford Economics'!$A$7:$A$1000,$C111,'Oxford Economics'!$B$7:$B$1000,Settings!$B$13)-SUMIFS(INDEX('Oxford Economics'!$A$7:$AZ$1000,0,IFERROR(MATCH(V$5,'Oxford Economics'!$A$6:$AZ$6,0),MATCH(V$5&amp;"",'Oxford Economics'!$A$6:$AZ$6,0))),'Oxford Economics'!$A$7:$A$1000,$C111,'Oxford Economics'!$B$7:$B$1000,Settings!$B$15),SUMIFS(INDEX('Oxford Economics'!$A$7:$AZ$1000,0,IFERROR(MATCH(V$5,'Oxford Economics'!$A$6:$AZ$6,0),MATCH(V$5&amp;"",'Oxford Economics'!$A$6:$AZ$6,0))),'Oxford Economics'!$A$7:$A$1000,$C111,'Oxford Economics'!$B$7:$B$1000,Settings!$B$15)+SUMIFS(INDEX('Oxford Economics'!$A$7:$AZ$1000,0,IFERROR(MATCH(V$5,'Oxford Economics'!$A$6:$AZ$6,0),MATCH(V$5&amp;"",'Oxford Economics'!$A$6:$AZ$6,0))),'Oxford Economics'!$A$7:$A$1000,$C111,'Oxford Economics'!$B$7:$B$1000,Settings!$B$17)+IF(Settings!$B$19="",0,SUMIFS(INDEX('Oxford Economics'!$A$7:$AZ$1000,0,IFERROR(MATCH(V$5,'Oxford Economics'!$A$6:$AZ$6,0),MATCH(V$5&amp;"",'Oxford Economics'!$A$6:$AZ$6,0))),'Oxford Economics'!$A$7:$A$1000,$C111,'Oxford Economics'!$B$7:$B$1000,Settings!$B$19)))),""))</f>
        <v/>
      </c>
      <c r="W111" s="38" t="str">
        <f aca="false">IF($A111="","",IFERROR(1/(1/IF($B111="Residential",SUMIFS(INDEX('Oxford Economics'!$A$7:$AZ$1000,0,IFERROR(MATCH(W$5,'Oxford Economics'!$A$6:$AZ$6,0),MATCH(W$5&amp;"",'Oxford Economics'!$A$6:$AZ$6,0))),'Oxford Economics'!$A$7:$A$1000,$C111,'Oxford Economics'!$B$7:$B$1000,Settings!$B$13)-SUMIFS(INDEX('Oxford Economics'!$A$7:$AZ$1000,0,IFERROR(MATCH(W$5,'Oxford Economics'!$A$6:$AZ$6,0),MATCH(W$5&amp;"",'Oxford Economics'!$A$6:$AZ$6,0))),'Oxford Economics'!$A$7:$A$1000,$C111,'Oxford Economics'!$B$7:$B$1000,Settings!$B$15),SUMIFS(INDEX('Oxford Economics'!$A$7:$AZ$1000,0,IFERROR(MATCH(W$5,'Oxford Economics'!$A$6:$AZ$6,0),MATCH(W$5&amp;"",'Oxford Economics'!$A$6:$AZ$6,0))),'Oxford Economics'!$A$7:$A$1000,$C111,'Oxford Economics'!$B$7:$B$1000,Settings!$B$15)+SUMIFS(INDEX('Oxford Economics'!$A$7:$AZ$1000,0,IFERROR(MATCH(W$5,'Oxford Economics'!$A$6:$AZ$6,0),MATCH(W$5&amp;"",'Oxford Economics'!$A$6:$AZ$6,0))),'Oxford Economics'!$A$7:$A$1000,$C111,'Oxford Economics'!$B$7:$B$1000,Settings!$B$17)+IF(Settings!$B$19="",0,SUMIFS(INDEX('Oxford Economics'!$A$7:$AZ$1000,0,IFERROR(MATCH(W$5,'Oxford Economics'!$A$6:$AZ$6,0),MATCH(W$5&amp;"",'Oxford Economics'!$A$6:$AZ$6,0))),'Oxford Economics'!$A$7:$A$1000,$C111,'Oxford Economics'!$B$7:$B$1000,Settings!$B$19)))),""))</f>
        <v/>
      </c>
      <c r="X111" s="38" t="str">
        <f aca="false">IF($A111="","",IFERROR(1/(1/IF($B111="Residential",SUMIFS(INDEX('Oxford Economics'!$A$7:$AZ$1000,0,IFERROR(MATCH(X$5,'Oxford Economics'!$A$6:$AZ$6,0),MATCH(X$5&amp;"",'Oxford Economics'!$A$6:$AZ$6,0))),'Oxford Economics'!$A$7:$A$1000,$C111,'Oxford Economics'!$B$7:$B$1000,Settings!$B$13)-SUMIFS(INDEX('Oxford Economics'!$A$7:$AZ$1000,0,IFERROR(MATCH(X$5,'Oxford Economics'!$A$6:$AZ$6,0),MATCH(X$5&amp;"",'Oxford Economics'!$A$6:$AZ$6,0))),'Oxford Economics'!$A$7:$A$1000,$C111,'Oxford Economics'!$B$7:$B$1000,Settings!$B$15),SUMIFS(INDEX('Oxford Economics'!$A$7:$AZ$1000,0,IFERROR(MATCH(X$5,'Oxford Economics'!$A$6:$AZ$6,0),MATCH(X$5&amp;"",'Oxford Economics'!$A$6:$AZ$6,0))),'Oxford Economics'!$A$7:$A$1000,$C111,'Oxford Economics'!$B$7:$B$1000,Settings!$B$15)+SUMIFS(INDEX('Oxford Economics'!$A$7:$AZ$1000,0,IFERROR(MATCH(X$5,'Oxford Economics'!$A$6:$AZ$6,0),MATCH(X$5&amp;"",'Oxford Economics'!$A$6:$AZ$6,0))),'Oxford Economics'!$A$7:$A$1000,$C111,'Oxford Economics'!$B$7:$B$1000,Settings!$B$17)+IF(Settings!$B$19="",0,SUMIFS(INDEX('Oxford Economics'!$A$7:$AZ$1000,0,IFERROR(MATCH(X$5,'Oxford Economics'!$A$6:$AZ$6,0),MATCH(X$5&amp;"",'Oxford Economics'!$A$6:$AZ$6,0))),'Oxford Economics'!$A$7:$A$1000,$C111,'Oxford Economics'!$B$7:$B$1000,Settings!$B$19)))),""))</f>
        <v/>
      </c>
      <c r="Y111" s="38" t="str">
        <f aca="false">IF($A111="","",IFERROR(1/(1/IF($B111="Residential",SUMIFS(INDEX('Oxford Economics'!$A$7:$AZ$1000,0,IFERROR(MATCH(Y$5,'Oxford Economics'!$A$6:$AZ$6,0),MATCH(Y$5&amp;"",'Oxford Economics'!$A$6:$AZ$6,0))),'Oxford Economics'!$A$7:$A$1000,$C111,'Oxford Economics'!$B$7:$B$1000,Settings!$B$13)-SUMIFS(INDEX('Oxford Economics'!$A$7:$AZ$1000,0,IFERROR(MATCH(Y$5,'Oxford Economics'!$A$6:$AZ$6,0),MATCH(Y$5&amp;"",'Oxford Economics'!$A$6:$AZ$6,0))),'Oxford Economics'!$A$7:$A$1000,$C111,'Oxford Economics'!$B$7:$B$1000,Settings!$B$15),SUMIFS(INDEX('Oxford Economics'!$A$7:$AZ$1000,0,IFERROR(MATCH(Y$5,'Oxford Economics'!$A$6:$AZ$6,0),MATCH(Y$5&amp;"",'Oxford Economics'!$A$6:$AZ$6,0))),'Oxford Economics'!$A$7:$A$1000,$C111,'Oxford Economics'!$B$7:$B$1000,Settings!$B$15)+SUMIFS(INDEX('Oxford Economics'!$A$7:$AZ$1000,0,IFERROR(MATCH(Y$5,'Oxford Economics'!$A$6:$AZ$6,0),MATCH(Y$5&amp;"",'Oxford Economics'!$A$6:$AZ$6,0))),'Oxford Economics'!$A$7:$A$1000,$C111,'Oxford Economics'!$B$7:$B$1000,Settings!$B$17)+IF(Settings!$B$19="",0,SUMIFS(INDEX('Oxford Economics'!$A$7:$AZ$1000,0,IFERROR(MATCH(Y$5,'Oxford Economics'!$A$6:$AZ$6,0),MATCH(Y$5&amp;"",'Oxford Economics'!$A$6:$AZ$6,0))),'Oxford Economics'!$A$7:$A$1000,$C111,'Oxford Economics'!$B$7:$B$1000,Settings!$B$19)))),""))</f>
        <v/>
      </c>
      <c r="Z111" s="38" t="str">
        <f aca="false">IF($A111="","",IFERROR(1/(1/IF($B111="Residential",SUMIFS(INDEX('Oxford Economics'!$A$7:$AZ$1000,0,IFERROR(MATCH(Z$5,'Oxford Economics'!$A$6:$AZ$6,0),MATCH(Z$5&amp;"",'Oxford Economics'!$A$6:$AZ$6,0))),'Oxford Economics'!$A$7:$A$1000,$C111,'Oxford Economics'!$B$7:$B$1000,Settings!$B$13)-SUMIFS(INDEX('Oxford Economics'!$A$7:$AZ$1000,0,IFERROR(MATCH(Z$5,'Oxford Economics'!$A$6:$AZ$6,0),MATCH(Z$5&amp;"",'Oxford Economics'!$A$6:$AZ$6,0))),'Oxford Economics'!$A$7:$A$1000,$C111,'Oxford Economics'!$B$7:$B$1000,Settings!$B$15),SUMIFS(INDEX('Oxford Economics'!$A$7:$AZ$1000,0,IFERROR(MATCH(Z$5,'Oxford Economics'!$A$6:$AZ$6,0),MATCH(Z$5&amp;"",'Oxford Economics'!$A$6:$AZ$6,0))),'Oxford Economics'!$A$7:$A$1000,$C111,'Oxford Economics'!$B$7:$B$1000,Settings!$B$15)+SUMIFS(INDEX('Oxford Economics'!$A$7:$AZ$1000,0,IFERROR(MATCH(Z$5,'Oxford Economics'!$A$6:$AZ$6,0),MATCH(Z$5&amp;"",'Oxford Economics'!$A$6:$AZ$6,0))),'Oxford Economics'!$A$7:$A$1000,$C111,'Oxford Economics'!$B$7:$B$1000,Settings!$B$17)+IF(Settings!$B$19="",0,SUMIFS(INDEX('Oxford Economics'!$A$7:$AZ$1000,0,IFERROR(MATCH(Z$5,'Oxford Economics'!$A$6:$AZ$6,0),MATCH(Z$5&amp;"",'Oxford Economics'!$A$6:$AZ$6,0))),'Oxford Economics'!$A$7:$A$1000,$C111,'Oxford Economics'!$B$7:$B$1000,Settings!$B$19)))),""))</f>
        <v/>
      </c>
      <c r="AA111" s="38" t="str">
        <f aca="false">IF($A111="","",IFERROR(1/(1/IF($B111="Residential",SUMIFS(INDEX('Oxford Economics'!$A$7:$AZ$1000,0,IFERROR(MATCH(AA$5,'Oxford Economics'!$A$6:$AZ$6,0),MATCH(AA$5&amp;"",'Oxford Economics'!$A$6:$AZ$6,0))),'Oxford Economics'!$A$7:$A$1000,$C111,'Oxford Economics'!$B$7:$B$1000,Settings!$B$13)-SUMIFS(INDEX('Oxford Economics'!$A$7:$AZ$1000,0,IFERROR(MATCH(AA$5,'Oxford Economics'!$A$6:$AZ$6,0),MATCH(AA$5&amp;"",'Oxford Economics'!$A$6:$AZ$6,0))),'Oxford Economics'!$A$7:$A$1000,$C111,'Oxford Economics'!$B$7:$B$1000,Settings!$B$15),SUMIFS(INDEX('Oxford Economics'!$A$7:$AZ$1000,0,IFERROR(MATCH(AA$5,'Oxford Economics'!$A$6:$AZ$6,0),MATCH(AA$5&amp;"",'Oxford Economics'!$A$6:$AZ$6,0))),'Oxford Economics'!$A$7:$A$1000,$C111,'Oxford Economics'!$B$7:$B$1000,Settings!$B$15)+SUMIFS(INDEX('Oxford Economics'!$A$7:$AZ$1000,0,IFERROR(MATCH(AA$5,'Oxford Economics'!$A$6:$AZ$6,0),MATCH(AA$5&amp;"",'Oxford Economics'!$A$6:$AZ$6,0))),'Oxford Economics'!$A$7:$A$1000,$C111,'Oxford Economics'!$B$7:$B$1000,Settings!$B$17)+IF(Settings!$B$19="",0,SUMIFS(INDEX('Oxford Economics'!$A$7:$AZ$1000,0,IFERROR(MATCH(AA$5,'Oxford Economics'!$A$6:$AZ$6,0),MATCH(AA$5&amp;"",'Oxford Economics'!$A$6:$AZ$6,0))),'Oxford Economics'!$A$7:$A$1000,$C111,'Oxford Economics'!$B$7:$B$1000,Settings!$B$19)))),""))</f>
        <v/>
      </c>
      <c r="AB111" s="38" t="str">
        <f aca="false">IF($A111="","",IFERROR(1/(1/IF($B111="Residential",SUMIFS(INDEX('Oxford Economics'!$A$7:$AZ$1000,0,IFERROR(MATCH(AB$5,'Oxford Economics'!$A$6:$AZ$6,0),MATCH(AB$5&amp;"",'Oxford Economics'!$A$6:$AZ$6,0))),'Oxford Economics'!$A$7:$A$1000,$C111,'Oxford Economics'!$B$7:$B$1000,Settings!$B$12)-SUMIFS(INDEX('Oxford Economics'!$A$7:$AZ$1000,0,IFERROR(MATCH(AB$5,'Oxford Economics'!$A$6:$AZ$6,0),MATCH(AB$5&amp;"",'Oxford Economics'!$A$6:$AZ$6,0))),'Oxford Economics'!$A$7:$A$1000,$C111,'Oxford Economics'!$B$7:$B$1000,Settings!$B$14),SUMIFS(INDEX('Oxford Economics'!$A$7:$AZ$1000,0,IFERROR(MATCH(AB$5,'Oxford Economics'!$A$6:$AZ$6,0),MATCH(AB$5&amp;"",'Oxford Economics'!$A$6:$AZ$6,0))),'Oxford Economics'!$A$7:$A$1000,$C111,'Oxford Economics'!$B$7:$B$1000,Settings!$B$14)+SUMIFS(INDEX('Oxford Economics'!$A$7:$AZ$1000,0,IFERROR(MATCH(AB$5,'Oxford Economics'!$A$6:$AZ$6,0),MATCH(AB$5&amp;"",'Oxford Economics'!$A$6:$AZ$6,0))),'Oxford Economics'!$A$7:$A$1000,$C111,'Oxford Economics'!$B$7:$B$1000,Settings!$B$16)+IF(Settings!$B$18="",0,SUMIFS(INDEX('Oxford Economics'!$A$7:$AZ$1000,0,IFERROR(MATCH(AB$5,'Oxford Economics'!$A$6:$AZ$6,0),MATCH(AB$5&amp;"",'Oxford Economics'!$A$6:$AZ$6,0))),'Oxford Economics'!$A$7:$A$1000,$C111,'Oxford Economics'!$B$7:$B$1000,Settings!$B$18)))),""))</f>
        <v/>
      </c>
      <c r="AC111" s="38" t="str">
        <f aca="false">IF($A111="","",IFERROR(1/(1/IF($B111="Residential",SUMIFS(INDEX('Oxford Economics'!$A$7:$AZ$1000,0,IFERROR(MATCH(AC$5,'Oxford Economics'!$A$6:$AZ$6,0),MATCH(AC$5&amp;"",'Oxford Economics'!$A$6:$AZ$6,0))),'Oxford Economics'!$A$7:$A$1000,$C111,'Oxford Economics'!$B$7:$B$1000,Settings!$B$12)-SUMIFS(INDEX('Oxford Economics'!$A$7:$AZ$1000,0,IFERROR(MATCH(AC$5,'Oxford Economics'!$A$6:$AZ$6,0),MATCH(AC$5&amp;"",'Oxford Economics'!$A$6:$AZ$6,0))),'Oxford Economics'!$A$7:$A$1000,$C111,'Oxford Economics'!$B$7:$B$1000,Settings!$B$14),SUMIFS(INDEX('Oxford Economics'!$A$7:$AZ$1000,0,IFERROR(MATCH(AC$5,'Oxford Economics'!$A$6:$AZ$6,0),MATCH(AC$5&amp;"",'Oxford Economics'!$A$6:$AZ$6,0))),'Oxford Economics'!$A$7:$A$1000,$C111,'Oxford Economics'!$B$7:$B$1000,Settings!$B$14)+SUMIFS(INDEX('Oxford Economics'!$A$7:$AZ$1000,0,IFERROR(MATCH(AC$5,'Oxford Economics'!$A$6:$AZ$6,0),MATCH(AC$5&amp;"",'Oxford Economics'!$A$6:$AZ$6,0))),'Oxford Economics'!$A$7:$A$1000,$C111,'Oxford Economics'!$B$7:$B$1000,Settings!$B$16)+IF(Settings!$B$18="",0,SUMIFS(INDEX('Oxford Economics'!$A$7:$AZ$1000,0,IFERROR(MATCH(AC$5,'Oxford Economics'!$A$6:$AZ$6,0),MATCH(AC$5&amp;"",'Oxford Economics'!$A$6:$AZ$6,0))),'Oxford Economics'!$A$7:$A$1000,$C111,'Oxford Economics'!$B$7:$B$1000,Settings!$B$18)))),""))</f>
        <v/>
      </c>
      <c r="AD111" s="38" t="str">
        <f aca="false">IF($A111="","",IFERROR(1/(1/IF($B111="Residential",SUMIFS(INDEX('Oxford Economics'!$A$7:$AZ$1000,0,IFERROR(MATCH(AD$5,'Oxford Economics'!$A$6:$AZ$6,0),MATCH(AD$5&amp;"",'Oxford Economics'!$A$6:$AZ$6,0))),'Oxford Economics'!$A$7:$A$1000,$C111,'Oxford Economics'!$B$7:$B$1000,Settings!$B$12)-SUMIFS(INDEX('Oxford Economics'!$A$7:$AZ$1000,0,IFERROR(MATCH(AD$5,'Oxford Economics'!$A$6:$AZ$6,0),MATCH(AD$5&amp;"",'Oxford Economics'!$A$6:$AZ$6,0))),'Oxford Economics'!$A$7:$A$1000,$C111,'Oxford Economics'!$B$7:$B$1000,Settings!$B$14),SUMIFS(INDEX('Oxford Economics'!$A$7:$AZ$1000,0,IFERROR(MATCH(AD$5,'Oxford Economics'!$A$6:$AZ$6,0),MATCH(AD$5&amp;"",'Oxford Economics'!$A$6:$AZ$6,0))),'Oxford Economics'!$A$7:$A$1000,$C111,'Oxford Economics'!$B$7:$B$1000,Settings!$B$14)+SUMIFS(INDEX('Oxford Economics'!$A$7:$AZ$1000,0,IFERROR(MATCH(AD$5,'Oxford Economics'!$A$6:$AZ$6,0),MATCH(AD$5&amp;"",'Oxford Economics'!$A$6:$AZ$6,0))),'Oxford Economics'!$A$7:$A$1000,$C111,'Oxford Economics'!$B$7:$B$1000,Settings!$B$16)+IF(Settings!$B$18="",0,SUMIFS(INDEX('Oxford Economics'!$A$7:$AZ$1000,0,IFERROR(MATCH(AD$5,'Oxford Economics'!$A$6:$AZ$6,0),MATCH(AD$5&amp;"",'Oxford Economics'!$A$6:$AZ$6,0))),'Oxford Economics'!$A$7:$A$1000,$C111,'Oxford Economics'!$B$7:$B$1000,Settings!$B$18)))),""))</f>
        <v/>
      </c>
      <c r="AE111" s="38" t="str">
        <f aca="false">IF($A111="","",IFERROR(1/(1/IF($B111="Residential",SUMIFS(INDEX('Oxford Economics'!$A$7:$AZ$1000,0,IFERROR(MATCH(AE$5,'Oxford Economics'!$A$6:$AZ$6,0),MATCH(AE$5&amp;"",'Oxford Economics'!$A$6:$AZ$6,0))),'Oxford Economics'!$A$7:$A$1000,$C111,'Oxford Economics'!$B$7:$B$1000,Settings!$B$12)-SUMIFS(INDEX('Oxford Economics'!$A$7:$AZ$1000,0,IFERROR(MATCH(AE$5,'Oxford Economics'!$A$6:$AZ$6,0),MATCH(AE$5&amp;"",'Oxford Economics'!$A$6:$AZ$6,0))),'Oxford Economics'!$A$7:$A$1000,$C111,'Oxford Economics'!$B$7:$B$1000,Settings!$B$14),SUMIFS(INDEX('Oxford Economics'!$A$7:$AZ$1000,0,IFERROR(MATCH(AE$5,'Oxford Economics'!$A$6:$AZ$6,0),MATCH(AE$5&amp;"",'Oxford Economics'!$A$6:$AZ$6,0))),'Oxford Economics'!$A$7:$A$1000,$C111,'Oxford Economics'!$B$7:$B$1000,Settings!$B$14)+SUMIFS(INDEX('Oxford Economics'!$A$7:$AZ$1000,0,IFERROR(MATCH(AE$5,'Oxford Economics'!$A$6:$AZ$6,0),MATCH(AE$5&amp;"",'Oxford Economics'!$A$6:$AZ$6,0))),'Oxford Economics'!$A$7:$A$1000,$C111,'Oxford Economics'!$B$7:$B$1000,Settings!$B$16)+IF(Settings!$B$18="",0,SUMIFS(INDEX('Oxford Economics'!$A$7:$AZ$1000,0,IFERROR(MATCH(AE$5,'Oxford Economics'!$A$6:$AZ$6,0),MATCH(AE$5&amp;"",'Oxford Economics'!$A$6:$AZ$6,0))),'Oxford Economics'!$A$7:$A$1000,$C111,'Oxford Economics'!$B$7:$B$1000,Settings!$B$18)))),""))</f>
        <v/>
      </c>
      <c r="AF111" s="38" t="str">
        <f aca="false">IF($A111="","",IFERROR(1/(1/IF($B111="Residential",SUMIFS(INDEX('Oxford Economics'!$A$7:$AZ$1000,0,IFERROR(MATCH(AF$5,'Oxford Economics'!$A$6:$AZ$6,0),MATCH(AF$5&amp;"",'Oxford Economics'!$A$6:$AZ$6,0))),'Oxford Economics'!$A$7:$A$1000,$C111,'Oxford Economics'!$B$7:$B$1000,Settings!$B$12)-SUMIFS(INDEX('Oxford Economics'!$A$7:$AZ$1000,0,IFERROR(MATCH(AF$5,'Oxford Economics'!$A$6:$AZ$6,0),MATCH(AF$5&amp;"",'Oxford Economics'!$A$6:$AZ$6,0))),'Oxford Economics'!$A$7:$A$1000,$C111,'Oxford Economics'!$B$7:$B$1000,Settings!$B$14),SUMIFS(INDEX('Oxford Economics'!$A$7:$AZ$1000,0,IFERROR(MATCH(AF$5,'Oxford Economics'!$A$6:$AZ$6,0),MATCH(AF$5&amp;"",'Oxford Economics'!$A$6:$AZ$6,0))),'Oxford Economics'!$A$7:$A$1000,$C111,'Oxford Economics'!$B$7:$B$1000,Settings!$B$14)+SUMIFS(INDEX('Oxford Economics'!$A$7:$AZ$1000,0,IFERROR(MATCH(AF$5,'Oxford Economics'!$A$6:$AZ$6,0),MATCH(AF$5&amp;"",'Oxford Economics'!$A$6:$AZ$6,0))),'Oxford Economics'!$A$7:$A$1000,$C111,'Oxford Economics'!$B$7:$B$1000,Settings!$B$16)+IF(Settings!$B$18="",0,SUMIFS(INDEX('Oxford Economics'!$A$7:$AZ$1000,0,IFERROR(MATCH(AF$5,'Oxford Economics'!$A$6:$AZ$6,0),MATCH(AF$5&amp;"",'Oxford Economics'!$A$6:$AZ$6,0))),'Oxford Economics'!$A$7:$A$1000,$C111,'Oxford Economics'!$B$7:$B$1000,Settings!$B$18)))),""))</f>
        <v/>
      </c>
      <c r="AG111" s="38" t="str">
        <f aca="false">IF($A111="","",IFERROR(1/(1/IF($B111="Residential",SUMIFS(INDEX('Oxford Economics'!$A$7:$AZ$1000,0,IFERROR(MATCH(AG$5,'Oxford Economics'!$A$6:$AZ$6,0),MATCH(AG$5&amp;"",'Oxford Economics'!$A$6:$AZ$6,0))),'Oxford Economics'!$A$7:$A$1000,$C111,'Oxford Economics'!$B$7:$B$1000,Settings!$B$12)-SUMIFS(INDEX('Oxford Economics'!$A$7:$AZ$1000,0,IFERROR(MATCH(AG$5,'Oxford Economics'!$A$6:$AZ$6,0),MATCH(AG$5&amp;"",'Oxford Economics'!$A$6:$AZ$6,0))),'Oxford Economics'!$A$7:$A$1000,$C111,'Oxford Economics'!$B$7:$B$1000,Settings!$B$14),SUMIFS(INDEX('Oxford Economics'!$A$7:$AZ$1000,0,IFERROR(MATCH(AG$5,'Oxford Economics'!$A$6:$AZ$6,0),MATCH(AG$5&amp;"",'Oxford Economics'!$A$6:$AZ$6,0))),'Oxford Economics'!$A$7:$A$1000,$C111,'Oxford Economics'!$B$7:$B$1000,Settings!$B$14)+SUMIFS(INDEX('Oxford Economics'!$A$7:$AZ$1000,0,IFERROR(MATCH(AG$5,'Oxford Economics'!$A$6:$AZ$6,0),MATCH(AG$5&amp;"",'Oxford Economics'!$A$6:$AZ$6,0))),'Oxford Economics'!$A$7:$A$1000,$C111,'Oxford Economics'!$B$7:$B$1000,Settings!$B$16)+IF(Settings!$B$18="",0,SUMIFS(INDEX('Oxford Economics'!$A$7:$AZ$1000,0,IFERROR(MATCH(AG$5,'Oxford Economics'!$A$6:$AZ$6,0),MATCH(AG$5&amp;"",'Oxford Economics'!$A$6:$AZ$6,0))),'Oxford Economics'!$A$7:$A$1000,$C111,'Oxford Economics'!$B$7:$B$1000,Settings!$B$18)))),""))</f>
        <v/>
      </c>
      <c r="AH111" s="38" t="str">
        <f aca="false">IF($A111="","",IFERROR(1/(1/IF($B111="Residential",SUMIFS(INDEX('Oxford Economics'!$A$7:$AZ$1000,0,IFERROR(MATCH(AH$5,'Oxford Economics'!$A$6:$AZ$6,0),MATCH(AH$5&amp;"",'Oxford Economics'!$A$6:$AZ$6,0))),'Oxford Economics'!$A$7:$A$1000,$C111,'Oxford Economics'!$B$7:$B$1000,Settings!$B$12)-SUMIFS(INDEX('Oxford Economics'!$A$7:$AZ$1000,0,IFERROR(MATCH(AH$5,'Oxford Economics'!$A$6:$AZ$6,0),MATCH(AH$5&amp;"",'Oxford Economics'!$A$6:$AZ$6,0))),'Oxford Economics'!$A$7:$A$1000,$C111,'Oxford Economics'!$B$7:$B$1000,Settings!$B$14),SUMIFS(INDEX('Oxford Economics'!$A$7:$AZ$1000,0,IFERROR(MATCH(AH$5,'Oxford Economics'!$A$6:$AZ$6,0),MATCH(AH$5&amp;"",'Oxford Economics'!$A$6:$AZ$6,0))),'Oxford Economics'!$A$7:$A$1000,$C111,'Oxford Economics'!$B$7:$B$1000,Settings!$B$14)+SUMIFS(INDEX('Oxford Economics'!$A$7:$AZ$1000,0,IFERROR(MATCH(AH$5,'Oxford Economics'!$A$6:$AZ$6,0),MATCH(AH$5&amp;"",'Oxford Economics'!$A$6:$AZ$6,0))),'Oxford Economics'!$A$7:$A$1000,$C111,'Oxford Economics'!$B$7:$B$1000,Settings!$B$16)+IF(Settings!$B$18="",0,SUMIFS(INDEX('Oxford Economics'!$A$7:$AZ$1000,0,IFERROR(MATCH(AH$5,'Oxford Economics'!$A$6:$AZ$6,0),MATCH(AH$5&amp;"",'Oxford Economics'!$A$6:$AZ$6,0))),'Oxford Economics'!$A$7:$A$1000,$C111,'Oxford Economics'!$B$7:$B$1000,Settings!$B$18)))),""))</f>
        <v/>
      </c>
      <c r="AI111" s="38" t="str">
        <f aca="false">IF($A111="","",IFERROR(1/(1/IF($B111="Residential",SUMIFS(INDEX('Oxford Economics'!$A$7:$AZ$1000,0,IFERROR(MATCH(AI$5,'Oxford Economics'!$A$6:$AZ$6,0),MATCH(AI$5&amp;"",'Oxford Economics'!$A$6:$AZ$6,0))),'Oxford Economics'!$A$7:$A$1000,$C111,'Oxford Economics'!$B$7:$B$1000,Settings!$B$12)-SUMIFS(INDEX('Oxford Economics'!$A$7:$AZ$1000,0,IFERROR(MATCH(AI$5,'Oxford Economics'!$A$6:$AZ$6,0),MATCH(AI$5&amp;"",'Oxford Economics'!$A$6:$AZ$6,0))),'Oxford Economics'!$A$7:$A$1000,$C111,'Oxford Economics'!$B$7:$B$1000,Settings!$B$14),SUMIFS(INDEX('Oxford Economics'!$A$7:$AZ$1000,0,IFERROR(MATCH(AI$5,'Oxford Economics'!$A$6:$AZ$6,0),MATCH(AI$5&amp;"",'Oxford Economics'!$A$6:$AZ$6,0))),'Oxford Economics'!$A$7:$A$1000,$C111,'Oxford Economics'!$B$7:$B$1000,Settings!$B$14)+SUMIFS(INDEX('Oxford Economics'!$A$7:$AZ$1000,0,IFERROR(MATCH(AI$5,'Oxford Economics'!$A$6:$AZ$6,0),MATCH(AI$5&amp;"",'Oxford Economics'!$A$6:$AZ$6,0))),'Oxford Economics'!$A$7:$A$1000,$C111,'Oxford Economics'!$B$7:$B$1000,Settings!$B$16)+IF(Settings!$B$18="",0,SUMIFS(INDEX('Oxford Economics'!$A$7:$AZ$1000,0,IFERROR(MATCH(AI$5,'Oxford Economics'!$A$6:$AZ$6,0),MATCH(AI$5&amp;"",'Oxford Economics'!$A$6:$AZ$6,0))),'Oxford Economics'!$A$7:$A$1000,$C111,'Oxford Economics'!$B$7:$B$1000,Settings!$B$18)))),""))</f>
        <v/>
      </c>
      <c r="AJ111" s="38" t="str">
        <f aca="false">IF($A111="","",IFERROR(1/(1/IF($B111="Residential",SUMIFS(INDEX('Oxford Economics'!$A$7:$AZ$1000,0,IFERROR(MATCH(AJ$5,'Oxford Economics'!$A$6:$AZ$6,0),MATCH(AJ$5&amp;"",'Oxford Economics'!$A$6:$AZ$6,0))),'Oxford Economics'!$A$7:$A$1000,$C111,'Oxford Economics'!$B$7:$B$1000,Settings!$B$12)-SUMIFS(INDEX('Oxford Economics'!$A$7:$AZ$1000,0,IFERROR(MATCH(AJ$5,'Oxford Economics'!$A$6:$AZ$6,0),MATCH(AJ$5&amp;"",'Oxford Economics'!$A$6:$AZ$6,0))),'Oxford Economics'!$A$7:$A$1000,$C111,'Oxford Economics'!$B$7:$B$1000,Settings!$B$14),SUMIFS(INDEX('Oxford Economics'!$A$7:$AZ$1000,0,IFERROR(MATCH(AJ$5,'Oxford Economics'!$A$6:$AZ$6,0),MATCH(AJ$5&amp;"",'Oxford Economics'!$A$6:$AZ$6,0))),'Oxford Economics'!$A$7:$A$1000,$C111,'Oxford Economics'!$B$7:$B$1000,Settings!$B$14)+SUMIFS(INDEX('Oxford Economics'!$A$7:$AZ$1000,0,IFERROR(MATCH(AJ$5,'Oxford Economics'!$A$6:$AZ$6,0),MATCH(AJ$5&amp;"",'Oxford Economics'!$A$6:$AZ$6,0))),'Oxford Economics'!$A$7:$A$1000,$C111,'Oxford Economics'!$B$7:$B$1000,Settings!$B$16)+IF(Settings!$B$18="",0,SUMIFS(INDEX('Oxford Economics'!$A$7:$AZ$1000,0,IFERROR(MATCH(AJ$5,'Oxford Economics'!$A$6:$AZ$6,0),MATCH(AJ$5&amp;"",'Oxford Economics'!$A$6:$AZ$6,0))),'Oxford Economics'!$A$7:$A$1000,$C111,'Oxford Economics'!$B$7:$B$1000,Settings!$B$18)))),""))</f>
        <v/>
      </c>
      <c r="AK111" s="38" t="str">
        <f aca="false">IF($A111="","",IFERROR(1/(1/IF($B111="Residential",SUMIFS(INDEX('Oxford Economics'!$A$7:$AZ$1000,0,IFERROR(MATCH(AK$5,'Oxford Economics'!$A$6:$AZ$6,0),MATCH(AK$5&amp;"",'Oxford Economics'!$A$6:$AZ$6,0))),'Oxford Economics'!$A$7:$A$1000,$C111,'Oxford Economics'!$B$7:$B$1000,Settings!$B$12)-SUMIFS(INDEX('Oxford Economics'!$A$7:$AZ$1000,0,IFERROR(MATCH(AK$5,'Oxford Economics'!$A$6:$AZ$6,0),MATCH(AK$5&amp;"",'Oxford Economics'!$A$6:$AZ$6,0))),'Oxford Economics'!$A$7:$A$1000,$C111,'Oxford Economics'!$B$7:$B$1000,Settings!$B$14),SUMIFS(INDEX('Oxford Economics'!$A$7:$AZ$1000,0,IFERROR(MATCH(AK$5,'Oxford Economics'!$A$6:$AZ$6,0),MATCH(AK$5&amp;"",'Oxford Economics'!$A$6:$AZ$6,0))),'Oxford Economics'!$A$7:$A$1000,$C111,'Oxford Economics'!$B$7:$B$1000,Settings!$B$14)+SUMIFS(INDEX('Oxford Economics'!$A$7:$AZ$1000,0,IFERROR(MATCH(AK$5,'Oxford Economics'!$A$6:$AZ$6,0),MATCH(AK$5&amp;"",'Oxford Economics'!$A$6:$AZ$6,0))),'Oxford Economics'!$A$7:$A$1000,$C111,'Oxford Economics'!$B$7:$B$1000,Settings!$B$16)+IF(Settings!$B$18="",0,SUMIFS(INDEX('Oxford Economics'!$A$7:$AZ$1000,0,IFERROR(MATCH(AK$5,'Oxford Economics'!$A$6:$AZ$6,0),MATCH(AK$5&amp;"",'Oxford Economics'!$A$6:$AZ$6,0))),'Oxford Economics'!$A$7:$A$1000,$C111,'Oxford Economics'!$B$7:$B$1000,Settings!$B$18)))),""))</f>
        <v/>
      </c>
      <c r="AL111" s="38" t="str">
        <f aca="false">IF($A111="","",IFERROR(1/(1/IF($B111="Residential",SUMIFS(INDEX('Oxford Economics'!$A$7:$AZ$1000,0,IFERROR(MATCH(AL$5,'Oxford Economics'!$A$6:$AZ$6,0),MATCH(AL$5&amp;"",'Oxford Economics'!$A$6:$AZ$6,0))),'Oxford Economics'!$A$7:$A$1000,$C111,'Oxford Economics'!$B$7:$B$1000,Settings!$B$12)-SUMIFS(INDEX('Oxford Economics'!$A$7:$AZ$1000,0,IFERROR(MATCH(AL$5,'Oxford Economics'!$A$6:$AZ$6,0),MATCH(AL$5&amp;"",'Oxford Economics'!$A$6:$AZ$6,0))),'Oxford Economics'!$A$7:$A$1000,$C111,'Oxford Economics'!$B$7:$B$1000,Settings!$B$14),SUMIFS(INDEX('Oxford Economics'!$A$7:$AZ$1000,0,IFERROR(MATCH(AL$5,'Oxford Economics'!$A$6:$AZ$6,0),MATCH(AL$5&amp;"",'Oxford Economics'!$A$6:$AZ$6,0))),'Oxford Economics'!$A$7:$A$1000,$C111,'Oxford Economics'!$B$7:$B$1000,Settings!$B$14)+SUMIFS(INDEX('Oxford Economics'!$A$7:$AZ$1000,0,IFERROR(MATCH(AL$5,'Oxford Economics'!$A$6:$AZ$6,0),MATCH(AL$5&amp;"",'Oxford Economics'!$A$6:$AZ$6,0))),'Oxford Economics'!$A$7:$A$1000,$C111,'Oxford Economics'!$B$7:$B$1000,Settings!$B$16)+IF(Settings!$B$18="",0,SUMIFS(INDEX('Oxford Economics'!$A$7:$AZ$1000,0,IFERROR(MATCH(AL$5,'Oxford Economics'!$A$6:$AZ$6,0),MATCH(AL$5&amp;"",'Oxford Economics'!$A$6:$AZ$6,0))),'Oxford Economics'!$A$7:$A$1000,$C111,'Oxford Economics'!$B$7:$B$1000,Settings!$B$18)))),""))</f>
        <v/>
      </c>
      <c r="AM111" s="38" t="str">
        <f aca="false">IF($A111="","",IFERROR(1/(1/IF($B111="Residential",SUMIFS(INDEX('Oxford Economics'!$A$7:$AZ$1000,0,IFERROR(MATCH(AM$5,'Oxford Economics'!$A$6:$AZ$6,0),MATCH(AM$5&amp;"",'Oxford Economics'!$A$6:$AZ$6,0))),'Oxford Economics'!$A$7:$A$1000,$C111,'Oxford Economics'!$B$7:$B$1000,Settings!$B$12)-SUMIFS(INDEX('Oxford Economics'!$A$7:$AZ$1000,0,IFERROR(MATCH(AM$5,'Oxford Economics'!$A$6:$AZ$6,0),MATCH(AM$5&amp;"",'Oxford Economics'!$A$6:$AZ$6,0))),'Oxford Economics'!$A$7:$A$1000,$C111,'Oxford Economics'!$B$7:$B$1000,Settings!$B$14),SUMIFS(INDEX('Oxford Economics'!$A$7:$AZ$1000,0,IFERROR(MATCH(AM$5,'Oxford Economics'!$A$6:$AZ$6,0),MATCH(AM$5&amp;"",'Oxford Economics'!$A$6:$AZ$6,0))),'Oxford Economics'!$A$7:$A$1000,$C111,'Oxford Economics'!$B$7:$B$1000,Settings!$B$14)+SUMIFS(INDEX('Oxford Economics'!$A$7:$AZ$1000,0,IFERROR(MATCH(AM$5,'Oxford Economics'!$A$6:$AZ$6,0),MATCH(AM$5&amp;"",'Oxford Economics'!$A$6:$AZ$6,0))),'Oxford Economics'!$A$7:$A$1000,$C111,'Oxford Economics'!$B$7:$B$1000,Settings!$B$16)+IF(Settings!$B$18="",0,SUMIFS(INDEX('Oxford Economics'!$A$7:$AZ$1000,0,IFERROR(MATCH(AM$5,'Oxford Economics'!$A$6:$AZ$6,0),MATCH(AM$5&amp;"",'Oxford Economics'!$A$6:$AZ$6,0))),'Oxford Economics'!$A$7:$A$1000,$C111,'Oxford Economics'!$B$7:$B$1000,Settings!$B$18)))),""))</f>
        <v/>
      </c>
    </row>
    <row r="112" customFormat="false" ht="15" hidden="false" customHeight="false" outlineLevel="0" collapsed="false">
      <c r="A112" s="37" t="str">
        <f aca="false">IF('Raw data'!$A112="","",'Raw data'!$A112)</f>
        <v/>
      </c>
      <c r="B112" s="37" t="str">
        <f aca="false">IF($A112="","",'Raw data'!$C112)</f>
        <v/>
      </c>
      <c r="C112" s="37" t="str">
        <f aca="false">IF($A112="","",IF('Raw data'!$E112="",$A112,'Raw data'!$E112))</f>
        <v/>
      </c>
      <c r="D112" s="38" t="str">
        <f aca="false">IF($A112="","",IF(AND(ISNUMBER(P112),ISNUMBER(AB112)),P112+AB112,""))</f>
        <v/>
      </c>
      <c r="E112" s="38" t="str">
        <f aca="false">IF($A112="","",IF(AND(ISNUMBER(Q112),ISNUMBER(AC112)),Q112+AC112,""))</f>
        <v/>
      </c>
      <c r="F112" s="38" t="str">
        <f aca="false">IF($A112="","",IF(AND(ISNUMBER(R112),ISNUMBER(AD112)),R112+AD112,""))</f>
        <v/>
      </c>
      <c r="G112" s="38" t="str">
        <f aca="false">IF($A112="","",IF(AND(ISNUMBER(S112),ISNUMBER(AE112)),S112+AE112,""))</f>
        <v/>
      </c>
      <c r="H112" s="38" t="str">
        <f aca="false">IF($A112="","",IF(AND(ISNUMBER(T112),ISNUMBER(AF112)),T112+AF112,""))</f>
        <v/>
      </c>
      <c r="I112" s="38" t="str">
        <f aca="false">IF($A112="","",IF(AND(ISNUMBER(U112),ISNUMBER(AG112)),U112+AG112,""))</f>
        <v/>
      </c>
      <c r="J112" s="38" t="str">
        <f aca="false">IF($A112="","",IF(AND(ISNUMBER(V112),ISNUMBER(AH112)),V112+AH112,""))</f>
        <v/>
      </c>
      <c r="K112" s="38" t="str">
        <f aca="false">IF($A112="","",IF(AND(ISNUMBER(W112),ISNUMBER(AI112)),W112+AI112,""))</f>
        <v/>
      </c>
      <c r="L112" s="38" t="str">
        <f aca="false">IF($A112="","",IF(AND(ISNUMBER(X112),ISNUMBER(AJ112)),X112+AJ112,""))</f>
        <v/>
      </c>
      <c r="M112" s="38" t="str">
        <f aca="false">IF($A112="","",IF(AND(ISNUMBER(Y112),ISNUMBER(AK112)),Y112+AK112,""))</f>
        <v/>
      </c>
      <c r="N112" s="38" t="str">
        <f aca="false">IF($A112="","",IF(AND(ISNUMBER(Z112),ISNUMBER(AL112)),Z112+AL112,""))</f>
        <v/>
      </c>
      <c r="O112" s="38" t="str">
        <f aca="false">IF($A112="","",IF(AND(ISNUMBER(AA112),ISNUMBER(AM112)),AA112+AM112,""))</f>
        <v/>
      </c>
      <c r="P112" s="38" t="str">
        <f aca="false">IF($A112="","",IFERROR(1/(1/IF($B112="Residential",SUMIFS(INDEX('Oxford Economics'!$A$7:$AZ$1000,0,IFERROR(MATCH(P$5,'Oxford Economics'!$A$6:$AZ$6,0),MATCH(P$5&amp;"",'Oxford Economics'!$A$6:$AZ$6,0))),'Oxford Economics'!$A$7:$A$1000,$C112,'Oxford Economics'!$B$7:$B$1000,Settings!$B$13)-SUMIFS(INDEX('Oxford Economics'!$A$7:$AZ$1000,0,IFERROR(MATCH(P$5,'Oxford Economics'!$A$6:$AZ$6,0),MATCH(P$5&amp;"",'Oxford Economics'!$A$6:$AZ$6,0))),'Oxford Economics'!$A$7:$A$1000,$C112,'Oxford Economics'!$B$7:$B$1000,Settings!$B$15),SUMIFS(INDEX('Oxford Economics'!$A$7:$AZ$1000,0,IFERROR(MATCH(P$5,'Oxford Economics'!$A$6:$AZ$6,0),MATCH(P$5&amp;"",'Oxford Economics'!$A$6:$AZ$6,0))),'Oxford Economics'!$A$7:$A$1000,$C112,'Oxford Economics'!$B$7:$B$1000,Settings!$B$15)+SUMIFS(INDEX('Oxford Economics'!$A$7:$AZ$1000,0,IFERROR(MATCH(P$5,'Oxford Economics'!$A$6:$AZ$6,0),MATCH(P$5&amp;"",'Oxford Economics'!$A$6:$AZ$6,0))),'Oxford Economics'!$A$7:$A$1000,$C112,'Oxford Economics'!$B$7:$B$1000,Settings!$B$17)+IF(Settings!$B$19="",0,SUMIFS(INDEX('Oxford Economics'!$A$7:$AZ$1000,0,IFERROR(MATCH(P$5,'Oxford Economics'!$A$6:$AZ$6,0),MATCH(P$5&amp;"",'Oxford Economics'!$A$6:$AZ$6,0))),'Oxford Economics'!$A$7:$A$1000,$C112,'Oxford Economics'!$B$7:$B$1000,Settings!$B$19)))),""))</f>
        <v/>
      </c>
      <c r="Q112" s="38" t="str">
        <f aca="false">IF($A112="","",IFERROR(1/(1/IF($B112="Residential",SUMIFS(INDEX('Oxford Economics'!$A$7:$AZ$1000,0,IFERROR(MATCH(Q$5,'Oxford Economics'!$A$6:$AZ$6,0),MATCH(Q$5&amp;"",'Oxford Economics'!$A$6:$AZ$6,0))),'Oxford Economics'!$A$7:$A$1000,$C112,'Oxford Economics'!$B$7:$B$1000,Settings!$B$13)-SUMIFS(INDEX('Oxford Economics'!$A$7:$AZ$1000,0,IFERROR(MATCH(Q$5,'Oxford Economics'!$A$6:$AZ$6,0),MATCH(Q$5&amp;"",'Oxford Economics'!$A$6:$AZ$6,0))),'Oxford Economics'!$A$7:$A$1000,$C112,'Oxford Economics'!$B$7:$B$1000,Settings!$B$15),SUMIFS(INDEX('Oxford Economics'!$A$7:$AZ$1000,0,IFERROR(MATCH(Q$5,'Oxford Economics'!$A$6:$AZ$6,0),MATCH(Q$5&amp;"",'Oxford Economics'!$A$6:$AZ$6,0))),'Oxford Economics'!$A$7:$A$1000,$C112,'Oxford Economics'!$B$7:$B$1000,Settings!$B$15)+SUMIFS(INDEX('Oxford Economics'!$A$7:$AZ$1000,0,IFERROR(MATCH(Q$5,'Oxford Economics'!$A$6:$AZ$6,0),MATCH(Q$5&amp;"",'Oxford Economics'!$A$6:$AZ$6,0))),'Oxford Economics'!$A$7:$A$1000,$C112,'Oxford Economics'!$B$7:$B$1000,Settings!$B$17)+IF(Settings!$B$19="",0,SUMIFS(INDEX('Oxford Economics'!$A$7:$AZ$1000,0,IFERROR(MATCH(Q$5,'Oxford Economics'!$A$6:$AZ$6,0),MATCH(Q$5&amp;"",'Oxford Economics'!$A$6:$AZ$6,0))),'Oxford Economics'!$A$7:$A$1000,$C112,'Oxford Economics'!$B$7:$B$1000,Settings!$B$19)))),""))</f>
        <v/>
      </c>
      <c r="R112" s="38" t="str">
        <f aca="false">IF($A112="","",IFERROR(1/(1/IF($B112="Residential",SUMIFS(INDEX('Oxford Economics'!$A$7:$AZ$1000,0,IFERROR(MATCH(R$5,'Oxford Economics'!$A$6:$AZ$6,0),MATCH(R$5&amp;"",'Oxford Economics'!$A$6:$AZ$6,0))),'Oxford Economics'!$A$7:$A$1000,$C112,'Oxford Economics'!$B$7:$B$1000,Settings!$B$13)-SUMIFS(INDEX('Oxford Economics'!$A$7:$AZ$1000,0,IFERROR(MATCH(R$5,'Oxford Economics'!$A$6:$AZ$6,0),MATCH(R$5&amp;"",'Oxford Economics'!$A$6:$AZ$6,0))),'Oxford Economics'!$A$7:$A$1000,$C112,'Oxford Economics'!$B$7:$B$1000,Settings!$B$15),SUMIFS(INDEX('Oxford Economics'!$A$7:$AZ$1000,0,IFERROR(MATCH(R$5,'Oxford Economics'!$A$6:$AZ$6,0),MATCH(R$5&amp;"",'Oxford Economics'!$A$6:$AZ$6,0))),'Oxford Economics'!$A$7:$A$1000,$C112,'Oxford Economics'!$B$7:$B$1000,Settings!$B$15)+SUMIFS(INDEX('Oxford Economics'!$A$7:$AZ$1000,0,IFERROR(MATCH(R$5,'Oxford Economics'!$A$6:$AZ$6,0),MATCH(R$5&amp;"",'Oxford Economics'!$A$6:$AZ$6,0))),'Oxford Economics'!$A$7:$A$1000,$C112,'Oxford Economics'!$B$7:$B$1000,Settings!$B$17)+IF(Settings!$B$19="",0,SUMIFS(INDEX('Oxford Economics'!$A$7:$AZ$1000,0,IFERROR(MATCH(R$5,'Oxford Economics'!$A$6:$AZ$6,0),MATCH(R$5&amp;"",'Oxford Economics'!$A$6:$AZ$6,0))),'Oxford Economics'!$A$7:$A$1000,$C112,'Oxford Economics'!$B$7:$B$1000,Settings!$B$19)))),""))</f>
        <v/>
      </c>
      <c r="S112" s="38" t="str">
        <f aca="false">IF($A112="","",IFERROR(1/(1/IF($B112="Residential",SUMIFS(INDEX('Oxford Economics'!$A$7:$AZ$1000,0,IFERROR(MATCH(S$5,'Oxford Economics'!$A$6:$AZ$6,0),MATCH(S$5&amp;"",'Oxford Economics'!$A$6:$AZ$6,0))),'Oxford Economics'!$A$7:$A$1000,$C112,'Oxford Economics'!$B$7:$B$1000,Settings!$B$13)-SUMIFS(INDEX('Oxford Economics'!$A$7:$AZ$1000,0,IFERROR(MATCH(S$5,'Oxford Economics'!$A$6:$AZ$6,0),MATCH(S$5&amp;"",'Oxford Economics'!$A$6:$AZ$6,0))),'Oxford Economics'!$A$7:$A$1000,$C112,'Oxford Economics'!$B$7:$B$1000,Settings!$B$15),SUMIFS(INDEX('Oxford Economics'!$A$7:$AZ$1000,0,IFERROR(MATCH(S$5,'Oxford Economics'!$A$6:$AZ$6,0),MATCH(S$5&amp;"",'Oxford Economics'!$A$6:$AZ$6,0))),'Oxford Economics'!$A$7:$A$1000,$C112,'Oxford Economics'!$B$7:$B$1000,Settings!$B$15)+SUMIFS(INDEX('Oxford Economics'!$A$7:$AZ$1000,0,IFERROR(MATCH(S$5,'Oxford Economics'!$A$6:$AZ$6,0),MATCH(S$5&amp;"",'Oxford Economics'!$A$6:$AZ$6,0))),'Oxford Economics'!$A$7:$A$1000,$C112,'Oxford Economics'!$B$7:$B$1000,Settings!$B$17)+IF(Settings!$B$19="",0,SUMIFS(INDEX('Oxford Economics'!$A$7:$AZ$1000,0,IFERROR(MATCH(S$5,'Oxford Economics'!$A$6:$AZ$6,0),MATCH(S$5&amp;"",'Oxford Economics'!$A$6:$AZ$6,0))),'Oxford Economics'!$A$7:$A$1000,$C112,'Oxford Economics'!$B$7:$B$1000,Settings!$B$19)))),""))</f>
        <v/>
      </c>
      <c r="T112" s="38" t="str">
        <f aca="false">IF($A112="","",IFERROR(1/(1/IF($B112="Residential",SUMIFS(INDEX('Oxford Economics'!$A$7:$AZ$1000,0,IFERROR(MATCH(T$5,'Oxford Economics'!$A$6:$AZ$6,0),MATCH(T$5&amp;"",'Oxford Economics'!$A$6:$AZ$6,0))),'Oxford Economics'!$A$7:$A$1000,$C112,'Oxford Economics'!$B$7:$B$1000,Settings!$B$13)-SUMIFS(INDEX('Oxford Economics'!$A$7:$AZ$1000,0,IFERROR(MATCH(T$5,'Oxford Economics'!$A$6:$AZ$6,0),MATCH(T$5&amp;"",'Oxford Economics'!$A$6:$AZ$6,0))),'Oxford Economics'!$A$7:$A$1000,$C112,'Oxford Economics'!$B$7:$B$1000,Settings!$B$15),SUMIFS(INDEX('Oxford Economics'!$A$7:$AZ$1000,0,IFERROR(MATCH(T$5,'Oxford Economics'!$A$6:$AZ$6,0),MATCH(T$5&amp;"",'Oxford Economics'!$A$6:$AZ$6,0))),'Oxford Economics'!$A$7:$A$1000,$C112,'Oxford Economics'!$B$7:$B$1000,Settings!$B$15)+SUMIFS(INDEX('Oxford Economics'!$A$7:$AZ$1000,0,IFERROR(MATCH(T$5,'Oxford Economics'!$A$6:$AZ$6,0),MATCH(T$5&amp;"",'Oxford Economics'!$A$6:$AZ$6,0))),'Oxford Economics'!$A$7:$A$1000,$C112,'Oxford Economics'!$B$7:$B$1000,Settings!$B$17)+IF(Settings!$B$19="",0,SUMIFS(INDEX('Oxford Economics'!$A$7:$AZ$1000,0,IFERROR(MATCH(T$5,'Oxford Economics'!$A$6:$AZ$6,0),MATCH(T$5&amp;"",'Oxford Economics'!$A$6:$AZ$6,0))),'Oxford Economics'!$A$7:$A$1000,$C112,'Oxford Economics'!$B$7:$B$1000,Settings!$B$19)))),""))</f>
        <v/>
      </c>
      <c r="U112" s="38" t="str">
        <f aca="false">IF($A112="","",IFERROR(1/(1/IF($B112="Residential",SUMIFS(INDEX('Oxford Economics'!$A$7:$AZ$1000,0,IFERROR(MATCH(U$5,'Oxford Economics'!$A$6:$AZ$6,0),MATCH(U$5&amp;"",'Oxford Economics'!$A$6:$AZ$6,0))),'Oxford Economics'!$A$7:$A$1000,$C112,'Oxford Economics'!$B$7:$B$1000,Settings!$B$13)-SUMIFS(INDEX('Oxford Economics'!$A$7:$AZ$1000,0,IFERROR(MATCH(U$5,'Oxford Economics'!$A$6:$AZ$6,0),MATCH(U$5&amp;"",'Oxford Economics'!$A$6:$AZ$6,0))),'Oxford Economics'!$A$7:$A$1000,$C112,'Oxford Economics'!$B$7:$B$1000,Settings!$B$15),SUMIFS(INDEX('Oxford Economics'!$A$7:$AZ$1000,0,IFERROR(MATCH(U$5,'Oxford Economics'!$A$6:$AZ$6,0),MATCH(U$5&amp;"",'Oxford Economics'!$A$6:$AZ$6,0))),'Oxford Economics'!$A$7:$A$1000,$C112,'Oxford Economics'!$B$7:$B$1000,Settings!$B$15)+SUMIFS(INDEX('Oxford Economics'!$A$7:$AZ$1000,0,IFERROR(MATCH(U$5,'Oxford Economics'!$A$6:$AZ$6,0),MATCH(U$5&amp;"",'Oxford Economics'!$A$6:$AZ$6,0))),'Oxford Economics'!$A$7:$A$1000,$C112,'Oxford Economics'!$B$7:$B$1000,Settings!$B$17)+IF(Settings!$B$19="",0,SUMIFS(INDEX('Oxford Economics'!$A$7:$AZ$1000,0,IFERROR(MATCH(U$5,'Oxford Economics'!$A$6:$AZ$6,0),MATCH(U$5&amp;"",'Oxford Economics'!$A$6:$AZ$6,0))),'Oxford Economics'!$A$7:$A$1000,$C112,'Oxford Economics'!$B$7:$B$1000,Settings!$B$19)))),""))</f>
        <v/>
      </c>
      <c r="V112" s="38" t="str">
        <f aca="false">IF($A112="","",IFERROR(1/(1/IF($B112="Residential",SUMIFS(INDEX('Oxford Economics'!$A$7:$AZ$1000,0,IFERROR(MATCH(V$5,'Oxford Economics'!$A$6:$AZ$6,0),MATCH(V$5&amp;"",'Oxford Economics'!$A$6:$AZ$6,0))),'Oxford Economics'!$A$7:$A$1000,$C112,'Oxford Economics'!$B$7:$B$1000,Settings!$B$13)-SUMIFS(INDEX('Oxford Economics'!$A$7:$AZ$1000,0,IFERROR(MATCH(V$5,'Oxford Economics'!$A$6:$AZ$6,0),MATCH(V$5&amp;"",'Oxford Economics'!$A$6:$AZ$6,0))),'Oxford Economics'!$A$7:$A$1000,$C112,'Oxford Economics'!$B$7:$B$1000,Settings!$B$15),SUMIFS(INDEX('Oxford Economics'!$A$7:$AZ$1000,0,IFERROR(MATCH(V$5,'Oxford Economics'!$A$6:$AZ$6,0),MATCH(V$5&amp;"",'Oxford Economics'!$A$6:$AZ$6,0))),'Oxford Economics'!$A$7:$A$1000,$C112,'Oxford Economics'!$B$7:$B$1000,Settings!$B$15)+SUMIFS(INDEX('Oxford Economics'!$A$7:$AZ$1000,0,IFERROR(MATCH(V$5,'Oxford Economics'!$A$6:$AZ$6,0),MATCH(V$5&amp;"",'Oxford Economics'!$A$6:$AZ$6,0))),'Oxford Economics'!$A$7:$A$1000,$C112,'Oxford Economics'!$B$7:$B$1000,Settings!$B$17)+IF(Settings!$B$19="",0,SUMIFS(INDEX('Oxford Economics'!$A$7:$AZ$1000,0,IFERROR(MATCH(V$5,'Oxford Economics'!$A$6:$AZ$6,0),MATCH(V$5&amp;"",'Oxford Economics'!$A$6:$AZ$6,0))),'Oxford Economics'!$A$7:$A$1000,$C112,'Oxford Economics'!$B$7:$B$1000,Settings!$B$19)))),""))</f>
        <v/>
      </c>
      <c r="W112" s="38" t="str">
        <f aca="false">IF($A112="","",IFERROR(1/(1/IF($B112="Residential",SUMIFS(INDEX('Oxford Economics'!$A$7:$AZ$1000,0,IFERROR(MATCH(W$5,'Oxford Economics'!$A$6:$AZ$6,0),MATCH(W$5&amp;"",'Oxford Economics'!$A$6:$AZ$6,0))),'Oxford Economics'!$A$7:$A$1000,$C112,'Oxford Economics'!$B$7:$B$1000,Settings!$B$13)-SUMIFS(INDEX('Oxford Economics'!$A$7:$AZ$1000,0,IFERROR(MATCH(W$5,'Oxford Economics'!$A$6:$AZ$6,0),MATCH(W$5&amp;"",'Oxford Economics'!$A$6:$AZ$6,0))),'Oxford Economics'!$A$7:$A$1000,$C112,'Oxford Economics'!$B$7:$B$1000,Settings!$B$15),SUMIFS(INDEX('Oxford Economics'!$A$7:$AZ$1000,0,IFERROR(MATCH(W$5,'Oxford Economics'!$A$6:$AZ$6,0),MATCH(W$5&amp;"",'Oxford Economics'!$A$6:$AZ$6,0))),'Oxford Economics'!$A$7:$A$1000,$C112,'Oxford Economics'!$B$7:$B$1000,Settings!$B$15)+SUMIFS(INDEX('Oxford Economics'!$A$7:$AZ$1000,0,IFERROR(MATCH(W$5,'Oxford Economics'!$A$6:$AZ$6,0),MATCH(W$5&amp;"",'Oxford Economics'!$A$6:$AZ$6,0))),'Oxford Economics'!$A$7:$A$1000,$C112,'Oxford Economics'!$B$7:$B$1000,Settings!$B$17)+IF(Settings!$B$19="",0,SUMIFS(INDEX('Oxford Economics'!$A$7:$AZ$1000,0,IFERROR(MATCH(W$5,'Oxford Economics'!$A$6:$AZ$6,0),MATCH(W$5&amp;"",'Oxford Economics'!$A$6:$AZ$6,0))),'Oxford Economics'!$A$7:$A$1000,$C112,'Oxford Economics'!$B$7:$B$1000,Settings!$B$19)))),""))</f>
        <v/>
      </c>
      <c r="X112" s="38" t="str">
        <f aca="false">IF($A112="","",IFERROR(1/(1/IF($B112="Residential",SUMIFS(INDEX('Oxford Economics'!$A$7:$AZ$1000,0,IFERROR(MATCH(X$5,'Oxford Economics'!$A$6:$AZ$6,0),MATCH(X$5&amp;"",'Oxford Economics'!$A$6:$AZ$6,0))),'Oxford Economics'!$A$7:$A$1000,$C112,'Oxford Economics'!$B$7:$B$1000,Settings!$B$13)-SUMIFS(INDEX('Oxford Economics'!$A$7:$AZ$1000,0,IFERROR(MATCH(X$5,'Oxford Economics'!$A$6:$AZ$6,0),MATCH(X$5&amp;"",'Oxford Economics'!$A$6:$AZ$6,0))),'Oxford Economics'!$A$7:$A$1000,$C112,'Oxford Economics'!$B$7:$B$1000,Settings!$B$15),SUMIFS(INDEX('Oxford Economics'!$A$7:$AZ$1000,0,IFERROR(MATCH(X$5,'Oxford Economics'!$A$6:$AZ$6,0),MATCH(X$5&amp;"",'Oxford Economics'!$A$6:$AZ$6,0))),'Oxford Economics'!$A$7:$A$1000,$C112,'Oxford Economics'!$B$7:$B$1000,Settings!$B$15)+SUMIFS(INDEX('Oxford Economics'!$A$7:$AZ$1000,0,IFERROR(MATCH(X$5,'Oxford Economics'!$A$6:$AZ$6,0),MATCH(X$5&amp;"",'Oxford Economics'!$A$6:$AZ$6,0))),'Oxford Economics'!$A$7:$A$1000,$C112,'Oxford Economics'!$B$7:$B$1000,Settings!$B$17)+IF(Settings!$B$19="",0,SUMIFS(INDEX('Oxford Economics'!$A$7:$AZ$1000,0,IFERROR(MATCH(X$5,'Oxford Economics'!$A$6:$AZ$6,0),MATCH(X$5&amp;"",'Oxford Economics'!$A$6:$AZ$6,0))),'Oxford Economics'!$A$7:$A$1000,$C112,'Oxford Economics'!$B$7:$B$1000,Settings!$B$19)))),""))</f>
        <v/>
      </c>
      <c r="Y112" s="38" t="str">
        <f aca="false">IF($A112="","",IFERROR(1/(1/IF($B112="Residential",SUMIFS(INDEX('Oxford Economics'!$A$7:$AZ$1000,0,IFERROR(MATCH(Y$5,'Oxford Economics'!$A$6:$AZ$6,0),MATCH(Y$5&amp;"",'Oxford Economics'!$A$6:$AZ$6,0))),'Oxford Economics'!$A$7:$A$1000,$C112,'Oxford Economics'!$B$7:$B$1000,Settings!$B$13)-SUMIFS(INDEX('Oxford Economics'!$A$7:$AZ$1000,0,IFERROR(MATCH(Y$5,'Oxford Economics'!$A$6:$AZ$6,0),MATCH(Y$5&amp;"",'Oxford Economics'!$A$6:$AZ$6,0))),'Oxford Economics'!$A$7:$A$1000,$C112,'Oxford Economics'!$B$7:$B$1000,Settings!$B$15),SUMIFS(INDEX('Oxford Economics'!$A$7:$AZ$1000,0,IFERROR(MATCH(Y$5,'Oxford Economics'!$A$6:$AZ$6,0),MATCH(Y$5&amp;"",'Oxford Economics'!$A$6:$AZ$6,0))),'Oxford Economics'!$A$7:$A$1000,$C112,'Oxford Economics'!$B$7:$B$1000,Settings!$B$15)+SUMIFS(INDEX('Oxford Economics'!$A$7:$AZ$1000,0,IFERROR(MATCH(Y$5,'Oxford Economics'!$A$6:$AZ$6,0),MATCH(Y$5&amp;"",'Oxford Economics'!$A$6:$AZ$6,0))),'Oxford Economics'!$A$7:$A$1000,$C112,'Oxford Economics'!$B$7:$B$1000,Settings!$B$17)+IF(Settings!$B$19="",0,SUMIFS(INDEX('Oxford Economics'!$A$7:$AZ$1000,0,IFERROR(MATCH(Y$5,'Oxford Economics'!$A$6:$AZ$6,0),MATCH(Y$5&amp;"",'Oxford Economics'!$A$6:$AZ$6,0))),'Oxford Economics'!$A$7:$A$1000,$C112,'Oxford Economics'!$B$7:$B$1000,Settings!$B$19)))),""))</f>
        <v/>
      </c>
      <c r="Z112" s="38" t="str">
        <f aca="false">IF($A112="","",IFERROR(1/(1/IF($B112="Residential",SUMIFS(INDEX('Oxford Economics'!$A$7:$AZ$1000,0,IFERROR(MATCH(Z$5,'Oxford Economics'!$A$6:$AZ$6,0),MATCH(Z$5&amp;"",'Oxford Economics'!$A$6:$AZ$6,0))),'Oxford Economics'!$A$7:$A$1000,$C112,'Oxford Economics'!$B$7:$B$1000,Settings!$B$13)-SUMIFS(INDEX('Oxford Economics'!$A$7:$AZ$1000,0,IFERROR(MATCH(Z$5,'Oxford Economics'!$A$6:$AZ$6,0),MATCH(Z$5&amp;"",'Oxford Economics'!$A$6:$AZ$6,0))),'Oxford Economics'!$A$7:$A$1000,$C112,'Oxford Economics'!$B$7:$B$1000,Settings!$B$15),SUMIFS(INDEX('Oxford Economics'!$A$7:$AZ$1000,0,IFERROR(MATCH(Z$5,'Oxford Economics'!$A$6:$AZ$6,0),MATCH(Z$5&amp;"",'Oxford Economics'!$A$6:$AZ$6,0))),'Oxford Economics'!$A$7:$A$1000,$C112,'Oxford Economics'!$B$7:$B$1000,Settings!$B$15)+SUMIFS(INDEX('Oxford Economics'!$A$7:$AZ$1000,0,IFERROR(MATCH(Z$5,'Oxford Economics'!$A$6:$AZ$6,0),MATCH(Z$5&amp;"",'Oxford Economics'!$A$6:$AZ$6,0))),'Oxford Economics'!$A$7:$A$1000,$C112,'Oxford Economics'!$B$7:$B$1000,Settings!$B$17)+IF(Settings!$B$19="",0,SUMIFS(INDEX('Oxford Economics'!$A$7:$AZ$1000,0,IFERROR(MATCH(Z$5,'Oxford Economics'!$A$6:$AZ$6,0),MATCH(Z$5&amp;"",'Oxford Economics'!$A$6:$AZ$6,0))),'Oxford Economics'!$A$7:$A$1000,$C112,'Oxford Economics'!$B$7:$B$1000,Settings!$B$19)))),""))</f>
        <v/>
      </c>
      <c r="AA112" s="38" t="str">
        <f aca="false">IF($A112="","",IFERROR(1/(1/IF($B112="Residential",SUMIFS(INDEX('Oxford Economics'!$A$7:$AZ$1000,0,IFERROR(MATCH(AA$5,'Oxford Economics'!$A$6:$AZ$6,0),MATCH(AA$5&amp;"",'Oxford Economics'!$A$6:$AZ$6,0))),'Oxford Economics'!$A$7:$A$1000,$C112,'Oxford Economics'!$B$7:$B$1000,Settings!$B$13)-SUMIFS(INDEX('Oxford Economics'!$A$7:$AZ$1000,0,IFERROR(MATCH(AA$5,'Oxford Economics'!$A$6:$AZ$6,0),MATCH(AA$5&amp;"",'Oxford Economics'!$A$6:$AZ$6,0))),'Oxford Economics'!$A$7:$A$1000,$C112,'Oxford Economics'!$B$7:$B$1000,Settings!$B$15),SUMIFS(INDEX('Oxford Economics'!$A$7:$AZ$1000,0,IFERROR(MATCH(AA$5,'Oxford Economics'!$A$6:$AZ$6,0),MATCH(AA$5&amp;"",'Oxford Economics'!$A$6:$AZ$6,0))),'Oxford Economics'!$A$7:$A$1000,$C112,'Oxford Economics'!$B$7:$B$1000,Settings!$B$15)+SUMIFS(INDEX('Oxford Economics'!$A$7:$AZ$1000,0,IFERROR(MATCH(AA$5,'Oxford Economics'!$A$6:$AZ$6,0),MATCH(AA$5&amp;"",'Oxford Economics'!$A$6:$AZ$6,0))),'Oxford Economics'!$A$7:$A$1000,$C112,'Oxford Economics'!$B$7:$B$1000,Settings!$B$17)+IF(Settings!$B$19="",0,SUMIFS(INDEX('Oxford Economics'!$A$7:$AZ$1000,0,IFERROR(MATCH(AA$5,'Oxford Economics'!$A$6:$AZ$6,0),MATCH(AA$5&amp;"",'Oxford Economics'!$A$6:$AZ$6,0))),'Oxford Economics'!$A$7:$A$1000,$C112,'Oxford Economics'!$B$7:$B$1000,Settings!$B$19)))),""))</f>
        <v/>
      </c>
      <c r="AB112" s="38" t="str">
        <f aca="false">IF($A112="","",IFERROR(1/(1/IF($B112="Residential",SUMIFS(INDEX('Oxford Economics'!$A$7:$AZ$1000,0,IFERROR(MATCH(AB$5,'Oxford Economics'!$A$6:$AZ$6,0),MATCH(AB$5&amp;"",'Oxford Economics'!$A$6:$AZ$6,0))),'Oxford Economics'!$A$7:$A$1000,$C112,'Oxford Economics'!$B$7:$B$1000,Settings!$B$12)-SUMIFS(INDEX('Oxford Economics'!$A$7:$AZ$1000,0,IFERROR(MATCH(AB$5,'Oxford Economics'!$A$6:$AZ$6,0),MATCH(AB$5&amp;"",'Oxford Economics'!$A$6:$AZ$6,0))),'Oxford Economics'!$A$7:$A$1000,$C112,'Oxford Economics'!$B$7:$B$1000,Settings!$B$14),SUMIFS(INDEX('Oxford Economics'!$A$7:$AZ$1000,0,IFERROR(MATCH(AB$5,'Oxford Economics'!$A$6:$AZ$6,0),MATCH(AB$5&amp;"",'Oxford Economics'!$A$6:$AZ$6,0))),'Oxford Economics'!$A$7:$A$1000,$C112,'Oxford Economics'!$B$7:$B$1000,Settings!$B$14)+SUMIFS(INDEX('Oxford Economics'!$A$7:$AZ$1000,0,IFERROR(MATCH(AB$5,'Oxford Economics'!$A$6:$AZ$6,0),MATCH(AB$5&amp;"",'Oxford Economics'!$A$6:$AZ$6,0))),'Oxford Economics'!$A$7:$A$1000,$C112,'Oxford Economics'!$B$7:$B$1000,Settings!$B$16)+IF(Settings!$B$18="",0,SUMIFS(INDEX('Oxford Economics'!$A$7:$AZ$1000,0,IFERROR(MATCH(AB$5,'Oxford Economics'!$A$6:$AZ$6,0),MATCH(AB$5&amp;"",'Oxford Economics'!$A$6:$AZ$6,0))),'Oxford Economics'!$A$7:$A$1000,$C112,'Oxford Economics'!$B$7:$B$1000,Settings!$B$18)))),""))</f>
        <v/>
      </c>
      <c r="AC112" s="38" t="str">
        <f aca="false">IF($A112="","",IFERROR(1/(1/IF($B112="Residential",SUMIFS(INDEX('Oxford Economics'!$A$7:$AZ$1000,0,IFERROR(MATCH(AC$5,'Oxford Economics'!$A$6:$AZ$6,0),MATCH(AC$5&amp;"",'Oxford Economics'!$A$6:$AZ$6,0))),'Oxford Economics'!$A$7:$A$1000,$C112,'Oxford Economics'!$B$7:$B$1000,Settings!$B$12)-SUMIFS(INDEX('Oxford Economics'!$A$7:$AZ$1000,0,IFERROR(MATCH(AC$5,'Oxford Economics'!$A$6:$AZ$6,0),MATCH(AC$5&amp;"",'Oxford Economics'!$A$6:$AZ$6,0))),'Oxford Economics'!$A$7:$A$1000,$C112,'Oxford Economics'!$B$7:$B$1000,Settings!$B$14),SUMIFS(INDEX('Oxford Economics'!$A$7:$AZ$1000,0,IFERROR(MATCH(AC$5,'Oxford Economics'!$A$6:$AZ$6,0),MATCH(AC$5&amp;"",'Oxford Economics'!$A$6:$AZ$6,0))),'Oxford Economics'!$A$7:$A$1000,$C112,'Oxford Economics'!$B$7:$B$1000,Settings!$B$14)+SUMIFS(INDEX('Oxford Economics'!$A$7:$AZ$1000,0,IFERROR(MATCH(AC$5,'Oxford Economics'!$A$6:$AZ$6,0),MATCH(AC$5&amp;"",'Oxford Economics'!$A$6:$AZ$6,0))),'Oxford Economics'!$A$7:$A$1000,$C112,'Oxford Economics'!$B$7:$B$1000,Settings!$B$16)+IF(Settings!$B$18="",0,SUMIFS(INDEX('Oxford Economics'!$A$7:$AZ$1000,0,IFERROR(MATCH(AC$5,'Oxford Economics'!$A$6:$AZ$6,0),MATCH(AC$5&amp;"",'Oxford Economics'!$A$6:$AZ$6,0))),'Oxford Economics'!$A$7:$A$1000,$C112,'Oxford Economics'!$B$7:$B$1000,Settings!$B$18)))),""))</f>
        <v/>
      </c>
      <c r="AD112" s="38" t="str">
        <f aca="false">IF($A112="","",IFERROR(1/(1/IF($B112="Residential",SUMIFS(INDEX('Oxford Economics'!$A$7:$AZ$1000,0,IFERROR(MATCH(AD$5,'Oxford Economics'!$A$6:$AZ$6,0),MATCH(AD$5&amp;"",'Oxford Economics'!$A$6:$AZ$6,0))),'Oxford Economics'!$A$7:$A$1000,$C112,'Oxford Economics'!$B$7:$B$1000,Settings!$B$12)-SUMIFS(INDEX('Oxford Economics'!$A$7:$AZ$1000,0,IFERROR(MATCH(AD$5,'Oxford Economics'!$A$6:$AZ$6,0),MATCH(AD$5&amp;"",'Oxford Economics'!$A$6:$AZ$6,0))),'Oxford Economics'!$A$7:$A$1000,$C112,'Oxford Economics'!$B$7:$B$1000,Settings!$B$14),SUMIFS(INDEX('Oxford Economics'!$A$7:$AZ$1000,0,IFERROR(MATCH(AD$5,'Oxford Economics'!$A$6:$AZ$6,0),MATCH(AD$5&amp;"",'Oxford Economics'!$A$6:$AZ$6,0))),'Oxford Economics'!$A$7:$A$1000,$C112,'Oxford Economics'!$B$7:$B$1000,Settings!$B$14)+SUMIFS(INDEX('Oxford Economics'!$A$7:$AZ$1000,0,IFERROR(MATCH(AD$5,'Oxford Economics'!$A$6:$AZ$6,0),MATCH(AD$5&amp;"",'Oxford Economics'!$A$6:$AZ$6,0))),'Oxford Economics'!$A$7:$A$1000,$C112,'Oxford Economics'!$B$7:$B$1000,Settings!$B$16)+IF(Settings!$B$18="",0,SUMIFS(INDEX('Oxford Economics'!$A$7:$AZ$1000,0,IFERROR(MATCH(AD$5,'Oxford Economics'!$A$6:$AZ$6,0),MATCH(AD$5&amp;"",'Oxford Economics'!$A$6:$AZ$6,0))),'Oxford Economics'!$A$7:$A$1000,$C112,'Oxford Economics'!$B$7:$B$1000,Settings!$B$18)))),""))</f>
        <v/>
      </c>
      <c r="AE112" s="38" t="str">
        <f aca="false">IF($A112="","",IFERROR(1/(1/IF($B112="Residential",SUMIFS(INDEX('Oxford Economics'!$A$7:$AZ$1000,0,IFERROR(MATCH(AE$5,'Oxford Economics'!$A$6:$AZ$6,0),MATCH(AE$5&amp;"",'Oxford Economics'!$A$6:$AZ$6,0))),'Oxford Economics'!$A$7:$A$1000,$C112,'Oxford Economics'!$B$7:$B$1000,Settings!$B$12)-SUMIFS(INDEX('Oxford Economics'!$A$7:$AZ$1000,0,IFERROR(MATCH(AE$5,'Oxford Economics'!$A$6:$AZ$6,0),MATCH(AE$5&amp;"",'Oxford Economics'!$A$6:$AZ$6,0))),'Oxford Economics'!$A$7:$A$1000,$C112,'Oxford Economics'!$B$7:$B$1000,Settings!$B$14),SUMIFS(INDEX('Oxford Economics'!$A$7:$AZ$1000,0,IFERROR(MATCH(AE$5,'Oxford Economics'!$A$6:$AZ$6,0),MATCH(AE$5&amp;"",'Oxford Economics'!$A$6:$AZ$6,0))),'Oxford Economics'!$A$7:$A$1000,$C112,'Oxford Economics'!$B$7:$B$1000,Settings!$B$14)+SUMIFS(INDEX('Oxford Economics'!$A$7:$AZ$1000,0,IFERROR(MATCH(AE$5,'Oxford Economics'!$A$6:$AZ$6,0),MATCH(AE$5&amp;"",'Oxford Economics'!$A$6:$AZ$6,0))),'Oxford Economics'!$A$7:$A$1000,$C112,'Oxford Economics'!$B$7:$B$1000,Settings!$B$16)+IF(Settings!$B$18="",0,SUMIFS(INDEX('Oxford Economics'!$A$7:$AZ$1000,0,IFERROR(MATCH(AE$5,'Oxford Economics'!$A$6:$AZ$6,0),MATCH(AE$5&amp;"",'Oxford Economics'!$A$6:$AZ$6,0))),'Oxford Economics'!$A$7:$A$1000,$C112,'Oxford Economics'!$B$7:$B$1000,Settings!$B$18)))),""))</f>
        <v/>
      </c>
      <c r="AF112" s="38" t="str">
        <f aca="false">IF($A112="","",IFERROR(1/(1/IF($B112="Residential",SUMIFS(INDEX('Oxford Economics'!$A$7:$AZ$1000,0,IFERROR(MATCH(AF$5,'Oxford Economics'!$A$6:$AZ$6,0),MATCH(AF$5&amp;"",'Oxford Economics'!$A$6:$AZ$6,0))),'Oxford Economics'!$A$7:$A$1000,$C112,'Oxford Economics'!$B$7:$B$1000,Settings!$B$12)-SUMIFS(INDEX('Oxford Economics'!$A$7:$AZ$1000,0,IFERROR(MATCH(AF$5,'Oxford Economics'!$A$6:$AZ$6,0),MATCH(AF$5&amp;"",'Oxford Economics'!$A$6:$AZ$6,0))),'Oxford Economics'!$A$7:$A$1000,$C112,'Oxford Economics'!$B$7:$B$1000,Settings!$B$14),SUMIFS(INDEX('Oxford Economics'!$A$7:$AZ$1000,0,IFERROR(MATCH(AF$5,'Oxford Economics'!$A$6:$AZ$6,0),MATCH(AF$5&amp;"",'Oxford Economics'!$A$6:$AZ$6,0))),'Oxford Economics'!$A$7:$A$1000,$C112,'Oxford Economics'!$B$7:$B$1000,Settings!$B$14)+SUMIFS(INDEX('Oxford Economics'!$A$7:$AZ$1000,0,IFERROR(MATCH(AF$5,'Oxford Economics'!$A$6:$AZ$6,0),MATCH(AF$5&amp;"",'Oxford Economics'!$A$6:$AZ$6,0))),'Oxford Economics'!$A$7:$A$1000,$C112,'Oxford Economics'!$B$7:$B$1000,Settings!$B$16)+IF(Settings!$B$18="",0,SUMIFS(INDEX('Oxford Economics'!$A$7:$AZ$1000,0,IFERROR(MATCH(AF$5,'Oxford Economics'!$A$6:$AZ$6,0),MATCH(AF$5&amp;"",'Oxford Economics'!$A$6:$AZ$6,0))),'Oxford Economics'!$A$7:$A$1000,$C112,'Oxford Economics'!$B$7:$B$1000,Settings!$B$18)))),""))</f>
        <v/>
      </c>
      <c r="AG112" s="38" t="str">
        <f aca="false">IF($A112="","",IFERROR(1/(1/IF($B112="Residential",SUMIFS(INDEX('Oxford Economics'!$A$7:$AZ$1000,0,IFERROR(MATCH(AG$5,'Oxford Economics'!$A$6:$AZ$6,0),MATCH(AG$5&amp;"",'Oxford Economics'!$A$6:$AZ$6,0))),'Oxford Economics'!$A$7:$A$1000,$C112,'Oxford Economics'!$B$7:$B$1000,Settings!$B$12)-SUMIFS(INDEX('Oxford Economics'!$A$7:$AZ$1000,0,IFERROR(MATCH(AG$5,'Oxford Economics'!$A$6:$AZ$6,0),MATCH(AG$5&amp;"",'Oxford Economics'!$A$6:$AZ$6,0))),'Oxford Economics'!$A$7:$A$1000,$C112,'Oxford Economics'!$B$7:$B$1000,Settings!$B$14),SUMIFS(INDEX('Oxford Economics'!$A$7:$AZ$1000,0,IFERROR(MATCH(AG$5,'Oxford Economics'!$A$6:$AZ$6,0),MATCH(AG$5&amp;"",'Oxford Economics'!$A$6:$AZ$6,0))),'Oxford Economics'!$A$7:$A$1000,$C112,'Oxford Economics'!$B$7:$B$1000,Settings!$B$14)+SUMIFS(INDEX('Oxford Economics'!$A$7:$AZ$1000,0,IFERROR(MATCH(AG$5,'Oxford Economics'!$A$6:$AZ$6,0),MATCH(AG$5&amp;"",'Oxford Economics'!$A$6:$AZ$6,0))),'Oxford Economics'!$A$7:$A$1000,$C112,'Oxford Economics'!$B$7:$B$1000,Settings!$B$16)+IF(Settings!$B$18="",0,SUMIFS(INDEX('Oxford Economics'!$A$7:$AZ$1000,0,IFERROR(MATCH(AG$5,'Oxford Economics'!$A$6:$AZ$6,0),MATCH(AG$5&amp;"",'Oxford Economics'!$A$6:$AZ$6,0))),'Oxford Economics'!$A$7:$A$1000,$C112,'Oxford Economics'!$B$7:$B$1000,Settings!$B$18)))),""))</f>
        <v/>
      </c>
      <c r="AH112" s="38" t="str">
        <f aca="false">IF($A112="","",IFERROR(1/(1/IF($B112="Residential",SUMIFS(INDEX('Oxford Economics'!$A$7:$AZ$1000,0,IFERROR(MATCH(AH$5,'Oxford Economics'!$A$6:$AZ$6,0),MATCH(AH$5&amp;"",'Oxford Economics'!$A$6:$AZ$6,0))),'Oxford Economics'!$A$7:$A$1000,$C112,'Oxford Economics'!$B$7:$B$1000,Settings!$B$12)-SUMIFS(INDEX('Oxford Economics'!$A$7:$AZ$1000,0,IFERROR(MATCH(AH$5,'Oxford Economics'!$A$6:$AZ$6,0),MATCH(AH$5&amp;"",'Oxford Economics'!$A$6:$AZ$6,0))),'Oxford Economics'!$A$7:$A$1000,$C112,'Oxford Economics'!$B$7:$B$1000,Settings!$B$14),SUMIFS(INDEX('Oxford Economics'!$A$7:$AZ$1000,0,IFERROR(MATCH(AH$5,'Oxford Economics'!$A$6:$AZ$6,0),MATCH(AH$5&amp;"",'Oxford Economics'!$A$6:$AZ$6,0))),'Oxford Economics'!$A$7:$A$1000,$C112,'Oxford Economics'!$B$7:$B$1000,Settings!$B$14)+SUMIFS(INDEX('Oxford Economics'!$A$7:$AZ$1000,0,IFERROR(MATCH(AH$5,'Oxford Economics'!$A$6:$AZ$6,0),MATCH(AH$5&amp;"",'Oxford Economics'!$A$6:$AZ$6,0))),'Oxford Economics'!$A$7:$A$1000,$C112,'Oxford Economics'!$B$7:$B$1000,Settings!$B$16)+IF(Settings!$B$18="",0,SUMIFS(INDEX('Oxford Economics'!$A$7:$AZ$1000,0,IFERROR(MATCH(AH$5,'Oxford Economics'!$A$6:$AZ$6,0),MATCH(AH$5&amp;"",'Oxford Economics'!$A$6:$AZ$6,0))),'Oxford Economics'!$A$7:$A$1000,$C112,'Oxford Economics'!$B$7:$B$1000,Settings!$B$18)))),""))</f>
        <v/>
      </c>
      <c r="AI112" s="38" t="str">
        <f aca="false">IF($A112="","",IFERROR(1/(1/IF($B112="Residential",SUMIFS(INDEX('Oxford Economics'!$A$7:$AZ$1000,0,IFERROR(MATCH(AI$5,'Oxford Economics'!$A$6:$AZ$6,0),MATCH(AI$5&amp;"",'Oxford Economics'!$A$6:$AZ$6,0))),'Oxford Economics'!$A$7:$A$1000,$C112,'Oxford Economics'!$B$7:$B$1000,Settings!$B$12)-SUMIFS(INDEX('Oxford Economics'!$A$7:$AZ$1000,0,IFERROR(MATCH(AI$5,'Oxford Economics'!$A$6:$AZ$6,0),MATCH(AI$5&amp;"",'Oxford Economics'!$A$6:$AZ$6,0))),'Oxford Economics'!$A$7:$A$1000,$C112,'Oxford Economics'!$B$7:$B$1000,Settings!$B$14),SUMIFS(INDEX('Oxford Economics'!$A$7:$AZ$1000,0,IFERROR(MATCH(AI$5,'Oxford Economics'!$A$6:$AZ$6,0),MATCH(AI$5&amp;"",'Oxford Economics'!$A$6:$AZ$6,0))),'Oxford Economics'!$A$7:$A$1000,$C112,'Oxford Economics'!$B$7:$B$1000,Settings!$B$14)+SUMIFS(INDEX('Oxford Economics'!$A$7:$AZ$1000,0,IFERROR(MATCH(AI$5,'Oxford Economics'!$A$6:$AZ$6,0),MATCH(AI$5&amp;"",'Oxford Economics'!$A$6:$AZ$6,0))),'Oxford Economics'!$A$7:$A$1000,$C112,'Oxford Economics'!$B$7:$B$1000,Settings!$B$16)+IF(Settings!$B$18="",0,SUMIFS(INDEX('Oxford Economics'!$A$7:$AZ$1000,0,IFERROR(MATCH(AI$5,'Oxford Economics'!$A$6:$AZ$6,0),MATCH(AI$5&amp;"",'Oxford Economics'!$A$6:$AZ$6,0))),'Oxford Economics'!$A$7:$A$1000,$C112,'Oxford Economics'!$B$7:$B$1000,Settings!$B$18)))),""))</f>
        <v/>
      </c>
      <c r="AJ112" s="38" t="str">
        <f aca="false">IF($A112="","",IFERROR(1/(1/IF($B112="Residential",SUMIFS(INDEX('Oxford Economics'!$A$7:$AZ$1000,0,IFERROR(MATCH(AJ$5,'Oxford Economics'!$A$6:$AZ$6,0),MATCH(AJ$5&amp;"",'Oxford Economics'!$A$6:$AZ$6,0))),'Oxford Economics'!$A$7:$A$1000,$C112,'Oxford Economics'!$B$7:$B$1000,Settings!$B$12)-SUMIFS(INDEX('Oxford Economics'!$A$7:$AZ$1000,0,IFERROR(MATCH(AJ$5,'Oxford Economics'!$A$6:$AZ$6,0),MATCH(AJ$5&amp;"",'Oxford Economics'!$A$6:$AZ$6,0))),'Oxford Economics'!$A$7:$A$1000,$C112,'Oxford Economics'!$B$7:$B$1000,Settings!$B$14),SUMIFS(INDEX('Oxford Economics'!$A$7:$AZ$1000,0,IFERROR(MATCH(AJ$5,'Oxford Economics'!$A$6:$AZ$6,0),MATCH(AJ$5&amp;"",'Oxford Economics'!$A$6:$AZ$6,0))),'Oxford Economics'!$A$7:$A$1000,$C112,'Oxford Economics'!$B$7:$B$1000,Settings!$B$14)+SUMIFS(INDEX('Oxford Economics'!$A$7:$AZ$1000,0,IFERROR(MATCH(AJ$5,'Oxford Economics'!$A$6:$AZ$6,0),MATCH(AJ$5&amp;"",'Oxford Economics'!$A$6:$AZ$6,0))),'Oxford Economics'!$A$7:$A$1000,$C112,'Oxford Economics'!$B$7:$B$1000,Settings!$B$16)+IF(Settings!$B$18="",0,SUMIFS(INDEX('Oxford Economics'!$A$7:$AZ$1000,0,IFERROR(MATCH(AJ$5,'Oxford Economics'!$A$6:$AZ$6,0),MATCH(AJ$5&amp;"",'Oxford Economics'!$A$6:$AZ$6,0))),'Oxford Economics'!$A$7:$A$1000,$C112,'Oxford Economics'!$B$7:$B$1000,Settings!$B$18)))),""))</f>
        <v/>
      </c>
      <c r="AK112" s="38" t="str">
        <f aca="false">IF($A112="","",IFERROR(1/(1/IF($B112="Residential",SUMIFS(INDEX('Oxford Economics'!$A$7:$AZ$1000,0,IFERROR(MATCH(AK$5,'Oxford Economics'!$A$6:$AZ$6,0),MATCH(AK$5&amp;"",'Oxford Economics'!$A$6:$AZ$6,0))),'Oxford Economics'!$A$7:$A$1000,$C112,'Oxford Economics'!$B$7:$B$1000,Settings!$B$12)-SUMIFS(INDEX('Oxford Economics'!$A$7:$AZ$1000,0,IFERROR(MATCH(AK$5,'Oxford Economics'!$A$6:$AZ$6,0),MATCH(AK$5&amp;"",'Oxford Economics'!$A$6:$AZ$6,0))),'Oxford Economics'!$A$7:$A$1000,$C112,'Oxford Economics'!$B$7:$B$1000,Settings!$B$14),SUMIFS(INDEX('Oxford Economics'!$A$7:$AZ$1000,0,IFERROR(MATCH(AK$5,'Oxford Economics'!$A$6:$AZ$6,0),MATCH(AK$5&amp;"",'Oxford Economics'!$A$6:$AZ$6,0))),'Oxford Economics'!$A$7:$A$1000,$C112,'Oxford Economics'!$B$7:$B$1000,Settings!$B$14)+SUMIFS(INDEX('Oxford Economics'!$A$7:$AZ$1000,0,IFERROR(MATCH(AK$5,'Oxford Economics'!$A$6:$AZ$6,0),MATCH(AK$5&amp;"",'Oxford Economics'!$A$6:$AZ$6,0))),'Oxford Economics'!$A$7:$A$1000,$C112,'Oxford Economics'!$B$7:$B$1000,Settings!$B$16)+IF(Settings!$B$18="",0,SUMIFS(INDEX('Oxford Economics'!$A$7:$AZ$1000,0,IFERROR(MATCH(AK$5,'Oxford Economics'!$A$6:$AZ$6,0),MATCH(AK$5&amp;"",'Oxford Economics'!$A$6:$AZ$6,0))),'Oxford Economics'!$A$7:$A$1000,$C112,'Oxford Economics'!$B$7:$B$1000,Settings!$B$18)))),""))</f>
        <v/>
      </c>
      <c r="AL112" s="38" t="str">
        <f aca="false">IF($A112="","",IFERROR(1/(1/IF($B112="Residential",SUMIFS(INDEX('Oxford Economics'!$A$7:$AZ$1000,0,IFERROR(MATCH(AL$5,'Oxford Economics'!$A$6:$AZ$6,0),MATCH(AL$5&amp;"",'Oxford Economics'!$A$6:$AZ$6,0))),'Oxford Economics'!$A$7:$A$1000,$C112,'Oxford Economics'!$B$7:$B$1000,Settings!$B$12)-SUMIFS(INDEX('Oxford Economics'!$A$7:$AZ$1000,0,IFERROR(MATCH(AL$5,'Oxford Economics'!$A$6:$AZ$6,0),MATCH(AL$5&amp;"",'Oxford Economics'!$A$6:$AZ$6,0))),'Oxford Economics'!$A$7:$A$1000,$C112,'Oxford Economics'!$B$7:$B$1000,Settings!$B$14),SUMIFS(INDEX('Oxford Economics'!$A$7:$AZ$1000,0,IFERROR(MATCH(AL$5,'Oxford Economics'!$A$6:$AZ$6,0),MATCH(AL$5&amp;"",'Oxford Economics'!$A$6:$AZ$6,0))),'Oxford Economics'!$A$7:$A$1000,$C112,'Oxford Economics'!$B$7:$B$1000,Settings!$B$14)+SUMIFS(INDEX('Oxford Economics'!$A$7:$AZ$1000,0,IFERROR(MATCH(AL$5,'Oxford Economics'!$A$6:$AZ$6,0),MATCH(AL$5&amp;"",'Oxford Economics'!$A$6:$AZ$6,0))),'Oxford Economics'!$A$7:$A$1000,$C112,'Oxford Economics'!$B$7:$B$1000,Settings!$B$16)+IF(Settings!$B$18="",0,SUMIFS(INDEX('Oxford Economics'!$A$7:$AZ$1000,0,IFERROR(MATCH(AL$5,'Oxford Economics'!$A$6:$AZ$6,0),MATCH(AL$5&amp;"",'Oxford Economics'!$A$6:$AZ$6,0))),'Oxford Economics'!$A$7:$A$1000,$C112,'Oxford Economics'!$B$7:$B$1000,Settings!$B$18)))),""))</f>
        <v/>
      </c>
      <c r="AM112" s="38" t="str">
        <f aca="false">IF($A112="","",IFERROR(1/(1/IF($B112="Residential",SUMIFS(INDEX('Oxford Economics'!$A$7:$AZ$1000,0,IFERROR(MATCH(AM$5,'Oxford Economics'!$A$6:$AZ$6,0),MATCH(AM$5&amp;"",'Oxford Economics'!$A$6:$AZ$6,0))),'Oxford Economics'!$A$7:$A$1000,$C112,'Oxford Economics'!$B$7:$B$1000,Settings!$B$12)-SUMIFS(INDEX('Oxford Economics'!$A$7:$AZ$1000,0,IFERROR(MATCH(AM$5,'Oxford Economics'!$A$6:$AZ$6,0),MATCH(AM$5&amp;"",'Oxford Economics'!$A$6:$AZ$6,0))),'Oxford Economics'!$A$7:$A$1000,$C112,'Oxford Economics'!$B$7:$B$1000,Settings!$B$14),SUMIFS(INDEX('Oxford Economics'!$A$7:$AZ$1000,0,IFERROR(MATCH(AM$5,'Oxford Economics'!$A$6:$AZ$6,0),MATCH(AM$5&amp;"",'Oxford Economics'!$A$6:$AZ$6,0))),'Oxford Economics'!$A$7:$A$1000,$C112,'Oxford Economics'!$B$7:$B$1000,Settings!$B$14)+SUMIFS(INDEX('Oxford Economics'!$A$7:$AZ$1000,0,IFERROR(MATCH(AM$5,'Oxford Economics'!$A$6:$AZ$6,0),MATCH(AM$5&amp;"",'Oxford Economics'!$A$6:$AZ$6,0))),'Oxford Economics'!$A$7:$A$1000,$C112,'Oxford Economics'!$B$7:$B$1000,Settings!$B$16)+IF(Settings!$B$18="",0,SUMIFS(INDEX('Oxford Economics'!$A$7:$AZ$1000,0,IFERROR(MATCH(AM$5,'Oxford Economics'!$A$6:$AZ$6,0),MATCH(AM$5&amp;"",'Oxford Economics'!$A$6:$AZ$6,0))),'Oxford Economics'!$A$7:$A$1000,$C112,'Oxford Economics'!$B$7:$B$1000,Settings!$B$18)))),""))</f>
        <v/>
      </c>
    </row>
    <row r="113" customFormat="false" ht="15" hidden="false" customHeight="false" outlineLevel="0" collapsed="false">
      <c r="A113" s="37" t="str">
        <f aca="false">IF('Raw data'!$A113="","",'Raw data'!$A113)</f>
        <v/>
      </c>
      <c r="B113" s="37" t="str">
        <f aca="false">IF($A113="","",'Raw data'!$C113)</f>
        <v/>
      </c>
      <c r="C113" s="37" t="str">
        <f aca="false">IF($A113="","",IF('Raw data'!$E113="",$A113,'Raw data'!$E113))</f>
        <v/>
      </c>
      <c r="D113" s="38" t="str">
        <f aca="false">IF($A113="","",IF(AND(ISNUMBER(P113),ISNUMBER(AB113)),P113+AB113,""))</f>
        <v/>
      </c>
      <c r="E113" s="38" t="str">
        <f aca="false">IF($A113="","",IF(AND(ISNUMBER(Q113),ISNUMBER(AC113)),Q113+AC113,""))</f>
        <v/>
      </c>
      <c r="F113" s="38" t="str">
        <f aca="false">IF($A113="","",IF(AND(ISNUMBER(R113),ISNUMBER(AD113)),R113+AD113,""))</f>
        <v/>
      </c>
      <c r="G113" s="38" t="str">
        <f aca="false">IF($A113="","",IF(AND(ISNUMBER(S113),ISNUMBER(AE113)),S113+AE113,""))</f>
        <v/>
      </c>
      <c r="H113" s="38" t="str">
        <f aca="false">IF($A113="","",IF(AND(ISNUMBER(T113),ISNUMBER(AF113)),T113+AF113,""))</f>
        <v/>
      </c>
      <c r="I113" s="38" t="str">
        <f aca="false">IF($A113="","",IF(AND(ISNUMBER(U113),ISNUMBER(AG113)),U113+AG113,""))</f>
        <v/>
      </c>
      <c r="J113" s="38" t="str">
        <f aca="false">IF($A113="","",IF(AND(ISNUMBER(V113),ISNUMBER(AH113)),V113+AH113,""))</f>
        <v/>
      </c>
      <c r="K113" s="38" t="str">
        <f aca="false">IF($A113="","",IF(AND(ISNUMBER(W113),ISNUMBER(AI113)),W113+AI113,""))</f>
        <v/>
      </c>
      <c r="L113" s="38" t="str">
        <f aca="false">IF($A113="","",IF(AND(ISNUMBER(X113),ISNUMBER(AJ113)),X113+AJ113,""))</f>
        <v/>
      </c>
      <c r="M113" s="38" t="str">
        <f aca="false">IF($A113="","",IF(AND(ISNUMBER(Y113),ISNUMBER(AK113)),Y113+AK113,""))</f>
        <v/>
      </c>
      <c r="N113" s="38" t="str">
        <f aca="false">IF($A113="","",IF(AND(ISNUMBER(Z113),ISNUMBER(AL113)),Z113+AL113,""))</f>
        <v/>
      </c>
      <c r="O113" s="38" t="str">
        <f aca="false">IF($A113="","",IF(AND(ISNUMBER(AA113),ISNUMBER(AM113)),AA113+AM113,""))</f>
        <v/>
      </c>
      <c r="P113" s="38" t="str">
        <f aca="false">IF($A113="","",IFERROR(1/(1/IF($B113="Residential",SUMIFS(INDEX('Oxford Economics'!$A$7:$AZ$1000,0,IFERROR(MATCH(P$5,'Oxford Economics'!$A$6:$AZ$6,0),MATCH(P$5&amp;"",'Oxford Economics'!$A$6:$AZ$6,0))),'Oxford Economics'!$A$7:$A$1000,$C113,'Oxford Economics'!$B$7:$B$1000,Settings!$B$13)-SUMIFS(INDEX('Oxford Economics'!$A$7:$AZ$1000,0,IFERROR(MATCH(P$5,'Oxford Economics'!$A$6:$AZ$6,0),MATCH(P$5&amp;"",'Oxford Economics'!$A$6:$AZ$6,0))),'Oxford Economics'!$A$7:$A$1000,$C113,'Oxford Economics'!$B$7:$B$1000,Settings!$B$15),SUMIFS(INDEX('Oxford Economics'!$A$7:$AZ$1000,0,IFERROR(MATCH(P$5,'Oxford Economics'!$A$6:$AZ$6,0),MATCH(P$5&amp;"",'Oxford Economics'!$A$6:$AZ$6,0))),'Oxford Economics'!$A$7:$A$1000,$C113,'Oxford Economics'!$B$7:$B$1000,Settings!$B$15)+SUMIFS(INDEX('Oxford Economics'!$A$7:$AZ$1000,0,IFERROR(MATCH(P$5,'Oxford Economics'!$A$6:$AZ$6,0),MATCH(P$5&amp;"",'Oxford Economics'!$A$6:$AZ$6,0))),'Oxford Economics'!$A$7:$A$1000,$C113,'Oxford Economics'!$B$7:$B$1000,Settings!$B$17)+IF(Settings!$B$19="",0,SUMIFS(INDEX('Oxford Economics'!$A$7:$AZ$1000,0,IFERROR(MATCH(P$5,'Oxford Economics'!$A$6:$AZ$6,0),MATCH(P$5&amp;"",'Oxford Economics'!$A$6:$AZ$6,0))),'Oxford Economics'!$A$7:$A$1000,$C113,'Oxford Economics'!$B$7:$B$1000,Settings!$B$19)))),""))</f>
        <v/>
      </c>
      <c r="Q113" s="38" t="str">
        <f aca="false">IF($A113="","",IFERROR(1/(1/IF($B113="Residential",SUMIFS(INDEX('Oxford Economics'!$A$7:$AZ$1000,0,IFERROR(MATCH(Q$5,'Oxford Economics'!$A$6:$AZ$6,0),MATCH(Q$5&amp;"",'Oxford Economics'!$A$6:$AZ$6,0))),'Oxford Economics'!$A$7:$A$1000,$C113,'Oxford Economics'!$B$7:$B$1000,Settings!$B$13)-SUMIFS(INDEX('Oxford Economics'!$A$7:$AZ$1000,0,IFERROR(MATCH(Q$5,'Oxford Economics'!$A$6:$AZ$6,0),MATCH(Q$5&amp;"",'Oxford Economics'!$A$6:$AZ$6,0))),'Oxford Economics'!$A$7:$A$1000,$C113,'Oxford Economics'!$B$7:$B$1000,Settings!$B$15),SUMIFS(INDEX('Oxford Economics'!$A$7:$AZ$1000,0,IFERROR(MATCH(Q$5,'Oxford Economics'!$A$6:$AZ$6,0),MATCH(Q$5&amp;"",'Oxford Economics'!$A$6:$AZ$6,0))),'Oxford Economics'!$A$7:$A$1000,$C113,'Oxford Economics'!$B$7:$B$1000,Settings!$B$15)+SUMIFS(INDEX('Oxford Economics'!$A$7:$AZ$1000,0,IFERROR(MATCH(Q$5,'Oxford Economics'!$A$6:$AZ$6,0),MATCH(Q$5&amp;"",'Oxford Economics'!$A$6:$AZ$6,0))),'Oxford Economics'!$A$7:$A$1000,$C113,'Oxford Economics'!$B$7:$B$1000,Settings!$B$17)+IF(Settings!$B$19="",0,SUMIFS(INDEX('Oxford Economics'!$A$7:$AZ$1000,0,IFERROR(MATCH(Q$5,'Oxford Economics'!$A$6:$AZ$6,0),MATCH(Q$5&amp;"",'Oxford Economics'!$A$6:$AZ$6,0))),'Oxford Economics'!$A$7:$A$1000,$C113,'Oxford Economics'!$B$7:$B$1000,Settings!$B$19)))),""))</f>
        <v/>
      </c>
      <c r="R113" s="38" t="str">
        <f aca="false">IF($A113="","",IFERROR(1/(1/IF($B113="Residential",SUMIFS(INDEX('Oxford Economics'!$A$7:$AZ$1000,0,IFERROR(MATCH(R$5,'Oxford Economics'!$A$6:$AZ$6,0),MATCH(R$5&amp;"",'Oxford Economics'!$A$6:$AZ$6,0))),'Oxford Economics'!$A$7:$A$1000,$C113,'Oxford Economics'!$B$7:$B$1000,Settings!$B$13)-SUMIFS(INDEX('Oxford Economics'!$A$7:$AZ$1000,0,IFERROR(MATCH(R$5,'Oxford Economics'!$A$6:$AZ$6,0),MATCH(R$5&amp;"",'Oxford Economics'!$A$6:$AZ$6,0))),'Oxford Economics'!$A$7:$A$1000,$C113,'Oxford Economics'!$B$7:$B$1000,Settings!$B$15),SUMIFS(INDEX('Oxford Economics'!$A$7:$AZ$1000,0,IFERROR(MATCH(R$5,'Oxford Economics'!$A$6:$AZ$6,0),MATCH(R$5&amp;"",'Oxford Economics'!$A$6:$AZ$6,0))),'Oxford Economics'!$A$7:$A$1000,$C113,'Oxford Economics'!$B$7:$B$1000,Settings!$B$15)+SUMIFS(INDEX('Oxford Economics'!$A$7:$AZ$1000,0,IFERROR(MATCH(R$5,'Oxford Economics'!$A$6:$AZ$6,0),MATCH(R$5&amp;"",'Oxford Economics'!$A$6:$AZ$6,0))),'Oxford Economics'!$A$7:$A$1000,$C113,'Oxford Economics'!$B$7:$B$1000,Settings!$B$17)+IF(Settings!$B$19="",0,SUMIFS(INDEX('Oxford Economics'!$A$7:$AZ$1000,0,IFERROR(MATCH(R$5,'Oxford Economics'!$A$6:$AZ$6,0),MATCH(R$5&amp;"",'Oxford Economics'!$A$6:$AZ$6,0))),'Oxford Economics'!$A$7:$A$1000,$C113,'Oxford Economics'!$B$7:$B$1000,Settings!$B$19)))),""))</f>
        <v/>
      </c>
      <c r="S113" s="38" t="str">
        <f aca="false">IF($A113="","",IFERROR(1/(1/IF($B113="Residential",SUMIFS(INDEX('Oxford Economics'!$A$7:$AZ$1000,0,IFERROR(MATCH(S$5,'Oxford Economics'!$A$6:$AZ$6,0),MATCH(S$5&amp;"",'Oxford Economics'!$A$6:$AZ$6,0))),'Oxford Economics'!$A$7:$A$1000,$C113,'Oxford Economics'!$B$7:$B$1000,Settings!$B$13)-SUMIFS(INDEX('Oxford Economics'!$A$7:$AZ$1000,0,IFERROR(MATCH(S$5,'Oxford Economics'!$A$6:$AZ$6,0),MATCH(S$5&amp;"",'Oxford Economics'!$A$6:$AZ$6,0))),'Oxford Economics'!$A$7:$A$1000,$C113,'Oxford Economics'!$B$7:$B$1000,Settings!$B$15),SUMIFS(INDEX('Oxford Economics'!$A$7:$AZ$1000,0,IFERROR(MATCH(S$5,'Oxford Economics'!$A$6:$AZ$6,0),MATCH(S$5&amp;"",'Oxford Economics'!$A$6:$AZ$6,0))),'Oxford Economics'!$A$7:$A$1000,$C113,'Oxford Economics'!$B$7:$B$1000,Settings!$B$15)+SUMIFS(INDEX('Oxford Economics'!$A$7:$AZ$1000,0,IFERROR(MATCH(S$5,'Oxford Economics'!$A$6:$AZ$6,0),MATCH(S$5&amp;"",'Oxford Economics'!$A$6:$AZ$6,0))),'Oxford Economics'!$A$7:$A$1000,$C113,'Oxford Economics'!$B$7:$B$1000,Settings!$B$17)+IF(Settings!$B$19="",0,SUMIFS(INDEX('Oxford Economics'!$A$7:$AZ$1000,0,IFERROR(MATCH(S$5,'Oxford Economics'!$A$6:$AZ$6,0),MATCH(S$5&amp;"",'Oxford Economics'!$A$6:$AZ$6,0))),'Oxford Economics'!$A$7:$A$1000,$C113,'Oxford Economics'!$B$7:$B$1000,Settings!$B$19)))),""))</f>
        <v/>
      </c>
      <c r="T113" s="38" t="str">
        <f aca="false">IF($A113="","",IFERROR(1/(1/IF($B113="Residential",SUMIFS(INDEX('Oxford Economics'!$A$7:$AZ$1000,0,IFERROR(MATCH(T$5,'Oxford Economics'!$A$6:$AZ$6,0),MATCH(T$5&amp;"",'Oxford Economics'!$A$6:$AZ$6,0))),'Oxford Economics'!$A$7:$A$1000,$C113,'Oxford Economics'!$B$7:$B$1000,Settings!$B$13)-SUMIFS(INDEX('Oxford Economics'!$A$7:$AZ$1000,0,IFERROR(MATCH(T$5,'Oxford Economics'!$A$6:$AZ$6,0),MATCH(T$5&amp;"",'Oxford Economics'!$A$6:$AZ$6,0))),'Oxford Economics'!$A$7:$A$1000,$C113,'Oxford Economics'!$B$7:$B$1000,Settings!$B$15),SUMIFS(INDEX('Oxford Economics'!$A$7:$AZ$1000,0,IFERROR(MATCH(T$5,'Oxford Economics'!$A$6:$AZ$6,0),MATCH(T$5&amp;"",'Oxford Economics'!$A$6:$AZ$6,0))),'Oxford Economics'!$A$7:$A$1000,$C113,'Oxford Economics'!$B$7:$B$1000,Settings!$B$15)+SUMIFS(INDEX('Oxford Economics'!$A$7:$AZ$1000,0,IFERROR(MATCH(T$5,'Oxford Economics'!$A$6:$AZ$6,0),MATCH(T$5&amp;"",'Oxford Economics'!$A$6:$AZ$6,0))),'Oxford Economics'!$A$7:$A$1000,$C113,'Oxford Economics'!$B$7:$B$1000,Settings!$B$17)+IF(Settings!$B$19="",0,SUMIFS(INDEX('Oxford Economics'!$A$7:$AZ$1000,0,IFERROR(MATCH(T$5,'Oxford Economics'!$A$6:$AZ$6,0),MATCH(T$5&amp;"",'Oxford Economics'!$A$6:$AZ$6,0))),'Oxford Economics'!$A$7:$A$1000,$C113,'Oxford Economics'!$B$7:$B$1000,Settings!$B$19)))),""))</f>
        <v/>
      </c>
      <c r="U113" s="38" t="str">
        <f aca="false">IF($A113="","",IFERROR(1/(1/IF($B113="Residential",SUMIFS(INDEX('Oxford Economics'!$A$7:$AZ$1000,0,IFERROR(MATCH(U$5,'Oxford Economics'!$A$6:$AZ$6,0),MATCH(U$5&amp;"",'Oxford Economics'!$A$6:$AZ$6,0))),'Oxford Economics'!$A$7:$A$1000,$C113,'Oxford Economics'!$B$7:$B$1000,Settings!$B$13)-SUMIFS(INDEX('Oxford Economics'!$A$7:$AZ$1000,0,IFERROR(MATCH(U$5,'Oxford Economics'!$A$6:$AZ$6,0),MATCH(U$5&amp;"",'Oxford Economics'!$A$6:$AZ$6,0))),'Oxford Economics'!$A$7:$A$1000,$C113,'Oxford Economics'!$B$7:$B$1000,Settings!$B$15),SUMIFS(INDEX('Oxford Economics'!$A$7:$AZ$1000,0,IFERROR(MATCH(U$5,'Oxford Economics'!$A$6:$AZ$6,0),MATCH(U$5&amp;"",'Oxford Economics'!$A$6:$AZ$6,0))),'Oxford Economics'!$A$7:$A$1000,$C113,'Oxford Economics'!$B$7:$B$1000,Settings!$B$15)+SUMIFS(INDEX('Oxford Economics'!$A$7:$AZ$1000,0,IFERROR(MATCH(U$5,'Oxford Economics'!$A$6:$AZ$6,0),MATCH(U$5&amp;"",'Oxford Economics'!$A$6:$AZ$6,0))),'Oxford Economics'!$A$7:$A$1000,$C113,'Oxford Economics'!$B$7:$B$1000,Settings!$B$17)+IF(Settings!$B$19="",0,SUMIFS(INDEX('Oxford Economics'!$A$7:$AZ$1000,0,IFERROR(MATCH(U$5,'Oxford Economics'!$A$6:$AZ$6,0),MATCH(U$5&amp;"",'Oxford Economics'!$A$6:$AZ$6,0))),'Oxford Economics'!$A$7:$A$1000,$C113,'Oxford Economics'!$B$7:$B$1000,Settings!$B$19)))),""))</f>
        <v/>
      </c>
      <c r="V113" s="38" t="str">
        <f aca="false">IF($A113="","",IFERROR(1/(1/IF($B113="Residential",SUMIFS(INDEX('Oxford Economics'!$A$7:$AZ$1000,0,IFERROR(MATCH(V$5,'Oxford Economics'!$A$6:$AZ$6,0),MATCH(V$5&amp;"",'Oxford Economics'!$A$6:$AZ$6,0))),'Oxford Economics'!$A$7:$A$1000,$C113,'Oxford Economics'!$B$7:$B$1000,Settings!$B$13)-SUMIFS(INDEX('Oxford Economics'!$A$7:$AZ$1000,0,IFERROR(MATCH(V$5,'Oxford Economics'!$A$6:$AZ$6,0),MATCH(V$5&amp;"",'Oxford Economics'!$A$6:$AZ$6,0))),'Oxford Economics'!$A$7:$A$1000,$C113,'Oxford Economics'!$B$7:$B$1000,Settings!$B$15),SUMIFS(INDEX('Oxford Economics'!$A$7:$AZ$1000,0,IFERROR(MATCH(V$5,'Oxford Economics'!$A$6:$AZ$6,0),MATCH(V$5&amp;"",'Oxford Economics'!$A$6:$AZ$6,0))),'Oxford Economics'!$A$7:$A$1000,$C113,'Oxford Economics'!$B$7:$B$1000,Settings!$B$15)+SUMIFS(INDEX('Oxford Economics'!$A$7:$AZ$1000,0,IFERROR(MATCH(V$5,'Oxford Economics'!$A$6:$AZ$6,0),MATCH(V$5&amp;"",'Oxford Economics'!$A$6:$AZ$6,0))),'Oxford Economics'!$A$7:$A$1000,$C113,'Oxford Economics'!$B$7:$B$1000,Settings!$B$17)+IF(Settings!$B$19="",0,SUMIFS(INDEX('Oxford Economics'!$A$7:$AZ$1000,0,IFERROR(MATCH(V$5,'Oxford Economics'!$A$6:$AZ$6,0),MATCH(V$5&amp;"",'Oxford Economics'!$A$6:$AZ$6,0))),'Oxford Economics'!$A$7:$A$1000,$C113,'Oxford Economics'!$B$7:$B$1000,Settings!$B$19)))),""))</f>
        <v/>
      </c>
      <c r="W113" s="38" t="str">
        <f aca="false">IF($A113="","",IFERROR(1/(1/IF($B113="Residential",SUMIFS(INDEX('Oxford Economics'!$A$7:$AZ$1000,0,IFERROR(MATCH(W$5,'Oxford Economics'!$A$6:$AZ$6,0),MATCH(W$5&amp;"",'Oxford Economics'!$A$6:$AZ$6,0))),'Oxford Economics'!$A$7:$A$1000,$C113,'Oxford Economics'!$B$7:$B$1000,Settings!$B$13)-SUMIFS(INDEX('Oxford Economics'!$A$7:$AZ$1000,0,IFERROR(MATCH(W$5,'Oxford Economics'!$A$6:$AZ$6,0),MATCH(W$5&amp;"",'Oxford Economics'!$A$6:$AZ$6,0))),'Oxford Economics'!$A$7:$A$1000,$C113,'Oxford Economics'!$B$7:$B$1000,Settings!$B$15),SUMIFS(INDEX('Oxford Economics'!$A$7:$AZ$1000,0,IFERROR(MATCH(W$5,'Oxford Economics'!$A$6:$AZ$6,0),MATCH(W$5&amp;"",'Oxford Economics'!$A$6:$AZ$6,0))),'Oxford Economics'!$A$7:$A$1000,$C113,'Oxford Economics'!$B$7:$B$1000,Settings!$B$15)+SUMIFS(INDEX('Oxford Economics'!$A$7:$AZ$1000,0,IFERROR(MATCH(W$5,'Oxford Economics'!$A$6:$AZ$6,0),MATCH(W$5&amp;"",'Oxford Economics'!$A$6:$AZ$6,0))),'Oxford Economics'!$A$7:$A$1000,$C113,'Oxford Economics'!$B$7:$B$1000,Settings!$B$17)+IF(Settings!$B$19="",0,SUMIFS(INDEX('Oxford Economics'!$A$7:$AZ$1000,0,IFERROR(MATCH(W$5,'Oxford Economics'!$A$6:$AZ$6,0),MATCH(W$5&amp;"",'Oxford Economics'!$A$6:$AZ$6,0))),'Oxford Economics'!$A$7:$A$1000,$C113,'Oxford Economics'!$B$7:$B$1000,Settings!$B$19)))),""))</f>
        <v/>
      </c>
      <c r="X113" s="38" t="str">
        <f aca="false">IF($A113="","",IFERROR(1/(1/IF($B113="Residential",SUMIFS(INDEX('Oxford Economics'!$A$7:$AZ$1000,0,IFERROR(MATCH(X$5,'Oxford Economics'!$A$6:$AZ$6,0),MATCH(X$5&amp;"",'Oxford Economics'!$A$6:$AZ$6,0))),'Oxford Economics'!$A$7:$A$1000,$C113,'Oxford Economics'!$B$7:$B$1000,Settings!$B$13)-SUMIFS(INDEX('Oxford Economics'!$A$7:$AZ$1000,0,IFERROR(MATCH(X$5,'Oxford Economics'!$A$6:$AZ$6,0),MATCH(X$5&amp;"",'Oxford Economics'!$A$6:$AZ$6,0))),'Oxford Economics'!$A$7:$A$1000,$C113,'Oxford Economics'!$B$7:$B$1000,Settings!$B$15),SUMIFS(INDEX('Oxford Economics'!$A$7:$AZ$1000,0,IFERROR(MATCH(X$5,'Oxford Economics'!$A$6:$AZ$6,0),MATCH(X$5&amp;"",'Oxford Economics'!$A$6:$AZ$6,0))),'Oxford Economics'!$A$7:$A$1000,$C113,'Oxford Economics'!$B$7:$B$1000,Settings!$B$15)+SUMIFS(INDEX('Oxford Economics'!$A$7:$AZ$1000,0,IFERROR(MATCH(X$5,'Oxford Economics'!$A$6:$AZ$6,0),MATCH(X$5&amp;"",'Oxford Economics'!$A$6:$AZ$6,0))),'Oxford Economics'!$A$7:$A$1000,$C113,'Oxford Economics'!$B$7:$B$1000,Settings!$B$17)+IF(Settings!$B$19="",0,SUMIFS(INDEX('Oxford Economics'!$A$7:$AZ$1000,0,IFERROR(MATCH(X$5,'Oxford Economics'!$A$6:$AZ$6,0),MATCH(X$5&amp;"",'Oxford Economics'!$A$6:$AZ$6,0))),'Oxford Economics'!$A$7:$A$1000,$C113,'Oxford Economics'!$B$7:$B$1000,Settings!$B$19)))),""))</f>
        <v/>
      </c>
      <c r="Y113" s="38" t="str">
        <f aca="false">IF($A113="","",IFERROR(1/(1/IF($B113="Residential",SUMIFS(INDEX('Oxford Economics'!$A$7:$AZ$1000,0,IFERROR(MATCH(Y$5,'Oxford Economics'!$A$6:$AZ$6,0),MATCH(Y$5&amp;"",'Oxford Economics'!$A$6:$AZ$6,0))),'Oxford Economics'!$A$7:$A$1000,$C113,'Oxford Economics'!$B$7:$B$1000,Settings!$B$13)-SUMIFS(INDEX('Oxford Economics'!$A$7:$AZ$1000,0,IFERROR(MATCH(Y$5,'Oxford Economics'!$A$6:$AZ$6,0),MATCH(Y$5&amp;"",'Oxford Economics'!$A$6:$AZ$6,0))),'Oxford Economics'!$A$7:$A$1000,$C113,'Oxford Economics'!$B$7:$B$1000,Settings!$B$15),SUMIFS(INDEX('Oxford Economics'!$A$7:$AZ$1000,0,IFERROR(MATCH(Y$5,'Oxford Economics'!$A$6:$AZ$6,0),MATCH(Y$5&amp;"",'Oxford Economics'!$A$6:$AZ$6,0))),'Oxford Economics'!$A$7:$A$1000,$C113,'Oxford Economics'!$B$7:$B$1000,Settings!$B$15)+SUMIFS(INDEX('Oxford Economics'!$A$7:$AZ$1000,0,IFERROR(MATCH(Y$5,'Oxford Economics'!$A$6:$AZ$6,0),MATCH(Y$5&amp;"",'Oxford Economics'!$A$6:$AZ$6,0))),'Oxford Economics'!$A$7:$A$1000,$C113,'Oxford Economics'!$B$7:$B$1000,Settings!$B$17)+IF(Settings!$B$19="",0,SUMIFS(INDEX('Oxford Economics'!$A$7:$AZ$1000,0,IFERROR(MATCH(Y$5,'Oxford Economics'!$A$6:$AZ$6,0),MATCH(Y$5&amp;"",'Oxford Economics'!$A$6:$AZ$6,0))),'Oxford Economics'!$A$7:$A$1000,$C113,'Oxford Economics'!$B$7:$B$1000,Settings!$B$19)))),""))</f>
        <v/>
      </c>
      <c r="Z113" s="38" t="str">
        <f aca="false">IF($A113="","",IFERROR(1/(1/IF($B113="Residential",SUMIFS(INDEX('Oxford Economics'!$A$7:$AZ$1000,0,IFERROR(MATCH(Z$5,'Oxford Economics'!$A$6:$AZ$6,0),MATCH(Z$5&amp;"",'Oxford Economics'!$A$6:$AZ$6,0))),'Oxford Economics'!$A$7:$A$1000,$C113,'Oxford Economics'!$B$7:$B$1000,Settings!$B$13)-SUMIFS(INDEX('Oxford Economics'!$A$7:$AZ$1000,0,IFERROR(MATCH(Z$5,'Oxford Economics'!$A$6:$AZ$6,0),MATCH(Z$5&amp;"",'Oxford Economics'!$A$6:$AZ$6,0))),'Oxford Economics'!$A$7:$A$1000,$C113,'Oxford Economics'!$B$7:$B$1000,Settings!$B$15),SUMIFS(INDEX('Oxford Economics'!$A$7:$AZ$1000,0,IFERROR(MATCH(Z$5,'Oxford Economics'!$A$6:$AZ$6,0),MATCH(Z$5&amp;"",'Oxford Economics'!$A$6:$AZ$6,0))),'Oxford Economics'!$A$7:$A$1000,$C113,'Oxford Economics'!$B$7:$B$1000,Settings!$B$15)+SUMIFS(INDEX('Oxford Economics'!$A$7:$AZ$1000,0,IFERROR(MATCH(Z$5,'Oxford Economics'!$A$6:$AZ$6,0),MATCH(Z$5&amp;"",'Oxford Economics'!$A$6:$AZ$6,0))),'Oxford Economics'!$A$7:$A$1000,$C113,'Oxford Economics'!$B$7:$B$1000,Settings!$B$17)+IF(Settings!$B$19="",0,SUMIFS(INDEX('Oxford Economics'!$A$7:$AZ$1000,0,IFERROR(MATCH(Z$5,'Oxford Economics'!$A$6:$AZ$6,0),MATCH(Z$5&amp;"",'Oxford Economics'!$A$6:$AZ$6,0))),'Oxford Economics'!$A$7:$A$1000,$C113,'Oxford Economics'!$B$7:$B$1000,Settings!$B$19)))),""))</f>
        <v/>
      </c>
      <c r="AA113" s="38" t="str">
        <f aca="false">IF($A113="","",IFERROR(1/(1/IF($B113="Residential",SUMIFS(INDEX('Oxford Economics'!$A$7:$AZ$1000,0,IFERROR(MATCH(AA$5,'Oxford Economics'!$A$6:$AZ$6,0),MATCH(AA$5&amp;"",'Oxford Economics'!$A$6:$AZ$6,0))),'Oxford Economics'!$A$7:$A$1000,$C113,'Oxford Economics'!$B$7:$B$1000,Settings!$B$13)-SUMIFS(INDEX('Oxford Economics'!$A$7:$AZ$1000,0,IFERROR(MATCH(AA$5,'Oxford Economics'!$A$6:$AZ$6,0),MATCH(AA$5&amp;"",'Oxford Economics'!$A$6:$AZ$6,0))),'Oxford Economics'!$A$7:$A$1000,$C113,'Oxford Economics'!$B$7:$B$1000,Settings!$B$15),SUMIFS(INDEX('Oxford Economics'!$A$7:$AZ$1000,0,IFERROR(MATCH(AA$5,'Oxford Economics'!$A$6:$AZ$6,0),MATCH(AA$5&amp;"",'Oxford Economics'!$A$6:$AZ$6,0))),'Oxford Economics'!$A$7:$A$1000,$C113,'Oxford Economics'!$B$7:$B$1000,Settings!$B$15)+SUMIFS(INDEX('Oxford Economics'!$A$7:$AZ$1000,0,IFERROR(MATCH(AA$5,'Oxford Economics'!$A$6:$AZ$6,0),MATCH(AA$5&amp;"",'Oxford Economics'!$A$6:$AZ$6,0))),'Oxford Economics'!$A$7:$A$1000,$C113,'Oxford Economics'!$B$7:$B$1000,Settings!$B$17)+IF(Settings!$B$19="",0,SUMIFS(INDEX('Oxford Economics'!$A$7:$AZ$1000,0,IFERROR(MATCH(AA$5,'Oxford Economics'!$A$6:$AZ$6,0),MATCH(AA$5&amp;"",'Oxford Economics'!$A$6:$AZ$6,0))),'Oxford Economics'!$A$7:$A$1000,$C113,'Oxford Economics'!$B$7:$B$1000,Settings!$B$19)))),""))</f>
        <v/>
      </c>
      <c r="AB113" s="38" t="str">
        <f aca="false">IF($A113="","",IFERROR(1/(1/IF($B113="Residential",SUMIFS(INDEX('Oxford Economics'!$A$7:$AZ$1000,0,IFERROR(MATCH(AB$5,'Oxford Economics'!$A$6:$AZ$6,0),MATCH(AB$5&amp;"",'Oxford Economics'!$A$6:$AZ$6,0))),'Oxford Economics'!$A$7:$A$1000,$C113,'Oxford Economics'!$B$7:$B$1000,Settings!$B$12)-SUMIFS(INDEX('Oxford Economics'!$A$7:$AZ$1000,0,IFERROR(MATCH(AB$5,'Oxford Economics'!$A$6:$AZ$6,0),MATCH(AB$5&amp;"",'Oxford Economics'!$A$6:$AZ$6,0))),'Oxford Economics'!$A$7:$A$1000,$C113,'Oxford Economics'!$B$7:$B$1000,Settings!$B$14),SUMIFS(INDEX('Oxford Economics'!$A$7:$AZ$1000,0,IFERROR(MATCH(AB$5,'Oxford Economics'!$A$6:$AZ$6,0),MATCH(AB$5&amp;"",'Oxford Economics'!$A$6:$AZ$6,0))),'Oxford Economics'!$A$7:$A$1000,$C113,'Oxford Economics'!$B$7:$B$1000,Settings!$B$14)+SUMIFS(INDEX('Oxford Economics'!$A$7:$AZ$1000,0,IFERROR(MATCH(AB$5,'Oxford Economics'!$A$6:$AZ$6,0),MATCH(AB$5&amp;"",'Oxford Economics'!$A$6:$AZ$6,0))),'Oxford Economics'!$A$7:$A$1000,$C113,'Oxford Economics'!$B$7:$B$1000,Settings!$B$16)+IF(Settings!$B$18="",0,SUMIFS(INDEX('Oxford Economics'!$A$7:$AZ$1000,0,IFERROR(MATCH(AB$5,'Oxford Economics'!$A$6:$AZ$6,0),MATCH(AB$5&amp;"",'Oxford Economics'!$A$6:$AZ$6,0))),'Oxford Economics'!$A$7:$A$1000,$C113,'Oxford Economics'!$B$7:$B$1000,Settings!$B$18)))),""))</f>
        <v/>
      </c>
      <c r="AC113" s="38" t="str">
        <f aca="false">IF($A113="","",IFERROR(1/(1/IF($B113="Residential",SUMIFS(INDEX('Oxford Economics'!$A$7:$AZ$1000,0,IFERROR(MATCH(AC$5,'Oxford Economics'!$A$6:$AZ$6,0),MATCH(AC$5&amp;"",'Oxford Economics'!$A$6:$AZ$6,0))),'Oxford Economics'!$A$7:$A$1000,$C113,'Oxford Economics'!$B$7:$B$1000,Settings!$B$12)-SUMIFS(INDEX('Oxford Economics'!$A$7:$AZ$1000,0,IFERROR(MATCH(AC$5,'Oxford Economics'!$A$6:$AZ$6,0),MATCH(AC$5&amp;"",'Oxford Economics'!$A$6:$AZ$6,0))),'Oxford Economics'!$A$7:$A$1000,$C113,'Oxford Economics'!$B$7:$B$1000,Settings!$B$14),SUMIFS(INDEX('Oxford Economics'!$A$7:$AZ$1000,0,IFERROR(MATCH(AC$5,'Oxford Economics'!$A$6:$AZ$6,0),MATCH(AC$5&amp;"",'Oxford Economics'!$A$6:$AZ$6,0))),'Oxford Economics'!$A$7:$A$1000,$C113,'Oxford Economics'!$B$7:$B$1000,Settings!$B$14)+SUMIFS(INDEX('Oxford Economics'!$A$7:$AZ$1000,0,IFERROR(MATCH(AC$5,'Oxford Economics'!$A$6:$AZ$6,0),MATCH(AC$5&amp;"",'Oxford Economics'!$A$6:$AZ$6,0))),'Oxford Economics'!$A$7:$A$1000,$C113,'Oxford Economics'!$B$7:$B$1000,Settings!$B$16)+IF(Settings!$B$18="",0,SUMIFS(INDEX('Oxford Economics'!$A$7:$AZ$1000,0,IFERROR(MATCH(AC$5,'Oxford Economics'!$A$6:$AZ$6,0),MATCH(AC$5&amp;"",'Oxford Economics'!$A$6:$AZ$6,0))),'Oxford Economics'!$A$7:$A$1000,$C113,'Oxford Economics'!$B$7:$B$1000,Settings!$B$18)))),""))</f>
        <v/>
      </c>
      <c r="AD113" s="38" t="str">
        <f aca="false">IF($A113="","",IFERROR(1/(1/IF($B113="Residential",SUMIFS(INDEX('Oxford Economics'!$A$7:$AZ$1000,0,IFERROR(MATCH(AD$5,'Oxford Economics'!$A$6:$AZ$6,0),MATCH(AD$5&amp;"",'Oxford Economics'!$A$6:$AZ$6,0))),'Oxford Economics'!$A$7:$A$1000,$C113,'Oxford Economics'!$B$7:$B$1000,Settings!$B$12)-SUMIFS(INDEX('Oxford Economics'!$A$7:$AZ$1000,0,IFERROR(MATCH(AD$5,'Oxford Economics'!$A$6:$AZ$6,0),MATCH(AD$5&amp;"",'Oxford Economics'!$A$6:$AZ$6,0))),'Oxford Economics'!$A$7:$A$1000,$C113,'Oxford Economics'!$B$7:$B$1000,Settings!$B$14),SUMIFS(INDEX('Oxford Economics'!$A$7:$AZ$1000,0,IFERROR(MATCH(AD$5,'Oxford Economics'!$A$6:$AZ$6,0),MATCH(AD$5&amp;"",'Oxford Economics'!$A$6:$AZ$6,0))),'Oxford Economics'!$A$7:$A$1000,$C113,'Oxford Economics'!$B$7:$B$1000,Settings!$B$14)+SUMIFS(INDEX('Oxford Economics'!$A$7:$AZ$1000,0,IFERROR(MATCH(AD$5,'Oxford Economics'!$A$6:$AZ$6,0),MATCH(AD$5&amp;"",'Oxford Economics'!$A$6:$AZ$6,0))),'Oxford Economics'!$A$7:$A$1000,$C113,'Oxford Economics'!$B$7:$B$1000,Settings!$B$16)+IF(Settings!$B$18="",0,SUMIFS(INDEX('Oxford Economics'!$A$7:$AZ$1000,0,IFERROR(MATCH(AD$5,'Oxford Economics'!$A$6:$AZ$6,0),MATCH(AD$5&amp;"",'Oxford Economics'!$A$6:$AZ$6,0))),'Oxford Economics'!$A$7:$A$1000,$C113,'Oxford Economics'!$B$7:$B$1000,Settings!$B$18)))),""))</f>
        <v/>
      </c>
      <c r="AE113" s="38" t="str">
        <f aca="false">IF($A113="","",IFERROR(1/(1/IF($B113="Residential",SUMIFS(INDEX('Oxford Economics'!$A$7:$AZ$1000,0,IFERROR(MATCH(AE$5,'Oxford Economics'!$A$6:$AZ$6,0),MATCH(AE$5&amp;"",'Oxford Economics'!$A$6:$AZ$6,0))),'Oxford Economics'!$A$7:$A$1000,$C113,'Oxford Economics'!$B$7:$B$1000,Settings!$B$12)-SUMIFS(INDEX('Oxford Economics'!$A$7:$AZ$1000,0,IFERROR(MATCH(AE$5,'Oxford Economics'!$A$6:$AZ$6,0),MATCH(AE$5&amp;"",'Oxford Economics'!$A$6:$AZ$6,0))),'Oxford Economics'!$A$7:$A$1000,$C113,'Oxford Economics'!$B$7:$B$1000,Settings!$B$14),SUMIFS(INDEX('Oxford Economics'!$A$7:$AZ$1000,0,IFERROR(MATCH(AE$5,'Oxford Economics'!$A$6:$AZ$6,0),MATCH(AE$5&amp;"",'Oxford Economics'!$A$6:$AZ$6,0))),'Oxford Economics'!$A$7:$A$1000,$C113,'Oxford Economics'!$B$7:$B$1000,Settings!$B$14)+SUMIFS(INDEX('Oxford Economics'!$A$7:$AZ$1000,0,IFERROR(MATCH(AE$5,'Oxford Economics'!$A$6:$AZ$6,0),MATCH(AE$5&amp;"",'Oxford Economics'!$A$6:$AZ$6,0))),'Oxford Economics'!$A$7:$A$1000,$C113,'Oxford Economics'!$B$7:$B$1000,Settings!$B$16)+IF(Settings!$B$18="",0,SUMIFS(INDEX('Oxford Economics'!$A$7:$AZ$1000,0,IFERROR(MATCH(AE$5,'Oxford Economics'!$A$6:$AZ$6,0),MATCH(AE$5&amp;"",'Oxford Economics'!$A$6:$AZ$6,0))),'Oxford Economics'!$A$7:$A$1000,$C113,'Oxford Economics'!$B$7:$B$1000,Settings!$B$18)))),""))</f>
        <v/>
      </c>
      <c r="AF113" s="38" t="str">
        <f aca="false">IF($A113="","",IFERROR(1/(1/IF($B113="Residential",SUMIFS(INDEX('Oxford Economics'!$A$7:$AZ$1000,0,IFERROR(MATCH(AF$5,'Oxford Economics'!$A$6:$AZ$6,0),MATCH(AF$5&amp;"",'Oxford Economics'!$A$6:$AZ$6,0))),'Oxford Economics'!$A$7:$A$1000,$C113,'Oxford Economics'!$B$7:$B$1000,Settings!$B$12)-SUMIFS(INDEX('Oxford Economics'!$A$7:$AZ$1000,0,IFERROR(MATCH(AF$5,'Oxford Economics'!$A$6:$AZ$6,0),MATCH(AF$5&amp;"",'Oxford Economics'!$A$6:$AZ$6,0))),'Oxford Economics'!$A$7:$A$1000,$C113,'Oxford Economics'!$B$7:$B$1000,Settings!$B$14),SUMIFS(INDEX('Oxford Economics'!$A$7:$AZ$1000,0,IFERROR(MATCH(AF$5,'Oxford Economics'!$A$6:$AZ$6,0),MATCH(AF$5&amp;"",'Oxford Economics'!$A$6:$AZ$6,0))),'Oxford Economics'!$A$7:$A$1000,$C113,'Oxford Economics'!$B$7:$B$1000,Settings!$B$14)+SUMIFS(INDEX('Oxford Economics'!$A$7:$AZ$1000,0,IFERROR(MATCH(AF$5,'Oxford Economics'!$A$6:$AZ$6,0),MATCH(AF$5&amp;"",'Oxford Economics'!$A$6:$AZ$6,0))),'Oxford Economics'!$A$7:$A$1000,$C113,'Oxford Economics'!$B$7:$B$1000,Settings!$B$16)+IF(Settings!$B$18="",0,SUMIFS(INDEX('Oxford Economics'!$A$7:$AZ$1000,0,IFERROR(MATCH(AF$5,'Oxford Economics'!$A$6:$AZ$6,0),MATCH(AF$5&amp;"",'Oxford Economics'!$A$6:$AZ$6,0))),'Oxford Economics'!$A$7:$A$1000,$C113,'Oxford Economics'!$B$7:$B$1000,Settings!$B$18)))),""))</f>
        <v/>
      </c>
      <c r="AG113" s="38" t="str">
        <f aca="false">IF($A113="","",IFERROR(1/(1/IF($B113="Residential",SUMIFS(INDEX('Oxford Economics'!$A$7:$AZ$1000,0,IFERROR(MATCH(AG$5,'Oxford Economics'!$A$6:$AZ$6,0),MATCH(AG$5&amp;"",'Oxford Economics'!$A$6:$AZ$6,0))),'Oxford Economics'!$A$7:$A$1000,$C113,'Oxford Economics'!$B$7:$B$1000,Settings!$B$12)-SUMIFS(INDEX('Oxford Economics'!$A$7:$AZ$1000,0,IFERROR(MATCH(AG$5,'Oxford Economics'!$A$6:$AZ$6,0),MATCH(AG$5&amp;"",'Oxford Economics'!$A$6:$AZ$6,0))),'Oxford Economics'!$A$7:$A$1000,$C113,'Oxford Economics'!$B$7:$B$1000,Settings!$B$14),SUMIFS(INDEX('Oxford Economics'!$A$7:$AZ$1000,0,IFERROR(MATCH(AG$5,'Oxford Economics'!$A$6:$AZ$6,0),MATCH(AG$5&amp;"",'Oxford Economics'!$A$6:$AZ$6,0))),'Oxford Economics'!$A$7:$A$1000,$C113,'Oxford Economics'!$B$7:$B$1000,Settings!$B$14)+SUMIFS(INDEX('Oxford Economics'!$A$7:$AZ$1000,0,IFERROR(MATCH(AG$5,'Oxford Economics'!$A$6:$AZ$6,0),MATCH(AG$5&amp;"",'Oxford Economics'!$A$6:$AZ$6,0))),'Oxford Economics'!$A$7:$A$1000,$C113,'Oxford Economics'!$B$7:$B$1000,Settings!$B$16)+IF(Settings!$B$18="",0,SUMIFS(INDEX('Oxford Economics'!$A$7:$AZ$1000,0,IFERROR(MATCH(AG$5,'Oxford Economics'!$A$6:$AZ$6,0),MATCH(AG$5&amp;"",'Oxford Economics'!$A$6:$AZ$6,0))),'Oxford Economics'!$A$7:$A$1000,$C113,'Oxford Economics'!$B$7:$B$1000,Settings!$B$18)))),""))</f>
        <v/>
      </c>
      <c r="AH113" s="38" t="str">
        <f aca="false">IF($A113="","",IFERROR(1/(1/IF($B113="Residential",SUMIFS(INDEX('Oxford Economics'!$A$7:$AZ$1000,0,IFERROR(MATCH(AH$5,'Oxford Economics'!$A$6:$AZ$6,0),MATCH(AH$5&amp;"",'Oxford Economics'!$A$6:$AZ$6,0))),'Oxford Economics'!$A$7:$A$1000,$C113,'Oxford Economics'!$B$7:$B$1000,Settings!$B$12)-SUMIFS(INDEX('Oxford Economics'!$A$7:$AZ$1000,0,IFERROR(MATCH(AH$5,'Oxford Economics'!$A$6:$AZ$6,0),MATCH(AH$5&amp;"",'Oxford Economics'!$A$6:$AZ$6,0))),'Oxford Economics'!$A$7:$A$1000,$C113,'Oxford Economics'!$B$7:$B$1000,Settings!$B$14),SUMIFS(INDEX('Oxford Economics'!$A$7:$AZ$1000,0,IFERROR(MATCH(AH$5,'Oxford Economics'!$A$6:$AZ$6,0),MATCH(AH$5&amp;"",'Oxford Economics'!$A$6:$AZ$6,0))),'Oxford Economics'!$A$7:$A$1000,$C113,'Oxford Economics'!$B$7:$B$1000,Settings!$B$14)+SUMIFS(INDEX('Oxford Economics'!$A$7:$AZ$1000,0,IFERROR(MATCH(AH$5,'Oxford Economics'!$A$6:$AZ$6,0),MATCH(AH$5&amp;"",'Oxford Economics'!$A$6:$AZ$6,0))),'Oxford Economics'!$A$7:$A$1000,$C113,'Oxford Economics'!$B$7:$B$1000,Settings!$B$16)+IF(Settings!$B$18="",0,SUMIFS(INDEX('Oxford Economics'!$A$7:$AZ$1000,0,IFERROR(MATCH(AH$5,'Oxford Economics'!$A$6:$AZ$6,0),MATCH(AH$5&amp;"",'Oxford Economics'!$A$6:$AZ$6,0))),'Oxford Economics'!$A$7:$A$1000,$C113,'Oxford Economics'!$B$7:$B$1000,Settings!$B$18)))),""))</f>
        <v/>
      </c>
      <c r="AI113" s="38" t="str">
        <f aca="false">IF($A113="","",IFERROR(1/(1/IF($B113="Residential",SUMIFS(INDEX('Oxford Economics'!$A$7:$AZ$1000,0,IFERROR(MATCH(AI$5,'Oxford Economics'!$A$6:$AZ$6,0),MATCH(AI$5&amp;"",'Oxford Economics'!$A$6:$AZ$6,0))),'Oxford Economics'!$A$7:$A$1000,$C113,'Oxford Economics'!$B$7:$B$1000,Settings!$B$12)-SUMIFS(INDEX('Oxford Economics'!$A$7:$AZ$1000,0,IFERROR(MATCH(AI$5,'Oxford Economics'!$A$6:$AZ$6,0),MATCH(AI$5&amp;"",'Oxford Economics'!$A$6:$AZ$6,0))),'Oxford Economics'!$A$7:$A$1000,$C113,'Oxford Economics'!$B$7:$B$1000,Settings!$B$14),SUMIFS(INDEX('Oxford Economics'!$A$7:$AZ$1000,0,IFERROR(MATCH(AI$5,'Oxford Economics'!$A$6:$AZ$6,0),MATCH(AI$5&amp;"",'Oxford Economics'!$A$6:$AZ$6,0))),'Oxford Economics'!$A$7:$A$1000,$C113,'Oxford Economics'!$B$7:$B$1000,Settings!$B$14)+SUMIFS(INDEX('Oxford Economics'!$A$7:$AZ$1000,0,IFERROR(MATCH(AI$5,'Oxford Economics'!$A$6:$AZ$6,0),MATCH(AI$5&amp;"",'Oxford Economics'!$A$6:$AZ$6,0))),'Oxford Economics'!$A$7:$A$1000,$C113,'Oxford Economics'!$B$7:$B$1000,Settings!$B$16)+IF(Settings!$B$18="",0,SUMIFS(INDEX('Oxford Economics'!$A$7:$AZ$1000,0,IFERROR(MATCH(AI$5,'Oxford Economics'!$A$6:$AZ$6,0),MATCH(AI$5&amp;"",'Oxford Economics'!$A$6:$AZ$6,0))),'Oxford Economics'!$A$7:$A$1000,$C113,'Oxford Economics'!$B$7:$B$1000,Settings!$B$18)))),""))</f>
        <v/>
      </c>
      <c r="AJ113" s="38" t="str">
        <f aca="false">IF($A113="","",IFERROR(1/(1/IF($B113="Residential",SUMIFS(INDEX('Oxford Economics'!$A$7:$AZ$1000,0,IFERROR(MATCH(AJ$5,'Oxford Economics'!$A$6:$AZ$6,0),MATCH(AJ$5&amp;"",'Oxford Economics'!$A$6:$AZ$6,0))),'Oxford Economics'!$A$7:$A$1000,$C113,'Oxford Economics'!$B$7:$B$1000,Settings!$B$12)-SUMIFS(INDEX('Oxford Economics'!$A$7:$AZ$1000,0,IFERROR(MATCH(AJ$5,'Oxford Economics'!$A$6:$AZ$6,0),MATCH(AJ$5&amp;"",'Oxford Economics'!$A$6:$AZ$6,0))),'Oxford Economics'!$A$7:$A$1000,$C113,'Oxford Economics'!$B$7:$B$1000,Settings!$B$14),SUMIFS(INDEX('Oxford Economics'!$A$7:$AZ$1000,0,IFERROR(MATCH(AJ$5,'Oxford Economics'!$A$6:$AZ$6,0),MATCH(AJ$5&amp;"",'Oxford Economics'!$A$6:$AZ$6,0))),'Oxford Economics'!$A$7:$A$1000,$C113,'Oxford Economics'!$B$7:$B$1000,Settings!$B$14)+SUMIFS(INDEX('Oxford Economics'!$A$7:$AZ$1000,0,IFERROR(MATCH(AJ$5,'Oxford Economics'!$A$6:$AZ$6,0),MATCH(AJ$5&amp;"",'Oxford Economics'!$A$6:$AZ$6,0))),'Oxford Economics'!$A$7:$A$1000,$C113,'Oxford Economics'!$B$7:$B$1000,Settings!$B$16)+IF(Settings!$B$18="",0,SUMIFS(INDEX('Oxford Economics'!$A$7:$AZ$1000,0,IFERROR(MATCH(AJ$5,'Oxford Economics'!$A$6:$AZ$6,0),MATCH(AJ$5&amp;"",'Oxford Economics'!$A$6:$AZ$6,0))),'Oxford Economics'!$A$7:$A$1000,$C113,'Oxford Economics'!$B$7:$B$1000,Settings!$B$18)))),""))</f>
        <v/>
      </c>
      <c r="AK113" s="38" t="str">
        <f aca="false">IF($A113="","",IFERROR(1/(1/IF($B113="Residential",SUMIFS(INDEX('Oxford Economics'!$A$7:$AZ$1000,0,IFERROR(MATCH(AK$5,'Oxford Economics'!$A$6:$AZ$6,0),MATCH(AK$5&amp;"",'Oxford Economics'!$A$6:$AZ$6,0))),'Oxford Economics'!$A$7:$A$1000,$C113,'Oxford Economics'!$B$7:$B$1000,Settings!$B$12)-SUMIFS(INDEX('Oxford Economics'!$A$7:$AZ$1000,0,IFERROR(MATCH(AK$5,'Oxford Economics'!$A$6:$AZ$6,0),MATCH(AK$5&amp;"",'Oxford Economics'!$A$6:$AZ$6,0))),'Oxford Economics'!$A$7:$A$1000,$C113,'Oxford Economics'!$B$7:$B$1000,Settings!$B$14),SUMIFS(INDEX('Oxford Economics'!$A$7:$AZ$1000,0,IFERROR(MATCH(AK$5,'Oxford Economics'!$A$6:$AZ$6,0),MATCH(AK$5&amp;"",'Oxford Economics'!$A$6:$AZ$6,0))),'Oxford Economics'!$A$7:$A$1000,$C113,'Oxford Economics'!$B$7:$B$1000,Settings!$B$14)+SUMIFS(INDEX('Oxford Economics'!$A$7:$AZ$1000,0,IFERROR(MATCH(AK$5,'Oxford Economics'!$A$6:$AZ$6,0),MATCH(AK$5&amp;"",'Oxford Economics'!$A$6:$AZ$6,0))),'Oxford Economics'!$A$7:$A$1000,$C113,'Oxford Economics'!$B$7:$B$1000,Settings!$B$16)+IF(Settings!$B$18="",0,SUMIFS(INDEX('Oxford Economics'!$A$7:$AZ$1000,0,IFERROR(MATCH(AK$5,'Oxford Economics'!$A$6:$AZ$6,0),MATCH(AK$5&amp;"",'Oxford Economics'!$A$6:$AZ$6,0))),'Oxford Economics'!$A$7:$A$1000,$C113,'Oxford Economics'!$B$7:$B$1000,Settings!$B$18)))),""))</f>
        <v/>
      </c>
      <c r="AL113" s="38" t="str">
        <f aca="false">IF($A113="","",IFERROR(1/(1/IF($B113="Residential",SUMIFS(INDEX('Oxford Economics'!$A$7:$AZ$1000,0,IFERROR(MATCH(AL$5,'Oxford Economics'!$A$6:$AZ$6,0),MATCH(AL$5&amp;"",'Oxford Economics'!$A$6:$AZ$6,0))),'Oxford Economics'!$A$7:$A$1000,$C113,'Oxford Economics'!$B$7:$B$1000,Settings!$B$12)-SUMIFS(INDEX('Oxford Economics'!$A$7:$AZ$1000,0,IFERROR(MATCH(AL$5,'Oxford Economics'!$A$6:$AZ$6,0),MATCH(AL$5&amp;"",'Oxford Economics'!$A$6:$AZ$6,0))),'Oxford Economics'!$A$7:$A$1000,$C113,'Oxford Economics'!$B$7:$B$1000,Settings!$B$14),SUMIFS(INDEX('Oxford Economics'!$A$7:$AZ$1000,0,IFERROR(MATCH(AL$5,'Oxford Economics'!$A$6:$AZ$6,0),MATCH(AL$5&amp;"",'Oxford Economics'!$A$6:$AZ$6,0))),'Oxford Economics'!$A$7:$A$1000,$C113,'Oxford Economics'!$B$7:$B$1000,Settings!$B$14)+SUMIFS(INDEX('Oxford Economics'!$A$7:$AZ$1000,0,IFERROR(MATCH(AL$5,'Oxford Economics'!$A$6:$AZ$6,0),MATCH(AL$5&amp;"",'Oxford Economics'!$A$6:$AZ$6,0))),'Oxford Economics'!$A$7:$A$1000,$C113,'Oxford Economics'!$B$7:$B$1000,Settings!$B$16)+IF(Settings!$B$18="",0,SUMIFS(INDEX('Oxford Economics'!$A$7:$AZ$1000,0,IFERROR(MATCH(AL$5,'Oxford Economics'!$A$6:$AZ$6,0),MATCH(AL$5&amp;"",'Oxford Economics'!$A$6:$AZ$6,0))),'Oxford Economics'!$A$7:$A$1000,$C113,'Oxford Economics'!$B$7:$B$1000,Settings!$B$18)))),""))</f>
        <v/>
      </c>
      <c r="AM113" s="38" t="str">
        <f aca="false">IF($A113="","",IFERROR(1/(1/IF($B113="Residential",SUMIFS(INDEX('Oxford Economics'!$A$7:$AZ$1000,0,IFERROR(MATCH(AM$5,'Oxford Economics'!$A$6:$AZ$6,0),MATCH(AM$5&amp;"",'Oxford Economics'!$A$6:$AZ$6,0))),'Oxford Economics'!$A$7:$A$1000,$C113,'Oxford Economics'!$B$7:$B$1000,Settings!$B$12)-SUMIFS(INDEX('Oxford Economics'!$A$7:$AZ$1000,0,IFERROR(MATCH(AM$5,'Oxford Economics'!$A$6:$AZ$6,0),MATCH(AM$5&amp;"",'Oxford Economics'!$A$6:$AZ$6,0))),'Oxford Economics'!$A$7:$A$1000,$C113,'Oxford Economics'!$B$7:$B$1000,Settings!$B$14),SUMIFS(INDEX('Oxford Economics'!$A$7:$AZ$1000,0,IFERROR(MATCH(AM$5,'Oxford Economics'!$A$6:$AZ$6,0),MATCH(AM$5&amp;"",'Oxford Economics'!$A$6:$AZ$6,0))),'Oxford Economics'!$A$7:$A$1000,$C113,'Oxford Economics'!$B$7:$B$1000,Settings!$B$14)+SUMIFS(INDEX('Oxford Economics'!$A$7:$AZ$1000,0,IFERROR(MATCH(AM$5,'Oxford Economics'!$A$6:$AZ$6,0),MATCH(AM$5&amp;"",'Oxford Economics'!$A$6:$AZ$6,0))),'Oxford Economics'!$A$7:$A$1000,$C113,'Oxford Economics'!$B$7:$B$1000,Settings!$B$16)+IF(Settings!$B$18="",0,SUMIFS(INDEX('Oxford Economics'!$A$7:$AZ$1000,0,IFERROR(MATCH(AM$5,'Oxford Economics'!$A$6:$AZ$6,0),MATCH(AM$5&amp;"",'Oxford Economics'!$A$6:$AZ$6,0))),'Oxford Economics'!$A$7:$A$1000,$C113,'Oxford Economics'!$B$7:$B$1000,Settings!$B$18)))),""))</f>
        <v/>
      </c>
    </row>
    <row r="114" customFormat="false" ht="15" hidden="false" customHeight="false" outlineLevel="0" collapsed="false">
      <c r="A114" s="37" t="str">
        <f aca="false">IF('Raw data'!$A114="","",'Raw data'!$A114)</f>
        <v/>
      </c>
      <c r="B114" s="37" t="str">
        <f aca="false">IF($A114="","",'Raw data'!$C114)</f>
        <v/>
      </c>
      <c r="C114" s="37" t="str">
        <f aca="false">IF($A114="","",IF('Raw data'!$E114="",$A114,'Raw data'!$E114))</f>
        <v/>
      </c>
      <c r="D114" s="38" t="str">
        <f aca="false">IF($A114="","",IF(AND(ISNUMBER(P114),ISNUMBER(AB114)),P114+AB114,""))</f>
        <v/>
      </c>
      <c r="E114" s="38" t="str">
        <f aca="false">IF($A114="","",IF(AND(ISNUMBER(Q114),ISNUMBER(AC114)),Q114+AC114,""))</f>
        <v/>
      </c>
      <c r="F114" s="38" t="str">
        <f aca="false">IF($A114="","",IF(AND(ISNUMBER(R114),ISNUMBER(AD114)),R114+AD114,""))</f>
        <v/>
      </c>
      <c r="G114" s="38" t="str">
        <f aca="false">IF($A114="","",IF(AND(ISNUMBER(S114),ISNUMBER(AE114)),S114+AE114,""))</f>
        <v/>
      </c>
      <c r="H114" s="38" t="str">
        <f aca="false">IF($A114="","",IF(AND(ISNUMBER(T114),ISNUMBER(AF114)),T114+AF114,""))</f>
        <v/>
      </c>
      <c r="I114" s="38" t="str">
        <f aca="false">IF($A114="","",IF(AND(ISNUMBER(U114),ISNUMBER(AG114)),U114+AG114,""))</f>
        <v/>
      </c>
      <c r="J114" s="38" t="str">
        <f aca="false">IF($A114="","",IF(AND(ISNUMBER(V114),ISNUMBER(AH114)),V114+AH114,""))</f>
        <v/>
      </c>
      <c r="K114" s="38" t="str">
        <f aca="false">IF($A114="","",IF(AND(ISNUMBER(W114),ISNUMBER(AI114)),W114+AI114,""))</f>
        <v/>
      </c>
      <c r="L114" s="38" t="str">
        <f aca="false">IF($A114="","",IF(AND(ISNUMBER(X114),ISNUMBER(AJ114)),X114+AJ114,""))</f>
        <v/>
      </c>
      <c r="M114" s="38" t="str">
        <f aca="false">IF($A114="","",IF(AND(ISNUMBER(Y114),ISNUMBER(AK114)),Y114+AK114,""))</f>
        <v/>
      </c>
      <c r="N114" s="38" t="str">
        <f aca="false">IF($A114="","",IF(AND(ISNUMBER(Z114),ISNUMBER(AL114)),Z114+AL114,""))</f>
        <v/>
      </c>
      <c r="O114" s="38" t="str">
        <f aca="false">IF($A114="","",IF(AND(ISNUMBER(AA114),ISNUMBER(AM114)),AA114+AM114,""))</f>
        <v/>
      </c>
      <c r="P114" s="38" t="str">
        <f aca="false">IF($A114="","",IFERROR(1/(1/IF($B114="Residential",SUMIFS(INDEX('Oxford Economics'!$A$7:$AZ$1000,0,IFERROR(MATCH(P$5,'Oxford Economics'!$A$6:$AZ$6,0),MATCH(P$5&amp;"",'Oxford Economics'!$A$6:$AZ$6,0))),'Oxford Economics'!$A$7:$A$1000,$C114,'Oxford Economics'!$B$7:$B$1000,Settings!$B$13)-SUMIFS(INDEX('Oxford Economics'!$A$7:$AZ$1000,0,IFERROR(MATCH(P$5,'Oxford Economics'!$A$6:$AZ$6,0),MATCH(P$5&amp;"",'Oxford Economics'!$A$6:$AZ$6,0))),'Oxford Economics'!$A$7:$A$1000,$C114,'Oxford Economics'!$B$7:$B$1000,Settings!$B$15),SUMIFS(INDEX('Oxford Economics'!$A$7:$AZ$1000,0,IFERROR(MATCH(P$5,'Oxford Economics'!$A$6:$AZ$6,0),MATCH(P$5&amp;"",'Oxford Economics'!$A$6:$AZ$6,0))),'Oxford Economics'!$A$7:$A$1000,$C114,'Oxford Economics'!$B$7:$B$1000,Settings!$B$15)+SUMIFS(INDEX('Oxford Economics'!$A$7:$AZ$1000,0,IFERROR(MATCH(P$5,'Oxford Economics'!$A$6:$AZ$6,0),MATCH(P$5&amp;"",'Oxford Economics'!$A$6:$AZ$6,0))),'Oxford Economics'!$A$7:$A$1000,$C114,'Oxford Economics'!$B$7:$B$1000,Settings!$B$17)+IF(Settings!$B$19="",0,SUMIFS(INDEX('Oxford Economics'!$A$7:$AZ$1000,0,IFERROR(MATCH(P$5,'Oxford Economics'!$A$6:$AZ$6,0),MATCH(P$5&amp;"",'Oxford Economics'!$A$6:$AZ$6,0))),'Oxford Economics'!$A$7:$A$1000,$C114,'Oxford Economics'!$B$7:$B$1000,Settings!$B$19)))),""))</f>
        <v/>
      </c>
      <c r="Q114" s="38" t="str">
        <f aca="false">IF($A114="","",IFERROR(1/(1/IF($B114="Residential",SUMIFS(INDEX('Oxford Economics'!$A$7:$AZ$1000,0,IFERROR(MATCH(Q$5,'Oxford Economics'!$A$6:$AZ$6,0),MATCH(Q$5&amp;"",'Oxford Economics'!$A$6:$AZ$6,0))),'Oxford Economics'!$A$7:$A$1000,$C114,'Oxford Economics'!$B$7:$B$1000,Settings!$B$13)-SUMIFS(INDEX('Oxford Economics'!$A$7:$AZ$1000,0,IFERROR(MATCH(Q$5,'Oxford Economics'!$A$6:$AZ$6,0),MATCH(Q$5&amp;"",'Oxford Economics'!$A$6:$AZ$6,0))),'Oxford Economics'!$A$7:$A$1000,$C114,'Oxford Economics'!$B$7:$B$1000,Settings!$B$15),SUMIFS(INDEX('Oxford Economics'!$A$7:$AZ$1000,0,IFERROR(MATCH(Q$5,'Oxford Economics'!$A$6:$AZ$6,0),MATCH(Q$5&amp;"",'Oxford Economics'!$A$6:$AZ$6,0))),'Oxford Economics'!$A$7:$A$1000,$C114,'Oxford Economics'!$B$7:$B$1000,Settings!$B$15)+SUMIFS(INDEX('Oxford Economics'!$A$7:$AZ$1000,0,IFERROR(MATCH(Q$5,'Oxford Economics'!$A$6:$AZ$6,0),MATCH(Q$5&amp;"",'Oxford Economics'!$A$6:$AZ$6,0))),'Oxford Economics'!$A$7:$A$1000,$C114,'Oxford Economics'!$B$7:$B$1000,Settings!$B$17)+IF(Settings!$B$19="",0,SUMIFS(INDEX('Oxford Economics'!$A$7:$AZ$1000,0,IFERROR(MATCH(Q$5,'Oxford Economics'!$A$6:$AZ$6,0),MATCH(Q$5&amp;"",'Oxford Economics'!$A$6:$AZ$6,0))),'Oxford Economics'!$A$7:$A$1000,$C114,'Oxford Economics'!$B$7:$B$1000,Settings!$B$19)))),""))</f>
        <v/>
      </c>
      <c r="R114" s="38" t="str">
        <f aca="false">IF($A114="","",IFERROR(1/(1/IF($B114="Residential",SUMIFS(INDEX('Oxford Economics'!$A$7:$AZ$1000,0,IFERROR(MATCH(R$5,'Oxford Economics'!$A$6:$AZ$6,0),MATCH(R$5&amp;"",'Oxford Economics'!$A$6:$AZ$6,0))),'Oxford Economics'!$A$7:$A$1000,$C114,'Oxford Economics'!$B$7:$B$1000,Settings!$B$13)-SUMIFS(INDEX('Oxford Economics'!$A$7:$AZ$1000,0,IFERROR(MATCH(R$5,'Oxford Economics'!$A$6:$AZ$6,0),MATCH(R$5&amp;"",'Oxford Economics'!$A$6:$AZ$6,0))),'Oxford Economics'!$A$7:$A$1000,$C114,'Oxford Economics'!$B$7:$B$1000,Settings!$B$15),SUMIFS(INDEX('Oxford Economics'!$A$7:$AZ$1000,0,IFERROR(MATCH(R$5,'Oxford Economics'!$A$6:$AZ$6,0),MATCH(R$5&amp;"",'Oxford Economics'!$A$6:$AZ$6,0))),'Oxford Economics'!$A$7:$A$1000,$C114,'Oxford Economics'!$B$7:$B$1000,Settings!$B$15)+SUMIFS(INDEX('Oxford Economics'!$A$7:$AZ$1000,0,IFERROR(MATCH(R$5,'Oxford Economics'!$A$6:$AZ$6,0),MATCH(R$5&amp;"",'Oxford Economics'!$A$6:$AZ$6,0))),'Oxford Economics'!$A$7:$A$1000,$C114,'Oxford Economics'!$B$7:$B$1000,Settings!$B$17)+IF(Settings!$B$19="",0,SUMIFS(INDEX('Oxford Economics'!$A$7:$AZ$1000,0,IFERROR(MATCH(R$5,'Oxford Economics'!$A$6:$AZ$6,0),MATCH(R$5&amp;"",'Oxford Economics'!$A$6:$AZ$6,0))),'Oxford Economics'!$A$7:$A$1000,$C114,'Oxford Economics'!$B$7:$B$1000,Settings!$B$19)))),""))</f>
        <v/>
      </c>
      <c r="S114" s="38" t="str">
        <f aca="false">IF($A114="","",IFERROR(1/(1/IF($B114="Residential",SUMIFS(INDEX('Oxford Economics'!$A$7:$AZ$1000,0,IFERROR(MATCH(S$5,'Oxford Economics'!$A$6:$AZ$6,0),MATCH(S$5&amp;"",'Oxford Economics'!$A$6:$AZ$6,0))),'Oxford Economics'!$A$7:$A$1000,$C114,'Oxford Economics'!$B$7:$B$1000,Settings!$B$13)-SUMIFS(INDEX('Oxford Economics'!$A$7:$AZ$1000,0,IFERROR(MATCH(S$5,'Oxford Economics'!$A$6:$AZ$6,0),MATCH(S$5&amp;"",'Oxford Economics'!$A$6:$AZ$6,0))),'Oxford Economics'!$A$7:$A$1000,$C114,'Oxford Economics'!$B$7:$B$1000,Settings!$B$15),SUMIFS(INDEX('Oxford Economics'!$A$7:$AZ$1000,0,IFERROR(MATCH(S$5,'Oxford Economics'!$A$6:$AZ$6,0),MATCH(S$5&amp;"",'Oxford Economics'!$A$6:$AZ$6,0))),'Oxford Economics'!$A$7:$A$1000,$C114,'Oxford Economics'!$B$7:$B$1000,Settings!$B$15)+SUMIFS(INDEX('Oxford Economics'!$A$7:$AZ$1000,0,IFERROR(MATCH(S$5,'Oxford Economics'!$A$6:$AZ$6,0),MATCH(S$5&amp;"",'Oxford Economics'!$A$6:$AZ$6,0))),'Oxford Economics'!$A$7:$A$1000,$C114,'Oxford Economics'!$B$7:$B$1000,Settings!$B$17)+IF(Settings!$B$19="",0,SUMIFS(INDEX('Oxford Economics'!$A$7:$AZ$1000,0,IFERROR(MATCH(S$5,'Oxford Economics'!$A$6:$AZ$6,0),MATCH(S$5&amp;"",'Oxford Economics'!$A$6:$AZ$6,0))),'Oxford Economics'!$A$7:$A$1000,$C114,'Oxford Economics'!$B$7:$B$1000,Settings!$B$19)))),""))</f>
        <v/>
      </c>
      <c r="T114" s="38" t="str">
        <f aca="false">IF($A114="","",IFERROR(1/(1/IF($B114="Residential",SUMIFS(INDEX('Oxford Economics'!$A$7:$AZ$1000,0,IFERROR(MATCH(T$5,'Oxford Economics'!$A$6:$AZ$6,0),MATCH(T$5&amp;"",'Oxford Economics'!$A$6:$AZ$6,0))),'Oxford Economics'!$A$7:$A$1000,$C114,'Oxford Economics'!$B$7:$B$1000,Settings!$B$13)-SUMIFS(INDEX('Oxford Economics'!$A$7:$AZ$1000,0,IFERROR(MATCH(T$5,'Oxford Economics'!$A$6:$AZ$6,0),MATCH(T$5&amp;"",'Oxford Economics'!$A$6:$AZ$6,0))),'Oxford Economics'!$A$7:$A$1000,$C114,'Oxford Economics'!$B$7:$B$1000,Settings!$B$15),SUMIFS(INDEX('Oxford Economics'!$A$7:$AZ$1000,0,IFERROR(MATCH(T$5,'Oxford Economics'!$A$6:$AZ$6,0),MATCH(T$5&amp;"",'Oxford Economics'!$A$6:$AZ$6,0))),'Oxford Economics'!$A$7:$A$1000,$C114,'Oxford Economics'!$B$7:$B$1000,Settings!$B$15)+SUMIFS(INDEX('Oxford Economics'!$A$7:$AZ$1000,0,IFERROR(MATCH(T$5,'Oxford Economics'!$A$6:$AZ$6,0),MATCH(T$5&amp;"",'Oxford Economics'!$A$6:$AZ$6,0))),'Oxford Economics'!$A$7:$A$1000,$C114,'Oxford Economics'!$B$7:$B$1000,Settings!$B$17)+IF(Settings!$B$19="",0,SUMIFS(INDEX('Oxford Economics'!$A$7:$AZ$1000,0,IFERROR(MATCH(T$5,'Oxford Economics'!$A$6:$AZ$6,0),MATCH(T$5&amp;"",'Oxford Economics'!$A$6:$AZ$6,0))),'Oxford Economics'!$A$7:$A$1000,$C114,'Oxford Economics'!$B$7:$B$1000,Settings!$B$19)))),""))</f>
        <v/>
      </c>
      <c r="U114" s="38" t="str">
        <f aca="false">IF($A114="","",IFERROR(1/(1/IF($B114="Residential",SUMIFS(INDEX('Oxford Economics'!$A$7:$AZ$1000,0,IFERROR(MATCH(U$5,'Oxford Economics'!$A$6:$AZ$6,0),MATCH(U$5&amp;"",'Oxford Economics'!$A$6:$AZ$6,0))),'Oxford Economics'!$A$7:$A$1000,$C114,'Oxford Economics'!$B$7:$B$1000,Settings!$B$13)-SUMIFS(INDEX('Oxford Economics'!$A$7:$AZ$1000,0,IFERROR(MATCH(U$5,'Oxford Economics'!$A$6:$AZ$6,0),MATCH(U$5&amp;"",'Oxford Economics'!$A$6:$AZ$6,0))),'Oxford Economics'!$A$7:$A$1000,$C114,'Oxford Economics'!$B$7:$B$1000,Settings!$B$15),SUMIFS(INDEX('Oxford Economics'!$A$7:$AZ$1000,0,IFERROR(MATCH(U$5,'Oxford Economics'!$A$6:$AZ$6,0),MATCH(U$5&amp;"",'Oxford Economics'!$A$6:$AZ$6,0))),'Oxford Economics'!$A$7:$A$1000,$C114,'Oxford Economics'!$B$7:$B$1000,Settings!$B$15)+SUMIFS(INDEX('Oxford Economics'!$A$7:$AZ$1000,0,IFERROR(MATCH(U$5,'Oxford Economics'!$A$6:$AZ$6,0),MATCH(U$5&amp;"",'Oxford Economics'!$A$6:$AZ$6,0))),'Oxford Economics'!$A$7:$A$1000,$C114,'Oxford Economics'!$B$7:$B$1000,Settings!$B$17)+IF(Settings!$B$19="",0,SUMIFS(INDEX('Oxford Economics'!$A$7:$AZ$1000,0,IFERROR(MATCH(U$5,'Oxford Economics'!$A$6:$AZ$6,0),MATCH(U$5&amp;"",'Oxford Economics'!$A$6:$AZ$6,0))),'Oxford Economics'!$A$7:$A$1000,$C114,'Oxford Economics'!$B$7:$B$1000,Settings!$B$19)))),""))</f>
        <v/>
      </c>
      <c r="V114" s="38" t="str">
        <f aca="false">IF($A114="","",IFERROR(1/(1/IF($B114="Residential",SUMIFS(INDEX('Oxford Economics'!$A$7:$AZ$1000,0,IFERROR(MATCH(V$5,'Oxford Economics'!$A$6:$AZ$6,0),MATCH(V$5&amp;"",'Oxford Economics'!$A$6:$AZ$6,0))),'Oxford Economics'!$A$7:$A$1000,$C114,'Oxford Economics'!$B$7:$B$1000,Settings!$B$13)-SUMIFS(INDEX('Oxford Economics'!$A$7:$AZ$1000,0,IFERROR(MATCH(V$5,'Oxford Economics'!$A$6:$AZ$6,0),MATCH(V$5&amp;"",'Oxford Economics'!$A$6:$AZ$6,0))),'Oxford Economics'!$A$7:$A$1000,$C114,'Oxford Economics'!$B$7:$B$1000,Settings!$B$15),SUMIFS(INDEX('Oxford Economics'!$A$7:$AZ$1000,0,IFERROR(MATCH(V$5,'Oxford Economics'!$A$6:$AZ$6,0),MATCH(V$5&amp;"",'Oxford Economics'!$A$6:$AZ$6,0))),'Oxford Economics'!$A$7:$A$1000,$C114,'Oxford Economics'!$B$7:$B$1000,Settings!$B$15)+SUMIFS(INDEX('Oxford Economics'!$A$7:$AZ$1000,0,IFERROR(MATCH(V$5,'Oxford Economics'!$A$6:$AZ$6,0),MATCH(V$5&amp;"",'Oxford Economics'!$A$6:$AZ$6,0))),'Oxford Economics'!$A$7:$A$1000,$C114,'Oxford Economics'!$B$7:$B$1000,Settings!$B$17)+IF(Settings!$B$19="",0,SUMIFS(INDEX('Oxford Economics'!$A$7:$AZ$1000,0,IFERROR(MATCH(V$5,'Oxford Economics'!$A$6:$AZ$6,0),MATCH(V$5&amp;"",'Oxford Economics'!$A$6:$AZ$6,0))),'Oxford Economics'!$A$7:$A$1000,$C114,'Oxford Economics'!$B$7:$B$1000,Settings!$B$19)))),""))</f>
        <v/>
      </c>
      <c r="W114" s="38" t="str">
        <f aca="false">IF($A114="","",IFERROR(1/(1/IF($B114="Residential",SUMIFS(INDEX('Oxford Economics'!$A$7:$AZ$1000,0,IFERROR(MATCH(W$5,'Oxford Economics'!$A$6:$AZ$6,0),MATCH(W$5&amp;"",'Oxford Economics'!$A$6:$AZ$6,0))),'Oxford Economics'!$A$7:$A$1000,$C114,'Oxford Economics'!$B$7:$B$1000,Settings!$B$13)-SUMIFS(INDEX('Oxford Economics'!$A$7:$AZ$1000,0,IFERROR(MATCH(W$5,'Oxford Economics'!$A$6:$AZ$6,0),MATCH(W$5&amp;"",'Oxford Economics'!$A$6:$AZ$6,0))),'Oxford Economics'!$A$7:$A$1000,$C114,'Oxford Economics'!$B$7:$B$1000,Settings!$B$15),SUMIFS(INDEX('Oxford Economics'!$A$7:$AZ$1000,0,IFERROR(MATCH(W$5,'Oxford Economics'!$A$6:$AZ$6,0),MATCH(W$5&amp;"",'Oxford Economics'!$A$6:$AZ$6,0))),'Oxford Economics'!$A$7:$A$1000,$C114,'Oxford Economics'!$B$7:$B$1000,Settings!$B$15)+SUMIFS(INDEX('Oxford Economics'!$A$7:$AZ$1000,0,IFERROR(MATCH(W$5,'Oxford Economics'!$A$6:$AZ$6,0),MATCH(W$5&amp;"",'Oxford Economics'!$A$6:$AZ$6,0))),'Oxford Economics'!$A$7:$A$1000,$C114,'Oxford Economics'!$B$7:$B$1000,Settings!$B$17)+IF(Settings!$B$19="",0,SUMIFS(INDEX('Oxford Economics'!$A$7:$AZ$1000,0,IFERROR(MATCH(W$5,'Oxford Economics'!$A$6:$AZ$6,0),MATCH(W$5&amp;"",'Oxford Economics'!$A$6:$AZ$6,0))),'Oxford Economics'!$A$7:$A$1000,$C114,'Oxford Economics'!$B$7:$B$1000,Settings!$B$19)))),""))</f>
        <v/>
      </c>
      <c r="X114" s="38" t="str">
        <f aca="false">IF($A114="","",IFERROR(1/(1/IF($B114="Residential",SUMIFS(INDEX('Oxford Economics'!$A$7:$AZ$1000,0,IFERROR(MATCH(X$5,'Oxford Economics'!$A$6:$AZ$6,0),MATCH(X$5&amp;"",'Oxford Economics'!$A$6:$AZ$6,0))),'Oxford Economics'!$A$7:$A$1000,$C114,'Oxford Economics'!$B$7:$B$1000,Settings!$B$13)-SUMIFS(INDEX('Oxford Economics'!$A$7:$AZ$1000,0,IFERROR(MATCH(X$5,'Oxford Economics'!$A$6:$AZ$6,0),MATCH(X$5&amp;"",'Oxford Economics'!$A$6:$AZ$6,0))),'Oxford Economics'!$A$7:$A$1000,$C114,'Oxford Economics'!$B$7:$B$1000,Settings!$B$15),SUMIFS(INDEX('Oxford Economics'!$A$7:$AZ$1000,0,IFERROR(MATCH(X$5,'Oxford Economics'!$A$6:$AZ$6,0),MATCH(X$5&amp;"",'Oxford Economics'!$A$6:$AZ$6,0))),'Oxford Economics'!$A$7:$A$1000,$C114,'Oxford Economics'!$B$7:$B$1000,Settings!$B$15)+SUMIFS(INDEX('Oxford Economics'!$A$7:$AZ$1000,0,IFERROR(MATCH(X$5,'Oxford Economics'!$A$6:$AZ$6,0),MATCH(X$5&amp;"",'Oxford Economics'!$A$6:$AZ$6,0))),'Oxford Economics'!$A$7:$A$1000,$C114,'Oxford Economics'!$B$7:$B$1000,Settings!$B$17)+IF(Settings!$B$19="",0,SUMIFS(INDEX('Oxford Economics'!$A$7:$AZ$1000,0,IFERROR(MATCH(X$5,'Oxford Economics'!$A$6:$AZ$6,0),MATCH(X$5&amp;"",'Oxford Economics'!$A$6:$AZ$6,0))),'Oxford Economics'!$A$7:$A$1000,$C114,'Oxford Economics'!$B$7:$B$1000,Settings!$B$19)))),""))</f>
        <v/>
      </c>
      <c r="Y114" s="38" t="str">
        <f aca="false">IF($A114="","",IFERROR(1/(1/IF($B114="Residential",SUMIFS(INDEX('Oxford Economics'!$A$7:$AZ$1000,0,IFERROR(MATCH(Y$5,'Oxford Economics'!$A$6:$AZ$6,0),MATCH(Y$5&amp;"",'Oxford Economics'!$A$6:$AZ$6,0))),'Oxford Economics'!$A$7:$A$1000,$C114,'Oxford Economics'!$B$7:$B$1000,Settings!$B$13)-SUMIFS(INDEX('Oxford Economics'!$A$7:$AZ$1000,0,IFERROR(MATCH(Y$5,'Oxford Economics'!$A$6:$AZ$6,0),MATCH(Y$5&amp;"",'Oxford Economics'!$A$6:$AZ$6,0))),'Oxford Economics'!$A$7:$A$1000,$C114,'Oxford Economics'!$B$7:$B$1000,Settings!$B$15),SUMIFS(INDEX('Oxford Economics'!$A$7:$AZ$1000,0,IFERROR(MATCH(Y$5,'Oxford Economics'!$A$6:$AZ$6,0),MATCH(Y$5&amp;"",'Oxford Economics'!$A$6:$AZ$6,0))),'Oxford Economics'!$A$7:$A$1000,$C114,'Oxford Economics'!$B$7:$B$1000,Settings!$B$15)+SUMIFS(INDEX('Oxford Economics'!$A$7:$AZ$1000,0,IFERROR(MATCH(Y$5,'Oxford Economics'!$A$6:$AZ$6,0),MATCH(Y$5&amp;"",'Oxford Economics'!$A$6:$AZ$6,0))),'Oxford Economics'!$A$7:$A$1000,$C114,'Oxford Economics'!$B$7:$B$1000,Settings!$B$17)+IF(Settings!$B$19="",0,SUMIFS(INDEX('Oxford Economics'!$A$7:$AZ$1000,0,IFERROR(MATCH(Y$5,'Oxford Economics'!$A$6:$AZ$6,0),MATCH(Y$5&amp;"",'Oxford Economics'!$A$6:$AZ$6,0))),'Oxford Economics'!$A$7:$A$1000,$C114,'Oxford Economics'!$B$7:$B$1000,Settings!$B$19)))),""))</f>
        <v/>
      </c>
      <c r="Z114" s="38" t="str">
        <f aca="false">IF($A114="","",IFERROR(1/(1/IF($B114="Residential",SUMIFS(INDEX('Oxford Economics'!$A$7:$AZ$1000,0,IFERROR(MATCH(Z$5,'Oxford Economics'!$A$6:$AZ$6,0),MATCH(Z$5&amp;"",'Oxford Economics'!$A$6:$AZ$6,0))),'Oxford Economics'!$A$7:$A$1000,$C114,'Oxford Economics'!$B$7:$B$1000,Settings!$B$13)-SUMIFS(INDEX('Oxford Economics'!$A$7:$AZ$1000,0,IFERROR(MATCH(Z$5,'Oxford Economics'!$A$6:$AZ$6,0),MATCH(Z$5&amp;"",'Oxford Economics'!$A$6:$AZ$6,0))),'Oxford Economics'!$A$7:$A$1000,$C114,'Oxford Economics'!$B$7:$B$1000,Settings!$B$15),SUMIFS(INDEX('Oxford Economics'!$A$7:$AZ$1000,0,IFERROR(MATCH(Z$5,'Oxford Economics'!$A$6:$AZ$6,0),MATCH(Z$5&amp;"",'Oxford Economics'!$A$6:$AZ$6,0))),'Oxford Economics'!$A$7:$A$1000,$C114,'Oxford Economics'!$B$7:$B$1000,Settings!$B$15)+SUMIFS(INDEX('Oxford Economics'!$A$7:$AZ$1000,0,IFERROR(MATCH(Z$5,'Oxford Economics'!$A$6:$AZ$6,0),MATCH(Z$5&amp;"",'Oxford Economics'!$A$6:$AZ$6,0))),'Oxford Economics'!$A$7:$A$1000,$C114,'Oxford Economics'!$B$7:$B$1000,Settings!$B$17)+IF(Settings!$B$19="",0,SUMIFS(INDEX('Oxford Economics'!$A$7:$AZ$1000,0,IFERROR(MATCH(Z$5,'Oxford Economics'!$A$6:$AZ$6,0),MATCH(Z$5&amp;"",'Oxford Economics'!$A$6:$AZ$6,0))),'Oxford Economics'!$A$7:$A$1000,$C114,'Oxford Economics'!$B$7:$B$1000,Settings!$B$19)))),""))</f>
        <v/>
      </c>
      <c r="AA114" s="38" t="str">
        <f aca="false">IF($A114="","",IFERROR(1/(1/IF($B114="Residential",SUMIFS(INDEX('Oxford Economics'!$A$7:$AZ$1000,0,IFERROR(MATCH(AA$5,'Oxford Economics'!$A$6:$AZ$6,0),MATCH(AA$5&amp;"",'Oxford Economics'!$A$6:$AZ$6,0))),'Oxford Economics'!$A$7:$A$1000,$C114,'Oxford Economics'!$B$7:$B$1000,Settings!$B$13)-SUMIFS(INDEX('Oxford Economics'!$A$7:$AZ$1000,0,IFERROR(MATCH(AA$5,'Oxford Economics'!$A$6:$AZ$6,0),MATCH(AA$5&amp;"",'Oxford Economics'!$A$6:$AZ$6,0))),'Oxford Economics'!$A$7:$A$1000,$C114,'Oxford Economics'!$B$7:$B$1000,Settings!$B$15),SUMIFS(INDEX('Oxford Economics'!$A$7:$AZ$1000,0,IFERROR(MATCH(AA$5,'Oxford Economics'!$A$6:$AZ$6,0),MATCH(AA$5&amp;"",'Oxford Economics'!$A$6:$AZ$6,0))),'Oxford Economics'!$A$7:$A$1000,$C114,'Oxford Economics'!$B$7:$B$1000,Settings!$B$15)+SUMIFS(INDEX('Oxford Economics'!$A$7:$AZ$1000,0,IFERROR(MATCH(AA$5,'Oxford Economics'!$A$6:$AZ$6,0),MATCH(AA$5&amp;"",'Oxford Economics'!$A$6:$AZ$6,0))),'Oxford Economics'!$A$7:$A$1000,$C114,'Oxford Economics'!$B$7:$B$1000,Settings!$B$17)+IF(Settings!$B$19="",0,SUMIFS(INDEX('Oxford Economics'!$A$7:$AZ$1000,0,IFERROR(MATCH(AA$5,'Oxford Economics'!$A$6:$AZ$6,0),MATCH(AA$5&amp;"",'Oxford Economics'!$A$6:$AZ$6,0))),'Oxford Economics'!$A$7:$A$1000,$C114,'Oxford Economics'!$B$7:$B$1000,Settings!$B$19)))),""))</f>
        <v/>
      </c>
      <c r="AB114" s="38" t="str">
        <f aca="false">IF($A114="","",IFERROR(1/(1/IF($B114="Residential",SUMIFS(INDEX('Oxford Economics'!$A$7:$AZ$1000,0,IFERROR(MATCH(AB$5,'Oxford Economics'!$A$6:$AZ$6,0),MATCH(AB$5&amp;"",'Oxford Economics'!$A$6:$AZ$6,0))),'Oxford Economics'!$A$7:$A$1000,$C114,'Oxford Economics'!$B$7:$B$1000,Settings!$B$12)-SUMIFS(INDEX('Oxford Economics'!$A$7:$AZ$1000,0,IFERROR(MATCH(AB$5,'Oxford Economics'!$A$6:$AZ$6,0),MATCH(AB$5&amp;"",'Oxford Economics'!$A$6:$AZ$6,0))),'Oxford Economics'!$A$7:$A$1000,$C114,'Oxford Economics'!$B$7:$B$1000,Settings!$B$14),SUMIFS(INDEX('Oxford Economics'!$A$7:$AZ$1000,0,IFERROR(MATCH(AB$5,'Oxford Economics'!$A$6:$AZ$6,0),MATCH(AB$5&amp;"",'Oxford Economics'!$A$6:$AZ$6,0))),'Oxford Economics'!$A$7:$A$1000,$C114,'Oxford Economics'!$B$7:$B$1000,Settings!$B$14)+SUMIFS(INDEX('Oxford Economics'!$A$7:$AZ$1000,0,IFERROR(MATCH(AB$5,'Oxford Economics'!$A$6:$AZ$6,0),MATCH(AB$5&amp;"",'Oxford Economics'!$A$6:$AZ$6,0))),'Oxford Economics'!$A$7:$A$1000,$C114,'Oxford Economics'!$B$7:$B$1000,Settings!$B$16)+IF(Settings!$B$18="",0,SUMIFS(INDEX('Oxford Economics'!$A$7:$AZ$1000,0,IFERROR(MATCH(AB$5,'Oxford Economics'!$A$6:$AZ$6,0),MATCH(AB$5&amp;"",'Oxford Economics'!$A$6:$AZ$6,0))),'Oxford Economics'!$A$7:$A$1000,$C114,'Oxford Economics'!$B$7:$B$1000,Settings!$B$18)))),""))</f>
        <v/>
      </c>
      <c r="AC114" s="38" t="str">
        <f aca="false">IF($A114="","",IFERROR(1/(1/IF($B114="Residential",SUMIFS(INDEX('Oxford Economics'!$A$7:$AZ$1000,0,IFERROR(MATCH(AC$5,'Oxford Economics'!$A$6:$AZ$6,0),MATCH(AC$5&amp;"",'Oxford Economics'!$A$6:$AZ$6,0))),'Oxford Economics'!$A$7:$A$1000,$C114,'Oxford Economics'!$B$7:$B$1000,Settings!$B$12)-SUMIFS(INDEX('Oxford Economics'!$A$7:$AZ$1000,0,IFERROR(MATCH(AC$5,'Oxford Economics'!$A$6:$AZ$6,0),MATCH(AC$5&amp;"",'Oxford Economics'!$A$6:$AZ$6,0))),'Oxford Economics'!$A$7:$A$1000,$C114,'Oxford Economics'!$B$7:$B$1000,Settings!$B$14),SUMIFS(INDEX('Oxford Economics'!$A$7:$AZ$1000,0,IFERROR(MATCH(AC$5,'Oxford Economics'!$A$6:$AZ$6,0),MATCH(AC$5&amp;"",'Oxford Economics'!$A$6:$AZ$6,0))),'Oxford Economics'!$A$7:$A$1000,$C114,'Oxford Economics'!$B$7:$B$1000,Settings!$B$14)+SUMIFS(INDEX('Oxford Economics'!$A$7:$AZ$1000,0,IFERROR(MATCH(AC$5,'Oxford Economics'!$A$6:$AZ$6,0),MATCH(AC$5&amp;"",'Oxford Economics'!$A$6:$AZ$6,0))),'Oxford Economics'!$A$7:$A$1000,$C114,'Oxford Economics'!$B$7:$B$1000,Settings!$B$16)+IF(Settings!$B$18="",0,SUMIFS(INDEX('Oxford Economics'!$A$7:$AZ$1000,0,IFERROR(MATCH(AC$5,'Oxford Economics'!$A$6:$AZ$6,0),MATCH(AC$5&amp;"",'Oxford Economics'!$A$6:$AZ$6,0))),'Oxford Economics'!$A$7:$A$1000,$C114,'Oxford Economics'!$B$7:$B$1000,Settings!$B$18)))),""))</f>
        <v/>
      </c>
      <c r="AD114" s="38" t="str">
        <f aca="false">IF($A114="","",IFERROR(1/(1/IF($B114="Residential",SUMIFS(INDEX('Oxford Economics'!$A$7:$AZ$1000,0,IFERROR(MATCH(AD$5,'Oxford Economics'!$A$6:$AZ$6,0),MATCH(AD$5&amp;"",'Oxford Economics'!$A$6:$AZ$6,0))),'Oxford Economics'!$A$7:$A$1000,$C114,'Oxford Economics'!$B$7:$B$1000,Settings!$B$12)-SUMIFS(INDEX('Oxford Economics'!$A$7:$AZ$1000,0,IFERROR(MATCH(AD$5,'Oxford Economics'!$A$6:$AZ$6,0),MATCH(AD$5&amp;"",'Oxford Economics'!$A$6:$AZ$6,0))),'Oxford Economics'!$A$7:$A$1000,$C114,'Oxford Economics'!$B$7:$B$1000,Settings!$B$14),SUMIFS(INDEX('Oxford Economics'!$A$7:$AZ$1000,0,IFERROR(MATCH(AD$5,'Oxford Economics'!$A$6:$AZ$6,0),MATCH(AD$5&amp;"",'Oxford Economics'!$A$6:$AZ$6,0))),'Oxford Economics'!$A$7:$A$1000,$C114,'Oxford Economics'!$B$7:$B$1000,Settings!$B$14)+SUMIFS(INDEX('Oxford Economics'!$A$7:$AZ$1000,0,IFERROR(MATCH(AD$5,'Oxford Economics'!$A$6:$AZ$6,0),MATCH(AD$5&amp;"",'Oxford Economics'!$A$6:$AZ$6,0))),'Oxford Economics'!$A$7:$A$1000,$C114,'Oxford Economics'!$B$7:$B$1000,Settings!$B$16)+IF(Settings!$B$18="",0,SUMIFS(INDEX('Oxford Economics'!$A$7:$AZ$1000,0,IFERROR(MATCH(AD$5,'Oxford Economics'!$A$6:$AZ$6,0),MATCH(AD$5&amp;"",'Oxford Economics'!$A$6:$AZ$6,0))),'Oxford Economics'!$A$7:$A$1000,$C114,'Oxford Economics'!$B$7:$B$1000,Settings!$B$18)))),""))</f>
        <v/>
      </c>
      <c r="AE114" s="38" t="str">
        <f aca="false">IF($A114="","",IFERROR(1/(1/IF($B114="Residential",SUMIFS(INDEX('Oxford Economics'!$A$7:$AZ$1000,0,IFERROR(MATCH(AE$5,'Oxford Economics'!$A$6:$AZ$6,0),MATCH(AE$5&amp;"",'Oxford Economics'!$A$6:$AZ$6,0))),'Oxford Economics'!$A$7:$A$1000,$C114,'Oxford Economics'!$B$7:$B$1000,Settings!$B$12)-SUMIFS(INDEX('Oxford Economics'!$A$7:$AZ$1000,0,IFERROR(MATCH(AE$5,'Oxford Economics'!$A$6:$AZ$6,0),MATCH(AE$5&amp;"",'Oxford Economics'!$A$6:$AZ$6,0))),'Oxford Economics'!$A$7:$A$1000,$C114,'Oxford Economics'!$B$7:$B$1000,Settings!$B$14),SUMIFS(INDEX('Oxford Economics'!$A$7:$AZ$1000,0,IFERROR(MATCH(AE$5,'Oxford Economics'!$A$6:$AZ$6,0),MATCH(AE$5&amp;"",'Oxford Economics'!$A$6:$AZ$6,0))),'Oxford Economics'!$A$7:$A$1000,$C114,'Oxford Economics'!$B$7:$B$1000,Settings!$B$14)+SUMIFS(INDEX('Oxford Economics'!$A$7:$AZ$1000,0,IFERROR(MATCH(AE$5,'Oxford Economics'!$A$6:$AZ$6,0),MATCH(AE$5&amp;"",'Oxford Economics'!$A$6:$AZ$6,0))),'Oxford Economics'!$A$7:$A$1000,$C114,'Oxford Economics'!$B$7:$B$1000,Settings!$B$16)+IF(Settings!$B$18="",0,SUMIFS(INDEX('Oxford Economics'!$A$7:$AZ$1000,0,IFERROR(MATCH(AE$5,'Oxford Economics'!$A$6:$AZ$6,0),MATCH(AE$5&amp;"",'Oxford Economics'!$A$6:$AZ$6,0))),'Oxford Economics'!$A$7:$A$1000,$C114,'Oxford Economics'!$B$7:$B$1000,Settings!$B$18)))),""))</f>
        <v/>
      </c>
      <c r="AF114" s="38" t="str">
        <f aca="false">IF($A114="","",IFERROR(1/(1/IF($B114="Residential",SUMIFS(INDEX('Oxford Economics'!$A$7:$AZ$1000,0,IFERROR(MATCH(AF$5,'Oxford Economics'!$A$6:$AZ$6,0),MATCH(AF$5&amp;"",'Oxford Economics'!$A$6:$AZ$6,0))),'Oxford Economics'!$A$7:$A$1000,$C114,'Oxford Economics'!$B$7:$B$1000,Settings!$B$12)-SUMIFS(INDEX('Oxford Economics'!$A$7:$AZ$1000,0,IFERROR(MATCH(AF$5,'Oxford Economics'!$A$6:$AZ$6,0),MATCH(AF$5&amp;"",'Oxford Economics'!$A$6:$AZ$6,0))),'Oxford Economics'!$A$7:$A$1000,$C114,'Oxford Economics'!$B$7:$B$1000,Settings!$B$14),SUMIFS(INDEX('Oxford Economics'!$A$7:$AZ$1000,0,IFERROR(MATCH(AF$5,'Oxford Economics'!$A$6:$AZ$6,0),MATCH(AF$5&amp;"",'Oxford Economics'!$A$6:$AZ$6,0))),'Oxford Economics'!$A$7:$A$1000,$C114,'Oxford Economics'!$B$7:$B$1000,Settings!$B$14)+SUMIFS(INDEX('Oxford Economics'!$A$7:$AZ$1000,0,IFERROR(MATCH(AF$5,'Oxford Economics'!$A$6:$AZ$6,0),MATCH(AF$5&amp;"",'Oxford Economics'!$A$6:$AZ$6,0))),'Oxford Economics'!$A$7:$A$1000,$C114,'Oxford Economics'!$B$7:$B$1000,Settings!$B$16)+IF(Settings!$B$18="",0,SUMIFS(INDEX('Oxford Economics'!$A$7:$AZ$1000,0,IFERROR(MATCH(AF$5,'Oxford Economics'!$A$6:$AZ$6,0),MATCH(AF$5&amp;"",'Oxford Economics'!$A$6:$AZ$6,0))),'Oxford Economics'!$A$7:$A$1000,$C114,'Oxford Economics'!$B$7:$B$1000,Settings!$B$18)))),""))</f>
        <v/>
      </c>
      <c r="AG114" s="38" t="str">
        <f aca="false">IF($A114="","",IFERROR(1/(1/IF($B114="Residential",SUMIFS(INDEX('Oxford Economics'!$A$7:$AZ$1000,0,IFERROR(MATCH(AG$5,'Oxford Economics'!$A$6:$AZ$6,0),MATCH(AG$5&amp;"",'Oxford Economics'!$A$6:$AZ$6,0))),'Oxford Economics'!$A$7:$A$1000,$C114,'Oxford Economics'!$B$7:$B$1000,Settings!$B$12)-SUMIFS(INDEX('Oxford Economics'!$A$7:$AZ$1000,0,IFERROR(MATCH(AG$5,'Oxford Economics'!$A$6:$AZ$6,0),MATCH(AG$5&amp;"",'Oxford Economics'!$A$6:$AZ$6,0))),'Oxford Economics'!$A$7:$A$1000,$C114,'Oxford Economics'!$B$7:$B$1000,Settings!$B$14),SUMIFS(INDEX('Oxford Economics'!$A$7:$AZ$1000,0,IFERROR(MATCH(AG$5,'Oxford Economics'!$A$6:$AZ$6,0),MATCH(AG$5&amp;"",'Oxford Economics'!$A$6:$AZ$6,0))),'Oxford Economics'!$A$7:$A$1000,$C114,'Oxford Economics'!$B$7:$B$1000,Settings!$B$14)+SUMIFS(INDEX('Oxford Economics'!$A$7:$AZ$1000,0,IFERROR(MATCH(AG$5,'Oxford Economics'!$A$6:$AZ$6,0),MATCH(AG$5&amp;"",'Oxford Economics'!$A$6:$AZ$6,0))),'Oxford Economics'!$A$7:$A$1000,$C114,'Oxford Economics'!$B$7:$B$1000,Settings!$B$16)+IF(Settings!$B$18="",0,SUMIFS(INDEX('Oxford Economics'!$A$7:$AZ$1000,0,IFERROR(MATCH(AG$5,'Oxford Economics'!$A$6:$AZ$6,0),MATCH(AG$5&amp;"",'Oxford Economics'!$A$6:$AZ$6,0))),'Oxford Economics'!$A$7:$A$1000,$C114,'Oxford Economics'!$B$7:$B$1000,Settings!$B$18)))),""))</f>
        <v/>
      </c>
      <c r="AH114" s="38" t="str">
        <f aca="false">IF($A114="","",IFERROR(1/(1/IF($B114="Residential",SUMIFS(INDEX('Oxford Economics'!$A$7:$AZ$1000,0,IFERROR(MATCH(AH$5,'Oxford Economics'!$A$6:$AZ$6,0),MATCH(AH$5&amp;"",'Oxford Economics'!$A$6:$AZ$6,0))),'Oxford Economics'!$A$7:$A$1000,$C114,'Oxford Economics'!$B$7:$B$1000,Settings!$B$12)-SUMIFS(INDEX('Oxford Economics'!$A$7:$AZ$1000,0,IFERROR(MATCH(AH$5,'Oxford Economics'!$A$6:$AZ$6,0),MATCH(AH$5&amp;"",'Oxford Economics'!$A$6:$AZ$6,0))),'Oxford Economics'!$A$7:$A$1000,$C114,'Oxford Economics'!$B$7:$B$1000,Settings!$B$14),SUMIFS(INDEX('Oxford Economics'!$A$7:$AZ$1000,0,IFERROR(MATCH(AH$5,'Oxford Economics'!$A$6:$AZ$6,0),MATCH(AH$5&amp;"",'Oxford Economics'!$A$6:$AZ$6,0))),'Oxford Economics'!$A$7:$A$1000,$C114,'Oxford Economics'!$B$7:$B$1000,Settings!$B$14)+SUMIFS(INDEX('Oxford Economics'!$A$7:$AZ$1000,0,IFERROR(MATCH(AH$5,'Oxford Economics'!$A$6:$AZ$6,0),MATCH(AH$5&amp;"",'Oxford Economics'!$A$6:$AZ$6,0))),'Oxford Economics'!$A$7:$A$1000,$C114,'Oxford Economics'!$B$7:$B$1000,Settings!$B$16)+IF(Settings!$B$18="",0,SUMIFS(INDEX('Oxford Economics'!$A$7:$AZ$1000,0,IFERROR(MATCH(AH$5,'Oxford Economics'!$A$6:$AZ$6,0),MATCH(AH$5&amp;"",'Oxford Economics'!$A$6:$AZ$6,0))),'Oxford Economics'!$A$7:$A$1000,$C114,'Oxford Economics'!$B$7:$B$1000,Settings!$B$18)))),""))</f>
        <v/>
      </c>
      <c r="AI114" s="38" t="str">
        <f aca="false">IF($A114="","",IFERROR(1/(1/IF($B114="Residential",SUMIFS(INDEX('Oxford Economics'!$A$7:$AZ$1000,0,IFERROR(MATCH(AI$5,'Oxford Economics'!$A$6:$AZ$6,0),MATCH(AI$5&amp;"",'Oxford Economics'!$A$6:$AZ$6,0))),'Oxford Economics'!$A$7:$A$1000,$C114,'Oxford Economics'!$B$7:$B$1000,Settings!$B$12)-SUMIFS(INDEX('Oxford Economics'!$A$7:$AZ$1000,0,IFERROR(MATCH(AI$5,'Oxford Economics'!$A$6:$AZ$6,0),MATCH(AI$5&amp;"",'Oxford Economics'!$A$6:$AZ$6,0))),'Oxford Economics'!$A$7:$A$1000,$C114,'Oxford Economics'!$B$7:$B$1000,Settings!$B$14),SUMIFS(INDEX('Oxford Economics'!$A$7:$AZ$1000,0,IFERROR(MATCH(AI$5,'Oxford Economics'!$A$6:$AZ$6,0),MATCH(AI$5&amp;"",'Oxford Economics'!$A$6:$AZ$6,0))),'Oxford Economics'!$A$7:$A$1000,$C114,'Oxford Economics'!$B$7:$B$1000,Settings!$B$14)+SUMIFS(INDEX('Oxford Economics'!$A$7:$AZ$1000,0,IFERROR(MATCH(AI$5,'Oxford Economics'!$A$6:$AZ$6,0),MATCH(AI$5&amp;"",'Oxford Economics'!$A$6:$AZ$6,0))),'Oxford Economics'!$A$7:$A$1000,$C114,'Oxford Economics'!$B$7:$B$1000,Settings!$B$16)+IF(Settings!$B$18="",0,SUMIFS(INDEX('Oxford Economics'!$A$7:$AZ$1000,0,IFERROR(MATCH(AI$5,'Oxford Economics'!$A$6:$AZ$6,0),MATCH(AI$5&amp;"",'Oxford Economics'!$A$6:$AZ$6,0))),'Oxford Economics'!$A$7:$A$1000,$C114,'Oxford Economics'!$B$7:$B$1000,Settings!$B$18)))),""))</f>
        <v/>
      </c>
      <c r="AJ114" s="38" t="str">
        <f aca="false">IF($A114="","",IFERROR(1/(1/IF($B114="Residential",SUMIFS(INDEX('Oxford Economics'!$A$7:$AZ$1000,0,IFERROR(MATCH(AJ$5,'Oxford Economics'!$A$6:$AZ$6,0),MATCH(AJ$5&amp;"",'Oxford Economics'!$A$6:$AZ$6,0))),'Oxford Economics'!$A$7:$A$1000,$C114,'Oxford Economics'!$B$7:$B$1000,Settings!$B$12)-SUMIFS(INDEX('Oxford Economics'!$A$7:$AZ$1000,0,IFERROR(MATCH(AJ$5,'Oxford Economics'!$A$6:$AZ$6,0),MATCH(AJ$5&amp;"",'Oxford Economics'!$A$6:$AZ$6,0))),'Oxford Economics'!$A$7:$A$1000,$C114,'Oxford Economics'!$B$7:$B$1000,Settings!$B$14),SUMIFS(INDEX('Oxford Economics'!$A$7:$AZ$1000,0,IFERROR(MATCH(AJ$5,'Oxford Economics'!$A$6:$AZ$6,0),MATCH(AJ$5&amp;"",'Oxford Economics'!$A$6:$AZ$6,0))),'Oxford Economics'!$A$7:$A$1000,$C114,'Oxford Economics'!$B$7:$B$1000,Settings!$B$14)+SUMIFS(INDEX('Oxford Economics'!$A$7:$AZ$1000,0,IFERROR(MATCH(AJ$5,'Oxford Economics'!$A$6:$AZ$6,0),MATCH(AJ$5&amp;"",'Oxford Economics'!$A$6:$AZ$6,0))),'Oxford Economics'!$A$7:$A$1000,$C114,'Oxford Economics'!$B$7:$B$1000,Settings!$B$16)+IF(Settings!$B$18="",0,SUMIFS(INDEX('Oxford Economics'!$A$7:$AZ$1000,0,IFERROR(MATCH(AJ$5,'Oxford Economics'!$A$6:$AZ$6,0),MATCH(AJ$5&amp;"",'Oxford Economics'!$A$6:$AZ$6,0))),'Oxford Economics'!$A$7:$A$1000,$C114,'Oxford Economics'!$B$7:$B$1000,Settings!$B$18)))),""))</f>
        <v/>
      </c>
      <c r="AK114" s="38" t="str">
        <f aca="false">IF($A114="","",IFERROR(1/(1/IF($B114="Residential",SUMIFS(INDEX('Oxford Economics'!$A$7:$AZ$1000,0,IFERROR(MATCH(AK$5,'Oxford Economics'!$A$6:$AZ$6,0),MATCH(AK$5&amp;"",'Oxford Economics'!$A$6:$AZ$6,0))),'Oxford Economics'!$A$7:$A$1000,$C114,'Oxford Economics'!$B$7:$B$1000,Settings!$B$12)-SUMIFS(INDEX('Oxford Economics'!$A$7:$AZ$1000,0,IFERROR(MATCH(AK$5,'Oxford Economics'!$A$6:$AZ$6,0),MATCH(AK$5&amp;"",'Oxford Economics'!$A$6:$AZ$6,0))),'Oxford Economics'!$A$7:$A$1000,$C114,'Oxford Economics'!$B$7:$B$1000,Settings!$B$14),SUMIFS(INDEX('Oxford Economics'!$A$7:$AZ$1000,0,IFERROR(MATCH(AK$5,'Oxford Economics'!$A$6:$AZ$6,0),MATCH(AK$5&amp;"",'Oxford Economics'!$A$6:$AZ$6,0))),'Oxford Economics'!$A$7:$A$1000,$C114,'Oxford Economics'!$B$7:$B$1000,Settings!$B$14)+SUMIFS(INDEX('Oxford Economics'!$A$7:$AZ$1000,0,IFERROR(MATCH(AK$5,'Oxford Economics'!$A$6:$AZ$6,0),MATCH(AK$5&amp;"",'Oxford Economics'!$A$6:$AZ$6,0))),'Oxford Economics'!$A$7:$A$1000,$C114,'Oxford Economics'!$B$7:$B$1000,Settings!$B$16)+IF(Settings!$B$18="",0,SUMIFS(INDEX('Oxford Economics'!$A$7:$AZ$1000,0,IFERROR(MATCH(AK$5,'Oxford Economics'!$A$6:$AZ$6,0),MATCH(AK$5&amp;"",'Oxford Economics'!$A$6:$AZ$6,0))),'Oxford Economics'!$A$7:$A$1000,$C114,'Oxford Economics'!$B$7:$B$1000,Settings!$B$18)))),""))</f>
        <v/>
      </c>
      <c r="AL114" s="38" t="str">
        <f aca="false">IF($A114="","",IFERROR(1/(1/IF($B114="Residential",SUMIFS(INDEX('Oxford Economics'!$A$7:$AZ$1000,0,IFERROR(MATCH(AL$5,'Oxford Economics'!$A$6:$AZ$6,0),MATCH(AL$5&amp;"",'Oxford Economics'!$A$6:$AZ$6,0))),'Oxford Economics'!$A$7:$A$1000,$C114,'Oxford Economics'!$B$7:$B$1000,Settings!$B$12)-SUMIFS(INDEX('Oxford Economics'!$A$7:$AZ$1000,0,IFERROR(MATCH(AL$5,'Oxford Economics'!$A$6:$AZ$6,0),MATCH(AL$5&amp;"",'Oxford Economics'!$A$6:$AZ$6,0))),'Oxford Economics'!$A$7:$A$1000,$C114,'Oxford Economics'!$B$7:$B$1000,Settings!$B$14),SUMIFS(INDEX('Oxford Economics'!$A$7:$AZ$1000,0,IFERROR(MATCH(AL$5,'Oxford Economics'!$A$6:$AZ$6,0),MATCH(AL$5&amp;"",'Oxford Economics'!$A$6:$AZ$6,0))),'Oxford Economics'!$A$7:$A$1000,$C114,'Oxford Economics'!$B$7:$B$1000,Settings!$B$14)+SUMIFS(INDEX('Oxford Economics'!$A$7:$AZ$1000,0,IFERROR(MATCH(AL$5,'Oxford Economics'!$A$6:$AZ$6,0),MATCH(AL$5&amp;"",'Oxford Economics'!$A$6:$AZ$6,0))),'Oxford Economics'!$A$7:$A$1000,$C114,'Oxford Economics'!$B$7:$B$1000,Settings!$B$16)+IF(Settings!$B$18="",0,SUMIFS(INDEX('Oxford Economics'!$A$7:$AZ$1000,0,IFERROR(MATCH(AL$5,'Oxford Economics'!$A$6:$AZ$6,0),MATCH(AL$5&amp;"",'Oxford Economics'!$A$6:$AZ$6,0))),'Oxford Economics'!$A$7:$A$1000,$C114,'Oxford Economics'!$B$7:$B$1000,Settings!$B$18)))),""))</f>
        <v/>
      </c>
      <c r="AM114" s="38" t="str">
        <f aca="false">IF($A114="","",IFERROR(1/(1/IF($B114="Residential",SUMIFS(INDEX('Oxford Economics'!$A$7:$AZ$1000,0,IFERROR(MATCH(AM$5,'Oxford Economics'!$A$6:$AZ$6,0),MATCH(AM$5&amp;"",'Oxford Economics'!$A$6:$AZ$6,0))),'Oxford Economics'!$A$7:$A$1000,$C114,'Oxford Economics'!$B$7:$B$1000,Settings!$B$12)-SUMIFS(INDEX('Oxford Economics'!$A$7:$AZ$1000,0,IFERROR(MATCH(AM$5,'Oxford Economics'!$A$6:$AZ$6,0),MATCH(AM$5&amp;"",'Oxford Economics'!$A$6:$AZ$6,0))),'Oxford Economics'!$A$7:$A$1000,$C114,'Oxford Economics'!$B$7:$B$1000,Settings!$B$14),SUMIFS(INDEX('Oxford Economics'!$A$7:$AZ$1000,0,IFERROR(MATCH(AM$5,'Oxford Economics'!$A$6:$AZ$6,0),MATCH(AM$5&amp;"",'Oxford Economics'!$A$6:$AZ$6,0))),'Oxford Economics'!$A$7:$A$1000,$C114,'Oxford Economics'!$B$7:$B$1000,Settings!$B$14)+SUMIFS(INDEX('Oxford Economics'!$A$7:$AZ$1000,0,IFERROR(MATCH(AM$5,'Oxford Economics'!$A$6:$AZ$6,0),MATCH(AM$5&amp;"",'Oxford Economics'!$A$6:$AZ$6,0))),'Oxford Economics'!$A$7:$A$1000,$C114,'Oxford Economics'!$B$7:$B$1000,Settings!$B$16)+IF(Settings!$B$18="",0,SUMIFS(INDEX('Oxford Economics'!$A$7:$AZ$1000,0,IFERROR(MATCH(AM$5,'Oxford Economics'!$A$6:$AZ$6,0),MATCH(AM$5&amp;"",'Oxford Economics'!$A$6:$AZ$6,0))),'Oxford Economics'!$A$7:$A$1000,$C114,'Oxford Economics'!$B$7:$B$1000,Settings!$B$18)))),""))</f>
        <v/>
      </c>
    </row>
    <row r="115" customFormat="false" ht="15" hidden="false" customHeight="false" outlineLevel="0" collapsed="false">
      <c r="A115" s="37" t="str">
        <f aca="false">IF('Raw data'!$A115="","",'Raw data'!$A115)</f>
        <v/>
      </c>
      <c r="B115" s="37" t="str">
        <f aca="false">IF($A115="","",'Raw data'!$C115)</f>
        <v/>
      </c>
      <c r="C115" s="37" t="str">
        <f aca="false">IF($A115="","",IF('Raw data'!$E115="",$A115,'Raw data'!$E115))</f>
        <v/>
      </c>
      <c r="D115" s="38" t="str">
        <f aca="false">IF($A115="","",IF(AND(ISNUMBER(P115),ISNUMBER(AB115)),P115+AB115,""))</f>
        <v/>
      </c>
      <c r="E115" s="38" t="str">
        <f aca="false">IF($A115="","",IF(AND(ISNUMBER(Q115),ISNUMBER(AC115)),Q115+AC115,""))</f>
        <v/>
      </c>
      <c r="F115" s="38" t="str">
        <f aca="false">IF($A115="","",IF(AND(ISNUMBER(R115),ISNUMBER(AD115)),R115+AD115,""))</f>
        <v/>
      </c>
      <c r="G115" s="38" t="str">
        <f aca="false">IF($A115="","",IF(AND(ISNUMBER(S115),ISNUMBER(AE115)),S115+AE115,""))</f>
        <v/>
      </c>
      <c r="H115" s="38" t="str">
        <f aca="false">IF($A115="","",IF(AND(ISNUMBER(T115),ISNUMBER(AF115)),T115+AF115,""))</f>
        <v/>
      </c>
      <c r="I115" s="38" t="str">
        <f aca="false">IF($A115="","",IF(AND(ISNUMBER(U115),ISNUMBER(AG115)),U115+AG115,""))</f>
        <v/>
      </c>
      <c r="J115" s="38" t="str">
        <f aca="false">IF($A115="","",IF(AND(ISNUMBER(V115),ISNUMBER(AH115)),V115+AH115,""))</f>
        <v/>
      </c>
      <c r="K115" s="38" t="str">
        <f aca="false">IF($A115="","",IF(AND(ISNUMBER(W115),ISNUMBER(AI115)),W115+AI115,""))</f>
        <v/>
      </c>
      <c r="L115" s="38" t="str">
        <f aca="false">IF($A115="","",IF(AND(ISNUMBER(X115),ISNUMBER(AJ115)),X115+AJ115,""))</f>
        <v/>
      </c>
      <c r="M115" s="38" t="str">
        <f aca="false">IF($A115="","",IF(AND(ISNUMBER(Y115),ISNUMBER(AK115)),Y115+AK115,""))</f>
        <v/>
      </c>
      <c r="N115" s="38" t="str">
        <f aca="false">IF($A115="","",IF(AND(ISNUMBER(Z115),ISNUMBER(AL115)),Z115+AL115,""))</f>
        <v/>
      </c>
      <c r="O115" s="38" t="str">
        <f aca="false">IF($A115="","",IF(AND(ISNUMBER(AA115),ISNUMBER(AM115)),AA115+AM115,""))</f>
        <v/>
      </c>
      <c r="P115" s="38" t="str">
        <f aca="false">IF($A115="","",IFERROR(1/(1/IF($B115="Residential",SUMIFS(INDEX('Oxford Economics'!$A$7:$AZ$1000,0,IFERROR(MATCH(P$5,'Oxford Economics'!$A$6:$AZ$6,0),MATCH(P$5&amp;"",'Oxford Economics'!$A$6:$AZ$6,0))),'Oxford Economics'!$A$7:$A$1000,$C115,'Oxford Economics'!$B$7:$B$1000,Settings!$B$13)-SUMIFS(INDEX('Oxford Economics'!$A$7:$AZ$1000,0,IFERROR(MATCH(P$5,'Oxford Economics'!$A$6:$AZ$6,0),MATCH(P$5&amp;"",'Oxford Economics'!$A$6:$AZ$6,0))),'Oxford Economics'!$A$7:$A$1000,$C115,'Oxford Economics'!$B$7:$B$1000,Settings!$B$15),SUMIFS(INDEX('Oxford Economics'!$A$7:$AZ$1000,0,IFERROR(MATCH(P$5,'Oxford Economics'!$A$6:$AZ$6,0),MATCH(P$5&amp;"",'Oxford Economics'!$A$6:$AZ$6,0))),'Oxford Economics'!$A$7:$A$1000,$C115,'Oxford Economics'!$B$7:$B$1000,Settings!$B$15)+SUMIFS(INDEX('Oxford Economics'!$A$7:$AZ$1000,0,IFERROR(MATCH(P$5,'Oxford Economics'!$A$6:$AZ$6,0),MATCH(P$5&amp;"",'Oxford Economics'!$A$6:$AZ$6,0))),'Oxford Economics'!$A$7:$A$1000,$C115,'Oxford Economics'!$B$7:$B$1000,Settings!$B$17)+IF(Settings!$B$19="",0,SUMIFS(INDEX('Oxford Economics'!$A$7:$AZ$1000,0,IFERROR(MATCH(P$5,'Oxford Economics'!$A$6:$AZ$6,0),MATCH(P$5&amp;"",'Oxford Economics'!$A$6:$AZ$6,0))),'Oxford Economics'!$A$7:$A$1000,$C115,'Oxford Economics'!$B$7:$B$1000,Settings!$B$19)))),""))</f>
        <v/>
      </c>
      <c r="Q115" s="38" t="str">
        <f aca="false">IF($A115="","",IFERROR(1/(1/IF($B115="Residential",SUMIFS(INDEX('Oxford Economics'!$A$7:$AZ$1000,0,IFERROR(MATCH(Q$5,'Oxford Economics'!$A$6:$AZ$6,0),MATCH(Q$5&amp;"",'Oxford Economics'!$A$6:$AZ$6,0))),'Oxford Economics'!$A$7:$A$1000,$C115,'Oxford Economics'!$B$7:$B$1000,Settings!$B$13)-SUMIFS(INDEX('Oxford Economics'!$A$7:$AZ$1000,0,IFERROR(MATCH(Q$5,'Oxford Economics'!$A$6:$AZ$6,0),MATCH(Q$5&amp;"",'Oxford Economics'!$A$6:$AZ$6,0))),'Oxford Economics'!$A$7:$A$1000,$C115,'Oxford Economics'!$B$7:$B$1000,Settings!$B$15),SUMIFS(INDEX('Oxford Economics'!$A$7:$AZ$1000,0,IFERROR(MATCH(Q$5,'Oxford Economics'!$A$6:$AZ$6,0),MATCH(Q$5&amp;"",'Oxford Economics'!$A$6:$AZ$6,0))),'Oxford Economics'!$A$7:$A$1000,$C115,'Oxford Economics'!$B$7:$B$1000,Settings!$B$15)+SUMIFS(INDEX('Oxford Economics'!$A$7:$AZ$1000,0,IFERROR(MATCH(Q$5,'Oxford Economics'!$A$6:$AZ$6,0),MATCH(Q$5&amp;"",'Oxford Economics'!$A$6:$AZ$6,0))),'Oxford Economics'!$A$7:$A$1000,$C115,'Oxford Economics'!$B$7:$B$1000,Settings!$B$17)+IF(Settings!$B$19="",0,SUMIFS(INDEX('Oxford Economics'!$A$7:$AZ$1000,0,IFERROR(MATCH(Q$5,'Oxford Economics'!$A$6:$AZ$6,0),MATCH(Q$5&amp;"",'Oxford Economics'!$A$6:$AZ$6,0))),'Oxford Economics'!$A$7:$A$1000,$C115,'Oxford Economics'!$B$7:$B$1000,Settings!$B$19)))),""))</f>
        <v/>
      </c>
      <c r="R115" s="38" t="str">
        <f aca="false">IF($A115="","",IFERROR(1/(1/IF($B115="Residential",SUMIFS(INDEX('Oxford Economics'!$A$7:$AZ$1000,0,IFERROR(MATCH(R$5,'Oxford Economics'!$A$6:$AZ$6,0),MATCH(R$5&amp;"",'Oxford Economics'!$A$6:$AZ$6,0))),'Oxford Economics'!$A$7:$A$1000,$C115,'Oxford Economics'!$B$7:$B$1000,Settings!$B$13)-SUMIFS(INDEX('Oxford Economics'!$A$7:$AZ$1000,0,IFERROR(MATCH(R$5,'Oxford Economics'!$A$6:$AZ$6,0),MATCH(R$5&amp;"",'Oxford Economics'!$A$6:$AZ$6,0))),'Oxford Economics'!$A$7:$A$1000,$C115,'Oxford Economics'!$B$7:$B$1000,Settings!$B$15),SUMIFS(INDEX('Oxford Economics'!$A$7:$AZ$1000,0,IFERROR(MATCH(R$5,'Oxford Economics'!$A$6:$AZ$6,0),MATCH(R$5&amp;"",'Oxford Economics'!$A$6:$AZ$6,0))),'Oxford Economics'!$A$7:$A$1000,$C115,'Oxford Economics'!$B$7:$B$1000,Settings!$B$15)+SUMIFS(INDEX('Oxford Economics'!$A$7:$AZ$1000,0,IFERROR(MATCH(R$5,'Oxford Economics'!$A$6:$AZ$6,0),MATCH(R$5&amp;"",'Oxford Economics'!$A$6:$AZ$6,0))),'Oxford Economics'!$A$7:$A$1000,$C115,'Oxford Economics'!$B$7:$B$1000,Settings!$B$17)+IF(Settings!$B$19="",0,SUMIFS(INDEX('Oxford Economics'!$A$7:$AZ$1000,0,IFERROR(MATCH(R$5,'Oxford Economics'!$A$6:$AZ$6,0),MATCH(R$5&amp;"",'Oxford Economics'!$A$6:$AZ$6,0))),'Oxford Economics'!$A$7:$A$1000,$C115,'Oxford Economics'!$B$7:$B$1000,Settings!$B$19)))),""))</f>
        <v/>
      </c>
      <c r="S115" s="38" t="str">
        <f aca="false">IF($A115="","",IFERROR(1/(1/IF($B115="Residential",SUMIFS(INDEX('Oxford Economics'!$A$7:$AZ$1000,0,IFERROR(MATCH(S$5,'Oxford Economics'!$A$6:$AZ$6,0),MATCH(S$5&amp;"",'Oxford Economics'!$A$6:$AZ$6,0))),'Oxford Economics'!$A$7:$A$1000,$C115,'Oxford Economics'!$B$7:$B$1000,Settings!$B$13)-SUMIFS(INDEX('Oxford Economics'!$A$7:$AZ$1000,0,IFERROR(MATCH(S$5,'Oxford Economics'!$A$6:$AZ$6,0),MATCH(S$5&amp;"",'Oxford Economics'!$A$6:$AZ$6,0))),'Oxford Economics'!$A$7:$A$1000,$C115,'Oxford Economics'!$B$7:$B$1000,Settings!$B$15),SUMIFS(INDEX('Oxford Economics'!$A$7:$AZ$1000,0,IFERROR(MATCH(S$5,'Oxford Economics'!$A$6:$AZ$6,0),MATCH(S$5&amp;"",'Oxford Economics'!$A$6:$AZ$6,0))),'Oxford Economics'!$A$7:$A$1000,$C115,'Oxford Economics'!$B$7:$B$1000,Settings!$B$15)+SUMIFS(INDEX('Oxford Economics'!$A$7:$AZ$1000,0,IFERROR(MATCH(S$5,'Oxford Economics'!$A$6:$AZ$6,0),MATCH(S$5&amp;"",'Oxford Economics'!$A$6:$AZ$6,0))),'Oxford Economics'!$A$7:$A$1000,$C115,'Oxford Economics'!$B$7:$B$1000,Settings!$B$17)+IF(Settings!$B$19="",0,SUMIFS(INDEX('Oxford Economics'!$A$7:$AZ$1000,0,IFERROR(MATCH(S$5,'Oxford Economics'!$A$6:$AZ$6,0),MATCH(S$5&amp;"",'Oxford Economics'!$A$6:$AZ$6,0))),'Oxford Economics'!$A$7:$A$1000,$C115,'Oxford Economics'!$B$7:$B$1000,Settings!$B$19)))),""))</f>
        <v/>
      </c>
      <c r="T115" s="38" t="str">
        <f aca="false">IF($A115="","",IFERROR(1/(1/IF($B115="Residential",SUMIFS(INDEX('Oxford Economics'!$A$7:$AZ$1000,0,IFERROR(MATCH(T$5,'Oxford Economics'!$A$6:$AZ$6,0),MATCH(T$5&amp;"",'Oxford Economics'!$A$6:$AZ$6,0))),'Oxford Economics'!$A$7:$A$1000,$C115,'Oxford Economics'!$B$7:$B$1000,Settings!$B$13)-SUMIFS(INDEX('Oxford Economics'!$A$7:$AZ$1000,0,IFERROR(MATCH(T$5,'Oxford Economics'!$A$6:$AZ$6,0),MATCH(T$5&amp;"",'Oxford Economics'!$A$6:$AZ$6,0))),'Oxford Economics'!$A$7:$A$1000,$C115,'Oxford Economics'!$B$7:$B$1000,Settings!$B$15),SUMIFS(INDEX('Oxford Economics'!$A$7:$AZ$1000,0,IFERROR(MATCH(T$5,'Oxford Economics'!$A$6:$AZ$6,0),MATCH(T$5&amp;"",'Oxford Economics'!$A$6:$AZ$6,0))),'Oxford Economics'!$A$7:$A$1000,$C115,'Oxford Economics'!$B$7:$B$1000,Settings!$B$15)+SUMIFS(INDEX('Oxford Economics'!$A$7:$AZ$1000,0,IFERROR(MATCH(T$5,'Oxford Economics'!$A$6:$AZ$6,0),MATCH(T$5&amp;"",'Oxford Economics'!$A$6:$AZ$6,0))),'Oxford Economics'!$A$7:$A$1000,$C115,'Oxford Economics'!$B$7:$B$1000,Settings!$B$17)+IF(Settings!$B$19="",0,SUMIFS(INDEX('Oxford Economics'!$A$7:$AZ$1000,0,IFERROR(MATCH(T$5,'Oxford Economics'!$A$6:$AZ$6,0),MATCH(T$5&amp;"",'Oxford Economics'!$A$6:$AZ$6,0))),'Oxford Economics'!$A$7:$A$1000,$C115,'Oxford Economics'!$B$7:$B$1000,Settings!$B$19)))),""))</f>
        <v/>
      </c>
      <c r="U115" s="38" t="str">
        <f aca="false">IF($A115="","",IFERROR(1/(1/IF($B115="Residential",SUMIFS(INDEX('Oxford Economics'!$A$7:$AZ$1000,0,IFERROR(MATCH(U$5,'Oxford Economics'!$A$6:$AZ$6,0),MATCH(U$5&amp;"",'Oxford Economics'!$A$6:$AZ$6,0))),'Oxford Economics'!$A$7:$A$1000,$C115,'Oxford Economics'!$B$7:$B$1000,Settings!$B$13)-SUMIFS(INDEX('Oxford Economics'!$A$7:$AZ$1000,0,IFERROR(MATCH(U$5,'Oxford Economics'!$A$6:$AZ$6,0),MATCH(U$5&amp;"",'Oxford Economics'!$A$6:$AZ$6,0))),'Oxford Economics'!$A$7:$A$1000,$C115,'Oxford Economics'!$B$7:$B$1000,Settings!$B$15),SUMIFS(INDEX('Oxford Economics'!$A$7:$AZ$1000,0,IFERROR(MATCH(U$5,'Oxford Economics'!$A$6:$AZ$6,0),MATCH(U$5&amp;"",'Oxford Economics'!$A$6:$AZ$6,0))),'Oxford Economics'!$A$7:$A$1000,$C115,'Oxford Economics'!$B$7:$B$1000,Settings!$B$15)+SUMIFS(INDEX('Oxford Economics'!$A$7:$AZ$1000,0,IFERROR(MATCH(U$5,'Oxford Economics'!$A$6:$AZ$6,0),MATCH(U$5&amp;"",'Oxford Economics'!$A$6:$AZ$6,0))),'Oxford Economics'!$A$7:$A$1000,$C115,'Oxford Economics'!$B$7:$B$1000,Settings!$B$17)+IF(Settings!$B$19="",0,SUMIFS(INDEX('Oxford Economics'!$A$7:$AZ$1000,0,IFERROR(MATCH(U$5,'Oxford Economics'!$A$6:$AZ$6,0),MATCH(U$5&amp;"",'Oxford Economics'!$A$6:$AZ$6,0))),'Oxford Economics'!$A$7:$A$1000,$C115,'Oxford Economics'!$B$7:$B$1000,Settings!$B$19)))),""))</f>
        <v/>
      </c>
      <c r="V115" s="38" t="str">
        <f aca="false">IF($A115="","",IFERROR(1/(1/IF($B115="Residential",SUMIFS(INDEX('Oxford Economics'!$A$7:$AZ$1000,0,IFERROR(MATCH(V$5,'Oxford Economics'!$A$6:$AZ$6,0),MATCH(V$5&amp;"",'Oxford Economics'!$A$6:$AZ$6,0))),'Oxford Economics'!$A$7:$A$1000,$C115,'Oxford Economics'!$B$7:$B$1000,Settings!$B$13)-SUMIFS(INDEX('Oxford Economics'!$A$7:$AZ$1000,0,IFERROR(MATCH(V$5,'Oxford Economics'!$A$6:$AZ$6,0),MATCH(V$5&amp;"",'Oxford Economics'!$A$6:$AZ$6,0))),'Oxford Economics'!$A$7:$A$1000,$C115,'Oxford Economics'!$B$7:$B$1000,Settings!$B$15),SUMIFS(INDEX('Oxford Economics'!$A$7:$AZ$1000,0,IFERROR(MATCH(V$5,'Oxford Economics'!$A$6:$AZ$6,0),MATCH(V$5&amp;"",'Oxford Economics'!$A$6:$AZ$6,0))),'Oxford Economics'!$A$7:$A$1000,$C115,'Oxford Economics'!$B$7:$B$1000,Settings!$B$15)+SUMIFS(INDEX('Oxford Economics'!$A$7:$AZ$1000,0,IFERROR(MATCH(V$5,'Oxford Economics'!$A$6:$AZ$6,0),MATCH(V$5&amp;"",'Oxford Economics'!$A$6:$AZ$6,0))),'Oxford Economics'!$A$7:$A$1000,$C115,'Oxford Economics'!$B$7:$B$1000,Settings!$B$17)+IF(Settings!$B$19="",0,SUMIFS(INDEX('Oxford Economics'!$A$7:$AZ$1000,0,IFERROR(MATCH(V$5,'Oxford Economics'!$A$6:$AZ$6,0),MATCH(V$5&amp;"",'Oxford Economics'!$A$6:$AZ$6,0))),'Oxford Economics'!$A$7:$A$1000,$C115,'Oxford Economics'!$B$7:$B$1000,Settings!$B$19)))),""))</f>
        <v/>
      </c>
      <c r="W115" s="38" t="str">
        <f aca="false">IF($A115="","",IFERROR(1/(1/IF($B115="Residential",SUMIFS(INDEX('Oxford Economics'!$A$7:$AZ$1000,0,IFERROR(MATCH(W$5,'Oxford Economics'!$A$6:$AZ$6,0),MATCH(W$5&amp;"",'Oxford Economics'!$A$6:$AZ$6,0))),'Oxford Economics'!$A$7:$A$1000,$C115,'Oxford Economics'!$B$7:$B$1000,Settings!$B$13)-SUMIFS(INDEX('Oxford Economics'!$A$7:$AZ$1000,0,IFERROR(MATCH(W$5,'Oxford Economics'!$A$6:$AZ$6,0),MATCH(W$5&amp;"",'Oxford Economics'!$A$6:$AZ$6,0))),'Oxford Economics'!$A$7:$A$1000,$C115,'Oxford Economics'!$B$7:$B$1000,Settings!$B$15),SUMIFS(INDEX('Oxford Economics'!$A$7:$AZ$1000,0,IFERROR(MATCH(W$5,'Oxford Economics'!$A$6:$AZ$6,0),MATCH(W$5&amp;"",'Oxford Economics'!$A$6:$AZ$6,0))),'Oxford Economics'!$A$7:$A$1000,$C115,'Oxford Economics'!$B$7:$B$1000,Settings!$B$15)+SUMIFS(INDEX('Oxford Economics'!$A$7:$AZ$1000,0,IFERROR(MATCH(W$5,'Oxford Economics'!$A$6:$AZ$6,0),MATCH(W$5&amp;"",'Oxford Economics'!$A$6:$AZ$6,0))),'Oxford Economics'!$A$7:$A$1000,$C115,'Oxford Economics'!$B$7:$B$1000,Settings!$B$17)+IF(Settings!$B$19="",0,SUMIFS(INDEX('Oxford Economics'!$A$7:$AZ$1000,0,IFERROR(MATCH(W$5,'Oxford Economics'!$A$6:$AZ$6,0),MATCH(W$5&amp;"",'Oxford Economics'!$A$6:$AZ$6,0))),'Oxford Economics'!$A$7:$A$1000,$C115,'Oxford Economics'!$B$7:$B$1000,Settings!$B$19)))),""))</f>
        <v/>
      </c>
      <c r="X115" s="38" t="str">
        <f aca="false">IF($A115="","",IFERROR(1/(1/IF($B115="Residential",SUMIFS(INDEX('Oxford Economics'!$A$7:$AZ$1000,0,IFERROR(MATCH(X$5,'Oxford Economics'!$A$6:$AZ$6,0),MATCH(X$5&amp;"",'Oxford Economics'!$A$6:$AZ$6,0))),'Oxford Economics'!$A$7:$A$1000,$C115,'Oxford Economics'!$B$7:$B$1000,Settings!$B$13)-SUMIFS(INDEX('Oxford Economics'!$A$7:$AZ$1000,0,IFERROR(MATCH(X$5,'Oxford Economics'!$A$6:$AZ$6,0),MATCH(X$5&amp;"",'Oxford Economics'!$A$6:$AZ$6,0))),'Oxford Economics'!$A$7:$A$1000,$C115,'Oxford Economics'!$B$7:$B$1000,Settings!$B$15),SUMIFS(INDEX('Oxford Economics'!$A$7:$AZ$1000,0,IFERROR(MATCH(X$5,'Oxford Economics'!$A$6:$AZ$6,0),MATCH(X$5&amp;"",'Oxford Economics'!$A$6:$AZ$6,0))),'Oxford Economics'!$A$7:$A$1000,$C115,'Oxford Economics'!$B$7:$B$1000,Settings!$B$15)+SUMIFS(INDEX('Oxford Economics'!$A$7:$AZ$1000,0,IFERROR(MATCH(X$5,'Oxford Economics'!$A$6:$AZ$6,0),MATCH(X$5&amp;"",'Oxford Economics'!$A$6:$AZ$6,0))),'Oxford Economics'!$A$7:$A$1000,$C115,'Oxford Economics'!$B$7:$B$1000,Settings!$B$17)+IF(Settings!$B$19="",0,SUMIFS(INDEX('Oxford Economics'!$A$7:$AZ$1000,0,IFERROR(MATCH(X$5,'Oxford Economics'!$A$6:$AZ$6,0),MATCH(X$5&amp;"",'Oxford Economics'!$A$6:$AZ$6,0))),'Oxford Economics'!$A$7:$A$1000,$C115,'Oxford Economics'!$B$7:$B$1000,Settings!$B$19)))),""))</f>
        <v/>
      </c>
      <c r="Y115" s="38" t="str">
        <f aca="false">IF($A115="","",IFERROR(1/(1/IF($B115="Residential",SUMIFS(INDEX('Oxford Economics'!$A$7:$AZ$1000,0,IFERROR(MATCH(Y$5,'Oxford Economics'!$A$6:$AZ$6,0),MATCH(Y$5&amp;"",'Oxford Economics'!$A$6:$AZ$6,0))),'Oxford Economics'!$A$7:$A$1000,$C115,'Oxford Economics'!$B$7:$B$1000,Settings!$B$13)-SUMIFS(INDEX('Oxford Economics'!$A$7:$AZ$1000,0,IFERROR(MATCH(Y$5,'Oxford Economics'!$A$6:$AZ$6,0),MATCH(Y$5&amp;"",'Oxford Economics'!$A$6:$AZ$6,0))),'Oxford Economics'!$A$7:$A$1000,$C115,'Oxford Economics'!$B$7:$B$1000,Settings!$B$15),SUMIFS(INDEX('Oxford Economics'!$A$7:$AZ$1000,0,IFERROR(MATCH(Y$5,'Oxford Economics'!$A$6:$AZ$6,0),MATCH(Y$5&amp;"",'Oxford Economics'!$A$6:$AZ$6,0))),'Oxford Economics'!$A$7:$A$1000,$C115,'Oxford Economics'!$B$7:$B$1000,Settings!$B$15)+SUMIFS(INDEX('Oxford Economics'!$A$7:$AZ$1000,0,IFERROR(MATCH(Y$5,'Oxford Economics'!$A$6:$AZ$6,0),MATCH(Y$5&amp;"",'Oxford Economics'!$A$6:$AZ$6,0))),'Oxford Economics'!$A$7:$A$1000,$C115,'Oxford Economics'!$B$7:$B$1000,Settings!$B$17)+IF(Settings!$B$19="",0,SUMIFS(INDEX('Oxford Economics'!$A$7:$AZ$1000,0,IFERROR(MATCH(Y$5,'Oxford Economics'!$A$6:$AZ$6,0),MATCH(Y$5&amp;"",'Oxford Economics'!$A$6:$AZ$6,0))),'Oxford Economics'!$A$7:$A$1000,$C115,'Oxford Economics'!$B$7:$B$1000,Settings!$B$19)))),""))</f>
        <v/>
      </c>
      <c r="Z115" s="38" t="str">
        <f aca="false">IF($A115="","",IFERROR(1/(1/IF($B115="Residential",SUMIFS(INDEX('Oxford Economics'!$A$7:$AZ$1000,0,IFERROR(MATCH(Z$5,'Oxford Economics'!$A$6:$AZ$6,0),MATCH(Z$5&amp;"",'Oxford Economics'!$A$6:$AZ$6,0))),'Oxford Economics'!$A$7:$A$1000,$C115,'Oxford Economics'!$B$7:$B$1000,Settings!$B$13)-SUMIFS(INDEX('Oxford Economics'!$A$7:$AZ$1000,0,IFERROR(MATCH(Z$5,'Oxford Economics'!$A$6:$AZ$6,0),MATCH(Z$5&amp;"",'Oxford Economics'!$A$6:$AZ$6,0))),'Oxford Economics'!$A$7:$A$1000,$C115,'Oxford Economics'!$B$7:$B$1000,Settings!$B$15),SUMIFS(INDEX('Oxford Economics'!$A$7:$AZ$1000,0,IFERROR(MATCH(Z$5,'Oxford Economics'!$A$6:$AZ$6,0),MATCH(Z$5&amp;"",'Oxford Economics'!$A$6:$AZ$6,0))),'Oxford Economics'!$A$7:$A$1000,$C115,'Oxford Economics'!$B$7:$B$1000,Settings!$B$15)+SUMIFS(INDEX('Oxford Economics'!$A$7:$AZ$1000,0,IFERROR(MATCH(Z$5,'Oxford Economics'!$A$6:$AZ$6,0),MATCH(Z$5&amp;"",'Oxford Economics'!$A$6:$AZ$6,0))),'Oxford Economics'!$A$7:$A$1000,$C115,'Oxford Economics'!$B$7:$B$1000,Settings!$B$17)+IF(Settings!$B$19="",0,SUMIFS(INDEX('Oxford Economics'!$A$7:$AZ$1000,0,IFERROR(MATCH(Z$5,'Oxford Economics'!$A$6:$AZ$6,0),MATCH(Z$5&amp;"",'Oxford Economics'!$A$6:$AZ$6,0))),'Oxford Economics'!$A$7:$A$1000,$C115,'Oxford Economics'!$B$7:$B$1000,Settings!$B$19)))),""))</f>
        <v/>
      </c>
      <c r="AA115" s="38" t="str">
        <f aca="false">IF($A115="","",IFERROR(1/(1/IF($B115="Residential",SUMIFS(INDEX('Oxford Economics'!$A$7:$AZ$1000,0,IFERROR(MATCH(AA$5,'Oxford Economics'!$A$6:$AZ$6,0),MATCH(AA$5&amp;"",'Oxford Economics'!$A$6:$AZ$6,0))),'Oxford Economics'!$A$7:$A$1000,$C115,'Oxford Economics'!$B$7:$B$1000,Settings!$B$13)-SUMIFS(INDEX('Oxford Economics'!$A$7:$AZ$1000,0,IFERROR(MATCH(AA$5,'Oxford Economics'!$A$6:$AZ$6,0),MATCH(AA$5&amp;"",'Oxford Economics'!$A$6:$AZ$6,0))),'Oxford Economics'!$A$7:$A$1000,$C115,'Oxford Economics'!$B$7:$B$1000,Settings!$B$15),SUMIFS(INDEX('Oxford Economics'!$A$7:$AZ$1000,0,IFERROR(MATCH(AA$5,'Oxford Economics'!$A$6:$AZ$6,0),MATCH(AA$5&amp;"",'Oxford Economics'!$A$6:$AZ$6,0))),'Oxford Economics'!$A$7:$A$1000,$C115,'Oxford Economics'!$B$7:$B$1000,Settings!$B$15)+SUMIFS(INDEX('Oxford Economics'!$A$7:$AZ$1000,0,IFERROR(MATCH(AA$5,'Oxford Economics'!$A$6:$AZ$6,0),MATCH(AA$5&amp;"",'Oxford Economics'!$A$6:$AZ$6,0))),'Oxford Economics'!$A$7:$A$1000,$C115,'Oxford Economics'!$B$7:$B$1000,Settings!$B$17)+IF(Settings!$B$19="",0,SUMIFS(INDEX('Oxford Economics'!$A$7:$AZ$1000,0,IFERROR(MATCH(AA$5,'Oxford Economics'!$A$6:$AZ$6,0),MATCH(AA$5&amp;"",'Oxford Economics'!$A$6:$AZ$6,0))),'Oxford Economics'!$A$7:$A$1000,$C115,'Oxford Economics'!$B$7:$B$1000,Settings!$B$19)))),""))</f>
        <v/>
      </c>
      <c r="AB115" s="38" t="str">
        <f aca="false">IF($A115="","",IFERROR(1/(1/IF($B115="Residential",SUMIFS(INDEX('Oxford Economics'!$A$7:$AZ$1000,0,IFERROR(MATCH(AB$5,'Oxford Economics'!$A$6:$AZ$6,0),MATCH(AB$5&amp;"",'Oxford Economics'!$A$6:$AZ$6,0))),'Oxford Economics'!$A$7:$A$1000,$C115,'Oxford Economics'!$B$7:$B$1000,Settings!$B$12)-SUMIFS(INDEX('Oxford Economics'!$A$7:$AZ$1000,0,IFERROR(MATCH(AB$5,'Oxford Economics'!$A$6:$AZ$6,0),MATCH(AB$5&amp;"",'Oxford Economics'!$A$6:$AZ$6,0))),'Oxford Economics'!$A$7:$A$1000,$C115,'Oxford Economics'!$B$7:$B$1000,Settings!$B$14),SUMIFS(INDEX('Oxford Economics'!$A$7:$AZ$1000,0,IFERROR(MATCH(AB$5,'Oxford Economics'!$A$6:$AZ$6,0),MATCH(AB$5&amp;"",'Oxford Economics'!$A$6:$AZ$6,0))),'Oxford Economics'!$A$7:$A$1000,$C115,'Oxford Economics'!$B$7:$B$1000,Settings!$B$14)+SUMIFS(INDEX('Oxford Economics'!$A$7:$AZ$1000,0,IFERROR(MATCH(AB$5,'Oxford Economics'!$A$6:$AZ$6,0),MATCH(AB$5&amp;"",'Oxford Economics'!$A$6:$AZ$6,0))),'Oxford Economics'!$A$7:$A$1000,$C115,'Oxford Economics'!$B$7:$B$1000,Settings!$B$16)+IF(Settings!$B$18="",0,SUMIFS(INDEX('Oxford Economics'!$A$7:$AZ$1000,0,IFERROR(MATCH(AB$5,'Oxford Economics'!$A$6:$AZ$6,0),MATCH(AB$5&amp;"",'Oxford Economics'!$A$6:$AZ$6,0))),'Oxford Economics'!$A$7:$A$1000,$C115,'Oxford Economics'!$B$7:$B$1000,Settings!$B$18)))),""))</f>
        <v/>
      </c>
      <c r="AC115" s="38" t="str">
        <f aca="false">IF($A115="","",IFERROR(1/(1/IF($B115="Residential",SUMIFS(INDEX('Oxford Economics'!$A$7:$AZ$1000,0,IFERROR(MATCH(AC$5,'Oxford Economics'!$A$6:$AZ$6,0),MATCH(AC$5&amp;"",'Oxford Economics'!$A$6:$AZ$6,0))),'Oxford Economics'!$A$7:$A$1000,$C115,'Oxford Economics'!$B$7:$B$1000,Settings!$B$12)-SUMIFS(INDEX('Oxford Economics'!$A$7:$AZ$1000,0,IFERROR(MATCH(AC$5,'Oxford Economics'!$A$6:$AZ$6,0),MATCH(AC$5&amp;"",'Oxford Economics'!$A$6:$AZ$6,0))),'Oxford Economics'!$A$7:$A$1000,$C115,'Oxford Economics'!$B$7:$B$1000,Settings!$B$14),SUMIFS(INDEX('Oxford Economics'!$A$7:$AZ$1000,0,IFERROR(MATCH(AC$5,'Oxford Economics'!$A$6:$AZ$6,0),MATCH(AC$5&amp;"",'Oxford Economics'!$A$6:$AZ$6,0))),'Oxford Economics'!$A$7:$A$1000,$C115,'Oxford Economics'!$B$7:$B$1000,Settings!$B$14)+SUMIFS(INDEX('Oxford Economics'!$A$7:$AZ$1000,0,IFERROR(MATCH(AC$5,'Oxford Economics'!$A$6:$AZ$6,0),MATCH(AC$5&amp;"",'Oxford Economics'!$A$6:$AZ$6,0))),'Oxford Economics'!$A$7:$A$1000,$C115,'Oxford Economics'!$B$7:$B$1000,Settings!$B$16)+IF(Settings!$B$18="",0,SUMIFS(INDEX('Oxford Economics'!$A$7:$AZ$1000,0,IFERROR(MATCH(AC$5,'Oxford Economics'!$A$6:$AZ$6,0),MATCH(AC$5&amp;"",'Oxford Economics'!$A$6:$AZ$6,0))),'Oxford Economics'!$A$7:$A$1000,$C115,'Oxford Economics'!$B$7:$B$1000,Settings!$B$18)))),""))</f>
        <v/>
      </c>
      <c r="AD115" s="38" t="str">
        <f aca="false">IF($A115="","",IFERROR(1/(1/IF($B115="Residential",SUMIFS(INDEX('Oxford Economics'!$A$7:$AZ$1000,0,IFERROR(MATCH(AD$5,'Oxford Economics'!$A$6:$AZ$6,0),MATCH(AD$5&amp;"",'Oxford Economics'!$A$6:$AZ$6,0))),'Oxford Economics'!$A$7:$A$1000,$C115,'Oxford Economics'!$B$7:$B$1000,Settings!$B$12)-SUMIFS(INDEX('Oxford Economics'!$A$7:$AZ$1000,0,IFERROR(MATCH(AD$5,'Oxford Economics'!$A$6:$AZ$6,0),MATCH(AD$5&amp;"",'Oxford Economics'!$A$6:$AZ$6,0))),'Oxford Economics'!$A$7:$A$1000,$C115,'Oxford Economics'!$B$7:$B$1000,Settings!$B$14),SUMIFS(INDEX('Oxford Economics'!$A$7:$AZ$1000,0,IFERROR(MATCH(AD$5,'Oxford Economics'!$A$6:$AZ$6,0),MATCH(AD$5&amp;"",'Oxford Economics'!$A$6:$AZ$6,0))),'Oxford Economics'!$A$7:$A$1000,$C115,'Oxford Economics'!$B$7:$B$1000,Settings!$B$14)+SUMIFS(INDEX('Oxford Economics'!$A$7:$AZ$1000,0,IFERROR(MATCH(AD$5,'Oxford Economics'!$A$6:$AZ$6,0),MATCH(AD$5&amp;"",'Oxford Economics'!$A$6:$AZ$6,0))),'Oxford Economics'!$A$7:$A$1000,$C115,'Oxford Economics'!$B$7:$B$1000,Settings!$B$16)+IF(Settings!$B$18="",0,SUMIFS(INDEX('Oxford Economics'!$A$7:$AZ$1000,0,IFERROR(MATCH(AD$5,'Oxford Economics'!$A$6:$AZ$6,0),MATCH(AD$5&amp;"",'Oxford Economics'!$A$6:$AZ$6,0))),'Oxford Economics'!$A$7:$A$1000,$C115,'Oxford Economics'!$B$7:$B$1000,Settings!$B$18)))),""))</f>
        <v/>
      </c>
      <c r="AE115" s="38" t="str">
        <f aca="false">IF($A115="","",IFERROR(1/(1/IF($B115="Residential",SUMIFS(INDEX('Oxford Economics'!$A$7:$AZ$1000,0,IFERROR(MATCH(AE$5,'Oxford Economics'!$A$6:$AZ$6,0),MATCH(AE$5&amp;"",'Oxford Economics'!$A$6:$AZ$6,0))),'Oxford Economics'!$A$7:$A$1000,$C115,'Oxford Economics'!$B$7:$B$1000,Settings!$B$12)-SUMIFS(INDEX('Oxford Economics'!$A$7:$AZ$1000,0,IFERROR(MATCH(AE$5,'Oxford Economics'!$A$6:$AZ$6,0),MATCH(AE$5&amp;"",'Oxford Economics'!$A$6:$AZ$6,0))),'Oxford Economics'!$A$7:$A$1000,$C115,'Oxford Economics'!$B$7:$B$1000,Settings!$B$14),SUMIFS(INDEX('Oxford Economics'!$A$7:$AZ$1000,0,IFERROR(MATCH(AE$5,'Oxford Economics'!$A$6:$AZ$6,0),MATCH(AE$5&amp;"",'Oxford Economics'!$A$6:$AZ$6,0))),'Oxford Economics'!$A$7:$A$1000,$C115,'Oxford Economics'!$B$7:$B$1000,Settings!$B$14)+SUMIFS(INDEX('Oxford Economics'!$A$7:$AZ$1000,0,IFERROR(MATCH(AE$5,'Oxford Economics'!$A$6:$AZ$6,0),MATCH(AE$5&amp;"",'Oxford Economics'!$A$6:$AZ$6,0))),'Oxford Economics'!$A$7:$A$1000,$C115,'Oxford Economics'!$B$7:$B$1000,Settings!$B$16)+IF(Settings!$B$18="",0,SUMIFS(INDEX('Oxford Economics'!$A$7:$AZ$1000,0,IFERROR(MATCH(AE$5,'Oxford Economics'!$A$6:$AZ$6,0),MATCH(AE$5&amp;"",'Oxford Economics'!$A$6:$AZ$6,0))),'Oxford Economics'!$A$7:$A$1000,$C115,'Oxford Economics'!$B$7:$B$1000,Settings!$B$18)))),""))</f>
        <v/>
      </c>
      <c r="AF115" s="38" t="str">
        <f aca="false">IF($A115="","",IFERROR(1/(1/IF($B115="Residential",SUMIFS(INDEX('Oxford Economics'!$A$7:$AZ$1000,0,IFERROR(MATCH(AF$5,'Oxford Economics'!$A$6:$AZ$6,0),MATCH(AF$5&amp;"",'Oxford Economics'!$A$6:$AZ$6,0))),'Oxford Economics'!$A$7:$A$1000,$C115,'Oxford Economics'!$B$7:$B$1000,Settings!$B$12)-SUMIFS(INDEX('Oxford Economics'!$A$7:$AZ$1000,0,IFERROR(MATCH(AF$5,'Oxford Economics'!$A$6:$AZ$6,0),MATCH(AF$5&amp;"",'Oxford Economics'!$A$6:$AZ$6,0))),'Oxford Economics'!$A$7:$A$1000,$C115,'Oxford Economics'!$B$7:$B$1000,Settings!$B$14),SUMIFS(INDEX('Oxford Economics'!$A$7:$AZ$1000,0,IFERROR(MATCH(AF$5,'Oxford Economics'!$A$6:$AZ$6,0),MATCH(AF$5&amp;"",'Oxford Economics'!$A$6:$AZ$6,0))),'Oxford Economics'!$A$7:$A$1000,$C115,'Oxford Economics'!$B$7:$B$1000,Settings!$B$14)+SUMIFS(INDEX('Oxford Economics'!$A$7:$AZ$1000,0,IFERROR(MATCH(AF$5,'Oxford Economics'!$A$6:$AZ$6,0),MATCH(AF$5&amp;"",'Oxford Economics'!$A$6:$AZ$6,0))),'Oxford Economics'!$A$7:$A$1000,$C115,'Oxford Economics'!$B$7:$B$1000,Settings!$B$16)+IF(Settings!$B$18="",0,SUMIFS(INDEX('Oxford Economics'!$A$7:$AZ$1000,0,IFERROR(MATCH(AF$5,'Oxford Economics'!$A$6:$AZ$6,0),MATCH(AF$5&amp;"",'Oxford Economics'!$A$6:$AZ$6,0))),'Oxford Economics'!$A$7:$A$1000,$C115,'Oxford Economics'!$B$7:$B$1000,Settings!$B$18)))),""))</f>
        <v/>
      </c>
      <c r="AG115" s="38" t="str">
        <f aca="false">IF($A115="","",IFERROR(1/(1/IF($B115="Residential",SUMIFS(INDEX('Oxford Economics'!$A$7:$AZ$1000,0,IFERROR(MATCH(AG$5,'Oxford Economics'!$A$6:$AZ$6,0),MATCH(AG$5&amp;"",'Oxford Economics'!$A$6:$AZ$6,0))),'Oxford Economics'!$A$7:$A$1000,$C115,'Oxford Economics'!$B$7:$B$1000,Settings!$B$12)-SUMIFS(INDEX('Oxford Economics'!$A$7:$AZ$1000,0,IFERROR(MATCH(AG$5,'Oxford Economics'!$A$6:$AZ$6,0),MATCH(AG$5&amp;"",'Oxford Economics'!$A$6:$AZ$6,0))),'Oxford Economics'!$A$7:$A$1000,$C115,'Oxford Economics'!$B$7:$B$1000,Settings!$B$14),SUMIFS(INDEX('Oxford Economics'!$A$7:$AZ$1000,0,IFERROR(MATCH(AG$5,'Oxford Economics'!$A$6:$AZ$6,0),MATCH(AG$5&amp;"",'Oxford Economics'!$A$6:$AZ$6,0))),'Oxford Economics'!$A$7:$A$1000,$C115,'Oxford Economics'!$B$7:$B$1000,Settings!$B$14)+SUMIFS(INDEX('Oxford Economics'!$A$7:$AZ$1000,0,IFERROR(MATCH(AG$5,'Oxford Economics'!$A$6:$AZ$6,0),MATCH(AG$5&amp;"",'Oxford Economics'!$A$6:$AZ$6,0))),'Oxford Economics'!$A$7:$A$1000,$C115,'Oxford Economics'!$B$7:$B$1000,Settings!$B$16)+IF(Settings!$B$18="",0,SUMIFS(INDEX('Oxford Economics'!$A$7:$AZ$1000,0,IFERROR(MATCH(AG$5,'Oxford Economics'!$A$6:$AZ$6,0),MATCH(AG$5&amp;"",'Oxford Economics'!$A$6:$AZ$6,0))),'Oxford Economics'!$A$7:$A$1000,$C115,'Oxford Economics'!$B$7:$B$1000,Settings!$B$18)))),""))</f>
        <v/>
      </c>
      <c r="AH115" s="38" t="str">
        <f aca="false">IF($A115="","",IFERROR(1/(1/IF($B115="Residential",SUMIFS(INDEX('Oxford Economics'!$A$7:$AZ$1000,0,IFERROR(MATCH(AH$5,'Oxford Economics'!$A$6:$AZ$6,0),MATCH(AH$5&amp;"",'Oxford Economics'!$A$6:$AZ$6,0))),'Oxford Economics'!$A$7:$A$1000,$C115,'Oxford Economics'!$B$7:$B$1000,Settings!$B$12)-SUMIFS(INDEX('Oxford Economics'!$A$7:$AZ$1000,0,IFERROR(MATCH(AH$5,'Oxford Economics'!$A$6:$AZ$6,0),MATCH(AH$5&amp;"",'Oxford Economics'!$A$6:$AZ$6,0))),'Oxford Economics'!$A$7:$A$1000,$C115,'Oxford Economics'!$B$7:$B$1000,Settings!$B$14),SUMIFS(INDEX('Oxford Economics'!$A$7:$AZ$1000,0,IFERROR(MATCH(AH$5,'Oxford Economics'!$A$6:$AZ$6,0),MATCH(AH$5&amp;"",'Oxford Economics'!$A$6:$AZ$6,0))),'Oxford Economics'!$A$7:$A$1000,$C115,'Oxford Economics'!$B$7:$B$1000,Settings!$B$14)+SUMIFS(INDEX('Oxford Economics'!$A$7:$AZ$1000,0,IFERROR(MATCH(AH$5,'Oxford Economics'!$A$6:$AZ$6,0),MATCH(AH$5&amp;"",'Oxford Economics'!$A$6:$AZ$6,0))),'Oxford Economics'!$A$7:$A$1000,$C115,'Oxford Economics'!$B$7:$B$1000,Settings!$B$16)+IF(Settings!$B$18="",0,SUMIFS(INDEX('Oxford Economics'!$A$7:$AZ$1000,0,IFERROR(MATCH(AH$5,'Oxford Economics'!$A$6:$AZ$6,0),MATCH(AH$5&amp;"",'Oxford Economics'!$A$6:$AZ$6,0))),'Oxford Economics'!$A$7:$A$1000,$C115,'Oxford Economics'!$B$7:$B$1000,Settings!$B$18)))),""))</f>
        <v/>
      </c>
      <c r="AI115" s="38" t="str">
        <f aca="false">IF($A115="","",IFERROR(1/(1/IF($B115="Residential",SUMIFS(INDEX('Oxford Economics'!$A$7:$AZ$1000,0,IFERROR(MATCH(AI$5,'Oxford Economics'!$A$6:$AZ$6,0),MATCH(AI$5&amp;"",'Oxford Economics'!$A$6:$AZ$6,0))),'Oxford Economics'!$A$7:$A$1000,$C115,'Oxford Economics'!$B$7:$B$1000,Settings!$B$12)-SUMIFS(INDEX('Oxford Economics'!$A$7:$AZ$1000,0,IFERROR(MATCH(AI$5,'Oxford Economics'!$A$6:$AZ$6,0),MATCH(AI$5&amp;"",'Oxford Economics'!$A$6:$AZ$6,0))),'Oxford Economics'!$A$7:$A$1000,$C115,'Oxford Economics'!$B$7:$B$1000,Settings!$B$14),SUMIFS(INDEX('Oxford Economics'!$A$7:$AZ$1000,0,IFERROR(MATCH(AI$5,'Oxford Economics'!$A$6:$AZ$6,0),MATCH(AI$5&amp;"",'Oxford Economics'!$A$6:$AZ$6,0))),'Oxford Economics'!$A$7:$A$1000,$C115,'Oxford Economics'!$B$7:$B$1000,Settings!$B$14)+SUMIFS(INDEX('Oxford Economics'!$A$7:$AZ$1000,0,IFERROR(MATCH(AI$5,'Oxford Economics'!$A$6:$AZ$6,0),MATCH(AI$5&amp;"",'Oxford Economics'!$A$6:$AZ$6,0))),'Oxford Economics'!$A$7:$A$1000,$C115,'Oxford Economics'!$B$7:$B$1000,Settings!$B$16)+IF(Settings!$B$18="",0,SUMIFS(INDEX('Oxford Economics'!$A$7:$AZ$1000,0,IFERROR(MATCH(AI$5,'Oxford Economics'!$A$6:$AZ$6,0),MATCH(AI$5&amp;"",'Oxford Economics'!$A$6:$AZ$6,0))),'Oxford Economics'!$A$7:$A$1000,$C115,'Oxford Economics'!$B$7:$B$1000,Settings!$B$18)))),""))</f>
        <v/>
      </c>
      <c r="AJ115" s="38" t="str">
        <f aca="false">IF($A115="","",IFERROR(1/(1/IF($B115="Residential",SUMIFS(INDEX('Oxford Economics'!$A$7:$AZ$1000,0,IFERROR(MATCH(AJ$5,'Oxford Economics'!$A$6:$AZ$6,0),MATCH(AJ$5&amp;"",'Oxford Economics'!$A$6:$AZ$6,0))),'Oxford Economics'!$A$7:$A$1000,$C115,'Oxford Economics'!$B$7:$B$1000,Settings!$B$12)-SUMIFS(INDEX('Oxford Economics'!$A$7:$AZ$1000,0,IFERROR(MATCH(AJ$5,'Oxford Economics'!$A$6:$AZ$6,0),MATCH(AJ$5&amp;"",'Oxford Economics'!$A$6:$AZ$6,0))),'Oxford Economics'!$A$7:$A$1000,$C115,'Oxford Economics'!$B$7:$B$1000,Settings!$B$14),SUMIFS(INDEX('Oxford Economics'!$A$7:$AZ$1000,0,IFERROR(MATCH(AJ$5,'Oxford Economics'!$A$6:$AZ$6,0),MATCH(AJ$5&amp;"",'Oxford Economics'!$A$6:$AZ$6,0))),'Oxford Economics'!$A$7:$A$1000,$C115,'Oxford Economics'!$B$7:$B$1000,Settings!$B$14)+SUMIFS(INDEX('Oxford Economics'!$A$7:$AZ$1000,0,IFERROR(MATCH(AJ$5,'Oxford Economics'!$A$6:$AZ$6,0),MATCH(AJ$5&amp;"",'Oxford Economics'!$A$6:$AZ$6,0))),'Oxford Economics'!$A$7:$A$1000,$C115,'Oxford Economics'!$B$7:$B$1000,Settings!$B$16)+IF(Settings!$B$18="",0,SUMIFS(INDEX('Oxford Economics'!$A$7:$AZ$1000,0,IFERROR(MATCH(AJ$5,'Oxford Economics'!$A$6:$AZ$6,0),MATCH(AJ$5&amp;"",'Oxford Economics'!$A$6:$AZ$6,0))),'Oxford Economics'!$A$7:$A$1000,$C115,'Oxford Economics'!$B$7:$B$1000,Settings!$B$18)))),""))</f>
        <v/>
      </c>
      <c r="AK115" s="38" t="str">
        <f aca="false">IF($A115="","",IFERROR(1/(1/IF($B115="Residential",SUMIFS(INDEX('Oxford Economics'!$A$7:$AZ$1000,0,IFERROR(MATCH(AK$5,'Oxford Economics'!$A$6:$AZ$6,0),MATCH(AK$5&amp;"",'Oxford Economics'!$A$6:$AZ$6,0))),'Oxford Economics'!$A$7:$A$1000,$C115,'Oxford Economics'!$B$7:$B$1000,Settings!$B$12)-SUMIFS(INDEX('Oxford Economics'!$A$7:$AZ$1000,0,IFERROR(MATCH(AK$5,'Oxford Economics'!$A$6:$AZ$6,0),MATCH(AK$5&amp;"",'Oxford Economics'!$A$6:$AZ$6,0))),'Oxford Economics'!$A$7:$A$1000,$C115,'Oxford Economics'!$B$7:$B$1000,Settings!$B$14),SUMIFS(INDEX('Oxford Economics'!$A$7:$AZ$1000,0,IFERROR(MATCH(AK$5,'Oxford Economics'!$A$6:$AZ$6,0),MATCH(AK$5&amp;"",'Oxford Economics'!$A$6:$AZ$6,0))),'Oxford Economics'!$A$7:$A$1000,$C115,'Oxford Economics'!$B$7:$B$1000,Settings!$B$14)+SUMIFS(INDEX('Oxford Economics'!$A$7:$AZ$1000,0,IFERROR(MATCH(AK$5,'Oxford Economics'!$A$6:$AZ$6,0),MATCH(AK$5&amp;"",'Oxford Economics'!$A$6:$AZ$6,0))),'Oxford Economics'!$A$7:$A$1000,$C115,'Oxford Economics'!$B$7:$B$1000,Settings!$B$16)+IF(Settings!$B$18="",0,SUMIFS(INDEX('Oxford Economics'!$A$7:$AZ$1000,0,IFERROR(MATCH(AK$5,'Oxford Economics'!$A$6:$AZ$6,0),MATCH(AK$5&amp;"",'Oxford Economics'!$A$6:$AZ$6,0))),'Oxford Economics'!$A$7:$A$1000,$C115,'Oxford Economics'!$B$7:$B$1000,Settings!$B$18)))),""))</f>
        <v/>
      </c>
      <c r="AL115" s="38" t="str">
        <f aca="false">IF($A115="","",IFERROR(1/(1/IF($B115="Residential",SUMIFS(INDEX('Oxford Economics'!$A$7:$AZ$1000,0,IFERROR(MATCH(AL$5,'Oxford Economics'!$A$6:$AZ$6,0),MATCH(AL$5&amp;"",'Oxford Economics'!$A$6:$AZ$6,0))),'Oxford Economics'!$A$7:$A$1000,$C115,'Oxford Economics'!$B$7:$B$1000,Settings!$B$12)-SUMIFS(INDEX('Oxford Economics'!$A$7:$AZ$1000,0,IFERROR(MATCH(AL$5,'Oxford Economics'!$A$6:$AZ$6,0),MATCH(AL$5&amp;"",'Oxford Economics'!$A$6:$AZ$6,0))),'Oxford Economics'!$A$7:$A$1000,$C115,'Oxford Economics'!$B$7:$B$1000,Settings!$B$14),SUMIFS(INDEX('Oxford Economics'!$A$7:$AZ$1000,0,IFERROR(MATCH(AL$5,'Oxford Economics'!$A$6:$AZ$6,0),MATCH(AL$5&amp;"",'Oxford Economics'!$A$6:$AZ$6,0))),'Oxford Economics'!$A$7:$A$1000,$C115,'Oxford Economics'!$B$7:$B$1000,Settings!$B$14)+SUMIFS(INDEX('Oxford Economics'!$A$7:$AZ$1000,0,IFERROR(MATCH(AL$5,'Oxford Economics'!$A$6:$AZ$6,0),MATCH(AL$5&amp;"",'Oxford Economics'!$A$6:$AZ$6,0))),'Oxford Economics'!$A$7:$A$1000,$C115,'Oxford Economics'!$B$7:$B$1000,Settings!$B$16)+IF(Settings!$B$18="",0,SUMIFS(INDEX('Oxford Economics'!$A$7:$AZ$1000,0,IFERROR(MATCH(AL$5,'Oxford Economics'!$A$6:$AZ$6,0),MATCH(AL$5&amp;"",'Oxford Economics'!$A$6:$AZ$6,0))),'Oxford Economics'!$A$7:$A$1000,$C115,'Oxford Economics'!$B$7:$B$1000,Settings!$B$18)))),""))</f>
        <v/>
      </c>
      <c r="AM115" s="38" t="str">
        <f aca="false">IF($A115="","",IFERROR(1/(1/IF($B115="Residential",SUMIFS(INDEX('Oxford Economics'!$A$7:$AZ$1000,0,IFERROR(MATCH(AM$5,'Oxford Economics'!$A$6:$AZ$6,0),MATCH(AM$5&amp;"",'Oxford Economics'!$A$6:$AZ$6,0))),'Oxford Economics'!$A$7:$A$1000,$C115,'Oxford Economics'!$B$7:$B$1000,Settings!$B$12)-SUMIFS(INDEX('Oxford Economics'!$A$7:$AZ$1000,0,IFERROR(MATCH(AM$5,'Oxford Economics'!$A$6:$AZ$6,0),MATCH(AM$5&amp;"",'Oxford Economics'!$A$6:$AZ$6,0))),'Oxford Economics'!$A$7:$A$1000,$C115,'Oxford Economics'!$B$7:$B$1000,Settings!$B$14),SUMIFS(INDEX('Oxford Economics'!$A$7:$AZ$1000,0,IFERROR(MATCH(AM$5,'Oxford Economics'!$A$6:$AZ$6,0),MATCH(AM$5&amp;"",'Oxford Economics'!$A$6:$AZ$6,0))),'Oxford Economics'!$A$7:$A$1000,$C115,'Oxford Economics'!$B$7:$B$1000,Settings!$B$14)+SUMIFS(INDEX('Oxford Economics'!$A$7:$AZ$1000,0,IFERROR(MATCH(AM$5,'Oxford Economics'!$A$6:$AZ$6,0),MATCH(AM$5&amp;"",'Oxford Economics'!$A$6:$AZ$6,0))),'Oxford Economics'!$A$7:$A$1000,$C115,'Oxford Economics'!$B$7:$B$1000,Settings!$B$16)+IF(Settings!$B$18="",0,SUMIFS(INDEX('Oxford Economics'!$A$7:$AZ$1000,0,IFERROR(MATCH(AM$5,'Oxford Economics'!$A$6:$AZ$6,0),MATCH(AM$5&amp;"",'Oxford Economics'!$A$6:$AZ$6,0))),'Oxford Economics'!$A$7:$A$1000,$C115,'Oxford Economics'!$B$7:$B$1000,Settings!$B$18)))),""))</f>
        <v/>
      </c>
    </row>
    <row r="116" customFormat="false" ht="15" hidden="false" customHeight="false" outlineLevel="0" collapsed="false">
      <c r="A116" s="37" t="str">
        <f aca="false">IF('Raw data'!$A116="","",'Raw data'!$A116)</f>
        <v/>
      </c>
      <c r="B116" s="37" t="str">
        <f aca="false">IF($A116="","",'Raw data'!$C116)</f>
        <v/>
      </c>
      <c r="C116" s="37" t="str">
        <f aca="false">IF($A116="","",IF('Raw data'!$E116="",$A116,'Raw data'!$E116))</f>
        <v/>
      </c>
      <c r="D116" s="38" t="str">
        <f aca="false">IF($A116="","",IF(AND(ISNUMBER(P116),ISNUMBER(AB116)),P116+AB116,""))</f>
        <v/>
      </c>
      <c r="E116" s="38" t="str">
        <f aca="false">IF($A116="","",IF(AND(ISNUMBER(Q116),ISNUMBER(AC116)),Q116+AC116,""))</f>
        <v/>
      </c>
      <c r="F116" s="38" t="str">
        <f aca="false">IF($A116="","",IF(AND(ISNUMBER(R116),ISNUMBER(AD116)),R116+AD116,""))</f>
        <v/>
      </c>
      <c r="G116" s="38" t="str">
        <f aca="false">IF($A116="","",IF(AND(ISNUMBER(S116),ISNUMBER(AE116)),S116+AE116,""))</f>
        <v/>
      </c>
      <c r="H116" s="38" t="str">
        <f aca="false">IF($A116="","",IF(AND(ISNUMBER(T116),ISNUMBER(AF116)),T116+AF116,""))</f>
        <v/>
      </c>
      <c r="I116" s="38" t="str">
        <f aca="false">IF($A116="","",IF(AND(ISNUMBER(U116),ISNUMBER(AG116)),U116+AG116,""))</f>
        <v/>
      </c>
      <c r="J116" s="38" t="str">
        <f aca="false">IF($A116="","",IF(AND(ISNUMBER(V116),ISNUMBER(AH116)),V116+AH116,""))</f>
        <v/>
      </c>
      <c r="K116" s="38" t="str">
        <f aca="false">IF($A116="","",IF(AND(ISNUMBER(W116),ISNUMBER(AI116)),W116+AI116,""))</f>
        <v/>
      </c>
      <c r="L116" s="38" t="str">
        <f aca="false">IF($A116="","",IF(AND(ISNUMBER(X116),ISNUMBER(AJ116)),X116+AJ116,""))</f>
        <v/>
      </c>
      <c r="M116" s="38" t="str">
        <f aca="false">IF($A116="","",IF(AND(ISNUMBER(Y116),ISNUMBER(AK116)),Y116+AK116,""))</f>
        <v/>
      </c>
      <c r="N116" s="38" t="str">
        <f aca="false">IF($A116="","",IF(AND(ISNUMBER(Z116),ISNUMBER(AL116)),Z116+AL116,""))</f>
        <v/>
      </c>
      <c r="O116" s="38" t="str">
        <f aca="false">IF($A116="","",IF(AND(ISNUMBER(AA116),ISNUMBER(AM116)),AA116+AM116,""))</f>
        <v/>
      </c>
      <c r="P116" s="38" t="str">
        <f aca="false">IF($A116="","",IFERROR(1/(1/IF($B116="Residential",SUMIFS(INDEX('Oxford Economics'!$A$7:$AZ$1000,0,IFERROR(MATCH(P$5,'Oxford Economics'!$A$6:$AZ$6,0),MATCH(P$5&amp;"",'Oxford Economics'!$A$6:$AZ$6,0))),'Oxford Economics'!$A$7:$A$1000,$C116,'Oxford Economics'!$B$7:$B$1000,Settings!$B$13)-SUMIFS(INDEX('Oxford Economics'!$A$7:$AZ$1000,0,IFERROR(MATCH(P$5,'Oxford Economics'!$A$6:$AZ$6,0),MATCH(P$5&amp;"",'Oxford Economics'!$A$6:$AZ$6,0))),'Oxford Economics'!$A$7:$A$1000,$C116,'Oxford Economics'!$B$7:$B$1000,Settings!$B$15),SUMIFS(INDEX('Oxford Economics'!$A$7:$AZ$1000,0,IFERROR(MATCH(P$5,'Oxford Economics'!$A$6:$AZ$6,0),MATCH(P$5&amp;"",'Oxford Economics'!$A$6:$AZ$6,0))),'Oxford Economics'!$A$7:$A$1000,$C116,'Oxford Economics'!$B$7:$B$1000,Settings!$B$15)+SUMIFS(INDEX('Oxford Economics'!$A$7:$AZ$1000,0,IFERROR(MATCH(P$5,'Oxford Economics'!$A$6:$AZ$6,0),MATCH(P$5&amp;"",'Oxford Economics'!$A$6:$AZ$6,0))),'Oxford Economics'!$A$7:$A$1000,$C116,'Oxford Economics'!$B$7:$B$1000,Settings!$B$17)+IF(Settings!$B$19="",0,SUMIFS(INDEX('Oxford Economics'!$A$7:$AZ$1000,0,IFERROR(MATCH(P$5,'Oxford Economics'!$A$6:$AZ$6,0),MATCH(P$5&amp;"",'Oxford Economics'!$A$6:$AZ$6,0))),'Oxford Economics'!$A$7:$A$1000,$C116,'Oxford Economics'!$B$7:$B$1000,Settings!$B$19)))),""))</f>
        <v/>
      </c>
      <c r="Q116" s="38" t="str">
        <f aca="false">IF($A116="","",IFERROR(1/(1/IF($B116="Residential",SUMIFS(INDEX('Oxford Economics'!$A$7:$AZ$1000,0,IFERROR(MATCH(Q$5,'Oxford Economics'!$A$6:$AZ$6,0),MATCH(Q$5&amp;"",'Oxford Economics'!$A$6:$AZ$6,0))),'Oxford Economics'!$A$7:$A$1000,$C116,'Oxford Economics'!$B$7:$B$1000,Settings!$B$13)-SUMIFS(INDEX('Oxford Economics'!$A$7:$AZ$1000,0,IFERROR(MATCH(Q$5,'Oxford Economics'!$A$6:$AZ$6,0),MATCH(Q$5&amp;"",'Oxford Economics'!$A$6:$AZ$6,0))),'Oxford Economics'!$A$7:$A$1000,$C116,'Oxford Economics'!$B$7:$B$1000,Settings!$B$15),SUMIFS(INDEX('Oxford Economics'!$A$7:$AZ$1000,0,IFERROR(MATCH(Q$5,'Oxford Economics'!$A$6:$AZ$6,0),MATCH(Q$5&amp;"",'Oxford Economics'!$A$6:$AZ$6,0))),'Oxford Economics'!$A$7:$A$1000,$C116,'Oxford Economics'!$B$7:$B$1000,Settings!$B$15)+SUMIFS(INDEX('Oxford Economics'!$A$7:$AZ$1000,0,IFERROR(MATCH(Q$5,'Oxford Economics'!$A$6:$AZ$6,0),MATCH(Q$5&amp;"",'Oxford Economics'!$A$6:$AZ$6,0))),'Oxford Economics'!$A$7:$A$1000,$C116,'Oxford Economics'!$B$7:$B$1000,Settings!$B$17)+IF(Settings!$B$19="",0,SUMIFS(INDEX('Oxford Economics'!$A$7:$AZ$1000,0,IFERROR(MATCH(Q$5,'Oxford Economics'!$A$6:$AZ$6,0),MATCH(Q$5&amp;"",'Oxford Economics'!$A$6:$AZ$6,0))),'Oxford Economics'!$A$7:$A$1000,$C116,'Oxford Economics'!$B$7:$B$1000,Settings!$B$19)))),""))</f>
        <v/>
      </c>
      <c r="R116" s="38" t="str">
        <f aca="false">IF($A116="","",IFERROR(1/(1/IF($B116="Residential",SUMIFS(INDEX('Oxford Economics'!$A$7:$AZ$1000,0,IFERROR(MATCH(R$5,'Oxford Economics'!$A$6:$AZ$6,0),MATCH(R$5&amp;"",'Oxford Economics'!$A$6:$AZ$6,0))),'Oxford Economics'!$A$7:$A$1000,$C116,'Oxford Economics'!$B$7:$B$1000,Settings!$B$13)-SUMIFS(INDEX('Oxford Economics'!$A$7:$AZ$1000,0,IFERROR(MATCH(R$5,'Oxford Economics'!$A$6:$AZ$6,0),MATCH(R$5&amp;"",'Oxford Economics'!$A$6:$AZ$6,0))),'Oxford Economics'!$A$7:$A$1000,$C116,'Oxford Economics'!$B$7:$B$1000,Settings!$B$15),SUMIFS(INDEX('Oxford Economics'!$A$7:$AZ$1000,0,IFERROR(MATCH(R$5,'Oxford Economics'!$A$6:$AZ$6,0),MATCH(R$5&amp;"",'Oxford Economics'!$A$6:$AZ$6,0))),'Oxford Economics'!$A$7:$A$1000,$C116,'Oxford Economics'!$B$7:$B$1000,Settings!$B$15)+SUMIFS(INDEX('Oxford Economics'!$A$7:$AZ$1000,0,IFERROR(MATCH(R$5,'Oxford Economics'!$A$6:$AZ$6,0),MATCH(R$5&amp;"",'Oxford Economics'!$A$6:$AZ$6,0))),'Oxford Economics'!$A$7:$A$1000,$C116,'Oxford Economics'!$B$7:$B$1000,Settings!$B$17)+IF(Settings!$B$19="",0,SUMIFS(INDEX('Oxford Economics'!$A$7:$AZ$1000,0,IFERROR(MATCH(R$5,'Oxford Economics'!$A$6:$AZ$6,0),MATCH(R$5&amp;"",'Oxford Economics'!$A$6:$AZ$6,0))),'Oxford Economics'!$A$7:$A$1000,$C116,'Oxford Economics'!$B$7:$B$1000,Settings!$B$19)))),""))</f>
        <v/>
      </c>
      <c r="S116" s="38" t="str">
        <f aca="false">IF($A116="","",IFERROR(1/(1/IF($B116="Residential",SUMIFS(INDEX('Oxford Economics'!$A$7:$AZ$1000,0,IFERROR(MATCH(S$5,'Oxford Economics'!$A$6:$AZ$6,0),MATCH(S$5&amp;"",'Oxford Economics'!$A$6:$AZ$6,0))),'Oxford Economics'!$A$7:$A$1000,$C116,'Oxford Economics'!$B$7:$B$1000,Settings!$B$13)-SUMIFS(INDEX('Oxford Economics'!$A$7:$AZ$1000,0,IFERROR(MATCH(S$5,'Oxford Economics'!$A$6:$AZ$6,0),MATCH(S$5&amp;"",'Oxford Economics'!$A$6:$AZ$6,0))),'Oxford Economics'!$A$7:$A$1000,$C116,'Oxford Economics'!$B$7:$B$1000,Settings!$B$15),SUMIFS(INDEX('Oxford Economics'!$A$7:$AZ$1000,0,IFERROR(MATCH(S$5,'Oxford Economics'!$A$6:$AZ$6,0),MATCH(S$5&amp;"",'Oxford Economics'!$A$6:$AZ$6,0))),'Oxford Economics'!$A$7:$A$1000,$C116,'Oxford Economics'!$B$7:$B$1000,Settings!$B$15)+SUMIFS(INDEX('Oxford Economics'!$A$7:$AZ$1000,0,IFERROR(MATCH(S$5,'Oxford Economics'!$A$6:$AZ$6,0),MATCH(S$5&amp;"",'Oxford Economics'!$A$6:$AZ$6,0))),'Oxford Economics'!$A$7:$A$1000,$C116,'Oxford Economics'!$B$7:$B$1000,Settings!$B$17)+IF(Settings!$B$19="",0,SUMIFS(INDEX('Oxford Economics'!$A$7:$AZ$1000,0,IFERROR(MATCH(S$5,'Oxford Economics'!$A$6:$AZ$6,0),MATCH(S$5&amp;"",'Oxford Economics'!$A$6:$AZ$6,0))),'Oxford Economics'!$A$7:$A$1000,$C116,'Oxford Economics'!$B$7:$B$1000,Settings!$B$19)))),""))</f>
        <v/>
      </c>
      <c r="T116" s="38" t="str">
        <f aca="false">IF($A116="","",IFERROR(1/(1/IF($B116="Residential",SUMIFS(INDEX('Oxford Economics'!$A$7:$AZ$1000,0,IFERROR(MATCH(T$5,'Oxford Economics'!$A$6:$AZ$6,0),MATCH(T$5&amp;"",'Oxford Economics'!$A$6:$AZ$6,0))),'Oxford Economics'!$A$7:$A$1000,$C116,'Oxford Economics'!$B$7:$B$1000,Settings!$B$13)-SUMIFS(INDEX('Oxford Economics'!$A$7:$AZ$1000,0,IFERROR(MATCH(T$5,'Oxford Economics'!$A$6:$AZ$6,0),MATCH(T$5&amp;"",'Oxford Economics'!$A$6:$AZ$6,0))),'Oxford Economics'!$A$7:$A$1000,$C116,'Oxford Economics'!$B$7:$B$1000,Settings!$B$15),SUMIFS(INDEX('Oxford Economics'!$A$7:$AZ$1000,0,IFERROR(MATCH(T$5,'Oxford Economics'!$A$6:$AZ$6,0),MATCH(T$5&amp;"",'Oxford Economics'!$A$6:$AZ$6,0))),'Oxford Economics'!$A$7:$A$1000,$C116,'Oxford Economics'!$B$7:$B$1000,Settings!$B$15)+SUMIFS(INDEX('Oxford Economics'!$A$7:$AZ$1000,0,IFERROR(MATCH(T$5,'Oxford Economics'!$A$6:$AZ$6,0),MATCH(T$5&amp;"",'Oxford Economics'!$A$6:$AZ$6,0))),'Oxford Economics'!$A$7:$A$1000,$C116,'Oxford Economics'!$B$7:$B$1000,Settings!$B$17)+IF(Settings!$B$19="",0,SUMIFS(INDEX('Oxford Economics'!$A$7:$AZ$1000,0,IFERROR(MATCH(T$5,'Oxford Economics'!$A$6:$AZ$6,0),MATCH(T$5&amp;"",'Oxford Economics'!$A$6:$AZ$6,0))),'Oxford Economics'!$A$7:$A$1000,$C116,'Oxford Economics'!$B$7:$B$1000,Settings!$B$19)))),""))</f>
        <v/>
      </c>
      <c r="U116" s="38" t="str">
        <f aca="false">IF($A116="","",IFERROR(1/(1/IF($B116="Residential",SUMIFS(INDEX('Oxford Economics'!$A$7:$AZ$1000,0,IFERROR(MATCH(U$5,'Oxford Economics'!$A$6:$AZ$6,0),MATCH(U$5&amp;"",'Oxford Economics'!$A$6:$AZ$6,0))),'Oxford Economics'!$A$7:$A$1000,$C116,'Oxford Economics'!$B$7:$B$1000,Settings!$B$13)-SUMIFS(INDEX('Oxford Economics'!$A$7:$AZ$1000,0,IFERROR(MATCH(U$5,'Oxford Economics'!$A$6:$AZ$6,0),MATCH(U$5&amp;"",'Oxford Economics'!$A$6:$AZ$6,0))),'Oxford Economics'!$A$7:$A$1000,$C116,'Oxford Economics'!$B$7:$B$1000,Settings!$B$15),SUMIFS(INDEX('Oxford Economics'!$A$7:$AZ$1000,0,IFERROR(MATCH(U$5,'Oxford Economics'!$A$6:$AZ$6,0),MATCH(U$5&amp;"",'Oxford Economics'!$A$6:$AZ$6,0))),'Oxford Economics'!$A$7:$A$1000,$C116,'Oxford Economics'!$B$7:$B$1000,Settings!$B$15)+SUMIFS(INDEX('Oxford Economics'!$A$7:$AZ$1000,0,IFERROR(MATCH(U$5,'Oxford Economics'!$A$6:$AZ$6,0),MATCH(U$5&amp;"",'Oxford Economics'!$A$6:$AZ$6,0))),'Oxford Economics'!$A$7:$A$1000,$C116,'Oxford Economics'!$B$7:$B$1000,Settings!$B$17)+IF(Settings!$B$19="",0,SUMIFS(INDEX('Oxford Economics'!$A$7:$AZ$1000,0,IFERROR(MATCH(U$5,'Oxford Economics'!$A$6:$AZ$6,0),MATCH(U$5&amp;"",'Oxford Economics'!$A$6:$AZ$6,0))),'Oxford Economics'!$A$7:$A$1000,$C116,'Oxford Economics'!$B$7:$B$1000,Settings!$B$19)))),""))</f>
        <v/>
      </c>
      <c r="V116" s="38" t="str">
        <f aca="false">IF($A116="","",IFERROR(1/(1/IF($B116="Residential",SUMIFS(INDEX('Oxford Economics'!$A$7:$AZ$1000,0,IFERROR(MATCH(V$5,'Oxford Economics'!$A$6:$AZ$6,0),MATCH(V$5&amp;"",'Oxford Economics'!$A$6:$AZ$6,0))),'Oxford Economics'!$A$7:$A$1000,$C116,'Oxford Economics'!$B$7:$B$1000,Settings!$B$13)-SUMIFS(INDEX('Oxford Economics'!$A$7:$AZ$1000,0,IFERROR(MATCH(V$5,'Oxford Economics'!$A$6:$AZ$6,0),MATCH(V$5&amp;"",'Oxford Economics'!$A$6:$AZ$6,0))),'Oxford Economics'!$A$7:$A$1000,$C116,'Oxford Economics'!$B$7:$B$1000,Settings!$B$15),SUMIFS(INDEX('Oxford Economics'!$A$7:$AZ$1000,0,IFERROR(MATCH(V$5,'Oxford Economics'!$A$6:$AZ$6,0),MATCH(V$5&amp;"",'Oxford Economics'!$A$6:$AZ$6,0))),'Oxford Economics'!$A$7:$A$1000,$C116,'Oxford Economics'!$B$7:$B$1000,Settings!$B$15)+SUMIFS(INDEX('Oxford Economics'!$A$7:$AZ$1000,0,IFERROR(MATCH(V$5,'Oxford Economics'!$A$6:$AZ$6,0),MATCH(V$5&amp;"",'Oxford Economics'!$A$6:$AZ$6,0))),'Oxford Economics'!$A$7:$A$1000,$C116,'Oxford Economics'!$B$7:$B$1000,Settings!$B$17)+IF(Settings!$B$19="",0,SUMIFS(INDEX('Oxford Economics'!$A$7:$AZ$1000,0,IFERROR(MATCH(V$5,'Oxford Economics'!$A$6:$AZ$6,0),MATCH(V$5&amp;"",'Oxford Economics'!$A$6:$AZ$6,0))),'Oxford Economics'!$A$7:$A$1000,$C116,'Oxford Economics'!$B$7:$B$1000,Settings!$B$19)))),""))</f>
        <v/>
      </c>
      <c r="W116" s="38" t="str">
        <f aca="false">IF($A116="","",IFERROR(1/(1/IF($B116="Residential",SUMIFS(INDEX('Oxford Economics'!$A$7:$AZ$1000,0,IFERROR(MATCH(W$5,'Oxford Economics'!$A$6:$AZ$6,0),MATCH(W$5&amp;"",'Oxford Economics'!$A$6:$AZ$6,0))),'Oxford Economics'!$A$7:$A$1000,$C116,'Oxford Economics'!$B$7:$B$1000,Settings!$B$13)-SUMIFS(INDEX('Oxford Economics'!$A$7:$AZ$1000,0,IFERROR(MATCH(W$5,'Oxford Economics'!$A$6:$AZ$6,0),MATCH(W$5&amp;"",'Oxford Economics'!$A$6:$AZ$6,0))),'Oxford Economics'!$A$7:$A$1000,$C116,'Oxford Economics'!$B$7:$B$1000,Settings!$B$15),SUMIFS(INDEX('Oxford Economics'!$A$7:$AZ$1000,0,IFERROR(MATCH(W$5,'Oxford Economics'!$A$6:$AZ$6,0),MATCH(W$5&amp;"",'Oxford Economics'!$A$6:$AZ$6,0))),'Oxford Economics'!$A$7:$A$1000,$C116,'Oxford Economics'!$B$7:$B$1000,Settings!$B$15)+SUMIFS(INDEX('Oxford Economics'!$A$7:$AZ$1000,0,IFERROR(MATCH(W$5,'Oxford Economics'!$A$6:$AZ$6,0),MATCH(W$5&amp;"",'Oxford Economics'!$A$6:$AZ$6,0))),'Oxford Economics'!$A$7:$A$1000,$C116,'Oxford Economics'!$B$7:$B$1000,Settings!$B$17)+IF(Settings!$B$19="",0,SUMIFS(INDEX('Oxford Economics'!$A$7:$AZ$1000,0,IFERROR(MATCH(W$5,'Oxford Economics'!$A$6:$AZ$6,0),MATCH(W$5&amp;"",'Oxford Economics'!$A$6:$AZ$6,0))),'Oxford Economics'!$A$7:$A$1000,$C116,'Oxford Economics'!$B$7:$B$1000,Settings!$B$19)))),""))</f>
        <v/>
      </c>
      <c r="X116" s="38" t="str">
        <f aca="false">IF($A116="","",IFERROR(1/(1/IF($B116="Residential",SUMIFS(INDEX('Oxford Economics'!$A$7:$AZ$1000,0,IFERROR(MATCH(X$5,'Oxford Economics'!$A$6:$AZ$6,0),MATCH(X$5&amp;"",'Oxford Economics'!$A$6:$AZ$6,0))),'Oxford Economics'!$A$7:$A$1000,$C116,'Oxford Economics'!$B$7:$B$1000,Settings!$B$13)-SUMIFS(INDEX('Oxford Economics'!$A$7:$AZ$1000,0,IFERROR(MATCH(X$5,'Oxford Economics'!$A$6:$AZ$6,0),MATCH(X$5&amp;"",'Oxford Economics'!$A$6:$AZ$6,0))),'Oxford Economics'!$A$7:$A$1000,$C116,'Oxford Economics'!$B$7:$B$1000,Settings!$B$15),SUMIFS(INDEX('Oxford Economics'!$A$7:$AZ$1000,0,IFERROR(MATCH(X$5,'Oxford Economics'!$A$6:$AZ$6,0),MATCH(X$5&amp;"",'Oxford Economics'!$A$6:$AZ$6,0))),'Oxford Economics'!$A$7:$A$1000,$C116,'Oxford Economics'!$B$7:$B$1000,Settings!$B$15)+SUMIFS(INDEX('Oxford Economics'!$A$7:$AZ$1000,0,IFERROR(MATCH(X$5,'Oxford Economics'!$A$6:$AZ$6,0),MATCH(X$5&amp;"",'Oxford Economics'!$A$6:$AZ$6,0))),'Oxford Economics'!$A$7:$A$1000,$C116,'Oxford Economics'!$B$7:$B$1000,Settings!$B$17)+IF(Settings!$B$19="",0,SUMIFS(INDEX('Oxford Economics'!$A$7:$AZ$1000,0,IFERROR(MATCH(X$5,'Oxford Economics'!$A$6:$AZ$6,0),MATCH(X$5&amp;"",'Oxford Economics'!$A$6:$AZ$6,0))),'Oxford Economics'!$A$7:$A$1000,$C116,'Oxford Economics'!$B$7:$B$1000,Settings!$B$19)))),""))</f>
        <v/>
      </c>
      <c r="Y116" s="38" t="str">
        <f aca="false">IF($A116="","",IFERROR(1/(1/IF($B116="Residential",SUMIFS(INDEX('Oxford Economics'!$A$7:$AZ$1000,0,IFERROR(MATCH(Y$5,'Oxford Economics'!$A$6:$AZ$6,0),MATCH(Y$5&amp;"",'Oxford Economics'!$A$6:$AZ$6,0))),'Oxford Economics'!$A$7:$A$1000,$C116,'Oxford Economics'!$B$7:$B$1000,Settings!$B$13)-SUMIFS(INDEX('Oxford Economics'!$A$7:$AZ$1000,0,IFERROR(MATCH(Y$5,'Oxford Economics'!$A$6:$AZ$6,0),MATCH(Y$5&amp;"",'Oxford Economics'!$A$6:$AZ$6,0))),'Oxford Economics'!$A$7:$A$1000,$C116,'Oxford Economics'!$B$7:$B$1000,Settings!$B$15),SUMIFS(INDEX('Oxford Economics'!$A$7:$AZ$1000,0,IFERROR(MATCH(Y$5,'Oxford Economics'!$A$6:$AZ$6,0),MATCH(Y$5&amp;"",'Oxford Economics'!$A$6:$AZ$6,0))),'Oxford Economics'!$A$7:$A$1000,$C116,'Oxford Economics'!$B$7:$B$1000,Settings!$B$15)+SUMIFS(INDEX('Oxford Economics'!$A$7:$AZ$1000,0,IFERROR(MATCH(Y$5,'Oxford Economics'!$A$6:$AZ$6,0),MATCH(Y$5&amp;"",'Oxford Economics'!$A$6:$AZ$6,0))),'Oxford Economics'!$A$7:$A$1000,$C116,'Oxford Economics'!$B$7:$B$1000,Settings!$B$17)+IF(Settings!$B$19="",0,SUMIFS(INDEX('Oxford Economics'!$A$7:$AZ$1000,0,IFERROR(MATCH(Y$5,'Oxford Economics'!$A$6:$AZ$6,0),MATCH(Y$5&amp;"",'Oxford Economics'!$A$6:$AZ$6,0))),'Oxford Economics'!$A$7:$A$1000,$C116,'Oxford Economics'!$B$7:$B$1000,Settings!$B$19)))),""))</f>
        <v/>
      </c>
      <c r="Z116" s="38" t="str">
        <f aca="false">IF($A116="","",IFERROR(1/(1/IF($B116="Residential",SUMIFS(INDEX('Oxford Economics'!$A$7:$AZ$1000,0,IFERROR(MATCH(Z$5,'Oxford Economics'!$A$6:$AZ$6,0),MATCH(Z$5&amp;"",'Oxford Economics'!$A$6:$AZ$6,0))),'Oxford Economics'!$A$7:$A$1000,$C116,'Oxford Economics'!$B$7:$B$1000,Settings!$B$13)-SUMIFS(INDEX('Oxford Economics'!$A$7:$AZ$1000,0,IFERROR(MATCH(Z$5,'Oxford Economics'!$A$6:$AZ$6,0),MATCH(Z$5&amp;"",'Oxford Economics'!$A$6:$AZ$6,0))),'Oxford Economics'!$A$7:$A$1000,$C116,'Oxford Economics'!$B$7:$B$1000,Settings!$B$15),SUMIFS(INDEX('Oxford Economics'!$A$7:$AZ$1000,0,IFERROR(MATCH(Z$5,'Oxford Economics'!$A$6:$AZ$6,0),MATCH(Z$5&amp;"",'Oxford Economics'!$A$6:$AZ$6,0))),'Oxford Economics'!$A$7:$A$1000,$C116,'Oxford Economics'!$B$7:$B$1000,Settings!$B$15)+SUMIFS(INDEX('Oxford Economics'!$A$7:$AZ$1000,0,IFERROR(MATCH(Z$5,'Oxford Economics'!$A$6:$AZ$6,0),MATCH(Z$5&amp;"",'Oxford Economics'!$A$6:$AZ$6,0))),'Oxford Economics'!$A$7:$A$1000,$C116,'Oxford Economics'!$B$7:$B$1000,Settings!$B$17)+IF(Settings!$B$19="",0,SUMIFS(INDEX('Oxford Economics'!$A$7:$AZ$1000,0,IFERROR(MATCH(Z$5,'Oxford Economics'!$A$6:$AZ$6,0),MATCH(Z$5&amp;"",'Oxford Economics'!$A$6:$AZ$6,0))),'Oxford Economics'!$A$7:$A$1000,$C116,'Oxford Economics'!$B$7:$B$1000,Settings!$B$19)))),""))</f>
        <v/>
      </c>
      <c r="AA116" s="38" t="str">
        <f aca="false">IF($A116="","",IFERROR(1/(1/IF($B116="Residential",SUMIFS(INDEX('Oxford Economics'!$A$7:$AZ$1000,0,IFERROR(MATCH(AA$5,'Oxford Economics'!$A$6:$AZ$6,0),MATCH(AA$5&amp;"",'Oxford Economics'!$A$6:$AZ$6,0))),'Oxford Economics'!$A$7:$A$1000,$C116,'Oxford Economics'!$B$7:$B$1000,Settings!$B$13)-SUMIFS(INDEX('Oxford Economics'!$A$7:$AZ$1000,0,IFERROR(MATCH(AA$5,'Oxford Economics'!$A$6:$AZ$6,0),MATCH(AA$5&amp;"",'Oxford Economics'!$A$6:$AZ$6,0))),'Oxford Economics'!$A$7:$A$1000,$C116,'Oxford Economics'!$B$7:$B$1000,Settings!$B$15),SUMIFS(INDEX('Oxford Economics'!$A$7:$AZ$1000,0,IFERROR(MATCH(AA$5,'Oxford Economics'!$A$6:$AZ$6,0),MATCH(AA$5&amp;"",'Oxford Economics'!$A$6:$AZ$6,0))),'Oxford Economics'!$A$7:$A$1000,$C116,'Oxford Economics'!$B$7:$B$1000,Settings!$B$15)+SUMIFS(INDEX('Oxford Economics'!$A$7:$AZ$1000,0,IFERROR(MATCH(AA$5,'Oxford Economics'!$A$6:$AZ$6,0),MATCH(AA$5&amp;"",'Oxford Economics'!$A$6:$AZ$6,0))),'Oxford Economics'!$A$7:$A$1000,$C116,'Oxford Economics'!$B$7:$B$1000,Settings!$B$17)+IF(Settings!$B$19="",0,SUMIFS(INDEX('Oxford Economics'!$A$7:$AZ$1000,0,IFERROR(MATCH(AA$5,'Oxford Economics'!$A$6:$AZ$6,0),MATCH(AA$5&amp;"",'Oxford Economics'!$A$6:$AZ$6,0))),'Oxford Economics'!$A$7:$A$1000,$C116,'Oxford Economics'!$B$7:$B$1000,Settings!$B$19)))),""))</f>
        <v/>
      </c>
      <c r="AB116" s="38" t="str">
        <f aca="false">IF($A116="","",IFERROR(1/(1/IF($B116="Residential",SUMIFS(INDEX('Oxford Economics'!$A$7:$AZ$1000,0,IFERROR(MATCH(AB$5,'Oxford Economics'!$A$6:$AZ$6,0),MATCH(AB$5&amp;"",'Oxford Economics'!$A$6:$AZ$6,0))),'Oxford Economics'!$A$7:$A$1000,$C116,'Oxford Economics'!$B$7:$B$1000,Settings!$B$12)-SUMIFS(INDEX('Oxford Economics'!$A$7:$AZ$1000,0,IFERROR(MATCH(AB$5,'Oxford Economics'!$A$6:$AZ$6,0),MATCH(AB$5&amp;"",'Oxford Economics'!$A$6:$AZ$6,0))),'Oxford Economics'!$A$7:$A$1000,$C116,'Oxford Economics'!$B$7:$B$1000,Settings!$B$14),SUMIFS(INDEX('Oxford Economics'!$A$7:$AZ$1000,0,IFERROR(MATCH(AB$5,'Oxford Economics'!$A$6:$AZ$6,0),MATCH(AB$5&amp;"",'Oxford Economics'!$A$6:$AZ$6,0))),'Oxford Economics'!$A$7:$A$1000,$C116,'Oxford Economics'!$B$7:$B$1000,Settings!$B$14)+SUMIFS(INDEX('Oxford Economics'!$A$7:$AZ$1000,0,IFERROR(MATCH(AB$5,'Oxford Economics'!$A$6:$AZ$6,0),MATCH(AB$5&amp;"",'Oxford Economics'!$A$6:$AZ$6,0))),'Oxford Economics'!$A$7:$A$1000,$C116,'Oxford Economics'!$B$7:$B$1000,Settings!$B$16)+IF(Settings!$B$18="",0,SUMIFS(INDEX('Oxford Economics'!$A$7:$AZ$1000,0,IFERROR(MATCH(AB$5,'Oxford Economics'!$A$6:$AZ$6,0),MATCH(AB$5&amp;"",'Oxford Economics'!$A$6:$AZ$6,0))),'Oxford Economics'!$A$7:$A$1000,$C116,'Oxford Economics'!$B$7:$B$1000,Settings!$B$18)))),""))</f>
        <v/>
      </c>
      <c r="AC116" s="38" t="str">
        <f aca="false">IF($A116="","",IFERROR(1/(1/IF($B116="Residential",SUMIFS(INDEX('Oxford Economics'!$A$7:$AZ$1000,0,IFERROR(MATCH(AC$5,'Oxford Economics'!$A$6:$AZ$6,0),MATCH(AC$5&amp;"",'Oxford Economics'!$A$6:$AZ$6,0))),'Oxford Economics'!$A$7:$A$1000,$C116,'Oxford Economics'!$B$7:$B$1000,Settings!$B$12)-SUMIFS(INDEX('Oxford Economics'!$A$7:$AZ$1000,0,IFERROR(MATCH(AC$5,'Oxford Economics'!$A$6:$AZ$6,0),MATCH(AC$5&amp;"",'Oxford Economics'!$A$6:$AZ$6,0))),'Oxford Economics'!$A$7:$A$1000,$C116,'Oxford Economics'!$B$7:$B$1000,Settings!$B$14),SUMIFS(INDEX('Oxford Economics'!$A$7:$AZ$1000,0,IFERROR(MATCH(AC$5,'Oxford Economics'!$A$6:$AZ$6,0),MATCH(AC$5&amp;"",'Oxford Economics'!$A$6:$AZ$6,0))),'Oxford Economics'!$A$7:$A$1000,$C116,'Oxford Economics'!$B$7:$B$1000,Settings!$B$14)+SUMIFS(INDEX('Oxford Economics'!$A$7:$AZ$1000,0,IFERROR(MATCH(AC$5,'Oxford Economics'!$A$6:$AZ$6,0),MATCH(AC$5&amp;"",'Oxford Economics'!$A$6:$AZ$6,0))),'Oxford Economics'!$A$7:$A$1000,$C116,'Oxford Economics'!$B$7:$B$1000,Settings!$B$16)+IF(Settings!$B$18="",0,SUMIFS(INDEX('Oxford Economics'!$A$7:$AZ$1000,0,IFERROR(MATCH(AC$5,'Oxford Economics'!$A$6:$AZ$6,0),MATCH(AC$5&amp;"",'Oxford Economics'!$A$6:$AZ$6,0))),'Oxford Economics'!$A$7:$A$1000,$C116,'Oxford Economics'!$B$7:$B$1000,Settings!$B$18)))),""))</f>
        <v/>
      </c>
      <c r="AD116" s="38" t="str">
        <f aca="false">IF($A116="","",IFERROR(1/(1/IF($B116="Residential",SUMIFS(INDEX('Oxford Economics'!$A$7:$AZ$1000,0,IFERROR(MATCH(AD$5,'Oxford Economics'!$A$6:$AZ$6,0),MATCH(AD$5&amp;"",'Oxford Economics'!$A$6:$AZ$6,0))),'Oxford Economics'!$A$7:$A$1000,$C116,'Oxford Economics'!$B$7:$B$1000,Settings!$B$12)-SUMIFS(INDEX('Oxford Economics'!$A$7:$AZ$1000,0,IFERROR(MATCH(AD$5,'Oxford Economics'!$A$6:$AZ$6,0),MATCH(AD$5&amp;"",'Oxford Economics'!$A$6:$AZ$6,0))),'Oxford Economics'!$A$7:$A$1000,$C116,'Oxford Economics'!$B$7:$B$1000,Settings!$B$14),SUMIFS(INDEX('Oxford Economics'!$A$7:$AZ$1000,0,IFERROR(MATCH(AD$5,'Oxford Economics'!$A$6:$AZ$6,0),MATCH(AD$5&amp;"",'Oxford Economics'!$A$6:$AZ$6,0))),'Oxford Economics'!$A$7:$A$1000,$C116,'Oxford Economics'!$B$7:$B$1000,Settings!$B$14)+SUMIFS(INDEX('Oxford Economics'!$A$7:$AZ$1000,0,IFERROR(MATCH(AD$5,'Oxford Economics'!$A$6:$AZ$6,0),MATCH(AD$5&amp;"",'Oxford Economics'!$A$6:$AZ$6,0))),'Oxford Economics'!$A$7:$A$1000,$C116,'Oxford Economics'!$B$7:$B$1000,Settings!$B$16)+IF(Settings!$B$18="",0,SUMIFS(INDEX('Oxford Economics'!$A$7:$AZ$1000,0,IFERROR(MATCH(AD$5,'Oxford Economics'!$A$6:$AZ$6,0),MATCH(AD$5&amp;"",'Oxford Economics'!$A$6:$AZ$6,0))),'Oxford Economics'!$A$7:$A$1000,$C116,'Oxford Economics'!$B$7:$B$1000,Settings!$B$18)))),""))</f>
        <v/>
      </c>
      <c r="AE116" s="38" t="str">
        <f aca="false">IF($A116="","",IFERROR(1/(1/IF($B116="Residential",SUMIFS(INDEX('Oxford Economics'!$A$7:$AZ$1000,0,IFERROR(MATCH(AE$5,'Oxford Economics'!$A$6:$AZ$6,0),MATCH(AE$5&amp;"",'Oxford Economics'!$A$6:$AZ$6,0))),'Oxford Economics'!$A$7:$A$1000,$C116,'Oxford Economics'!$B$7:$B$1000,Settings!$B$12)-SUMIFS(INDEX('Oxford Economics'!$A$7:$AZ$1000,0,IFERROR(MATCH(AE$5,'Oxford Economics'!$A$6:$AZ$6,0),MATCH(AE$5&amp;"",'Oxford Economics'!$A$6:$AZ$6,0))),'Oxford Economics'!$A$7:$A$1000,$C116,'Oxford Economics'!$B$7:$B$1000,Settings!$B$14),SUMIFS(INDEX('Oxford Economics'!$A$7:$AZ$1000,0,IFERROR(MATCH(AE$5,'Oxford Economics'!$A$6:$AZ$6,0),MATCH(AE$5&amp;"",'Oxford Economics'!$A$6:$AZ$6,0))),'Oxford Economics'!$A$7:$A$1000,$C116,'Oxford Economics'!$B$7:$B$1000,Settings!$B$14)+SUMIFS(INDEX('Oxford Economics'!$A$7:$AZ$1000,0,IFERROR(MATCH(AE$5,'Oxford Economics'!$A$6:$AZ$6,0),MATCH(AE$5&amp;"",'Oxford Economics'!$A$6:$AZ$6,0))),'Oxford Economics'!$A$7:$A$1000,$C116,'Oxford Economics'!$B$7:$B$1000,Settings!$B$16)+IF(Settings!$B$18="",0,SUMIFS(INDEX('Oxford Economics'!$A$7:$AZ$1000,0,IFERROR(MATCH(AE$5,'Oxford Economics'!$A$6:$AZ$6,0),MATCH(AE$5&amp;"",'Oxford Economics'!$A$6:$AZ$6,0))),'Oxford Economics'!$A$7:$A$1000,$C116,'Oxford Economics'!$B$7:$B$1000,Settings!$B$18)))),""))</f>
        <v/>
      </c>
      <c r="AF116" s="38" t="str">
        <f aca="false">IF($A116="","",IFERROR(1/(1/IF($B116="Residential",SUMIFS(INDEX('Oxford Economics'!$A$7:$AZ$1000,0,IFERROR(MATCH(AF$5,'Oxford Economics'!$A$6:$AZ$6,0),MATCH(AF$5&amp;"",'Oxford Economics'!$A$6:$AZ$6,0))),'Oxford Economics'!$A$7:$A$1000,$C116,'Oxford Economics'!$B$7:$B$1000,Settings!$B$12)-SUMIFS(INDEX('Oxford Economics'!$A$7:$AZ$1000,0,IFERROR(MATCH(AF$5,'Oxford Economics'!$A$6:$AZ$6,0),MATCH(AF$5&amp;"",'Oxford Economics'!$A$6:$AZ$6,0))),'Oxford Economics'!$A$7:$A$1000,$C116,'Oxford Economics'!$B$7:$B$1000,Settings!$B$14),SUMIFS(INDEX('Oxford Economics'!$A$7:$AZ$1000,0,IFERROR(MATCH(AF$5,'Oxford Economics'!$A$6:$AZ$6,0),MATCH(AF$5&amp;"",'Oxford Economics'!$A$6:$AZ$6,0))),'Oxford Economics'!$A$7:$A$1000,$C116,'Oxford Economics'!$B$7:$B$1000,Settings!$B$14)+SUMIFS(INDEX('Oxford Economics'!$A$7:$AZ$1000,0,IFERROR(MATCH(AF$5,'Oxford Economics'!$A$6:$AZ$6,0),MATCH(AF$5&amp;"",'Oxford Economics'!$A$6:$AZ$6,0))),'Oxford Economics'!$A$7:$A$1000,$C116,'Oxford Economics'!$B$7:$B$1000,Settings!$B$16)+IF(Settings!$B$18="",0,SUMIFS(INDEX('Oxford Economics'!$A$7:$AZ$1000,0,IFERROR(MATCH(AF$5,'Oxford Economics'!$A$6:$AZ$6,0),MATCH(AF$5&amp;"",'Oxford Economics'!$A$6:$AZ$6,0))),'Oxford Economics'!$A$7:$A$1000,$C116,'Oxford Economics'!$B$7:$B$1000,Settings!$B$18)))),""))</f>
        <v/>
      </c>
      <c r="AG116" s="38" t="str">
        <f aca="false">IF($A116="","",IFERROR(1/(1/IF($B116="Residential",SUMIFS(INDEX('Oxford Economics'!$A$7:$AZ$1000,0,IFERROR(MATCH(AG$5,'Oxford Economics'!$A$6:$AZ$6,0),MATCH(AG$5&amp;"",'Oxford Economics'!$A$6:$AZ$6,0))),'Oxford Economics'!$A$7:$A$1000,$C116,'Oxford Economics'!$B$7:$B$1000,Settings!$B$12)-SUMIFS(INDEX('Oxford Economics'!$A$7:$AZ$1000,0,IFERROR(MATCH(AG$5,'Oxford Economics'!$A$6:$AZ$6,0),MATCH(AG$5&amp;"",'Oxford Economics'!$A$6:$AZ$6,0))),'Oxford Economics'!$A$7:$A$1000,$C116,'Oxford Economics'!$B$7:$B$1000,Settings!$B$14),SUMIFS(INDEX('Oxford Economics'!$A$7:$AZ$1000,0,IFERROR(MATCH(AG$5,'Oxford Economics'!$A$6:$AZ$6,0),MATCH(AG$5&amp;"",'Oxford Economics'!$A$6:$AZ$6,0))),'Oxford Economics'!$A$7:$A$1000,$C116,'Oxford Economics'!$B$7:$B$1000,Settings!$B$14)+SUMIFS(INDEX('Oxford Economics'!$A$7:$AZ$1000,0,IFERROR(MATCH(AG$5,'Oxford Economics'!$A$6:$AZ$6,0),MATCH(AG$5&amp;"",'Oxford Economics'!$A$6:$AZ$6,0))),'Oxford Economics'!$A$7:$A$1000,$C116,'Oxford Economics'!$B$7:$B$1000,Settings!$B$16)+IF(Settings!$B$18="",0,SUMIFS(INDEX('Oxford Economics'!$A$7:$AZ$1000,0,IFERROR(MATCH(AG$5,'Oxford Economics'!$A$6:$AZ$6,0),MATCH(AG$5&amp;"",'Oxford Economics'!$A$6:$AZ$6,0))),'Oxford Economics'!$A$7:$A$1000,$C116,'Oxford Economics'!$B$7:$B$1000,Settings!$B$18)))),""))</f>
        <v/>
      </c>
      <c r="AH116" s="38" t="str">
        <f aca="false">IF($A116="","",IFERROR(1/(1/IF($B116="Residential",SUMIFS(INDEX('Oxford Economics'!$A$7:$AZ$1000,0,IFERROR(MATCH(AH$5,'Oxford Economics'!$A$6:$AZ$6,0),MATCH(AH$5&amp;"",'Oxford Economics'!$A$6:$AZ$6,0))),'Oxford Economics'!$A$7:$A$1000,$C116,'Oxford Economics'!$B$7:$B$1000,Settings!$B$12)-SUMIFS(INDEX('Oxford Economics'!$A$7:$AZ$1000,0,IFERROR(MATCH(AH$5,'Oxford Economics'!$A$6:$AZ$6,0),MATCH(AH$5&amp;"",'Oxford Economics'!$A$6:$AZ$6,0))),'Oxford Economics'!$A$7:$A$1000,$C116,'Oxford Economics'!$B$7:$B$1000,Settings!$B$14),SUMIFS(INDEX('Oxford Economics'!$A$7:$AZ$1000,0,IFERROR(MATCH(AH$5,'Oxford Economics'!$A$6:$AZ$6,0),MATCH(AH$5&amp;"",'Oxford Economics'!$A$6:$AZ$6,0))),'Oxford Economics'!$A$7:$A$1000,$C116,'Oxford Economics'!$B$7:$B$1000,Settings!$B$14)+SUMIFS(INDEX('Oxford Economics'!$A$7:$AZ$1000,0,IFERROR(MATCH(AH$5,'Oxford Economics'!$A$6:$AZ$6,0),MATCH(AH$5&amp;"",'Oxford Economics'!$A$6:$AZ$6,0))),'Oxford Economics'!$A$7:$A$1000,$C116,'Oxford Economics'!$B$7:$B$1000,Settings!$B$16)+IF(Settings!$B$18="",0,SUMIFS(INDEX('Oxford Economics'!$A$7:$AZ$1000,0,IFERROR(MATCH(AH$5,'Oxford Economics'!$A$6:$AZ$6,0),MATCH(AH$5&amp;"",'Oxford Economics'!$A$6:$AZ$6,0))),'Oxford Economics'!$A$7:$A$1000,$C116,'Oxford Economics'!$B$7:$B$1000,Settings!$B$18)))),""))</f>
        <v/>
      </c>
      <c r="AI116" s="38" t="str">
        <f aca="false">IF($A116="","",IFERROR(1/(1/IF($B116="Residential",SUMIFS(INDEX('Oxford Economics'!$A$7:$AZ$1000,0,IFERROR(MATCH(AI$5,'Oxford Economics'!$A$6:$AZ$6,0),MATCH(AI$5&amp;"",'Oxford Economics'!$A$6:$AZ$6,0))),'Oxford Economics'!$A$7:$A$1000,$C116,'Oxford Economics'!$B$7:$B$1000,Settings!$B$12)-SUMIFS(INDEX('Oxford Economics'!$A$7:$AZ$1000,0,IFERROR(MATCH(AI$5,'Oxford Economics'!$A$6:$AZ$6,0),MATCH(AI$5&amp;"",'Oxford Economics'!$A$6:$AZ$6,0))),'Oxford Economics'!$A$7:$A$1000,$C116,'Oxford Economics'!$B$7:$B$1000,Settings!$B$14),SUMIFS(INDEX('Oxford Economics'!$A$7:$AZ$1000,0,IFERROR(MATCH(AI$5,'Oxford Economics'!$A$6:$AZ$6,0),MATCH(AI$5&amp;"",'Oxford Economics'!$A$6:$AZ$6,0))),'Oxford Economics'!$A$7:$A$1000,$C116,'Oxford Economics'!$B$7:$B$1000,Settings!$B$14)+SUMIFS(INDEX('Oxford Economics'!$A$7:$AZ$1000,0,IFERROR(MATCH(AI$5,'Oxford Economics'!$A$6:$AZ$6,0),MATCH(AI$5&amp;"",'Oxford Economics'!$A$6:$AZ$6,0))),'Oxford Economics'!$A$7:$A$1000,$C116,'Oxford Economics'!$B$7:$B$1000,Settings!$B$16)+IF(Settings!$B$18="",0,SUMIFS(INDEX('Oxford Economics'!$A$7:$AZ$1000,0,IFERROR(MATCH(AI$5,'Oxford Economics'!$A$6:$AZ$6,0),MATCH(AI$5&amp;"",'Oxford Economics'!$A$6:$AZ$6,0))),'Oxford Economics'!$A$7:$A$1000,$C116,'Oxford Economics'!$B$7:$B$1000,Settings!$B$18)))),""))</f>
        <v/>
      </c>
      <c r="AJ116" s="38" t="str">
        <f aca="false">IF($A116="","",IFERROR(1/(1/IF($B116="Residential",SUMIFS(INDEX('Oxford Economics'!$A$7:$AZ$1000,0,IFERROR(MATCH(AJ$5,'Oxford Economics'!$A$6:$AZ$6,0),MATCH(AJ$5&amp;"",'Oxford Economics'!$A$6:$AZ$6,0))),'Oxford Economics'!$A$7:$A$1000,$C116,'Oxford Economics'!$B$7:$B$1000,Settings!$B$12)-SUMIFS(INDEX('Oxford Economics'!$A$7:$AZ$1000,0,IFERROR(MATCH(AJ$5,'Oxford Economics'!$A$6:$AZ$6,0),MATCH(AJ$5&amp;"",'Oxford Economics'!$A$6:$AZ$6,0))),'Oxford Economics'!$A$7:$A$1000,$C116,'Oxford Economics'!$B$7:$B$1000,Settings!$B$14),SUMIFS(INDEX('Oxford Economics'!$A$7:$AZ$1000,0,IFERROR(MATCH(AJ$5,'Oxford Economics'!$A$6:$AZ$6,0),MATCH(AJ$5&amp;"",'Oxford Economics'!$A$6:$AZ$6,0))),'Oxford Economics'!$A$7:$A$1000,$C116,'Oxford Economics'!$B$7:$B$1000,Settings!$B$14)+SUMIFS(INDEX('Oxford Economics'!$A$7:$AZ$1000,0,IFERROR(MATCH(AJ$5,'Oxford Economics'!$A$6:$AZ$6,0),MATCH(AJ$5&amp;"",'Oxford Economics'!$A$6:$AZ$6,0))),'Oxford Economics'!$A$7:$A$1000,$C116,'Oxford Economics'!$B$7:$B$1000,Settings!$B$16)+IF(Settings!$B$18="",0,SUMIFS(INDEX('Oxford Economics'!$A$7:$AZ$1000,0,IFERROR(MATCH(AJ$5,'Oxford Economics'!$A$6:$AZ$6,0),MATCH(AJ$5&amp;"",'Oxford Economics'!$A$6:$AZ$6,0))),'Oxford Economics'!$A$7:$A$1000,$C116,'Oxford Economics'!$B$7:$B$1000,Settings!$B$18)))),""))</f>
        <v/>
      </c>
      <c r="AK116" s="38" t="str">
        <f aca="false">IF($A116="","",IFERROR(1/(1/IF($B116="Residential",SUMIFS(INDEX('Oxford Economics'!$A$7:$AZ$1000,0,IFERROR(MATCH(AK$5,'Oxford Economics'!$A$6:$AZ$6,0),MATCH(AK$5&amp;"",'Oxford Economics'!$A$6:$AZ$6,0))),'Oxford Economics'!$A$7:$A$1000,$C116,'Oxford Economics'!$B$7:$B$1000,Settings!$B$12)-SUMIFS(INDEX('Oxford Economics'!$A$7:$AZ$1000,0,IFERROR(MATCH(AK$5,'Oxford Economics'!$A$6:$AZ$6,0),MATCH(AK$5&amp;"",'Oxford Economics'!$A$6:$AZ$6,0))),'Oxford Economics'!$A$7:$A$1000,$C116,'Oxford Economics'!$B$7:$B$1000,Settings!$B$14),SUMIFS(INDEX('Oxford Economics'!$A$7:$AZ$1000,0,IFERROR(MATCH(AK$5,'Oxford Economics'!$A$6:$AZ$6,0),MATCH(AK$5&amp;"",'Oxford Economics'!$A$6:$AZ$6,0))),'Oxford Economics'!$A$7:$A$1000,$C116,'Oxford Economics'!$B$7:$B$1000,Settings!$B$14)+SUMIFS(INDEX('Oxford Economics'!$A$7:$AZ$1000,0,IFERROR(MATCH(AK$5,'Oxford Economics'!$A$6:$AZ$6,0),MATCH(AK$5&amp;"",'Oxford Economics'!$A$6:$AZ$6,0))),'Oxford Economics'!$A$7:$A$1000,$C116,'Oxford Economics'!$B$7:$B$1000,Settings!$B$16)+IF(Settings!$B$18="",0,SUMIFS(INDEX('Oxford Economics'!$A$7:$AZ$1000,0,IFERROR(MATCH(AK$5,'Oxford Economics'!$A$6:$AZ$6,0),MATCH(AK$5&amp;"",'Oxford Economics'!$A$6:$AZ$6,0))),'Oxford Economics'!$A$7:$A$1000,$C116,'Oxford Economics'!$B$7:$B$1000,Settings!$B$18)))),""))</f>
        <v/>
      </c>
      <c r="AL116" s="38" t="str">
        <f aca="false">IF($A116="","",IFERROR(1/(1/IF($B116="Residential",SUMIFS(INDEX('Oxford Economics'!$A$7:$AZ$1000,0,IFERROR(MATCH(AL$5,'Oxford Economics'!$A$6:$AZ$6,0),MATCH(AL$5&amp;"",'Oxford Economics'!$A$6:$AZ$6,0))),'Oxford Economics'!$A$7:$A$1000,$C116,'Oxford Economics'!$B$7:$B$1000,Settings!$B$12)-SUMIFS(INDEX('Oxford Economics'!$A$7:$AZ$1000,0,IFERROR(MATCH(AL$5,'Oxford Economics'!$A$6:$AZ$6,0),MATCH(AL$5&amp;"",'Oxford Economics'!$A$6:$AZ$6,0))),'Oxford Economics'!$A$7:$A$1000,$C116,'Oxford Economics'!$B$7:$B$1000,Settings!$B$14),SUMIFS(INDEX('Oxford Economics'!$A$7:$AZ$1000,0,IFERROR(MATCH(AL$5,'Oxford Economics'!$A$6:$AZ$6,0),MATCH(AL$5&amp;"",'Oxford Economics'!$A$6:$AZ$6,0))),'Oxford Economics'!$A$7:$A$1000,$C116,'Oxford Economics'!$B$7:$B$1000,Settings!$B$14)+SUMIFS(INDEX('Oxford Economics'!$A$7:$AZ$1000,0,IFERROR(MATCH(AL$5,'Oxford Economics'!$A$6:$AZ$6,0),MATCH(AL$5&amp;"",'Oxford Economics'!$A$6:$AZ$6,0))),'Oxford Economics'!$A$7:$A$1000,$C116,'Oxford Economics'!$B$7:$B$1000,Settings!$B$16)+IF(Settings!$B$18="",0,SUMIFS(INDEX('Oxford Economics'!$A$7:$AZ$1000,0,IFERROR(MATCH(AL$5,'Oxford Economics'!$A$6:$AZ$6,0),MATCH(AL$5&amp;"",'Oxford Economics'!$A$6:$AZ$6,0))),'Oxford Economics'!$A$7:$A$1000,$C116,'Oxford Economics'!$B$7:$B$1000,Settings!$B$18)))),""))</f>
        <v/>
      </c>
      <c r="AM116" s="38" t="str">
        <f aca="false">IF($A116="","",IFERROR(1/(1/IF($B116="Residential",SUMIFS(INDEX('Oxford Economics'!$A$7:$AZ$1000,0,IFERROR(MATCH(AM$5,'Oxford Economics'!$A$6:$AZ$6,0),MATCH(AM$5&amp;"",'Oxford Economics'!$A$6:$AZ$6,0))),'Oxford Economics'!$A$7:$A$1000,$C116,'Oxford Economics'!$B$7:$B$1000,Settings!$B$12)-SUMIFS(INDEX('Oxford Economics'!$A$7:$AZ$1000,0,IFERROR(MATCH(AM$5,'Oxford Economics'!$A$6:$AZ$6,0),MATCH(AM$5&amp;"",'Oxford Economics'!$A$6:$AZ$6,0))),'Oxford Economics'!$A$7:$A$1000,$C116,'Oxford Economics'!$B$7:$B$1000,Settings!$B$14),SUMIFS(INDEX('Oxford Economics'!$A$7:$AZ$1000,0,IFERROR(MATCH(AM$5,'Oxford Economics'!$A$6:$AZ$6,0),MATCH(AM$5&amp;"",'Oxford Economics'!$A$6:$AZ$6,0))),'Oxford Economics'!$A$7:$A$1000,$C116,'Oxford Economics'!$B$7:$B$1000,Settings!$B$14)+SUMIFS(INDEX('Oxford Economics'!$A$7:$AZ$1000,0,IFERROR(MATCH(AM$5,'Oxford Economics'!$A$6:$AZ$6,0),MATCH(AM$5&amp;"",'Oxford Economics'!$A$6:$AZ$6,0))),'Oxford Economics'!$A$7:$A$1000,$C116,'Oxford Economics'!$B$7:$B$1000,Settings!$B$16)+IF(Settings!$B$18="",0,SUMIFS(INDEX('Oxford Economics'!$A$7:$AZ$1000,0,IFERROR(MATCH(AM$5,'Oxford Economics'!$A$6:$AZ$6,0),MATCH(AM$5&amp;"",'Oxford Economics'!$A$6:$AZ$6,0))),'Oxford Economics'!$A$7:$A$1000,$C116,'Oxford Economics'!$B$7:$B$1000,Settings!$B$18)))),""))</f>
        <v/>
      </c>
    </row>
    <row r="117" customFormat="false" ht="15" hidden="false" customHeight="false" outlineLevel="0" collapsed="false">
      <c r="A117" s="37" t="str">
        <f aca="false">IF('Raw data'!$A117="","",'Raw data'!$A117)</f>
        <v/>
      </c>
      <c r="B117" s="37" t="str">
        <f aca="false">IF($A117="","",'Raw data'!$C117)</f>
        <v/>
      </c>
      <c r="C117" s="37" t="str">
        <f aca="false">IF($A117="","",IF('Raw data'!$E117="",$A117,'Raw data'!$E117))</f>
        <v/>
      </c>
      <c r="D117" s="38" t="str">
        <f aca="false">IF($A117="","",IF(AND(ISNUMBER(P117),ISNUMBER(AB117)),P117+AB117,""))</f>
        <v/>
      </c>
      <c r="E117" s="38" t="str">
        <f aca="false">IF($A117="","",IF(AND(ISNUMBER(Q117),ISNUMBER(AC117)),Q117+AC117,""))</f>
        <v/>
      </c>
      <c r="F117" s="38" t="str">
        <f aca="false">IF($A117="","",IF(AND(ISNUMBER(R117),ISNUMBER(AD117)),R117+AD117,""))</f>
        <v/>
      </c>
      <c r="G117" s="38" t="str">
        <f aca="false">IF($A117="","",IF(AND(ISNUMBER(S117),ISNUMBER(AE117)),S117+AE117,""))</f>
        <v/>
      </c>
      <c r="H117" s="38" t="str">
        <f aca="false">IF($A117="","",IF(AND(ISNUMBER(T117),ISNUMBER(AF117)),T117+AF117,""))</f>
        <v/>
      </c>
      <c r="I117" s="38" t="str">
        <f aca="false">IF($A117="","",IF(AND(ISNUMBER(U117),ISNUMBER(AG117)),U117+AG117,""))</f>
        <v/>
      </c>
      <c r="J117" s="38" t="str">
        <f aca="false">IF($A117="","",IF(AND(ISNUMBER(V117),ISNUMBER(AH117)),V117+AH117,""))</f>
        <v/>
      </c>
      <c r="K117" s="38" t="str">
        <f aca="false">IF($A117="","",IF(AND(ISNUMBER(W117),ISNUMBER(AI117)),W117+AI117,""))</f>
        <v/>
      </c>
      <c r="L117" s="38" t="str">
        <f aca="false">IF($A117="","",IF(AND(ISNUMBER(X117),ISNUMBER(AJ117)),X117+AJ117,""))</f>
        <v/>
      </c>
      <c r="M117" s="38" t="str">
        <f aca="false">IF($A117="","",IF(AND(ISNUMBER(Y117),ISNUMBER(AK117)),Y117+AK117,""))</f>
        <v/>
      </c>
      <c r="N117" s="38" t="str">
        <f aca="false">IF($A117="","",IF(AND(ISNUMBER(Z117),ISNUMBER(AL117)),Z117+AL117,""))</f>
        <v/>
      </c>
      <c r="O117" s="38" t="str">
        <f aca="false">IF($A117="","",IF(AND(ISNUMBER(AA117),ISNUMBER(AM117)),AA117+AM117,""))</f>
        <v/>
      </c>
      <c r="P117" s="38" t="str">
        <f aca="false">IF($A117="","",IFERROR(1/(1/IF($B117="Residential",SUMIFS(INDEX('Oxford Economics'!$A$7:$AZ$1000,0,IFERROR(MATCH(P$5,'Oxford Economics'!$A$6:$AZ$6,0),MATCH(P$5&amp;"",'Oxford Economics'!$A$6:$AZ$6,0))),'Oxford Economics'!$A$7:$A$1000,$C117,'Oxford Economics'!$B$7:$B$1000,Settings!$B$13)-SUMIFS(INDEX('Oxford Economics'!$A$7:$AZ$1000,0,IFERROR(MATCH(P$5,'Oxford Economics'!$A$6:$AZ$6,0),MATCH(P$5&amp;"",'Oxford Economics'!$A$6:$AZ$6,0))),'Oxford Economics'!$A$7:$A$1000,$C117,'Oxford Economics'!$B$7:$B$1000,Settings!$B$15),SUMIFS(INDEX('Oxford Economics'!$A$7:$AZ$1000,0,IFERROR(MATCH(P$5,'Oxford Economics'!$A$6:$AZ$6,0),MATCH(P$5&amp;"",'Oxford Economics'!$A$6:$AZ$6,0))),'Oxford Economics'!$A$7:$A$1000,$C117,'Oxford Economics'!$B$7:$B$1000,Settings!$B$15)+SUMIFS(INDEX('Oxford Economics'!$A$7:$AZ$1000,0,IFERROR(MATCH(P$5,'Oxford Economics'!$A$6:$AZ$6,0),MATCH(P$5&amp;"",'Oxford Economics'!$A$6:$AZ$6,0))),'Oxford Economics'!$A$7:$A$1000,$C117,'Oxford Economics'!$B$7:$B$1000,Settings!$B$17)+IF(Settings!$B$19="",0,SUMIFS(INDEX('Oxford Economics'!$A$7:$AZ$1000,0,IFERROR(MATCH(P$5,'Oxford Economics'!$A$6:$AZ$6,0),MATCH(P$5&amp;"",'Oxford Economics'!$A$6:$AZ$6,0))),'Oxford Economics'!$A$7:$A$1000,$C117,'Oxford Economics'!$B$7:$B$1000,Settings!$B$19)))),""))</f>
        <v/>
      </c>
      <c r="Q117" s="38" t="str">
        <f aca="false">IF($A117="","",IFERROR(1/(1/IF($B117="Residential",SUMIFS(INDEX('Oxford Economics'!$A$7:$AZ$1000,0,IFERROR(MATCH(Q$5,'Oxford Economics'!$A$6:$AZ$6,0),MATCH(Q$5&amp;"",'Oxford Economics'!$A$6:$AZ$6,0))),'Oxford Economics'!$A$7:$A$1000,$C117,'Oxford Economics'!$B$7:$B$1000,Settings!$B$13)-SUMIFS(INDEX('Oxford Economics'!$A$7:$AZ$1000,0,IFERROR(MATCH(Q$5,'Oxford Economics'!$A$6:$AZ$6,0),MATCH(Q$5&amp;"",'Oxford Economics'!$A$6:$AZ$6,0))),'Oxford Economics'!$A$7:$A$1000,$C117,'Oxford Economics'!$B$7:$B$1000,Settings!$B$15),SUMIFS(INDEX('Oxford Economics'!$A$7:$AZ$1000,0,IFERROR(MATCH(Q$5,'Oxford Economics'!$A$6:$AZ$6,0),MATCH(Q$5&amp;"",'Oxford Economics'!$A$6:$AZ$6,0))),'Oxford Economics'!$A$7:$A$1000,$C117,'Oxford Economics'!$B$7:$B$1000,Settings!$B$15)+SUMIFS(INDEX('Oxford Economics'!$A$7:$AZ$1000,0,IFERROR(MATCH(Q$5,'Oxford Economics'!$A$6:$AZ$6,0),MATCH(Q$5&amp;"",'Oxford Economics'!$A$6:$AZ$6,0))),'Oxford Economics'!$A$7:$A$1000,$C117,'Oxford Economics'!$B$7:$B$1000,Settings!$B$17)+IF(Settings!$B$19="",0,SUMIFS(INDEX('Oxford Economics'!$A$7:$AZ$1000,0,IFERROR(MATCH(Q$5,'Oxford Economics'!$A$6:$AZ$6,0),MATCH(Q$5&amp;"",'Oxford Economics'!$A$6:$AZ$6,0))),'Oxford Economics'!$A$7:$A$1000,$C117,'Oxford Economics'!$B$7:$B$1000,Settings!$B$19)))),""))</f>
        <v/>
      </c>
      <c r="R117" s="38" t="str">
        <f aca="false">IF($A117="","",IFERROR(1/(1/IF($B117="Residential",SUMIFS(INDEX('Oxford Economics'!$A$7:$AZ$1000,0,IFERROR(MATCH(R$5,'Oxford Economics'!$A$6:$AZ$6,0),MATCH(R$5&amp;"",'Oxford Economics'!$A$6:$AZ$6,0))),'Oxford Economics'!$A$7:$A$1000,$C117,'Oxford Economics'!$B$7:$B$1000,Settings!$B$13)-SUMIFS(INDEX('Oxford Economics'!$A$7:$AZ$1000,0,IFERROR(MATCH(R$5,'Oxford Economics'!$A$6:$AZ$6,0),MATCH(R$5&amp;"",'Oxford Economics'!$A$6:$AZ$6,0))),'Oxford Economics'!$A$7:$A$1000,$C117,'Oxford Economics'!$B$7:$B$1000,Settings!$B$15),SUMIFS(INDEX('Oxford Economics'!$A$7:$AZ$1000,0,IFERROR(MATCH(R$5,'Oxford Economics'!$A$6:$AZ$6,0),MATCH(R$5&amp;"",'Oxford Economics'!$A$6:$AZ$6,0))),'Oxford Economics'!$A$7:$A$1000,$C117,'Oxford Economics'!$B$7:$B$1000,Settings!$B$15)+SUMIFS(INDEX('Oxford Economics'!$A$7:$AZ$1000,0,IFERROR(MATCH(R$5,'Oxford Economics'!$A$6:$AZ$6,0),MATCH(R$5&amp;"",'Oxford Economics'!$A$6:$AZ$6,0))),'Oxford Economics'!$A$7:$A$1000,$C117,'Oxford Economics'!$B$7:$B$1000,Settings!$B$17)+IF(Settings!$B$19="",0,SUMIFS(INDEX('Oxford Economics'!$A$7:$AZ$1000,0,IFERROR(MATCH(R$5,'Oxford Economics'!$A$6:$AZ$6,0),MATCH(R$5&amp;"",'Oxford Economics'!$A$6:$AZ$6,0))),'Oxford Economics'!$A$7:$A$1000,$C117,'Oxford Economics'!$B$7:$B$1000,Settings!$B$19)))),""))</f>
        <v/>
      </c>
      <c r="S117" s="38" t="str">
        <f aca="false">IF($A117="","",IFERROR(1/(1/IF($B117="Residential",SUMIFS(INDEX('Oxford Economics'!$A$7:$AZ$1000,0,IFERROR(MATCH(S$5,'Oxford Economics'!$A$6:$AZ$6,0),MATCH(S$5&amp;"",'Oxford Economics'!$A$6:$AZ$6,0))),'Oxford Economics'!$A$7:$A$1000,$C117,'Oxford Economics'!$B$7:$B$1000,Settings!$B$13)-SUMIFS(INDEX('Oxford Economics'!$A$7:$AZ$1000,0,IFERROR(MATCH(S$5,'Oxford Economics'!$A$6:$AZ$6,0),MATCH(S$5&amp;"",'Oxford Economics'!$A$6:$AZ$6,0))),'Oxford Economics'!$A$7:$A$1000,$C117,'Oxford Economics'!$B$7:$B$1000,Settings!$B$15),SUMIFS(INDEX('Oxford Economics'!$A$7:$AZ$1000,0,IFERROR(MATCH(S$5,'Oxford Economics'!$A$6:$AZ$6,0),MATCH(S$5&amp;"",'Oxford Economics'!$A$6:$AZ$6,0))),'Oxford Economics'!$A$7:$A$1000,$C117,'Oxford Economics'!$B$7:$B$1000,Settings!$B$15)+SUMIFS(INDEX('Oxford Economics'!$A$7:$AZ$1000,0,IFERROR(MATCH(S$5,'Oxford Economics'!$A$6:$AZ$6,0),MATCH(S$5&amp;"",'Oxford Economics'!$A$6:$AZ$6,0))),'Oxford Economics'!$A$7:$A$1000,$C117,'Oxford Economics'!$B$7:$B$1000,Settings!$B$17)+IF(Settings!$B$19="",0,SUMIFS(INDEX('Oxford Economics'!$A$7:$AZ$1000,0,IFERROR(MATCH(S$5,'Oxford Economics'!$A$6:$AZ$6,0),MATCH(S$5&amp;"",'Oxford Economics'!$A$6:$AZ$6,0))),'Oxford Economics'!$A$7:$A$1000,$C117,'Oxford Economics'!$B$7:$B$1000,Settings!$B$19)))),""))</f>
        <v/>
      </c>
      <c r="T117" s="38" t="str">
        <f aca="false">IF($A117="","",IFERROR(1/(1/IF($B117="Residential",SUMIFS(INDEX('Oxford Economics'!$A$7:$AZ$1000,0,IFERROR(MATCH(T$5,'Oxford Economics'!$A$6:$AZ$6,0),MATCH(T$5&amp;"",'Oxford Economics'!$A$6:$AZ$6,0))),'Oxford Economics'!$A$7:$A$1000,$C117,'Oxford Economics'!$B$7:$B$1000,Settings!$B$13)-SUMIFS(INDEX('Oxford Economics'!$A$7:$AZ$1000,0,IFERROR(MATCH(T$5,'Oxford Economics'!$A$6:$AZ$6,0),MATCH(T$5&amp;"",'Oxford Economics'!$A$6:$AZ$6,0))),'Oxford Economics'!$A$7:$A$1000,$C117,'Oxford Economics'!$B$7:$B$1000,Settings!$B$15),SUMIFS(INDEX('Oxford Economics'!$A$7:$AZ$1000,0,IFERROR(MATCH(T$5,'Oxford Economics'!$A$6:$AZ$6,0),MATCH(T$5&amp;"",'Oxford Economics'!$A$6:$AZ$6,0))),'Oxford Economics'!$A$7:$A$1000,$C117,'Oxford Economics'!$B$7:$B$1000,Settings!$B$15)+SUMIFS(INDEX('Oxford Economics'!$A$7:$AZ$1000,0,IFERROR(MATCH(T$5,'Oxford Economics'!$A$6:$AZ$6,0),MATCH(T$5&amp;"",'Oxford Economics'!$A$6:$AZ$6,0))),'Oxford Economics'!$A$7:$A$1000,$C117,'Oxford Economics'!$B$7:$B$1000,Settings!$B$17)+IF(Settings!$B$19="",0,SUMIFS(INDEX('Oxford Economics'!$A$7:$AZ$1000,0,IFERROR(MATCH(T$5,'Oxford Economics'!$A$6:$AZ$6,0),MATCH(T$5&amp;"",'Oxford Economics'!$A$6:$AZ$6,0))),'Oxford Economics'!$A$7:$A$1000,$C117,'Oxford Economics'!$B$7:$B$1000,Settings!$B$19)))),""))</f>
        <v/>
      </c>
      <c r="U117" s="38" t="str">
        <f aca="false">IF($A117="","",IFERROR(1/(1/IF($B117="Residential",SUMIFS(INDEX('Oxford Economics'!$A$7:$AZ$1000,0,IFERROR(MATCH(U$5,'Oxford Economics'!$A$6:$AZ$6,0),MATCH(U$5&amp;"",'Oxford Economics'!$A$6:$AZ$6,0))),'Oxford Economics'!$A$7:$A$1000,$C117,'Oxford Economics'!$B$7:$B$1000,Settings!$B$13)-SUMIFS(INDEX('Oxford Economics'!$A$7:$AZ$1000,0,IFERROR(MATCH(U$5,'Oxford Economics'!$A$6:$AZ$6,0),MATCH(U$5&amp;"",'Oxford Economics'!$A$6:$AZ$6,0))),'Oxford Economics'!$A$7:$A$1000,$C117,'Oxford Economics'!$B$7:$B$1000,Settings!$B$15),SUMIFS(INDEX('Oxford Economics'!$A$7:$AZ$1000,0,IFERROR(MATCH(U$5,'Oxford Economics'!$A$6:$AZ$6,0),MATCH(U$5&amp;"",'Oxford Economics'!$A$6:$AZ$6,0))),'Oxford Economics'!$A$7:$A$1000,$C117,'Oxford Economics'!$B$7:$B$1000,Settings!$B$15)+SUMIFS(INDEX('Oxford Economics'!$A$7:$AZ$1000,0,IFERROR(MATCH(U$5,'Oxford Economics'!$A$6:$AZ$6,0),MATCH(U$5&amp;"",'Oxford Economics'!$A$6:$AZ$6,0))),'Oxford Economics'!$A$7:$A$1000,$C117,'Oxford Economics'!$B$7:$B$1000,Settings!$B$17)+IF(Settings!$B$19="",0,SUMIFS(INDEX('Oxford Economics'!$A$7:$AZ$1000,0,IFERROR(MATCH(U$5,'Oxford Economics'!$A$6:$AZ$6,0),MATCH(U$5&amp;"",'Oxford Economics'!$A$6:$AZ$6,0))),'Oxford Economics'!$A$7:$A$1000,$C117,'Oxford Economics'!$B$7:$B$1000,Settings!$B$19)))),""))</f>
        <v/>
      </c>
      <c r="V117" s="38" t="str">
        <f aca="false">IF($A117="","",IFERROR(1/(1/IF($B117="Residential",SUMIFS(INDEX('Oxford Economics'!$A$7:$AZ$1000,0,IFERROR(MATCH(V$5,'Oxford Economics'!$A$6:$AZ$6,0),MATCH(V$5&amp;"",'Oxford Economics'!$A$6:$AZ$6,0))),'Oxford Economics'!$A$7:$A$1000,$C117,'Oxford Economics'!$B$7:$B$1000,Settings!$B$13)-SUMIFS(INDEX('Oxford Economics'!$A$7:$AZ$1000,0,IFERROR(MATCH(V$5,'Oxford Economics'!$A$6:$AZ$6,0),MATCH(V$5&amp;"",'Oxford Economics'!$A$6:$AZ$6,0))),'Oxford Economics'!$A$7:$A$1000,$C117,'Oxford Economics'!$B$7:$B$1000,Settings!$B$15),SUMIFS(INDEX('Oxford Economics'!$A$7:$AZ$1000,0,IFERROR(MATCH(V$5,'Oxford Economics'!$A$6:$AZ$6,0),MATCH(V$5&amp;"",'Oxford Economics'!$A$6:$AZ$6,0))),'Oxford Economics'!$A$7:$A$1000,$C117,'Oxford Economics'!$B$7:$B$1000,Settings!$B$15)+SUMIFS(INDEX('Oxford Economics'!$A$7:$AZ$1000,0,IFERROR(MATCH(V$5,'Oxford Economics'!$A$6:$AZ$6,0),MATCH(V$5&amp;"",'Oxford Economics'!$A$6:$AZ$6,0))),'Oxford Economics'!$A$7:$A$1000,$C117,'Oxford Economics'!$B$7:$B$1000,Settings!$B$17)+IF(Settings!$B$19="",0,SUMIFS(INDEX('Oxford Economics'!$A$7:$AZ$1000,0,IFERROR(MATCH(V$5,'Oxford Economics'!$A$6:$AZ$6,0),MATCH(V$5&amp;"",'Oxford Economics'!$A$6:$AZ$6,0))),'Oxford Economics'!$A$7:$A$1000,$C117,'Oxford Economics'!$B$7:$B$1000,Settings!$B$19)))),""))</f>
        <v/>
      </c>
      <c r="W117" s="38" t="str">
        <f aca="false">IF($A117="","",IFERROR(1/(1/IF($B117="Residential",SUMIFS(INDEX('Oxford Economics'!$A$7:$AZ$1000,0,IFERROR(MATCH(W$5,'Oxford Economics'!$A$6:$AZ$6,0),MATCH(W$5&amp;"",'Oxford Economics'!$A$6:$AZ$6,0))),'Oxford Economics'!$A$7:$A$1000,$C117,'Oxford Economics'!$B$7:$B$1000,Settings!$B$13)-SUMIFS(INDEX('Oxford Economics'!$A$7:$AZ$1000,0,IFERROR(MATCH(W$5,'Oxford Economics'!$A$6:$AZ$6,0),MATCH(W$5&amp;"",'Oxford Economics'!$A$6:$AZ$6,0))),'Oxford Economics'!$A$7:$A$1000,$C117,'Oxford Economics'!$B$7:$B$1000,Settings!$B$15),SUMIFS(INDEX('Oxford Economics'!$A$7:$AZ$1000,0,IFERROR(MATCH(W$5,'Oxford Economics'!$A$6:$AZ$6,0),MATCH(W$5&amp;"",'Oxford Economics'!$A$6:$AZ$6,0))),'Oxford Economics'!$A$7:$A$1000,$C117,'Oxford Economics'!$B$7:$B$1000,Settings!$B$15)+SUMIFS(INDEX('Oxford Economics'!$A$7:$AZ$1000,0,IFERROR(MATCH(W$5,'Oxford Economics'!$A$6:$AZ$6,0),MATCH(W$5&amp;"",'Oxford Economics'!$A$6:$AZ$6,0))),'Oxford Economics'!$A$7:$A$1000,$C117,'Oxford Economics'!$B$7:$B$1000,Settings!$B$17)+IF(Settings!$B$19="",0,SUMIFS(INDEX('Oxford Economics'!$A$7:$AZ$1000,0,IFERROR(MATCH(W$5,'Oxford Economics'!$A$6:$AZ$6,0),MATCH(W$5&amp;"",'Oxford Economics'!$A$6:$AZ$6,0))),'Oxford Economics'!$A$7:$A$1000,$C117,'Oxford Economics'!$B$7:$B$1000,Settings!$B$19)))),""))</f>
        <v/>
      </c>
      <c r="X117" s="38" t="str">
        <f aca="false">IF($A117="","",IFERROR(1/(1/IF($B117="Residential",SUMIFS(INDEX('Oxford Economics'!$A$7:$AZ$1000,0,IFERROR(MATCH(X$5,'Oxford Economics'!$A$6:$AZ$6,0),MATCH(X$5&amp;"",'Oxford Economics'!$A$6:$AZ$6,0))),'Oxford Economics'!$A$7:$A$1000,$C117,'Oxford Economics'!$B$7:$B$1000,Settings!$B$13)-SUMIFS(INDEX('Oxford Economics'!$A$7:$AZ$1000,0,IFERROR(MATCH(X$5,'Oxford Economics'!$A$6:$AZ$6,0),MATCH(X$5&amp;"",'Oxford Economics'!$A$6:$AZ$6,0))),'Oxford Economics'!$A$7:$A$1000,$C117,'Oxford Economics'!$B$7:$B$1000,Settings!$B$15),SUMIFS(INDEX('Oxford Economics'!$A$7:$AZ$1000,0,IFERROR(MATCH(X$5,'Oxford Economics'!$A$6:$AZ$6,0),MATCH(X$5&amp;"",'Oxford Economics'!$A$6:$AZ$6,0))),'Oxford Economics'!$A$7:$A$1000,$C117,'Oxford Economics'!$B$7:$B$1000,Settings!$B$15)+SUMIFS(INDEX('Oxford Economics'!$A$7:$AZ$1000,0,IFERROR(MATCH(X$5,'Oxford Economics'!$A$6:$AZ$6,0),MATCH(X$5&amp;"",'Oxford Economics'!$A$6:$AZ$6,0))),'Oxford Economics'!$A$7:$A$1000,$C117,'Oxford Economics'!$B$7:$B$1000,Settings!$B$17)+IF(Settings!$B$19="",0,SUMIFS(INDEX('Oxford Economics'!$A$7:$AZ$1000,0,IFERROR(MATCH(X$5,'Oxford Economics'!$A$6:$AZ$6,0),MATCH(X$5&amp;"",'Oxford Economics'!$A$6:$AZ$6,0))),'Oxford Economics'!$A$7:$A$1000,$C117,'Oxford Economics'!$B$7:$B$1000,Settings!$B$19)))),""))</f>
        <v/>
      </c>
      <c r="Y117" s="38" t="str">
        <f aca="false">IF($A117="","",IFERROR(1/(1/IF($B117="Residential",SUMIFS(INDEX('Oxford Economics'!$A$7:$AZ$1000,0,IFERROR(MATCH(Y$5,'Oxford Economics'!$A$6:$AZ$6,0),MATCH(Y$5&amp;"",'Oxford Economics'!$A$6:$AZ$6,0))),'Oxford Economics'!$A$7:$A$1000,$C117,'Oxford Economics'!$B$7:$B$1000,Settings!$B$13)-SUMIFS(INDEX('Oxford Economics'!$A$7:$AZ$1000,0,IFERROR(MATCH(Y$5,'Oxford Economics'!$A$6:$AZ$6,0),MATCH(Y$5&amp;"",'Oxford Economics'!$A$6:$AZ$6,0))),'Oxford Economics'!$A$7:$A$1000,$C117,'Oxford Economics'!$B$7:$B$1000,Settings!$B$15),SUMIFS(INDEX('Oxford Economics'!$A$7:$AZ$1000,0,IFERROR(MATCH(Y$5,'Oxford Economics'!$A$6:$AZ$6,0),MATCH(Y$5&amp;"",'Oxford Economics'!$A$6:$AZ$6,0))),'Oxford Economics'!$A$7:$A$1000,$C117,'Oxford Economics'!$B$7:$B$1000,Settings!$B$15)+SUMIFS(INDEX('Oxford Economics'!$A$7:$AZ$1000,0,IFERROR(MATCH(Y$5,'Oxford Economics'!$A$6:$AZ$6,0),MATCH(Y$5&amp;"",'Oxford Economics'!$A$6:$AZ$6,0))),'Oxford Economics'!$A$7:$A$1000,$C117,'Oxford Economics'!$B$7:$B$1000,Settings!$B$17)+IF(Settings!$B$19="",0,SUMIFS(INDEX('Oxford Economics'!$A$7:$AZ$1000,0,IFERROR(MATCH(Y$5,'Oxford Economics'!$A$6:$AZ$6,0),MATCH(Y$5&amp;"",'Oxford Economics'!$A$6:$AZ$6,0))),'Oxford Economics'!$A$7:$A$1000,$C117,'Oxford Economics'!$B$7:$B$1000,Settings!$B$19)))),""))</f>
        <v/>
      </c>
      <c r="Z117" s="38" t="str">
        <f aca="false">IF($A117="","",IFERROR(1/(1/IF($B117="Residential",SUMIFS(INDEX('Oxford Economics'!$A$7:$AZ$1000,0,IFERROR(MATCH(Z$5,'Oxford Economics'!$A$6:$AZ$6,0),MATCH(Z$5&amp;"",'Oxford Economics'!$A$6:$AZ$6,0))),'Oxford Economics'!$A$7:$A$1000,$C117,'Oxford Economics'!$B$7:$B$1000,Settings!$B$13)-SUMIFS(INDEX('Oxford Economics'!$A$7:$AZ$1000,0,IFERROR(MATCH(Z$5,'Oxford Economics'!$A$6:$AZ$6,0),MATCH(Z$5&amp;"",'Oxford Economics'!$A$6:$AZ$6,0))),'Oxford Economics'!$A$7:$A$1000,$C117,'Oxford Economics'!$B$7:$B$1000,Settings!$B$15),SUMIFS(INDEX('Oxford Economics'!$A$7:$AZ$1000,0,IFERROR(MATCH(Z$5,'Oxford Economics'!$A$6:$AZ$6,0),MATCH(Z$5&amp;"",'Oxford Economics'!$A$6:$AZ$6,0))),'Oxford Economics'!$A$7:$A$1000,$C117,'Oxford Economics'!$B$7:$B$1000,Settings!$B$15)+SUMIFS(INDEX('Oxford Economics'!$A$7:$AZ$1000,0,IFERROR(MATCH(Z$5,'Oxford Economics'!$A$6:$AZ$6,0),MATCH(Z$5&amp;"",'Oxford Economics'!$A$6:$AZ$6,0))),'Oxford Economics'!$A$7:$A$1000,$C117,'Oxford Economics'!$B$7:$B$1000,Settings!$B$17)+IF(Settings!$B$19="",0,SUMIFS(INDEX('Oxford Economics'!$A$7:$AZ$1000,0,IFERROR(MATCH(Z$5,'Oxford Economics'!$A$6:$AZ$6,0),MATCH(Z$5&amp;"",'Oxford Economics'!$A$6:$AZ$6,0))),'Oxford Economics'!$A$7:$A$1000,$C117,'Oxford Economics'!$B$7:$B$1000,Settings!$B$19)))),""))</f>
        <v/>
      </c>
      <c r="AA117" s="38" t="str">
        <f aca="false">IF($A117="","",IFERROR(1/(1/IF($B117="Residential",SUMIFS(INDEX('Oxford Economics'!$A$7:$AZ$1000,0,IFERROR(MATCH(AA$5,'Oxford Economics'!$A$6:$AZ$6,0),MATCH(AA$5&amp;"",'Oxford Economics'!$A$6:$AZ$6,0))),'Oxford Economics'!$A$7:$A$1000,$C117,'Oxford Economics'!$B$7:$B$1000,Settings!$B$13)-SUMIFS(INDEX('Oxford Economics'!$A$7:$AZ$1000,0,IFERROR(MATCH(AA$5,'Oxford Economics'!$A$6:$AZ$6,0),MATCH(AA$5&amp;"",'Oxford Economics'!$A$6:$AZ$6,0))),'Oxford Economics'!$A$7:$A$1000,$C117,'Oxford Economics'!$B$7:$B$1000,Settings!$B$15),SUMIFS(INDEX('Oxford Economics'!$A$7:$AZ$1000,0,IFERROR(MATCH(AA$5,'Oxford Economics'!$A$6:$AZ$6,0),MATCH(AA$5&amp;"",'Oxford Economics'!$A$6:$AZ$6,0))),'Oxford Economics'!$A$7:$A$1000,$C117,'Oxford Economics'!$B$7:$B$1000,Settings!$B$15)+SUMIFS(INDEX('Oxford Economics'!$A$7:$AZ$1000,0,IFERROR(MATCH(AA$5,'Oxford Economics'!$A$6:$AZ$6,0),MATCH(AA$5&amp;"",'Oxford Economics'!$A$6:$AZ$6,0))),'Oxford Economics'!$A$7:$A$1000,$C117,'Oxford Economics'!$B$7:$B$1000,Settings!$B$17)+IF(Settings!$B$19="",0,SUMIFS(INDEX('Oxford Economics'!$A$7:$AZ$1000,0,IFERROR(MATCH(AA$5,'Oxford Economics'!$A$6:$AZ$6,0),MATCH(AA$5&amp;"",'Oxford Economics'!$A$6:$AZ$6,0))),'Oxford Economics'!$A$7:$A$1000,$C117,'Oxford Economics'!$B$7:$B$1000,Settings!$B$19)))),""))</f>
        <v/>
      </c>
      <c r="AB117" s="38" t="str">
        <f aca="false">IF($A117="","",IFERROR(1/(1/IF($B117="Residential",SUMIFS(INDEX('Oxford Economics'!$A$7:$AZ$1000,0,IFERROR(MATCH(AB$5,'Oxford Economics'!$A$6:$AZ$6,0),MATCH(AB$5&amp;"",'Oxford Economics'!$A$6:$AZ$6,0))),'Oxford Economics'!$A$7:$A$1000,$C117,'Oxford Economics'!$B$7:$B$1000,Settings!$B$12)-SUMIFS(INDEX('Oxford Economics'!$A$7:$AZ$1000,0,IFERROR(MATCH(AB$5,'Oxford Economics'!$A$6:$AZ$6,0),MATCH(AB$5&amp;"",'Oxford Economics'!$A$6:$AZ$6,0))),'Oxford Economics'!$A$7:$A$1000,$C117,'Oxford Economics'!$B$7:$B$1000,Settings!$B$14),SUMIFS(INDEX('Oxford Economics'!$A$7:$AZ$1000,0,IFERROR(MATCH(AB$5,'Oxford Economics'!$A$6:$AZ$6,0),MATCH(AB$5&amp;"",'Oxford Economics'!$A$6:$AZ$6,0))),'Oxford Economics'!$A$7:$A$1000,$C117,'Oxford Economics'!$B$7:$B$1000,Settings!$B$14)+SUMIFS(INDEX('Oxford Economics'!$A$7:$AZ$1000,0,IFERROR(MATCH(AB$5,'Oxford Economics'!$A$6:$AZ$6,0),MATCH(AB$5&amp;"",'Oxford Economics'!$A$6:$AZ$6,0))),'Oxford Economics'!$A$7:$A$1000,$C117,'Oxford Economics'!$B$7:$B$1000,Settings!$B$16)+IF(Settings!$B$18="",0,SUMIFS(INDEX('Oxford Economics'!$A$7:$AZ$1000,0,IFERROR(MATCH(AB$5,'Oxford Economics'!$A$6:$AZ$6,0),MATCH(AB$5&amp;"",'Oxford Economics'!$A$6:$AZ$6,0))),'Oxford Economics'!$A$7:$A$1000,$C117,'Oxford Economics'!$B$7:$B$1000,Settings!$B$18)))),""))</f>
        <v/>
      </c>
      <c r="AC117" s="38" t="str">
        <f aca="false">IF($A117="","",IFERROR(1/(1/IF($B117="Residential",SUMIFS(INDEX('Oxford Economics'!$A$7:$AZ$1000,0,IFERROR(MATCH(AC$5,'Oxford Economics'!$A$6:$AZ$6,0),MATCH(AC$5&amp;"",'Oxford Economics'!$A$6:$AZ$6,0))),'Oxford Economics'!$A$7:$A$1000,$C117,'Oxford Economics'!$B$7:$B$1000,Settings!$B$12)-SUMIFS(INDEX('Oxford Economics'!$A$7:$AZ$1000,0,IFERROR(MATCH(AC$5,'Oxford Economics'!$A$6:$AZ$6,0),MATCH(AC$5&amp;"",'Oxford Economics'!$A$6:$AZ$6,0))),'Oxford Economics'!$A$7:$A$1000,$C117,'Oxford Economics'!$B$7:$B$1000,Settings!$B$14),SUMIFS(INDEX('Oxford Economics'!$A$7:$AZ$1000,0,IFERROR(MATCH(AC$5,'Oxford Economics'!$A$6:$AZ$6,0),MATCH(AC$5&amp;"",'Oxford Economics'!$A$6:$AZ$6,0))),'Oxford Economics'!$A$7:$A$1000,$C117,'Oxford Economics'!$B$7:$B$1000,Settings!$B$14)+SUMIFS(INDEX('Oxford Economics'!$A$7:$AZ$1000,0,IFERROR(MATCH(AC$5,'Oxford Economics'!$A$6:$AZ$6,0),MATCH(AC$5&amp;"",'Oxford Economics'!$A$6:$AZ$6,0))),'Oxford Economics'!$A$7:$A$1000,$C117,'Oxford Economics'!$B$7:$B$1000,Settings!$B$16)+IF(Settings!$B$18="",0,SUMIFS(INDEX('Oxford Economics'!$A$7:$AZ$1000,0,IFERROR(MATCH(AC$5,'Oxford Economics'!$A$6:$AZ$6,0),MATCH(AC$5&amp;"",'Oxford Economics'!$A$6:$AZ$6,0))),'Oxford Economics'!$A$7:$A$1000,$C117,'Oxford Economics'!$B$7:$B$1000,Settings!$B$18)))),""))</f>
        <v/>
      </c>
      <c r="AD117" s="38" t="str">
        <f aca="false">IF($A117="","",IFERROR(1/(1/IF($B117="Residential",SUMIFS(INDEX('Oxford Economics'!$A$7:$AZ$1000,0,IFERROR(MATCH(AD$5,'Oxford Economics'!$A$6:$AZ$6,0),MATCH(AD$5&amp;"",'Oxford Economics'!$A$6:$AZ$6,0))),'Oxford Economics'!$A$7:$A$1000,$C117,'Oxford Economics'!$B$7:$B$1000,Settings!$B$12)-SUMIFS(INDEX('Oxford Economics'!$A$7:$AZ$1000,0,IFERROR(MATCH(AD$5,'Oxford Economics'!$A$6:$AZ$6,0),MATCH(AD$5&amp;"",'Oxford Economics'!$A$6:$AZ$6,0))),'Oxford Economics'!$A$7:$A$1000,$C117,'Oxford Economics'!$B$7:$B$1000,Settings!$B$14),SUMIFS(INDEX('Oxford Economics'!$A$7:$AZ$1000,0,IFERROR(MATCH(AD$5,'Oxford Economics'!$A$6:$AZ$6,0),MATCH(AD$5&amp;"",'Oxford Economics'!$A$6:$AZ$6,0))),'Oxford Economics'!$A$7:$A$1000,$C117,'Oxford Economics'!$B$7:$B$1000,Settings!$B$14)+SUMIFS(INDEX('Oxford Economics'!$A$7:$AZ$1000,0,IFERROR(MATCH(AD$5,'Oxford Economics'!$A$6:$AZ$6,0),MATCH(AD$5&amp;"",'Oxford Economics'!$A$6:$AZ$6,0))),'Oxford Economics'!$A$7:$A$1000,$C117,'Oxford Economics'!$B$7:$B$1000,Settings!$B$16)+IF(Settings!$B$18="",0,SUMIFS(INDEX('Oxford Economics'!$A$7:$AZ$1000,0,IFERROR(MATCH(AD$5,'Oxford Economics'!$A$6:$AZ$6,0),MATCH(AD$5&amp;"",'Oxford Economics'!$A$6:$AZ$6,0))),'Oxford Economics'!$A$7:$A$1000,$C117,'Oxford Economics'!$B$7:$B$1000,Settings!$B$18)))),""))</f>
        <v/>
      </c>
      <c r="AE117" s="38" t="str">
        <f aca="false">IF($A117="","",IFERROR(1/(1/IF($B117="Residential",SUMIFS(INDEX('Oxford Economics'!$A$7:$AZ$1000,0,IFERROR(MATCH(AE$5,'Oxford Economics'!$A$6:$AZ$6,0),MATCH(AE$5&amp;"",'Oxford Economics'!$A$6:$AZ$6,0))),'Oxford Economics'!$A$7:$A$1000,$C117,'Oxford Economics'!$B$7:$B$1000,Settings!$B$12)-SUMIFS(INDEX('Oxford Economics'!$A$7:$AZ$1000,0,IFERROR(MATCH(AE$5,'Oxford Economics'!$A$6:$AZ$6,0),MATCH(AE$5&amp;"",'Oxford Economics'!$A$6:$AZ$6,0))),'Oxford Economics'!$A$7:$A$1000,$C117,'Oxford Economics'!$B$7:$B$1000,Settings!$B$14),SUMIFS(INDEX('Oxford Economics'!$A$7:$AZ$1000,0,IFERROR(MATCH(AE$5,'Oxford Economics'!$A$6:$AZ$6,0),MATCH(AE$5&amp;"",'Oxford Economics'!$A$6:$AZ$6,0))),'Oxford Economics'!$A$7:$A$1000,$C117,'Oxford Economics'!$B$7:$B$1000,Settings!$B$14)+SUMIFS(INDEX('Oxford Economics'!$A$7:$AZ$1000,0,IFERROR(MATCH(AE$5,'Oxford Economics'!$A$6:$AZ$6,0),MATCH(AE$5&amp;"",'Oxford Economics'!$A$6:$AZ$6,0))),'Oxford Economics'!$A$7:$A$1000,$C117,'Oxford Economics'!$B$7:$B$1000,Settings!$B$16)+IF(Settings!$B$18="",0,SUMIFS(INDEX('Oxford Economics'!$A$7:$AZ$1000,0,IFERROR(MATCH(AE$5,'Oxford Economics'!$A$6:$AZ$6,0),MATCH(AE$5&amp;"",'Oxford Economics'!$A$6:$AZ$6,0))),'Oxford Economics'!$A$7:$A$1000,$C117,'Oxford Economics'!$B$7:$B$1000,Settings!$B$18)))),""))</f>
        <v/>
      </c>
      <c r="AF117" s="38" t="str">
        <f aca="false">IF($A117="","",IFERROR(1/(1/IF($B117="Residential",SUMIFS(INDEX('Oxford Economics'!$A$7:$AZ$1000,0,IFERROR(MATCH(AF$5,'Oxford Economics'!$A$6:$AZ$6,0),MATCH(AF$5&amp;"",'Oxford Economics'!$A$6:$AZ$6,0))),'Oxford Economics'!$A$7:$A$1000,$C117,'Oxford Economics'!$B$7:$B$1000,Settings!$B$12)-SUMIFS(INDEX('Oxford Economics'!$A$7:$AZ$1000,0,IFERROR(MATCH(AF$5,'Oxford Economics'!$A$6:$AZ$6,0),MATCH(AF$5&amp;"",'Oxford Economics'!$A$6:$AZ$6,0))),'Oxford Economics'!$A$7:$A$1000,$C117,'Oxford Economics'!$B$7:$B$1000,Settings!$B$14),SUMIFS(INDEX('Oxford Economics'!$A$7:$AZ$1000,0,IFERROR(MATCH(AF$5,'Oxford Economics'!$A$6:$AZ$6,0),MATCH(AF$5&amp;"",'Oxford Economics'!$A$6:$AZ$6,0))),'Oxford Economics'!$A$7:$A$1000,$C117,'Oxford Economics'!$B$7:$B$1000,Settings!$B$14)+SUMIFS(INDEX('Oxford Economics'!$A$7:$AZ$1000,0,IFERROR(MATCH(AF$5,'Oxford Economics'!$A$6:$AZ$6,0),MATCH(AF$5&amp;"",'Oxford Economics'!$A$6:$AZ$6,0))),'Oxford Economics'!$A$7:$A$1000,$C117,'Oxford Economics'!$B$7:$B$1000,Settings!$B$16)+IF(Settings!$B$18="",0,SUMIFS(INDEX('Oxford Economics'!$A$7:$AZ$1000,0,IFERROR(MATCH(AF$5,'Oxford Economics'!$A$6:$AZ$6,0),MATCH(AF$5&amp;"",'Oxford Economics'!$A$6:$AZ$6,0))),'Oxford Economics'!$A$7:$A$1000,$C117,'Oxford Economics'!$B$7:$B$1000,Settings!$B$18)))),""))</f>
        <v/>
      </c>
      <c r="AG117" s="38" t="str">
        <f aca="false">IF($A117="","",IFERROR(1/(1/IF($B117="Residential",SUMIFS(INDEX('Oxford Economics'!$A$7:$AZ$1000,0,IFERROR(MATCH(AG$5,'Oxford Economics'!$A$6:$AZ$6,0),MATCH(AG$5&amp;"",'Oxford Economics'!$A$6:$AZ$6,0))),'Oxford Economics'!$A$7:$A$1000,$C117,'Oxford Economics'!$B$7:$B$1000,Settings!$B$12)-SUMIFS(INDEX('Oxford Economics'!$A$7:$AZ$1000,0,IFERROR(MATCH(AG$5,'Oxford Economics'!$A$6:$AZ$6,0),MATCH(AG$5&amp;"",'Oxford Economics'!$A$6:$AZ$6,0))),'Oxford Economics'!$A$7:$A$1000,$C117,'Oxford Economics'!$B$7:$B$1000,Settings!$B$14),SUMIFS(INDEX('Oxford Economics'!$A$7:$AZ$1000,0,IFERROR(MATCH(AG$5,'Oxford Economics'!$A$6:$AZ$6,0),MATCH(AG$5&amp;"",'Oxford Economics'!$A$6:$AZ$6,0))),'Oxford Economics'!$A$7:$A$1000,$C117,'Oxford Economics'!$B$7:$B$1000,Settings!$B$14)+SUMIFS(INDEX('Oxford Economics'!$A$7:$AZ$1000,0,IFERROR(MATCH(AG$5,'Oxford Economics'!$A$6:$AZ$6,0),MATCH(AG$5&amp;"",'Oxford Economics'!$A$6:$AZ$6,0))),'Oxford Economics'!$A$7:$A$1000,$C117,'Oxford Economics'!$B$7:$B$1000,Settings!$B$16)+IF(Settings!$B$18="",0,SUMIFS(INDEX('Oxford Economics'!$A$7:$AZ$1000,0,IFERROR(MATCH(AG$5,'Oxford Economics'!$A$6:$AZ$6,0),MATCH(AG$5&amp;"",'Oxford Economics'!$A$6:$AZ$6,0))),'Oxford Economics'!$A$7:$A$1000,$C117,'Oxford Economics'!$B$7:$B$1000,Settings!$B$18)))),""))</f>
        <v/>
      </c>
      <c r="AH117" s="38" t="str">
        <f aca="false">IF($A117="","",IFERROR(1/(1/IF($B117="Residential",SUMIFS(INDEX('Oxford Economics'!$A$7:$AZ$1000,0,IFERROR(MATCH(AH$5,'Oxford Economics'!$A$6:$AZ$6,0),MATCH(AH$5&amp;"",'Oxford Economics'!$A$6:$AZ$6,0))),'Oxford Economics'!$A$7:$A$1000,$C117,'Oxford Economics'!$B$7:$B$1000,Settings!$B$12)-SUMIFS(INDEX('Oxford Economics'!$A$7:$AZ$1000,0,IFERROR(MATCH(AH$5,'Oxford Economics'!$A$6:$AZ$6,0),MATCH(AH$5&amp;"",'Oxford Economics'!$A$6:$AZ$6,0))),'Oxford Economics'!$A$7:$A$1000,$C117,'Oxford Economics'!$B$7:$B$1000,Settings!$B$14),SUMIFS(INDEX('Oxford Economics'!$A$7:$AZ$1000,0,IFERROR(MATCH(AH$5,'Oxford Economics'!$A$6:$AZ$6,0),MATCH(AH$5&amp;"",'Oxford Economics'!$A$6:$AZ$6,0))),'Oxford Economics'!$A$7:$A$1000,$C117,'Oxford Economics'!$B$7:$B$1000,Settings!$B$14)+SUMIFS(INDEX('Oxford Economics'!$A$7:$AZ$1000,0,IFERROR(MATCH(AH$5,'Oxford Economics'!$A$6:$AZ$6,0),MATCH(AH$5&amp;"",'Oxford Economics'!$A$6:$AZ$6,0))),'Oxford Economics'!$A$7:$A$1000,$C117,'Oxford Economics'!$B$7:$B$1000,Settings!$B$16)+IF(Settings!$B$18="",0,SUMIFS(INDEX('Oxford Economics'!$A$7:$AZ$1000,0,IFERROR(MATCH(AH$5,'Oxford Economics'!$A$6:$AZ$6,0),MATCH(AH$5&amp;"",'Oxford Economics'!$A$6:$AZ$6,0))),'Oxford Economics'!$A$7:$A$1000,$C117,'Oxford Economics'!$B$7:$B$1000,Settings!$B$18)))),""))</f>
        <v/>
      </c>
      <c r="AI117" s="38" t="str">
        <f aca="false">IF($A117="","",IFERROR(1/(1/IF($B117="Residential",SUMIFS(INDEX('Oxford Economics'!$A$7:$AZ$1000,0,IFERROR(MATCH(AI$5,'Oxford Economics'!$A$6:$AZ$6,0),MATCH(AI$5&amp;"",'Oxford Economics'!$A$6:$AZ$6,0))),'Oxford Economics'!$A$7:$A$1000,$C117,'Oxford Economics'!$B$7:$B$1000,Settings!$B$12)-SUMIFS(INDEX('Oxford Economics'!$A$7:$AZ$1000,0,IFERROR(MATCH(AI$5,'Oxford Economics'!$A$6:$AZ$6,0),MATCH(AI$5&amp;"",'Oxford Economics'!$A$6:$AZ$6,0))),'Oxford Economics'!$A$7:$A$1000,$C117,'Oxford Economics'!$B$7:$B$1000,Settings!$B$14),SUMIFS(INDEX('Oxford Economics'!$A$7:$AZ$1000,0,IFERROR(MATCH(AI$5,'Oxford Economics'!$A$6:$AZ$6,0),MATCH(AI$5&amp;"",'Oxford Economics'!$A$6:$AZ$6,0))),'Oxford Economics'!$A$7:$A$1000,$C117,'Oxford Economics'!$B$7:$B$1000,Settings!$B$14)+SUMIFS(INDEX('Oxford Economics'!$A$7:$AZ$1000,0,IFERROR(MATCH(AI$5,'Oxford Economics'!$A$6:$AZ$6,0),MATCH(AI$5&amp;"",'Oxford Economics'!$A$6:$AZ$6,0))),'Oxford Economics'!$A$7:$A$1000,$C117,'Oxford Economics'!$B$7:$B$1000,Settings!$B$16)+IF(Settings!$B$18="",0,SUMIFS(INDEX('Oxford Economics'!$A$7:$AZ$1000,0,IFERROR(MATCH(AI$5,'Oxford Economics'!$A$6:$AZ$6,0),MATCH(AI$5&amp;"",'Oxford Economics'!$A$6:$AZ$6,0))),'Oxford Economics'!$A$7:$A$1000,$C117,'Oxford Economics'!$B$7:$B$1000,Settings!$B$18)))),""))</f>
        <v/>
      </c>
      <c r="AJ117" s="38" t="str">
        <f aca="false">IF($A117="","",IFERROR(1/(1/IF($B117="Residential",SUMIFS(INDEX('Oxford Economics'!$A$7:$AZ$1000,0,IFERROR(MATCH(AJ$5,'Oxford Economics'!$A$6:$AZ$6,0),MATCH(AJ$5&amp;"",'Oxford Economics'!$A$6:$AZ$6,0))),'Oxford Economics'!$A$7:$A$1000,$C117,'Oxford Economics'!$B$7:$B$1000,Settings!$B$12)-SUMIFS(INDEX('Oxford Economics'!$A$7:$AZ$1000,0,IFERROR(MATCH(AJ$5,'Oxford Economics'!$A$6:$AZ$6,0),MATCH(AJ$5&amp;"",'Oxford Economics'!$A$6:$AZ$6,0))),'Oxford Economics'!$A$7:$A$1000,$C117,'Oxford Economics'!$B$7:$B$1000,Settings!$B$14),SUMIFS(INDEX('Oxford Economics'!$A$7:$AZ$1000,0,IFERROR(MATCH(AJ$5,'Oxford Economics'!$A$6:$AZ$6,0),MATCH(AJ$5&amp;"",'Oxford Economics'!$A$6:$AZ$6,0))),'Oxford Economics'!$A$7:$A$1000,$C117,'Oxford Economics'!$B$7:$B$1000,Settings!$B$14)+SUMIFS(INDEX('Oxford Economics'!$A$7:$AZ$1000,0,IFERROR(MATCH(AJ$5,'Oxford Economics'!$A$6:$AZ$6,0),MATCH(AJ$5&amp;"",'Oxford Economics'!$A$6:$AZ$6,0))),'Oxford Economics'!$A$7:$A$1000,$C117,'Oxford Economics'!$B$7:$B$1000,Settings!$B$16)+IF(Settings!$B$18="",0,SUMIFS(INDEX('Oxford Economics'!$A$7:$AZ$1000,0,IFERROR(MATCH(AJ$5,'Oxford Economics'!$A$6:$AZ$6,0),MATCH(AJ$5&amp;"",'Oxford Economics'!$A$6:$AZ$6,0))),'Oxford Economics'!$A$7:$A$1000,$C117,'Oxford Economics'!$B$7:$B$1000,Settings!$B$18)))),""))</f>
        <v/>
      </c>
      <c r="AK117" s="38" t="str">
        <f aca="false">IF($A117="","",IFERROR(1/(1/IF($B117="Residential",SUMIFS(INDEX('Oxford Economics'!$A$7:$AZ$1000,0,IFERROR(MATCH(AK$5,'Oxford Economics'!$A$6:$AZ$6,0),MATCH(AK$5&amp;"",'Oxford Economics'!$A$6:$AZ$6,0))),'Oxford Economics'!$A$7:$A$1000,$C117,'Oxford Economics'!$B$7:$B$1000,Settings!$B$12)-SUMIFS(INDEX('Oxford Economics'!$A$7:$AZ$1000,0,IFERROR(MATCH(AK$5,'Oxford Economics'!$A$6:$AZ$6,0),MATCH(AK$5&amp;"",'Oxford Economics'!$A$6:$AZ$6,0))),'Oxford Economics'!$A$7:$A$1000,$C117,'Oxford Economics'!$B$7:$B$1000,Settings!$B$14),SUMIFS(INDEX('Oxford Economics'!$A$7:$AZ$1000,0,IFERROR(MATCH(AK$5,'Oxford Economics'!$A$6:$AZ$6,0),MATCH(AK$5&amp;"",'Oxford Economics'!$A$6:$AZ$6,0))),'Oxford Economics'!$A$7:$A$1000,$C117,'Oxford Economics'!$B$7:$B$1000,Settings!$B$14)+SUMIFS(INDEX('Oxford Economics'!$A$7:$AZ$1000,0,IFERROR(MATCH(AK$5,'Oxford Economics'!$A$6:$AZ$6,0),MATCH(AK$5&amp;"",'Oxford Economics'!$A$6:$AZ$6,0))),'Oxford Economics'!$A$7:$A$1000,$C117,'Oxford Economics'!$B$7:$B$1000,Settings!$B$16)+IF(Settings!$B$18="",0,SUMIFS(INDEX('Oxford Economics'!$A$7:$AZ$1000,0,IFERROR(MATCH(AK$5,'Oxford Economics'!$A$6:$AZ$6,0),MATCH(AK$5&amp;"",'Oxford Economics'!$A$6:$AZ$6,0))),'Oxford Economics'!$A$7:$A$1000,$C117,'Oxford Economics'!$B$7:$B$1000,Settings!$B$18)))),""))</f>
        <v/>
      </c>
      <c r="AL117" s="38" t="str">
        <f aca="false">IF($A117="","",IFERROR(1/(1/IF($B117="Residential",SUMIFS(INDEX('Oxford Economics'!$A$7:$AZ$1000,0,IFERROR(MATCH(AL$5,'Oxford Economics'!$A$6:$AZ$6,0),MATCH(AL$5&amp;"",'Oxford Economics'!$A$6:$AZ$6,0))),'Oxford Economics'!$A$7:$A$1000,$C117,'Oxford Economics'!$B$7:$B$1000,Settings!$B$12)-SUMIFS(INDEX('Oxford Economics'!$A$7:$AZ$1000,0,IFERROR(MATCH(AL$5,'Oxford Economics'!$A$6:$AZ$6,0),MATCH(AL$5&amp;"",'Oxford Economics'!$A$6:$AZ$6,0))),'Oxford Economics'!$A$7:$A$1000,$C117,'Oxford Economics'!$B$7:$B$1000,Settings!$B$14),SUMIFS(INDEX('Oxford Economics'!$A$7:$AZ$1000,0,IFERROR(MATCH(AL$5,'Oxford Economics'!$A$6:$AZ$6,0),MATCH(AL$5&amp;"",'Oxford Economics'!$A$6:$AZ$6,0))),'Oxford Economics'!$A$7:$A$1000,$C117,'Oxford Economics'!$B$7:$B$1000,Settings!$B$14)+SUMIFS(INDEX('Oxford Economics'!$A$7:$AZ$1000,0,IFERROR(MATCH(AL$5,'Oxford Economics'!$A$6:$AZ$6,0),MATCH(AL$5&amp;"",'Oxford Economics'!$A$6:$AZ$6,0))),'Oxford Economics'!$A$7:$A$1000,$C117,'Oxford Economics'!$B$7:$B$1000,Settings!$B$16)+IF(Settings!$B$18="",0,SUMIFS(INDEX('Oxford Economics'!$A$7:$AZ$1000,0,IFERROR(MATCH(AL$5,'Oxford Economics'!$A$6:$AZ$6,0),MATCH(AL$5&amp;"",'Oxford Economics'!$A$6:$AZ$6,0))),'Oxford Economics'!$A$7:$A$1000,$C117,'Oxford Economics'!$B$7:$B$1000,Settings!$B$18)))),""))</f>
        <v/>
      </c>
      <c r="AM117" s="38" t="str">
        <f aca="false">IF($A117="","",IFERROR(1/(1/IF($B117="Residential",SUMIFS(INDEX('Oxford Economics'!$A$7:$AZ$1000,0,IFERROR(MATCH(AM$5,'Oxford Economics'!$A$6:$AZ$6,0),MATCH(AM$5&amp;"",'Oxford Economics'!$A$6:$AZ$6,0))),'Oxford Economics'!$A$7:$A$1000,$C117,'Oxford Economics'!$B$7:$B$1000,Settings!$B$12)-SUMIFS(INDEX('Oxford Economics'!$A$7:$AZ$1000,0,IFERROR(MATCH(AM$5,'Oxford Economics'!$A$6:$AZ$6,0),MATCH(AM$5&amp;"",'Oxford Economics'!$A$6:$AZ$6,0))),'Oxford Economics'!$A$7:$A$1000,$C117,'Oxford Economics'!$B$7:$B$1000,Settings!$B$14),SUMIFS(INDEX('Oxford Economics'!$A$7:$AZ$1000,0,IFERROR(MATCH(AM$5,'Oxford Economics'!$A$6:$AZ$6,0),MATCH(AM$5&amp;"",'Oxford Economics'!$A$6:$AZ$6,0))),'Oxford Economics'!$A$7:$A$1000,$C117,'Oxford Economics'!$B$7:$B$1000,Settings!$B$14)+SUMIFS(INDEX('Oxford Economics'!$A$7:$AZ$1000,0,IFERROR(MATCH(AM$5,'Oxford Economics'!$A$6:$AZ$6,0),MATCH(AM$5&amp;"",'Oxford Economics'!$A$6:$AZ$6,0))),'Oxford Economics'!$A$7:$A$1000,$C117,'Oxford Economics'!$B$7:$B$1000,Settings!$B$16)+IF(Settings!$B$18="",0,SUMIFS(INDEX('Oxford Economics'!$A$7:$AZ$1000,0,IFERROR(MATCH(AM$5,'Oxford Economics'!$A$6:$AZ$6,0),MATCH(AM$5&amp;"",'Oxford Economics'!$A$6:$AZ$6,0))),'Oxford Economics'!$A$7:$A$1000,$C117,'Oxford Economics'!$B$7:$B$1000,Settings!$B$18)))),""))</f>
        <v/>
      </c>
    </row>
    <row r="118" customFormat="false" ht="15" hidden="false" customHeight="false" outlineLevel="0" collapsed="false">
      <c r="A118" s="37" t="str">
        <f aca="false">IF('Raw data'!$A118="","",'Raw data'!$A118)</f>
        <v/>
      </c>
      <c r="B118" s="37" t="str">
        <f aca="false">IF($A118="","",'Raw data'!$C118)</f>
        <v/>
      </c>
      <c r="C118" s="37" t="str">
        <f aca="false">IF($A118="","",IF('Raw data'!$E118="",$A118,'Raw data'!$E118))</f>
        <v/>
      </c>
      <c r="D118" s="38" t="str">
        <f aca="false">IF($A118="","",IF(AND(ISNUMBER(P118),ISNUMBER(AB118)),P118+AB118,""))</f>
        <v/>
      </c>
      <c r="E118" s="38" t="str">
        <f aca="false">IF($A118="","",IF(AND(ISNUMBER(Q118),ISNUMBER(AC118)),Q118+AC118,""))</f>
        <v/>
      </c>
      <c r="F118" s="38" t="str">
        <f aca="false">IF($A118="","",IF(AND(ISNUMBER(R118),ISNUMBER(AD118)),R118+AD118,""))</f>
        <v/>
      </c>
      <c r="G118" s="38" t="str">
        <f aca="false">IF($A118="","",IF(AND(ISNUMBER(S118),ISNUMBER(AE118)),S118+AE118,""))</f>
        <v/>
      </c>
      <c r="H118" s="38" t="str">
        <f aca="false">IF($A118="","",IF(AND(ISNUMBER(T118),ISNUMBER(AF118)),T118+AF118,""))</f>
        <v/>
      </c>
      <c r="I118" s="38" t="str">
        <f aca="false">IF($A118="","",IF(AND(ISNUMBER(U118),ISNUMBER(AG118)),U118+AG118,""))</f>
        <v/>
      </c>
      <c r="J118" s="38" t="str">
        <f aca="false">IF($A118="","",IF(AND(ISNUMBER(V118),ISNUMBER(AH118)),V118+AH118,""))</f>
        <v/>
      </c>
      <c r="K118" s="38" t="str">
        <f aca="false">IF($A118="","",IF(AND(ISNUMBER(W118),ISNUMBER(AI118)),W118+AI118,""))</f>
        <v/>
      </c>
      <c r="L118" s="38" t="str">
        <f aca="false">IF($A118="","",IF(AND(ISNUMBER(X118),ISNUMBER(AJ118)),X118+AJ118,""))</f>
        <v/>
      </c>
      <c r="M118" s="38" t="str">
        <f aca="false">IF($A118="","",IF(AND(ISNUMBER(Y118),ISNUMBER(AK118)),Y118+AK118,""))</f>
        <v/>
      </c>
      <c r="N118" s="38" t="str">
        <f aca="false">IF($A118="","",IF(AND(ISNUMBER(Z118),ISNUMBER(AL118)),Z118+AL118,""))</f>
        <v/>
      </c>
      <c r="O118" s="38" t="str">
        <f aca="false">IF($A118="","",IF(AND(ISNUMBER(AA118),ISNUMBER(AM118)),AA118+AM118,""))</f>
        <v/>
      </c>
      <c r="P118" s="38" t="str">
        <f aca="false">IF($A118="","",IFERROR(1/(1/IF($B118="Residential",SUMIFS(INDEX('Oxford Economics'!$A$7:$AZ$1000,0,IFERROR(MATCH(P$5,'Oxford Economics'!$A$6:$AZ$6,0),MATCH(P$5&amp;"",'Oxford Economics'!$A$6:$AZ$6,0))),'Oxford Economics'!$A$7:$A$1000,$C118,'Oxford Economics'!$B$7:$B$1000,Settings!$B$13)-SUMIFS(INDEX('Oxford Economics'!$A$7:$AZ$1000,0,IFERROR(MATCH(P$5,'Oxford Economics'!$A$6:$AZ$6,0),MATCH(P$5&amp;"",'Oxford Economics'!$A$6:$AZ$6,0))),'Oxford Economics'!$A$7:$A$1000,$C118,'Oxford Economics'!$B$7:$B$1000,Settings!$B$15),SUMIFS(INDEX('Oxford Economics'!$A$7:$AZ$1000,0,IFERROR(MATCH(P$5,'Oxford Economics'!$A$6:$AZ$6,0),MATCH(P$5&amp;"",'Oxford Economics'!$A$6:$AZ$6,0))),'Oxford Economics'!$A$7:$A$1000,$C118,'Oxford Economics'!$B$7:$B$1000,Settings!$B$15)+SUMIFS(INDEX('Oxford Economics'!$A$7:$AZ$1000,0,IFERROR(MATCH(P$5,'Oxford Economics'!$A$6:$AZ$6,0),MATCH(P$5&amp;"",'Oxford Economics'!$A$6:$AZ$6,0))),'Oxford Economics'!$A$7:$A$1000,$C118,'Oxford Economics'!$B$7:$B$1000,Settings!$B$17)+IF(Settings!$B$19="",0,SUMIFS(INDEX('Oxford Economics'!$A$7:$AZ$1000,0,IFERROR(MATCH(P$5,'Oxford Economics'!$A$6:$AZ$6,0),MATCH(P$5&amp;"",'Oxford Economics'!$A$6:$AZ$6,0))),'Oxford Economics'!$A$7:$A$1000,$C118,'Oxford Economics'!$B$7:$B$1000,Settings!$B$19)))),""))</f>
        <v/>
      </c>
      <c r="Q118" s="38" t="str">
        <f aca="false">IF($A118="","",IFERROR(1/(1/IF($B118="Residential",SUMIFS(INDEX('Oxford Economics'!$A$7:$AZ$1000,0,IFERROR(MATCH(Q$5,'Oxford Economics'!$A$6:$AZ$6,0),MATCH(Q$5&amp;"",'Oxford Economics'!$A$6:$AZ$6,0))),'Oxford Economics'!$A$7:$A$1000,$C118,'Oxford Economics'!$B$7:$B$1000,Settings!$B$13)-SUMIFS(INDEX('Oxford Economics'!$A$7:$AZ$1000,0,IFERROR(MATCH(Q$5,'Oxford Economics'!$A$6:$AZ$6,0),MATCH(Q$5&amp;"",'Oxford Economics'!$A$6:$AZ$6,0))),'Oxford Economics'!$A$7:$A$1000,$C118,'Oxford Economics'!$B$7:$B$1000,Settings!$B$15),SUMIFS(INDEX('Oxford Economics'!$A$7:$AZ$1000,0,IFERROR(MATCH(Q$5,'Oxford Economics'!$A$6:$AZ$6,0),MATCH(Q$5&amp;"",'Oxford Economics'!$A$6:$AZ$6,0))),'Oxford Economics'!$A$7:$A$1000,$C118,'Oxford Economics'!$B$7:$B$1000,Settings!$B$15)+SUMIFS(INDEX('Oxford Economics'!$A$7:$AZ$1000,0,IFERROR(MATCH(Q$5,'Oxford Economics'!$A$6:$AZ$6,0),MATCH(Q$5&amp;"",'Oxford Economics'!$A$6:$AZ$6,0))),'Oxford Economics'!$A$7:$A$1000,$C118,'Oxford Economics'!$B$7:$B$1000,Settings!$B$17)+IF(Settings!$B$19="",0,SUMIFS(INDEX('Oxford Economics'!$A$7:$AZ$1000,0,IFERROR(MATCH(Q$5,'Oxford Economics'!$A$6:$AZ$6,0),MATCH(Q$5&amp;"",'Oxford Economics'!$A$6:$AZ$6,0))),'Oxford Economics'!$A$7:$A$1000,$C118,'Oxford Economics'!$B$7:$B$1000,Settings!$B$19)))),""))</f>
        <v/>
      </c>
      <c r="R118" s="38" t="str">
        <f aca="false">IF($A118="","",IFERROR(1/(1/IF($B118="Residential",SUMIFS(INDEX('Oxford Economics'!$A$7:$AZ$1000,0,IFERROR(MATCH(R$5,'Oxford Economics'!$A$6:$AZ$6,0),MATCH(R$5&amp;"",'Oxford Economics'!$A$6:$AZ$6,0))),'Oxford Economics'!$A$7:$A$1000,$C118,'Oxford Economics'!$B$7:$B$1000,Settings!$B$13)-SUMIFS(INDEX('Oxford Economics'!$A$7:$AZ$1000,0,IFERROR(MATCH(R$5,'Oxford Economics'!$A$6:$AZ$6,0),MATCH(R$5&amp;"",'Oxford Economics'!$A$6:$AZ$6,0))),'Oxford Economics'!$A$7:$A$1000,$C118,'Oxford Economics'!$B$7:$B$1000,Settings!$B$15),SUMIFS(INDEX('Oxford Economics'!$A$7:$AZ$1000,0,IFERROR(MATCH(R$5,'Oxford Economics'!$A$6:$AZ$6,0),MATCH(R$5&amp;"",'Oxford Economics'!$A$6:$AZ$6,0))),'Oxford Economics'!$A$7:$A$1000,$C118,'Oxford Economics'!$B$7:$B$1000,Settings!$B$15)+SUMIFS(INDEX('Oxford Economics'!$A$7:$AZ$1000,0,IFERROR(MATCH(R$5,'Oxford Economics'!$A$6:$AZ$6,0),MATCH(R$5&amp;"",'Oxford Economics'!$A$6:$AZ$6,0))),'Oxford Economics'!$A$7:$A$1000,$C118,'Oxford Economics'!$B$7:$B$1000,Settings!$B$17)+IF(Settings!$B$19="",0,SUMIFS(INDEX('Oxford Economics'!$A$7:$AZ$1000,0,IFERROR(MATCH(R$5,'Oxford Economics'!$A$6:$AZ$6,0),MATCH(R$5&amp;"",'Oxford Economics'!$A$6:$AZ$6,0))),'Oxford Economics'!$A$7:$A$1000,$C118,'Oxford Economics'!$B$7:$B$1000,Settings!$B$19)))),""))</f>
        <v/>
      </c>
      <c r="S118" s="38" t="str">
        <f aca="false">IF($A118="","",IFERROR(1/(1/IF($B118="Residential",SUMIFS(INDEX('Oxford Economics'!$A$7:$AZ$1000,0,IFERROR(MATCH(S$5,'Oxford Economics'!$A$6:$AZ$6,0),MATCH(S$5&amp;"",'Oxford Economics'!$A$6:$AZ$6,0))),'Oxford Economics'!$A$7:$A$1000,$C118,'Oxford Economics'!$B$7:$B$1000,Settings!$B$13)-SUMIFS(INDEX('Oxford Economics'!$A$7:$AZ$1000,0,IFERROR(MATCH(S$5,'Oxford Economics'!$A$6:$AZ$6,0),MATCH(S$5&amp;"",'Oxford Economics'!$A$6:$AZ$6,0))),'Oxford Economics'!$A$7:$A$1000,$C118,'Oxford Economics'!$B$7:$B$1000,Settings!$B$15),SUMIFS(INDEX('Oxford Economics'!$A$7:$AZ$1000,0,IFERROR(MATCH(S$5,'Oxford Economics'!$A$6:$AZ$6,0),MATCH(S$5&amp;"",'Oxford Economics'!$A$6:$AZ$6,0))),'Oxford Economics'!$A$7:$A$1000,$C118,'Oxford Economics'!$B$7:$B$1000,Settings!$B$15)+SUMIFS(INDEX('Oxford Economics'!$A$7:$AZ$1000,0,IFERROR(MATCH(S$5,'Oxford Economics'!$A$6:$AZ$6,0),MATCH(S$5&amp;"",'Oxford Economics'!$A$6:$AZ$6,0))),'Oxford Economics'!$A$7:$A$1000,$C118,'Oxford Economics'!$B$7:$B$1000,Settings!$B$17)+IF(Settings!$B$19="",0,SUMIFS(INDEX('Oxford Economics'!$A$7:$AZ$1000,0,IFERROR(MATCH(S$5,'Oxford Economics'!$A$6:$AZ$6,0),MATCH(S$5&amp;"",'Oxford Economics'!$A$6:$AZ$6,0))),'Oxford Economics'!$A$7:$A$1000,$C118,'Oxford Economics'!$B$7:$B$1000,Settings!$B$19)))),""))</f>
        <v/>
      </c>
      <c r="T118" s="38" t="str">
        <f aca="false">IF($A118="","",IFERROR(1/(1/IF($B118="Residential",SUMIFS(INDEX('Oxford Economics'!$A$7:$AZ$1000,0,IFERROR(MATCH(T$5,'Oxford Economics'!$A$6:$AZ$6,0),MATCH(T$5&amp;"",'Oxford Economics'!$A$6:$AZ$6,0))),'Oxford Economics'!$A$7:$A$1000,$C118,'Oxford Economics'!$B$7:$B$1000,Settings!$B$13)-SUMIFS(INDEX('Oxford Economics'!$A$7:$AZ$1000,0,IFERROR(MATCH(T$5,'Oxford Economics'!$A$6:$AZ$6,0),MATCH(T$5&amp;"",'Oxford Economics'!$A$6:$AZ$6,0))),'Oxford Economics'!$A$7:$A$1000,$C118,'Oxford Economics'!$B$7:$B$1000,Settings!$B$15),SUMIFS(INDEX('Oxford Economics'!$A$7:$AZ$1000,0,IFERROR(MATCH(T$5,'Oxford Economics'!$A$6:$AZ$6,0),MATCH(T$5&amp;"",'Oxford Economics'!$A$6:$AZ$6,0))),'Oxford Economics'!$A$7:$A$1000,$C118,'Oxford Economics'!$B$7:$B$1000,Settings!$B$15)+SUMIFS(INDEX('Oxford Economics'!$A$7:$AZ$1000,0,IFERROR(MATCH(T$5,'Oxford Economics'!$A$6:$AZ$6,0),MATCH(T$5&amp;"",'Oxford Economics'!$A$6:$AZ$6,0))),'Oxford Economics'!$A$7:$A$1000,$C118,'Oxford Economics'!$B$7:$B$1000,Settings!$B$17)+IF(Settings!$B$19="",0,SUMIFS(INDEX('Oxford Economics'!$A$7:$AZ$1000,0,IFERROR(MATCH(T$5,'Oxford Economics'!$A$6:$AZ$6,0),MATCH(T$5&amp;"",'Oxford Economics'!$A$6:$AZ$6,0))),'Oxford Economics'!$A$7:$A$1000,$C118,'Oxford Economics'!$B$7:$B$1000,Settings!$B$19)))),""))</f>
        <v/>
      </c>
      <c r="U118" s="38" t="str">
        <f aca="false">IF($A118="","",IFERROR(1/(1/IF($B118="Residential",SUMIFS(INDEX('Oxford Economics'!$A$7:$AZ$1000,0,IFERROR(MATCH(U$5,'Oxford Economics'!$A$6:$AZ$6,0),MATCH(U$5&amp;"",'Oxford Economics'!$A$6:$AZ$6,0))),'Oxford Economics'!$A$7:$A$1000,$C118,'Oxford Economics'!$B$7:$B$1000,Settings!$B$13)-SUMIFS(INDEX('Oxford Economics'!$A$7:$AZ$1000,0,IFERROR(MATCH(U$5,'Oxford Economics'!$A$6:$AZ$6,0),MATCH(U$5&amp;"",'Oxford Economics'!$A$6:$AZ$6,0))),'Oxford Economics'!$A$7:$A$1000,$C118,'Oxford Economics'!$B$7:$B$1000,Settings!$B$15),SUMIFS(INDEX('Oxford Economics'!$A$7:$AZ$1000,0,IFERROR(MATCH(U$5,'Oxford Economics'!$A$6:$AZ$6,0),MATCH(U$5&amp;"",'Oxford Economics'!$A$6:$AZ$6,0))),'Oxford Economics'!$A$7:$A$1000,$C118,'Oxford Economics'!$B$7:$B$1000,Settings!$B$15)+SUMIFS(INDEX('Oxford Economics'!$A$7:$AZ$1000,0,IFERROR(MATCH(U$5,'Oxford Economics'!$A$6:$AZ$6,0),MATCH(U$5&amp;"",'Oxford Economics'!$A$6:$AZ$6,0))),'Oxford Economics'!$A$7:$A$1000,$C118,'Oxford Economics'!$B$7:$B$1000,Settings!$B$17)+IF(Settings!$B$19="",0,SUMIFS(INDEX('Oxford Economics'!$A$7:$AZ$1000,0,IFERROR(MATCH(U$5,'Oxford Economics'!$A$6:$AZ$6,0),MATCH(U$5&amp;"",'Oxford Economics'!$A$6:$AZ$6,0))),'Oxford Economics'!$A$7:$A$1000,$C118,'Oxford Economics'!$B$7:$B$1000,Settings!$B$19)))),""))</f>
        <v/>
      </c>
      <c r="V118" s="38" t="str">
        <f aca="false">IF($A118="","",IFERROR(1/(1/IF($B118="Residential",SUMIFS(INDEX('Oxford Economics'!$A$7:$AZ$1000,0,IFERROR(MATCH(V$5,'Oxford Economics'!$A$6:$AZ$6,0),MATCH(V$5&amp;"",'Oxford Economics'!$A$6:$AZ$6,0))),'Oxford Economics'!$A$7:$A$1000,$C118,'Oxford Economics'!$B$7:$B$1000,Settings!$B$13)-SUMIFS(INDEX('Oxford Economics'!$A$7:$AZ$1000,0,IFERROR(MATCH(V$5,'Oxford Economics'!$A$6:$AZ$6,0),MATCH(V$5&amp;"",'Oxford Economics'!$A$6:$AZ$6,0))),'Oxford Economics'!$A$7:$A$1000,$C118,'Oxford Economics'!$B$7:$B$1000,Settings!$B$15),SUMIFS(INDEX('Oxford Economics'!$A$7:$AZ$1000,0,IFERROR(MATCH(V$5,'Oxford Economics'!$A$6:$AZ$6,0),MATCH(V$5&amp;"",'Oxford Economics'!$A$6:$AZ$6,0))),'Oxford Economics'!$A$7:$A$1000,$C118,'Oxford Economics'!$B$7:$B$1000,Settings!$B$15)+SUMIFS(INDEX('Oxford Economics'!$A$7:$AZ$1000,0,IFERROR(MATCH(V$5,'Oxford Economics'!$A$6:$AZ$6,0),MATCH(V$5&amp;"",'Oxford Economics'!$A$6:$AZ$6,0))),'Oxford Economics'!$A$7:$A$1000,$C118,'Oxford Economics'!$B$7:$B$1000,Settings!$B$17)+IF(Settings!$B$19="",0,SUMIFS(INDEX('Oxford Economics'!$A$7:$AZ$1000,0,IFERROR(MATCH(V$5,'Oxford Economics'!$A$6:$AZ$6,0),MATCH(V$5&amp;"",'Oxford Economics'!$A$6:$AZ$6,0))),'Oxford Economics'!$A$7:$A$1000,$C118,'Oxford Economics'!$B$7:$B$1000,Settings!$B$19)))),""))</f>
        <v/>
      </c>
      <c r="W118" s="38" t="str">
        <f aca="false">IF($A118="","",IFERROR(1/(1/IF($B118="Residential",SUMIFS(INDEX('Oxford Economics'!$A$7:$AZ$1000,0,IFERROR(MATCH(W$5,'Oxford Economics'!$A$6:$AZ$6,0),MATCH(W$5&amp;"",'Oxford Economics'!$A$6:$AZ$6,0))),'Oxford Economics'!$A$7:$A$1000,$C118,'Oxford Economics'!$B$7:$B$1000,Settings!$B$13)-SUMIFS(INDEX('Oxford Economics'!$A$7:$AZ$1000,0,IFERROR(MATCH(W$5,'Oxford Economics'!$A$6:$AZ$6,0),MATCH(W$5&amp;"",'Oxford Economics'!$A$6:$AZ$6,0))),'Oxford Economics'!$A$7:$A$1000,$C118,'Oxford Economics'!$B$7:$B$1000,Settings!$B$15),SUMIFS(INDEX('Oxford Economics'!$A$7:$AZ$1000,0,IFERROR(MATCH(W$5,'Oxford Economics'!$A$6:$AZ$6,0),MATCH(W$5&amp;"",'Oxford Economics'!$A$6:$AZ$6,0))),'Oxford Economics'!$A$7:$A$1000,$C118,'Oxford Economics'!$B$7:$B$1000,Settings!$B$15)+SUMIFS(INDEX('Oxford Economics'!$A$7:$AZ$1000,0,IFERROR(MATCH(W$5,'Oxford Economics'!$A$6:$AZ$6,0),MATCH(W$5&amp;"",'Oxford Economics'!$A$6:$AZ$6,0))),'Oxford Economics'!$A$7:$A$1000,$C118,'Oxford Economics'!$B$7:$B$1000,Settings!$B$17)+IF(Settings!$B$19="",0,SUMIFS(INDEX('Oxford Economics'!$A$7:$AZ$1000,0,IFERROR(MATCH(W$5,'Oxford Economics'!$A$6:$AZ$6,0),MATCH(W$5&amp;"",'Oxford Economics'!$A$6:$AZ$6,0))),'Oxford Economics'!$A$7:$A$1000,$C118,'Oxford Economics'!$B$7:$B$1000,Settings!$B$19)))),""))</f>
        <v/>
      </c>
      <c r="X118" s="38" t="str">
        <f aca="false">IF($A118="","",IFERROR(1/(1/IF($B118="Residential",SUMIFS(INDEX('Oxford Economics'!$A$7:$AZ$1000,0,IFERROR(MATCH(X$5,'Oxford Economics'!$A$6:$AZ$6,0),MATCH(X$5&amp;"",'Oxford Economics'!$A$6:$AZ$6,0))),'Oxford Economics'!$A$7:$A$1000,$C118,'Oxford Economics'!$B$7:$B$1000,Settings!$B$13)-SUMIFS(INDEX('Oxford Economics'!$A$7:$AZ$1000,0,IFERROR(MATCH(X$5,'Oxford Economics'!$A$6:$AZ$6,0),MATCH(X$5&amp;"",'Oxford Economics'!$A$6:$AZ$6,0))),'Oxford Economics'!$A$7:$A$1000,$C118,'Oxford Economics'!$B$7:$B$1000,Settings!$B$15),SUMIFS(INDEX('Oxford Economics'!$A$7:$AZ$1000,0,IFERROR(MATCH(X$5,'Oxford Economics'!$A$6:$AZ$6,0),MATCH(X$5&amp;"",'Oxford Economics'!$A$6:$AZ$6,0))),'Oxford Economics'!$A$7:$A$1000,$C118,'Oxford Economics'!$B$7:$B$1000,Settings!$B$15)+SUMIFS(INDEX('Oxford Economics'!$A$7:$AZ$1000,0,IFERROR(MATCH(X$5,'Oxford Economics'!$A$6:$AZ$6,0),MATCH(X$5&amp;"",'Oxford Economics'!$A$6:$AZ$6,0))),'Oxford Economics'!$A$7:$A$1000,$C118,'Oxford Economics'!$B$7:$B$1000,Settings!$B$17)+IF(Settings!$B$19="",0,SUMIFS(INDEX('Oxford Economics'!$A$7:$AZ$1000,0,IFERROR(MATCH(X$5,'Oxford Economics'!$A$6:$AZ$6,0),MATCH(X$5&amp;"",'Oxford Economics'!$A$6:$AZ$6,0))),'Oxford Economics'!$A$7:$A$1000,$C118,'Oxford Economics'!$B$7:$B$1000,Settings!$B$19)))),""))</f>
        <v/>
      </c>
      <c r="Y118" s="38" t="str">
        <f aca="false">IF($A118="","",IFERROR(1/(1/IF($B118="Residential",SUMIFS(INDEX('Oxford Economics'!$A$7:$AZ$1000,0,IFERROR(MATCH(Y$5,'Oxford Economics'!$A$6:$AZ$6,0),MATCH(Y$5&amp;"",'Oxford Economics'!$A$6:$AZ$6,0))),'Oxford Economics'!$A$7:$A$1000,$C118,'Oxford Economics'!$B$7:$B$1000,Settings!$B$13)-SUMIFS(INDEX('Oxford Economics'!$A$7:$AZ$1000,0,IFERROR(MATCH(Y$5,'Oxford Economics'!$A$6:$AZ$6,0),MATCH(Y$5&amp;"",'Oxford Economics'!$A$6:$AZ$6,0))),'Oxford Economics'!$A$7:$A$1000,$C118,'Oxford Economics'!$B$7:$B$1000,Settings!$B$15),SUMIFS(INDEX('Oxford Economics'!$A$7:$AZ$1000,0,IFERROR(MATCH(Y$5,'Oxford Economics'!$A$6:$AZ$6,0),MATCH(Y$5&amp;"",'Oxford Economics'!$A$6:$AZ$6,0))),'Oxford Economics'!$A$7:$A$1000,$C118,'Oxford Economics'!$B$7:$B$1000,Settings!$B$15)+SUMIFS(INDEX('Oxford Economics'!$A$7:$AZ$1000,0,IFERROR(MATCH(Y$5,'Oxford Economics'!$A$6:$AZ$6,0),MATCH(Y$5&amp;"",'Oxford Economics'!$A$6:$AZ$6,0))),'Oxford Economics'!$A$7:$A$1000,$C118,'Oxford Economics'!$B$7:$B$1000,Settings!$B$17)+IF(Settings!$B$19="",0,SUMIFS(INDEX('Oxford Economics'!$A$7:$AZ$1000,0,IFERROR(MATCH(Y$5,'Oxford Economics'!$A$6:$AZ$6,0),MATCH(Y$5&amp;"",'Oxford Economics'!$A$6:$AZ$6,0))),'Oxford Economics'!$A$7:$A$1000,$C118,'Oxford Economics'!$B$7:$B$1000,Settings!$B$19)))),""))</f>
        <v/>
      </c>
      <c r="Z118" s="38" t="str">
        <f aca="false">IF($A118="","",IFERROR(1/(1/IF($B118="Residential",SUMIFS(INDEX('Oxford Economics'!$A$7:$AZ$1000,0,IFERROR(MATCH(Z$5,'Oxford Economics'!$A$6:$AZ$6,0),MATCH(Z$5&amp;"",'Oxford Economics'!$A$6:$AZ$6,0))),'Oxford Economics'!$A$7:$A$1000,$C118,'Oxford Economics'!$B$7:$B$1000,Settings!$B$13)-SUMIFS(INDEX('Oxford Economics'!$A$7:$AZ$1000,0,IFERROR(MATCH(Z$5,'Oxford Economics'!$A$6:$AZ$6,0),MATCH(Z$5&amp;"",'Oxford Economics'!$A$6:$AZ$6,0))),'Oxford Economics'!$A$7:$A$1000,$C118,'Oxford Economics'!$B$7:$B$1000,Settings!$B$15),SUMIFS(INDEX('Oxford Economics'!$A$7:$AZ$1000,0,IFERROR(MATCH(Z$5,'Oxford Economics'!$A$6:$AZ$6,0),MATCH(Z$5&amp;"",'Oxford Economics'!$A$6:$AZ$6,0))),'Oxford Economics'!$A$7:$A$1000,$C118,'Oxford Economics'!$B$7:$B$1000,Settings!$B$15)+SUMIFS(INDEX('Oxford Economics'!$A$7:$AZ$1000,0,IFERROR(MATCH(Z$5,'Oxford Economics'!$A$6:$AZ$6,0),MATCH(Z$5&amp;"",'Oxford Economics'!$A$6:$AZ$6,0))),'Oxford Economics'!$A$7:$A$1000,$C118,'Oxford Economics'!$B$7:$B$1000,Settings!$B$17)+IF(Settings!$B$19="",0,SUMIFS(INDEX('Oxford Economics'!$A$7:$AZ$1000,0,IFERROR(MATCH(Z$5,'Oxford Economics'!$A$6:$AZ$6,0),MATCH(Z$5&amp;"",'Oxford Economics'!$A$6:$AZ$6,0))),'Oxford Economics'!$A$7:$A$1000,$C118,'Oxford Economics'!$B$7:$B$1000,Settings!$B$19)))),""))</f>
        <v/>
      </c>
      <c r="AA118" s="38" t="str">
        <f aca="false">IF($A118="","",IFERROR(1/(1/IF($B118="Residential",SUMIFS(INDEX('Oxford Economics'!$A$7:$AZ$1000,0,IFERROR(MATCH(AA$5,'Oxford Economics'!$A$6:$AZ$6,0),MATCH(AA$5&amp;"",'Oxford Economics'!$A$6:$AZ$6,0))),'Oxford Economics'!$A$7:$A$1000,$C118,'Oxford Economics'!$B$7:$B$1000,Settings!$B$13)-SUMIFS(INDEX('Oxford Economics'!$A$7:$AZ$1000,0,IFERROR(MATCH(AA$5,'Oxford Economics'!$A$6:$AZ$6,0),MATCH(AA$5&amp;"",'Oxford Economics'!$A$6:$AZ$6,0))),'Oxford Economics'!$A$7:$A$1000,$C118,'Oxford Economics'!$B$7:$B$1000,Settings!$B$15),SUMIFS(INDEX('Oxford Economics'!$A$7:$AZ$1000,0,IFERROR(MATCH(AA$5,'Oxford Economics'!$A$6:$AZ$6,0),MATCH(AA$5&amp;"",'Oxford Economics'!$A$6:$AZ$6,0))),'Oxford Economics'!$A$7:$A$1000,$C118,'Oxford Economics'!$B$7:$B$1000,Settings!$B$15)+SUMIFS(INDEX('Oxford Economics'!$A$7:$AZ$1000,0,IFERROR(MATCH(AA$5,'Oxford Economics'!$A$6:$AZ$6,0),MATCH(AA$5&amp;"",'Oxford Economics'!$A$6:$AZ$6,0))),'Oxford Economics'!$A$7:$A$1000,$C118,'Oxford Economics'!$B$7:$B$1000,Settings!$B$17)+IF(Settings!$B$19="",0,SUMIFS(INDEX('Oxford Economics'!$A$7:$AZ$1000,0,IFERROR(MATCH(AA$5,'Oxford Economics'!$A$6:$AZ$6,0),MATCH(AA$5&amp;"",'Oxford Economics'!$A$6:$AZ$6,0))),'Oxford Economics'!$A$7:$A$1000,$C118,'Oxford Economics'!$B$7:$B$1000,Settings!$B$19)))),""))</f>
        <v/>
      </c>
      <c r="AB118" s="38" t="str">
        <f aca="false">IF($A118="","",IFERROR(1/(1/IF($B118="Residential",SUMIFS(INDEX('Oxford Economics'!$A$7:$AZ$1000,0,IFERROR(MATCH(AB$5,'Oxford Economics'!$A$6:$AZ$6,0),MATCH(AB$5&amp;"",'Oxford Economics'!$A$6:$AZ$6,0))),'Oxford Economics'!$A$7:$A$1000,$C118,'Oxford Economics'!$B$7:$B$1000,Settings!$B$12)-SUMIFS(INDEX('Oxford Economics'!$A$7:$AZ$1000,0,IFERROR(MATCH(AB$5,'Oxford Economics'!$A$6:$AZ$6,0),MATCH(AB$5&amp;"",'Oxford Economics'!$A$6:$AZ$6,0))),'Oxford Economics'!$A$7:$A$1000,$C118,'Oxford Economics'!$B$7:$B$1000,Settings!$B$14),SUMIFS(INDEX('Oxford Economics'!$A$7:$AZ$1000,0,IFERROR(MATCH(AB$5,'Oxford Economics'!$A$6:$AZ$6,0),MATCH(AB$5&amp;"",'Oxford Economics'!$A$6:$AZ$6,0))),'Oxford Economics'!$A$7:$A$1000,$C118,'Oxford Economics'!$B$7:$B$1000,Settings!$B$14)+SUMIFS(INDEX('Oxford Economics'!$A$7:$AZ$1000,0,IFERROR(MATCH(AB$5,'Oxford Economics'!$A$6:$AZ$6,0),MATCH(AB$5&amp;"",'Oxford Economics'!$A$6:$AZ$6,0))),'Oxford Economics'!$A$7:$A$1000,$C118,'Oxford Economics'!$B$7:$B$1000,Settings!$B$16)+IF(Settings!$B$18="",0,SUMIFS(INDEX('Oxford Economics'!$A$7:$AZ$1000,0,IFERROR(MATCH(AB$5,'Oxford Economics'!$A$6:$AZ$6,0),MATCH(AB$5&amp;"",'Oxford Economics'!$A$6:$AZ$6,0))),'Oxford Economics'!$A$7:$A$1000,$C118,'Oxford Economics'!$B$7:$B$1000,Settings!$B$18)))),""))</f>
        <v/>
      </c>
      <c r="AC118" s="38" t="str">
        <f aca="false">IF($A118="","",IFERROR(1/(1/IF($B118="Residential",SUMIFS(INDEX('Oxford Economics'!$A$7:$AZ$1000,0,IFERROR(MATCH(AC$5,'Oxford Economics'!$A$6:$AZ$6,0),MATCH(AC$5&amp;"",'Oxford Economics'!$A$6:$AZ$6,0))),'Oxford Economics'!$A$7:$A$1000,$C118,'Oxford Economics'!$B$7:$B$1000,Settings!$B$12)-SUMIFS(INDEX('Oxford Economics'!$A$7:$AZ$1000,0,IFERROR(MATCH(AC$5,'Oxford Economics'!$A$6:$AZ$6,0),MATCH(AC$5&amp;"",'Oxford Economics'!$A$6:$AZ$6,0))),'Oxford Economics'!$A$7:$A$1000,$C118,'Oxford Economics'!$B$7:$B$1000,Settings!$B$14),SUMIFS(INDEX('Oxford Economics'!$A$7:$AZ$1000,0,IFERROR(MATCH(AC$5,'Oxford Economics'!$A$6:$AZ$6,0),MATCH(AC$5&amp;"",'Oxford Economics'!$A$6:$AZ$6,0))),'Oxford Economics'!$A$7:$A$1000,$C118,'Oxford Economics'!$B$7:$B$1000,Settings!$B$14)+SUMIFS(INDEX('Oxford Economics'!$A$7:$AZ$1000,0,IFERROR(MATCH(AC$5,'Oxford Economics'!$A$6:$AZ$6,0),MATCH(AC$5&amp;"",'Oxford Economics'!$A$6:$AZ$6,0))),'Oxford Economics'!$A$7:$A$1000,$C118,'Oxford Economics'!$B$7:$B$1000,Settings!$B$16)+IF(Settings!$B$18="",0,SUMIFS(INDEX('Oxford Economics'!$A$7:$AZ$1000,0,IFERROR(MATCH(AC$5,'Oxford Economics'!$A$6:$AZ$6,0),MATCH(AC$5&amp;"",'Oxford Economics'!$A$6:$AZ$6,0))),'Oxford Economics'!$A$7:$A$1000,$C118,'Oxford Economics'!$B$7:$B$1000,Settings!$B$18)))),""))</f>
        <v/>
      </c>
      <c r="AD118" s="38" t="str">
        <f aca="false">IF($A118="","",IFERROR(1/(1/IF($B118="Residential",SUMIFS(INDEX('Oxford Economics'!$A$7:$AZ$1000,0,IFERROR(MATCH(AD$5,'Oxford Economics'!$A$6:$AZ$6,0),MATCH(AD$5&amp;"",'Oxford Economics'!$A$6:$AZ$6,0))),'Oxford Economics'!$A$7:$A$1000,$C118,'Oxford Economics'!$B$7:$B$1000,Settings!$B$12)-SUMIFS(INDEX('Oxford Economics'!$A$7:$AZ$1000,0,IFERROR(MATCH(AD$5,'Oxford Economics'!$A$6:$AZ$6,0),MATCH(AD$5&amp;"",'Oxford Economics'!$A$6:$AZ$6,0))),'Oxford Economics'!$A$7:$A$1000,$C118,'Oxford Economics'!$B$7:$B$1000,Settings!$B$14),SUMIFS(INDEX('Oxford Economics'!$A$7:$AZ$1000,0,IFERROR(MATCH(AD$5,'Oxford Economics'!$A$6:$AZ$6,0),MATCH(AD$5&amp;"",'Oxford Economics'!$A$6:$AZ$6,0))),'Oxford Economics'!$A$7:$A$1000,$C118,'Oxford Economics'!$B$7:$B$1000,Settings!$B$14)+SUMIFS(INDEX('Oxford Economics'!$A$7:$AZ$1000,0,IFERROR(MATCH(AD$5,'Oxford Economics'!$A$6:$AZ$6,0),MATCH(AD$5&amp;"",'Oxford Economics'!$A$6:$AZ$6,0))),'Oxford Economics'!$A$7:$A$1000,$C118,'Oxford Economics'!$B$7:$B$1000,Settings!$B$16)+IF(Settings!$B$18="",0,SUMIFS(INDEX('Oxford Economics'!$A$7:$AZ$1000,0,IFERROR(MATCH(AD$5,'Oxford Economics'!$A$6:$AZ$6,0),MATCH(AD$5&amp;"",'Oxford Economics'!$A$6:$AZ$6,0))),'Oxford Economics'!$A$7:$A$1000,$C118,'Oxford Economics'!$B$7:$B$1000,Settings!$B$18)))),""))</f>
        <v/>
      </c>
      <c r="AE118" s="38" t="str">
        <f aca="false">IF($A118="","",IFERROR(1/(1/IF($B118="Residential",SUMIFS(INDEX('Oxford Economics'!$A$7:$AZ$1000,0,IFERROR(MATCH(AE$5,'Oxford Economics'!$A$6:$AZ$6,0),MATCH(AE$5&amp;"",'Oxford Economics'!$A$6:$AZ$6,0))),'Oxford Economics'!$A$7:$A$1000,$C118,'Oxford Economics'!$B$7:$B$1000,Settings!$B$12)-SUMIFS(INDEX('Oxford Economics'!$A$7:$AZ$1000,0,IFERROR(MATCH(AE$5,'Oxford Economics'!$A$6:$AZ$6,0),MATCH(AE$5&amp;"",'Oxford Economics'!$A$6:$AZ$6,0))),'Oxford Economics'!$A$7:$A$1000,$C118,'Oxford Economics'!$B$7:$B$1000,Settings!$B$14),SUMIFS(INDEX('Oxford Economics'!$A$7:$AZ$1000,0,IFERROR(MATCH(AE$5,'Oxford Economics'!$A$6:$AZ$6,0),MATCH(AE$5&amp;"",'Oxford Economics'!$A$6:$AZ$6,0))),'Oxford Economics'!$A$7:$A$1000,$C118,'Oxford Economics'!$B$7:$B$1000,Settings!$B$14)+SUMIFS(INDEX('Oxford Economics'!$A$7:$AZ$1000,0,IFERROR(MATCH(AE$5,'Oxford Economics'!$A$6:$AZ$6,0),MATCH(AE$5&amp;"",'Oxford Economics'!$A$6:$AZ$6,0))),'Oxford Economics'!$A$7:$A$1000,$C118,'Oxford Economics'!$B$7:$B$1000,Settings!$B$16)+IF(Settings!$B$18="",0,SUMIFS(INDEX('Oxford Economics'!$A$7:$AZ$1000,0,IFERROR(MATCH(AE$5,'Oxford Economics'!$A$6:$AZ$6,0),MATCH(AE$5&amp;"",'Oxford Economics'!$A$6:$AZ$6,0))),'Oxford Economics'!$A$7:$A$1000,$C118,'Oxford Economics'!$B$7:$B$1000,Settings!$B$18)))),""))</f>
        <v/>
      </c>
      <c r="AF118" s="38" t="str">
        <f aca="false">IF($A118="","",IFERROR(1/(1/IF($B118="Residential",SUMIFS(INDEX('Oxford Economics'!$A$7:$AZ$1000,0,IFERROR(MATCH(AF$5,'Oxford Economics'!$A$6:$AZ$6,0),MATCH(AF$5&amp;"",'Oxford Economics'!$A$6:$AZ$6,0))),'Oxford Economics'!$A$7:$A$1000,$C118,'Oxford Economics'!$B$7:$B$1000,Settings!$B$12)-SUMIFS(INDEX('Oxford Economics'!$A$7:$AZ$1000,0,IFERROR(MATCH(AF$5,'Oxford Economics'!$A$6:$AZ$6,0),MATCH(AF$5&amp;"",'Oxford Economics'!$A$6:$AZ$6,0))),'Oxford Economics'!$A$7:$A$1000,$C118,'Oxford Economics'!$B$7:$B$1000,Settings!$B$14),SUMIFS(INDEX('Oxford Economics'!$A$7:$AZ$1000,0,IFERROR(MATCH(AF$5,'Oxford Economics'!$A$6:$AZ$6,0),MATCH(AF$5&amp;"",'Oxford Economics'!$A$6:$AZ$6,0))),'Oxford Economics'!$A$7:$A$1000,$C118,'Oxford Economics'!$B$7:$B$1000,Settings!$B$14)+SUMIFS(INDEX('Oxford Economics'!$A$7:$AZ$1000,0,IFERROR(MATCH(AF$5,'Oxford Economics'!$A$6:$AZ$6,0),MATCH(AF$5&amp;"",'Oxford Economics'!$A$6:$AZ$6,0))),'Oxford Economics'!$A$7:$A$1000,$C118,'Oxford Economics'!$B$7:$B$1000,Settings!$B$16)+IF(Settings!$B$18="",0,SUMIFS(INDEX('Oxford Economics'!$A$7:$AZ$1000,0,IFERROR(MATCH(AF$5,'Oxford Economics'!$A$6:$AZ$6,0),MATCH(AF$5&amp;"",'Oxford Economics'!$A$6:$AZ$6,0))),'Oxford Economics'!$A$7:$A$1000,$C118,'Oxford Economics'!$B$7:$B$1000,Settings!$B$18)))),""))</f>
        <v/>
      </c>
      <c r="AG118" s="38" t="str">
        <f aca="false">IF($A118="","",IFERROR(1/(1/IF($B118="Residential",SUMIFS(INDEX('Oxford Economics'!$A$7:$AZ$1000,0,IFERROR(MATCH(AG$5,'Oxford Economics'!$A$6:$AZ$6,0),MATCH(AG$5&amp;"",'Oxford Economics'!$A$6:$AZ$6,0))),'Oxford Economics'!$A$7:$A$1000,$C118,'Oxford Economics'!$B$7:$B$1000,Settings!$B$12)-SUMIFS(INDEX('Oxford Economics'!$A$7:$AZ$1000,0,IFERROR(MATCH(AG$5,'Oxford Economics'!$A$6:$AZ$6,0),MATCH(AG$5&amp;"",'Oxford Economics'!$A$6:$AZ$6,0))),'Oxford Economics'!$A$7:$A$1000,$C118,'Oxford Economics'!$B$7:$B$1000,Settings!$B$14),SUMIFS(INDEX('Oxford Economics'!$A$7:$AZ$1000,0,IFERROR(MATCH(AG$5,'Oxford Economics'!$A$6:$AZ$6,0),MATCH(AG$5&amp;"",'Oxford Economics'!$A$6:$AZ$6,0))),'Oxford Economics'!$A$7:$A$1000,$C118,'Oxford Economics'!$B$7:$B$1000,Settings!$B$14)+SUMIFS(INDEX('Oxford Economics'!$A$7:$AZ$1000,0,IFERROR(MATCH(AG$5,'Oxford Economics'!$A$6:$AZ$6,0),MATCH(AG$5&amp;"",'Oxford Economics'!$A$6:$AZ$6,0))),'Oxford Economics'!$A$7:$A$1000,$C118,'Oxford Economics'!$B$7:$B$1000,Settings!$B$16)+IF(Settings!$B$18="",0,SUMIFS(INDEX('Oxford Economics'!$A$7:$AZ$1000,0,IFERROR(MATCH(AG$5,'Oxford Economics'!$A$6:$AZ$6,0),MATCH(AG$5&amp;"",'Oxford Economics'!$A$6:$AZ$6,0))),'Oxford Economics'!$A$7:$A$1000,$C118,'Oxford Economics'!$B$7:$B$1000,Settings!$B$18)))),""))</f>
        <v/>
      </c>
      <c r="AH118" s="38" t="str">
        <f aca="false">IF($A118="","",IFERROR(1/(1/IF($B118="Residential",SUMIFS(INDEX('Oxford Economics'!$A$7:$AZ$1000,0,IFERROR(MATCH(AH$5,'Oxford Economics'!$A$6:$AZ$6,0),MATCH(AH$5&amp;"",'Oxford Economics'!$A$6:$AZ$6,0))),'Oxford Economics'!$A$7:$A$1000,$C118,'Oxford Economics'!$B$7:$B$1000,Settings!$B$12)-SUMIFS(INDEX('Oxford Economics'!$A$7:$AZ$1000,0,IFERROR(MATCH(AH$5,'Oxford Economics'!$A$6:$AZ$6,0),MATCH(AH$5&amp;"",'Oxford Economics'!$A$6:$AZ$6,0))),'Oxford Economics'!$A$7:$A$1000,$C118,'Oxford Economics'!$B$7:$B$1000,Settings!$B$14),SUMIFS(INDEX('Oxford Economics'!$A$7:$AZ$1000,0,IFERROR(MATCH(AH$5,'Oxford Economics'!$A$6:$AZ$6,0),MATCH(AH$5&amp;"",'Oxford Economics'!$A$6:$AZ$6,0))),'Oxford Economics'!$A$7:$A$1000,$C118,'Oxford Economics'!$B$7:$B$1000,Settings!$B$14)+SUMIFS(INDEX('Oxford Economics'!$A$7:$AZ$1000,0,IFERROR(MATCH(AH$5,'Oxford Economics'!$A$6:$AZ$6,0),MATCH(AH$5&amp;"",'Oxford Economics'!$A$6:$AZ$6,0))),'Oxford Economics'!$A$7:$A$1000,$C118,'Oxford Economics'!$B$7:$B$1000,Settings!$B$16)+IF(Settings!$B$18="",0,SUMIFS(INDEX('Oxford Economics'!$A$7:$AZ$1000,0,IFERROR(MATCH(AH$5,'Oxford Economics'!$A$6:$AZ$6,0),MATCH(AH$5&amp;"",'Oxford Economics'!$A$6:$AZ$6,0))),'Oxford Economics'!$A$7:$A$1000,$C118,'Oxford Economics'!$B$7:$B$1000,Settings!$B$18)))),""))</f>
        <v/>
      </c>
      <c r="AI118" s="38" t="str">
        <f aca="false">IF($A118="","",IFERROR(1/(1/IF($B118="Residential",SUMIFS(INDEX('Oxford Economics'!$A$7:$AZ$1000,0,IFERROR(MATCH(AI$5,'Oxford Economics'!$A$6:$AZ$6,0),MATCH(AI$5&amp;"",'Oxford Economics'!$A$6:$AZ$6,0))),'Oxford Economics'!$A$7:$A$1000,$C118,'Oxford Economics'!$B$7:$B$1000,Settings!$B$12)-SUMIFS(INDEX('Oxford Economics'!$A$7:$AZ$1000,0,IFERROR(MATCH(AI$5,'Oxford Economics'!$A$6:$AZ$6,0),MATCH(AI$5&amp;"",'Oxford Economics'!$A$6:$AZ$6,0))),'Oxford Economics'!$A$7:$A$1000,$C118,'Oxford Economics'!$B$7:$B$1000,Settings!$B$14),SUMIFS(INDEX('Oxford Economics'!$A$7:$AZ$1000,0,IFERROR(MATCH(AI$5,'Oxford Economics'!$A$6:$AZ$6,0),MATCH(AI$5&amp;"",'Oxford Economics'!$A$6:$AZ$6,0))),'Oxford Economics'!$A$7:$A$1000,$C118,'Oxford Economics'!$B$7:$B$1000,Settings!$B$14)+SUMIFS(INDEX('Oxford Economics'!$A$7:$AZ$1000,0,IFERROR(MATCH(AI$5,'Oxford Economics'!$A$6:$AZ$6,0),MATCH(AI$5&amp;"",'Oxford Economics'!$A$6:$AZ$6,0))),'Oxford Economics'!$A$7:$A$1000,$C118,'Oxford Economics'!$B$7:$B$1000,Settings!$B$16)+IF(Settings!$B$18="",0,SUMIFS(INDEX('Oxford Economics'!$A$7:$AZ$1000,0,IFERROR(MATCH(AI$5,'Oxford Economics'!$A$6:$AZ$6,0),MATCH(AI$5&amp;"",'Oxford Economics'!$A$6:$AZ$6,0))),'Oxford Economics'!$A$7:$A$1000,$C118,'Oxford Economics'!$B$7:$B$1000,Settings!$B$18)))),""))</f>
        <v/>
      </c>
      <c r="AJ118" s="38" t="str">
        <f aca="false">IF($A118="","",IFERROR(1/(1/IF($B118="Residential",SUMIFS(INDEX('Oxford Economics'!$A$7:$AZ$1000,0,IFERROR(MATCH(AJ$5,'Oxford Economics'!$A$6:$AZ$6,0),MATCH(AJ$5&amp;"",'Oxford Economics'!$A$6:$AZ$6,0))),'Oxford Economics'!$A$7:$A$1000,$C118,'Oxford Economics'!$B$7:$B$1000,Settings!$B$12)-SUMIFS(INDEX('Oxford Economics'!$A$7:$AZ$1000,0,IFERROR(MATCH(AJ$5,'Oxford Economics'!$A$6:$AZ$6,0),MATCH(AJ$5&amp;"",'Oxford Economics'!$A$6:$AZ$6,0))),'Oxford Economics'!$A$7:$A$1000,$C118,'Oxford Economics'!$B$7:$B$1000,Settings!$B$14),SUMIFS(INDEX('Oxford Economics'!$A$7:$AZ$1000,0,IFERROR(MATCH(AJ$5,'Oxford Economics'!$A$6:$AZ$6,0),MATCH(AJ$5&amp;"",'Oxford Economics'!$A$6:$AZ$6,0))),'Oxford Economics'!$A$7:$A$1000,$C118,'Oxford Economics'!$B$7:$B$1000,Settings!$B$14)+SUMIFS(INDEX('Oxford Economics'!$A$7:$AZ$1000,0,IFERROR(MATCH(AJ$5,'Oxford Economics'!$A$6:$AZ$6,0),MATCH(AJ$5&amp;"",'Oxford Economics'!$A$6:$AZ$6,0))),'Oxford Economics'!$A$7:$A$1000,$C118,'Oxford Economics'!$B$7:$B$1000,Settings!$B$16)+IF(Settings!$B$18="",0,SUMIFS(INDEX('Oxford Economics'!$A$7:$AZ$1000,0,IFERROR(MATCH(AJ$5,'Oxford Economics'!$A$6:$AZ$6,0),MATCH(AJ$5&amp;"",'Oxford Economics'!$A$6:$AZ$6,0))),'Oxford Economics'!$A$7:$A$1000,$C118,'Oxford Economics'!$B$7:$B$1000,Settings!$B$18)))),""))</f>
        <v/>
      </c>
      <c r="AK118" s="38" t="str">
        <f aca="false">IF($A118="","",IFERROR(1/(1/IF($B118="Residential",SUMIFS(INDEX('Oxford Economics'!$A$7:$AZ$1000,0,IFERROR(MATCH(AK$5,'Oxford Economics'!$A$6:$AZ$6,0),MATCH(AK$5&amp;"",'Oxford Economics'!$A$6:$AZ$6,0))),'Oxford Economics'!$A$7:$A$1000,$C118,'Oxford Economics'!$B$7:$B$1000,Settings!$B$12)-SUMIFS(INDEX('Oxford Economics'!$A$7:$AZ$1000,0,IFERROR(MATCH(AK$5,'Oxford Economics'!$A$6:$AZ$6,0),MATCH(AK$5&amp;"",'Oxford Economics'!$A$6:$AZ$6,0))),'Oxford Economics'!$A$7:$A$1000,$C118,'Oxford Economics'!$B$7:$B$1000,Settings!$B$14),SUMIFS(INDEX('Oxford Economics'!$A$7:$AZ$1000,0,IFERROR(MATCH(AK$5,'Oxford Economics'!$A$6:$AZ$6,0),MATCH(AK$5&amp;"",'Oxford Economics'!$A$6:$AZ$6,0))),'Oxford Economics'!$A$7:$A$1000,$C118,'Oxford Economics'!$B$7:$B$1000,Settings!$B$14)+SUMIFS(INDEX('Oxford Economics'!$A$7:$AZ$1000,0,IFERROR(MATCH(AK$5,'Oxford Economics'!$A$6:$AZ$6,0),MATCH(AK$5&amp;"",'Oxford Economics'!$A$6:$AZ$6,0))),'Oxford Economics'!$A$7:$A$1000,$C118,'Oxford Economics'!$B$7:$B$1000,Settings!$B$16)+IF(Settings!$B$18="",0,SUMIFS(INDEX('Oxford Economics'!$A$7:$AZ$1000,0,IFERROR(MATCH(AK$5,'Oxford Economics'!$A$6:$AZ$6,0),MATCH(AK$5&amp;"",'Oxford Economics'!$A$6:$AZ$6,0))),'Oxford Economics'!$A$7:$A$1000,$C118,'Oxford Economics'!$B$7:$B$1000,Settings!$B$18)))),""))</f>
        <v/>
      </c>
      <c r="AL118" s="38" t="str">
        <f aca="false">IF($A118="","",IFERROR(1/(1/IF($B118="Residential",SUMIFS(INDEX('Oxford Economics'!$A$7:$AZ$1000,0,IFERROR(MATCH(AL$5,'Oxford Economics'!$A$6:$AZ$6,0),MATCH(AL$5&amp;"",'Oxford Economics'!$A$6:$AZ$6,0))),'Oxford Economics'!$A$7:$A$1000,$C118,'Oxford Economics'!$B$7:$B$1000,Settings!$B$12)-SUMIFS(INDEX('Oxford Economics'!$A$7:$AZ$1000,0,IFERROR(MATCH(AL$5,'Oxford Economics'!$A$6:$AZ$6,0),MATCH(AL$5&amp;"",'Oxford Economics'!$A$6:$AZ$6,0))),'Oxford Economics'!$A$7:$A$1000,$C118,'Oxford Economics'!$B$7:$B$1000,Settings!$B$14),SUMIFS(INDEX('Oxford Economics'!$A$7:$AZ$1000,0,IFERROR(MATCH(AL$5,'Oxford Economics'!$A$6:$AZ$6,0),MATCH(AL$5&amp;"",'Oxford Economics'!$A$6:$AZ$6,0))),'Oxford Economics'!$A$7:$A$1000,$C118,'Oxford Economics'!$B$7:$B$1000,Settings!$B$14)+SUMIFS(INDEX('Oxford Economics'!$A$7:$AZ$1000,0,IFERROR(MATCH(AL$5,'Oxford Economics'!$A$6:$AZ$6,0),MATCH(AL$5&amp;"",'Oxford Economics'!$A$6:$AZ$6,0))),'Oxford Economics'!$A$7:$A$1000,$C118,'Oxford Economics'!$B$7:$B$1000,Settings!$B$16)+IF(Settings!$B$18="",0,SUMIFS(INDEX('Oxford Economics'!$A$7:$AZ$1000,0,IFERROR(MATCH(AL$5,'Oxford Economics'!$A$6:$AZ$6,0),MATCH(AL$5&amp;"",'Oxford Economics'!$A$6:$AZ$6,0))),'Oxford Economics'!$A$7:$A$1000,$C118,'Oxford Economics'!$B$7:$B$1000,Settings!$B$18)))),""))</f>
        <v/>
      </c>
      <c r="AM118" s="38" t="str">
        <f aca="false">IF($A118="","",IFERROR(1/(1/IF($B118="Residential",SUMIFS(INDEX('Oxford Economics'!$A$7:$AZ$1000,0,IFERROR(MATCH(AM$5,'Oxford Economics'!$A$6:$AZ$6,0),MATCH(AM$5&amp;"",'Oxford Economics'!$A$6:$AZ$6,0))),'Oxford Economics'!$A$7:$A$1000,$C118,'Oxford Economics'!$B$7:$B$1000,Settings!$B$12)-SUMIFS(INDEX('Oxford Economics'!$A$7:$AZ$1000,0,IFERROR(MATCH(AM$5,'Oxford Economics'!$A$6:$AZ$6,0),MATCH(AM$5&amp;"",'Oxford Economics'!$A$6:$AZ$6,0))),'Oxford Economics'!$A$7:$A$1000,$C118,'Oxford Economics'!$B$7:$B$1000,Settings!$B$14),SUMIFS(INDEX('Oxford Economics'!$A$7:$AZ$1000,0,IFERROR(MATCH(AM$5,'Oxford Economics'!$A$6:$AZ$6,0),MATCH(AM$5&amp;"",'Oxford Economics'!$A$6:$AZ$6,0))),'Oxford Economics'!$A$7:$A$1000,$C118,'Oxford Economics'!$B$7:$B$1000,Settings!$B$14)+SUMIFS(INDEX('Oxford Economics'!$A$7:$AZ$1000,0,IFERROR(MATCH(AM$5,'Oxford Economics'!$A$6:$AZ$6,0),MATCH(AM$5&amp;"",'Oxford Economics'!$A$6:$AZ$6,0))),'Oxford Economics'!$A$7:$A$1000,$C118,'Oxford Economics'!$B$7:$B$1000,Settings!$B$16)+IF(Settings!$B$18="",0,SUMIFS(INDEX('Oxford Economics'!$A$7:$AZ$1000,0,IFERROR(MATCH(AM$5,'Oxford Economics'!$A$6:$AZ$6,0),MATCH(AM$5&amp;"",'Oxford Economics'!$A$6:$AZ$6,0))),'Oxford Economics'!$A$7:$A$1000,$C118,'Oxford Economics'!$B$7:$B$1000,Settings!$B$18)))),""))</f>
        <v/>
      </c>
    </row>
    <row r="119" customFormat="false" ht="15" hidden="false" customHeight="false" outlineLevel="0" collapsed="false">
      <c r="A119" s="37" t="str">
        <f aca="false">IF('Raw data'!$A119="","",'Raw data'!$A119)</f>
        <v/>
      </c>
      <c r="B119" s="37" t="str">
        <f aca="false">IF($A119="","",'Raw data'!$C119)</f>
        <v/>
      </c>
      <c r="C119" s="37" t="str">
        <f aca="false">IF($A119="","",IF('Raw data'!$E119="",$A119,'Raw data'!$E119))</f>
        <v/>
      </c>
      <c r="D119" s="38" t="str">
        <f aca="false">IF($A119="","",IF(AND(ISNUMBER(P119),ISNUMBER(AB119)),P119+AB119,""))</f>
        <v/>
      </c>
      <c r="E119" s="38" t="str">
        <f aca="false">IF($A119="","",IF(AND(ISNUMBER(Q119),ISNUMBER(AC119)),Q119+AC119,""))</f>
        <v/>
      </c>
      <c r="F119" s="38" t="str">
        <f aca="false">IF($A119="","",IF(AND(ISNUMBER(R119),ISNUMBER(AD119)),R119+AD119,""))</f>
        <v/>
      </c>
      <c r="G119" s="38" t="str">
        <f aca="false">IF($A119="","",IF(AND(ISNUMBER(S119),ISNUMBER(AE119)),S119+AE119,""))</f>
        <v/>
      </c>
      <c r="H119" s="38" t="str">
        <f aca="false">IF($A119="","",IF(AND(ISNUMBER(T119),ISNUMBER(AF119)),T119+AF119,""))</f>
        <v/>
      </c>
      <c r="I119" s="38" t="str">
        <f aca="false">IF($A119="","",IF(AND(ISNUMBER(U119),ISNUMBER(AG119)),U119+AG119,""))</f>
        <v/>
      </c>
      <c r="J119" s="38" t="str">
        <f aca="false">IF($A119="","",IF(AND(ISNUMBER(V119),ISNUMBER(AH119)),V119+AH119,""))</f>
        <v/>
      </c>
      <c r="K119" s="38" t="str">
        <f aca="false">IF($A119="","",IF(AND(ISNUMBER(W119),ISNUMBER(AI119)),W119+AI119,""))</f>
        <v/>
      </c>
      <c r="L119" s="38" t="str">
        <f aca="false">IF($A119="","",IF(AND(ISNUMBER(X119),ISNUMBER(AJ119)),X119+AJ119,""))</f>
        <v/>
      </c>
      <c r="M119" s="38" t="str">
        <f aca="false">IF($A119="","",IF(AND(ISNUMBER(Y119),ISNUMBER(AK119)),Y119+AK119,""))</f>
        <v/>
      </c>
      <c r="N119" s="38" t="str">
        <f aca="false">IF($A119="","",IF(AND(ISNUMBER(Z119),ISNUMBER(AL119)),Z119+AL119,""))</f>
        <v/>
      </c>
      <c r="O119" s="38" t="str">
        <f aca="false">IF($A119="","",IF(AND(ISNUMBER(AA119),ISNUMBER(AM119)),AA119+AM119,""))</f>
        <v/>
      </c>
      <c r="P119" s="38" t="str">
        <f aca="false">IF($A119="","",IFERROR(1/(1/IF($B119="Residential",SUMIFS(INDEX('Oxford Economics'!$A$7:$AZ$1000,0,IFERROR(MATCH(P$5,'Oxford Economics'!$A$6:$AZ$6,0),MATCH(P$5&amp;"",'Oxford Economics'!$A$6:$AZ$6,0))),'Oxford Economics'!$A$7:$A$1000,$C119,'Oxford Economics'!$B$7:$B$1000,Settings!$B$13)-SUMIFS(INDEX('Oxford Economics'!$A$7:$AZ$1000,0,IFERROR(MATCH(P$5,'Oxford Economics'!$A$6:$AZ$6,0),MATCH(P$5&amp;"",'Oxford Economics'!$A$6:$AZ$6,0))),'Oxford Economics'!$A$7:$A$1000,$C119,'Oxford Economics'!$B$7:$B$1000,Settings!$B$15),SUMIFS(INDEX('Oxford Economics'!$A$7:$AZ$1000,0,IFERROR(MATCH(P$5,'Oxford Economics'!$A$6:$AZ$6,0),MATCH(P$5&amp;"",'Oxford Economics'!$A$6:$AZ$6,0))),'Oxford Economics'!$A$7:$A$1000,$C119,'Oxford Economics'!$B$7:$B$1000,Settings!$B$15)+SUMIFS(INDEX('Oxford Economics'!$A$7:$AZ$1000,0,IFERROR(MATCH(P$5,'Oxford Economics'!$A$6:$AZ$6,0),MATCH(P$5&amp;"",'Oxford Economics'!$A$6:$AZ$6,0))),'Oxford Economics'!$A$7:$A$1000,$C119,'Oxford Economics'!$B$7:$B$1000,Settings!$B$17)+IF(Settings!$B$19="",0,SUMIFS(INDEX('Oxford Economics'!$A$7:$AZ$1000,0,IFERROR(MATCH(P$5,'Oxford Economics'!$A$6:$AZ$6,0),MATCH(P$5&amp;"",'Oxford Economics'!$A$6:$AZ$6,0))),'Oxford Economics'!$A$7:$A$1000,$C119,'Oxford Economics'!$B$7:$B$1000,Settings!$B$19)))),""))</f>
        <v/>
      </c>
      <c r="Q119" s="38" t="str">
        <f aca="false">IF($A119="","",IFERROR(1/(1/IF($B119="Residential",SUMIFS(INDEX('Oxford Economics'!$A$7:$AZ$1000,0,IFERROR(MATCH(Q$5,'Oxford Economics'!$A$6:$AZ$6,0),MATCH(Q$5&amp;"",'Oxford Economics'!$A$6:$AZ$6,0))),'Oxford Economics'!$A$7:$A$1000,$C119,'Oxford Economics'!$B$7:$B$1000,Settings!$B$13)-SUMIFS(INDEX('Oxford Economics'!$A$7:$AZ$1000,0,IFERROR(MATCH(Q$5,'Oxford Economics'!$A$6:$AZ$6,0),MATCH(Q$5&amp;"",'Oxford Economics'!$A$6:$AZ$6,0))),'Oxford Economics'!$A$7:$A$1000,$C119,'Oxford Economics'!$B$7:$B$1000,Settings!$B$15),SUMIFS(INDEX('Oxford Economics'!$A$7:$AZ$1000,0,IFERROR(MATCH(Q$5,'Oxford Economics'!$A$6:$AZ$6,0),MATCH(Q$5&amp;"",'Oxford Economics'!$A$6:$AZ$6,0))),'Oxford Economics'!$A$7:$A$1000,$C119,'Oxford Economics'!$B$7:$B$1000,Settings!$B$15)+SUMIFS(INDEX('Oxford Economics'!$A$7:$AZ$1000,0,IFERROR(MATCH(Q$5,'Oxford Economics'!$A$6:$AZ$6,0),MATCH(Q$5&amp;"",'Oxford Economics'!$A$6:$AZ$6,0))),'Oxford Economics'!$A$7:$A$1000,$C119,'Oxford Economics'!$B$7:$B$1000,Settings!$B$17)+IF(Settings!$B$19="",0,SUMIFS(INDEX('Oxford Economics'!$A$7:$AZ$1000,0,IFERROR(MATCH(Q$5,'Oxford Economics'!$A$6:$AZ$6,0),MATCH(Q$5&amp;"",'Oxford Economics'!$A$6:$AZ$6,0))),'Oxford Economics'!$A$7:$A$1000,$C119,'Oxford Economics'!$B$7:$B$1000,Settings!$B$19)))),""))</f>
        <v/>
      </c>
      <c r="R119" s="38" t="str">
        <f aca="false">IF($A119="","",IFERROR(1/(1/IF($B119="Residential",SUMIFS(INDEX('Oxford Economics'!$A$7:$AZ$1000,0,IFERROR(MATCH(R$5,'Oxford Economics'!$A$6:$AZ$6,0),MATCH(R$5&amp;"",'Oxford Economics'!$A$6:$AZ$6,0))),'Oxford Economics'!$A$7:$A$1000,$C119,'Oxford Economics'!$B$7:$B$1000,Settings!$B$13)-SUMIFS(INDEX('Oxford Economics'!$A$7:$AZ$1000,0,IFERROR(MATCH(R$5,'Oxford Economics'!$A$6:$AZ$6,0),MATCH(R$5&amp;"",'Oxford Economics'!$A$6:$AZ$6,0))),'Oxford Economics'!$A$7:$A$1000,$C119,'Oxford Economics'!$B$7:$B$1000,Settings!$B$15),SUMIFS(INDEX('Oxford Economics'!$A$7:$AZ$1000,0,IFERROR(MATCH(R$5,'Oxford Economics'!$A$6:$AZ$6,0),MATCH(R$5&amp;"",'Oxford Economics'!$A$6:$AZ$6,0))),'Oxford Economics'!$A$7:$A$1000,$C119,'Oxford Economics'!$B$7:$B$1000,Settings!$B$15)+SUMIFS(INDEX('Oxford Economics'!$A$7:$AZ$1000,0,IFERROR(MATCH(R$5,'Oxford Economics'!$A$6:$AZ$6,0),MATCH(R$5&amp;"",'Oxford Economics'!$A$6:$AZ$6,0))),'Oxford Economics'!$A$7:$A$1000,$C119,'Oxford Economics'!$B$7:$B$1000,Settings!$B$17)+IF(Settings!$B$19="",0,SUMIFS(INDEX('Oxford Economics'!$A$7:$AZ$1000,0,IFERROR(MATCH(R$5,'Oxford Economics'!$A$6:$AZ$6,0),MATCH(R$5&amp;"",'Oxford Economics'!$A$6:$AZ$6,0))),'Oxford Economics'!$A$7:$A$1000,$C119,'Oxford Economics'!$B$7:$B$1000,Settings!$B$19)))),""))</f>
        <v/>
      </c>
      <c r="S119" s="38" t="str">
        <f aca="false">IF($A119="","",IFERROR(1/(1/IF($B119="Residential",SUMIFS(INDEX('Oxford Economics'!$A$7:$AZ$1000,0,IFERROR(MATCH(S$5,'Oxford Economics'!$A$6:$AZ$6,0),MATCH(S$5&amp;"",'Oxford Economics'!$A$6:$AZ$6,0))),'Oxford Economics'!$A$7:$A$1000,$C119,'Oxford Economics'!$B$7:$B$1000,Settings!$B$13)-SUMIFS(INDEX('Oxford Economics'!$A$7:$AZ$1000,0,IFERROR(MATCH(S$5,'Oxford Economics'!$A$6:$AZ$6,0),MATCH(S$5&amp;"",'Oxford Economics'!$A$6:$AZ$6,0))),'Oxford Economics'!$A$7:$A$1000,$C119,'Oxford Economics'!$B$7:$B$1000,Settings!$B$15),SUMIFS(INDEX('Oxford Economics'!$A$7:$AZ$1000,0,IFERROR(MATCH(S$5,'Oxford Economics'!$A$6:$AZ$6,0),MATCH(S$5&amp;"",'Oxford Economics'!$A$6:$AZ$6,0))),'Oxford Economics'!$A$7:$A$1000,$C119,'Oxford Economics'!$B$7:$B$1000,Settings!$B$15)+SUMIFS(INDEX('Oxford Economics'!$A$7:$AZ$1000,0,IFERROR(MATCH(S$5,'Oxford Economics'!$A$6:$AZ$6,0),MATCH(S$5&amp;"",'Oxford Economics'!$A$6:$AZ$6,0))),'Oxford Economics'!$A$7:$A$1000,$C119,'Oxford Economics'!$B$7:$B$1000,Settings!$B$17)+IF(Settings!$B$19="",0,SUMIFS(INDEX('Oxford Economics'!$A$7:$AZ$1000,0,IFERROR(MATCH(S$5,'Oxford Economics'!$A$6:$AZ$6,0),MATCH(S$5&amp;"",'Oxford Economics'!$A$6:$AZ$6,0))),'Oxford Economics'!$A$7:$A$1000,$C119,'Oxford Economics'!$B$7:$B$1000,Settings!$B$19)))),""))</f>
        <v/>
      </c>
      <c r="T119" s="38" t="str">
        <f aca="false">IF($A119="","",IFERROR(1/(1/IF($B119="Residential",SUMIFS(INDEX('Oxford Economics'!$A$7:$AZ$1000,0,IFERROR(MATCH(T$5,'Oxford Economics'!$A$6:$AZ$6,0),MATCH(T$5&amp;"",'Oxford Economics'!$A$6:$AZ$6,0))),'Oxford Economics'!$A$7:$A$1000,$C119,'Oxford Economics'!$B$7:$B$1000,Settings!$B$13)-SUMIFS(INDEX('Oxford Economics'!$A$7:$AZ$1000,0,IFERROR(MATCH(T$5,'Oxford Economics'!$A$6:$AZ$6,0),MATCH(T$5&amp;"",'Oxford Economics'!$A$6:$AZ$6,0))),'Oxford Economics'!$A$7:$A$1000,$C119,'Oxford Economics'!$B$7:$B$1000,Settings!$B$15),SUMIFS(INDEX('Oxford Economics'!$A$7:$AZ$1000,0,IFERROR(MATCH(T$5,'Oxford Economics'!$A$6:$AZ$6,0),MATCH(T$5&amp;"",'Oxford Economics'!$A$6:$AZ$6,0))),'Oxford Economics'!$A$7:$A$1000,$C119,'Oxford Economics'!$B$7:$B$1000,Settings!$B$15)+SUMIFS(INDEX('Oxford Economics'!$A$7:$AZ$1000,0,IFERROR(MATCH(T$5,'Oxford Economics'!$A$6:$AZ$6,0),MATCH(T$5&amp;"",'Oxford Economics'!$A$6:$AZ$6,0))),'Oxford Economics'!$A$7:$A$1000,$C119,'Oxford Economics'!$B$7:$B$1000,Settings!$B$17)+IF(Settings!$B$19="",0,SUMIFS(INDEX('Oxford Economics'!$A$7:$AZ$1000,0,IFERROR(MATCH(T$5,'Oxford Economics'!$A$6:$AZ$6,0),MATCH(T$5&amp;"",'Oxford Economics'!$A$6:$AZ$6,0))),'Oxford Economics'!$A$7:$A$1000,$C119,'Oxford Economics'!$B$7:$B$1000,Settings!$B$19)))),""))</f>
        <v/>
      </c>
      <c r="U119" s="38" t="str">
        <f aca="false">IF($A119="","",IFERROR(1/(1/IF($B119="Residential",SUMIFS(INDEX('Oxford Economics'!$A$7:$AZ$1000,0,IFERROR(MATCH(U$5,'Oxford Economics'!$A$6:$AZ$6,0),MATCH(U$5&amp;"",'Oxford Economics'!$A$6:$AZ$6,0))),'Oxford Economics'!$A$7:$A$1000,$C119,'Oxford Economics'!$B$7:$B$1000,Settings!$B$13)-SUMIFS(INDEX('Oxford Economics'!$A$7:$AZ$1000,0,IFERROR(MATCH(U$5,'Oxford Economics'!$A$6:$AZ$6,0),MATCH(U$5&amp;"",'Oxford Economics'!$A$6:$AZ$6,0))),'Oxford Economics'!$A$7:$A$1000,$C119,'Oxford Economics'!$B$7:$B$1000,Settings!$B$15),SUMIFS(INDEX('Oxford Economics'!$A$7:$AZ$1000,0,IFERROR(MATCH(U$5,'Oxford Economics'!$A$6:$AZ$6,0),MATCH(U$5&amp;"",'Oxford Economics'!$A$6:$AZ$6,0))),'Oxford Economics'!$A$7:$A$1000,$C119,'Oxford Economics'!$B$7:$B$1000,Settings!$B$15)+SUMIFS(INDEX('Oxford Economics'!$A$7:$AZ$1000,0,IFERROR(MATCH(U$5,'Oxford Economics'!$A$6:$AZ$6,0),MATCH(U$5&amp;"",'Oxford Economics'!$A$6:$AZ$6,0))),'Oxford Economics'!$A$7:$A$1000,$C119,'Oxford Economics'!$B$7:$B$1000,Settings!$B$17)+IF(Settings!$B$19="",0,SUMIFS(INDEX('Oxford Economics'!$A$7:$AZ$1000,0,IFERROR(MATCH(U$5,'Oxford Economics'!$A$6:$AZ$6,0),MATCH(U$5&amp;"",'Oxford Economics'!$A$6:$AZ$6,0))),'Oxford Economics'!$A$7:$A$1000,$C119,'Oxford Economics'!$B$7:$B$1000,Settings!$B$19)))),""))</f>
        <v/>
      </c>
      <c r="V119" s="38" t="str">
        <f aca="false">IF($A119="","",IFERROR(1/(1/IF($B119="Residential",SUMIFS(INDEX('Oxford Economics'!$A$7:$AZ$1000,0,IFERROR(MATCH(V$5,'Oxford Economics'!$A$6:$AZ$6,0),MATCH(V$5&amp;"",'Oxford Economics'!$A$6:$AZ$6,0))),'Oxford Economics'!$A$7:$A$1000,$C119,'Oxford Economics'!$B$7:$B$1000,Settings!$B$13)-SUMIFS(INDEX('Oxford Economics'!$A$7:$AZ$1000,0,IFERROR(MATCH(V$5,'Oxford Economics'!$A$6:$AZ$6,0),MATCH(V$5&amp;"",'Oxford Economics'!$A$6:$AZ$6,0))),'Oxford Economics'!$A$7:$A$1000,$C119,'Oxford Economics'!$B$7:$B$1000,Settings!$B$15),SUMIFS(INDEX('Oxford Economics'!$A$7:$AZ$1000,0,IFERROR(MATCH(V$5,'Oxford Economics'!$A$6:$AZ$6,0),MATCH(V$5&amp;"",'Oxford Economics'!$A$6:$AZ$6,0))),'Oxford Economics'!$A$7:$A$1000,$C119,'Oxford Economics'!$B$7:$B$1000,Settings!$B$15)+SUMIFS(INDEX('Oxford Economics'!$A$7:$AZ$1000,0,IFERROR(MATCH(V$5,'Oxford Economics'!$A$6:$AZ$6,0),MATCH(V$5&amp;"",'Oxford Economics'!$A$6:$AZ$6,0))),'Oxford Economics'!$A$7:$A$1000,$C119,'Oxford Economics'!$B$7:$B$1000,Settings!$B$17)+IF(Settings!$B$19="",0,SUMIFS(INDEX('Oxford Economics'!$A$7:$AZ$1000,0,IFERROR(MATCH(V$5,'Oxford Economics'!$A$6:$AZ$6,0),MATCH(V$5&amp;"",'Oxford Economics'!$A$6:$AZ$6,0))),'Oxford Economics'!$A$7:$A$1000,$C119,'Oxford Economics'!$B$7:$B$1000,Settings!$B$19)))),""))</f>
        <v/>
      </c>
      <c r="W119" s="38" t="str">
        <f aca="false">IF($A119="","",IFERROR(1/(1/IF($B119="Residential",SUMIFS(INDEX('Oxford Economics'!$A$7:$AZ$1000,0,IFERROR(MATCH(W$5,'Oxford Economics'!$A$6:$AZ$6,0),MATCH(W$5&amp;"",'Oxford Economics'!$A$6:$AZ$6,0))),'Oxford Economics'!$A$7:$A$1000,$C119,'Oxford Economics'!$B$7:$B$1000,Settings!$B$13)-SUMIFS(INDEX('Oxford Economics'!$A$7:$AZ$1000,0,IFERROR(MATCH(W$5,'Oxford Economics'!$A$6:$AZ$6,0),MATCH(W$5&amp;"",'Oxford Economics'!$A$6:$AZ$6,0))),'Oxford Economics'!$A$7:$A$1000,$C119,'Oxford Economics'!$B$7:$B$1000,Settings!$B$15),SUMIFS(INDEX('Oxford Economics'!$A$7:$AZ$1000,0,IFERROR(MATCH(W$5,'Oxford Economics'!$A$6:$AZ$6,0),MATCH(W$5&amp;"",'Oxford Economics'!$A$6:$AZ$6,0))),'Oxford Economics'!$A$7:$A$1000,$C119,'Oxford Economics'!$B$7:$B$1000,Settings!$B$15)+SUMIFS(INDEX('Oxford Economics'!$A$7:$AZ$1000,0,IFERROR(MATCH(W$5,'Oxford Economics'!$A$6:$AZ$6,0),MATCH(W$5&amp;"",'Oxford Economics'!$A$6:$AZ$6,0))),'Oxford Economics'!$A$7:$A$1000,$C119,'Oxford Economics'!$B$7:$B$1000,Settings!$B$17)+IF(Settings!$B$19="",0,SUMIFS(INDEX('Oxford Economics'!$A$7:$AZ$1000,0,IFERROR(MATCH(W$5,'Oxford Economics'!$A$6:$AZ$6,0),MATCH(W$5&amp;"",'Oxford Economics'!$A$6:$AZ$6,0))),'Oxford Economics'!$A$7:$A$1000,$C119,'Oxford Economics'!$B$7:$B$1000,Settings!$B$19)))),""))</f>
        <v/>
      </c>
      <c r="X119" s="38" t="str">
        <f aca="false">IF($A119="","",IFERROR(1/(1/IF($B119="Residential",SUMIFS(INDEX('Oxford Economics'!$A$7:$AZ$1000,0,IFERROR(MATCH(X$5,'Oxford Economics'!$A$6:$AZ$6,0),MATCH(X$5&amp;"",'Oxford Economics'!$A$6:$AZ$6,0))),'Oxford Economics'!$A$7:$A$1000,$C119,'Oxford Economics'!$B$7:$B$1000,Settings!$B$13)-SUMIFS(INDEX('Oxford Economics'!$A$7:$AZ$1000,0,IFERROR(MATCH(X$5,'Oxford Economics'!$A$6:$AZ$6,0),MATCH(X$5&amp;"",'Oxford Economics'!$A$6:$AZ$6,0))),'Oxford Economics'!$A$7:$A$1000,$C119,'Oxford Economics'!$B$7:$B$1000,Settings!$B$15),SUMIFS(INDEX('Oxford Economics'!$A$7:$AZ$1000,0,IFERROR(MATCH(X$5,'Oxford Economics'!$A$6:$AZ$6,0),MATCH(X$5&amp;"",'Oxford Economics'!$A$6:$AZ$6,0))),'Oxford Economics'!$A$7:$A$1000,$C119,'Oxford Economics'!$B$7:$B$1000,Settings!$B$15)+SUMIFS(INDEX('Oxford Economics'!$A$7:$AZ$1000,0,IFERROR(MATCH(X$5,'Oxford Economics'!$A$6:$AZ$6,0),MATCH(X$5&amp;"",'Oxford Economics'!$A$6:$AZ$6,0))),'Oxford Economics'!$A$7:$A$1000,$C119,'Oxford Economics'!$B$7:$B$1000,Settings!$B$17)+IF(Settings!$B$19="",0,SUMIFS(INDEX('Oxford Economics'!$A$7:$AZ$1000,0,IFERROR(MATCH(X$5,'Oxford Economics'!$A$6:$AZ$6,0),MATCH(X$5&amp;"",'Oxford Economics'!$A$6:$AZ$6,0))),'Oxford Economics'!$A$7:$A$1000,$C119,'Oxford Economics'!$B$7:$B$1000,Settings!$B$19)))),""))</f>
        <v/>
      </c>
      <c r="Y119" s="38" t="str">
        <f aca="false">IF($A119="","",IFERROR(1/(1/IF($B119="Residential",SUMIFS(INDEX('Oxford Economics'!$A$7:$AZ$1000,0,IFERROR(MATCH(Y$5,'Oxford Economics'!$A$6:$AZ$6,0),MATCH(Y$5&amp;"",'Oxford Economics'!$A$6:$AZ$6,0))),'Oxford Economics'!$A$7:$A$1000,$C119,'Oxford Economics'!$B$7:$B$1000,Settings!$B$13)-SUMIFS(INDEX('Oxford Economics'!$A$7:$AZ$1000,0,IFERROR(MATCH(Y$5,'Oxford Economics'!$A$6:$AZ$6,0),MATCH(Y$5&amp;"",'Oxford Economics'!$A$6:$AZ$6,0))),'Oxford Economics'!$A$7:$A$1000,$C119,'Oxford Economics'!$B$7:$B$1000,Settings!$B$15),SUMIFS(INDEX('Oxford Economics'!$A$7:$AZ$1000,0,IFERROR(MATCH(Y$5,'Oxford Economics'!$A$6:$AZ$6,0),MATCH(Y$5&amp;"",'Oxford Economics'!$A$6:$AZ$6,0))),'Oxford Economics'!$A$7:$A$1000,$C119,'Oxford Economics'!$B$7:$B$1000,Settings!$B$15)+SUMIFS(INDEX('Oxford Economics'!$A$7:$AZ$1000,0,IFERROR(MATCH(Y$5,'Oxford Economics'!$A$6:$AZ$6,0),MATCH(Y$5&amp;"",'Oxford Economics'!$A$6:$AZ$6,0))),'Oxford Economics'!$A$7:$A$1000,$C119,'Oxford Economics'!$B$7:$B$1000,Settings!$B$17)+IF(Settings!$B$19="",0,SUMIFS(INDEX('Oxford Economics'!$A$7:$AZ$1000,0,IFERROR(MATCH(Y$5,'Oxford Economics'!$A$6:$AZ$6,0),MATCH(Y$5&amp;"",'Oxford Economics'!$A$6:$AZ$6,0))),'Oxford Economics'!$A$7:$A$1000,$C119,'Oxford Economics'!$B$7:$B$1000,Settings!$B$19)))),""))</f>
        <v/>
      </c>
      <c r="Z119" s="38" t="str">
        <f aca="false">IF($A119="","",IFERROR(1/(1/IF($B119="Residential",SUMIFS(INDEX('Oxford Economics'!$A$7:$AZ$1000,0,IFERROR(MATCH(Z$5,'Oxford Economics'!$A$6:$AZ$6,0),MATCH(Z$5&amp;"",'Oxford Economics'!$A$6:$AZ$6,0))),'Oxford Economics'!$A$7:$A$1000,$C119,'Oxford Economics'!$B$7:$B$1000,Settings!$B$13)-SUMIFS(INDEX('Oxford Economics'!$A$7:$AZ$1000,0,IFERROR(MATCH(Z$5,'Oxford Economics'!$A$6:$AZ$6,0),MATCH(Z$5&amp;"",'Oxford Economics'!$A$6:$AZ$6,0))),'Oxford Economics'!$A$7:$A$1000,$C119,'Oxford Economics'!$B$7:$B$1000,Settings!$B$15),SUMIFS(INDEX('Oxford Economics'!$A$7:$AZ$1000,0,IFERROR(MATCH(Z$5,'Oxford Economics'!$A$6:$AZ$6,0),MATCH(Z$5&amp;"",'Oxford Economics'!$A$6:$AZ$6,0))),'Oxford Economics'!$A$7:$A$1000,$C119,'Oxford Economics'!$B$7:$B$1000,Settings!$B$15)+SUMIFS(INDEX('Oxford Economics'!$A$7:$AZ$1000,0,IFERROR(MATCH(Z$5,'Oxford Economics'!$A$6:$AZ$6,0),MATCH(Z$5&amp;"",'Oxford Economics'!$A$6:$AZ$6,0))),'Oxford Economics'!$A$7:$A$1000,$C119,'Oxford Economics'!$B$7:$B$1000,Settings!$B$17)+IF(Settings!$B$19="",0,SUMIFS(INDEX('Oxford Economics'!$A$7:$AZ$1000,0,IFERROR(MATCH(Z$5,'Oxford Economics'!$A$6:$AZ$6,0),MATCH(Z$5&amp;"",'Oxford Economics'!$A$6:$AZ$6,0))),'Oxford Economics'!$A$7:$A$1000,$C119,'Oxford Economics'!$B$7:$B$1000,Settings!$B$19)))),""))</f>
        <v/>
      </c>
      <c r="AA119" s="38" t="str">
        <f aca="false">IF($A119="","",IFERROR(1/(1/IF($B119="Residential",SUMIFS(INDEX('Oxford Economics'!$A$7:$AZ$1000,0,IFERROR(MATCH(AA$5,'Oxford Economics'!$A$6:$AZ$6,0),MATCH(AA$5&amp;"",'Oxford Economics'!$A$6:$AZ$6,0))),'Oxford Economics'!$A$7:$A$1000,$C119,'Oxford Economics'!$B$7:$B$1000,Settings!$B$13)-SUMIFS(INDEX('Oxford Economics'!$A$7:$AZ$1000,0,IFERROR(MATCH(AA$5,'Oxford Economics'!$A$6:$AZ$6,0),MATCH(AA$5&amp;"",'Oxford Economics'!$A$6:$AZ$6,0))),'Oxford Economics'!$A$7:$A$1000,$C119,'Oxford Economics'!$B$7:$B$1000,Settings!$B$15),SUMIFS(INDEX('Oxford Economics'!$A$7:$AZ$1000,0,IFERROR(MATCH(AA$5,'Oxford Economics'!$A$6:$AZ$6,0),MATCH(AA$5&amp;"",'Oxford Economics'!$A$6:$AZ$6,0))),'Oxford Economics'!$A$7:$A$1000,$C119,'Oxford Economics'!$B$7:$B$1000,Settings!$B$15)+SUMIFS(INDEX('Oxford Economics'!$A$7:$AZ$1000,0,IFERROR(MATCH(AA$5,'Oxford Economics'!$A$6:$AZ$6,0),MATCH(AA$5&amp;"",'Oxford Economics'!$A$6:$AZ$6,0))),'Oxford Economics'!$A$7:$A$1000,$C119,'Oxford Economics'!$B$7:$B$1000,Settings!$B$17)+IF(Settings!$B$19="",0,SUMIFS(INDEX('Oxford Economics'!$A$7:$AZ$1000,0,IFERROR(MATCH(AA$5,'Oxford Economics'!$A$6:$AZ$6,0),MATCH(AA$5&amp;"",'Oxford Economics'!$A$6:$AZ$6,0))),'Oxford Economics'!$A$7:$A$1000,$C119,'Oxford Economics'!$B$7:$B$1000,Settings!$B$19)))),""))</f>
        <v/>
      </c>
      <c r="AB119" s="38" t="str">
        <f aca="false">IF($A119="","",IFERROR(1/(1/IF($B119="Residential",SUMIFS(INDEX('Oxford Economics'!$A$7:$AZ$1000,0,IFERROR(MATCH(AB$5,'Oxford Economics'!$A$6:$AZ$6,0),MATCH(AB$5&amp;"",'Oxford Economics'!$A$6:$AZ$6,0))),'Oxford Economics'!$A$7:$A$1000,$C119,'Oxford Economics'!$B$7:$B$1000,Settings!$B$12)-SUMIFS(INDEX('Oxford Economics'!$A$7:$AZ$1000,0,IFERROR(MATCH(AB$5,'Oxford Economics'!$A$6:$AZ$6,0),MATCH(AB$5&amp;"",'Oxford Economics'!$A$6:$AZ$6,0))),'Oxford Economics'!$A$7:$A$1000,$C119,'Oxford Economics'!$B$7:$B$1000,Settings!$B$14),SUMIFS(INDEX('Oxford Economics'!$A$7:$AZ$1000,0,IFERROR(MATCH(AB$5,'Oxford Economics'!$A$6:$AZ$6,0),MATCH(AB$5&amp;"",'Oxford Economics'!$A$6:$AZ$6,0))),'Oxford Economics'!$A$7:$A$1000,$C119,'Oxford Economics'!$B$7:$B$1000,Settings!$B$14)+SUMIFS(INDEX('Oxford Economics'!$A$7:$AZ$1000,0,IFERROR(MATCH(AB$5,'Oxford Economics'!$A$6:$AZ$6,0),MATCH(AB$5&amp;"",'Oxford Economics'!$A$6:$AZ$6,0))),'Oxford Economics'!$A$7:$A$1000,$C119,'Oxford Economics'!$B$7:$B$1000,Settings!$B$16)+IF(Settings!$B$18="",0,SUMIFS(INDEX('Oxford Economics'!$A$7:$AZ$1000,0,IFERROR(MATCH(AB$5,'Oxford Economics'!$A$6:$AZ$6,0),MATCH(AB$5&amp;"",'Oxford Economics'!$A$6:$AZ$6,0))),'Oxford Economics'!$A$7:$A$1000,$C119,'Oxford Economics'!$B$7:$B$1000,Settings!$B$18)))),""))</f>
        <v/>
      </c>
      <c r="AC119" s="38" t="str">
        <f aca="false">IF($A119="","",IFERROR(1/(1/IF($B119="Residential",SUMIFS(INDEX('Oxford Economics'!$A$7:$AZ$1000,0,IFERROR(MATCH(AC$5,'Oxford Economics'!$A$6:$AZ$6,0),MATCH(AC$5&amp;"",'Oxford Economics'!$A$6:$AZ$6,0))),'Oxford Economics'!$A$7:$A$1000,$C119,'Oxford Economics'!$B$7:$B$1000,Settings!$B$12)-SUMIFS(INDEX('Oxford Economics'!$A$7:$AZ$1000,0,IFERROR(MATCH(AC$5,'Oxford Economics'!$A$6:$AZ$6,0),MATCH(AC$5&amp;"",'Oxford Economics'!$A$6:$AZ$6,0))),'Oxford Economics'!$A$7:$A$1000,$C119,'Oxford Economics'!$B$7:$B$1000,Settings!$B$14),SUMIFS(INDEX('Oxford Economics'!$A$7:$AZ$1000,0,IFERROR(MATCH(AC$5,'Oxford Economics'!$A$6:$AZ$6,0),MATCH(AC$5&amp;"",'Oxford Economics'!$A$6:$AZ$6,0))),'Oxford Economics'!$A$7:$A$1000,$C119,'Oxford Economics'!$B$7:$B$1000,Settings!$B$14)+SUMIFS(INDEX('Oxford Economics'!$A$7:$AZ$1000,0,IFERROR(MATCH(AC$5,'Oxford Economics'!$A$6:$AZ$6,0),MATCH(AC$5&amp;"",'Oxford Economics'!$A$6:$AZ$6,0))),'Oxford Economics'!$A$7:$A$1000,$C119,'Oxford Economics'!$B$7:$B$1000,Settings!$B$16)+IF(Settings!$B$18="",0,SUMIFS(INDEX('Oxford Economics'!$A$7:$AZ$1000,0,IFERROR(MATCH(AC$5,'Oxford Economics'!$A$6:$AZ$6,0),MATCH(AC$5&amp;"",'Oxford Economics'!$A$6:$AZ$6,0))),'Oxford Economics'!$A$7:$A$1000,$C119,'Oxford Economics'!$B$7:$B$1000,Settings!$B$18)))),""))</f>
        <v/>
      </c>
      <c r="AD119" s="38" t="str">
        <f aca="false">IF($A119="","",IFERROR(1/(1/IF($B119="Residential",SUMIFS(INDEX('Oxford Economics'!$A$7:$AZ$1000,0,IFERROR(MATCH(AD$5,'Oxford Economics'!$A$6:$AZ$6,0),MATCH(AD$5&amp;"",'Oxford Economics'!$A$6:$AZ$6,0))),'Oxford Economics'!$A$7:$A$1000,$C119,'Oxford Economics'!$B$7:$B$1000,Settings!$B$12)-SUMIFS(INDEX('Oxford Economics'!$A$7:$AZ$1000,0,IFERROR(MATCH(AD$5,'Oxford Economics'!$A$6:$AZ$6,0),MATCH(AD$5&amp;"",'Oxford Economics'!$A$6:$AZ$6,0))),'Oxford Economics'!$A$7:$A$1000,$C119,'Oxford Economics'!$B$7:$B$1000,Settings!$B$14),SUMIFS(INDEX('Oxford Economics'!$A$7:$AZ$1000,0,IFERROR(MATCH(AD$5,'Oxford Economics'!$A$6:$AZ$6,0),MATCH(AD$5&amp;"",'Oxford Economics'!$A$6:$AZ$6,0))),'Oxford Economics'!$A$7:$A$1000,$C119,'Oxford Economics'!$B$7:$B$1000,Settings!$B$14)+SUMIFS(INDEX('Oxford Economics'!$A$7:$AZ$1000,0,IFERROR(MATCH(AD$5,'Oxford Economics'!$A$6:$AZ$6,0),MATCH(AD$5&amp;"",'Oxford Economics'!$A$6:$AZ$6,0))),'Oxford Economics'!$A$7:$A$1000,$C119,'Oxford Economics'!$B$7:$B$1000,Settings!$B$16)+IF(Settings!$B$18="",0,SUMIFS(INDEX('Oxford Economics'!$A$7:$AZ$1000,0,IFERROR(MATCH(AD$5,'Oxford Economics'!$A$6:$AZ$6,0),MATCH(AD$5&amp;"",'Oxford Economics'!$A$6:$AZ$6,0))),'Oxford Economics'!$A$7:$A$1000,$C119,'Oxford Economics'!$B$7:$B$1000,Settings!$B$18)))),""))</f>
        <v/>
      </c>
      <c r="AE119" s="38" t="str">
        <f aca="false">IF($A119="","",IFERROR(1/(1/IF($B119="Residential",SUMIFS(INDEX('Oxford Economics'!$A$7:$AZ$1000,0,IFERROR(MATCH(AE$5,'Oxford Economics'!$A$6:$AZ$6,0),MATCH(AE$5&amp;"",'Oxford Economics'!$A$6:$AZ$6,0))),'Oxford Economics'!$A$7:$A$1000,$C119,'Oxford Economics'!$B$7:$B$1000,Settings!$B$12)-SUMIFS(INDEX('Oxford Economics'!$A$7:$AZ$1000,0,IFERROR(MATCH(AE$5,'Oxford Economics'!$A$6:$AZ$6,0),MATCH(AE$5&amp;"",'Oxford Economics'!$A$6:$AZ$6,0))),'Oxford Economics'!$A$7:$A$1000,$C119,'Oxford Economics'!$B$7:$B$1000,Settings!$B$14),SUMIFS(INDEX('Oxford Economics'!$A$7:$AZ$1000,0,IFERROR(MATCH(AE$5,'Oxford Economics'!$A$6:$AZ$6,0),MATCH(AE$5&amp;"",'Oxford Economics'!$A$6:$AZ$6,0))),'Oxford Economics'!$A$7:$A$1000,$C119,'Oxford Economics'!$B$7:$B$1000,Settings!$B$14)+SUMIFS(INDEX('Oxford Economics'!$A$7:$AZ$1000,0,IFERROR(MATCH(AE$5,'Oxford Economics'!$A$6:$AZ$6,0),MATCH(AE$5&amp;"",'Oxford Economics'!$A$6:$AZ$6,0))),'Oxford Economics'!$A$7:$A$1000,$C119,'Oxford Economics'!$B$7:$B$1000,Settings!$B$16)+IF(Settings!$B$18="",0,SUMIFS(INDEX('Oxford Economics'!$A$7:$AZ$1000,0,IFERROR(MATCH(AE$5,'Oxford Economics'!$A$6:$AZ$6,0),MATCH(AE$5&amp;"",'Oxford Economics'!$A$6:$AZ$6,0))),'Oxford Economics'!$A$7:$A$1000,$C119,'Oxford Economics'!$B$7:$B$1000,Settings!$B$18)))),""))</f>
        <v/>
      </c>
      <c r="AF119" s="38" t="str">
        <f aca="false">IF($A119="","",IFERROR(1/(1/IF($B119="Residential",SUMIFS(INDEX('Oxford Economics'!$A$7:$AZ$1000,0,IFERROR(MATCH(AF$5,'Oxford Economics'!$A$6:$AZ$6,0),MATCH(AF$5&amp;"",'Oxford Economics'!$A$6:$AZ$6,0))),'Oxford Economics'!$A$7:$A$1000,$C119,'Oxford Economics'!$B$7:$B$1000,Settings!$B$12)-SUMIFS(INDEX('Oxford Economics'!$A$7:$AZ$1000,0,IFERROR(MATCH(AF$5,'Oxford Economics'!$A$6:$AZ$6,0),MATCH(AF$5&amp;"",'Oxford Economics'!$A$6:$AZ$6,0))),'Oxford Economics'!$A$7:$A$1000,$C119,'Oxford Economics'!$B$7:$B$1000,Settings!$B$14),SUMIFS(INDEX('Oxford Economics'!$A$7:$AZ$1000,0,IFERROR(MATCH(AF$5,'Oxford Economics'!$A$6:$AZ$6,0),MATCH(AF$5&amp;"",'Oxford Economics'!$A$6:$AZ$6,0))),'Oxford Economics'!$A$7:$A$1000,$C119,'Oxford Economics'!$B$7:$B$1000,Settings!$B$14)+SUMIFS(INDEX('Oxford Economics'!$A$7:$AZ$1000,0,IFERROR(MATCH(AF$5,'Oxford Economics'!$A$6:$AZ$6,0),MATCH(AF$5&amp;"",'Oxford Economics'!$A$6:$AZ$6,0))),'Oxford Economics'!$A$7:$A$1000,$C119,'Oxford Economics'!$B$7:$B$1000,Settings!$B$16)+IF(Settings!$B$18="",0,SUMIFS(INDEX('Oxford Economics'!$A$7:$AZ$1000,0,IFERROR(MATCH(AF$5,'Oxford Economics'!$A$6:$AZ$6,0),MATCH(AF$5&amp;"",'Oxford Economics'!$A$6:$AZ$6,0))),'Oxford Economics'!$A$7:$A$1000,$C119,'Oxford Economics'!$B$7:$B$1000,Settings!$B$18)))),""))</f>
        <v/>
      </c>
      <c r="AG119" s="38" t="str">
        <f aca="false">IF($A119="","",IFERROR(1/(1/IF($B119="Residential",SUMIFS(INDEX('Oxford Economics'!$A$7:$AZ$1000,0,IFERROR(MATCH(AG$5,'Oxford Economics'!$A$6:$AZ$6,0),MATCH(AG$5&amp;"",'Oxford Economics'!$A$6:$AZ$6,0))),'Oxford Economics'!$A$7:$A$1000,$C119,'Oxford Economics'!$B$7:$B$1000,Settings!$B$12)-SUMIFS(INDEX('Oxford Economics'!$A$7:$AZ$1000,0,IFERROR(MATCH(AG$5,'Oxford Economics'!$A$6:$AZ$6,0),MATCH(AG$5&amp;"",'Oxford Economics'!$A$6:$AZ$6,0))),'Oxford Economics'!$A$7:$A$1000,$C119,'Oxford Economics'!$B$7:$B$1000,Settings!$B$14),SUMIFS(INDEX('Oxford Economics'!$A$7:$AZ$1000,0,IFERROR(MATCH(AG$5,'Oxford Economics'!$A$6:$AZ$6,0),MATCH(AG$5&amp;"",'Oxford Economics'!$A$6:$AZ$6,0))),'Oxford Economics'!$A$7:$A$1000,$C119,'Oxford Economics'!$B$7:$B$1000,Settings!$B$14)+SUMIFS(INDEX('Oxford Economics'!$A$7:$AZ$1000,0,IFERROR(MATCH(AG$5,'Oxford Economics'!$A$6:$AZ$6,0),MATCH(AG$5&amp;"",'Oxford Economics'!$A$6:$AZ$6,0))),'Oxford Economics'!$A$7:$A$1000,$C119,'Oxford Economics'!$B$7:$B$1000,Settings!$B$16)+IF(Settings!$B$18="",0,SUMIFS(INDEX('Oxford Economics'!$A$7:$AZ$1000,0,IFERROR(MATCH(AG$5,'Oxford Economics'!$A$6:$AZ$6,0),MATCH(AG$5&amp;"",'Oxford Economics'!$A$6:$AZ$6,0))),'Oxford Economics'!$A$7:$A$1000,$C119,'Oxford Economics'!$B$7:$B$1000,Settings!$B$18)))),""))</f>
        <v/>
      </c>
      <c r="AH119" s="38" t="str">
        <f aca="false">IF($A119="","",IFERROR(1/(1/IF($B119="Residential",SUMIFS(INDEX('Oxford Economics'!$A$7:$AZ$1000,0,IFERROR(MATCH(AH$5,'Oxford Economics'!$A$6:$AZ$6,0),MATCH(AH$5&amp;"",'Oxford Economics'!$A$6:$AZ$6,0))),'Oxford Economics'!$A$7:$A$1000,$C119,'Oxford Economics'!$B$7:$B$1000,Settings!$B$12)-SUMIFS(INDEX('Oxford Economics'!$A$7:$AZ$1000,0,IFERROR(MATCH(AH$5,'Oxford Economics'!$A$6:$AZ$6,0),MATCH(AH$5&amp;"",'Oxford Economics'!$A$6:$AZ$6,0))),'Oxford Economics'!$A$7:$A$1000,$C119,'Oxford Economics'!$B$7:$B$1000,Settings!$B$14),SUMIFS(INDEX('Oxford Economics'!$A$7:$AZ$1000,0,IFERROR(MATCH(AH$5,'Oxford Economics'!$A$6:$AZ$6,0),MATCH(AH$5&amp;"",'Oxford Economics'!$A$6:$AZ$6,0))),'Oxford Economics'!$A$7:$A$1000,$C119,'Oxford Economics'!$B$7:$B$1000,Settings!$B$14)+SUMIFS(INDEX('Oxford Economics'!$A$7:$AZ$1000,0,IFERROR(MATCH(AH$5,'Oxford Economics'!$A$6:$AZ$6,0),MATCH(AH$5&amp;"",'Oxford Economics'!$A$6:$AZ$6,0))),'Oxford Economics'!$A$7:$A$1000,$C119,'Oxford Economics'!$B$7:$B$1000,Settings!$B$16)+IF(Settings!$B$18="",0,SUMIFS(INDEX('Oxford Economics'!$A$7:$AZ$1000,0,IFERROR(MATCH(AH$5,'Oxford Economics'!$A$6:$AZ$6,0),MATCH(AH$5&amp;"",'Oxford Economics'!$A$6:$AZ$6,0))),'Oxford Economics'!$A$7:$A$1000,$C119,'Oxford Economics'!$B$7:$B$1000,Settings!$B$18)))),""))</f>
        <v/>
      </c>
      <c r="AI119" s="38" t="str">
        <f aca="false">IF($A119="","",IFERROR(1/(1/IF($B119="Residential",SUMIFS(INDEX('Oxford Economics'!$A$7:$AZ$1000,0,IFERROR(MATCH(AI$5,'Oxford Economics'!$A$6:$AZ$6,0),MATCH(AI$5&amp;"",'Oxford Economics'!$A$6:$AZ$6,0))),'Oxford Economics'!$A$7:$A$1000,$C119,'Oxford Economics'!$B$7:$B$1000,Settings!$B$12)-SUMIFS(INDEX('Oxford Economics'!$A$7:$AZ$1000,0,IFERROR(MATCH(AI$5,'Oxford Economics'!$A$6:$AZ$6,0),MATCH(AI$5&amp;"",'Oxford Economics'!$A$6:$AZ$6,0))),'Oxford Economics'!$A$7:$A$1000,$C119,'Oxford Economics'!$B$7:$B$1000,Settings!$B$14),SUMIFS(INDEX('Oxford Economics'!$A$7:$AZ$1000,0,IFERROR(MATCH(AI$5,'Oxford Economics'!$A$6:$AZ$6,0),MATCH(AI$5&amp;"",'Oxford Economics'!$A$6:$AZ$6,0))),'Oxford Economics'!$A$7:$A$1000,$C119,'Oxford Economics'!$B$7:$B$1000,Settings!$B$14)+SUMIFS(INDEX('Oxford Economics'!$A$7:$AZ$1000,0,IFERROR(MATCH(AI$5,'Oxford Economics'!$A$6:$AZ$6,0),MATCH(AI$5&amp;"",'Oxford Economics'!$A$6:$AZ$6,0))),'Oxford Economics'!$A$7:$A$1000,$C119,'Oxford Economics'!$B$7:$B$1000,Settings!$B$16)+IF(Settings!$B$18="",0,SUMIFS(INDEX('Oxford Economics'!$A$7:$AZ$1000,0,IFERROR(MATCH(AI$5,'Oxford Economics'!$A$6:$AZ$6,0),MATCH(AI$5&amp;"",'Oxford Economics'!$A$6:$AZ$6,0))),'Oxford Economics'!$A$7:$A$1000,$C119,'Oxford Economics'!$B$7:$B$1000,Settings!$B$18)))),""))</f>
        <v/>
      </c>
      <c r="AJ119" s="38" t="str">
        <f aca="false">IF($A119="","",IFERROR(1/(1/IF($B119="Residential",SUMIFS(INDEX('Oxford Economics'!$A$7:$AZ$1000,0,IFERROR(MATCH(AJ$5,'Oxford Economics'!$A$6:$AZ$6,0),MATCH(AJ$5&amp;"",'Oxford Economics'!$A$6:$AZ$6,0))),'Oxford Economics'!$A$7:$A$1000,$C119,'Oxford Economics'!$B$7:$B$1000,Settings!$B$12)-SUMIFS(INDEX('Oxford Economics'!$A$7:$AZ$1000,0,IFERROR(MATCH(AJ$5,'Oxford Economics'!$A$6:$AZ$6,0),MATCH(AJ$5&amp;"",'Oxford Economics'!$A$6:$AZ$6,0))),'Oxford Economics'!$A$7:$A$1000,$C119,'Oxford Economics'!$B$7:$B$1000,Settings!$B$14),SUMIFS(INDEX('Oxford Economics'!$A$7:$AZ$1000,0,IFERROR(MATCH(AJ$5,'Oxford Economics'!$A$6:$AZ$6,0),MATCH(AJ$5&amp;"",'Oxford Economics'!$A$6:$AZ$6,0))),'Oxford Economics'!$A$7:$A$1000,$C119,'Oxford Economics'!$B$7:$B$1000,Settings!$B$14)+SUMIFS(INDEX('Oxford Economics'!$A$7:$AZ$1000,0,IFERROR(MATCH(AJ$5,'Oxford Economics'!$A$6:$AZ$6,0),MATCH(AJ$5&amp;"",'Oxford Economics'!$A$6:$AZ$6,0))),'Oxford Economics'!$A$7:$A$1000,$C119,'Oxford Economics'!$B$7:$B$1000,Settings!$B$16)+IF(Settings!$B$18="",0,SUMIFS(INDEX('Oxford Economics'!$A$7:$AZ$1000,0,IFERROR(MATCH(AJ$5,'Oxford Economics'!$A$6:$AZ$6,0),MATCH(AJ$5&amp;"",'Oxford Economics'!$A$6:$AZ$6,0))),'Oxford Economics'!$A$7:$A$1000,$C119,'Oxford Economics'!$B$7:$B$1000,Settings!$B$18)))),""))</f>
        <v/>
      </c>
      <c r="AK119" s="38" t="str">
        <f aca="false">IF($A119="","",IFERROR(1/(1/IF($B119="Residential",SUMIFS(INDEX('Oxford Economics'!$A$7:$AZ$1000,0,IFERROR(MATCH(AK$5,'Oxford Economics'!$A$6:$AZ$6,0),MATCH(AK$5&amp;"",'Oxford Economics'!$A$6:$AZ$6,0))),'Oxford Economics'!$A$7:$A$1000,$C119,'Oxford Economics'!$B$7:$B$1000,Settings!$B$12)-SUMIFS(INDEX('Oxford Economics'!$A$7:$AZ$1000,0,IFERROR(MATCH(AK$5,'Oxford Economics'!$A$6:$AZ$6,0),MATCH(AK$5&amp;"",'Oxford Economics'!$A$6:$AZ$6,0))),'Oxford Economics'!$A$7:$A$1000,$C119,'Oxford Economics'!$B$7:$B$1000,Settings!$B$14),SUMIFS(INDEX('Oxford Economics'!$A$7:$AZ$1000,0,IFERROR(MATCH(AK$5,'Oxford Economics'!$A$6:$AZ$6,0),MATCH(AK$5&amp;"",'Oxford Economics'!$A$6:$AZ$6,0))),'Oxford Economics'!$A$7:$A$1000,$C119,'Oxford Economics'!$B$7:$B$1000,Settings!$B$14)+SUMIFS(INDEX('Oxford Economics'!$A$7:$AZ$1000,0,IFERROR(MATCH(AK$5,'Oxford Economics'!$A$6:$AZ$6,0),MATCH(AK$5&amp;"",'Oxford Economics'!$A$6:$AZ$6,0))),'Oxford Economics'!$A$7:$A$1000,$C119,'Oxford Economics'!$B$7:$B$1000,Settings!$B$16)+IF(Settings!$B$18="",0,SUMIFS(INDEX('Oxford Economics'!$A$7:$AZ$1000,0,IFERROR(MATCH(AK$5,'Oxford Economics'!$A$6:$AZ$6,0),MATCH(AK$5&amp;"",'Oxford Economics'!$A$6:$AZ$6,0))),'Oxford Economics'!$A$7:$A$1000,$C119,'Oxford Economics'!$B$7:$B$1000,Settings!$B$18)))),""))</f>
        <v/>
      </c>
      <c r="AL119" s="38" t="str">
        <f aca="false">IF($A119="","",IFERROR(1/(1/IF($B119="Residential",SUMIFS(INDEX('Oxford Economics'!$A$7:$AZ$1000,0,IFERROR(MATCH(AL$5,'Oxford Economics'!$A$6:$AZ$6,0),MATCH(AL$5&amp;"",'Oxford Economics'!$A$6:$AZ$6,0))),'Oxford Economics'!$A$7:$A$1000,$C119,'Oxford Economics'!$B$7:$B$1000,Settings!$B$12)-SUMIFS(INDEX('Oxford Economics'!$A$7:$AZ$1000,0,IFERROR(MATCH(AL$5,'Oxford Economics'!$A$6:$AZ$6,0),MATCH(AL$5&amp;"",'Oxford Economics'!$A$6:$AZ$6,0))),'Oxford Economics'!$A$7:$A$1000,$C119,'Oxford Economics'!$B$7:$B$1000,Settings!$B$14),SUMIFS(INDEX('Oxford Economics'!$A$7:$AZ$1000,0,IFERROR(MATCH(AL$5,'Oxford Economics'!$A$6:$AZ$6,0),MATCH(AL$5&amp;"",'Oxford Economics'!$A$6:$AZ$6,0))),'Oxford Economics'!$A$7:$A$1000,$C119,'Oxford Economics'!$B$7:$B$1000,Settings!$B$14)+SUMIFS(INDEX('Oxford Economics'!$A$7:$AZ$1000,0,IFERROR(MATCH(AL$5,'Oxford Economics'!$A$6:$AZ$6,0),MATCH(AL$5&amp;"",'Oxford Economics'!$A$6:$AZ$6,0))),'Oxford Economics'!$A$7:$A$1000,$C119,'Oxford Economics'!$B$7:$B$1000,Settings!$B$16)+IF(Settings!$B$18="",0,SUMIFS(INDEX('Oxford Economics'!$A$7:$AZ$1000,0,IFERROR(MATCH(AL$5,'Oxford Economics'!$A$6:$AZ$6,0),MATCH(AL$5&amp;"",'Oxford Economics'!$A$6:$AZ$6,0))),'Oxford Economics'!$A$7:$A$1000,$C119,'Oxford Economics'!$B$7:$B$1000,Settings!$B$18)))),""))</f>
        <v/>
      </c>
      <c r="AM119" s="38" t="str">
        <f aca="false">IF($A119="","",IFERROR(1/(1/IF($B119="Residential",SUMIFS(INDEX('Oxford Economics'!$A$7:$AZ$1000,0,IFERROR(MATCH(AM$5,'Oxford Economics'!$A$6:$AZ$6,0),MATCH(AM$5&amp;"",'Oxford Economics'!$A$6:$AZ$6,0))),'Oxford Economics'!$A$7:$A$1000,$C119,'Oxford Economics'!$B$7:$B$1000,Settings!$B$12)-SUMIFS(INDEX('Oxford Economics'!$A$7:$AZ$1000,0,IFERROR(MATCH(AM$5,'Oxford Economics'!$A$6:$AZ$6,0),MATCH(AM$5&amp;"",'Oxford Economics'!$A$6:$AZ$6,0))),'Oxford Economics'!$A$7:$A$1000,$C119,'Oxford Economics'!$B$7:$B$1000,Settings!$B$14),SUMIFS(INDEX('Oxford Economics'!$A$7:$AZ$1000,0,IFERROR(MATCH(AM$5,'Oxford Economics'!$A$6:$AZ$6,0),MATCH(AM$5&amp;"",'Oxford Economics'!$A$6:$AZ$6,0))),'Oxford Economics'!$A$7:$A$1000,$C119,'Oxford Economics'!$B$7:$B$1000,Settings!$B$14)+SUMIFS(INDEX('Oxford Economics'!$A$7:$AZ$1000,0,IFERROR(MATCH(AM$5,'Oxford Economics'!$A$6:$AZ$6,0),MATCH(AM$5&amp;"",'Oxford Economics'!$A$6:$AZ$6,0))),'Oxford Economics'!$A$7:$A$1000,$C119,'Oxford Economics'!$B$7:$B$1000,Settings!$B$16)+IF(Settings!$B$18="",0,SUMIFS(INDEX('Oxford Economics'!$A$7:$AZ$1000,0,IFERROR(MATCH(AM$5,'Oxford Economics'!$A$6:$AZ$6,0),MATCH(AM$5&amp;"",'Oxford Economics'!$A$6:$AZ$6,0))),'Oxford Economics'!$A$7:$A$1000,$C119,'Oxford Economics'!$B$7:$B$1000,Settings!$B$18)))),""))</f>
        <v/>
      </c>
    </row>
    <row r="120" customFormat="false" ht="15" hidden="false" customHeight="false" outlineLevel="0" collapsed="false">
      <c r="A120" s="37" t="str">
        <f aca="false">IF('Raw data'!$A120="","",'Raw data'!$A120)</f>
        <v/>
      </c>
      <c r="B120" s="37" t="str">
        <f aca="false">IF($A120="","",'Raw data'!$C120)</f>
        <v/>
      </c>
      <c r="C120" s="37" t="str">
        <f aca="false">IF($A120="","",IF('Raw data'!$E120="",$A120,'Raw data'!$E120))</f>
        <v/>
      </c>
      <c r="D120" s="38" t="str">
        <f aca="false">IF($A120="","",IF(AND(ISNUMBER(P120),ISNUMBER(AB120)),P120+AB120,""))</f>
        <v/>
      </c>
      <c r="E120" s="38" t="str">
        <f aca="false">IF($A120="","",IF(AND(ISNUMBER(Q120),ISNUMBER(AC120)),Q120+AC120,""))</f>
        <v/>
      </c>
      <c r="F120" s="38" t="str">
        <f aca="false">IF($A120="","",IF(AND(ISNUMBER(R120),ISNUMBER(AD120)),R120+AD120,""))</f>
        <v/>
      </c>
      <c r="G120" s="38" t="str">
        <f aca="false">IF($A120="","",IF(AND(ISNUMBER(S120),ISNUMBER(AE120)),S120+AE120,""))</f>
        <v/>
      </c>
      <c r="H120" s="38" t="str">
        <f aca="false">IF($A120="","",IF(AND(ISNUMBER(T120),ISNUMBER(AF120)),T120+AF120,""))</f>
        <v/>
      </c>
      <c r="I120" s="38" t="str">
        <f aca="false">IF($A120="","",IF(AND(ISNUMBER(U120),ISNUMBER(AG120)),U120+AG120,""))</f>
        <v/>
      </c>
      <c r="J120" s="38" t="str">
        <f aca="false">IF($A120="","",IF(AND(ISNUMBER(V120),ISNUMBER(AH120)),V120+AH120,""))</f>
        <v/>
      </c>
      <c r="K120" s="38" t="str">
        <f aca="false">IF($A120="","",IF(AND(ISNUMBER(W120),ISNUMBER(AI120)),W120+AI120,""))</f>
        <v/>
      </c>
      <c r="L120" s="38" t="str">
        <f aca="false">IF($A120="","",IF(AND(ISNUMBER(X120),ISNUMBER(AJ120)),X120+AJ120,""))</f>
        <v/>
      </c>
      <c r="M120" s="38" t="str">
        <f aca="false">IF($A120="","",IF(AND(ISNUMBER(Y120),ISNUMBER(AK120)),Y120+AK120,""))</f>
        <v/>
      </c>
      <c r="N120" s="38" t="str">
        <f aca="false">IF($A120="","",IF(AND(ISNUMBER(Z120),ISNUMBER(AL120)),Z120+AL120,""))</f>
        <v/>
      </c>
      <c r="O120" s="38" t="str">
        <f aca="false">IF($A120="","",IF(AND(ISNUMBER(AA120),ISNUMBER(AM120)),AA120+AM120,""))</f>
        <v/>
      </c>
      <c r="P120" s="38" t="str">
        <f aca="false">IF($A120="","",IFERROR(1/(1/IF($B120="Residential",SUMIFS(INDEX('Oxford Economics'!$A$7:$AZ$1000,0,IFERROR(MATCH(P$5,'Oxford Economics'!$A$6:$AZ$6,0),MATCH(P$5&amp;"",'Oxford Economics'!$A$6:$AZ$6,0))),'Oxford Economics'!$A$7:$A$1000,$C120,'Oxford Economics'!$B$7:$B$1000,Settings!$B$13)-SUMIFS(INDEX('Oxford Economics'!$A$7:$AZ$1000,0,IFERROR(MATCH(P$5,'Oxford Economics'!$A$6:$AZ$6,0),MATCH(P$5&amp;"",'Oxford Economics'!$A$6:$AZ$6,0))),'Oxford Economics'!$A$7:$A$1000,$C120,'Oxford Economics'!$B$7:$B$1000,Settings!$B$15),SUMIFS(INDEX('Oxford Economics'!$A$7:$AZ$1000,0,IFERROR(MATCH(P$5,'Oxford Economics'!$A$6:$AZ$6,0),MATCH(P$5&amp;"",'Oxford Economics'!$A$6:$AZ$6,0))),'Oxford Economics'!$A$7:$A$1000,$C120,'Oxford Economics'!$B$7:$B$1000,Settings!$B$15)+SUMIFS(INDEX('Oxford Economics'!$A$7:$AZ$1000,0,IFERROR(MATCH(P$5,'Oxford Economics'!$A$6:$AZ$6,0),MATCH(P$5&amp;"",'Oxford Economics'!$A$6:$AZ$6,0))),'Oxford Economics'!$A$7:$A$1000,$C120,'Oxford Economics'!$B$7:$B$1000,Settings!$B$17)+IF(Settings!$B$19="",0,SUMIFS(INDEX('Oxford Economics'!$A$7:$AZ$1000,0,IFERROR(MATCH(P$5,'Oxford Economics'!$A$6:$AZ$6,0),MATCH(P$5&amp;"",'Oxford Economics'!$A$6:$AZ$6,0))),'Oxford Economics'!$A$7:$A$1000,$C120,'Oxford Economics'!$B$7:$B$1000,Settings!$B$19)))),""))</f>
        <v/>
      </c>
      <c r="Q120" s="38" t="str">
        <f aca="false">IF($A120="","",IFERROR(1/(1/IF($B120="Residential",SUMIFS(INDEX('Oxford Economics'!$A$7:$AZ$1000,0,IFERROR(MATCH(Q$5,'Oxford Economics'!$A$6:$AZ$6,0),MATCH(Q$5&amp;"",'Oxford Economics'!$A$6:$AZ$6,0))),'Oxford Economics'!$A$7:$A$1000,$C120,'Oxford Economics'!$B$7:$B$1000,Settings!$B$13)-SUMIFS(INDEX('Oxford Economics'!$A$7:$AZ$1000,0,IFERROR(MATCH(Q$5,'Oxford Economics'!$A$6:$AZ$6,0),MATCH(Q$5&amp;"",'Oxford Economics'!$A$6:$AZ$6,0))),'Oxford Economics'!$A$7:$A$1000,$C120,'Oxford Economics'!$B$7:$B$1000,Settings!$B$15),SUMIFS(INDEX('Oxford Economics'!$A$7:$AZ$1000,0,IFERROR(MATCH(Q$5,'Oxford Economics'!$A$6:$AZ$6,0),MATCH(Q$5&amp;"",'Oxford Economics'!$A$6:$AZ$6,0))),'Oxford Economics'!$A$7:$A$1000,$C120,'Oxford Economics'!$B$7:$B$1000,Settings!$B$15)+SUMIFS(INDEX('Oxford Economics'!$A$7:$AZ$1000,0,IFERROR(MATCH(Q$5,'Oxford Economics'!$A$6:$AZ$6,0),MATCH(Q$5&amp;"",'Oxford Economics'!$A$6:$AZ$6,0))),'Oxford Economics'!$A$7:$A$1000,$C120,'Oxford Economics'!$B$7:$B$1000,Settings!$B$17)+IF(Settings!$B$19="",0,SUMIFS(INDEX('Oxford Economics'!$A$7:$AZ$1000,0,IFERROR(MATCH(Q$5,'Oxford Economics'!$A$6:$AZ$6,0),MATCH(Q$5&amp;"",'Oxford Economics'!$A$6:$AZ$6,0))),'Oxford Economics'!$A$7:$A$1000,$C120,'Oxford Economics'!$B$7:$B$1000,Settings!$B$19)))),""))</f>
        <v/>
      </c>
      <c r="R120" s="38" t="str">
        <f aca="false">IF($A120="","",IFERROR(1/(1/IF($B120="Residential",SUMIFS(INDEX('Oxford Economics'!$A$7:$AZ$1000,0,IFERROR(MATCH(R$5,'Oxford Economics'!$A$6:$AZ$6,0),MATCH(R$5&amp;"",'Oxford Economics'!$A$6:$AZ$6,0))),'Oxford Economics'!$A$7:$A$1000,$C120,'Oxford Economics'!$B$7:$B$1000,Settings!$B$13)-SUMIFS(INDEX('Oxford Economics'!$A$7:$AZ$1000,0,IFERROR(MATCH(R$5,'Oxford Economics'!$A$6:$AZ$6,0),MATCH(R$5&amp;"",'Oxford Economics'!$A$6:$AZ$6,0))),'Oxford Economics'!$A$7:$A$1000,$C120,'Oxford Economics'!$B$7:$B$1000,Settings!$B$15),SUMIFS(INDEX('Oxford Economics'!$A$7:$AZ$1000,0,IFERROR(MATCH(R$5,'Oxford Economics'!$A$6:$AZ$6,0),MATCH(R$5&amp;"",'Oxford Economics'!$A$6:$AZ$6,0))),'Oxford Economics'!$A$7:$A$1000,$C120,'Oxford Economics'!$B$7:$B$1000,Settings!$B$15)+SUMIFS(INDEX('Oxford Economics'!$A$7:$AZ$1000,0,IFERROR(MATCH(R$5,'Oxford Economics'!$A$6:$AZ$6,0),MATCH(R$5&amp;"",'Oxford Economics'!$A$6:$AZ$6,0))),'Oxford Economics'!$A$7:$A$1000,$C120,'Oxford Economics'!$B$7:$B$1000,Settings!$B$17)+IF(Settings!$B$19="",0,SUMIFS(INDEX('Oxford Economics'!$A$7:$AZ$1000,0,IFERROR(MATCH(R$5,'Oxford Economics'!$A$6:$AZ$6,0),MATCH(R$5&amp;"",'Oxford Economics'!$A$6:$AZ$6,0))),'Oxford Economics'!$A$7:$A$1000,$C120,'Oxford Economics'!$B$7:$B$1000,Settings!$B$19)))),""))</f>
        <v/>
      </c>
      <c r="S120" s="38" t="str">
        <f aca="false">IF($A120="","",IFERROR(1/(1/IF($B120="Residential",SUMIFS(INDEX('Oxford Economics'!$A$7:$AZ$1000,0,IFERROR(MATCH(S$5,'Oxford Economics'!$A$6:$AZ$6,0),MATCH(S$5&amp;"",'Oxford Economics'!$A$6:$AZ$6,0))),'Oxford Economics'!$A$7:$A$1000,$C120,'Oxford Economics'!$B$7:$B$1000,Settings!$B$13)-SUMIFS(INDEX('Oxford Economics'!$A$7:$AZ$1000,0,IFERROR(MATCH(S$5,'Oxford Economics'!$A$6:$AZ$6,0),MATCH(S$5&amp;"",'Oxford Economics'!$A$6:$AZ$6,0))),'Oxford Economics'!$A$7:$A$1000,$C120,'Oxford Economics'!$B$7:$B$1000,Settings!$B$15),SUMIFS(INDEX('Oxford Economics'!$A$7:$AZ$1000,0,IFERROR(MATCH(S$5,'Oxford Economics'!$A$6:$AZ$6,0),MATCH(S$5&amp;"",'Oxford Economics'!$A$6:$AZ$6,0))),'Oxford Economics'!$A$7:$A$1000,$C120,'Oxford Economics'!$B$7:$B$1000,Settings!$B$15)+SUMIFS(INDEX('Oxford Economics'!$A$7:$AZ$1000,0,IFERROR(MATCH(S$5,'Oxford Economics'!$A$6:$AZ$6,0),MATCH(S$5&amp;"",'Oxford Economics'!$A$6:$AZ$6,0))),'Oxford Economics'!$A$7:$A$1000,$C120,'Oxford Economics'!$B$7:$B$1000,Settings!$B$17)+IF(Settings!$B$19="",0,SUMIFS(INDEX('Oxford Economics'!$A$7:$AZ$1000,0,IFERROR(MATCH(S$5,'Oxford Economics'!$A$6:$AZ$6,0),MATCH(S$5&amp;"",'Oxford Economics'!$A$6:$AZ$6,0))),'Oxford Economics'!$A$7:$A$1000,$C120,'Oxford Economics'!$B$7:$B$1000,Settings!$B$19)))),""))</f>
        <v/>
      </c>
      <c r="T120" s="38" t="str">
        <f aca="false">IF($A120="","",IFERROR(1/(1/IF($B120="Residential",SUMIFS(INDEX('Oxford Economics'!$A$7:$AZ$1000,0,IFERROR(MATCH(T$5,'Oxford Economics'!$A$6:$AZ$6,0),MATCH(T$5&amp;"",'Oxford Economics'!$A$6:$AZ$6,0))),'Oxford Economics'!$A$7:$A$1000,$C120,'Oxford Economics'!$B$7:$B$1000,Settings!$B$13)-SUMIFS(INDEX('Oxford Economics'!$A$7:$AZ$1000,0,IFERROR(MATCH(T$5,'Oxford Economics'!$A$6:$AZ$6,0),MATCH(T$5&amp;"",'Oxford Economics'!$A$6:$AZ$6,0))),'Oxford Economics'!$A$7:$A$1000,$C120,'Oxford Economics'!$B$7:$B$1000,Settings!$B$15),SUMIFS(INDEX('Oxford Economics'!$A$7:$AZ$1000,0,IFERROR(MATCH(T$5,'Oxford Economics'!$A$6:$AZ$6,0),MATCH(T$5&amp;"",'Oxford Economics'!$A$6:$AZ$6,0))),'Oxford Economics'!$A$7:$A$1000,$C120,'Oxford Economics'!$B$7:$B$1000,Settings!$B$15)+SUMIFS(INDEX('Oxford Economics'!$A$7:$AZ$1000,0,IFERROR(MATCH(T$5,'Oxford Economics'!$A$6:$AZ$6,0),MATCH(T$5&amp;"",'Oxford Economics'!$A$6:$AZ$6,0))),'Oxford Economics'!$A$7:$A$1000,$C120,'Oxford Economics'!$B$7:$B$1000,Settings!$B$17)+IF(Settings!$B$19="",0,SUMIFS(INDEX('Oxford Economics'!$A$7:$AZ$1000,0,IFERROR(MATCH(T$5,'Oxford Economics'!$A$6:$AZ$6,0),MATCH(T$5&amp;"",'Oxford Economics'!$A$6:$AZ$6,0))),'Oxford Economics'!$A$7:$A$1000,$C120,'Oxford Economics'!$B$7:$B$1000,Settings!$B$19)))),""))</f>
        <v/>
      </c>
      <c r="U120" s="38" t="str">
        <f aca="false">IF($A120="","",IFERROR(1/(1/IF($B120="Residential",SUMIFS(INDEX('Oxford Economics'!$A$7:$AZ$1000,0,IFERROR(MATCH(U$5,'Oxford Economics'!$A$6:$AZ$6,0),MATCH(U$5&amp;"",'Oxford Economics'!$A$6:$AZ$6,0))),'Oxford Economics'!$A$7:$A$1000,$C120,'Oxford Economics'!$B$7:$B$1000,Settings!$B$13)-SUMIFS(INDEX('Oxford Economics'!$A$7:$AZ$1000,0,IFERROR(MATCH(U$5,'Oxford Economics'!$A$6:$AZ$6,0),MATCH(U$5&amp;"",'Oxford Economics'!$A$6:$AZ$6,0))),'Oxford Economics'!$A$7:$A$1000,$C120,'Oxford Economics'!$B$7:$B$1000,Settings!$B$15),SUMIFS(INDEX('Oxford Economics'!$A$7:$AZ$1000,0,IFERROR(MATCH(U$5,'Oxford Economics'!$A$6:$AZ$6,0),MATCH(U$5&amp;"",'Oxford Economics'!$A$6:$AZ$6,0))),'Oxford Economics'!$A$7:$A$1000,$C120,'Oxford Economics'!$B$7:$B$1000,Settings!$B$15)+SUMIFS(INDEX('Oxford Economics'!$A$7:$AZ$1000,0,IFERROR(MATCH(U$5,'Oxford Economics'!$A$6:$AZ$6,0),MATCH(U$5&amp;"",'Oxford Economics'!$A$6:$AZ$6,0))),'Oxford Economics'!$A$7:$A$1000,$C120,'Oxford Economics'!$B$7:$B$1000,Settings!$B$17)+IF(Settings!$B$19="",0,SUMIFS(INDEX('Oxford Economics'!$A$7:$AZ$1000,0,IFERROR(MATCH(U$5,'Oxford Economics'!$A$6:$AZ$6,0),MATCH(U$5&amp;"",'Oxford Economics'!$A$6:$AZ$6,0))),'Oxford Economics'!$A$7:$A$1000,$C120,'Oxford Economics'!$B$7:$B$1000,Settings!$B$19)))),""))</f>
        <v/>
      </c>
      <c r="V120" s="38" t="str">
        <f aca="false">IF($A120="","",IFERROR(1/(1/IF($B120="Residential",SUMIFS(INDEX('Oxford Economics'!$A$7:$AZ$1000,0,IFERROR(MATCH(V$5,'Oxford Economics'!$A$6:$AZ$6,0),MATCH(V$5&amp;"",'Oxford Economics'!$A$6:$AZ$6,0))),'Oxford Economics'!$A$7:$A$1000,$C120,'Oxford Economics'!$B$7:$B$1000,Settings!$B$13)-SUMIFS(INDEX('Oxford Economics'!$A$7:$AZ$1000,0,IFERROR(MATCH(V$5,'Oxford Economics'!$A$6:$AZ$6,0),MATCH(V$5&amp;"",'Oxford Economics'!$A$6:$AZ$6,0))),'Oxford Economics'!$A$7:$A$1000,$C120,'Oxford Economics'!$B$7:$B$1000,Settings!$B$15),SUMIFS(INDEX('Oxford Economics'!$A$7:$AZ$1000,0,IFERROR(MATCH(V$5,'Oxford Economics'!$A$6:$AZ$6,0),MATCH(V$5&amp;"",'Oxford Economics'!$A$6:$AZ$6,0))),'Oxford Economics'!$A$7:$A$1000,$C120,'Oxford Economics'!$B$7:$B$1000,Settings!$B$15)+SUMIFS(INDEX('Oxford Economics'!$A$7:$AZ$1000,0,IFERROR(MATCH(V$5,'Oxford Economics'!$A$6:$AZ$6,0),MATCH(V$5&amp;"",'Oxford Economics'!$A$6:$AZ$6,0))),'Oxford Economics'!$A$7:$A$1000,$C120,'Oxford Economics'!$B$7:$B$1000,Settings!$B$17)+IF(Settings!$B$19="",0,SUMIFS(INDEX('Oxford Economics'!$A$7:$AZ$1000,0,IFERROR(MATCH(V$5,'Oxford Economics'!$A$6:$AZ$6,0),MATCH(V$5&amp;"",'Oxford Economics'!$A$6:$AZ$6,0))),'Oxford Economics'!$A$7:$A$1000,$C120,'Oxford Economics'!$B$7:$B$1000,Settings!$B$19)))),""))</f>
        <v/>
      </c>
      <c r="W120" s="38" t="str">
        <f aca="false">IF($A120="","",IFERROR(1/(1/IF($B120="Residential",SUMIFS(INDEX('Oxford Economics'!$A$7:$AZ$1000,0,IFERROR(MATCH(W$5,'Oxford Economics'!$A$6:$AZ$6,0),MATCH(W$5&amp;"",'Oxford Economics'!$A$6:$AZ$6,0))),'Oxford Economics'!$A$7:$A$1000,$C120,'Oxford Economics'!$B$7:$B$1000,Settings!$B$13)-SUMIFS(INDEX('Oxford Economics'!$A$7:$AZ$1000,0,IFERROR(MATCH(W$5,'Oxford Economics'!$A$6:$AZ$6,0),MATCH(W$5&amp;"",'Oxford Economics'!$A$6:$AZ$6,0))),'Oxford Economics'!$A$7:$A$1000,$C120,'Oxford Economics'!$B$7:$B$1000,Settings!$B$15),SUMIFS(INDEX('Oxford Economics'!$A$7:$AZ$1000,0,IFERROR(MATCH(W$5,'Oxford Economics'!$A$6:$AZ$6,0),MATCH(W$5&amp;"",'Oxford Economics'!$A$6:$AZ$6,0))),'Oxford Economics'!$A$7:$A$1000,$C120,'Oxford Economics'!$B$7:$B$1000,Settings!$B$15)+SUMIFS(INDEX('Oxford Economics'!$A$7:$AZ$1000,0,IFERROR(MATCH(W$5,'Oxford Economics'!$A$6:$AZ$6,0),MATCH(W$5&amp;"",'Oxford Economics'!$A$6:$AZ$6,0))),'Oxford Economics'!$A$7:$A$1000,$C120,'Oxford Economics'!$B$7:$B$1000,Settings!$B$17)+IF(Settings!$B$19="",0,SUMIFS(INDEX('Oxford Economics'!$A$7:$AZ$1000,0,IFERROR(MATCH(W$5,'Oxford Economics'!$A$6:$AZ$6,0),MATCH(W$5&amp;"",'Oxford Economics'!$A$6:$AZ$6,0))),'Oxford Economics'!$A$7:$A$1000,$C120,'Oxford Economics'!$B$7:$B$1000,Settings!$B$19)))),""))</f>
        <v/>
      </c>
      <c r="X120" s="38" t="str">
        <f aca="false">IF($A120="","",IFERROR(1/(1/IF($B120="Residential",SUMIFS(INDEX('Oxford Economics'!$A$7:$AZ$1000,0,IFERROR(MATCH(X$5,'Oxford Economics'!$A$6:$AZ$6,0),MATCH(X$5&amp;"",'Oxford Economics'!$A$6:$AZ$6,0))),'Oxford Economics'!$A$7:$A$1000,$C120,'Oxford Economics'!$B$7:$B$1000,Settings!$B$13)-SUMIFS(INDEX('Oxford Economics'!$A$7:$AZ$1000,0,IFERROR(MATCH(X$5,'Oxford Economics'!$A$6:$AZ$6,0),MATCH(X$5&amp;"",'Oxford Economics'!$A$6:$AZ$6,0))),'Oxford Economics'!$A$7:$A$1000,$C120,'Oxford Economics'!$B$7:$B$1000,Settings!$B$15),SUMIFS(INDEX('Oxford Economics'!$A$7:$AZ$1000,0,IFERROR(MATCH(X$5,'Oxford Economics'!$A$6:$AZ$6,0),MATCH(X$5&amp;"",'Oxford Economics'!$A$6:$AZ$6,0))),'Oxford Economics'!$A$7:$A$1000,$C120,'Oxford Economics'!$B$7:$B$1000,Settings!$B$15)+SUMIFS(INDEX('Oxford Economics'!$A$7:$AZ$1000,0,IFERROR(MATCH(X$5,'Oxford Economics'!$A$6:$AZ$6,0),MATCH(X$5&amp;"",'Oxford Economics'!$A$6:$AZ$6,0))),'Oxford Economics'!$A$7:$A$1000,$C120,'Oxford Economics'!$B$7:$B$1000,Settings!$B$17)+IF(Settings!$B$19="",0,SUMIFS(INDEX('Oxford Economics'!$A$7:$AZ$1000,0,IFERROR(MATCH(X$5,'Oxford Economics'!$A$6:$AZ$6,0),MATCH(X$5&amp;"",'Oxford Economics'!$A$6:$AZ$6,0))),'Oxford Economics'!$A$7:$A$1000,$C120,'Oxford Economics'!$B$7:$B$1000,Settings!$B$19)))),""))</f>
        <v/>
      </c>
      <c r="Y120" s="38" t="str">
        <f aca="false">IF($A120="","",IFERROR(1/(1/IF($B120="Residential",SUMIFS(INDEX('Oxford Economics'!$A$7:$AZ$1000,0,IFERROR(MATCH(Y$5,'Oxford Economics'!$A$6:$AZ$6,0),MATCH(Y$5&amp;"",'Oxford Economics'!$A$6:$AZ$6,0))),'Oxford Economics'!$A$7:$A$1000,$C120,'Oxford Economics'!$B$7:$B$1000,Settings!$B$13)-SUMIFS(INDEX('Oxford Economics'!$A$7:$AZ$1000,0,IFERROR(MATCH(Y$5,'Oxford Economics'!$A$6:$AZ$6,0),MATCH(Y$5&amp;"",'Oxford Economics'!$A$6:$AZ$6,0))),'Oxford Economics'!$A$7:$A$1000,$C120,'Oxford Economics'!$B$7:$B$1000,Settings!$B$15),SUMIFS(INDEX('Oxford Economics'!$A$7:$AZ$1000,0,IFERROR(MATCH(Y$5,'Oxford Economics'!$A$6:$AZ$6,0),MATCH(Y$5&amp;"",'Oxford Economics'!$A$6:$AZ$6,0))),'Oxford Economics'!$A$7:$A$1000,$C120,'Oxford Economics'!$B$7:$B$1000,Settings!$B$15)+SUMIFS(INDEX('Oxford Economics'!$A$7:$AZ$1000,0,IFERROR(MATCH(Y$5,'Oxford Economics'!$A$6:$AZ$6,0),MATCH(Y$5&amp;"",'Oxford Economics'!$A$6:$AZ$6,0))),'Oxford Economics'!$A$7:$A$1000,$C120,'Oxford Economics'!$B$7:$B$1000,Settings!$B$17)+IF(Settings!$B$19="",0,SUMIFS(INDEX('Oxford Economics'!$A$7:$AZ$1000,0,IFERROR(MATCH(Y$5,'Oxford Economics'!$A$6:$AZ$6,0),MATCH(Y$5&amp;"",'Oxford Economics'!$A$6:$AZ$6,0))),'Oxford Economics'!$A$7:$A$1000,$C120,'Oxford Economics'!$B$7:$B$1000,Settings!$B$19)))),""))</f>
        <v/>
      </c>
      <c r="Z120" s="38" t="str">
        <f aca="false">IF($A120="","",IFERROR(1/(1/IF($B120="Residential",SUMIFS(INDEX('Oxford Economics'!$A$7:$AZ$1000,0,IFERROR(MATCH(Z$5,'Oxford Economics'!$A$6:$AZ$6,0),MATCH(Z$5&amp;"",'Oxford Economics'!$A$6:$AZ$6,0))),'Oxford Economics'!$A$7:$A$1000,$C120,'Oxford Economics'!$B$7:$B$1000,Settings!$B$13)-SUMIFS(INDEX('Oxford Economics'!$A$7:$AZ$1000,0,IFERROR(MATCH(Z$5,'Oxford Economics'!$A$6:$AZ$6,0),MATCH(Z$5&amp;"",'Oxford Economics'!$A$6:$AZ$6,0))),'Oxford Economics'!$A$7:$A$1000,$C120,'Oxford Economics'!$B$7:$B$1000,Settings!$B$15),SUMIFS(INDEX('Oxford Economics'!$A$7:$AZ$1000,0,IFERROR(MATCH(Z$5,'Oxford Economics'!$A$6:$AZ$6,0),MATCH(Z$5&amp;"",'Oxford Economics'!$A$6:$AZ$6,0))),'Oxford Economics'!$A$7:$A$1000,$C120,'Oxford Economics'!$B$7:$B$1000,Settings!$B$15)+SUMIFS(INDEX('Oxford Economics'!$A$7:$AZ$1000,0,IFERROR(MATCH(Z$5,'Oxford Economics'!$A$6:$AZ$6,0),MATCH(Z$5&amp;"",'Oxford Economics'!$A$6:$AZ$6,0))),'Oxford Economics'!$A$7:$A$1000,$C120,'Oxford Economics'!$B$7:$B$1000,Settings!$B$17)+IF(Settings!$B$19="",0,SUMIFS(INDEX('Oxford Economics'!$A$7:$AZ$1000,0,IFERROR(MATCH(Z$5,'Oxford Economics'!$A$6:$AZ$6,0),MATCH(Z$5&amp;"",'Oxford Economics'!$A$6:$AZ$6,0))),'Oxford Economics'!$A$7:$A$1000,$C120,'Oxford Economics'!$B$7:$B$1000,Settings!$B$19)))),""))</f>
        <v/>
      </c>
      <c r="AA120" s="38" t="str">
        <f aca="false">IF($A120="","",IFERROR(1/(1/IF($B120="Residential",SUMIFS(INDEX('Oxford Economics'!$A$7:$AZ$1000,0,IFERROR(MATCH(AA$5,'Oxford Economics'!$A$6:$AZ$6,0),MATCH(AA$5&amp;"",'Oxford Economics'!$A$6:$AZ$6,0))),'Oxford Economics'!$A$7:$A$1000,$C120,'Oxford Economics'!$B$7:$B$1000,Settings!$B$13)-SUMIFS(INDEX('Oxford Economics'!$A$7:$AZ$1000,0,IFERROR(MATCH(AA$5,'Oxford Economics'!$A$6:$AZ$6,0),MATCH(AA$5&amp;"",'Oxford Economics'!$A$6:$AZ$6,0))),'Oxford Economics'!$A$7:$A$1000,$C120,'Oxford Economics'!$B$7:$B$1000,Settings!$B$15),SUMIFS(INDEX('Oxford Economics'!$A$7:$AZ$1000,0,IFERROR(MATCH(AA$5,'Oxford Economics'!$A$6:$AZ$6,0),MATCH(AA$5&amp;"",'Oxford Economics'!$A$6:$AZ$6,0))),'Oxford Economics'!$A$7:$A$1000,$C120,'Oxford Economics'!$B$7:$B$1000,Settings!$B$15)+SUMIFS(INDEX('Oxford Economics'!$A$7:$AZ$1000,0,IFERROR(MATCH(AA$5,'Oxford Economics'!$A$6:$AZ$6,0),MATCH(AA$5&amp;"",'Oxford Economics'!$A$6:$AZ$6,0))),'Oxford Economics'!$A$7:$A$1000,$C120,'Oxford Economics'!$B$7:$B$1000,Settings!$B$17)+IF(Settings!$B$19="",0,SUMIFS(INDEX('Oxford Economics'!$A$7:$AZ$1000,0,IFERROR(MATCH(AA$5,'Oxford Economics'!$A$6:$AZ$6,0),MATCH(AA$5&amp;"",'Oxford Economics'!$A$6:$AZ$6,0))),'Oxford Economics'!$A$7:$A$1000,$C120,'Oxford Economics'!$B$7:$B$1000,Settings!$B$19)))),""))</f>
        <v/>
      </c>
      <c r="AB120" s="38" t="str">
        <f aca="false">IF($A120="","",IFERROR(1/(1/IF($B120="Residential",SUMIFS(INDEX('Oxford Economics'!$A$7:$AZ$1000,0,IFERROR(MATCH(AB$5,'Oxford Economics'!$A$6:$AZ$6,0),MATCH(AB$5&amp;"",'Oxford Economics'!$A$6:$AZ$6,0))),'Oxford Economics'!$A$7:$A$1000,$C120,'Oxford Economics'!$B$7:$B$1000,Settings!$B$12)-SUMIFS(INDEX('Oxford Economics'!$A$7:$AZ$1000,0,IFERROR(MATCH(AB$5,'Oxford Economics'!$A$6:$AZ$6,0),MATCH(AB$5&amp;"",'Oxford Economics'!$A$6:$AZ$6,0))),'Oxford Economics'!$A$7:$A$1000,$C120,'Oxford Economics'!$B$7:$B$1000,Settings!$B$14),SUMIFS(INDEX('Oxford Economics'!$A$7:$AZ$1000,0,IFERROR(MATCH(AB$5,'Oxford Economics'!$A$6:$AZ$6,0),MATCH(AB$5&amp;"",'Oxford Economics'!$A$6:$AZ$6,0))),'Oxford Economics'!$A$7:$A$1000,$C120,'Oxford Economics'!$B$7:$B$1000,Settings!$B$14)+SUMIFS(INDEX('Oxford Economics'!$A$7:$AZ$1000,0,IFERROR(MATCH(AB$5,'Oxford Economics'!$A$6:$AZ$6,0),MATCH(AB$5&amp;"",'Oxford Economics'!$A$6:$AZ$6,0))),'Oxford Economics'!$A$7:$A$1000,$C120,'Oxford Economics'!$B$7:$B$1000,Settings!$B$16)+IF(Settings!$B$18="",0,SUMIFS(INDEX('Oxford Economics'!$A$7:$AZ$1000,0,IFERROR(MATCH(AB$5,'Oxford Economics'!$A$6:$AZ$6,0),MATCH(AB$5&amp;"",'Oxford Economics'!$A$6:$AZ$6,0))),'Oxford Economics'!$A$7:$A$1000,$C120,'Oxford Economics'!$B$7:$B$1000,Settings!$B$18)))),""))</f>
        <v/>
      </c>
      <c r="AC120" s="38" t="str">
        <f aca="false">IF($A120="","",IFERROR(1/(1/IF($B120="Residential",SUMIFS(INDEX('Oxford Economics'!$A$7:$AZ$1000,0,IFERROR(MATCH(AC$5,'Oxford Economics'!$A$6:$AZ$6,0),MATCH(AC$5&amp;"",'Oxford Economics'!$A$6:$AZ$6,0))),'Oxford Economics'!$A$7:$A$1000,$C120,'Oxford Economics'!$B$7:$B$1000,Settings!$B$12)-SUMIFS(INDEX('Oxford Economics'!$A$7:$AZ$1000,0,IFERROR(MATCH(AC$5,'Oxford Economics'!$A$6:$AZ$6,0),MATCH(AC$5&amp;"",'Oxford Economics'!$A$6:$AZ$6,0))),'Oxford Economics'!$A$7:$A$1000,$C120,'Oxford Economics'!$B$7:$B$1000,Settings!$B$14),SUMIFS(INDEX('Oxford Economics'!$A$7:$AZ$1000,0,IFERROR(MATCH(AC$5,'Oxford Economics'!$A$6:$AZ$6,0),MATCH(AC$5&amp;"",'Oxford Economics'!$A$6:$AZ$6,0))),'Oxford Economics'!$A$7:$A$1000,$C120,'Oxford Economics'!$B$7:$B$1000,Settings!$B$14)+SUMIFS(INDEX('Oxford Economics'!$A$7:$AZ$1000,0,IFERROR(MATCH(AC$5,'Oxford Economics'!$A$6:$AZ$6,0),MATCH(AC$5&amp;"",'Oxford Economics'!$A$6:$AZ$6,0))),'Oxford Economics'!$A$7:$A$1000,$C120,'Oxford Economics'!$B$7:$B$1000,Settings!$B$16)+IF(Settings!$B$18="",0,SUMIFS(INDEX('Oxford Economics'!$A$7:$AZ$1000,0,IFERROR(MATCH(AC$5,'Oxford Economics'!$A$6:$AZ$6,0),MATCH(AC$5&amp;"",'Oxford Economics'!$A$6:$AZ$6,0))),'Oxford Economics'!$A$7:$A$1000,$C120,'Oxford Economics'!$B$7:$B$1000,Settings!$B$18)))),""))</f>
        <v/>
      </c>
      <c r="AD120" s="38" t="str">
        <f aca="false">IF($A120="","",IFERROR(1/(1/IF($B120="Residential",SUMIFS(INDEX('Oxford Economics'!$A$7:$AZ$1000,0,IFERROR(MATCH(AD$5,'Oxford Economics'!$A$6:$AZ$6,0),MATCH(AD$5&amp;"",'Oxford Economics'!$A$6:$AZ$6,0))),'Oxford Economics'!$A$7:$A$1000,$C120,'Oxford Economics'!$B$7:$B$1000,Settings!$B$12)-SUMIFS(INDEX('Oxford Economics'!$A$7:$AZ$1000,0,IFERROR(MATCH(AD$5,'Oxford Economics'!$A$6:$AZ$6,0),MATCH(AD$5&amp;"",'Oxford Economics'!$A$6:$AZ$6,0))),'Oxford Economics'!$A$7:$A$1000,$C120,'Oxford Economics'!$B$7:$B$1000,Settings!$B$14),SUMIFS(INDEX('Oxford Economics'!$A$7:$AZ$1000,0,IFERROR(MATCH(AD$5,'Oxford Economics'!$A$6:$AZ$6,0),MATCH(AD$5&amp;"",'Oxford Economics'!$A$6:$AZ$6,0))),'Oxford Economics'!$A$7:$A$1000,$C120,'Oxford Economics'!$B$7:$B$1000,Settings!$B$14)+SUMIFS(INDEX('Oxford Economics'!$A$7:$AZ$1000,0,IFERROR(MATCH(AD$5,'Oxford Economics'!$A$6:$AZ$6,0),MATCH(AD$5&amp;"",'Oxford Economics'!$A$6:$AZ$6,0))),'Oxford Economics'!$A$7:$A$1000,$C120,'Oxford Economics'!$B$7:$B$1000,Settings!$B$16)+IF(Settings!$B$18="",0,SUMIFS(INDEX('Oxford Economics'!$A$7:$AZ$1000,0,IFERROR(MATCH(AD$5,'Oxford Economics'!$A$6:$AZ$6,0),MATCH(AD$5&amp;"",'Oxford Economics'!$A$6:$AZ$6,0))),'Oxford Economics'!$A$7:$A$1000,$C120,'Oxford Economics'!$B$7:$B$1000,Settings!$B$18)))),""))</f>
        <v/>
      </c>
      <c r="AE120" s="38" t="str">
        <f aca="false">IF($A120="","",IFERROR(1/(1/IF($B120="Residential",SUMIFS(INDEX('Oxford Economics'!$A$7:$AZ$1000,0,IFERROR(MATCH(AE$5,'Oxford Economics'!$A$6:$AZ$6,0),MATCH(AE$5&amp;"",'Oxford Economics'!$A$6:$AZ$6,0))),'Oxford Economics'!$A$7:$A$1000,$C120,'Oxford Economics'!$B$7:$B$1000,Settings!$B$12)-SUMIFS(INDEX('Oxford Economics'!$A$7:$AZ$1000,0,IFERROR(MATCH(AE$5,'Oxford Economics'!$A$6:$AZ$6,0),MATCH(AE$5&amp;"",'Oxford Economics'!$A$6:$AZ$6,0))),'Oxford Economics'!$A$7:$A$1000,$C120,'Oxford Economics'!$B$7:$B$1000,Settings!$B$14),SUMIFS(INDEX('Oxford Economics'!$A$7:$AZ$1000,0,IFERROR(MATCH(AE$5,'Oxford Economics'!$A$6:$AZ$6,0),MATCH(AE$5&amp;"",'Oxford Economics'!$A$6:$AZ$6,0))),'Oxford Economics'!$A$7:$A$1000,$C120,'Oxford Economics'!$B$7:$B$1000,Settings!$B$14)+SUMIFS(INDEX('Oxford Economics'!$A$7:$AZ$1000,0,IFERROR(MATCH(AE$5,'Oxford Economics'!$A$6:$AZ$6,0),MATCH(AE$5&amp;"",'Oxford Economics'!$A$6:$AZ$6,0))),'Oxford Economics'!$A$7:$A$1000,$C120,'Oxford Economics'!$B$7:$B$1000,Settings!$B$16)+IF(Settings!$B$18="",0,SUMIFS(INDEX('Oxford Economics'!$A$7:$AZ$1000,0,IFERROR(MATCH(AE$5,'Oxford Economics'!$A$6:$AZ$6,0),MATCH(AE$5&amp;"",'Oxford Economics'!$A$6:$AZ$6,0))),'Oxford Economics'!$A$7:$A$1000,$C120,'Oxford Economics'!$B$7:$B$1000,Settings!$B$18)))),""))</f>
        <v/>
      </c>
      <c r="AF120" s="38" t="str">
        <f aca="false">IF($A120="","",IFERROR(1/(1/IF($B120="Residential",SUMIFS(INDEX('Oxford Economics'!$A$7:$AZ$1000,0,IFERROR(MATCH(AF$5,'Oxford Economics'!$A$6:$AZ$6,0),MATCH(AF$5&amp;"",'Oxford Economics'!$A$6:$AZ$6,0))),'Oxford Economics'!$A$7:$A$1000,$C120,'Oxford Economics'!$B$7:$B$1000,Settings!$B$12)-SUMIFS(INDEX('Oxford Economics'!$A$7:$AZ$1000,0,IFERROR(MATCH(AF$5,'Oxford Economics'!$A$6:$AZ$6,0),MATCH(AF$5&amp;"",'Oxford Economics'!$A$6:$AZ$6,0))),'Oxford Economics'!$A$7:$A$1000,$C120,'Oxford Economics'!$B$7:$B$1000,Settings!$B$14),SUMIFS(INDEX('Oxford Economics'!$A$7:$AZ$1000,0,IFERROR(MATCH(AF$5,'Oxford Economics'!$A$6:$AZ$6,0),MATCH(AF$5&amp;"",'Oxford Economics'!$A$6:$AZ$6,0))),'Oxford Economics'!$A$7:$A$1000,$C120,'Oxford Economics'!$B$7:$B$1000,Settings!$B$14)+SUMIFS(INDEX('Oxford Economics'!$A$7:$AZ$1000,0,IFERROR(MATCH(AF$5,'Oxford Economics'!$A$6:$AZ$6,0),MATCH(AF$5&amp;"",'Oxford Economics'!$A$6:$AZ$6,0))),'Oxford Economics'!$A$7:$A$1000,$C120,'Oxford Economics'!$B$7:$B$1000,Settings!$B$16)+IF(Settings!$B$18="",0,SUMIFS(INDEX('Oxford Economics'!$A$7:$AZ$1000,0,IFERROR(MATCH(AF$5,'Oxford Economics'!$A$6:$AZ$6,0),MATCH(AF$5&amp;"",'Oxford Economics'!$A$6:$AZ$6,0))),'Oxford Economics'!$A$7:$A$1000,$C120,'Oxford Economics'!$B$7:$B$1000,Settings!$B$18)))),""))</f>
        <v/>
      </c>
      <c r="AG120" s="38" t="str">
        <f aca="false">IF($A120="","",IFERROR(1/(1/IF($B120="Residential",SUMIFS(INDEX('Oxford Economics'!$A$7:$AZ$1000,0,IFERROR(MATCH(AG$5,'Oxford Economics'!$A$6:$AZ$6,0),MATCH(AG$5&amp;"",'Oxford Economics'!$A$6:$AZ$6,0))),'Oxford Economics'!$A$7:$A$1000,$C120,'Oxford Economics'!$B$7:$B$1000,Settings!$B$12)-SUMIFS(INDEX('Oxford Economics'!$A$7:$AZ$1000,0,IFERROR(MATCH(AG$5,'Oxford Economics'!$A$6:$AZ$6,0),MATCH(AG$5&amp;"",'Oxford Economics'!$A$6:$AZ$6,0))),'Oxford Economics'!$A$7:$A$1000,$C120,'Oxford Economics'!$B$7:$B$1000,Settings!$B$14),SUMIFS(INDEX('Oxford Economics'!$A$7:$AZ$1000,0,IFERROR(MATCH(AG$5,'Oxford Economics'!$A$6:$AZ$6,0),MATCH(AG$5&amp;"",'Oxford Economics'!$A$6:$AZ$6,0))),'Oxford Economics'!$A$7:$A$1000,$C120,'Oxford Economics'!$B$7:$B$1000,Settings!$B$14)+SUMIFS(INDEX('Oxford Economics'!$A$7:$AZ$1000,0,IFERROR(MATCH(AG$5,'Oxford Economics'!$A$6:$AZ$6,0),MATCH(AG$5&amp;"",'Oxford Economics'!$A$6:$AZ$6,0))),'Oxford Economics'!$A$7:$A$1000,$C120,'Oxford Economics'!$B$7:$B$1000,Settings!$B$16)+IF(Settings!$B$18="",0,SUMIFS(INDEX('Oxford Economics'!$A$7:$AZ$1000,0,IFERROR(MATCH(AG$5,'Oxford Economics'!$A$6:$AZ$6,0),MATCH(AG$5&amp;"",'Oxford Economics'!$A$6:$AZ$6,0))),'Oxford Economics'!$A$7:$A$1000,$C120,'Oxford Economics'!$B$7:$B$1000,Settings!$B$18)))),""))</f>
        <v/>
      </c>
      <c r="AH120" s="38" t="str">
        <f aca="false">IF($A120="","",IFERROR(1/(1/IF($B120="Residential",SUMIFS(INDEX('Oxford Economics'!$A$7:$AZ$1000,0,IFERROR(MATCH(AH$5,'Oxford Economics'!$A$6:$AZ$6,0),MATCH(AH$5&amp;"",'Oxford Economics'!$A$6:$AZ$6,0))),'Oxford Economics'!$A$7:$A$1000,$C120,'Oxford Economics'!$B$7:$B$1000,Settings!$B$12)-SUMIFS(INDEX('Oxford Economics'!$A$7:$AZ$1000,0,IFERROR(MATCH(AH$5,'Oxford Economics'!$A$6:$AZ$6,0),MATCH(AH$5&amp;"",'Oxford Economics'!$A$6:$AZ$6,0))),'Oxford Economics'!$A$7:$A$1000,$C120,'Oxford Economics'!$B$7:$B$1000,Settings!$B$14),SUMIFS(INDEX('Oxford Economics'!$A$7:$AZ$1000,0,IFERROR(MATCH(AH$5,'Oxford Economics'!$A$6:$AZ$6,0),MATCH(AH$5&amp;"",'Oxford Economics'!$A$6:$AZ$6,0))),'Oxford Economics'!$A$7:$A$1000,$C120,'Oxford Economics'!$B$7:$B$1000,Settings!$B$14)+SUMIFS(INDEX('Oxford Economics'!$A$7:$AZ$1000,0,IFERROR(MATCH(AH$5,'Oxford Economics'!$A$6:$AZ$6,0),MATCH(AH$5&amp;"",'Oxford Economics'!$A$6:$AZ$6,0))),'Oxford Economics'!$A$7:$A$1000,$C120,'Oxford Economics'!$B$7:$B$1000,Settings!$B$16)+IF(Settings!$B$18="",0,SUMIFS(INDEX('Oxford Economics'!$A$7:$AZ$1000,0,IFERROR(MATCH(AH$5,'Oxford Economics'!$A$6:$AZ$6,0),MATCH(AH$5&amp;"",'Oxford Economics'!$A$6:$AZ$6,0))),'Oxford Economics'!$A$7:$A$1000,$C120,'Oxford Economics'!$B$7:$B$1000,Settings!$B$18)))),""))</f>
        <v/>
      </c>
      <c r="AI120" s="38" t="str">
        <f aca="false">IF($A120="","",IFERROR(1/(1/IF($B120="Residential",SUMIFS(INDEX('Oxford Economics'!$A$7:$AZ$1000,0,IFERROR(MATCH(AI$5,'Oxford Economics'!$A$6:$AZ$6,0),MATCH(AI$5&amp;"",'Oxford Economics'!$A$6:$AZ$6,0))),'Oxford Economics'!$A$7:$A$1000,$C120,'Oxford Economics'!$B$7:$B$1000,Settings!$B$12)-SUMIFS(INDEX('Oxford Economics'!$A$7:$AZ$1000,0,IFERROR(MATCH(AI$5,'Oxford Economics'!$A$6:$AZ$6,0),MATCH(AI$5&amp;"",'Oxford Economics'!$A$6:$AZ$6,0))),'Oxford Economics'!$A$7:$A$1000,$C120,'Oxford Economics'!$B$7:$B$1000,Settings!$B$14),SUMIFS(INDEX('Oxford Economics'!$A$7:$AZ$1000,0,IFERROR(MATCH(AI$5,'Oxford Economics'!$A$6:$AZ$6,0),MATCH(AI$5&amp;"",'Oxford Economics'!$A$6:$AZ$6,0))),'Oxford Economics'!$A$7:$A$1000,$C120,'Oxford Economics'!$B$7:$B$1000,Settings!$B$14)+SUMIFS(INDEX('Oxford Economics'!$A$7:$AZ$1000,0,IFERROR(MATCH(AI$5,'Oxford Economics'!$A$6:$AZ$6,0),MATCH(AI$5&amp;"",'Oxford Economics'!$A$6:$AZ$6,0))),'Oxford Economics'!$A$7:$A$1000,$C120,'Oxford Economics'!$B$7:$B$1000,Settings!$B$16)+IF(Settings!$B$18="",0,SUMIFS(INDEX('Oxford Economics'!$A$7:$AZ$1000,0,IFERROR(MATCH(AI$5,'Oxford Economics'!$A$6:$AZ$6,0),MATCH(AI$5&amp;"",'Oxford Economics'!$A$6:$AZ$6,0))),'Oxford Economics'!$A$7:$A$1000,$C120,'Oxford Economics'!$B$7:$B$1000,Settings!$B$18)))),""))</f>
        <v/>
      </c>
      <c r="AJ120" s="38" t="str">
        <f aca="false">IF($A120="","",IFERROR(1/(1/IF($B120="Residential",SUMIFS(INDEX('Oxford Economics'!$A$7:$AZ$1000,0,IFERROR(MATCH(AJ$5,'Oxford Economics'!$A$6:$AZ$6,0),MATCH(AJ$5&amp;"",'Oxford Economics'!$A$6:$AZ$6,0))),'Oxford Economics'!$A$7:$A$1000,$C120,'Oxford Economics'!$B$7:$B$1000,Settings!$B$12)-SUMIFS(INDEX('Oxford Economics'!$A$7:$AZ$1000,0,IFERROR(MATCH(AJ$5,'Oxford Economics'!$A$6:$AZ$6,0),MATCH(AJ$5&amp;"",'Oxford Economics'!$A$6:$AZ$6,0))),'Oxford Economics'!$A$7:$A$1000,$C120,'Oxford Economics'!$B$7:$B$1000,Settings!$B$14),SUMIFS(INDEX('Oxford Economics'!$A$7:$AZ$1000,0,IFERROR(MATCH(AJ$5,'Oxford Economics'!$A$6:$AZ$6,0),MATCH(AJ$5&amp;"",'Oxford Economics'!$A$6:$AZ$6,0))),'Oxford Economics'!$A$7:$A$1000,$C120,'Oxford Economics'!$B$7:$B$1000,Settings!$B$14)+SUMIFS(INDEX('Oxford Economics'!$A$7:$AZ$1000,0,IFERROR(MATCH(AJ$5,'Oxford Economics'!$A$6:$AZ$6,0),MATCH(AJ$5&amp;"",'Oxford Economics'!$A$6:$AZ$6,0))),'Oxford Economics'!$A$7:$A$1000,$C120,'Oxford Economics'!$B$7:$B$1000,Settings!$B$16)+IF(Settings!$B$18="",0,SUMIFS(INDEX('Oxford Economics'!$A$7:$AZ$1000,0,IFERROR(MATCH(AJ$5,'Oxford Economics'!$A$6:$AZ$6,0),MATCH(AJ$5&amp;"",'Oxford Economics'!$A$6:$AZ$6,0))),'Oxford Economics'!$A$7:$A$1000,$C120,'Oxford Economics'!$B$7:$B$1000,Settings!$B$18)))),""))</f>
        <v/>
      </c>
      <c r="AK120" s="38" t="str">
        <f aca="false">IF($A120="","",IFERROR(1/(1/IF($B120="Residential",SUMIFS(INDEX('Oxford Economics'!$A$7:$AZ$1000,0,IFERROR(MATCH(AK$5,'Oxford Economics'!$A$6:$AZ$6,0),MATCH(AK$5&amp;"",'Oxford Economics'!$A$6:$AZ$6,0))),'Oxford Economics'!$A$7:$A$1000,$C120,'Oxford Economics'!$B$7:$B$1000,Settings!$B$12)-SUMIFS(INDEX('Oxford Economics'!$A$7:$AZ$1000,0,IFERROR(MATCH(AK$5,'Oxford Economics'!$A$6:$AZ$6,0),MATCH(AK$5&amp;"",'Oxford Economics'!$A$6:$AZ$6,0))),'Oxford Economics'!$A$7:$A$1000,$C120,'Oxford Economics'!$B$7:$B$1000,Settings!$B$14),SUMIFS(INDEX('Oxford Economics'!$A$7:$AZ$1000,0,IFERROR(MATCH(AK$5,'Oxford Economics'!$A$6:$AZ$6,0),MATCH(AK$5&amp;"",'Oxford Economics'!$A$6:$AZ$6,0))),'Oxford Economics'!$A$7:$A$1000,$C120,'Oxford Economics'!$B$7:$B$1000,Settings!$B$14)+SUMIFS(INDEX('Oxford Economics'!$A$7:$AZ$1000,0,IFERROR(MATCH(AK$5,'Oxford Economics'!$A$6:$AZ$6,0),MATCH(AK$5&amp;"",'Oxford Economics'!$A$6:$AZ$6,0))),'Oxford Economics'!$A$7:$A$1000,$C120,'Oxford Economics'!$B$7:$B$1000,Settings!$B$16)+IF(Settings!$B$18="",0,SUMIFS(INDEX('Oxford Economics'!$A$7:$AZ$1000,0,IFERROR(MATCH(AK$5,'Oxford Economics'!$A$6:$AZ$6,0),MATCH(AK$5&amp;"",'Oxford Economics'!$A$6:$AZ$6,0))),'Oxford Economics'!$A$7:$A$1000,$C120,'Oxford Economics'!$B$7:$B$1000,Settings!$B$18)))),""))</f>
        <v/>
      </c>
      <c r="AL120" s="38" t="str">
        <f aca="false">IF($A120="","",IFERROR(1/(1/IF($B120="Residential",SUMIFS(INDEX('Oxford Economics'!$A$7:$AZ$1000,0,IFERROR(MATCH(AL$5,'Oxford Economics'!$A$6:$AZ$6,0),MATCH(AL$5&amp;"",'Oxford Economics'!$A$6:$AZ$6,0))),'Oxford Economics'!$A$7:$A$1000,$C120,'Oxford Economics'!$B$7:$B$1000,Settings!$B$12)-SUMIFS(INDEX('Oxford Economics'!$A$7:$AZ$1000,0,IFERROR(MATCH(AL$5,'Oxford Economics'!$A$6:$AZ$6,0),MATCH(AL$5&amp;"",'Oxford Economics'!$A$6:$AZ$6,0))),'Oxford Economics'!$A$7:$A$1000,$C120,'Oxford Economics'!$B$7:$B$1000,Settings!$B$14),SUMIFS(INDEX('Oxford Economics'!$A$7:$AZ$1000,0,IFERROR(MATCH(AL$5,'Oxford Economics'!$A$6:$AZ$6,0),MATCH(AL$5&amp;"",'Oxford Economics'!$A$6:$AZ$6,0))),'Oxford Economics'!$A$7:$A$1000,$C120,'Oxford Economics'!$B$7:$B$1000,Settings!$B$14)+SUMIFS(INDEX('Oxford Economics'!$A$7:$AZ$1000,0,IFERROR(MATCH(AL$5,'Oxford Economics'!$A$6:$AZ$6,0),MATCH(AL$5&amp;"",'Oxford Economics'!$A$6:$AZ$6,0))),'Oxford Economics'!$A$7:$A$1000,$C120,'Oxford Economics'!$B$7:$B$1000,Settings!$B$16)+IF(Settings!$B$18="",0,SUMIFS(INDEX('Oxford Economics'!$A$7:$AZ$1000,0,IFERROR(MATCH(AL$5,'Oxford Economics'!$A$6:$AZ$6,0),MATCH(AL$5&amp;"",'Oxford Economics'!$A$6:$AZ$6,0))),'Oxford Economics'!$A$7:$A$1000,$C120,'Oxford Economics'!$B$7:$B$1000,Settings!$B$18)))),""))</f>
        <v/>
      </c>
      <c r="AM120" s="38" t="str">
        <f aca="false">IF($A120="","",IFERROR(1/(1/IF($B120="Residential",SUMIFS(INDEX('Oxford Economics'!$A$7:$AZ$1000,0,IFERROR(MATCH(AM$5,'Oxford Economics'!$A$6:$AZ$6,0),MATCH(AM$5&amp;"",'Oxford Economics'!$A$6:$AZ$6,0))),'Oxford Economics'!$A$7:$A$1000,$C120,'Oxford Economics'!$B$7:$B$1000,Settings!$B$12)-SUMIFS(INDEX('Oxford Economics'!$A$7:$AZ$1000,0,IFERROR(MATCH(AM$5,'Oxford Economics'!$A$6:$AZ$6,0),MATCH(AM$5&amp;"",'Oxford Economics'!$A$6:$AZ$6,0))),'Oxford Economics'!$A$7:$A$1000,$C120,'Oxford Economics'!$B$7:$B$1000,Settings!$B$14),SUMIFS(INDEX('Oxford Economics'!$A$7:$AZ$1000,0,IFERROR(MATCH(AM$5,'Oxford Economics'!$A$6:$AZ$6,0),MATCH(AM$5&amp;"",'Oxford Economics'!$A$6:$AZ$6,0))),'Oxford Economics'!$A$7:$A$1000,$C120,'Oxford Economics'!$B$7:$B$1000,Settings!$B$14)+SUMIFS(INDEX('Oxford Economics'!$A$7:$AZ$1000,0,IFERROR(MATCH(AM$5,'Oxford Economics'!$A$6:$AZ$6,0),MATCH(AM$5&amp;"",'Oxford Economics'!$A$6:$AZ$6,0))),'Oxford Economics'!$A$7:$A$1000,$C120,'Oxford Economics'!$B$7:$B$1000,Settings!$B$16)+IF(Settings!$B$18="",0,SUMIFS(INDEX('Oxford Economics'!$A$7:$AZ$1000,0,IFERROR(MATCH(AM$5,'Oxford Economics'!$A$6:$AZ$6,0),MATCH(AM$5&amp;"",'Oxford Economics'!$A$6:$AZ$6,0))),'Oxford Economics'!$A$7:$A$1000,$C120,'Oxford Economics'!$B$7:$B$1000,Settings!$B$18)))),""))</f>
        <v/>
      </c>
    </row>
    <row r="121" customFormat="false" ht="15" hidden="false" customHeight="false" outlineLevel="0" collapsed="false">
      <c r="A121" s="37" t="str">
        <f aca="false">IF('Raw data'!$A121="","",'Raw data'!$A121)</f>
        <v/>
      </c>
      <c r="B121" s="37" t="str">
        <f aca="false">IF($A121="","",'Raw data'!$C121)</f>
        <v/>
      </c>
      <c r="C121" s="37" t="str">
        <f aca="false">IF($A121="","",IF('Raw data'!$E121="",$A121,'Raw data'!$E121))</f>
        <v/>
      </c>
      <c r="D121" s="38" t="str">
        <f aca="false">IF($A121="","",IF(AND(ISNUMBER(P121),ISNUMBER(AB121)),P121+AB121,""))</f>
        <v/>
      </c>
      <c r="E121" s="38" t="str">
        <f aca="false">IF($A121="","",IF(AND(ISNUMBER(Q121),ISNUMBER(AC121)),Q121+AC121,""))</f>
        <v/>
      </c>
      <c r="F121" s="38" t="str">
        <f aca="false">IF($A121="","",IF(AND(ISNUMBER(R121),ISNUMBER(AD121)),R121+AD121,""))</f>
        <v/>
      </c>
      <c r="G121" s="38" t="str">
        <f aca="false">IF($A121="","",IF(AND(ISNUMBER(S121),ISNUMBER(AE121)),S121+AE121,""))</f>
        <v/>
      </c>
      <c r="H121" s="38" t="str">
        <f aca="false">IF($A121="","",IF(AND(ISNUMBER(T121),ISNUMBER(AF121)),T121+AF121,""))</f>
        <v/>
      </c>
      <c r="I121" s="38" t="str">
        <f aca="false">IF($A121="","",IF(AND(ISNUMBER(U121),ISNUMBER(AG121)),U121+AG121,""))</f>
        <v/>
      </c>
      <c r="J121" s="38" t="str">
        <f aca="false">IF($A121="","",IF(AND(ISNUMBER(V121),ISNUMBER(AH121)),V121+AH121,""))</f>
        <v/>
      </c>
      <c r="K121" s="38" t="str">
        <f aca="false">IF($A121="","",IF(AND(ISNUMBER(W121),ISNUMBER(AI121)),W121+AI121,""))</f>
        <v/>
      </c>
      <c r="L121" s="38" t="str">
        <f aca="false">IF($A121="","",IF(AND(ISNUMBER(X121),ISNUMBER(AJ121)),X121+AJ121,""))</f>
        <v/>
      </c>
      <c r="M121" s="38" t="str">
        <f aca="false">IF($A121="","",IF(AND(ISNUMBER(Y121),ISNUMBER(AK121)),Y121+AK121,""))</f>
        <v/>
      </c>
      <c r="N121" s="38" t="str">
        <f aca="false">IF($A121="","",IF(AND(ISNUMBER(Z121),ISNUMBER(AL121)),Z121+AL121,""))</f>
        <v/>
      </c>
      <c r="O121" s="38" t="str">
        <f aca="false">IF($A121="","",IF(AND(ISNUMBER(AA121),ISNUMBER(AM121)),AA121+AM121,""))</f>
        <v/>
      </c>
      <c r="P121" s="38" t="str">
        <f aca="false">IF($A121="","",IFERROR(1/(1/IF($B121="Residential",SUMIFS(INDEX('Oxford Economics'!$A$7:$AZ$1000,0,IFERROR(MATCH(P$5,'Oxford Economics'!$A$6:$AZ$6,0),MATCH(P$5&amp;"",'Oxford Economics'!$A$6:$AZ$6,0))),'Oxford Economics'!$A$7:$A$1000,$C121,'Oxford Economics'!$B$7:$B$1000,Settings!$B$13)-SUMIFS(INDEX('Oxford Economics'!$A$7:$AZ$1000,0,IFERROR(MATCH(P$5,'Oxford Economics'!$A$6:$AZ$6,0),MATCH(P$5&amp;"",'Oxford Economics'!$A$6:$AZ$6,0))),'Oxford Economics'!$A$7:$A$1000,$C121,'Oxford Economics'!$B$7:$B$1000,Settings!$B$15),SUMIFS(INDEX('Oxford Economics'!$A$7:$AZ$1000,0,IFERROR(MATCH(P$5,'Oxford Economics'!$A$6:$AZ$6,0),MATCH(P$5&amp;"",'Oxford Economics'!$A$6:$AZ$6,0))),'Oxford Economics'!$A$7:$A$1000,$C121,'Oxford Economics'!$B$7:$B$1000,Settings!$B$15)+SUMIFS(INDEX('Oxford Economics'!$A$7:$AZ$1000,0,IFERROR(MATCH(P$5,'Oxford Economics'!$A$6:$AZ$6,0),MATCH(P$5&amp;"",'Oxford Economics'!$A$6:$AZ$6,0))),'Oxford Economics'!$A$7:$A$1000,$C121,'Oxford Economics'!$B$7:$B$1000,Settings!$B$17)+IF(Settings!$B$19="",0,SUMIFS(INDEX('Oxford Economics'!$A$7:$AZ$1000,0,IFERROR(MATCH(P$5,'Oxford Economics'!$A$6:$AZ$6,0),MATCH(P$5&amp;"",'Oxford Economics'!$A$6:$AZ$6,0))),'Oxford Economics'!$A$7:$A$1000,$C121,'Oxford Economics'!$B$7:$B$1000,Settings!$B$19)))),""))</f>
        <v/>
      </c>
      <c r="Q121" s="38" t="str">
        <f aca="false">IF($A121="","",IFERROR(1/(1/IF($B121="Residential",SUMIFS(INDEX('Oxford Economics'!$A$7:$AZ$1000,0,IFERROR(MATCH(Q$5,'Oxford Economics'!$A$6:$AZ$6,0),MATCH(Q$5&amp;"",'Oxford Economics'!$A$6:$AZ$6,0))),'Oxford Economics'!$A$7:$A$1000,$C121,'Oxford Economics'!$B$7:$B$1000,Settings!$B$13)-SUMIFS(INDEX('Oxford Economics'!$A$7:$AZ$1000,0,IFERROR(MATCH(Q$5,'Oxford Economics'!$A$6:$AZ$6,0),MATCH(Q$5&amp;"",'Oxford Economics'!$A$6:$AZ$6,0))),'Oxford Economics'!$A$7:$A$1000,$C121,'Oxford Economics'!$B$7:$B$1000,Settings!$B$15),SUMIFS(INDEX('Oxford Economics'!$A$7:$AZ$1000,0,IFERROR(MATCH(Q$5,'Oxford Economics'!$A$6:$AZ$6,0),MATCH(Q$5&amp;"",'Oxford Economics'!$A$6:$AZ$6,0))),'Oxford Economics'!$A$7:$A$1000,$C121,'Oxford Economics'!$B$7:$B$1000,Settings!$B$15)+SUMIFS(INDEX('Oxford Economics'!$A$7:$AZ$1000,0,IFERROR(MATCH(Q$5,'Oxford Economics'!$A$6:$AZ$6,0),MATCH(Q$5&amp;"",'Oxford Economics'!$A$6:$AZ$6,0))),'Oxford Economics'!$A$7:$A$1000,$C121,'Oxford Economics'!$B$7:$B$1000,Settings!$B$17)+IF(Settings!$B$19="",0,SUMIFS(INDEX('Oxford Economics'!$A$7:$AZ$1000,0,IFERROR(MATCH(Q$5,'Oxford Economics'!$A$6:$AZ$6,0),MATCH(Q$5&amp;"",'Oxford Economics'!$A$6:$AZ$6,0))),'Oxford Economics'!$A$7:$A$1000,$C121,'Oxford Economics'!$B$7:$B$1000,Settings!$B$19)))),""))</f>
        <v/>
      </c>
      <c r="R121" s="38" t="str">
        <f aca="false">IF($A121="","",IFERROR(1/(1/IF($B121="Residential",SUMIFS(INDEX('Oxford Economics'!$A$7:$AZ$1000,0,IFERROR(MATCH(R$5,'Oxford Economics'!$A$6:$AZ$6,0),MATCH(R$5&amp;"",'Oxford Economics'!$A$6:$AZ$6,0))),'Oxford Economics'!$A$7:$A$1000,$C121,'Oxford Economics'!$B$7:$B$1000,Settings!$B$13)-SUMIFS(INDEX('Oxford Economics'!$A$7:$AZ$1000,0,IFERROR(MATCH(R$5,'Oxford Economics'!$A$6:$AZ$6,0),MATCH(R$5&amp;"",'Oxford Economics'!$A$6:$AZ$6,0))),'Oxford Economics'!$A$7:$A$1000,$C121,'Oxford Economics'!$B$7:$B$1000,Settings!$B$15),SUMIFS(INDEX('Oxford Economics'!$A$7:$AZ$1000,0,IFERROR(MATCH(R$5,'Oxford Economics'!$A$6:$AZ$6,0),MATCH(R$5&amp;"",'Oxford Economics'!$A$6:$AZ$6,0))),'Oxford Economics'!$A$7:$A$1000,$C121,'Oxford Economics'!$B$7:$B$1000,Settings!$B$15)+SUMIFS(INDEX('Oxford Economics'!$A$7:$AZ$1000,0,IFERROR(MATCH(R$5,'Oxford Economics'!$A$6:$AZ$6,0),MATCH(R$5&amp;"",'Oxford Economics'!$A$6:$AZ$6,0))),'Oxford Economics'!$A$7:$A$1000,$C121,'Oxford Economics'!$B$7:$B$1000,Settings!$B$17)+IF(Settings!$B$19="",0,SUMIFS(INDEX('Oxford Economics'!$A$7:$AZ$1000,0,IFERROR(MATCH(R$5,'Oxford Economics'!$A$6:$AZ$6,0),MATCH(R$5&amp;"",'Oxford Economics'!$A$6:$AZ$6,0))),'Oxford Economics'!$A$7:$A$1000,$C121,'Oxford Economics'!$B$7:$B$1000,Settings!$B$19)))),""))</f>
        <v/>
      </c>
      <c r="S121" s="38" t="str">
        <f aca="false">IF($A121="","",IFERROR(1/(1/IF($B121="Residential",SUMIFS(INDEX('Oxford Economics'!$A$7:$AZ$1000,0,IFERROR(MATCH(S$5,'Oxford Economics'!$A$6:$AZ$6,0),MATCH(S$5&amp;"",'Oxford Economics'!$A$6:$AZ$6,0))),'Oxford Economics'!$A$7:$A$1000,$C121,'Oxford Economics'!$B$7:$B$1000,Settings!$B$13)-SUMIFS(INDEX('Oxford Economics'!$A$7:$AZ$1000,0,IFERROR(MATCH(S$5,'Oxford Economics'!$A$6:$AZ$6,0),MATCH(S$5&amp;"",'Oxford Economics'!$A$6:$AZ$6,0))),'Oxford Economics'!$A$7:$A$1000,$C121,'Oxford Economics'!$B$7:$B$1000,Settings!$B$15),SUMIFS(INDEX('Oxford Economics'!$A$7:$AZ$1000,0,IFERROR(MATCH(S$5,'Oxford Economics'!$A$6:$AZ$6,0),MATCH(S$5&amp;"",'Oxford Economics'!$A$6:$AZ$6,0))),'Oxford Economics'!$A$7:$A$1000,$C121,'Oxford Economics'!$B$7:$B$1000,Settings!$B$15)+SUMIFS(INDEX('Oxford Economics'!$A$7:$AZ$1000,0,IFERROR(MATCH(S$5,'Oxford Economics'!$A$6:$AZ$6,0),MATCH(S$5&amp;"",'Oxford Economics'!$A$6:$AZ$6,0))),'Oxford Economics'!$A$7:$A$1000,$C121,'Oxford Economics'!$B$7:$B$1000,Settings!$B$17)+IF(Settings!$B$19="",0,SUMIFS(INDEX('Oxford Economics'!$A$7:$AZ$1000,0,IFERROR(MATCH(S$5,'Oxford Economics'!$A$6:$AZ$6,0),MATCH(S$5&amp;"",'Oxford Economics'!$A$6:$AZ$6,0))),'Oxford Economics'!$A$7:$A$1000,$C121,'Oxford Economics'!$B$7:$B$1000,Settings!$B$19)))),""))</f>
        <v/>
      </c>
      <c r="T121" s="38" t="str">
        <f aca="false">IF($A121="","",IFERROR(1/(1/IF($B121="Residential",SUMIFS(INDEX('Oxford Economics'!$A$7:$AZ$1000,0,IFERROR(MATCH(T$5,'Oxford Economics'!$A$6:$AZ$6,0),MATCH(T$5&amp;"",'Oxford Economics'!$A$6:$AZ$6,0))),'Oxford Economics'!$A$7:$A$1000,$C121,'Oxford Economics'!$B$7:$B$1000,Settings!$B$13)-SUMIFS(INDEX('Oxford Economics'!$A$7:$AZ$1000,0,IFERROR(MATCH(T$5,'Oxford Economics'!$A$6:$AZ$6,0),MATCH(T$5&amp;"",'Oxford Economics'!$A$6:$AZ$6,0))),'Oxford Economics'!$A$7:$A$1000,$C121,'Oxford Economics'!$B$7:$B$1000,Settings!$B$15),SUMIFS(INDEX('Oxford Economics'!$A$7:$AZ$1000,0,IFERROR(MATCH(T$5,'Oxford Economics'!$A$6:$AZ$6,0),MATCH(T$5&amp;"",'Oxford Economics'!$A$6:$AZ$6,0))),'Oxford Economics'!$A$7:$A$1000,$C121,'Oxford Economics'!$B$7:$B$1000,Settings!$B$15)+SUMIFS(INDEX('Oxford Economics'!$A$7:$AZ$1000,0,IFERROR(MATCH(T$5,'Oxford Economics'!$A$6:$AZ$6,0),MATCH(T$5&amp;"",'Oxford Economics'!$A$6:$AZ$6,0))),'Oxford Economics'!$A$7:$A$1000,$C121,'Oxford Economics'!$B$7:$B$1000,Settings!$B$17)+IF(Settings!$B$19="",0,SUMIFS(INDEX('Oxford Economics'!$A$7:$AZ$1000,0,IFERROR(MATCH(T$5,'Oxford Economics'!$A$6:$AZ$6,0),MATCH(T$5&amp;"",'Oxford Economics'!$A$6:$AZ$6,0))),'Oxford Economics'!$A$7:$A$1000,$C121,'Oxford Economics'!$B$7:$B$1000,Settings!$B$19)))),""))</f>
        <v/>
      </c>
      <c r="U121" s="38" t="str">
        <f aca="false">IF($A121="","",IFERROR(1/(1/IF($B121="Residential",SUMIFS(INDEX('Oxford Economics'!$A$7:$AZ$1000,0,IFERROR(MATCH(U$5,'Oxford Economics'!$A$6:$AZ$6,0),MATCH(U$5&amp;"",'Oxford Economics'!$A$6:$AZ$6,0))),'Oxford Economics'!$A$7:$A$1000,$C121,'Oxford Economics'!$B$7:$B$1000,Settings!$B$13)-SUMIFS(INDEX('Oxford Economics'!$A$7:$AZ$1000,0,IFERROR(MATCH(U$5,'Oxford Economics'!$A$6:$AZ$6,0),MATCH(U$5&amp;"",'Oxford Economics'!$A$6:$AZ$6,0))),'Oxford Economics'!$A$7:$A$1000,$C121,'Oxford Economics'!$B$7:$B$1000,Settings!$B$15),SUMIFS(INDEX('Oxford Economics'!$A$7:$AZ$1000,0,IFERROR(MATCH(U$5,'Oxford Economics'!$A$6:$AZ$6,0),MATCH(U$5&amp;"",'Oxford Economics'!$A$6:$AZ$6,0))),'Oxford Economics'!$A$7:$A$1000,$C121,'Oxford Economics'!$B$7:$B$1000,Settings!$B$15)+SUMIFS(INDEX('Oxford Economics'!$A$7:$AZ$1000,0,IFERROR(MATCH(U$5,'Oxford Economics'!$A$6:$AZ$6,0),MATCH(U$5&amp;"",'Oxford Economics'!$A$6:$AZ$6,0))),'Oxford Economics'!$A$7:$A$1000,$C121,'Oxford Economics'!$B$7:$B$1000,Settings!$B$17)+IF(Settings!$B$19="",0,SUMIFS(INDEX('Oxford Economics'!$A$7:$AZ$1000,0,IFERROR(MATCH(U$5,'Oxford Economics'!$A$6:$AZ$6,0),MATCH(U$5&amp;"",'Oxford Economics'!$A$6:$AZ$6,0))),'Oxford Economics'!$A$7:$A$1000,$C121,'Oxford Economics'!$B$7:$B$1000,Settings!$B$19)))),""))</f>
        <v/>
      </c>
      <c r="V121" s="38" t="str">
        <f aca="false">IF($A121="","",IFERROR(1/(1/IF($B121="Residential",SUMIFS(INDEX('Oxford Economics'!$A$7:$AZ$1000,0,IFERROR(MATCH(V$5,'Oxford Economics'!$A$6:$AZ$6,0),MATCH(V$5&amp;"",'Oxford Economics'!$A$6:$AZ$6,0))),'Oxford Economics'!$A$7:$A$1000,$C121,'Oxford Economics'!$B$7:$B$1000,Settings!$B$13)-SUMIFS(INDEX('Oxford Economics'!$A$7:$AZ$1000,0,IFERROR(MATCH(V$5,'Oxford Economics'!$A$6:$AZ$6,0),MATCH(V$5&amp;"",'Oxford Economics'!$A$6:$AZ$6,0))),'Oxford Economics'!$A$7:$A$1000,$C121,'Oxford Economics'!$B$7:$B$1000,Settings!$B$15),SUMIFS(INDEX('Oxford Economics'!$A$7:$AZ$1000,0,IFERROR(MATCH(V$5,'Oxford Economics'!$A$6:$AZ$6,0),MATCH(V$5&amp;"",'Oxford Economics'!$A$6:$AZ$6,0))),'Oxford Economics'!$A$7:$A$1000,$C121,'Oxford Economics'!$B$7:$B$1000,Settings!$B$15)+SUMIFS(INDEX('Oxford Economics'!$A$7:$AZ$1000,0,IFERROR(MATCH(V$5,'Oxford Economics'!$A$6:$AZ$6,0),MATCH(V$5&amp;"",'Oxford Economics'!$A$6:$AZ$6,0))),'Oxford Economics'!$A$7:$A$1000,$C121,'Oxford Economics'!$B$7:$B$1000,Settings!$B$17)+IF(Settings!$B$19="",0,SUMIFS(INDEX('Oxford Economics'!$A$7:$AZ$1000,0,IFERROR(MATCH(V$5,'Oxford Economics'!$A$6:$AZ$6,0),MATCH(V$5&amp;"",'Oxford Economics'!$A$6:$AZ$6,0))),'Oxford Economics'!$A$7:$A$1000,$C121,'Oxford Economics'!$B$7:$B$1000,Settings!$B$19)))),""))</f>
        <v/>
      </c>
      <c r="W121" s="38" t="str">
        <f aca="false">IF($A121="","",IFERROR(1/(1/IF($B121="Residential",SUMIFS(INDEX('Oxford Economics'!$A$7:$AZ$1000,0,IFERROR(MATCH(W$5,'Oxford Economics'!$A$6:$AZ$6,0),MATCH(W$5&amp;"",'Oxford Economics'!$A$6:$AZ$6,0))),'Oxford Economics'!$A$7:$A$1000,$C121,'Oxford Economics'!$B$7:$B$1000,Settings!$B$13)-SUMIFS(INDEX('Oxford Economics'!$A$7:$AZ$1000,0,IFERROR(MATCH(W$5,'Oxford Economics'!$A$6:$AZ$6,0),MATCH(W$5&amp;"",'Oxford Economics'!$A$6:$AZ$6,0))),'Oxford Economics'!$A$7:$A$1000,$C121,'Oxford Economics'!$B$7:$B$1000,Settings!$B$15),SUMIFS(INDEX('Oxford Economics'!$A$7:$AZ$1000,0,IFERROR(MATCH(W$5,'Oxford Economics'!$A$6:$AZ$6,0),MATCH(W$5&amp;"",'Oxford Economics'!$A$6:$AZ$6,0))),'Oxford Economics'!$A$7:$A$1000,$C121,'Oxford Economics'!$B$7:$B$1000,Settings!$B$15)+SUMIFS(INDEX('Oxford Economics'!$A$7:$AZ$1000,0,IFERROR(MATCH(W$5,'Oxford Economics'!$A$6:$AZ$6,0),MATCH(W$5&amp;"",'Oxford Economics'!$A$6:$AZ$6,0))),'Oxford Economics'!$A$7:$A$1000,$C121,'Oxford Economics'!$B$7:$B$1000,Settings!$B$17)+IF(Settings!$B$19="",0,SUMIFS(INDEX('Oxford Economics'!$A$7:$AZ$1000,0,IFERROR(MATCH(W$5,'Oxford Economics'!$A$6:$AZ$6,0),MATCH(W$5&amp;"",'Oxford Economics'!$A$6:$AZ$6,0))),'Oxford Economics'!$A$7:$A$1000,$C121,'Oxford Economics'!$B$7:$B$1000,Settings!$B$19)))),""))</f>
        <v/>
      </c>
      <c r="X121" s="38" t="str">
        <f aca="false">IF($A121="","",IFERROR(1/(1/IF($B121="Residential",SUMIFS(INDEX('Oxford Economics'!$A$7:$AZ$1000,0,IFERROR(MATCH(X$5,'Oxford Economics'!$A$6:$AZ$6,0),MATCH(X$5&amp;"",'Oxford Economics'!$A$6:$AZ$6,0))),'Oxford Economics'!$A$7:$A$1000,$C121,'Oxford Economics'!$B$7:$B$1000,Settings!$B$13)-SUMIFS(INDEX('Oxford Economics'!$A$7:$AZ$1000,0,IFERROR(MATCH(X$5,'Oxford Economics'!$A$6:$AZ$6,0),MATCH(X$5&amp;"",'Oxford Economics'!$A$6:$AZ$6,0))),'Oxford Economics'!$A$7:$A$1000,$C121,'Oxford Economics'!$B$7:$B$1000,Settings!$B$15),SUMIFS(INDEX('Oxford Economics'!$A$7:$AZ$1000,0,IFERROR(MATCH(X$5,'Oxford Economics'!$A$6:$AZ$6,0),MATCH(X$5&amp;"",'Oxford Economics'!$A$6:$AZ$6,0))),'Oxford Economics'!$A$7:$A$1000,$C121,'Oxford Economics'!$B$7:$B$1000,Settings!$B$15)+SUMIFS(INDEX('Oxford Economics'!$A$7:$AZ$1000,0,IFERROR(MATCH(X$5,'Oxford Economics'!$A$6:$AZ$6,0),MATCH(X$5&amp;"",'Oxford Economics'!$A$6:$AZ$6,0))),'Oxford Economics'!$A$7:$A$1000,$C121,'Oxford Economics'!$B$7:$B$1000,Settings!$B$17)+IF(Settings!$B$19="",0,SUMIFS(INDEX('Oxford Economics'!$A$7:$AZ$1000,0,IFERROR(MATCH(X$5,'Oxford Economics'!$A$6:$AZ$6,0),MATCH(X$5&amp;"",'Oxford Economics'!$A$6:$AZ$6,0))),'Oxford Economics'!$A$7:$A$1000,$C121,'Oxford Economics'!$B$7:$B$1000,Settings!$B$19)))),""))</f>
        <v/>
      </c>
      <c r="Y121" s="38" t="str">
        <f aca="false">IF($A121="","",IFERROR(1/(1/IF($B121="Residential",SUMIFS(INDEX('Oxford Economics'!$A$7:$AZ$1000,0,IFERROR(MATCH(Y$5,'Oxford Economics'!$A$6:$AZ$6,0),MATCH(Y$5&amp;"",'Oxford Economics'!$A$6:$AZ$6,0))),'Oxford Economics'!$A$7:$A$1000,$C121,'Oxford Economics'!$B$7:$B$1000,Settings!$B$13)-SUMIFS(INDEX('Oxford Economics'!$A$7:$AZ$1000,0,IFERROR(MATCH(Y$5,'Oxford Economics'!$A$6:$AZ$6,0),MATCH(Y$5&amp;"",'Oxford Economics'!$A$6:$AZ$6,0))),'Oxford Economics'!$A$7:$A$1000,$C121,'Oxford Economics'!$B$7:$B$1000,Settings!$B$15),SUMIFS(INDEX('Oxford Economics'!$A$7:$AZ$1000,0,IFERROR(MATCH(Y$5,'Oxford Economics'!$A$6:$AZ$6,0),MATCH(Y$5&amp;"",'Oxford Economics'!$A$6:$AZ$6,0))),'Oxford Economics'!$A$7:$A$1000,$C121,'Oxford Economics'!$B$7:$B$1000,Settings!$B$15)+SUMIFS(INDEX('Oxford Economics'!$A$7:$AZ$1000,0,IFERROR(MATCH(Y$5,'Oxford Economics'!$A$6:$AZ$6,0),MATCH(Y$5&amp;"",'Oxford Economics'!$A$6:$AZ$6,0))),'Oxford Economics'!$A$7:$A$1000,$C121,'Oxford Economics'!$B$7:$B$1000,Settings!$B$17)+IF(Settings!$B$19="",0,SUMIFS(INDEX('Oxford Economics'!$A$7:$AZ$1000,0,IFERROR(MATCH(Y$5,'Oxford Economics'!$A$6:$AZ$6,0),MATCH(Y$5&amp;"",'Oxford Economics'!$A$6:$AZ$6,0))),'Oxford Economics'!$A$7:$A$1000,$C121,'Oxford Economics'!$B$7:$B$1000,Settings!$B$19)))),""))</f>
        <v/>
      </c>
      <c r="Z121" s="38" t="str">
        <f aca="false">IF($A121="","",IFERROR(1/(1/IF($B121="Residential",SUMIFS(INDEX('Oxford Economics'!$A$7:$AZ$1000,0,IFERROR(MATCH(Z$5,'Oxford Economics'!$A$6:$AZ$6,0),MATCH(Z$5&amp;"",'Oxford Economics'!$A$6:$AZ$6,0))),'Oxford Economics'!$A$7:$A$1000,$C121,'Oxford Economics'!$B$7:$B$1000,Settings!$B$13)-SUMIFS(INDEX('Oxford Economics'!$A$7:$AZ$1000,0,IFERROR(MATCH(Z$5,'Oxford Economics'!$A$6:$AZ$6,0),MATCH(Z$5&amp;"",'Oxford Economics'!$A$6:$AZ$6,0))),'Oxford Economics'!$A$7:$A$1000,$C121,'Oxford Economics'!$B$7:$B$1000,Settings!$B$15),SUMIFS(INDEX('Oxford Economics'!$A$7:$AZ$1000,0,IFERROR(MATCH(Z$5,'Oxford Economics'!$A$6:$AZ$6,0),MATCH(Z$5&amp;"",'Oxford Economics'!$A$6:$AZ$6,0))),'Oxford Economics'!$A$7:$A$1000,$C121,'Oxford Economics'!$B$7:$B$1000,Settings!$B$15)+SUMIFS(INDEX('Oxford Economics'!$A$7:$AZ$1000,0,IFERROR(MATCH(Z$5,'Oxford Economics'!$A$6:$AZ$6,0),MATCH(Z$5&amp;"",'Oxford Economics'!$A$6:$AZ$6,0))),'Oxford Economics'!$A$7:$A$1000,$C121,'Oxford Economics'!$B$7:$B$1000,Settings!$B$17)+IF(Settings!$B$19="",0,SUMIFS(INDEX('Oxford Economics'!$A$7:$AZ$1000,0,IFERROR(MATCH(Z$5,'Oxford Economics'!$A$6:$AZ$6,0),MATCH(Z$5&amp;"",'Oxford Economics'!$A$6:$AZ$6,0))),'Oxford Economics'!$A$7:$A$1000,$C121,'Oxford Economics'!$B$7:$B$1000,Settings!$B$19)))),""))</f>
        <v/>
      </c>
      <c r="AA121" s="38" t="str">
        <f aca="false">IF($A121="","",IFERROR(1/(1/IF($B121="Residential",SUMIFS(INDEX('Oxford Economics'!$A$7:$AZ$1000,0,IFERROR(MATCH(AA$5,'Oxford Economics'!$A$6:$AZ$6,0),MATCH(AA$5&amp;"",'Oxford Economics'!$A$6:$AZ$6,0))),'Oxford Economics'!$A$7:$A$1000,$C121,'Oxford Economics'!$B$7:$B$1000,Settings!$B$13)-SUMIFS(INDEX('Oxford Economics'!$A$7:$AZ$1000,0,IFERROR(MATCH(AA$5,'Oxford Economics'!$A$6:$AZ$6,0),MATCH(AA$5&amp;"",'Oxford Economics'!$A$6:$AZ$6,0))),'Oxford Economics'!$A$7:$A$1000,$C121,'Oxford Economics'!$B$7:$B$1000,Settings!$B$15),SUMIFS(INDEX('Oxford Economics'!$A$7:$AZ$1000,0,IFERROR(MATCH(AA$5,'Oxford Economics'!$A$6:$AZ$6,0),MATCH(AA$5&amp;"",'Oxford Economics'!$A$6:$AZ$6,0))),'Oxford Economics'!$A$7:$A$1000,$C121,'Oxford Economics'!$B$7:$B$1000,Settings!$B$15)+SUMIFS(INDEX('Oxford Economics'!$A$7:$AZ$1000,0,IFERROR(MATCH(AA$5,'Oxford Economics'!$A$6:$AZ$6,0),MATCH(AA$5&amp;"",'Oxford Economics'!$A$6:$AZ$6,0))),'Oxford Economics'!$A$7:$A$1000,$C121,'Oxford Economics'!$B$7:$B$1000,Settings!$B$17)+IF(Settings!$B$19="",0,SUMIFS(INDEX('Oxford Economics'!$A$7:$AZ$1000,0,IFERROR(MATCH(AA$5,'Oxford Economics'!$A$6:$AZ$6,0),MATCH(AA$5&amp;"",'Oxford Economics'!$A$6:$AZ$6,0))),'Oxford Economics'!$A$7:$A$1000,$C121,'Oxford Economics'!$B$7:$B$1000,Settings!$B$19)))),""))</f>
        <v/>
      </c>
      <c r="AB121" s="38" t="str">
        <f aca="false">IF($A121="","",IFERROR(1/(1/IF($B121="Residential",SUMIFS(INDEX('Oxford Economics'!$A$7:$AZ$1000,0,IFERROR(MATCH(AB$5,'Oxford Economics'!$A$6:$AZ$6,0),MATCH(AB$5&amp;"",'Oxford Economics'!$A$6:$AZ$6,0))),'Oxford Economics'!$A$7:$A$1000,$C121,'Oxford Economics'!$B$7:$B$1000,Settings!$B$12)-SUMIFS(INDEX('Oxford Economics'!$A$7:$AZ$1000,0,IFERROR(MATCH(AB$5,'Oxford Economics'!$A$6:$AZ$6,0),MATCH(AB$5&amp;"",'Oxford Economics'!$A$6:$AZ$6,0))),'Oxford Economics'!$A$7:$A$1000,$C121,'Oxford Economics'!$B$7:$B$1000,Settings!$B$14),SUMIFS(INDEX('Oxford Economics'!$A$7:$AZ$1000,0,IFERROR(MATCH(AB$5,'Oxford Economics'!$A$6:$AZ$6,0),MATCH(AB$5&amp;"",'Oxford Economics'!$A$6:$AZ$6,0))),'Oxford Economics'!$A$7:$A$1000,$C121,'Oxford Economics'!$B$7:$B$1000,Settings!$B$14)+SUMIFS(INDEX('Oxford Economics'!$A$7:$AZ$1000,0,IFERROR(MATCH(AB$5,'Oxford Economics'!$A$6:$AZ$6,0),MATCH(AB$5&amp;"",'Oxford Economics'!$A$6:$AZ$6,0))),'Oxford Economics'!$A$7:$A$1000,$C121,'Oxford Economics'!$B$7:$B$1000,Settings!$B$16)+IF(Settings!$B$18="",0,SUMIFS(INDEX('Oxford Economics'!$A$7:$AZ$1000,0,IFERROR(MATCH(AB$5,'Oxford Economics'!$A$6:$AZ$6,0),MATCH(AB$5&amp;"",'Oxford Economics'!$A$6:$AZ$6,0))),'Oxford Economics'!$A$7:$A$1000,$C121,'Oxford Economics'!$B$7:$B$1000,Settings!$B$18)))),""))</f>
        <v/>
      </c>
      <c r="AC121" s="38" t="str">
        <f aca="false">IF($A121="","",IFERROR(1/(1/IF($B121="Residential",SUMIFS(INDEX('Oxford Economics'!$A$7:$AZ$1000,0,IFERROR(MATCH(AC$5,'Oxford Economics'!$A$6:$AZ$6,0),MATCH(AC$5&amp;"",'Oxford Economics'!$A$6:$AZ$6,0))),'Oxford Economics'!$A$7:$A$1000,$C121,'Oxford Economics'!$B$7:$B$1000,Settings!$B$12)-SUMIFS(INDEX('Oxford Economics'!$A$7:$AZ$1000,0,IFERROR(MATCH(AC$5,'Oxford Economics'!$A$6:$AZ$6,0),MATCH(AC$5&amp;"",'Oxford Economics'!$A$6:$AZ$6,0))),'Oxford Economics'!$A$7:$A$1000,$C121,'Oxford Economics'!$B$7:$B$1000,Settings!$B$14),SUMIFS(INDEX('Oxford Economics'!$A$7:$AZ$1000,0,IFERROR(MATCH(AC$5,'Oxford Economics'!$A$6:$AZ$6,0),MATCH(AC$5&amp;"",'Oxford Economics'!$A$6:$AZ$6,0))),'Oxford Economics'!$A$7:$A$1000,$C121,'Oxford Economics'!$B$7:$B$1000,Settings!$B$14)+SUMIFS(INDEX('Oxford Economics'!$A$7:$AZ$1000,0,IFERROR(MATCH(AC$5,'Oxford Economics'!$A$6:$AZ$6,0),MATCH(AC$5&amp;"",'Oxford Economics'!$A$6:$AZ$6,0))),'Oxford Economics'!$A$7:$A$1000,$C121,'Oxford Economics'!$B$7:$B$1000,Settings!$B$16)+IF(Settings!$B$18="",0,SUMIFS(INDEX('Oxford Economics'!$A$7:$AZ$1000,0,IFERROR(MATCH(AC$5,'Oxford Economics'!$A$6:$AZ$6,0),MATCH(AC$5&amp;"",'Oxford Economics'!$A$6:$AZ$6,0))),'Oxford Economics'!$A$7:$A$1000,$C121,'Oxford Economics'!$B$7:$B$1000,Settings!$B$18)))),""))</f>
        <v/>
      </c>
      <c r="AD121" s="38" t="str">
        <f aca="false">IF($A121="","",IFERROR(1/(1/IF($B121="Residential",SUMIFS(INDEX('Oxford Economics'!$A$7:$AZ$1000,0,IFERROR(MATCH(AD$5,'Oxford Economics'!$A$6:$AZ$6,0),MATCH(AD$5&amp;"",'Oxford Economics'!$A$6:$AZ$6,0))),'Oxford Economics'!$A$7:$A$1000,$C121,'Oxford Economics'!$B$7:$B$1000,Settings!$B$12)-SUMIFS(INDEX('Oxford Economics'!$A$7:$AZ$1000,0,IFERROR(MATCH(AD$5,'Oxford Economics'!$A$6:$AZ$6,0),MATCH(AD$5&amp;"",'Oxford Economics'!$A$6:$AZ$6,0))),'Oxford Economics'!$A$7:$A$1000,$C121,'Oxford Economics'!$B$7:$B$1000,Settings!$B$14),SUMIFS(INDEX('Oxford Economics'!$A$7:$AZ$1000,0,IFERROR(MATCH(AD$5,'Oxford Economics'!$A$6:$AZ$6,0),MATCH(AD$5&amp;"",'Oxford Economics'!$A$6:$AZ$6,0))),'Oxford Economics'!$A$7:$A$1000,$C121,'Oxford Economics'!$B$7:$B$1000,Settings!$B$14)+SUMIFS(INDEX('Oxford Economics'!$A$7:$AZ$1000,0,IFERROR(MATCH(AD$5,'Oxford Economics'!$A$6:$AZ$6,0),MATCH(AD$5&amp;"",'Oxford Economics'!$A$6:$AZ$6,0))),'Oxford Economics'!$A$7:$A$1000,$C121,'Oxford Economics'!$B$7:$B$1000,Settings!$B$16)+IF(Settings!$B$18="",0,SUMIFS(INDEX('Oxford Economics'!$A$7:$AZ$1000,0,IFERROR(MATCH(AD$5,'Oxford Economics'!$A$6:$AZ$6,0),MATCH(AD$5&amp;"",'Oxford Economics'!$A$6:$AZ$6,0))),'Oxford Economics'!$A$7:$A$1000,$C121,'Oxford Economics'!$B$7:$B$1000,Settings!$B$18)))),""))</f>
        <v/>
      </c>
      <c r="AE121" s="38" t="str">
        <f aca="false">IF($A121="","",IFERROR(1/(1/IF($B121="Residential",SUMIFS(INDEX('Oxford Economics'!$A$7:$AZ$1000,0,IFERROR(MATCH(AE$5,'Oxford Economics'!$A$6:$AZ$6,0),MATCH(AE$5&amp;"",'Oxford Economics'!$A$6:$AZ$6,0))),'Oxford Economics'!$A$7:$A$1000,$C121,'Oxford Economics'!$B$7:$B$1000,Settings!$B$12)-SUMIFS(INDEX('Oxford Economics'!$A$7:$AZ$1000,0,IFERROR(MATCH(AE$5,'Oxford Economics'!$A$6:$AZ$6,0),MATCH(AE$5&amp;"",'Oxford Economics'!$A$6:$AZ$6,0))),'Oxford Economics'!$A$7:$A$1000,$C121,'Oxford Economics'!$B$7:$B$1000,Settings!$B$14),SUMIFS(INDEX('Oxford Economics'!$A$7:$AZ$1000,0,IFERROR(MATCH(AE$5,'Oxford Economics'!$A$6:$AZ$6,0),MATCH(AE$5&amp;"",'Oxford Economics'!$A$6:$AZ$6,0))),'Oxford Economics'!$A$7:$A$1000,$C121,'Oxford Economics'!$B$7:$B$1000,Settings!$B$14)+SUMIFS(INDEX('Oxford Economics'!$A$7:$AZ$1000,0,IFERROR(MATCH(AE$5,'Oxford Economics'!$A$6:$AZ$6,0),MATCH(AE$5&amp;"",'Oxford Economics'!$A$6:$AZ$6,0))),'Oxford Economics'!$A$7:$A$1000,$C121,'Oxford Economics'!$B$7:$B$1000,Settings!$B$16)+IF(Settings!$B$18="",0,SUMIFS(INDEX('Oxford Economics'!$A$7:$AZ$1000,0,IFERROR(MATCH(AE$5,'Oxford Economics'!$A$6:$AZ$6,0),MATCH(AE$5&amp;"",'Oxford Economics'!$A$6:$AZ$6,0))),'Oxford Economics'!$A$7:$A$1000,$C121,'Oxford Economics'!$B$7:$B$1000,Settings!$B$18)))),""))</f>
        <v/>
      </c>
      <c r="AF121" s="38" t="str">
        <f aca="false">IF($A121="","",IFERROR(1/(1/IF($B121="Residential",SUMIFS(INDEX('Oxford Economics'!$A$7:$AZ$1000,0,IFERROR(MATCH(AF$5,'Oxford Economics'!$A$6:$AZ$6,0),MATCH(AF$5&amp;"",'Oxford Economics'!$A$6:$AZ$6,0))),'Oxford Economics'!$A$7:$A$1000,$C121,'Oxford Economics'!$B$7:$B$1000,Settings!$B$12)-SUMIFS(INDEX('Oxford Economics'!$A$7:$AZ$1000,0,IFERROR(MATCH(AF$5,'Oxford Economics'!$A$6:$AZ$6,0),MATCH(AF$5&amp;"",'Oxford Economics'!$A$6:$AZ$6,0))),'Oxford Economics'!$A$7:$A$1000,$C121,'Oxford Economics'!$B$7:$B$1000,Settings!$B$14),SUMIFS(INDEX('Oxford Economics'!$A$7:$AZ$1000,0,IFERROR(MATCH(AF$5,'Oxford Economics'!$A$6:$AZ$6,0),MATCH(AF$5&amp;"",'Oxford Economics'!$A$6:$AZ$6,0))),'Oxford Economics'!$A$7:$A$1000,$C121,'Oxford Economics'!$B$7:$B$1000,Settings!$B$14)+SUMIFS(INDEX('Oxford Economics'!$A$7:$AZ$1000,0,IFERROR(MATCH(AF$5,'Oxford Economics'!$A$6:$AZ$6,0),MATCH(AF$5&amp;"",'Oxford Economics'!$A$6:$AZ$6,0))),'Oxford Economics'!$A$7:$A$1000,$C121,'Oxford Economics'!$B$7:$B$1000,Settings!$B$16)+IF(Settings!$B$18="",0,SUMIFS(INDEX('Oxford Economics'!$A$7:$AZ$1000,0,IFERROR(MATCH(AF$5,'Oxford Economics'!$A$6:$AZ$6,0),MATCH(AF$5&amp;"",'Oxford Economics'!$A$6:$AZ$6,0))),'Oxford Economics'!$A$7:$A$1000,$C121,'Oxford Economics'!$B$7:$B$1000,Settings!$B$18)))),""))</f>
        <v/>
      </c>
      <c r="AG121" s="38" t="str">
        <f aca="false">IF($A121="","",IFERROR(1/(1/IF($B121="Residential",SUMIFS(INDEX('Oxford Economics'!$A$7:$AZ$1000,0,IFERROR(MATCH(AG$5,'Oxford Economics'!$A$6:$AZ$6,0),MATCH(AG$5&amp;"",'Oxford Economics'!$A$6:$AZ$6,0))),'Oxford Economics'!$A$7:$A$1000,$C121,'Oxford Economics'!$B$7:$B$1000,Settings!$B$12)-SUMIFS(INDEX('Oxford Economics'!$A$7:$AZ$1000,0,IFERROR(MATCH(AG$5,'Oxford Economics'!$A$6:$AZ$6,0),MATCH(AG$5&amp;"",'Oxford Economics'!$A$6:$AZ$6,0))),'Oxford Economics'!$A$7:$A$1000,$C121,'Oxford Economics'!$B$7:$B$1000,Settings!$B$14),SUMIFS(INDEX('Oxford Economics'!$A$7:$AZ$1000,0,IFERROR(MATCH(AG$5,'Oxford Economics'!$A$6:$AZ$6,0),MATCH(AG$5&amp;"",'Oxford Economics'!$A$6:$AZ$6,0))),'Oxford Economics'!$A$7:$A$1000,$C121,'Oxford Economics'!$B$7:$B$1000,Settings!$B$14)+SUMIFS(INDEX('Oxford Economics'!$A$7:$AZ$1000,0,IFERROR(MATCH(AG$5,'Oxford Economics'!$A$6:$AZ$6,0),MATCH(AG$5&amp;"",'Oxford Economics'!$A$6:$AZ$6,0))),'Oxford Economics'!$A$7:$A$1000,$C121,'Oxford Economics'!$B$7:$B$1000,Settings!$B$16)+IF(Settings!$B$18="",0,SUMIFS(INDEX('Oxford Economics'!$A$7:$AZ$1000,0,IFERROR(MATCH(AG$5,'Oxford Economics'!$A$6:$AZ$6,0),MATCH(AG$5&amp;"",'Oxford Economics'!$A$6:$AZ$6,0))),'Oxford Economics'!$A$7:$A$1000,$C121,'Oxford Economics'!$B$7:$B$1000,Settings!$B$18)))),""))</f>
        <v/>
      </c>
      <c r="AH121" s="38" t="str">
        <f aca="false">IF($A121="","",IFERROR(1/(1/IF($B121="Residential",SUMIFS(INDEX('Oxford Economics'!$A$7:$AZ$1000,0,IFERROR(MATCH(AH$5,'Oxford Economics'!$A$6:$AZ$6,0),MATCH(AH$5&amp;"",'Oxford Economics'!$A$6:$AZ$6,0))),'Oxford Economics'!$A$7:$A$1000,$C121,'Oxford Economics'!$B$7:$B$1000,Settings!$B$12)-SUMIFS(INDEX('Oxford Economics'!$A$7:$AZ$1000,0,IFERROR(MATCH(AH$5,'Oxford Economics'!$A$6:$AZ$6,0),MATCH(AH$5&amp;"",'Oxford Economics'!$A$6:$AZ$6,0))),'Oxford Economics'!$A$7:$A$1000,$C121,'Oxford Economics'!$B$7:$B$1000,Settings!$B$14),SUMIFS(INDEX('Oxford Economics'!$A$7:$AZ$1000,0,IFERROR(MATCH(AH$5,'Oxford Economics'!$A$6:$AZ$6,0),MATCH(AH$5&amp;"",'Oxford Economics'!$A$6:$AZ$6,0))),'Oxford Economics'!$A$7:$A$1000,$C121,'Oxford Economics'!$B$7:$B$1000,Settings!$B$14)+SUMIFS(INDEX('Oxford Economics'!$A$7:$AZ$1000,0,IFERROR(MATCH(AH$5,'Oxford Economics'!$A$6:$AZ$6,0),MATCH(AH$5&amp;"",'Oxford Economics'!$A$6:$AZ$6,0))),'Oxford Economics'!$A$7:$A$1000,$C121,'Oxford Economics'!$B$7:$B$1000,Settings!$B$16)+IF(Settings!$B$18="",0,SUMIFS(INDEX('Oxford Economics'!$A$7:$AZ$1000,0,IFERROR(MATCH(AH$5,'Oxford Economics'!$A$6:$AZ$6,0),MATCH(AH$5&amp;"",'Oxford Economics'!$A$6:$AZ$6,0))),'Oxford Economics'!$A$7:$A$1000,$C121,'Oxford Economics'!$B$7:$B$1000,Settings!$B$18)))),""))</f>
        <v/>
      </c>
      <c r="AI121" s="38" t="str">
        <f aca="false">IF($A121="","",IFERROR(1/(1/IF($B121="Residential",SUMIFS(INDEX('Oxford Economics'!$A$7:$AZ$1000,0,IFERROR(MATCH(AI$5,'Oxford Economics'!$A$6:$AZ$6,0),MATCH(AI$5&amp;"",'Oxford Economics'!$A$6:$AZ$6,0))),'Oxford Economics'!$A$7:$A$1000,$C121,'Oxford Economics'!$B$7:$B$1000,Settings!$B$12)-SUMIFS(INDEX('Oxford Economics'!$A$7:$AZ$1000,0,IFERROR(MATCH(AI$5,'Oxford Economics'!$A$6:$AZ$6,0),MATCH(AI$5&amp;"",'Oxford Economics'!$A$6:$AZ$6,0))),'Oxford Economics'!$A$7:$A$1000,$C121,'Oxford Economics'!$B$7:$B$1000,Settings!$B$14),SUMIFS(INDEX('Oxford Economics'!$A$7:$AZ$1000,0,IFERROR(MATCH(AI$5,'Oxford Economics'!$A$6:$AZ$6,0),MATCH(AI$5&amp;"",'Oxford Economics'!$A$6:$AZ$6,0))),'Oxford Economics'!$A$7:$A$1000,$C121,'Oxford Economics'!$B$7:$B$1000,Settings!$B$14)+SUMIFS(INDEX('Oxford Economics'!$A$7:$AZ$1000,0,IFERROR(MATCH(AI$5,'Oxford Economics'!$A$6:$AZ$6,0),MATCH(AI$5&amp;"",'Oxford Economics'!$A$6:$AZ$6,0))),'Oxford Economics'!$A$7:$A$1000,$C121,'Oxford Economics'!$B$7:$B$1000,Settings!$B$16)+IF(Settings!$B$18="",0,SUMIFS(INDEX('Oxford Economics'!$A$7:$AZ$1000,0,IFERROR(MATCH(AI$5,'Oxford Economics'!$A$6:$AZ$6,0),MATCH(AI$5&amp;"",'Oxford Economics'!$A$6:$AZ$6,0))),'Oxford Economics'!$A$7:$A$1000,$C121,'Oxford Economics'!$B$7:$B$1000,Settings!$B$18)))),""))</f>
        <v/>
      </c>
      <c r="AJ121" s="38" t="str">
        <f aca="false">IF($A121="","",IFERROR(1/(1/IF($B121="Residential",SUMIFS(INDEX('Oxford Economics'!$A$7:$AZ$1000,0,IFERROR(MATCH(AJ$5,'Oxford Economics'!$A$6:$AZ$6,0),MATCH(AJ$5&amp;"",'Oxford Economics'!$A$6:$AZ$6,0))),'Oxford Economics'!$A$7:$A$1000,$C121,'Oxford Economics'!$B$7:$B$1000,Settings!$B$12)-SUMIFS(INDEX('Oxford Economics'!$A$7:$AZ$1000,0,IFERROR(MATCH(AJ$5,'Oxford Economics'!$A$6:$AZ$6,0),MATCH(AJ$5&amp;"",'Oxford Economics'!$A$6:$AZ$6,0))),'Oxford Economics'!$A$7:$A$1000,$C121,'Oxford Economics'!$B$7:$B$1000,Settings!$B$14),SUMIFS(INDEX('Oxford Economics'!$A$7:$AZ$1000,0,IFERROR(MATCH(AJ$5,'Oxford Economics'!$A$6:$AZ$6,0),MATCH(AJ$5&amp;"",'Oxford Economics'!$A$6:$AZ$6,0))),'Oxford Economics'!$A$7:$A$1000,$C121,'Oxford Economics'!$B$7:$B$1000,Settings!$B$14)+SUMIFS(INDEX('Oxford Economics'!$A$7:$AZ$1000,0,IFERROR(MATCH(AJ$5,'Oxford Economics'!$A$6:$AZ$6,0),MATCH(AJ$5&amp;"",'Oxford Economics'!$A$6:$AZ$6,0))),'Oxford Economics'!$A$7:$A$1000,$C121,'Oxford Economics'!$B$7:$B$1000,Settings!$B$16)+IF(Settings!$B$18="",0,SUMIFS(INDEX('Oxford Economics'!$A$7:$AZ$1000,0,IFERROR(MATCH(AJ$5,'Oxford Economics'!$A$6:$AZ$6,0),MATCH(AJ$5&amp;"",'Oxford Economics'!$A$6:$AZ$6,0))),'Oxford Economics'!$A$7:$A$1000,$C121,'Oxford Economics'!$B$7:$B$1000,Settings!$B$18)))),""))</f>
        <v/>
      </c>
      <c r="AK121" s="38" t="str">
        <f aca="false">IF($A121="","",IFERROR(1/(1/IF($B121="Residential",SUMIFS(INDEX('Oxford Economics'!$A$7:$AZ$1000,0,IFERROR(MATCH(AK$5,'Oxford Economics'!$A$6:$AZ$6,0),MATCH(AK$5&amp;"",'Oxford Economics'!$A$6:$AZ$6,0))),'Oxford Economics'!$A$7:$A$1000,$C121,'Oxford Economics'!$B$7:$B$1000,Settings!$B$12)-SUMIFS(INDEX('Oxford Economics'!$A$7:$AZ$1000,0,IFERROR(MATCH(AK$5,'Oxford Economics'!$A$6:$AZ$6,0),MATCH(AK$5&amp;"",'Oxford Economics'!$A$6:$AZ$6,0))),'Oxford Economics'!$A$7:$A$1000,$C121,'Oxford Economics'!$B$7:$B$1000,Settings!$B$14),SUMIFS(INDEX('Oxford Economics'!$A$7:$AZ$1000,0,IFERROR(MATCH(AK$5,'Oxford Economics'!$A$6:$AZ$6,0),MATCH(AK$5&amp;"",'Oxford Economics'!$A$6:$AZ$6,0))),'Oxford Economics'!$A$7:$A$1000,$C121,'Oxford Economics'!$B$7:$B$1000,Settings!$B$14)+SUMIFS(INDEX('Oxford Economics'!$A$7:$AZ$1000,0,IFERROR(MATCH(AK$5,'Oxford Economics'!$A$6:$AZ$6,0),MATCH(AK$5&amp;"",'Oxford Economics'!$A$6:$AZ$6,0))),'Oxford Economics'!$A$7:$A$1000,$C121,'Oxford Economics'!$B$7:$B$1000,Settings!$B$16)+IF(Settings!$B$18="",0,SUMIFS(INDEX('Oxford Economics'!$A$7:$AZ$1000,0,IFERROR(MATCH(AK$5,'Oxford Economics'!$A$6:$AZ$6,0),MATCH(AK$5&amp;"",'Oxford Economics'!$A$6:$AZ$6,0))),'Oxford Economics'!$A$7:$A$1000,$C121,'Oxford Economics'!$B$7:$B$1000,Settings!$B$18)))),""))</f>
        <v/>
      </c>
      <c r="AL121" s="38" t="str">
        <f aca="false">IF($A121="","",IFERROR(1/(1/IF($B121="Residential",SUMIFS(INDEX('Oxford Economics'!$A$7:$AZ$1000,0,IFERROR(MATCH(AL$5,'Oxford Economics'!$A$6:$AZ$6,0),MATCH(AL$5&amp;"",'Oxford Economics'!$A$6:$AZ$6,0))),'Oxford Economics'!$A$7:$A$1000,$C121,'Oxford Economics'!$B$7:$B$1000,Settings!$B$12)-SUMIFS(INDEX('Oxford Economics'!$A$7:$AZ$1000,0,IFERROR(MATCH(AL$5,'Oxford Economics'!$A$6:$AZ$6,0),MATCH(AL$5&amp;"",'Oxford Economics'!$A$6:$AZ$6,0))),'Oxford Economics'!$A$7:$A$1000,$C121,'Oxford Economics'!$B$7:$B$1000,Settings!$B$14),SUMIFS(INDEX('Oxford Economics'!$A$7:$AZ$1000,0,IFERROR(MATCH(AL$5,'Oxford Economics'!$A$6:$AZ$6,0),MATCH(AL$5&amp;"",'Oxford Economics'!$A$6:$AZ$6,0))),'Oxford Economics'!$A$7:$A$1000,$C121,'Oxford Economics'!$B$7:$B$1000,Settings!$B$14)+SUMIFS(INDEX('Oxford Economics'!$A$7:$AZ$1000,0,IFERROR(MATCH(AL$5,'Oxford Economics'!$A$6:$AZ$6,0),MATCH(AL$5&amp;"",'Oxford Economics'!$A$6:$AZ$6,0))),'Oxford Economics'!$A$7:$A$1000,$C121,'Oxford Economics'!$B$7:$B$1000,Settings!$B$16)+IF(Settings!$B$18="",0,SUMIFS(INDEX('Oxford Economics'!$A$7:$AZ$1000,0,IFERROR(MATCH(AL$5,'Oxford Economics'!$A$6:$AZ$6,0),MATCH(AL$5&amp;"",'Oxford Economics'!$A$6:$AZ$6,0))),'Oxford Economics'!$A$7:$A$1000,$C121,'Oxford Economics'!$B$7:$B$1000,Settings!$B$18)))),""))</f>
        <v/>
      </c>
      <c r="AM121" s="38" t="str">
        <f aca="false">IF($A121="","",IFERROR(1/(1/IF($B121="Residential",SUMIFS(INDEX('Oxford Economics'!$A$7:$AZ$1000,0,IFERROR(MATCH(AM$5,'Oxford Economics'!$A$6:$AZ$6,0),MATCH(AM$5&amp;"",'Oxford Economics'!$A$6:$AZ$6,0))),'Oxford Economics'!$A$7:$A$1000,$C121,'Oxford Economics'!$B$7:$B$1000,Settings!$B$12)-SUMIFS(INDEX('Oxford Economics'!$A$7:$AZ$1000,0,IFERROR(MATCH(AM$5,'Oxford Economics'!$A$6:$AZ$6,0),MATCH(AM$5&amp;"",'Oxford Economics'!$A$6:$AZ$6,0))),'Oxford Economics'!$A$7:$A$1000,$C121,'Oxford Economics'!$B$7:$B$1000,Settings!$B$14),SUMIFS(INDEX('Oxford Economics'!$A$7:$AZ$1000,0,IFERROR(MATCH(AM$5,'Oxford Economics'!$A$6:$AZ$6,0),MATCH(AM$5&amp;"",'Oxford Economics'!$A$6:$AZ$6,0))),'Oxford Economics'!$A$7:$A$1000,$C121,'Oxford Economics'!$B$7:$B$1000,Settings!$B$14)+SUMIFS(INDEX('Oxford Economics'!$A$7:$AZ$1000,0,IFERROR(MATCH(AM$5,'Oxford Economics'!$A$6:$AZ$6,0),MATCH(AM$5&amp;"",'Oxford Economics'!$A$6:$AZ$6,0))),'Oxford Economics'!$A$7:$A$1000,$C121,'Oxford Economics'!$B$7:$B$1000,Settings!$B$16)+IF(Settings!$B$18="",0,SUMIFS(INDEX('Oxford Economics'!$A$7:$AZ$1000,0,IFERROR(MATCH(AM$5,'Oxford Economics'!$A$6:$AZ$6,0),MATCH(AM$5&amp;"",'Oxford Economics'!$A$6:$AZ$6,0))),'Oxford Economics'!$A$7:$A$1000,$C121,'Oxford Economics'!$B$7:$B$1000,Settings!$B$18)))),""))</f>
        <v/>
      </c>
    </row>
    <row r="122" customFormat="false" ht="15" hidden="false" customHeight="false" outlineLevel="0" collapsed="false">
      <c r="A122" s="37" t="str">
        <f aca="false">IF('Raw data'!$A122="","",'Raw data'!$A122)</f>
        <v/>
      </c>
      <c r="B122" s="37" t="str">
        <f aca="false">IF($A122="","",'Raw data'!$C122)</f>
        <v/>
      </c>
      <c r="C122" s="37" t="str">
        <f aca="false">IF($A122="","",IF('Raw data'!$E122="",$A122,'Raw data'!$E122))</f>
        <v/>
      </c>
      <c r="D122" s="38" t="str">
        <f aca="false">IF($A122="","",IF(AND(ISNUMBER(P122),ISNUMBER(AB122)),P122+AB122,""))</f>
        <v/>
      </c>
      <c r="E122" s="38" t="str">
        <f aca="false">IF($A122="","",IF(AND(ISNUMBER(Q122),ISNUMBER(AC122)),Q122+AC122,""))</f>
        <v/>
      </c>
      <c r="F122" s="38" t="str">
        <f aca="false">IF($A122="","",IF(AND(ISNUMBER(R122),ISNUMBER(AD122)),R122+AD122,""))</f>
        <v/>
      </c>
      <c r="G122" s="38" t="str">
        <f aca="false">IF($A122="","",IF(AND(ISNUMBER(S122),ISNUMBER(AE122)),S122+AE122,""))</f>
        <v/>
      </c>
      <c r="H122" s="38" t="str">
        <f aca="false">IF($A122="","",IF(AND(ISNUMBER(T122),ISNUMBER(AF122)),T122+AF122,""))</f>
        <v/>
      </c>
      <c r="I122" s="38" t="str">
        <f aca="false">IF($A122="","",IF(AND(ISNUMBER(U122),ISNUMBER(AG122)),U122+AG122,""))</f>
        <v/>
      </c>
      <c r="J122" s="38" t="str">
        <f aca="false">IF($A122="","",IF(AND(ISNUMBER(V122),ISNUMBER(AH122)),V122+AH122,""))</f>
        <v/>
      </c>
      <c r="K122" s="38" t="str">
        <f aca="false">IF($A122="","",IF(AND(ISNUMBER(W122),ISNUMBER(AI122)),W122+AI122,""))</f>
        <v/>
      </c>
      <c r="L122" s="38" t="str">
        <f aca="false">IF($A122="","",IF(AND(ISNUMBER(X122),ISNUMBER(AJ122)),X122+AJ122,""))</f>
        <v/>
      </c>
      <c r="M122" s="38" t="str">
        <f aca="false">IF($A122="","",IF(AND(ISNUMBER(Y122),ISNUMBER(AK122)),Y122+AK122,""))</f>
        <v/>
      </c>
      <c r="N122" s="38" t="str">
        <f aca="false">IF($A122="","",IF(AND(ISNUMBER(Z122),ISNUMBER(AL122)),Z122+AL122,""))</f>
        <v/>
      </c>
      <c r="O122" s="38" t="str">
        <f aca="false">IF($A122="","",IF(AND(ISNUMBER(AA122),ISNUMBER(AM122)),AA122+AM122,""))</f>
        <v/>
      </c>
      <c r="P122" s="38" t="str">
        <f aca="false">IF($A122="","",IFERROR(1/(1/IF($B122="Residential",SUMIFS(INDEX('Oxford Economics'!$A$7:$AZ$1000,0,IFERROR(MATCH(P$5,'Oxford Economics'!$A$6:$AZ$6,0),MATCH(P$5&amp;"",'Oxford Economics'!$A$6:$AZ$6,0))),'Oxford Economics'!$A$7:$A$1000,$C122,'Oxford Economics'!$B$7:$B$1000,Settings!$B$13)-SUMIFS(INDEX('Oxford Economics'!$A$7:$AZ$1000,0,IFERROR(MATCH(P$5,'Oxford Economics'!$A$6:$AZ$6,0),MATCH(P$5&amp;"",'Oxford Economics'!$A$6:$AZ$6,0))),'Oxford Economics'!$A$7:$A$1000,$C122,'Oxford Economics'!$B$7:$B$1000,Settings!$B$15),SUMIFS(INDEX('Oxford Economics'!$A$7:$AZ$1000,0,IFERROR(MATCH(P$5,'Oxford Economics'!$A$6:$AZ$6,0),MATCH(P$5&amp;"",'Oxford Economics'!$A$6:$AZ$6,0))),'Oxford Economics'!$A$7:$A$1000,$C122,'Oxford Economics'!$B$7:$B$1000,Settings!$B$15)+SUMIFS(INDEX('Oxford Economics'!$A$7:$AZ$1000,0,IFERROR(MATCH(P$5,'Oxford Economics'!$A$6:$AZ$6,0),MATCH(P$5&amp;"",'Oxford Economics'!$A$6:$AZ$6,0))),'Oxford Economics'!$A$7:$A$1000,$C122,'Oxford Economics'!$B$7:$B$1000,Settings!$B$17)+IF(Settings!$B$19="",0,SUMIFS(INDEX('Oxford Economics'!$A$7:$AZ$1000,0,IFERROR(MATCH(P$5,'Oxford Economics'!$A$6:$AZ$6,0),MATCH(P$5&amp;"",'Oxford Economics'!$A$6:$AZ$6,0))),'Oxford Economics'!$A$7:$A$1000,$C122,'Oxford Economics'!$B$7:$B$1000,Settings!$B$19)))),""))</f>
        <v/>
      </c>
      <c r="Q122" s="38" t="str">
        <f aca="false">IF($A122="","",IFERROR(1/(1/IF($B122="Residential",SUMIFS(INDEX('Oxford Economics'!$A$7:$AZ$1000,0,IFERROR(MATCH(Q$5,'Oxford Economics'!$A$6:$AZ$6,0),MATCH(Q$5&amp;"",'Oxford Economics'!$A$6:$AZ$6,0))),'Oxford Economics'!$A$7:$A$1000,$C122,'Oxford Economics'!$B$7:$B$1000,Settings!$B$13)-SUMIFS(INDEX('Oxford Economics'!$A$7:$AZ$1000,0,IFERROR(MATCH(Q$5,'Oxford Economics'!$A$6:$AZ$6,0),MATCH(Q$5&amp;"",'Oxford Economics'!$A$6:$AZ$6,0))),'Oxford Economics'!$A$7:$A$1000,$C122,'Oxford Economics'!$B$7:$B$1000,Settings!$B$15),SUMIFS(INDEX('Oxford Economics'!$A$7:$AZ$1000,0,IFERROR(MATCH(Q$5,'Oxford Economics'!$A$6:$AZ$6,0),MATCH(Q$5&amp;"",'Oxford Economics'!$A$6:$AZ$6,0))),'Oxford Economics'!$A$7:$A$1000,$C122,'Oxford Economics'!$B$7:$B$1000,Settings!$B$15)+SUMIFS(INDEX('Oxford Economics'!$A$7:$AZ$1000,0,IFERROR(MATCH(Q$5,'Oxford Economics'!$A$6:$AZ$6,0),MATCH(Q$5&amp;"",'Oxford Economics'!$A$6:$AZ$6,0))),'Oxford Economics'!$A$7:$A$1000,$C122,'Oxford Economics'!$B$7:$B$1000,Settings!$B$17)+IF(Settings!$B$19="",0,SUMIFS(INDEX('Oxford Economics'!$A$7:$AZ$1000,0,IFERROR(MATCH(Q$5,'Oxford Economics'!$A$6:$AZ$6,0),MATCH(Q$5&amp;"",'Oxford Economics'!$A$6:$AZ$6,0))),'Oxford Economics'!$A$7:$A$1000,$C122,'Oxford Economics'!$B$7:$B$1000,Settings!$B$19)))),""))</f>
        <v/>
      </c>
      <c r="R122" s="38" t="str">
        <f aca="false">IF($A122="","",IFERROR(1/(1/IF($B122="Residential",SUMIFS(INDEX('Oxford Economics'!$A$7:$AZ$1000,0,IFERROR(MATCH(R$5,'Oxford Economics'!$A$6:$AZ$6,0),MATCH(R$5&amp;"",'Oxford Economics'!$A$6:$AZ$6,0))),'Oxford Economics'!$A$7:$A$1000,$C122,'Oxford Economics'!$B$7:$B$1000,Settings!$B$13)-SUMIFS(INDEX('Oxford Economics'!$A$7:$AZ$1000,0,IFERROR(MATCH(R$5,'Oxford Economics'!$A$6:$AZ$6,0),MATCH(R$5&amp;"",'Oxford Economics'!$A$6:$AZ$6,0))),'Oxford Economics'!$A$7:$A$1000,$C122,'Oxford Economics'!$B$7:$B$1000,Settings!$B$15),SUMIFS(INDEX('Oxford Economics'!$A$7:$AZ$1000,0,IFERROR(MATCH(R$5,'Oxford Economics'!$A$6:$AZ$6,0),MATCH(R$5&amp;"",'Oxford Economics'!$A$6:$AZ$6,0))),'Oxford Economics'!$A$7:$A$1000,$C122,'Oxford Economics'!$B$7:$B$1000,Settings!$B$15)+SUMIFS(INDEX('Oxford Economics'!$A$7:$AZ$1000,0,IFERROR(MATCH(R$5,'Oxford Economics'!$A$6:$AZ$6,0),MATCH(R$5&amp;"",'Oxford Economics'!$A$6:$AZ$6,0))),'Oxford Economics'!$A$7:$A$1000,$C122,'Oxford Economics'!$B$7:$B$1000,Settings!$B$17)+IF(Settings!$B$19="",0,SUMIFS(INDEX('Oxford Economics'!$A$7:$AZ$1000,0,IFERROR(MATCH(R$5,'Oxford Economics'!$A$6:$AZ$6,0),MATCH(R$5&amp;"",'Oxford Economics'!$A$6:$AZ$6,0))),'Oxford Economics'!$A$7:$A$1000,$C122,'Oxford Economics'!$B$7:$B$1000,Settings!$B$19)))),""))</f>
        <v/>
      </c>
      <c r="S122" s="38" t="str">
        <f aca="false">IF($A122="","",IFERROR(1/(1/IF($B122="Residential",SUMIFS(INDEX('Oxford Economics'!$A$7:$AZ$1000,0,IFERROR(MATCH(S$5,'Oxford Economics'!$A$6:$AZ$6,0),MATCH(S$5&amp;"",'Oxford Economics'!$A$6:$AZ$6,0))),'Oxford Economics'!$A$7:$A$1000,$C122,'Oxford Economics'!$B$7:$B$1000,Settings!$B$13)-SUMIFS(INDEX('Oxford Economics'!$A$7:$AZ$1000,0,IFERROR(MATCH(S$5,'Oxford Economics'!$A$6:$AZ$6,0),MATCH(S$5&amp;"",'Oxford Economics'!$A$6:$AZ$6,0))),'Oxford Economics'!$A$7:$A$1000,$C122,'Oxford Economics'!$B$7:$B$1000,Settings!$B$15),SUMIFS(INDEX('Oxford Economics'!$A$7:$AZ$1000,0,IFERROR(MATCH(S$5,'Oxford Economics'!$A$6:$AZ$6,0),MATCH(S$5&amp;"",'Oxford Economics'!$A$6:$AZ$6,0))),'Oxford Economics'!$A$7:$A$1000,$C122,'Oxford Economics'!$B$7:$B$1000,Settings!$B$15)+SUMIFS(INDEX('Oxford Economics'!$A$7:$AZ$1000,0,IFERROR(MATCH(S$5,'Oxford Economics'!$A$6:$AZ$6,0),MATCH(S$5&amp;"",'Oxford Economics'!$A$6:$AZ$6,0))),'Oxford Economics'!$A$7:$A$1000,$C122,'Oxford Economics'!$B$7:$B$1000,Settings!$B$17)+IF(Settings!$B$19="",0,SUMIFS(INDEX('Oxford Economics'!$A$7:$AZ$1000,0,IFERROR(MATCH(S$5,'Oxford Economics'!$A$6:$AZ$6,0),MATCH(S$5&amp;"",'Oxford Economics'!$A$6:$AZ$6,0))),'Oxford Economics'!$A$7:$A$1000,$C122,'Oxford Economics'!$B$7:$B$1000,Settings!$B$19)))),""))</f>
        <v/>
      </c>
      <c r="T122" s="38" t="str">
        <f aca="false">IF($A122="","",IFERROR(1/(1/IF($B122="Residential",SUMIFS(INDEX('Oxford Economics'!$A$7:$AZ$1000,0,IFERROR(MATCH(T$5,'Oxford Economics'!$A$6:$AZ$6,0),MATCH(T$5&amp;"",'Oxford Economics'!$A$6:$AZ$6,0))),'Oxford Economics'!$A$7:$A$1000,$C122,'Oxford Economics'!$B$7:$B$1000,Settings!$B$13)-SUMIFS(INDEX('Oxford Economics'!$A$7:$AZ$1000,0,IFERROR(MATCH(T$5,'Oxford Economics'!$A$6:$AZ$6,0),MATCH(T$5&amp;"",'Oxford Economics'!$A$6:$AZ$6,0))),'Oxford Economics'!$A$7:$A$1000,$C122,'Oxford Economics'!$B$7:$B$1000,Settings!$B$15),SUMIFS(INDEX('Oxford Economics'!$A$7:$AZ$1000,0,IFERROR(MATCH(T$5,'Oxford Economics'!$A$6:$AZ$6,0),MATCH(T$5&amp;"",'Oxford Economics'!$A$6:$AZ$6,0))),'Oxford Economics'!$A$7:$A$1000,$C122,'Oxford Economics'!$B$7:$B$1000,Settings!$B$15)+SUMIFS(INDEX('Oxford Economics'!$A$7:$AZ$1000,0,IFERROR(MATCH(T$5,'Oxford Economics'!$A$6:$AZ$6,0),MATCH(T$5&amp;"",'Oxford Economics'!$A$6:$AZ$6,0))),'Oxford Economics'!$A$7:$A$1000,$C122,'Oxford Economics'!$B$7:$B$1000,Settings!$B$17)+IF(Settings!$B$19="",0,SUMIFS(INDEX('Oxford Economics'!$A$7:$AZ$1000,0,IFERROR(MATCH(T$5,'Oxford Economics'!$A$6:$AZ$6,0),MATCH(T$5&amp;"",'Oxford Economics'!$A$6:$AZ$6,0))),'Oxford Economics'!$A$7:$A$1000,$C122,'Oxford Economics'!$B$7:$B$1000,Settings!$B$19)))),""))</f>
        <v/>
      </c>
      <c r="U122" s="38" t="str">
        <f aca="false">IF($A122="","",IFERROR(1/(1/IF($B122="Residential",SUMIFS(INDEX('Oxford Economics'!$A$7:$AZ$1000,0,IFERROR(MATCH(U$5,'Oxford Economics'!$A$6:$AZ$6,0),MATCH(U$5&amp;"",'Oxford Economics'!$A$6:$AZ$6,0))),'Oxford Economics'!$A$7:$A$1000,$C122,'Oxford Economics'!$B$7:$B$1000,Settings!$B$13)-SUMIFS(INDEX('Oxford Economics'!$A$7:$AZ$1000,0,IFERROR(MATCH(U$5,'Oxford Economics'!$A$6:$AZ$6,0),MATCH(U$5&amp;"",'Oxford Economics'!$A$6:$AZ$6,0))),'Oxford Economics'!$A$7:$A$1000,$C122,'Oxford Economics'!$B$7:$B$1000,Settings!$B$15),SUMIFS(INDEX('Oxford Economics'!$A$7:$AZ$1000,0,IFERROR(MATCH(U$5,'Oxford Economics'!$A$6:$AZ$6,0),MATCH(U$5&amp;"",'Oxford Economics'!$A$6:$AZ$6,0))),'Oxford Economics'!$A$7:$A$1000,$C122,'Oxford Economics'!$B$7:$B$1000,Settings!$B$15)+SUMIFS(INDEX('Oxford Economics'!$A$7:$AZ$1000,0,IFERROR(MATCH(U$5,'Oxford Economics'!$A$6:$AZ$6,0),MATCH(U$5&amp;"",'Oxford Economics'!$A$6:$AZ$6,0))),'Oxford Economics'!$A$7:$A$1000,$C122,'Oxford Economics'!$B$7:$B$1000,Settings!$B$17)+IF(Settings!$B$19="",0,SUMIFS(INDEX('Oxford Economics'!$A$7:$AZ$1000,0,IFERROR(MATCH(U$5,'Oxford Economics'!$A$6:$AZ$6,0),MATCH(U$5&amp;"",'Oxford Economics'!$A$6:$AZ$6,0))),'Oxford Economics'!$A$7:$A$1000,$C122,'Oxford Economics'!$B$7:$B$1000,Settings!$B$19)))),""))</f>
        <v/>
      </c>
      <c r="V122" s="38" t="str">
        <f aca="false">IF($A122="","",IFERROR(1/(1/IF($B122="Residential",SUMIFS(INDEX('Oxford Economics'!$A$7:$AZ$1000,0,IFERROR(MATCH(V$5,'Oxford Economics'!$A$6:$AZ$6,0),MATCH(V$5&amp;"",'Oxford Economics'!$A$6:$AZ$6,0))),'Oxford Economics'!$A$7:$A$1000,$C122,'Oxford Economics'!$B$7:$B$1000,Settings!$B$13)-SUMIFS(INDEX('Oxford Economics'!$A$7:$AZ$1000,0,IFERROR(MATCH(V$5,'Oxford Economics'!$A$6:$AZ$6,0),MATCH(V$5&amp;"",'Oxford Economics'!$A$6:$AZ$6,0))),'Oxford Economics'!$A$7:$A$1000,$C122,'Oxford Economics'!$B$7:$B$1000,Settings!$B$15),SUMIFS(INDEX('Oxford Economics'!$A$7:$AZ$1000,0,IFERROR(MATCH(V$5,'Oxford Economics'!$A$6:$AZ$6,0),MATCH(V$5&amp;"",'Oxford Economics'!$A$6:$AZ$6,0))),'Oxford Economics'!$A$7:$A$1000,$C122,'Oxford Economics'!$B$7:$B$1000,Settings!$B$15)+SUMIFS(INDEX('Oxford Economics'!$A$7:$AZ$1000,0,IFERROR(MATCH(V$5,'Oxford Economics'!$A$6:$AZ$6,0),MATCH(V$5&amp;"",'Oxford Economics'!$A$6:$AZ$6,0))),'Oxford Economics'!$A$7:$A$1000,$C122,'Oxford Economics'!$B$7:$B$1000,Settings!$B$17)+IF(Settings!$B$19="",0,SUMIFS(INDEX('Oxford Economics'!$A$7:$AZ$1000,0,IFERROR(MATCH(V$5,'Oxford Economics'!$A$6:$AZ$6,0),MATCH(V$5&amp;"",'Oxford Economics'!$A$6:$AZ$6,0))),'Oxford Economics'!$A$7:$A$1000,$C122,'Oxford Economics'!$B$7:$B$1000,Settings!$B$19)))),""))</f>
        <v/>
      </c>
      <c r="W122" s="38" t="str">
        <f aca="false">IF($A122="","",IFERROR(1/(1/IF($B122="Residential",SUMIFS(INDEX('Oxford Economics'!$A$7:$AZ$1000,0,IFERROR(MATCH(W$5,'Oxford Economics'!$A$6:$AZ$6,0),MATCH(W$5&amp;"",'Oxford Economics'!$A$6:$AZ$6,0))),'Oxford Economics'!$A$7:$A$1000,$C122,'Oxford Economics'!$B$7:$B$1000,Settings!$B$13)-SUMIFS(INDEX('Oxford Economics'!$A$7:$AZ$1000,0,IFERROR(MATCH(W$5,'Oxford Economics'!$A$6:$AZ$6,0),MATCH(W$5&amp;"",'Oxford Economics'!$A$6:$AZ$6,0))),'Oxford Economics'!$A$7:$A$1000,$C122,'Oxford Economics'!$B$7:$B$1000,Settings!$B$15),SUMIFS(INDEX('Oxford Economics'!$A$7:$AZ$1000,0,IFERROR(MATCH(W$5,'Oxford Economics'!$A$6:$AZ$6,0),MATCH(W$5&amp;"",'Oxford Economics'!$A$6:$AZ$6,0))),'Oxford Economics'!$A$7:$A$1000,$C122,'Oxford Economics'!$B$7:$B$1000,Settings!$B$15)+SUMIFS(INDEX('Oxford Economics'!$A$7:$AZ$1000,0,IFERROR(MATCH(W$5,'Oxford Economics'!$A$6:$AZ$6,0),MATCH(W$5&amp;"",'Oxford Economics'!$A$6:$AZ$6,0))),'Oxford Economics'!$A$7:$A$1000,$C122,'Oxford Economics'!$B$7:$B$1000,Settings!$B$17)+IF(Settings!$B$19="",0,SUMIFS(INDEX('Oxford Economics'!$A$7:$AZ$1000,0,IFERROR(MATCH(W$5,'Oxford Economics'!$A$6:$AZ$6,0),MATCH(W$5&amp;"",'Oxford Economics'!$A$6:$AZ$6,0))),'Oxford Economics'!$A$7:$A$1000,$C122,'Oxford Economics'!$B$7:$B$1000,Settings!$B$19)))),""))</f>
        <v/>
      </c>
      <c r="X122" s="38" t="str">
        <f aca="false">IF($A122="","",IFERROR(1/(1/IF($B122="Residential",SUMIFS(INDEX('Oxford Economics'!$A$7:$AZ$1000,0,IFERROR(MATCH(X$5,'Oxford Economics'!$A$6:$AZ$6,0),MATCH(X$5&amp;"",'Oxford Economics'!$A$6:$AZ$6,0))),'Oxford Economics'!$A$7:$A$1000,$C122,'Oxford Economics'!$B$7:$B$1000,Settings!$B$13)-SUMIFS(INDEX('Oxford Economics'!$A$7:$AZ$1000,0,IFERROR(MATCH(X$5,'Oxford Economics'!$A$6:$AZ$6,0),MATCH(X$5&amp;"",'Oxford Economics'!$A$6:$AZ$6,0))),'Oxford Economics'!$A$7:$A$1000,$C122,'Oxford Economics'!$B$7:$B$1000,Settings!$B$15),SUMIFS(INDEX('Oxford Economics'!$A$7:$AZ$1000,0,IFERROR(MATCH(X$5,'Oxford Economics'!$A$6:$AZ$6,0),MATCH(X$5&amp;"",'Oxford Economics'!$A$6:$AZ$6,0))),'Oxford Economics'!$A$7:$A$1000,$C122,'Oxford Economics'!$B$7:$B$1000,Settings!$B$15)+SUMIFS(INDEX('Oxford Economics'!$A$7:$AZ$1000,0,IFERROR(MATCH(X$5,'Oxford Economics'!$A$6:$AZ$6,0),MATCH(X$5&amp;"",'Oxford Economics'!$A$6:$AZ$6,0))),'Oxford Economics'!$A$7:$A$1000,$C122,'Oxford Economics'!$B$7:$B$1000,Settings!$B$17)+IF(Settings!$B$19="",0,SUMIFS(INDEX('Oxford Economics'!$A$7:$AZ$1000,0,IFERROR(MATCH(X$5,'Oxford Economics'!$A$6:$AZ$6,0),MATCH(X$5&amp;"",'Oxford Economics'!$A$6:$AZ$6,0))),'Oxford Economics'!$A$7:$A$1000,$C122,'Oxford Economics'!$B$7:$B$1000,Settings!$B$19)))),""))</f>
        <v/>
      </c>
      <c r="Y122" s="38" t="str">
        <f aca="false">IF($A122="","",IFERROR(1/(1/IF($B122="Residential",SUMIFS(INDEX('Oxford Economics'!$A$7:$AZ$1000,0,IFERROR(MATCH(Y$5,'Oxford Economics'!$A$6:$AZ$6,0),MATCH(Y$5&amp;"",'Oxford Economics'!$A$6:$AZ$6,0))),'Oxford Economics'!$A$7:$A$1000,$C122,'Oxford Economics'!$B$7:$B$1000,Settings!$B$13)-SUMIFS(INDEX('Oxford Economics'!$A$7:$AZ$1000,0,IFERROR(MATCH(Y$5,'Oxford Economics'!$A$6:$AZ$6,0),MATCH(Y$5&amp;"",'Oxford Economics'!$A$6:$AZ$6,0))),'Oxford Economics'!$A$7:$A$1000,$C122,'Oxford Economics'!$B$7:$B$1000,Settings!$B$15),SUMIFS(INDEX('Oxford Economics'!$A$7:$AZ$1000,0,IFERROR(MATCH(Y$5,'Oxford Economics'!$A$6:$AZ$6,0),MATCH(Y$5&amp;"",'Oxford Economics'!$A$6:$AZ$6,0))),'Oxford Economics'!$A$7:$A$1000,$C122,'Oxford Economics'!$B$7:$B$1000,Settings!$B$15)+SUMIFS(INDEX('Oxford Economics'!$A$7:$AZ$1000,0,IFERROR(MATCH(Y$5,'Oxford Economics'!$A$6:$AZ$6,0),MATCH(Y$5&amp;"",'Oxford Economics'!$A$6:$AZ$6,0))),'Oxford Economics'!$A$7:$A$1000,$C122,'Oxford Economics'!$B$7:$B$1000,Settings!$B$17)+IF(Settings!$B$19="",0,SUMIFS(INDEX('Oxford Economics'!$A$7:$AZ$1000,0,IFERROR(MATCH(Y$5,'Oxford Economics'!$A$6:$AZ$6,0),MATCH(Y$5&amp;"",'Oxford Economics'!$A$6:$AZ$6,0))),'Oxford Economics'!$A$7:$A$1000,$C122,'Oxford Economics'!$B$7:$B$1000,Settings!$B$19)))),""))</f>
        <v/>
      </c>
      <c r="Z122" s="38" t="str">
        <f aca="false">IF($A122="","",IFERROR(1/(1/IF($B122="Residential",SUMIFS(INDEX('Oxford Economics'!$A$7:$AZ$1000,0,IFERROR(MATCH(Z$5,'Oxford Economics'!$A$6:$AZ$6,0),MATCH(Z$5&amp;"",'Oxford Economics'!$A$6:$AZ$6,0))),'Oxford Economics'!$A$7:$A$1000,$C122,'Oxford Economics'!$B$7:$B$1000,Settings!$B$13)-SUMIFS(INDEX('Oxford Economics'!$A$7:$AZ$1000,0,IFERROR(MATCH(Z$5,'Oxford Economics'!$A$6:$AZ$6,0),MATCH(Z$5&amp;"",'Oxford Economics'!$A$6:$AZ$6,0))),'Oxford Economics'!$A$7:$A$1000,$C122,'Oxford Economics'!$B$7:$B$1000,Settings!$B$15),SUMIFS(INDEX('Oxford Economics'!$A$7:$AZ$1000,0,IFERROR(MATCH(Z$5,'Oxford Economics'!$A$6:$AZ$6,0),MATCH(Z$5&amp;"",'Oxford Economics'!$A$6:$AZ$6,0))),'Oxford Economics'!$A$7:$A$1000,$C122,'Oxford Economics'!$B$7:$B$1000,Settings!$B$15)+SUMIFS(INDEX('Oxford Economics'!$A$7:$AZ$1000,0,IFERROR(MATCH(Z$5,'Oxford Economics'!$A$6:$AZ$6,0),MATCH(Z$5&amp;"",'Oxford Economics'!$A$6:$AZ$6,0))),'Oxford Economics'!$A$7:$A$1000,$C122,'Oxford Economics'!$B$7:$B$1000,Settings!$B$17)+IF(Settings!$B$19="",0,SUMIFS(INDEX('Oxford Economics'!$A$7:$AZ$1000,0,IFERROR(MATCH(Z$5,'Oxford Economics'!$A$6:$AZ$6,0),MATCH(Z$5&amp;"",'Oxford Economics'!$A$6:$AZ$6,0))),'Oxford Economics'!$A$7:$A$1000,$C122,'Oxford Economics'!$B$7:$B$1000,Settings!$B$19)))),""))</f>
        <v/>
      </c>
      <c r="AA122" s="38" t="str">
        <f aca="false">IF($A122="","",IFERROR(1/(1/IF($B122="Residential",SUMIFS(INDEX('Oxford Economics'!$A$7:$AZ$1000,0,IFERROR(MATCH(AA$5,'Oxford Economics'!$A$6:$AZ$6,0),MATCH(AA$5&amp;"",'Oxford Economics'!$A$6:$AZ$6,0))),'Oxford Economics'!$A$7:$A$1000,$C122,'Oxford Economics'!$B$7:$B$1000,Settings!$B$13)-SUMIFS(INDEX('Oxford Economics'!$A$7:$AZ$1000,0,IFERROR(MATCH(AA$5,'Oxford Economics'!$A$6:$AZ$6,0),MATCH(AA$5&amp;"",'Oxford Economics'!$A$6:$AZ$6,0))),'Oxford Economics'!$A$7:$A$1000,$C122,'Oxford Economics'!$B$7:$B$1000,Settings!$B$15),SUMIFS(INDEX('Oxford Economics'!$A$7:$AZ$1000,0,IFERROR(MATCH(AA$5,'Oxford Economics'!$A$6:$AZ$6,0),MATCH(AA$5&amp;"",'Oxford Economics'!$A$6:$AZ$6,0))),'Oxford Economics'!$A$7:$A$1000,$C122,'Oxford Economics'!$B$7:$B$1000,Settings!$B$15)+SUMIFS(INDEX('Oxford Economics'!$A$7:$AZ$1000,0,IFERROR(MATCH(AA$5,'Oxford Economics'!$A$6:$AZ$6,0),MATCH(AA$5&amp;"",'Oxford Economics'!$A$6:$AZ$6,0))),'Oxford Economics'!$A$7:$A$1000,$C122,'Oxford Economics'!$B$7:$B$1000,Settings!$B$17)+IF(Settings!$B$19="",0,SUMIFS(INDEX('Oxford Economics'!$A$7:$AZ$1000,0,IFERROR(MATCH(AA$5,'Oxford Economics'!$A$6:$AZ$6,0),MATCH(AA$5&amp;"",'Oxford Economics'!$A$6:$AZ$6,0))),'Oxford Economics'!$A$7:$A$1000,$C122,'Oxford Economics'!$B$7:$B$1000,Settings!$B$19)))),""))</f>
        <v/>
      </c>
      <c r="AB122" s="38" t="str">
        <f aca="false">IF($A122="","",IFERROR(1/(1/IF($B122="Residential",SUMIFS(INDEX('Oxford Economics'!$A$7:$AZ$1000,0,IFERROR(MATCH(AB$5,'Oxford Economics'!$A$6:$AZ$6,0),MATCH(AB$5&amp;"",'Oxford Economics'!$A$6:$AZ$6,0))),'Oxford Economics'!$A$7:$A$1000,$C122,'Oxford Economics'!$B$7:$B$1000,Settings!$B$12)-SUMIFS(INDEX('Oxford Economics'!$A$7:$AZ$1000,0,IFERROR(MATCH(AB$5,'Oxford Economics'!$A$6:$AZ$6,0),MATCH(AB$5&amp;"",'Oxford Economics'!$A$6:$AZ$6,0))),'Oxford Economics'!$A$7:$A$1000,$C122,'Oxford Economics'!$B$7:$B$1000,Settings!$B$14),SUMIFS(INDEX('Oxford Economics'!$A$7:$AZ$1000,0,IFERROR(MATCH(AB$5,'Oxford Economics'!$A$6:$AZ$6,0),MATCH(AB$5&amp;"",'Oxford Economics'!$A$6:$AZ$6,0))),'Oxford Economics'!$A$7:$A$1000,$C122,'Oxford Economics'!$B$7:$B$1000,Settings!$B$14)+SUMIFS(INDEX('Oxford Economics'!$A$7:$AZ$1000,0,IFERROR(MATCH(AB$5,'Oxford Economics'!$A$6:$AZ$6,0),MATCH(AB$5&amp;"",'Oxford Economics'!$A$6:$AZ$6,0))),'Oxford Economics'!$A$7:$A$1000,$C122,'Oxford Economics'!$B$7:$B$1000,Settings!$B$16)+IF(Settings!$B$18="",0,SUMIFS(INDEX('Oxford Economics'!$A$7:$AZ$1000,0,IFERROR(MATCH(AB$5,'Oxford Economics'!$A$6:$AZ$6,0),MATCH(AB$5&amp;"",'Oxford Economics'!$A$6:$AZ$6,0))),'Oxford Economics'!$A$7:$A$1000,$C122,'Oxford Economics'!$B$7:$B$1000,Settings!$B$18)))),""))</f>
        <v/>
      </c>
      <c r="AC122" s="38" t="str">
        <f aca="false">IF($A122="","",IFERROR(1/(1/IF($B122="Residential",SUMIFS(INDEX('Oxford Economics'!$A$7:$AZ$1000,0,IFERROR(MATCH(AC$5,'Oxford Economics'!$A$6:$AZ$6,0),MATCH(AC$5&amp;"",'Oxford Economics'!$A$6:$AZ$6,0))),'Oxford Economics'!$A$7:$A$1000,$C122,'Oxford Economics'!$B$7:$B$1000,Settings!$B$12)-SUMIFS(INDEX('Oxford Economics'!$A$7:$AZ$1000,0,IFERROR(MATCH(AC$5,'Oxford Economics'!$A$6:$AZ$6,0),MATCH(AC$5&amp;"",'Oxford Economics'!$A$6:$AZ$6,0))),'Oxford Economics'!$A$7:$A$1000,$C122,'Oxford Economics'!$B$7:$B$1000,Settings!$B$14),SUMIFS(INDEX('Oxford Economics'!$A$7:$AZ$1000,0,IFERROR(MATCH(AC$5,'Oxford Economics'!$A$6:$AZ$6,0),MATCH(AC$5&amp;"",'Oxford Economics'!$A$6:$AZ$6,0))),'Oxford Economics'!$A$7:$A$1000,$C122,'Oxford Economics'!$B$7:$B$1000,Settings!$B$14)+SUMIFS(INDEX('Oxford Economics'!$A$7:$AZ$1000,0,IFERROR(MATCH(AC$5,'Oxford Economics'!$A$6:$AZ$6,0),MATCH(AC$5&amp;"",'Oxford Economics'!$A$6:$AZ$6,0))),'Oxford Economics'!$A$7:$A$1000,$C122,'Oxford Economics'!$B$7:$B$1000,Settings!$B$16)+IF(Settings!$B$18="",0,SUMIFS(INDEX('Oxford Economics'!$A$7:$AZ$1000,0,IFERROR(MATCH(AC$5,'Oxford Economics'!$A$6:$AZ$6,0),MATCH(AC$5&amp;"",'Oxford Economics'!$A$6:$AZ$6,0))),'Oxford Economics'!$A$7:$A$1000,$C122,'Oxford Economics'!$B$7:$B$1000,Settings!$B$18)))),""))</f>
        <v/>
      </c>
      <c r="AD122" s="38" t="str">
        <f aca="false">IF($A122="","",IFERROR(1/(1/IF($B122="Residential",SUMIFS(INDEX('Oxford Economics'!$A$7:$AZ$1000,0,IFERROR(MATCH(AD$5,'Oxford Economics'!$A$6:$AZ$6,0),MATCH(AD$5&amp;"",'Oxford Economics'!$A$6:$AZ$6,0))),'Oxford Economics'!$A$7:$A$1000,$C122,'Oxford Economics'!$B$7:$B$1000,Settings!$B$12)-SUMIFS(INDEX('Oxford Economics'!$A$7:$AZ$1000,0,IFERROR(MATCH(AD$5,'Oxford Economics'!$A$6:$AZ$6,0),MATCH(AD$5&amp;"",'Oxford Economics'!$A$6:$AZ$6,0))),'Oxford Economics'!$A$7:$A$1000,$C122,'Oxford Economics'!$B$7:$B$1000,Settings!$B$14),SUMIFS(INDEX('Oxford Economics'!$A$7:$AZ$1000,0,IFERROR(MATCH(AD$5,'Oxford Economics'!$A$6:$AZ$6,0),MATCH(AD$5&amp;"",'Oxford Economics'!$A$6:$AZ$6,0))),'Oxford Economics'!$A$7:$A$1000,$C122,'Oxford Economics'!$B$7:$B$1000,Settings!$B$14)+SUMIFS(INDEX('Oxford Economics'!$A$7:$AZ$1000,0,IFERROR(MATCH(AD$5,'Oxford Economics'!$A$6:$AZ$6,0),MATCH(AD$5&amp;"",'Oxford Economics'!$A$6:$AZ$6,0))),'Oxford Economics'!$A$7:$A$1000,$C122,'Oxford Economics'!$B$7:$B$1000,Settings!$B$16)+IF(Settings!$B$18="",0,SUMIFS(INDEX('Oxford Economics'!$A$7:$AZ$1000,0,IFERROR(MATCH(AD$5,'Oxford Economics'!$A$6:$AZ$6,0),MATCH(AD$5&amp;"",'Oxford Economics'!$A$6:$AZ$6,0))),'Oxford Economics'!$A$7:$A$1000,$C122,'Oxford Economics'!$B$7:$B$1000,Settings!$B$18)))),""))</f>
        <v/>
      </c>
      <c r="AE122" s="38" t="str">
        <f aca="false">IF($A122="","",IFERROR(1/(1/IF($B122="Residential",SUMIFS(INDEX('Oxford Economics'!$A$7:$AZ$1000,0,IFERROR(MATCH(AE$5,'Oxford Economics'!$A$6:$AZ$6,0),MATCH(AE$5&amp;"",'Oxford Economics'!$A$6:$AZ$6,0))),'Oxford Economics'!$A$7:$A$1000,$C122,'Oxford Economics'!$B$7:$B$1000,Settings!$B$12)-SUMIFS(INDEX('Oxford Economics'!$A$7:$AZ$1000,0,IFERROR(MATCH(AE$5,'Oxford Economics'!$A$6:$AZ$6,0),MATCH(AE$5&amp;"",'Oxford Economics'!$A$6:$AZ$6,0))),'Oxford Economics'!$A$7:$A$1000,$C122,'Oxford Economics'!$B$7:$B$1000,Settings!$B$14),SUMIFS(INDEX('Oxford Economics'!$A$7:$AZ$1000,0,IFERROR(MATCH(AE$5,'Oxford Economics'!$A$6:$AZ$6,0),MATCH(AE$5&amp;"",'Oxford Economics'!$A$6:$AZ$6,0))),'Oxford Economics'!$A$7:$A$1000,$C122,'Oxford Economics'!$B$7:$B$1000,Settings!$B$14)+SUMIFS(INDEX('Oxford Economics'!$A$7:$AZ$1000,0,IFERROR(MATCH(AE$5,'Oxford Economics'!$A$6:$AZ$6,0),MATCH(AE$5&amp;"",'Oxford Economics'!$A$6:$AZ$6,0))),'Oxford Economics'!$A$7:$A$1000,$C122,'Oxford Economics'!$B$7:$B$1000,Settings!$B$16)+IF(Settings!$B$18="",0,SUMIFS(INDEX('Oxford Economics'!$A$7:$AZ$1000,0,IFERROR(MATCH(AE$5,'Oxford Economics'!$A$6:$AZ$6,0),MATCH(AE$5&amp;"",'Oxford Economics'!$A$6:$AZ$6,0))),'Oxford Economics'!$A$7:$A$1000,$C122,'Oxford Economics'!$B$7:$B$1000,Settings!$B$18)))),""))</f>
        <v/>
      </c>
      <c r="AF122" s="38" t="str">
        <f aca="false">IF($A122="","",IFERROR(1/(1/IF($B122="Residential",SUMIFS(INDEX('Oxford Economics'!$A$7:$AZ$1000,0,IFERROR(MATCH(AF$5,'Oxford Economics'!$A$6:$AZ$6,0),MATCH(AF$5&amp;"",'Oxford Economics'!$A$6:$AZ$6,0))),'Oxford Economics'!$A$7:$A$1000,$C122,'Oxford Economics'!$B$7:$B$1000,Settings!$B$12)-SUMIFS(INDEX('Oxford Economics'!$A$7:$AZ$1000,0,IFERROR(MATCH(AF$5,'Oxford Economics'!$A$6:$AZ$6,0),MATCH(AF$5&amp;"",'Oxford Economics'!$A$6:$AZ$6,0))),'Oxford Economics'!$A$7:$A$1000,$C122,'Oxford Economics'!$B$7:$B$1000,Settings!$B$14),SUMIFS(INDEX('Oxford Economics'!$A$7:$AZ$1000,0,IFERROR(MATCH(AF$5,'Oxford Economics'!$A$6:$AZ$6,0),MATCH(AF$5&amp;"",'Oxford Economics'!$A$6:$AZ$6,0))),'Oxford Economics'!$A$7:$A$1000,$C122,'Oxford Economics'!$B$7:$B$1000,Settings!$B$14)+SUMIFS(INDEX('Oxford Economics'!$A$7:$AZ$1000,0,IFERROR(MATCH(AF$5,'Oxford Economics'!$A$6:$AZ$6,0),MATCH(AF$5&amp;"",'Oxford Economics'!$A$6:$AZ$6,0))),'Oxford Economics'!$A$7:$A$1000,$C122,'Oxford Economics'!$B$7:$B$1000,Settings!$B$16)+IF(Settings!$B$18="",0,SUMIFS(INDEX('Oxford Economics'!$A$7:$AZ$1000,0,IFERROR(MATCH(AF$5,'Oxford Economics'!$A$6:$AZ$6,0),MATCH(AF$5&amp;"",'Oxford Economics'!$A$6:$AZ$6,0))),'Oxford Economics'!$A$7:$A$1000,$C122,'Oxford Economics'!$B$7:$B$1000,Settings!$B$18)))),""))</f>
        <v/>
      </c>
      <c r="AG122" s="38" t="str">
        <f aca="false">IF($A122="","",IFERROR(1/(1/IF($B122="Residential",SUMIFS(INDEX('Oxford Economics'!$A$7:$AZ$1000,0,IFERROR(MATCH(AG$5,'Oxford Economics'!$A$6:$AZ$6,0),MATCH(AG$5&amp;"",'Oxford Economics'!$A$6:$AZ$6,0))),'Oxford Economics'!$A$7:$A$1000,$C122,'Oxford Economics'!$B$7:$B$1000,Settings!$B$12)-SUMIFS(INDEX('Oxford Economics'!$A$7:$AZ$1000,0,IFERROR(MATCH(AG$5,'Oxford Economics'!$A$6:$AZ$6,0),MATCH(AG$5&amp;"",'Oxford Economics'!$A$6:$AZ$6,0))),'Oxford Economics'!$A$7:$A$1000,$C122,'Oxford Economics'!$B$7:$B$1000,Settings!$B$14),SUMIFS(INDEX('Oxford Economics'!$A$7:$AZ$1000,0,IFERROR(MATCH(AG$5,'Oxford Economics'!$A$6:$AZ$6,0),MATCH(AG$5&amp;"",'Oxford Economics'!$A$6:$AZ$6,0))),'Oxford Economics'!$A$7:$A$1000,$C122,'Oxford Economics'!$B$7:$B$1000,Settings!$B$14)+SUMIFS(INDEX('Oxford Economics'!$A$7:$AZ$1000,0,IFERROR(MATCH(AG$5,'Oxford Economics'!$A$6:$AZ$6,0),MATCH(AG$5&amp;"",'Oxford Economics'!$A$6:$AZ$6,0))),'Oxford Economics'!$A$7:$A$1000,$C122,'Oxford Economics'!$B$7:$B$1000,Settings!$B$16)+IF(Settings!$B$18="",0,SUMIFS(INDEX('Oxford Economics'!$A$7:$AZ$1000,0,IFERROR(MATCH(AG$5,'Oxford Economics'!$A$6:$AZ$6,0),MATCH(AG$5&amp;"",'Oxford Economics'!$A$6:$AZ$6,0))),'Oxford Economics'!$A$7:$A$1000,$C122,'Oxford Economics'!$B$7:$B$1000,Settings!$B$18)))),""))</f>
        <v/>
      </c>
      <c r="AH122" s="38" t="str">
        <f aca="false">IF($A122="","",IFERROR(1/(1/IF($B122="Residential",SUMIFS(INDEX('Oxford Economics'!$A$7:$AZ$1000,0,IFERROR(MATCH(AH$5,'Oxford Economics'!$A$6:$AZ$6,0),MATCH(AH$5&amp;"",'Oxford Economics'!$A$6:$AZ$6,0))),'Oxford Economics'!$A$7:$A$1000,$C122,'Oxford Economics'!$B$7:$B$1000,Settings!$B$12)-SUMIFS(INDEX('Oxford Economics'!$A$7:$AZ$1000,0,IFERROR(MATCH(AH$5,'Oxford Economics'!$A$6:$AZ$6,0),MATCH(AH$5&amp;"",'Oxford Economics'!$A$6:$AZ$6,0))),'Oxford Economics'!$A$7:$A$1000,$C122,'Oxford Economics'!$B$7:$B$1000,Settings!$B$14),SUMIFS(INDEX('Oxford Economics'!$A$7:$AZ$1000,0,IFERROR(MATCH(AH$5,'Oxford Economics'!$A$6:$AZ$6,0),MATCH(AH$5&amp;"",'Oxford Economics'!$A$6:$AZ$6,0))),'Oxford Economics'!$A$7:$A$1000,$C122,'Oxford Economics'!$B$7:$B$1000,Settings!$B$14)+SUMIFS(INDEX('Oxford Economics'!$A$7:$AZ$1000,0,IFERROR(MATCH(AH$5,'Oxford Economics'!$A$6:$AZ$6,0),MATCH(AH$5&amp;"",'Oxford Economics'!$A$6:$AZ$6,0))),'Oxford Economics'!$A$7:$A$1000,$C122,'Oxford Economics'!$B$7:$B$1000,Settings!$B$16)+IF(Settings!$B$18="",0,SUMIFS(INDEX('Oxford Economics'!$A$7:$AZ$1000,0,IFERROR(MATCH(AH$5,'Oxford Economics'!$A$6:$AZ$6,0),MATCH(AH$5&amp;"",'Oxford Economics'!$A$6:$AZ$6,0))),'Oxford Economics'!$A$7:$A$1000,$C122,'Oxford Economics'!$B$7:$B$1000,Settings!$B$18)))),""))</f>
        <v/>
      </c>
      <c r="AI122" s="38" t="str">
        <f aca="false">IF($A122="","",IFERROR(1/(1/IF($B122="Residential",SUMIFS(INDEX('Oxford Economics'!$A$7:$AZ$1000,0,IFERROR(MATCH(AI$5,'Oxford Economics'!$A$6:$AZ$6,0),MATCH(AI$5&amp;"",'Oxford Economics'!$A$6:$AZ$6,0))),'Oxford Economics'!$A$7:$A$1000,$C122,'Oxford Economics'!$B$7:$B$1000,Settings!$B$12)-SUMIFS(INDEX('Oxford Economics'!$A$7:$AZ$1000,0,IFERROR(MATCH(AI$5,'Oxford Economics'!$A$6:$AZ$6,0),MATCH(AI$5&amp;"",'Oxford Economics'!$A$6:$AZ$6,0))),'Oxford Economics'!$A$7:$A$1000,$C122,'Oxford Economics'!$B$7:$B$1000,Settings!$B$14),SUMIFS(INDEX('Oxford Economics'!$A$7:$AZ$1000,0,IFERROR(MATCH(AI$5,'Oxford Economics'!$A$6:$AZ$6,0),MATCH(AI$5&amp;"",'Oxford Economics'!$A$6:$AZ$6,0))),'Oxford Economics'!$A$7:$A$1000,$C122,'Oxford Economics'!$B$7:$B$1000,Settings!$B$14)+SUMIFS(INDEX('Oxford Economics'!$A$7:$AZ$1000,0,IFERROR(MATCH(AI$5,'Oxford Economics'!$A$6:$AZ$6,0),MATCH(AI$5&amp;"",'Oxford Economics'!$A$6:$AZ$6,0))),'Oxford Economics'!$A$7:$A$1000,$C122,'Oxford Economics'!$B$7:$B$1000,Settings!$B$16)+IF(Settings!$B$18="",0,SUMIFS(INDEX('Oxford Economics'!$A$7:$AZ$1000,0,IFERROR(MATCH(AI$5,'Oxford Economics'!$A$6:$AZ$6,0),MATCH(AI$5&amp;"",'Oxford Economics'!$A$6:$AZ$6,0))),'Oxford Economics'!$A$7:$A$1000,$C122,'Oxford Economics'!$B$7:$B$1000,Settings!$B$18)))),""))</f>
        <v/>
      </c>
      <c r="AJ122" s="38" t="str">
        <f aca="false">IF($A122="","",IFERROR(1/(1/IF($B122="Residential",SUMIFS(INDEX('Oxford Economics'!$A$7:$AZ$1000,0,IFERROR(MATCH(AJ$5,'Oxford Economics'!$A$6:$AZ$6,0),MATCH(AJ$5&amp;"",'Oxford Economics'!$A$6:$AZ$6,0))),'Oxford Economics'!$A$7:$A$1000,$C122,'Oxford Economics'!$B$7:$B$1000,Settings!$B$12)-SUMIFS(INDEX('Oxford Economics'!$A$7:$AZ$1000,0,IFERROR(MATCH(AJ$5,'Oxford Economics'!$A$6:$AZ$6,0),MATCH(AJ$5&amp;"",'Oxford Economics'!$A$6:$AZ$6,0))),'Oxford Economics'!$A$7:$A$1000,$C122,'Oxford Economics'!$B$7:$B$1000,Settings!$B$14),SUMIFS(INDEX('Oxford Economics'!$A$7:$AZ$1000,0,IFERROR(MATCH(AJ$5,'Oxford Economics'!$A$6:$AZ$6,0),MATCH(AJ$5&amp;"",'Oxford Economics'!$A$6:$AZ$6,0))),'Oxford Economics'!$A$7:$A$1000,$C122,'Oxford Economics'!$B$7:$B$1000,Settings!$B$14)+SUMIFS(INDEX('Oxford Economics'!$A$7:$AZ$1000,0,IFERROR(MATCH(AJ$5,'Oxford Economics'!$A$6:$AZ$6,0),MATCH(AJ$5&amp;"",'Oxford Economics'!$A$6:$AZ$6,0))),'Oxford Economics'!$A$7:$A$1000,$C122,'Oxford Economics'!$B$7:$B$1000,Settings!$B$16)+IF(Settings!$B$18="",0,SUMIFS(INDEX('Oxford Economics'!$A$7:$AZ$1000,0,IFERROR(MATCH(AJ$5,'Oxford Economics'!$A$6:$AZ$6,0),MATCH(AJ$5&amp;"",'Oxford Economics'!$A$6:$AZ$6,0))),'Oxford Economics'!$A$7:$A$1000,$C122,'Oxford Economics'!$B$7:$B$1000,Settings!$B$18)))),""))</f>
        <v/>
      </c>
      <c r="AK122" s="38" t="str">
        <f aca="false">IF($A122="","",IFERROR(1/(1/IF($B122="Residential",SUMIFS(INDEX('Oxford Economics'!$A$7:$AZ$1000,0,IFERROR(MATCH(AK$5,'Oxford Economics'!$A$6:$AZ$6,0),MATCH(AK$5&amp;"",'Oxford Economics'!$A$6:$AZ$6,0))),'Oxford Economics'!$A$7:$A$1000,$C122,'Oxford Economics'!$B$7:$B$1000,Settings!$B$12)-SUMIFS(INDEX('Oxford Economics'!$A$7:$AZ$1000,0,IFERROR(MATCH(AK$5,'Oxford Economics'!$A$6:$AZ$6,0),MATCH(AK$5&amp;"",'Oxford Economics'!$A$6:$AZ$6,0))),'Oxford Economics'!$A$7:$A$1000,$C122,'Oxford Economics'!$B$7:$B$1000,Settings!$B$14),SUMIFS(INDEX('Oxford Economics'!$A$7:$AZ$1000,0,IFERROR(MATCH(AK$5,'Oxford Economics'!$A$6:$AZ$6,0),MATCH(AK$5&amp;"",'Oxford Economics'!$A$6:$AZ$6,0))),'Oxford Economics'!$A$7:$A$1000,$C122,'Oxford Economics'!$B$7:$B$1000,Settings!$B$14)+SUMIFS(INDEX('Oxford Economics'!$A$7:$AZ$1000,0,IFERROR(MATCH(AK$5,'Oxford Economics'!$A$6:$AZ$6,0),MATCH(AK$5&amp;"",'Oxford Economics'!$A$6:$AZ$6,0))),'Oxford Economics'!$A$7:$A$1000,$C122,'Oxford Economics'!$B$7:$B$1000,Settings!$B$16)+IF(Settings!$B$18="",0,SUMIFS(INDEX('Oxford Economics'!$A$7:$AZ$1000,0,IFERROR(MATCH(AK$5,'Oxford Economics'!$A$6:$AZ$6,0),MATCH(AK$5&amp;"",'Oxford Economics'!$A$6:$AZ$6,0))),'Oxford Economics'!$A$7:$A$1000,$C122,'Oxford Economics'!$B$7:$B$1000,Settings!$B$18)))),""))</f>
        <v/>
      </c>
      <c r="AL122" s="38" t="str">
        <f aca="false">IF($A122="","",IFERROR(1/(1/IF($B122="Residential",SUMIFS(INDEX('Oxford Economics'!$A$7:$AZ$1000,0,IFERROR(MATCH(AL$5,'Oxford Economics'!$A$6:$AZ$6,0),MATCH(AL$5&amp;"",'Oxford Economics'!$A$6:$AZ$6,0))),'Oxford Economics'!$A$7:$A$1000,$C122,'Oxford Economics'!$B$7:$B$1000,Settings!$B$12)-SUMIFS(INDEX('Oxford Economics'!$A$7:$AZ$1000,0,IFERROR(MATCH(AL$5,'Oxford Economics'!$A$6:$AZ$6,0),MATCH(AL$5&amp;"",'Oxford Economics'!$A$6:$AZ$6,0))),'Oxford Economics'!$A$7:$A$1000,$C122,'Oxford Economics'!$B$7:$B$1000,Settings!$B$14),SUMIFS(INDEX('Oxford Economics'!$A$7:$AZ$1000,0,IFERROR(MATCH(AL$5,'Oxford Economics'!$A$6:$AZ$6,0),MATCH(AL$5&amp;"",'Oxford Economics'!$A$6:$AZ$6,0))),'Oxford Economics'!$A$7:$A$1000,$C122,'Oxford Economics'!$B$7:$B$1000,Settings!$B$14)+SUMIFS(INDEX('Oxford Economics'!$A$7:$AZ$1000,0,IFERROR(MATCH(AL$5,'Oxford Economics'!$A$6:$AZ$6,0),MATCH(AL$5&amp;"",'Oxford Economics'!$A$6:$AZ$6,0))),'Oxford Economics'!$A$7:$A$1000,$C122,'Oxford Economics'!$B$7:$B$1000,Settings!$B$16)+IF(Settings!$B$18="",0,SUMIFS(INDEX('Oxford Economics'!$A$7:$AZ$1000,0,IFERROR(MATCH(AL$5,'Oxford Economics'!$A$6:$AZ$6,0),MATCH(AL$5&amp;"",'Oxford Economics'!$A$6:$AZ$6,0))),'Oxford Economics'!$A$7:$A$1000,$C122,'Oxford Economics'!$B$7:$B$1000,Settings!$B$18)))),""))</f>
        <v/>
      </c>
      <c r="AM122" s="38" t="str">
        <f aca="false">IF($A122="","",IFERROR(1/(1/IF($B122="Residential",SUMIFS(INDEX('Oxford Economics'!$A$7:$AZ$1000,0,IFERROR(MATCH(AM$5,'Oxford Economics'!$A$6:$AZ$6,0),MATCH(AM$5&amp;"",'Oxford Economics'!$A$6:$AZ$6,0))),'Oxford Economics'!$A$7:$A$1000,$C122,'Oxford Economics'!$B$7:$B$1000,Settings!$B$12)-SUMIFS(INDEX('Oxford Economics'!$A$7:$AZ$1000,0,IFERROR(MATCH(AM$5,'Oxford Economics'!$A$6:$AZ$6,0),MATCH(AM$5&amp;"",'Oxford Economics'!$A$6:$AZ$6,0))),'Oxford Economics'!$A$7:$A$1000,$C122,'Oxford Economics'!$B$7:$B$1000,Settings!$B$14),SUMIFS(INDEX('Oxford Economics'!$A$7:$AZ$1000,0,IFERROR(MATCH(AM$5,'Oxford Economics'!$A$6:$AZ$6,0),MATCH(AM$5&amp;"",'Oxford Economics'!$A$6:$AZ$6,0))),'Oxford Economics'!$A$7:$A$1000,$C122,'Oxford Economics'!$B$7:$B$1000,Settings!$B$14)+SUMIFS(INDEX('Oxford Economics'!$A$7:$AZ$1000,0,IFERROR(MATCH(AM$5,'Oxford Economics'!$A$6:$AZ$6,0),MATCH(AM$5&amp;"",'Oxford Economics'!$A$6:$AZ$6,0))),'Oxford Economics'!$A$7:$A$1000,$C122,'Oxford Economics'!$B$7:$B$1000,Settings!$B$16)+IF(Settings!$B$18="",0,SUMIFS(INDEX('Oxford Economics'!$A$7:$AZ$1000,0,IFERROR(MATCH(AM$5,'Oxford Economics'!$A$6:$AZ$6,0),MATCH(AM$5&amp;"",'Oxford Economics'!$A$6:$AZ$6,0))),'Oxford Economics'!$A$7:$A$1000,$C122,'Oxford Economics'!$B$7:$B$1000,Settings!$B$18)))),""))</f>
        <v/>
      </c>
    </row>
    <row r="123" customFormat="false" ht="15" hidden="false" customHeight="false" outlineLevel="0" collapsed="false">
      <c r="A123" s="37" t="str">
        <f aca="false">IF('Raw data'!$A123="","",'Raw data'!$A123)</f>
        <v/>
      </c>
      <c r="B123" s="37" t="str">
        <f aca="false">IF($A123="","",'Raw data'!$C123)</f>
        <v/>
      </c>
      <c r="C123" s="37" t="str">
        <f aca="false">IF($A123="","",IF('Raw data'!$E123="",$A123,'Raw data'!$E123))</f>
        <v/>
      </c>
      <c r="D123" s="38" t="str">
        <f aca="false">IF($A123="","",IF(AND(ISNUMBER(P123),ISNUMBER(AB123)),P123+AB123,""))</f>
        <v/>
      </c>
      <c r="E123" s="38" t="str">
        <f aca="false">IF($A123="","",IF(AND(ISNUMBER(Q123),ISNUMBER(AC123)),Q123+AC123,""))</f>
        <v/>
      </c>
      <c r="F123" s="38" t="str">
        <f aca="false">IF($A123="","",IF(AND(ISNUMBER(R123),ISNUMBER(AD123)),R123+AD123,""))</f>
        <v/>
      </c>
      <c r="G123" s="38" t="str">
        <f aca="false">IF($A123="","",IF(AND(ISNUMBER(S123),ISNUMBER(AE123)),S123+AE123,""))</f>
        <v/>
      </c>
      <c r="H123" s="38" t="str">
        <f aca="false">IF($A123="","",IF(AND(ISNUMBER(T123),ISNUMBER(AF123)),T123+AF123,""))</f>
        <v/>
      </c>
      <c r="I123" s="38" t="str">
        <f aca="false">IF($A123="","",IF(AND(ISNUMBER(U123),ISNUMBER(AG123)),U123+AG123,""))</f>
        <v/>
      </c>
      <c r="J123" s="38" t="str">
        <f aca="false">IF($A123="","",IF(AND(ISNUMBER(V123),ISNUMBER(AH123)),V123+AH123,""))</f>
        <v/>
      </c>
      <c r="K123" s="38" t="str">
        <f aca="false">IF($A123="","",IF(AND(ISNUMBER(W123),ISNUMBER(AI123)),W123+AI123,""))</f>
        <v/>
      </c>
      <c r="L123" s="38" t="str">
        <f aca="false">IF($A123="","",IF(AND(ISNUMBER(X123),ISNUMBER(AJ123)),X123+AJ123,""))</f>
        <v/>
      </c>
      <c r="M123" s="38" t="str">
        <f aca="false">IF($A123="","",IF(AND(ISNUMBER(Y123),ISNUMBER(AK123)),Y123+AK123,""))</f>
        <v/>
      </c>
      <c r="N123" s="38" t="str">
        <f aca="false">IF($A123="","",IF(AND(ISNUMBER(Z123),ISNUMBER(AL123)),Z123+AL123,""))</f>
        <v/>
      </c>
      <c r="O123" s="38" t="str">
        <f aca="false">IF($A123="","",IF(AND(ISNUMBER(AA123),ISNUMBER(AM123)),AA123+AM123,""))</f>
        <v/>
      </c>
      <c r="P123" s="38" t="str">
        <f aca="false">IF($A123="","",IFERROR(1/(1/IF($B123="Residential",SUMIFS(INDEX('Oxford Economics'!$A$7:$AZ$1000,0,IFERROR(MATCH(P$5,'Oxford Economics'!$A$6:$AZ$6,0),MATCH(P$5&amp;"",'Oxford Economics'!$A$6:$AZ$6,0))),'Oxford Economics'!$A$7:$A$1000,$C123,'Oxford Economics'!$B$7:$B$1000,Settings!$B$13)-SUMIFS(INDEX('Oxford Economics'!$A$7:$AZ$1000,0,IFERROR(MATCH(P$5,'Oxford Economics'!$A$6:$AZ$6,0),MATCH(P$5&amp;"",'Oxford Economics'!$A$6:$AZ$6,0))),'Oxford Economics'!$A$7:$A$1000,$C123,'Oxford Economics'!$B$7:$B$1000,Settings!$B$15),SUMIFS(INDEX('Oxford Economics'!$A$7:$AZ$1000,0,IFERROR(MATCH(P$5,'Oxford Economics'!$A$6:$AZ$6,0),MATCH(P$5&amp;"",'Oxford Economics'!$A$6:$AZ$6,0))),'Oxford Economics'!$A$7:$A$1000,$C123,'Oxford Economics'!$B$7:$B$1000,Settings!$B$15)+SUMIFS(INDEX('Oxford Economics'!$A$7:$AZ$1000,0,IFERROR(MATCH(P$5,'Oxford Economics'!$A$6:$AZ$6,0),MATCH(P$5&amp;"",'Oxford Economics'!$A$6:$AZ$6,0))),'Oxford Economics'!$A$7:$A$1000,$C123,'Oxford Economics'!$B$7:$B$1000,Settings!$B$17)+IF(Settings!$B$19="",0,SUMIFS(INDEX('Oxford Economics'!$A$7:$AZ$1000,0,IFERROR(MATCH(P$5,'Oxford Economics'!$A$6:$AZ$6,0),MATCH(P$5&amp;"",'Oxford Economics'!$A$6:$AZ$6,0))),'Oxford Economics'!$A$7:$A$1000,$C123,'Oxford Economics'!$B$7:$B$1000,Settings!$B$19)))),""))</f>
        <v/>
      </c>
      <c r="Q123" s="38" t="str">
        <f aca="false">IF($A123="","",IFERROR(1/(1/IF($B123="Residential",SUMIFS(INDEX('Oxford Economics'!$A$7:$AZ$1000,0,IFERROR(MATCH(Q$5,'Oxford Economics'!$A$6:$AZ$6,0),MATCH(Q$5&amp;"",'Oxford Economics'!$A$6:$AZ$6,0))),'Oxford Economics'!$A$7:$A$1000,$C123,'Oxford Economics'!$B$7:$B$1000,Settings!$B$13)-SUMIFS(INDEX('Oxford Economics'!$A$7:$AZ$1000,0,IFERROR(MATCH(Q$5,'Oxford Economics'!$A$6:$AZ$6,0),MATCH(Q$5&amp;"",'Oxford Economics'!$A$6:$AZ$6,0))),'Oxford Economics'!$A$7:$A$1000,$C123,'Oxford Economics'!$B$7:$B$1000,Settings!$B$15),SUMIFS(INDEX('Oxford Economics'!$A$7:$AZ$1000,0,IFERROR(MATCH(Q$5,'Oxford Economics'!$A$6:$AZ$6,0),MATCH(Q$5&amp;"",'Oxford Economics'!$A$6:$AZ$6,0))),'Oxford Economics'!$A$7:$A$1000,$C123,'Oxford Economics'!$B$7:$B$1000,Settings!$B$15)+SUMIFS(INDEX('Oxford Economics'!$A$7:$AZ$1000,0,IFERROR(MATCH(Q$5,'Oxford Economics'!$A$6:$AZ$6,0),MATCH(Q$5&amp;"",'Oxford Economics'!$A$6:$AZ$6,0))),'Oxford Economics'!$A$7:$A$1000,$C123,'Oxford Economics'!$B$7:$B$1000,Settings!$B$17)+IF(Settings!$B$19="",0,SUMIFS(INDEX('Oxford Economics'!$A$7:$AZ$1000,0,IFERROR(MATCH(Q$5,'Oxford Economics'!$A$6:$AZ$6,0),MATCH(Q$5&amp;"",'Oxford Economics'!$A$6:$AZ$6,0))),'Oxford Economics'!$A$7:$A$1000,$C123,'Oxford Economics'!$B$7:$B$1000,Settings!$B$19)))),""))</f>
        <v/>
      </c>
      <c r="R123" s="38" t="str">
        <f aca="false">IF($A123="","",IFERROR(1/(1/IF($B123="Residential",SUMIFS(INDEX('Oxford Economics'!$A$7:$AZ$1000,0,IFERROR(MATCH(R$5,'Oxford Economics'!$A$6:$AZ$6,0),MATCH(R$5&amp;"",'Oxford Economics'!$A$6:$AZ$6,0))),'Oxford Economics'!$A$7:$A$1000,$C123,'Oxford Economics'!$B$7:$B$1000,Settings!$B$13)-SUMIFS(INDEX('Oxford Economics'!$A$7:$AZ$1000,0,IFERROR(MATCH(R$5,'Oxford Economics'!$A$6:$AZ$6,0),MATCH(R$5&amp;"",'Oxford Economics'!$A$6:$AZ$6,0))),'Oxford Economics'!$A$7:$A$1000,$C123,'Oxford Economics'!$B$7:$B$1000,Settings!$B$15),SUMIFS(INDEX('Oxford Economics'!$A$7:$AZ$1000,0,IFERROR(MATCH(R$5,'Oxford Economics'!$A$6:$AZ$6,0),MATCH(R$5&amp;"",'Oxford Economics'!$A$6:$AZ$6,0))),'Oxford Economics'!$A$7:$A$1000,$C123,'Oxford Economics'!$B$7:$B$1000,Settings!$B$15)+SUMIFS(INDEX('Oxford Economics'!$A$7:$AZ$1000,0,IFERROR(MATCH(R$5,'Oxford Economics'!$A$6:$AZ$6,0),MATCH(R$5&amp;"",'Oxford Economics'!$A$6:$AZ$6,0))),'Oxford Economics'!$A$7:$A$1000,$C123,'Oxford Economics'!$B$7:$B$1000,Settings!$B$17)+IF(Settings!$B$19="",0,SUMIFS(INDEX('Oxford Economics'!$A$7:$AZ$1000,0,IFERROR(MATCH(R$5,'Oxford Economics'!$A$6:$AZ$6,0),MATCH(R$5&amp;"",'Oxford Economics'!$A$6:$AZ$6,0))),'Oxford Economics'!$A$7:$A$1000,$C123,'Oxford Economics'!$B$7:$B$1000,Settings!$B$19)))),""))</f>
        <v/>
      </c>
      <c r="S123" s="38" t="str">
        <f aca="false">IF($A123="","",IFERROR(1/(1/IF($B123="Residential",SUMIFS(INDEX('Oxford Economics'!$A$7:$AZ$1000,0,IFERROR(MATCH(S$5,'Oxford Economics'!$A$6:$AZ$6,0),MATCH(S$5&amp;"",'Oxford Economics'!$A$6:$AZ$6,0))),'Oxford Economics'!$A$7:$A$1000,$C123,'Oxford Economics'!$B$7:$B$1000,Settings!$B$13)-SUMIFS(INDEX('Oxford Economics'!$A$7:$AZ$1000,0,IFERROR(MATCH(S$5,'Oxford Economics'!$A$6:$AZ$6,0),MATCH(S$5&amp;"",'Oxford Economics'!$A$6:$AZ$6,0))),'Oxford Economics'!$A$7:$A$1000,$C123,'Oxford Economics'!$B$7:$B$1000,Settings!$B$15),SUMIFS(INDEX('Oxford Economics'!$A$7:$AZ$1000,0,IFERROR(MATCH(S$5,'Oxford Economics'!$A$6:$AZ$6,0),MATCH(S$5&amp;"",'Oxford Economics'!$A$6:$AZ$6,0))),'Oxford Economics'!$A$7:$A$1000,$C123,'Oxford Economics'!$B$7:$B$1000,Settings!$B$15)+SUMIFS(INDEX('Oxford Economics'!$A$7:$AZ$1000,0,IFERROR(MATCH(S$5,'Oxford Economics'!$A$6:$AZ$6,0),MATCH(S$5&amp;"",'Oxford Economics'!$A$6:$AZ$6,0))),'Oxford Economics'!$A$7:$A$1000,$C123,'Oxford Economics'!$B$7:$B$1000,Settings!$B$17)+IF(Settings!$B$19="",0,SUMIFS(INDEX('Oxford Economics'!$A$7:$AZ$1000,0,IFERROR(MATCH(S$5,'Oxford Economics'!$A$6:$AZ$6,0),MATCH(S$5&amp;"",'Oxford Economics'!$A$6:$AZ$6,0))),'Oxford Economics'!$A$7:$A$1000,$C123,'Oxford Economics'!$B$7:$B$1000,Settings!$B$19)))),""))</f>
        <v/>
      </c>
      <c r="T123" s="38" t="str">
        <f aca="false">IF($A123="","",IFERROR(1/(1/IF($B123="Residential",SUMIFS(INDEX('Oxford Economics'!$A$7:$AZ$1000,0,IFERROR(MATCH(T$5,'Oxford Economics'!$A$6:$AZ$6,0),MATCH(T$5&amp;"",'Oxford Economics'!$A$6:$AZ$6,0))),'Oxford Economics'!$A$7:$A$1000,$C123,'Oxford Economics'!$B$7:$B$1000,Settings!$B$13)-SUMIFS(INDEX('Oxford Economics'!$A$7:$AZ$1000,0,IFERROR(MATCH(T$5,'Oxford Economics'!$A$6:$AZ$6,0),MATCH(T$5&amp;"",'Oxford Economics'!$A$6:$AZ$6,0))),'Oxford Economics'!$A$7:$A$1000,$C123,'Oxford Economics'!$B$7:$B$1000,Settings!$B$15),SUMIFS(INDEX('Oxford Economics'!$A$7:$AZ$1000,0,IFERROR(MATCH(T$5,'Oxford Economics'!$A$6:$AZ$6,0),MATCH(T$5&amp;"",'Oxford Economics'!$A$6:$AZ$6,0))),'Oxford Economics'!$A$7:$A$1000,$C123,'Oxford Economics'!$B$7:$B$1000,Settings!$B$15)+SUMIFS(INDEX('Oxford Economics'!$A$7:$AZ$1000,0,IFERROR(MATCH(T$5,'Oxford Economics'!$A$6:$AZ$6,0),MATCH(T$5&amp;"",'Oxford Economics'!$A$6:$AZ$6,0))),'Oxford Economics'!$A$7:$A$1000,$C123,'Oxford Economics'!$B$7:$B$1000,Settings!$B$17)+IF(Settings!$B$19="",0,SUMIFS(INDEX('Oxford Economics'!$A$7:$AZ$1000,0,IFERROR(MATCH(T$5,'Oxford Economics'!$A$6:$AZ$6,0),MATCH(T$5&amp;"",'Oxford Economics'!$A$6:$AZ$6,0))),'Oxford Economics'!$A$7:$A$1000,$C123,'Oxford Economics'!$B$7:$B$1000,Settings!$B$19)))),""))</f>
        <v/>
      </c>
      <c r="U123" s="38" t="str">
        <f aca="false">IF($A123="","",IFERROR(1/(1/IF($B123="Residential",SUMIFS(INDEX('Oxford Economics'!$A$7:$AZ$1000,0,IFERROR(MATCH(U$5,'Oxford Economics'!$A$6:$AZ$6,0),MATCH(U$5&amp;"",'Oxford Economics'!$A$6:$AZ$6,0))),'Oxford Economics'!$A$7:$A$1000,$C123,'Oxford Economics'!$B$7:$B$1000,Settings!$B$13)-SUMIFS(INDEX('Oxford Economics'!$A$7:$AZ$1000,0,IFERROR(MATCH(U$5,'Oxford Economics'!$A$6:$AZ$6,0),MATCH(U$5&amp;"",'Oxford Economics'!$A$6:$AZ$6,0))),'Oxford Economics'!$A$7:$A$1000,$C123,'Oxford Economics'!$B$7:$B$1000,Settings!$B$15),SUMIFS(INDEX('Oxford Economics'!$A$7:$AZ$1000,0,IFERROR(MATCH(U$5,'Oxford Economics'!$A$6:$AZ$6,0),MATCH(U$5&amp;"",'Oxford Economics'!$A$6:$AZ$6,0))),'Oxford Economics'!$A$7:$A$1000,$C123,'Oxford Economics'!$B$7:$B$1000,Settings!$B$15)+SUMIFS(INDEX('Oxford Economics'!$A$7:$AZ$1000,0,IFERROR(MATCH(U$5,'Oxford Economics'!$A$6:$AZ$6,0),MATCH(U$5&amp;"",'Oxford Economics'!$A$6:$AZ$6,0))),'Oxford Economics'!$A$7:$A$1000,$C123,'Oxford Economics'!$B$7:$B$1000,Settings!$B$17)+IF(Settings!$B$19="",0,SUMIFS(INDEX('Oxford Economics'!$A$7:$AZ$1000,0,IFERROR(MATCH(U$5,'Oxford Economics'!$A$6:$AZ$6,0),MATCH(U$5&amp;"",'Oxford Economics'!$A$6:$AZ$6,0))),'Oxford Economics'!$A$7:$A$1000,$C123,'Oxford Economics'!$B$7:$B$1000,Settings!$B$19)))),""))</f>
        <v/>
      </c>
      <c r="V123" s="38" t="str">
        <f aca="false">IF($A123="","",IFERROR(1/(1/IF($B123="Residential",SUMIFS(INDEX('Oxford Economics'!$A$7:$AZ$1000,0,IFERROR(MATCH(V$5,'Oxford Economics'!$A$6:$AZ$6,0),MATCH(V$5&amp;"",'Oxford Economics'!$A$6:$AZ$6,0))),'Oxford Economics'!$A$7:$A$1000,$C123,'Oxford Economics'!$B$7:$B$1000,Settings!$B$13)-SUMIFS(INDEX('Oxford Economics'!$A$7:$AZ$1000,0,IFERROR(MATCH(V$5,'Oxford Economics'!$A$6:$AZ$6,0),MATCH(V$5&amp;"",'Oxford Economics'!$A$6:$AZ$6,0))),'Oxford Economics'!$A$7:$A$1000,$C123,'Oxford Economics'!$B$7:$B$1000,Settings!$B$15),SUMIFS(INDEX('Oxford Economics'!$A$7:$AZ$1000,0,IFERROR(MATCH(V$5,'Oxford Economics'!$A$6:$AZ$6,0),MATCH(V$5&amp;"",'Oxford Economics'!$A$6:$AZ$6,0))),'Oxford Economics'!$A$7:$A$1000,$C123,'Oxford Economics'!$B$7:$B$1000,Settings!$B$15)+SUMIFS(INDEX('Oxford Economics'!$A$7:$AZ$1000,0,IFERROR(MATCH(V$5,'Oxford Economics'!$A$6:$AZ$6,0),MATCH(V$5&amp;"",'Oxford Economics'!$A$6:$AZ$6,0))),'Oxford Economics'!$A$7:$A$1000,$C123,'Oxford Economics'!$B$7:$B$1000,Settings!$B$17)+IF(Settings!$B$19="",0,SUMIFS(INDEX('Oxford Economics'!$A$7:$AZ$1000,0,IFERROR(MATCH(V$5,'Oxford Economics'!$A$6:$AZ$6,0),MATCH(V$5&amp;"",'Oxford Economics'!$A$6:$AZ$6,0))),'Oxford Economics'!$A$7:$A$1000,$C123,'Oxford Economics'!$B$7:$B$1000,Settings!$B$19)))),""))</f>
        <v/>
      </c>
      <c r="W123" s="38" t="str">
        <f aca="false">IF($A123="","",IFERROR(1/(1/IF($B123="Residential",SUMIFS(INDEX('Oxford Economics'!$A$7:$AZ$1000,0,IFERROR(MATCH(W$5,'Oxford Economics'!$A$6:$AZ$6,0),MATCH(W$5&amp;"",'Oxford Economics'!$A$6:$AZ$6,0))),'Oxford Economics'!$A$7:$A$1000,$C123,'Oxford Economics'!$B$7:$B$1000,Settings!$B$13)-SUMIFS(INDEX('Oxford Economics'!$A$7:$AZ$1000,0,IFERROR(MATCH(W$5,'Oxford Economics'!$A$6:$AZ$6,0),MATCH(W$5&amp;"",'Oxford Economics'!$A$6:$AZ$6,0))),'Oxford Economics'!$A$7:$A$1000,$C123,'Oxford Economics'!$B$7:$B$1000,Settings!$B$15),SUMIFS(INDEX('Oxford Economics'!$A$7:$AZ$1000,0,IFERROR(MATCH(W$5,'Oxford Economics'!$A$6:$AZ$6,0),MATCH(W$5&amp;"",'Oxford Economics'!$A$6:$AZ$6,0))),'Oxford Economics'!$A$7:$A$1000,$C123,'Oxford Economics'!$B$7:$B$1000,Settings!$B$15)+SUMIFS(INDEX('Oxford Economics'!$A$7:$AZ$1000,0,IFERROR(MATCH(W$5,'Oxford Economics'!$A$6:$AZ$6,0),MATCH(W$5&amp;"",'Oxford Economics'!$A$6:$AZ$6,0))),'Oxford Economics'!$A$7:$A$1000,$C123,'Oxford Economics'!$B$7:$B$1000,Settings!$B$17)+IF(Settings!$B$19="",0,SUMIFS(INDEX('Oxford Economics'!$A$7:$AZ$1000,0,IFERROR(MATCH(W$5,'Oxford Economics'!$A$6:$AZ$6,0),MATCH(W$5&amp;"",'Oxford Economics'!$A$6:$AZ$6,0))),'Oxford Economics'!$A$7:$A$1000,$C123,'Oxford Economics'!$B$7:$B$1000,Settings!$B$19)))),""))</f>
        <v/>
      </c>
      <c r="X123" s="38" t="str">
        <f aca="false">IF($A123="","",IFERROR(1/(1/IF($B123="Residential",SUMIFS(INDEX('Oxford Economics'!$A$7:$AZ$1000,0,IFERROR(MATCH(X$5,'Oxford Economics'!$A$6:$AZ$6,0),MATCH(X$5&amp;"",'Oxford Economics'!$A$6:$AZ$6,0))),'Oxford Economics'!$A$7:$A$1000,$C123,'Oxford Economics'!$B$7:$B$1000,Settings!$B$13)-SUMIFS(INDEX('Oxford Economics'!$A$7:$AZ$1000,0,IFERROR(MATCH(X$5,'Oxford Economics'!$A$6:$AZ$6,0),MATCH(X$5&amp;"",'Oxford Economics'!$A$6:$AZ$6,0))),'Oxford Economics'!$A$7:$A$1000,$C123,'Oxford Economics'!$B$7:$B$1000,Settings!$B$15),SUMIFS(INDEX('Oxford Economics'!$A$7:$AZ$1000,0,IFERROR(MATCH(X$5,'Oxford Economics'!$A$6:$AZ$6,0),MATCH(X$5&amp;"",'Oxford Economics'!$A$6:$AZ$6,0))),'Oxford Economics'!$A$7:$A$1000,$C123,'Oxford Economics'!$B$7:$B$1000,Settings!$B$15)+SUMIFS(INDEX('Oxford Economics'!$A$7:$AZ$1000,0,IFERROR(MATCH(X$5,'Oxford Economics'!$A$6:$AZ$6,0),MATCH(X$5&amp;"",'Oxford Economics'!$A$6:$AZ$6,0))),'Oxford Economics'!$A$7:$A$1000,$C123,'Oxford Economics'!$B$7:$B$1000,Settings!$B$17)+IF(Settings!$B$19="",0,SUMIFS(INDEX('Oxford Economics'!$A$7:$AZ$1000,0,IFERROR(MATCH(X$5,'Oxford Economics'!$A$6:$AZ$6,0),MATCH(X$5&amp;"",'Oxford Economics'!$A$6:$AZ$6,0))),'Oxford Economics'!$A$7:$A$1000,$C123,'Oxford Economics'!$B$7:$B$1000,Settings!$B$19)))),""))</f>
        <v/>
      </c>
      <c r="Y123" s="38" t="str">
        <f aca="false">IF($A123="","",IFERROR(1/(1/IF($B123="Residential",SUMIFS(INDEX('Oxford Economics'!$A$7:$AZ$1000,0,IFERROR(MATCH(Y$5,'Oxford Economics'!$A$6:$AZ$6,0),MATCH(Y$5&amp;"",'Oxford Economics'!$A$6:$AZ$6,0))),'Oxford Economics'!$A$7:$A$1000,$C123,'Oxford Economics'!$B$7:$B$1000,Settings!$B$13)-SUMIFS(INDEX('Oxford Economics'!$A$7:$AZ$1000,0,IFERROR(MATCH(Y$5,'Oxford Economics'!$A$6:$AZ$6,0),MATCH(Y$5&amp;"",'Oxford Economics'!$A$6:$AZ$6,0))),'Oxford Economics'!$A$7:$A$1000,$C123,'Oxford Economics'!$B$7:$B$1000,Settings!$B$15),SUMIFS(INDEX('Oxford Economics'!$A$7:$AZ$1000,0,IFERROR(MATCH(Y$5,'Oxford Economics'!$A$6:$AZ$6,0),MATCH(Y$5&amp;"",'Oxford Economics'!$A$6:$AZ$6,0))),'Oxford Economics'!$A$7:$A$1000,$C123,'Oxford Economics'!$B$7:$B$1000,Settings!$B$15)+SUMIFS(INDEX('Oxford Economics'!$A$7:$AZ$1000,0,IFERROR(MATCH(Y$5,'Oxford Economics'!$A$6:$AZ$6,0),MATCH(Y$5&amp;"",'Oxford Economics'!$A$6:$AZ$6,0))),'Oxford Economics'!$A$7:$A$1000,$C123,'Oxford Economics'!$B$7:$B$1000,Settings!$B$17)+IF(Settings!$B$19="",0,SUMIFS(INDEX('Oxford Economics'!$A$7:$AZ$1000,0,IFERROR(MATCH(Y$5,'Oxford Economics'!$A$6:$AZ$6,0),MATCH(Y$5&amp;"",'Oxford Economics'!$A$6:$AZ$6,0))),'Oxford Economics'!$A$7:$A$1000,$C123,'Oxford Economics'!$B$7:$B$1000,Settings!$B$19)))),""))</f>
        <v/>
      </c>
      <c r="Z123" s="38" t="str">
        <f aca="false">IF($A123="","",IFERROR(1/(1/IF($B123="Residential",SUMIFS(INDEX('Oxford Economics'!$A$7:$AZ$1000,0,IFERROR(MATCH(Z$5,'Oxford Economics'!$A$6:$AZ$6,0),MATCH(Z$5&amp;"",'Oxford Economics'!$A$6:$AZ$6,0))),'Oxford Economics'!$A$7:$A$1000,$C123,'Oxford Economics'!$B$7:$B$1000,Settings!$B$13)-SUMIFS(INDEX('Oxford Economics'!$A$7:$AZ$1000,0,IFERROR(MATCH(Z$5,'Oxford Economics'!$A$6:$AZ$6,0),MATCH(Z$5&amp;"",'Oxford Economics'!$A$6:$AZ$6,0))),'Oxford Economics'!$A$7:$A$1000,$C123,'Oxford Economics'!$B$7:$B$1000,Settings!$B$15),SUMIFS(INDEX('Oxford Economics'!$A$7:$AZ$1000,0,IFERROR(MATCH(Z$5,'Oxford Economics'!$A$6:$AZ$6,0),MATCH(Z$5&amp;"",'Oxford Economics'!$A$6:$AZ$6,0))),'Oxford Economics'!$A$7:$A$1000,$C123,'Oxford Economics'!$B$7:$B$1000,Settings!$B$15)+SUMIFS(INDEX('Oxford Economics'!$A$7:$AZ$1000,0,IFERROR(MATCH(Z$5,'Oxford Economics'!$A$6:$AZ$6,0),MATCH(Z$5&amp;"",'Oxford Economics'!$A$6:$AZ$6,0))),'Oxford Economics'!$A$7:$A$1000,$C123,'Oxford Economics'!$B$7:$B$1000,Settings!$B$17)+IF(Settings!$B$19="",0,SUMIFS(INDEX('Oxford Economics'!$A$7:$AZ$1000,0,IFERROR(MATCH(Z$5,'Oxford Economics'!$A$6:$AZ$6,0),MATCH(Z$5&amp;"",'Oxford Economics'!$A$6:$AZ$6,0))),'Oxford Economics'!$A$7:$A$1000,$C123,'Oxford Economics'!$B$7:$B$1000,Settings!$B$19)))),""))</f>
        <v/>
      </c>
      <c r="AA123" s="38" t="str">
        <f aca="false">IF($A123="","",IFERROR(1/(1/IF($B123="Residential",SUMIFS(INDEX('Oxford Economics'!$A$7:$AZ$1000,0,IFERROR(MATCH(AA$5,'Oxford Economics'!$A$6:$AZ$6,0),MATCH(AA$5&amp;"",'Oxford Economics'!$A$6:$AZ$6,0))),'Oxford Economics'!$A$7:$A$1000,$C123,'Oxford Economics'!$B$7:$B$1000,Settings!$B$13)-SUMIFS(INDEX('Oxford Economics'!$A$7:$AZ$1000,0,IFERROR(MATCH(AA$5,'Oxford Economics'!$A$6:$AZ$6,0),MATCH(AA$5&amp;"",'Oxford Economics'!$A$6:$AZ$6,0))),'Oxford Economics'!$A$7:$A$1000,$C123,'Oxford Economics'!$B$7:$B$1000,Settings!$B$15),SUMIFS(INDEX('Oxford Economics'!$A$7:$AZ$1000,0,IFERROR(MATCH(AA$5,'Oxford Economics'!$A$6:$AZ$6,0),MATCH(AA$5&amp;"",'Oxford Economics'!$A$6:$AZ$6,0))),'Oxford Economics'!$A$7:$A$1000,$C123,'Oxford Economics'!$B$7:$B$1000,Settings!$B$15)+SUMIFS(INDEX('Oxford Economics'!$A$7:$AZ$1000,0,IFERROR(MATCH(AA$5,'Oxford Economics'!$A$6:$AZ$6,0),MATCH(AA$5&amp;"",'Oxford Economics'!$A$6:$AZ$6,0))),'Oxford Economics'!$A$7:$A$1000,$C123,'Oxford Economics'!$B$7:$B$1000,Settings!$B$17)+IF(Settings!$B$19="",0,SUMIFS(INDEX('Oxford Economics'!$A$7:$AZ$1000,0,IFERROR(MATCH(AA$5,'Oxford Economics'!$A$6:$AZ$6,0),MATCH(AA$5&amp;"",'Oxford Economics'!$A$6:$AZ$6,0))),'Oxford Economics'!$A$7:$A$1000,$C123,'Oxford Economics'!$B$7:$B$1000,Settings!$B$19)))),""))</f>
        <v/>
      </c>
      <c r="AB123" s="38" t="str">
        <f aca="false">IF($A123="","",IFERROR(1/(1/IF($B123="Residential",SUMIFS(INDEX('Oxford Economics'!$A$7:$AZ$1000,0,IFERROR(MATCH(AB$5,'Oxford Economics'!$A$6:$AZ$6,0),MATCH(AB$5&amp;"",'Oxford Economics'!$A$6:$AZ$6,0))),'Oxford Economics'!$A$7:$A$1000,$C123,'Oxford Economics'!$B$7:$B$1000,Settings!$B$12)-SUMIFS(INDEX('Oxford Economics'!$A$7:$AZ$1000,0,IFERROR(MATCH(AB$5,'Oxford Economics'!$A$6:$AZ$6,0),MATCH(AB$5&amp;"",'Oxford Economics'!$A$6:$AZ$6,0))),'Oxford Economics'!$A$7:$A$1000,$C123,'Oxford Economics'!$B$7:$B$1000,Settings!$B$14),SUMIFS(INDEX('Oxford Economics'!$A$7:$AZ$1000,0,IFERROR(MATCH(AB$5,'Oxford Economics'!$A$6:$AZ$6,0),MATCH(AB$5&amp;"",'Oxford Economics'!$A$6:$AZ$6,0))),'Oxford Economics'!$A$7:$A$1000,$C123,'Oxford Economics'!$B$7:$B$1000,Settings!$B$14)+SUMIFS(INDEX('Oxford Economics'!$A$7:$AZ$1000,0,IFERROR(MATCH(AB$5,'Oxford Economics'!$A$6:$AZ$6,0),MATCH(AB$5&amp;"",'Oxford Economics'!$A$6:$AZ$6,0))),'Oxford Economics'!$A$7:$A$1000,$C123,'Oxford Economics'!$B$7:$B$1000,Settings!$B$16)+IF(Settings!$B$18="",0,SUMIFS(INDEX('Oxford Economics'!$A$7:$AZ$1000,0,IFERROR(MATCH(AB$5,'Oxford Economics'!$A$6:$AZ$6,0),MATCH(AB$5&amp;"",'Oxford Economics'!$A$6:$AZ$6,0))),'Oxford Economics'!$A$7:$A$1000,$C123,'Oxford Economics'!$B$7:$B$1000,Settings!$B$18)))),""))</f>
        <v/>
      </c>
      <c r="AC123" s="38" t="str">
        <f aca="false">IF($A123="","",IFERROR(1/(1/IF($B123="Residential",SUMIFS(INDEX('Oxford Economics'!$A$7:$AZ$1000,0,IFERROR(MATCH(AC$5,'Oxford Economics'!$A$6:$AZ$6,0),MATCH(AC$5&amp;"",'Oxford Economics'!$A$6:$AZ$6,0))),'Oxford Economics'!$A$7:$A$1000,$C123,'Oxford Economics'!$B$7:$B$1000,Settings!$B$12)-SUMIFS(INDEX('Oxford Economics'!$A$7:$AZ$1000,0,IFERROR(MATCH(AC$5,'Oxford Economics'!$A$6:$AZ$6,0),MATCH(AC$5&amp;"",'Oxford Economics'!$A$6:$AZ$6,0))),'Oxford Economics'!$A$7:$A$1000,$C123,'Oxford Economics'!$B$7:$B$1000,Settings!$B$14),SUMIFS(INDEX('Oxford Economics'!$A$7:$AZ$1000,0,IFERROR(MATCH(AC$5,'Oxford Economics'!$A$6:$AZ$6,0),MATCH(AC$5&amp;"",'Oxford Economics'!$A$6:$AZ$6,0))),'Oxford Economics'!$A$7:$A$1000,$C123,'Oxford Economics'!$B$7:$B$1000,Settings!$B$14)+SUMIFS(INDEX('Oxford Economics'!$A$7:$AZ$1000,0,IFERROR(MATCH(AC$5,'Oxford Economics'!$A$6:$AZ$6,0),MATCH(AC$5&amp;"",'Oxford Economics'!$A$6:$AZ$6,0))),'Oxford Economics'!$A$7:$A$1000,$C123,'Oxford Economics'!$B$7:$B$1000,Settings!$B$16)+IF(Settings!$B$18="",0,SUMIFS(INDEX('Oxford Economics'!$A$7:$AZ$1000,0,IFERROR(MATCH(AC$5,'Oxford Economics'!$A$6:$AZ$6,0),MATCH(AC$5&amp;"",'Oxford Economics'!$A$6:$AZ$6,0))),'Oxford Economics'!$A$7:$A$1000,$C123,'Oxford Economics'!$B$7:$B$1000,Settings!$B$18)))),""))</f>
        <v/>
      </c>
      <c r="AD123" s="38" t="str">
        <f aca="false">IF($A123="","",IFERROR(1/(1/IF($B123="Residential",SUMIFS(INDEX('Oxford Economics'!$A$7:$AZ$1000,0,IFERROR(MATCH(AD$5,'Oxford Economics'!$A$6:$AZ$6,0),MATCH(AD$5&amp;"",'Oxford Economics'!$A$6:$AZ$6,0))),'Oxford Economics'!$A$7:$A$1000,$C123,'Oxford Economics'!$B$7:$B$1000,Settings!$B$12)-SUMIFS(INDEX('Oxford Economics'!$A$7:$AZ$1000,0,IFERROR(MATCH(AD$5,'Oxford Economics'!$A$6:$AZ$6,0),MATCH(AD$5&amp;"",'Oxford Economics'!$A$6:$AZ$6,0))),'Oxford Economics'!$A$7:$A$1000,$C123,'Oxford Economics'!$B$7:$B$1000,Settings!$B$14),SUMIFS(INDEX('Oxford Economics'!$A$7:$AZ$1000,0,IFERROR(MATCH(AD$5,'Oxford Economics'!$A$6:$AZ$6,0),MATCH(AD$5&amp;"",'Oxford Economics'!$A$6:$AZ$6,0))),'Oxford Economics'!$A$7:$A$1000,$C123,'Oxford Economics'!$B$7:$B$1000,Settings!$B$14)+SUMIFS(INDEX('Oxford Economics'!$A$7:$AZ$1000,0,IFERROR(MATCH(AD$5,'Oxford Economics'!$A$6:$AZ$6,0),MATCH(AD$5&amp;"",'Oxford Economics'!$A$6:$AZ$6,0))),'Oxford Economics'!$A$7:$A$1000,$C123,'Oxford Economics'!$B$7:$B$1000,Settings!$B$16)+IF(Settings!$B$18="",0,SUMIFS(INDEX('Oxford Economics'!$A$7:$AZ$1000,0,IFERROR(MATCH(AD$5,'Oxford Economics'!$A$6:$AZ$6,0),MATCH(AD$5&amp;"",'Oxford Economics'!$A$6:$AZ$6,0))),'Oxford Economics'!$A$7:$A$1000,$C123,'Oxford Economics'!$B$7:$B$1000,Settings!$B$18)))),""))</f>
        <v/>
      </c>
      <c r="AE123" s="38" t="str">
        <f aca="false">IF($A123="","",IFERROR(1/(1/IF($B123="Residential",SUMIFS(INDEX('Oxford Economics'!$A$7:$AZ$1000,0,IFERROR(MATCH(AE$5,'Oxford Economics'!$A$6:$AZ$6,0),MATCH(AE$5&amp;"",'Oxford Economics'!$A$6:$AZ$6,0))),'Oxford Economics'!$A$7:$A$1000,$C123,'Oxford Economics'!$B$7:$B$1000,Settings!$B$12)-SUMIFS(INDEX('Oxford Economics'!$A$7:$AZ$1000,0,IFERROR(MATCH(AE$5,'Oxford Economics'!$A$6:$AZ$6,0),MATCH(AE$5&amp;"",'Oxford Economics'!$A$6:$AZ$6,0))),'Oxford Economics'!$A$7:$A$1000,$C123,'Oxford Economics'!$B$7:$B$1000,Settings!$B$14),SUMIFS(INDEX('Oxford Economics'!$A$7:$AZ$1000,0,IFERROR(MATCH(AE$5,'Oxford Economics'!$A$6:$AZ$6,0),MATCH(AE$5&amp;"",'Oxford Economics'!$A$6:$AZ$6,0))),'Oxford Economics'!$A$7:$A$1000,$C123,'Oxford Economics'!$B$7:$B$1000,Settings!$B$14)+SUMIFS(INDEX('Oxford Economics'!$A$7:$AZ$1000,0,IFERROR(MATCH(AE$5,'Oxford Economics'!$A$6:$AZ$6,0),MATCH(AE$5&amp;"",'Oxford Economics'!$A$6:$AZ$6,0))),'Oxford Economics'!$A$7:$A$1000,$C123,'Oxford Economics'!$B$7:$B$1000,Settings!$B$16)+IF(Settings!$B$18="",0,SUMIFS(INDEX('Oxford Economics'!$A$7:$AZ$1000,0,IFERROR(MATCH(AE$5,'Oxford Economics'!$A$6:$AZ$6,0),MATCH(AE$5&amp;"",'Oxford Economics'!$A$6:$AZ$6,0))),'Oxford Economics'!$A$7:$A$1000,$C123,'Oxford Economics'!$B$7:$B$1000,Settings!$B$18)))),""))</f>
        <v/>
      </c>
      <c r="AF123" s="38" t="str">
        <f aca="false">IF($A123="","",IFERROR(1/(1/IF($B123="Residential",SUMIFS(INDEX('Oxford Economics'!$A$7:$AZ$1000,0,IFERROR(MATCH(AF$5,'Oxford Economics'!$A$6:$AZ$6,0),MATCH(AF$5&amp;"",'Oxford Economics'!$A$6:$AZ$6,0))),'Oxford Economics'!$A$7:$A$1000,$C123,'Oxford Economics'!$B$7:$B$1000,Settings!$B$12)-SUMIFS(INDEX('Oxford Economics'!$A$7:$AZ$1000,0,IFERROR(MATCH(AF$5,'Oxford Economics'!$A$6:$AZ$6,0),MATCH(AF$5&amp;"",'Oxford Economics'!$A$6:$AZ$6,0))),'Oxford Economics'!$A$7:$A$1000,$C123,'Oxford Economics'!$B$7:$B$1000,Settings!$B$14),SUMIFS(INDEX('Oxford Economics'!$A$7:$AZ$1000,0,IFERROR(MATCH(AF$5,'Oxford Economics'!$A$6:$AZ$6,0),MATCH(AF$5&amp;"",'Oxford Economics'!$A$6:$AZ$6,0))),'Oxford Economics'!$A$7:$A$1000,$C123,'Oxford Economics'!$B$7:$B$1000,Settings!$B$14)+SUMIFS(INDEX('Oxford Economics'!$A$7:$AZ$1000,0,IFERROR(MATCH(AF$5,'Oxford Economics'!$A$6:$AZ$6,0),MATCH(AF$5&amp;"",'Oxford Economics'!$A$6:$AZ$6,0))),'Oxford Economics'!$A$7:$A$1000,$C123,'Oxford Economics'!$B$7:$B$1000,Settings!$B$16)+IF(Settings!$B$18="",0,SUMIFS(INDEX('Oxford Economics'!$A$7:$AZ$1000,0,IFERROR(MATCH(AF$5,'Oxford Economics'!$A$6:$AZ$6,0),MATCH(AF$5&amp;"",'Oxford Economics'!$A$6:$AZ$6,0))),'Oxford Economics'!$A$7:$A$1000,$C123,'Oxford Economics'!$B$7:$B$1000,Settings!$B$18)))),""))</f>
        <v/>
      </c>
      <c r="AG123" s="38" t="str">
        <f aca="false">IF($A123="","",IFERROR(1/(1/IF($B123="Residential",SUMIFS(INDEX('Oxford Economics'!$A$7:$AZ$1000,0,IFERROR(MATCH(AG$5,'Oxford Economics'!$A$6:$AZ$6,0),MATCH(AG$5&amp;"",'Oxford Economics'!$A$6:$AZ$6,0))),'Oxford Economics'!$A$7:$A$1000,$C123,'Oxford Economics'!$B$7:$B$1000,Settings!$B$12)-SUMIFS(INDEX('Oxford Economics'!$A$7:$AZ$1000,0,IFERROR(MATCH(AG$5,'Oxford Economics'!$A$6:$AZ$6,0),MATCH(AG$5&amp;"",'Oxford Economics'!$A$6:$AZ$6,0))),'Oxford Economics'!$A$7:$A$1000,$C123,'Oxford Economics'!$B$7:$B$1000,Settings!$B$14),SUMIFS(INDEX('Oxford Economics'!$A$7:$AZ$1000,0,IFERROR(MATCH(AG$5,'Oxford Economics'!$A$6:$AZ$6,0),MATCH(AG$5&amp;"",'Oxford Economics'!$A$6:$AZ$6,0))),'Oxford Economics'!$A$7:$A$1000,$C123,'Oxford Economics'!$B$7:$B$1000,Settings!$B$14)+SUMIFS(INDEX('Oxford Economics'!$A$7:$AZ$1000,0,IFERROR(MATCH(AG$5,'Oxford Economics'!$A$6:$AZ$6,0),MATCH(AG$5&amp;"",'Oxford Economics'!$A$6:$AZ$6,0))),'Oxford Economics'!$A$7:$A$1000,$C123,'Oxford Economics'!$B$7:$B$1000,Settings!$B$16)+IF(Settings!$B$18="",0,SUMIFS(INDEX('Oxford Economics'!$A$7:$AZ$1000,0,IFERROR(MATCH(AG$5,'Oxford Economics'!$A$6:$AZ$6,0),MATCH(AG$5&amp;"",'Oxford Economics'!$A$6:$AZ$6,0))),'Oxford Economics'!$A$7:$A$1000,$C123,'Oxford Economics'!$B$7:$B$1000,Settings!$B$18)))),""))</f>
        <v/>
      </c>
      <c r="AH123" s="38" t="str">
        <f aca="false">IF($A123="","",IFERROR(1/(1/IF($B123="Residential",SUMIFS(INDEX('Oxford Economics'!$A$7:$AZ$1000,0,IFERROR(MATCH(AH$5,'Oxford Economics'!$A$6:$AZ$6,0),MATCH(AH$5&amp;"",'Oxford Economics'!$A$6:$AZ$6,0))),'Oxford Economics'!$A$7:$A$1000,$C123,'Oxford Economics'!$B$7:$B$1000,Settings!$B$12)-SUMIFS(INDEX('Oxford Economics'!$A$7:$AZ$1000,0,IFERROR(MATCH(AH$5,'Oxford Economics'!$A$6:$AZ$6,0),MATCH(AH$5&amp;"",'Oxford Economics'!$A$6:$AZ$6,0))),'Oxford Economics'!$A$7:$A$1000,$C123,'Oxford Economics'!$B$7:$B$1000,Settings!$B$14),SUMIFS(INDEX('Oxford Economics'!$A$7:$AZ$1000,0,IFERROR(MATCH(AH$5,'Oxford Economics'!$A$6:$AZ$6,0),MATCH(AH$5&amp;"",'Oxford Economics'!$A$6:$AZ$6,0))),'Oxford Economics'!$A$7:$A$1000,$C123,'Oxford Economics'!$B$7:$B$1000,Settings!$B$14)+SUMIFS(INDEX('Oxford Economics'!$A$7:$AZ$1000,0,IFERROR(MATCH(AH$5,'Oxford Economics'!$A$6:$AZ$6,0),MATCH(AH$5&amp;"",'Oxford Economics'!$A$6:$AZ$6,0))),'Oxford Economics'!$A$7:$A$1000,$C123,'Oxford Economics'!$B$7:$B$1000,Settings!$B$16)+IF(Settings!$B$18="",0,SUMIFS(INDEX('Oxford Economics'!$A$7:$AZ$1000,0,IFERROR(MATCH(AH$5,'Oxford Economics'!$A$6:$AZ$6,0),MATCH(AH$5&amp;"",'Oxford Economics'!$A$6:$AZ$6,0))),'Oxford Economics'!$A$7:$A$1000,$C123,'Oxford Economics'!$B$7:$B$1000,Settings!$B$18)))),""))</f>
        <v/>
      </c>
      <c r="AI123" s="38" t="str">
        <f aca="false">IF($A123="","",IFERROR(1/(1/IF($B123="Residential",SUMIFS(INDEX('Oxford Economics'!$A$7:$AZ$1000,0,IFERROR(MATCH(AI$5,'Oxford Economics'!$A$6:$AZ$6,0),MATCH(AI$5&amp;"",'Oxford Economics'!$A$6:$AZ$6,0))),'Oxford Economics'!$A$7:$A$1000,$C123,'Oxford Economics'!$B$7:$B$1000,Settings!$B$12)-SUMIFS(INDEX('Oxford Economics'!$A$7:$AZ$1000,0,IFERROR(MATCH(AI$5,'Oxford Economics'!$A$6:$AZ$6,0),MATCH(AI$5&amp;"",'Oxford Economics'!$A$6:$AZ$6,0))),'Oxford Economics'!$A$7:$A$1000,$C123,'Oxford Economics'!$B$7:$B$1000,Settings!$B$14),SUMIFS(INDEX('Oxford Economics'!$A$7:$AZ$1000,0,IFERROR(MATCH(AI$5,'Oxford Economics'!$A$6:$AZ$6,0),MATCH(AI$5&amp;"",'Oxford Economics'!$A$6:$AZ$6,0))),'Oxford Economics'!$A$7:$A$1000,$C123,'Oxford Economics'!$B$7:$B$1000,Settings!$B$14)+SUMIFS(INDEX('Oxford Economics'!$A$7:$AZ$1000,0,IFERROR(MATCH(AI$5,'Oxford Economics'!$A$6:$AZ$6,0),MATCH(AI$5&amp;"",'Oxford Economics'!$A$6:$AZ$6,0))),'Oxford Economics'!$A$7:$A$1000,$C123,'Oxford Economics'!$B$7:$B$1000,Settings!$B$16)+IF(Settings!$B$18="",0,SUMIFS(INDEX('Oxford Economics'!$A$7:$AZ$1000,0,IFERROR(MATCH(AI$5,'Oxford Economics'!$A$6:$AZ$6,0),MATCH(AI$5&amp;"",'Oxford Economics'!$A$6:$AZ$6,0))),'Oxford Economics'!$A$7:$A$1000,$C123,'Oxford Economics'!$B$7:$B$1000,Settings!$B$18)))),""))</f>
        <v/>
      </c>
      <c r="AJ123" s="38" t="str">
        <f aca="false">IF($A123="","",IFERROR(1/(1/IF($B123="Residential",SUMIFS(INDEX('Oxford Economics'!$A$7:$AZ$1000,0,IFERROR(MATCH(AJ$5,'Oxford Economics'!$A$6:$AZ$6,0),MATCH(AJ$5&amp;"",'Oxford Economics'!$A$6:$AZ$6,0))),'Oxford Economics'!$A$7:$A$1000,$C123,'Oxford Economics'!$B$7:$B$1000,Settings!$B$12)-SUMIFS(INDEX('Oxford Economics'!$A$7:$AZ$1000,0,IFERROR(MATCH(AJ$5,'Oxford Economics'!$A$6:$AZ$6,0),MATCH(AJ$5&amp;"",'Oxford Economics'!$A$6:$AZ$6,0))),'Oxford Economics'!$A$7:$A$1000,$C123,'Oxford Economics'!$B$7:$B$1000,Settings!$B$14),SUMIFS(INDEX('Oxford Economics'!$A$7:$AZ$1000,0,IFERROR(MATCH(AJ$5,'Oxford Economics'!$A$6:$AZ$6,0),MATCH(AJ$5&amp;"",'Oxford Economics'!$A$6:$AZ$6,0))),'Oxford Economics'!$A$7:$A$1000,$C123,'Oxford Economics'!$B$7:$B$1000,Settings!$B$14)+SUMIFS(INDEX('Oxford Economics'!$A$7:$AZ$1000,0,IFERROR(MATCH(AJ$5,'Oxford Economics'!$A$6:$AZ$6,0),MATCH(AJ$5&amp;"",'Oxford Economics'!$A$6:$AZ$6,0))),'Oxford Economics'!$A$7:$A$1000,$C123,'Oxford Economics'!$B$7:$B$1000,Settings!$B$16)+IF(Settings!$B$18="",0,SUMIFS(INDEX('Oxford Economics'!$A$7:$AZ$1000,0,IFERROR(MATCH(AJ$5,'Oxford Economics'!$A$6:$AZ$6,0),MATCH(AJ$5&amp;"",'Oxford Economics'!$A$6:$AZ$6,0))),'Oxford Economics'!$A$7:$A$1000,$C123,'Oxford Economics'!$B$7:$B$1000,Settings!$B$18)))),""))</f>
        <v/>
      </c>
      <c r="AK123" s="38" t="str">
        <f aca="false">IF($A123="","",IFERROR(1/(1/IF($B123="Residential",SUMIFS(INDEX('Oxford Economics'!$A$7:$AZ$1000,0,IFERROR(MATCH(AK$5,'Oxford Economics'!$A$6:$AZ$6,0),MATCH(AK$5&amp;"",'Oxford Economics'!$A$6:$AZ$6,0))),'Oxford Economics'!$A$7:$A$1000,$C123,'Oxford Economics'!$B$7:$B$1000,Settings!$B$12)-SUMIFS(INDEX('Oxford Economics'!$A$7:$AZ$1000,0,IFERROR(MATCH(AK$5,'Oxford Economics'!$A$6:$AZ$6,0),MATCH(AK$5&amp;"",'Oxford Economics'!$A$6:$AZ$6,0))),'Oxford Economics'!$A$7:$A$1000,$C123,'Oxford Economics'!$B$7:$B$1000,Settings!$B$14),SUMIFS(INDEX('Oxford Economics'!$A$7:$AZ$1000,0,IFERROR(MATCH(AK$5,'Oxford Economics'!$A$6:$AZ$6,0),MATCH(AK$5&amp;"",'Oxford Economics'!$A$6:$AZ$6,0))),'Oxford Economics'!$A$7:$A$1000,$C123,'Oxford Economics'!$B$7:$B$1000,Settings!$B$14)+SUMIFS(INDEX('Oxford Economics'!$A$7:$AZ$1000,0,IFERROR(MATCH(AK$5,'Oxford Economics'!$A$6:$AZ$6,0),MATCH(AK$5&amp;"",'Oxford Economics'!$A$6:$AZ$6,0))),'Oxford Economics'!$A$7:$A$1000,$C123,'Oxford Economics'!$B$7:$B$1000,Settings!$B$16)+IF(Settings!$B$18="",0,SUMIFS(INDEX('Oxford Economics'!$A$7:$AZ$1000,0,IFERROR(MATCH(AK$5,'Oxford Economics'!$A$6:$AZ$6,0),MATCH(AK$5&amp;"",'Oxford Economics'!$A$6:$AZ$6,0))),'Oxford Economics'!$A$7:$A$1000,$C123,'Oxford Economics'!$B$7:$B$1000,Settings!$B$18)))),""))</f>
        <v/>
      </c>
      <c r="AL123" s="38" t="str">
        <f aca="false">IF($A123="","",IFERROR(1/(1/IF($B123="Residential",SUMIFS(INDEX('Oxford Economics'!$A$7:$AZ$1000,0,IFERROR(MATCH(AL$5,'Oxford Economics'!$A$6:$AZ$6,0),MATCH(AL$5&amp;"",'Oxford Economics'!$A$6:$AZ$6,0))),'Oxford Economics'!$A$7:$A$1000,$C123,'Oxford Economics'!$B$7:$B$1000,Settings!$B$12)-SUMIFS(INDEX('Oxford Economics'!$A$7:$AZ$1000,0,IFERROR(MATCH(AL$5,'Oxford Economics'!$A$6:$AZ$6,0),MATCH(AL$5&amp;"",'Oxford Economics'!$A$6:$AZ$6,0))),'Oxford Economics'!$A$7:$A$1000,$C123,'Oxford Economics'!$B$7:$B$1000,Settings!$B$14),SUMIFS(INDEX('Oxford Economics'!$A$7:$AZ$1000,0,IFERROR(MATCH(AL$5,'Oxford Economics'!$A$6:$AZ$6,0),MATCH(AL$5&amp;"",'Oxford Economics'!$A$6:$AZ$6,0))),'Oxford Economics'!$A$7:$A$1000,$C123,'Oxford Economics'!$B$7:$B$1000,Settings!$B$14)+SUMIFS(INDEX('Oxford Economics'!$A$7:$AZ$1000,0,IFERROR(MATCH(AL$5,'Oxford Economics'!$A$6:$AZ$6,0),MATCH(AL$5&amp;"",'Oxford Economics'!$A$6:$AZ$6,0))),'Oxford Economics'!$A$7:$A$1000,$C123,'Oxford Economics'!$B$7:$B$1000,Settings!$B$16)+IF(Settings!$B$18="",0,SUMIFS(INDEX('Oxford Economics'!$A$7:$AZ$1000,0,IFERROR(MATCH(AL$5,'Oxford Economics'!$A$6:$AZ$6,0),MATCH(AL$5&amp;"",'Oxford Economics'!$A$6:$AZ$6,0))),'Oxford Economics'!$A$7:$A$1000,$C123,'Oxford Economics'!$B$7:$B$1000,Settings!$B$18)))),""))</f>
        <v/>
      </c>
      <c r="AM123" s="38" t="str">
        <f aca="false">IF($A123="","",IFERROR(1/(1/IF($B123="Residential",SUMIFS(INDEX('Oxford Economics'!$A$7:$AZ$1000,0,IFERROR(MATCH(AM$5,'Oxford Economics'!$A$6:$AZ$6,0),MATCH(AM$5&amp;"",'Oxford Economics'!$A$6:$AZ$6,0))),'Oxford Economics'!$A$7:$A$1000,$C123,'Oxford Economics'!$B$7:$B$1000,Settings!$B$12)-SUMIFS(INDEX('Oxford Economics'!$A$7:$AZ$1000,0,IFERROR(MATCH(AM$5,'Oxford Economics'!$A$6:$AZ$6,0),MATCH(AM$5&amp;"",'Oxford Economics'!$A$6:$AZ$6,0))),'Oxford Economics'!$A$7:$A$1000,$C123,'Oxford Economics'!$B$7:$B$1000,Settings!$B$14),SUMIFS(INDEX('Oxford Economics'!$A$7:$AZ$1000,0,IFERROR(MATCH(AM$5,'Oxford Economics'!$A$6:$AZ$6,0),MATCH(AM$5&amp;"",'Oxford Economics'!$A$6:$AZ$6,0))),'Oxford Economics'!$A$7:$A$1000,$C123,'Oxford Economics'!$B$7:$B$1000,Settings!$B$14)+SUMIFS(INDEX('Oxford Economics'!$A$7:$AZ$1000,0,IFERROR(MATCH(AM$5,'Oxford Economics'!$A$6:$AZ$6,0),MATCH(AM$5&amp;"",'Oxford Economics'!$A$6:$AZ$6,0))),'Oxford Economics'!$A$7:$A$1000,$C123,'Oxford Economics'!$B$7:$B$1000,Settings!$B$16)+IF(Settings!$B$18="",0,SUMIFS(INDEX('Oxford Economics'!$A$7:$AZ$1000,0,IFERROR(MATCH(AM$5,'Oxford Economics'!$A$6:$AZ$6,0),MATCH(AM$5&amp;"",'Oxford Economics'!$A$6:$AZ$6,0))),'Oxford Economics'!$A$7:$A$1000,$C123,'Oxford Economics'!$B$7:$B$1000,Settings!$B$18)))),""))</f>
        <v/>
      </c>
    </row>
    <row r="124" customFormat="false" ht="15" hidden="false" customHeight="false" outlineLevel="0" collapsed="false">
      <c r="A124" s="37" t="str">
        <f aca="false">IF('Raw data'!$A124="","",'Raw data'!$A124)</f>
        <v/>
      </c>
      <c r="B124" s="37" t="str">
        <f aca="false">IF($A124="","",'Raw data'!$C124)</f>
        <v/>
      </c>
      <c r="C124" s="37" t="str">
        <f aca="false">IF($A124="","",IF('Raw data'!$E124="",$A124,'Raw data'!$E124))</f>
        <v/>
      </c>
      <c r="D124" s="38" t="str">
        <f aca="false">IF($A124="","",IF(AND(ISNUMBER(P124),ISNUMBER(AB124)),P124+AB124,""))</f>
        <v/>
      </c>
      <c r="E124" s="38" t="str">
        <f aca="false">IF($A124="","",IF(AND(ISNUMBER(Q124),ISNUMBER(AC124)),Q124+AC124,""))</f>
        <v/>
      </c>
      <c r="F124" s="38" t="str">
        <f aca="false">IF($A124="","",IF(AND(ISNUMBER(R124),ISNUMBER(AD124)),R124+AD124,""))</f>
        <v/>
      </c>
      <c r="G124" s="38" t="str">
        <f aca="false">IF($A124="","",IF(AND(ISNUMBER(S124),ISNUMBER(AE124)),S124+AE124,""))</f>
        <v/>
      </c>
      <c r="H124" s="38" t="str">
        <f aca="false">IF($A124="","",IF(AND(ISNUMBER(T124),ISNUMBER(AF124)),T124+AF124,""))</f>
        <v/>
      </c>
      <c r="I124" s="38" t="str">
        <f aca="false">IF($A124="","",IF(AND(ISNUMBER(U124),ISNUMBER(AG124)),U124+AG124,""))</f>
        <v/>
      </c>
      <c r="J124" s="38" t="str">
        <f aca="false">IF($A124="","",IF(AND(ISNUMBER(V124),ISNUMBER(AH124)),V124+AH124,""))</f>
        <v/>
      </c>
      <c r="K124" s="38" t="str">
        <f aca="false">IF($A124="","",IF(AND(ISNUMBER(W124),ISNUMBER(AI124)),W124+AI124,""))</f>
        <v/>
      </c>
      <c r="L124" s="38" t="str">
        <f aca="false">IF($A124="","",IF(AND(ISNUMBER(X124),ISNUMBER(AJ124)),X124+AJ124,""))</f>
        <v/>
      </c>
      <c r="M124" s="38" t="str">
        <f aca="false">IF($A124="","",IF(AND(ISNUMBER(Y124),ISNUMBER(AK124)),Y124+AK124,""))</f>
        <v/>
      </c>
      <c r="N124" s="38" t="str">
        <f aca="false">IF($A124="","",IF(AND(ISNUMBER(Z124),ISNUMBER(AL124)),Z124+AL124,""))</f>
        <v/>
      </c>
      <c r="O124" s="38" t="str">
        <f aca="false">IF($A124="","",IF(AND(ISNUMBER(AA124),ISNUMBER(AM124)),AA124+AM124,""))</f>
        <v/>
      </c>
      <c r="P124" s="38" t="str">
        <f aca="false">IF($A124="","",IFERROR(1/(1/IF($B124="Residential",SUMIFS(INDEX('Oxford Economics'!$A$7:$AZ$1000,0,IFERROR(MATCH(P$5,'Oxford Economics'!$A$6:$AZ$6,0),MATCH(P$5&amp;"",'Oxford Economics'!$A$6:$AZ$6,0))),'Oxford Economics'!$A$7:$A$1000,$C124,'Oxford Economics'!$B$7:$B$1000,Settings!$B$13)-SUMIFS(INDEX('Oxford Economics'!$A$7:$AZ$1000,0,IFERROR(MATCH(P$5,'Oxford Economics'!$A$6:$AZ$6,0),MATCH(P$5&amp;"",'Oxford Economics'!$A$6:$AZ$6,0))),'Oxford Economics'!$A$7:$A$1000,$C124,'Oxford Economics'!$B$7:$B$1000,Settings!$B$15),SUMIFS(INDEX('Oxford Economics'!$A$7:$AZ$1000,0,IFERROR(MATCH(P$5,'Oxford Economics'!$A$6:$AZ$6,0),MATCH(P$5&amp;"",'Oxford Economics'!$A$6:$AZ$6,0))),'Oxford Economics'!$A$7:$A$1000,$C124,'Oxford Economics'!$B$7:$B$1000,Settings!$B$15)+SUMIFS(INDEX('Oxford Economics'!$A$7:$AZ$1000,0,IFERROR(MATCH(P$5,'Oxford Economics'!$A$6:$AZ$6,0),MATCH(P$5&amp;"",'Oxford Economics'!$A$6:$AZ$6,0))),'Oxford Economics'!$A$7:$A$1000,$C124,'Oxford Economics'!$B$7:$B$1000,Settings!$B$17)+IF(Settings!$B$19="",0,SUMIFS(INDEX('Oxford Economics'!$A$7:$AZ$1000,0,IFERROR(MATCH(P$5,'Oxford Economics'!$A$6:$AZ$6,0),MATCH(P$5&amp;"",'Oxford Economics'!$A$6:$AZ$6,0))),'Oxford Economics'!$A$7:$A$1000,$C124,'Oxford Economics'!$B$7:$B$1000,Settings!$B$19)))),""))</f>
        <v/>
      </c>
      <c r="Q124" s="38" t="str">
        <f aca="false">IF($A124="","",IFERROR(1/(1/IF($B124="Residential",SUMIFS(INDEX('Oxford Economics'!$A$7:$AZ$1000,0,IFERROR(MATCH(Q$5,'Oxford Economics'!$A$6:$AZ$6,0),MATCH(Q$5&amp;"",'Oxford Economics'!$A$6:$AZ$6,0))),'Oxford Economics'!$A$7:$A$1000,$C124,'Oxford Economics'!$B$7:$B$1000,Settings!$B$13)-SUMIFS(INDEX('Oxford Economics'!$A$7:$AZ$1000,0,IFERROR(MATCH(Q$5,'Oxford Economics'!$A$6:$AZ$6,0),MATCH(Q$5&amp;"",'Oxford Economics'!$A$6:$AZ$6,0))),'Oxford Economics'!$A$7:$A$1000,$C124,'Oxford Economics'!$B$7:$B$1000,Settings!$B$15),SUMIFS(INDEX('Oxford Economics'!$A$7:$AZ$1000,0,IFERROR(MATCH(Q$5,'Oxford Economics'!$A$6:$AZ$6,0),MATCH(Q$5&amp;"",'Oxford Economics'!$A$6:$AZ$6,0))),'Oxford Economics'!$A$7:$A$1000,$C124,'Oxford Economics'!$B$7:$B$1000,Settings!$B$15)+SUMIFS(INDEX('Oxford Economics'!$A$7:$AZ$1000,0,IFERROR(MATCH(Q$5,'Oxford Economics'!$A$6:$AZ$6,0),MATCH(Q$5&amp;"",'Oxford Economics'!$A$6:$AZ$6,0))),'Oxford Economics'!$A$7:$A$1000,$C124,'Oxford Economics'!$B$7:$B$1000,Settings!$B$17)+IF(Settings!$B$19="",0,SUMIFS(INDEX('Oxford Economics'!$A$7:$AZ$1000,0,IFERROR(MATCH(Q$5,'Oxford Economics'!$A$6:$AZ$6,0),MATCH(Q$5&amp;"",'Oxford Economics'!$A$6:$AZ$6,0))),'Oxford Economics'!$A$7:$A$1000,$C124,'Oxford Economics'!$B$7:$B$1000,Settings!$B$19)))),""))</f>
        <v/>
      </c>
      <c r="R124" s="38" t="str">
        <f aca="false">IF($A124="","",IFERROR(1/(1/IF($B124="Residential",SUMIFS(INDEX('Oxford Economics'!$A$7:$AZ$1000,0,IFERROR(MATCH(R$5,'Oxford Economics'!$A$6:$AZ$6,0),MATCH(R$5&amp;"",'Oxford Economics'!$A$6:$AZ$6,0))),'Oxford Economics'!$A$7:$A$1000,$C124,'Oxford Economics'!$B$7:$B$1000,Settings!$B$13)-SUMIFS(INDEX('Oxford Economics'!$A$7:$AZ$1000,0,IFERROR(MATCH(R$5,'Oxford Economics'!$A$6:$AZ$6,0),MATCH(R$5&amp;"",'Oxford Economics'!$A$6:$AZ$6,0))),'Oxford Economics'!$A$7:$A$1000,$C124,'Oxford Economics'!$B$7:$B$1000,Settings!$B$15),SUMIFS(INDEX('Oxford Economics'!$A$7:$AZ$1000,0,IFERROR(MATCH(R$5,'Oxford Economics'!$A$6:$AZ$6,0),MATCH(R$5&amp;"",'Oxford Economics'!$A$6:$AZ$6,0))),'Oxford Economics'!$A$7:$A$1000,$C124,'Oxford Economics'!$B$7:$B$1000,Settings!$B$15)+SUMIFS(INDEX('Oxford Economics'!$A$7:$AZ$1000,0,IFERROR(MATCH(R$5,'Oxford Economics'!$A$6:$AZ$6,0),MATCH(R$5&amp;"",'Oxford Economics'!$A$6:$AZ$6,0))),'Oxford Economics'!$A$7:$A$1000,$C124,'Oxford Economics'!$B$7:$B$1000,Settings!$B$17)+IF(Settings!$B$19="",0,SUMIFS(INDEX('Oxford Economics'!$A$7:$AZ$1000,0,IFERROR(MATCH(R$5,'Oxford Economics'!$A$6:$AZ$6,0),MATCH(R$5&amp;"",'Oxford Economics'!$A$6:$AZ$6,0))),'Oxford Economics'!$A$7:$A$1000,$C124,'Oxford Economics'!$B$7:$B$1000,Settings!$B$19)))),""))</f>
        <v/>
      </c>
      <c r="S124" s="38" t="str">
        <f aca="false">IF($A124="","",IFERROR(1/(1/IF($B124="Residential",SUMIFS(INDEX('Oxford Economics'!$A$7:$AZ$1000,0,IFERROR(MATCH(S$5,'Oxford Economics'!$A$6:$AZ$6,0),MATCH(S$5&amp;"",'Oxford Economics'!$A$6:$AZ$6,0))),'Oxford Economics'!$A$7:$A$1000,$C124,'Oxford Economics'!$B$7:$B$1000,Settings!$B$13)-SUMIFS(INDEX('Oxford Economics'!$A$7:$AZ$1000,0,IFERROR(MATCH(S$5,'Oxford Economics'!$A$6:$AZ$6,0),MATCH(S$5&amp;"",'Oxford Economics'!$A$6:$AZ$6,0))),'Oxford Economics'!$A$7:$A$1000,$C124,'Oxford Economics'!$B$7:$B$1000,Settings!$B$15),SUMIFS(INDEX('Oxford Economics'!$A$7:$AZ$1000,0,IFERROR(MATCH(S$5,'Oxford Economics'!$A$6:$AZ$6,0),MATCH(S$5&amp;"",'Oxford Economics'!$A$6:$AZ$6,0))),'Oxford Economics'!$A$7:$A$1000,$C124,'Oxford Economics'!$B$7:$B$1000,Settings!$B$15)+SUMIFS(INDEX('Oxford Economics'!$A$7:$AZ$1000,0,IFERROR(MATCH(S$5,'Oxford Economics'!$A$6:$AZ$6,0),MATCH(S$5&amp;"",'Oxford Economics'!$A$6:$AZ$6,0))),'Oxford Economics'!$A$7:$A$1000,$C124,'Oxford Economics'!$B$7:$B$1000,Settings!$B$17)+IF(Settings!$B$19="",0,SUMIFS(INDEX('Oxford Economics'!$A$7:$AZ$1000,0,IFERROR(MATCH(S$5,'Oxford Economics'!$A$6:$AZ$6,0),MATCH(S$5&amp;"",'Oxford Economics'!$A$6:$AZ$6,0))),'Oxford Economics'!$A$7:$A$1000,$C124,'Oxford Economics'!$B$7:$B$1000,Settings!$B$19)))),""))</f>
        <v/>
      </c>
      <c r="T124" s="38" t="str">
        <f aca="false">IF($A124="","",IFERROR(1/(1/IF($B124="Residential",SUMIFS(INDEX('Oxford Economics'!$A$7:$AZ$1000,0,IFERROR(MATCH(T$5,'Oxford Economics'!$A$6:$AZ$6,0),MATCH(T$5&amp;"",'Oxford Economics'!$A$6:$AZ$6,0))),'Oxford Economics'!$A$7:$A$1000,$C124,'Oxford Economics'!$B$7:$B$1000,Settings!$B$13)-SUMIFS(INDEX('Oxford Economics'!$A$7:$AZ$1000,0,IFERROR(MATCH(T$5,'Oxford Economics'!$A$6:$AZ$6,0),MATCH(T$5&amp;"",'Oxford Economics'!$A$6:$AZ$6,0))),'Oxford Economics'!$A$7:$A$1000,$C124,'Oxford Economics'!$B$7:$B$1000,Settings!$B$15),SUMIFS(INDEX('Oxford Economics'!$A$7:$AZ$1000,0,IFERROR(MATCH(T$5,'Oxford Economics'!$A$6:$AZ$6,0),MATCH(T$5&amp;"",'Oxford Economics'!$A$6:$AZ$6,0))),'Oxford Economics'!$A$7:$A$1000,$C124,'Oxford Economics'!$B$7:$B$1000,Settings!$B$15)+SUMIFS(INDEX('Oxford Economics'!$A$7:$AZ$1000,0,IFERROR(MATCH(T$5,'Oxford Economics'!$A$6:$AZ$6,0),MATCH(T$5&amp;"",'Oxford Economics'!$A$6:$AZ$6,0))),'Oxford Economics'!$A$7:$A$1000,$C124,'Oxford Economics'!$B$7:$B$1000,Settings!$B$17)+IF(Settings!$B$19="",0,SUMIFS(INDEX('Oxford Economics'!$A$7:$AZ$1000,0,IFERROR(MATCH(T$5,'Oxford Economics'!$A$6:$AZ$6,0),MATCH(T$5&amp;"",'Oxford Economics'!$A$6:$AZ$6,0))),'Oxford Economics'!$A$7:$A$1000,$C124,'Oxford Economics'!$B$7:$B$1000,Settings!$B$19)))),""))</f>
        <v/>
      </c>
      <c r="U124" s="38" t="str">
        <f aca="false">IF($A124="","",IFERROR(1/(1/IF($B124="Residential",SUMIFS(INDEX('Oxford Economics'!$A$7:$AZ$1000,0,IFERROR(MATCH(U$5,'Oxford Economics'!$A$6:$AZ$6,0),MATCH(U$5&amp;"",'Oxford Economics'!$A$6:$AZ$6,0))),'Oxford Economics'!$A$7:$A$1000,$C124,'Oxford Economics'!$B$7:$B$1000,Settings!$B$13)-SUMIFS(INDEX('Oxford Economics'!$A$7:$AZ$1000,0,IFERROR(MATCH(U$5,'Oxford Economics'!$A$6:$AZ$6,0),MATCH(U$5&amp;"",'Oxford Economics'!$A$6:$AZ$6,0))),'Oxford Economics'!$A$7:$A$1000,$C124,'Oxford Economics'!$B$7:$B$1000,Settings!$B$15),SUMIFS(INDEX('Oxford Economics'!$A$7:$AZ$1000,0,IFERROR(MATCH(U$5,'Oxford Economics'!$A$6:$AZ$6,0),MATCH(U$5&amp;"",'Oxford Economics'!$A$6:$AZ$6,0))),'Oxford Economics'!$A$7:$A$1000,$C124,'Oxford Economics'!$B$7:$B$1000,Settings!$B$15)+SUMIFS(INDEX('Oxford Economics'!$A$7:$AZ$1000,0,IFERROR(MATCH(U$5,'Oxford Economics'!$A$6:$AZ$6,0),MATCH(U$5&amp;"",'Oxford Economics'!$A$6:$AZ$6,0))),'Oxford Economics'!$A$7:$A$1000,$C124,'Oxford Economics'!$B$7:$B$1000,Settings!$B$17)+IF(Settings!$B$19="",0,SUMIFS(INDEX('Oxford Economics'!$A$7:$AZ$1000,0,IFERROR(MATCH(U$5,'Oxford Economics'!$A$6:$AZ$6,0),MATCH(U$5&amp;"",'Oxford Economics'!$A$6:$AZ$6,0))),'Oxford Economics'!$A$7:$A$1000,$C124,'Oxford Economics'!$B$7:$B$1000,Settings!$B$19)))),""))</f>
        <v/>
      </c>
      <c r="V124" s="38" t="str">
        <f aca="false">IF($A124="","",IFERROR(1/(1/IF($B124="Residential",SUMIFS(INDEX('Oxford Economics'!$A$7:$AZ$1000,0,IFERROR(MATCH(V$5,'Oxford Economics'!$A$6:$AZ$6,0),MATCH(V$5&amp;"",'Oxford Economics'!$A$6:$AZ$6,0))),'Oxford Economics'!$A$7:$A$1000,$C124,'Oxford Economics'!$B$7:$B$1000,Settings!$B$13)-SUMIFS(INDEX('Oxford Economics'!$A$7:$AZ$1000,0,IFERROR(MATCH(V$5,'Oxford Economics'!$A$6:$AZ$6,0),MATCH(V$5&amp;"",'Oxford Economics'!$A$6:$AZ$6,0))),'Oxford Economics'!$A$7:$A$1000,$C124,'Oxford Economics'!$B$7:$B$1000,Settings!$B$15),SUMIFS(INDEX('Oxford Economics'!$A$7:$AZ$1000,0,IFERROR(MATCH(V$5,'Oxford Economics'!$A$6:$AZ$6,0),MATCH(V$5&amp;"",'Oxford Economics'!$A$6:$AZ$6,0))),'Oxford Economics'!$A$7:$A$1000,$C124,'Oxford Economics'!$B$7:$B$1000,Settings!$B$15)+SUMIFS(INDEX('Oxford Economics'!$A$7:$AZ$1000,0,IFERROR(MATCH(V$5,'Oxford Economics'!$A$6:$AZ$6,0),MATCH(V$5&amp;"",'Oxford Economics'!$A$6:$AZ$6,0))),'Oxford Economics'!$A$7:$A$1000,$C124,'Oxford Economics'!$B$7:$B$1000,Settings!$B$17)+IF(Settings!$B$19="",0,SUMIFS(INDEX('Oxford Economics'!$A$7:$AZ$1000,0,IFERROR(MATCH(V$5,'Oxford Economics'!$A$6:$AZ$6,0),MATCH(V$5&amp;"",'Oxford Economics'!$A$6:$AZ$6,0))),'Oxford Economics'!$A$7:$A$1000,$C124,'Oxford Economics'!$B$7:$B$1000,Settings!$B$19)))),""))</f>
        <v/>
      </c>
      <c r="W124" s="38" t="str">
        <f aca="false">IF($A124="","",IFERROR(1/(1/IF($B124="Residential",SUMIFS(INDEX('Oxford Economics'!$A$7:$AZ$1000,0,IFERROR(MATCH(W$5,'Oxford Economics'!$A$6:$AZ$6,0),MATCH(W$5&amp;"",'Oxford Economics'!$A$6:$AZ$6,0))),'Oxford Economics'!$A$7:$A$1000,$C124,'Oxford Economics'!$B$7:$B$1000,Settings!$B$13)-SUMIFS(INDEX('Oxford Economics'!$A$7:$AZ$1000,0,IFERROR(MATCH(W$5,'Oxford Economics'!$A$6:$AZ$6,0),MATCH(W$5&amp;"",'Oxford Economics'!$A$6:$AZ$6,0))),'Oxford Economics'!$A$7:$A$1000,$C124,'Oxford Economics'!$B$7:$B$1000,Settings!$B$15),SUMIFS(INDEX('Oxford Economics'!$A$7:$AZ$1000,0,IFERROR(MATCH(W$5,'Oxford Economics'!$A$6:$AZ$6,0),MATCH(W$5&amp;"",'Oxford Economics'!$A$6:$AZ$6,0))),'Oxford Economics'!$A$7:$A$1000,$C124,'Oxford Economics'!$B$7:$B$1000,Settings!$B$15)+SUMIFS(INDEX('Oxford Economics'!$A$7:$AZ$1000,0,IFERROR(MATCH(W$5,'Oxford Economics'!$A$6:$AZ$6,0),MATCH(W$5&amp;"",'Oxford Economics'!$A$6:$AZ$6,0))),'Oxford Economics'!$A$7:$A$1000,$C124,'Oxford Economics'!$B$7:$B$1000,Settings!$B$17)+IF(Settings!$B$19="",0,SUMIFS(INDEX('Oxford Economics'!$A$7:$AZ$1000,0,IFERROR(MATCH(W$5,'Oxford Economics'!$A$6:$AZ$6,0),MATCH(W$5&amp;"",'Oxford Economics'!$A$6:$AZ$6,0))),'Oxford Economics'!$A$7:$A$1000,$C124,'Oxford Economics'!$B$7:$B$1000,Settings!$B$19)))),""))</f>
        <v/>
      </c>
      <c r="X124" s="38" t="str">
        <f aca="false">IF($A124="","",IFERROR(1/(1/IF($B124="Residential",SUMIFS(INDEX('Oxford Economics'!$A$7:$AZ$1000,0,IFERROR(MATCH(X$5,'Oxford Economics'!$A$6:$AZ$6,0),MATCH(X$5&amp;"",'Oxford Economics'!$A$6:$AZ$6,0))),'Oxford Economics'!$A$7:$A$1000,$C124,'Oxford Economics'!$B$7:$B$1000,Settings!$B$13)-SUMIFS(INDEX('Oxford Economics'!$A$7:$AZ$1000,0,IFERROR(MATCH(X$5,'Oxford Economics'!$A$6:$AZ$6,0),MATCH(X$5&amp;"",'Oxford Economics'!$A$6:$AZ$6,0))),'Oxford Economics'!$A$7:$A$1000,$C124,'Oxford Economics'!$B$7:$B$1000,Settings!$B$15),SUMIFS(INDEX('Oxford Economics'!$A$7:$AZ$1000,0,IFERROR(MATCH(X$5,'Oxford Economics'!$A$6:$AZ$6,0),MATCH(X$5&amp;"",'Oxford Economics'!$A$6:$AZ$6,0))),'Oxford Economics'!$A$7:$A$1000,$C124,'Oxford Economics'!$B$7:$B$1000,Settings!$B$15)+SUMIFS(INDEX('Oxford Economics'!$A$7:$AZ$1000,0,IFERROR(MATCH(X$5,'Oxford Economics'!$A$6:$AZ$6,0),MATCH(X$5&amp;"",'Oxford Economics'!$A$6:$AZ$6,0))),'Oxford Economics'!$A$7:$A$1000,$C124,'Oxford Economics'!$B$7:$B$1000,Settings!$B$17)+IF(Settings!$B$19="",0,SUMIFS(INDEX('Oxford Economics'!$A$7:$AZ$1000,0,IFERROR(MATCH(X$5,'Oxford Economics'!$A$6:$AZ$6,0),MATCH(X$5&amp;"",'Oxford Economics'!$A$6:$AZ$6,0))),'Oxford Economics'!$A$7:$A$1000,$C124,'Oxford Economics'!$B$7:$B$1000,Settings!$B$19)))),""))</f>
        <v/>
      </c>
      <c r="Y124" s="38" t="str">
        <f aca="false">IF($A124="","",IFERROR(1/(1/IF($B124="Residential",SUMIFS(INDEX('Oxford Economics'!$A$7:$AZ$1000,0,IFERROR(MATCH(Y$5,'Oxford Economics'!$A$6:$AZ$6,0),MATCH(Y$5&amp;"",'Oxford Economics'!$A$6:$AZ$6,0))),'Oxford Economics'!$A$7:$A$1000,$C124,'Oxford Economics'!$B$7:$B$1000,Settings!$B$13)-SUMIFS(INDEX('Oxford Economics'!$A$7:$AZ$1000,0,IFERROR(MATCH(Y$5,'Oxford Economics'!$A$6:$AZ$6,0),MATCH(Y$5&amp;"",'Oxford Economics'!$A$6:$AZ$6,0))),'Oxford Economics'!$A$7:$A$1000,$C124,'Oxford Economics'!$B$7:$B$1000,Settings!$B$15),SUMIFS(INDEX('Oxford Economics'!$A$7:$AZ$1000,0,IFERROR(MATCH(Y$5,'Oxford Economics'!$A$6:$AZ$6,0),MATCH(Y$5&amp;"",'Oxford Economics'!$A$6:$AZ$6,0))),'Oxford Economics'!$A$7:$A$1000,$C124,'Oxford Economics'!$B$7:$B$1000,Settings!$B$15)+SUMIFS(INDEX('Oxford Economics'!$A$7:$AZ$1000,0,IFERROR(MATCH(Y$5,'Oxford Economics'!$A$6:$AZ$6,0),MATCH(Y$5&amp;"",'Oxford Economics'!$A$6:$AZ$6,0))),'Oxford Economics'!$A$7:$A$1000,$C124,'Oxford Economics'!$B$7:$B$1000,Settings!$B$17)+IF(Settings!$B$19="",0,SUMIFS(INDEX('Oxford Economics'!$A$7:$AZ$1000,0,IFERROR(MATCH(Y$5,'Oxford Economics'!$A$6:$AZ$6,0),MATCH(Y$5&amp;"",'Oxford Economics'!$A$6:$AZ$6,0))),'Oxford Economics'!$A$7:$A$1000,$C124,'Oxford Economics'!$B$7:$B$1000,Settings!$B$19)))),""))</f>
        <v/>
      </c>
      <c r="Z124" s="38" t="str">
        <f aca="false">IF($A124="","",IFERROR(1/(1/IF($B124="Residential",SUMIFS(INDEX('Oxford Economics'!$A$7:$AZ$1000,0,IFERROR(MATCH(Z$5,'Oxford Economics'!$A$6:$AZ$6,0),MATCH(Z$5&amp;"",'Oxford Economics'!$A$6:$AZ$6,0))),'Oxford Economics'!$A$7:$A$1000,$C124,'Oxford Economics'!$B$7:$B$1000,Settings!$B$13)-SUMIFS(INDEX('Oxford Economics'!$A$7:$AZ$1000,0,IFERROR(MATCH(Z$5,'Oxford Economics'!$A$6:$AZ$6,0),MATCH(Z$5&amp;"",'Oxford Economics'!$A$6:$AZ$6,0))),'Oxford Economics'!$A$7:$A$1000,$C124,'Oxford Economics'!$B$7:$B$1000,Settings!$B$15),SUMIFS(INDEX('Oxford Economics'!$A$7:$AZ$1000,0,IFERROR(MATCH(Z$5,'Oxford Economics'!$A$6:$AZ$6,0),MATCH(Z$5&amp;"",'Oxford Economics'!$A$6:$AZ$6,0))),'Oxford Economics'!$A$7:$A$1000,$C124,'Oxford Economics'!$B$7:$B$1000,Settings!$B$15)+SUMIFS(INDEX('Oxford Economics'!$A$7:$AZ$1000,0,IFERROR(MATCH(Z$5,'Oxford Economics'!$A$6:$AZ$6,0),MATCH(Z$5&amp;"",'Oxford Economics'!$A$6:$AZ$6,0))),'Oxford Economics'!$A$7:$A$1000,$C124,'Oxford Economics'!$B$7:$B$1000,Settings!$B$17)+IF(Settings!$B$19="",0,SUMIFS(INDEX('Oxford Economics'!$A$7:$AZ$1000,0,IFERROR(MATCH(Z$5,'Oxford Economics'!$A$6:$AZ$6,0),MATCH(Z$5&amp;"",'Oxford Economics'!$A$6:$AZ$6,0))),'Oxford Economics'!$A$7:$A$1000,$C124,'Oxford Economics'!$B$7:$B$1000,Settings!$B$19)))),""))</f>
        <v/>
      </c>
      <c r="AA124" s="38" t="str">
        <f aca="false">IF($A124="","",IFERROR(1/(1/IF($B124="Residential",SUMIFS(INDEX('Oxford Economics'!$A$7:$AZ$1000,0,IFERROR(MATCH(AA$5,'Oxford Economics'!$A$6:$AZ$6,0),MATCH(AA$5&amp;"",'Oxford Economics'!$A$6:$AZ$6,0))),'Oxford Economics'!$A$7:$A$1000,$C124,'Oxford Economics'!$B$7:$B$1000,Settings!$B$13)-SUMIFS(INDEX('Oxford Economics'!$A$7:$AZ$1000,0,IFERROR(MATCH(AA$5,'Oxford Economics'!$A$6:$AZ$6,0),MATCH(AA$5&amp;"",'Oxford Economics'!$A$6:$AZ$6,0))),'Oxford Economics'!$A$7:$A$1000,$C124,'Oxford Economics'!$B$7:$B$1000,Settings!$B$15),SUMIFS(INDEX('Oxford Economics'!$A$7:$AZ$1000,0,IFERROR(MATCH(AA$5,'Oxford Economics'!$A$6:$AZ$6,0),MATCH(AA$5&amp;"",'Oxford Economics'!$A$6:$AZ$6,0))),'Oxford Economics'!$A$7:$A$1000,$C124,'Oxford Economics'!$B$7:$B$1000,Settings!$B$15)+SUMIFS(INDEX('Oxford Economics'!$A$7:$AZ$1000,0,IFERROR(MATCH(AA$5,'Oxford Economics'!$A$6:$AZ$6,0),MATCH(AA$5&amp;"",'Oxford Economics'!$A$6:$AZ$6,0))),'Oxford Economics'!$A$7:$A$1000,$C124,'Oxford Economics'!$B$7:$B$1000,Settings!$B$17)+IF(Settings!$B$19="",0,SUMIFS(INDEX('Oxford Economics'!$A$7:$AZ$1000,0,IFERROR(MATCH(AA$5,'Oxford Economics'!$A$6:$AZ$6,0),MATCH(AA$5&amp;"",'Oxford Economics'!$A$6:$AZ$6,0))),'Oxford Economics'!$A$7:$A$1000,$C124,'Oxford Economics'!$B$7:$B$1000,Settings!$B$19)))),""))</f>
        <v/>
      </c>
      <c r="AB124" s="38" t="str">
        <f aca="false">IF($A124="","",IFERROR(1/(1/IF($B124="Residential",SUMIFS(INDEX('Oxford Economics'!$A$7:$AZ$1000,0,IFERROR(MATCH(AB$5,'Oxford Economics'!$A$6:$AZ$6,0),MATCH(AB$5&amp;"",'Oxford Economics'!$A$6:$AZ$6,0))),'Oxford Economics'!$A$7:$A$1000,$C124,'Oxford Economics'!$B$7:$B$1000,Settings!$B$12)-SUMIFS(INDEX('Oxford Economics'!$A$7:$AZ$1000,0,IFERROR(MATCH(AB$5,'Oxford Economics'!$A$6:$AZ$6,0),MATCH(AB$5&amp;"",'Oxford Economics'!$A$6:$AZ$6,0))),'Oxford Economics'!$A$7:$A$1000,$C124,'Oxford Economics'!$B$7:$B$1000,Settings!$B$14),SUMIFS(INDEX('Oxford Economics'!$A$7:$AZ$1000,0,IFERROR(MATCH(AB$5,'Oxford Economics'!$A$6:$AZ$6,0),MATCH(AB$5&amp;"",'Oxford Economics'!$A$6:$AZ$6,0))),'Oxford Economics'!$A$7:$A$1000,$C124,'Oxford Economics'!$B$7:$B$1000,Settings!$B$14)+SUMIFS(INDEX('Oxford Economics'!$A$7:$AZ$1000,0,IFERROR(MATCH(AB$5,'Oxford Economics'!$A$6:$AZ$6,0),MATCH(AB$5&amp;"",'Oxford Economics'!$A$6:$AZ$6,0))),'Oxford Economics'!$A$7:$A$1000,$C124,'Oxford Economics'!$B$7:$B$1000,Settings!$B$16)+IF(Settings!$B$18="",0,SUMIFS(INDEX('Oxford Economics'!$A$7:$AZ$1000,0,IFERROR(MATCH(AB$5,'Oxford Economics'!$A$6:$AZ$6,0),MATCH(AB$5&amp;"",'Oxford Economics'!$A$6:$AZ$6,0))),'Oxford Economics'!$A$7:$A$1000,$C124,'Oxford Economics'!$B$7:$B$1000,Settings!$B$18)))),""))</f>
        <v/>
      </c>
      <c r="AC124" s="38" t="str">
        <f aca="false">IF($A124="","",IFERROR(1/(1/IF($B124="Residential",SUMIFS(INDEX('Oxford Economics'!$A$7:$AZ$1000,0,IFERROR(MATCH(AC$5,'Oxford Economics'!$A$6:$AZ$6,0),MATCH(AC$5&amp;"",'Oxford Economics'!$A$6:$AZ$6,0))),'Oxford Economics'!$A$7:$A$1000,$C124,'Oxford Economics'!$B$7:$B$1000,Settings!$B$12)-SUMIFS(INDEX('Oxford Economics'!$A$7:$AZ$1000,0,IFERROR(MATCH(AC$5,'Oxford Economics'!$A$6:$AZ$6,0),MATCH(AC$5&amp;"",'Oxford Economics'!$A$6:$AZ$6,0))),'Oxford Economics'!$A$7:$A$1000,$C124,'Oxford Economics'!$B$7:$B$1000,Settings!$B$14),SUMIFS(INDEX('Oxford Economics'!$A$7:$AZ$1000,0,IFERROR(MATCH(AC$5,'Oxford Economics'!$A$6:$AZ$6,0),MATCH(AC$5&amp;"",'Oxford Economics'!$A$6:$AZ$6,0))),'Oxford Economics'!$A$7:$A$1000,$C124,'Oxford Economics'!$B$7:$B$1000,Settings!$B$14)+SUMIFS(INDEX('Oxford Economics'!$A$7:$AZ$1000,0,IFERROR(MATCH(AC$5,'Oxford Economics'!$A$6:$AZ$6,0),MATCH(AC$5&amp;"",'Oxford Economics'!$A$6:$AZ$6,0))),'Oxford Economics'!$A$7:$A$1000,$C124,'Oxford Economics'!$B$7:$B$1000,Settings!$B$16)+IF(Settings!$B$18="",0,SUMIFS(INDEX('Oxford Economics'!$A$7:$AZ$1000,0,IFERROR(MATCH(AC$5,'Oxford Economics'!$A$6:$AZ$6,0),MATCH(AC$5&amp;"",'Oxford Economics'!$A$6:$AZ$6,0))),'Oxford Economics'!$A$7:$A$1000,$C124,'Oxford Economics'!$B$7:$B$1000,Settings!$B$18)))),""))</f>
        <v/>
      </c>
      <c r="AD124" s="38" t="str">
        <f aca="false">IF($A124="","",IFERROR(1/(1/IF($B124="Residential",SUMIFS(INDEX('Oxford Economics'!$A$7:$AZ$1000,0,IFERROR(MATCH(AD$5,'Oxford Economics'!$A$6:$AZ$6,0),MATCH(AD$5&amp;"",'Oxford Economics'!$A$6:$AZ$6,0))),'Oxford Economics'!$A$7:$A$1000,$C124,'Oxford Economics'!$B$7:$B$1000,Settings!$B$12)-SUMIFS(INDEX('Oxford Economics'!$A$7:$AZ$1000,0,IFERROR(MATCH(AD$5,'Oxford Economics'!$A$6:$AZ$6,0),MATCH(AD$5&amp;"",'Oxford Economics'!$A$6:$AZ$6,0))),'Oxford Economics'!$A$7:$A$1000,$C124,'Oxford Economics'!$B$7:$B$1000,Settings!$B$14),SUMIFS(INDEX('Oxford Economics'!$A$7:$AZ$1000,0,IFERROR(MATCH(AD$5,'Oxford Economics'!$A$6:$AZ$6,0),MATCH(AD$5&amp;"",'Oxford Economics'!$A$6:$AZ$6,0))),'Oxford Economics'!$A$7:$A$1000,$C124,'Oxford Economics'!$B$7:$B$1000,Settings!$B$14)+SUMIFS(INDEX('Oxford Economics'!$A$7:$AZ$1000,0,IFERROR(MATCH(AD$5,'Oxford Economics'!$A$6:$AZ$6,0),MATCH(AD$5&amp;"",'Oxford Economics'!$A$6:$AZ$6,0))),'Oxford Economics'!$A$7:$A$1000,$C124,'Oxford Economics'!$B$7:$B$1000,Settings!$B$16)+IF(Settings!$B$18="",0,SUMIFS(INDEX('Oxford Economics'!$A$7:$AZ$1000,0,IFERROR(MATCH(AD$5,'Oxford Economics'!$A$6:$AZ$6,0),MATCH(AD$5&amp;"",'Oxford Economics'!$A$6:$AZ$6,0))),'Oxford Economics'!$A$7:$A$1000,$C124,'Oxford Economics'!$B$7:$B$1000,Settings!$B$18)))),""))</f>
        <v/>
      </c>
      <c r="AE124" s="38" t="str">
        <f aca="false">IF($A124="","",IFERROR(1/(1/IF($B124="Residential",SUMIFS(INDEX('Oxford Economics'!$A$7:$AZ$1000,0,IFERROR(MATCH(AE$5,'Oxford Economics'!$A$6:$AZ$6,0),MATCH(AE$5&amp;"",'Oxford Economics'!$A$6:$AZ$6,0))),'Oxford Economics'!$A$7:$A$1000,$C124,'Oxford Economics'!$B$7:$B$1000,Settings!$B$12)-SUMIFS(INDEX('Oxford Economics'!$A$7:$AZ$1000,0,IFERROR(MATCH(AE$5,'Oxford Economics'!$A$6:$AZ$6,0),MATCH(AE$5&amp;"",'Oxford Economics'!$A$6:$AZ$6,0))),'Oxford Economics'!$A$7:$A$1000,$C124,'Oxford Economics'!$B$7:$B$1000,Settings!$B$14),SUMIFS(INDEX('Oxford Economics'!$A$7:$AZ$1000,0,IFERROR(MATCH(AE$5,'Oxford Economics'!$A$6:$AZ$6,0),MATCH(AE$5&amp;"",'Oxford Economics'!$A$6:$AZ$6,0))),'Oxford Economics'!$A$7:$A$1000,$C124,'Oxford Economics'!$B$7:$B$1000,Settings!$B$14)+SUMIFS(INDEX('Oxford Economics'!$A$7:$AZ$1000,0,IFERROR(MATCH(AE$5,'Oxford Economics'!$A$6:$AZ$6,0),MATCH(AE$5&amp;"",'Oxford Economics'!$A$6:$AZ$6,0))),'Oxford Economics'!$A$7:$A$1000,$C124,'Oxford Economics'!$B$7:$B$1000,Settings!$B$16)+IF(Settings!$B$18="",0,SUMIFS(INDEX('Oxford Economics'!$A$7:$AZ$1000,0,IFERROR(MATCH(AE$5,'Oxford Economics'!$A$6:$AZ$6,0),MATCH(AE$5&amp;"",'Oxford Economics'!$A$6:$AZ$6,0))),'Oxford Economics'!$A$7:$A$1000,$C124,'Oxford Economics'!$B$7:$B$1000,Settings!$B$18)))),""))</f>
        <v/>
      </c>
      <c r="AF124" s="38" t="str">
        <f aca="false">IF($A124="","",IFERROR(1/(1/IF($B124="Residential",SUMIFS(INDEX('Oxford Economics'!$A$7:$AZ$1000,0,IFERROR(MATCH(AF$5,'Oxford Economics'!$A$6:$AZ$6,0),MATCH(AF$5&amp;"",'Oxford Economics'!$A$6:$AZ$6,0))),'Oxford Economics'!$A$7:$A$1000,$C124,'Oxford Economics'!$B$7:$B$1000,Settings!$B$12)-SUMIFS(INDEX('Oxford Economics'!$A$7:$AZ$1000,0,IFERROR(MATCH(AF$5,'Oxford Economics'!$A$6:$AZ$6,0),MATCH(AF$5&amp;"",'Oxford Economics'!$A$6:$AZ$6,0))),'Oxford Economics'!$A$7:$A$1000,$C124,'Oxford Economics'!$B$7:$B$1000,Settings!$B$14),SUMIFS(INDEX('Oxford Economics'!$A$7:$AZ$1000,0,IFERROR(MATCH(AF$5,'Oxford Economics'!$A$6:$AZ$6,0),MATCH(AF$5&amp;"",'Oxford Economics'!$A$6:$AZ$6,0))),'Oxford Economics'!$A$7:$A$1000,$C124,'Oxford Economics'!$B$7:$B$1000,Settings!$B$14)+SUMIFS(INDEX('Oxford Economics'!$A$7:$AZ$1000,0,IFERROR(MATCH(AF$5,'Oxford Economics'!$A$6:$AZ$6,0),MATCH(AF$5&amp;"",'Oxford Economics'!$A$6:$AZ$6,0))),'Oxford Economics'!$A$7:$A$1000,$C124,'Oxford Economics'!$B$7:$B$1000,Settings!$B$16)+IF(Settings!$B$18="",0,SUMIFS(INDEX('Oxford Economics'!$A$7:$AZ$1000,0,IFERROR(MATCH(AF$5,'Oxford Economics'!$A$6:$AZ$6,0),MATCH(AF$5&amp;"",'Oxford Economics'!$A$6:$AZ$6,0))),'Oxford Economics'!$A$7:$A$1000,$C124,'Oxford Economics'!$B$7:$B$1000,Settings!$B$18)))),""))</f>
        <v/>
      </c>
      <c r="AG124" s="38" t="str">
        <f aca="false">IF($A124="","",IFERROR(1/(1/IF($B124="Residential",SUMIFS(INDEX('Oxford Economics'!$A$7:$AZ$1000,0,IFERROR(MATCH(AG$5,'Oxford Economics'!$A$6:$AZ$6,0),MATCH(AG$5&amp;"",'Oxford Economics'!$A$6:$AZ$6,0))),'Oxford Economics'!$A$7:$A$1000,$C124,'Oxford Economics'!$B$7:$B$1000,Settings!$B$12)-SUMIFS(INDEX('Oxford Economics'!$A$7:$AZ$1000,0,IFERROR(MATCH(AG$5,'Oxford Economics'!$A$6:$AZ$6,0),MATCH(AG$5&amp;"",'Oxford Economics'!$A$6:$AZ$6,0))),'Oxford Economics'!$A$7:$A$1000,$C124,'Oxford Economics'!$B$7:$B$1000,Settings!$B$14),SUMIFS(INDEX('Oxford Economics'!$A$7:$AZ$1000,0,IFERROR(MATCH(AG$5,'Oxford Economics'!$A$6:$AZ$6,0),MATCH(AG$5&amp;"",'Oxford Economics'!$A$6:$AZ$6,0))),'Oxford Economics'!$A$7:$A$1000,$C124,'Oxford Economics'!$B$7:$B$1000,Settings!$B$14)+SUMIFS(INDEX('Oxford Economics'!$A$7:$AZ$1000,0,IFERROR(MATCH(AG$5,'Oxford Economics'!$A$6:$AZ$6,0),MATCH(AG$5&amp;"",'Oxford Economics'!$A$6:$AZ$6,0))),'Oxford Economics'!$A$7:$A$1000,$C124,'Oxford Economics'!$B$7:$B$1000,Settings!$B$16)+IF(Settings!$B$18="",0,SUMIFS(INDEX('Oxford Economics'!$A$7:$AZ$1000,0,IFERROR(MATCH(AG$5,'Oxford Economics'!$A$6:$AZ$6,0),MATCH(AG$5&amp;"",'Oxford Economics'!$A$6:$AZ$6,0))),'Oxford Economics'!$A$7:$A$1000,$C124,'Oxford Economics'!$B$7:$B$1000,Settings!$B$18)))),""))</f>
        <v/>
      </c>
      <c r="AH124" s="38" t="str">
        <f aca="false">IF($A124="","",IFERROR(1/(1/IF($B124="Residential",SUMIFS(INDEX('Oxford Economics'!$A$7:$AZ$1000,0,IFERROR(MATCH(AH$5,'Oxford Economics'!$A$6:$AZ$6,0),MATCH(AH$5&amp;"",'Oxford Economics'!$A$6:$AZ$6,0))),'Oxford Economics'!$A$7:$A$1000,$C124,'Oxford Economics'!$B$7:$B$1000,Settings!$B$12)-SUMIFS(INDEX('Oxford Economics'!$A$7:$AZ$1000,0,IFERROR(MATCH(AH$5,'Oxford Economics'!$A$6:$AZ$6,0),MATCH(AH$5&amp;"",'Oxford Economics'!$A$6:$AZ$6,0))),'Oxford Economics'!$A$7:$A$1000,$C124,'Oxford Economics'!$B$7:$B$1000,Settings!$B$14),SUMIFS(INDEX('Oxford Economics'!$A$7:$AZ$1000,0,IFERROR(MATCH(AH$5,'Oxford Economics'!$A$6:$AZ$6,0),MATCH(AH$5&amp;"",'Oxford Economics'!$A$6:$AZ$6,0))),'Oxford Economics'!$A$7:$A$1000,$C124,'Oxford Economics'!$B$7:$B$1000,Settings!$B$14)+SUMIFS(INDEX('Oxford Economics'!$A$7:$AZ$1000,0,IFERROR(MATCH(AH$5,'Oxford Economics'!$A$6:$AZ$6,0),MATCH(AH$5&amp;"",'Oxford Economics'!$A$6:$AZ$6,0))),'Oxford Economics'!$A$7:$A$1000,$C124,'Oxford Economics'!$B$7:$B$1000,Settings!$B$16)+IF(Settings!$B$18="",0,SUMIFS(INDEX('Oxford Economics'!$A$7:$AZ$1000,0,IFERROR(MATCH(AH$5,'Oxford Economics'!$A$6:$AZ$6,0),MATCH(AH$5&amp;"",'Oxford Economics'!$A$6:$AZ$6,0))),'Oxford Economics'!$A$7:$A$1000,$C124,'Oxford Economics'!$B$7:$B$1000,Settings!$B$18)))),""))</f>
        <v/>
      </c>
      <c r="AI124" s="38" t="str">
        <f aca="false">IF($A124="","",IFERROR(1/(1/IF($B124="Residential",SUMIFS(INDEX('Oxford Economics'!$A$7:$AZ$1000,0,IFERROR(MATCH(AI$5,'Oxford Economics'!$A$6:$AZ$6,0),MATCH(AI$5&amp;"",'Oxford Economics'!$A$6:$AZ$6,0))),'Oxford Economics'!$A$7:$A$1000,$C124,'Oxford Economics'!$B$7:$B$1000,Settings!$B$12)-SUMIFS(INDEX('Oxford Economics'!$A$7:$AZ$1000,0,IFERROR(MATCH(AI$5,'Oxford Economics'!$A$6:$AZ$6,0),MATCH(AI$5&amp;"",'Oxford Economics'!$A$6:$AZ$6,0))),'Oxford Economics'!$A$7:$A$1000,$C124,'Oxford Economics'!$B$7:$B$1000,Settings!$B$14),SUMIFS(INDEX('Oxford Economics'!$A$7:$AZ$1000,0,IFERROR(MATCH(AI$5,'Oxford Economics'!$A$6:$AZ$6,0),MATCH(AI$5&amp;"",'Oxford Economics'!$A$6:$AZ$6,0))),'Oxford Economics'!$A$7:$A$1000,$C124,'Oxford Economics'!$B$7:$B$1000,Settings!$B$14)+SUMIFS(INDEX('Oxford Economics'!$A$7:$AZ$1000,0,IFERROR(MATCH(AI$5,'Oxford Economics'!$A$6:$AZ$6,0),MATCH(AI$5&amp;"",'Oxford Economics'!$A$6:$AZ$6,0))),'Oxford Economics'!$A$7:$A$1000,$C124,'Oxford Economics'!$B$7:$B$1000,Settings!$B$16)+IF(Settings!$B$18="",0,SUMIFS(INDEX('Oxford Economics'!$A$7:$AZ$1000,0,IFERROR(MATCH(AI$5,'Oxford Economics'!$A$6:$AZ$6,0),MATCH(AI$5&amp;"",'Oxford Economics'!$A$6:$AZ$6,0))),'Oxford Economics'!$A$7:$A$1000,$C124,'Oxford Economics'!$B$7:$B$1000,Settings!$B$18)))),""))</f>
        <v/>
      </c>
      <c r="AJ124" s="38" t="str">
        <f aca="false">IF($A124="","",IFERROR(1/(1/IF($B124="Residential",SUMIFS(INDEX('Oxford Economics'!$A$7:$AZ$1000,0,IFERROR(MATCH(AJ$5,'Oxford Economics'!$A$6:$AZ$6,0),MATCH(AJ$5&amp;"",'Oxford Economics'!$A$6:$AZ$6,0))),'Oxford Economics'!$A$7:$A$1000,$C124,'Oxford Economics'!$B$7:$B$1000,Settings!$B$12)-SUMIFS(INDEX('Oxford Economics'!$A$7:$AZ$1000,0,IFERROR(MATCH(AJ$5,'Oxford Economics'!$A$6:$AZ$6,0),MATCH(AJ$5&amp;"",'Oxford Economics'!$A$6:$AZ$6,0))),'Oxford Economics'!$A$7:$A$1000,$C124,'Oxford Economics'!$B$7:$B$1000,Settings!$B$14),SUMIFS(INDEX('Oxford Economics'!$A$7:$AZ$1000,0,IFERROR(MATCH(AJ$5,'Oxford Economics'!$A$6:$AZ$6,0),MATCH(AJ$5&amp;"",'Oxford Economics'!$A$6:$AZ$6,0))),'Oxford Economics'!$A$7:$A$1000,$C124,'Oxford Economics'!$B$7:$B$1000,Settings!$B$14)+SUMIFS(INDEX('Oxford Economics'!$A$7:$AZ$1000,0,IFERROR(MATCH(AJ$5,'Oxford Economics'!$A$6:$AZ$6,0),MATCH(AJ$5&amp;"",'Oxford Economics'!$A$6:$AZ$6,0))),'Oxford Economics'!$A$7:$A$1000,$C124,'Oxford Economics'!$B$7:$B$1000,Settings!$B$16)+IF(Settings!$B$18="",0,SUMIFS(INDEX('Oxford Economics'!$A$7:$AZ$1000,0,IFERROR(MATCH(AJ$5,'Oxford Economics'!$A$6:$AZ$6,0),MATCH(AJ$5&amp;"",'Oxford Economics'!$A$6:$AZ$6,0))),'Oxford Economics'!$A$7:$A$1000,$C124,'Oxford Economics'!$B$7:$B$1000,Settings!$B$18)))),""))</f>
        <v/>
      </c>
      <c r="AK124" s="38" t="str">
        <f aca="false">IF($A124="","",IFERROR(1/(1/IF($B124="Residential",SUMIFS(INDEX('Oxford Economics'!$A$7:$AZ$1000,0,IFERROR(MATCH(AK$5,'Oxford Economics'!$A$6:$AZ$6,0),MATCH(AK$5&amp;"",'Oxford Economics'!$A$6:$AZ$6,0))),'Oxford Economics'!$A$7:$A$1000,$C124,'Oxford Economics'!$B$7:$B$1000,Settings!$B$12)-SUMIFS(INDEX('Oxford Economics'!$A$7:$AZ$1000,0,IFERROR(MATCH(AK$5,'Oxford Economics'!$A$6:$AZ$6,0),MATCH(AK$5&amp;"",'Oxford Economics'!$A$6:$AZ$6,0))),'Oxford Economics'!$A$7:$A$1000,$C124,'Oxford Economics'!$B$7:$B$1000,Settings!$B$14),SUMIFS(INDEX('Oxford Economics'!$A$7:$AZ$1000,0,IFERROR(MATCH(AK$5,'Oxford Economics'!$A$6:$AZ$6,0),MATCH(AK$5&amp;"",'Oxford Economics'!$A$6:$AZ$6,0))),'Oxford Economics'!$A$7:$A$1000,$C124,'Oxford Economics'!$B$7:$B$1000,Settings!$B$14)+SUMIFS(INDEX('Oxford Economics'!$A$7:$AZ$1000,0,IFERROR(MATCH(AK$5,'Oxford Economics'!$A$6:$AZ$6,0),MATCH(AK$5&amp;"",'Oxford Economics'!$A$6:$AZ$6,0))),'Oxford Economics'!$A$7:$A$1000,$C124,'Oxford Economics'!$B$7:$B$1000,Settings!$B$16)+IF(Settings!$B$18="",0,SUMIFS(INDEX('Oxford Economics'!$A$7:$AZ$1000,0,IFERROR(MATCH(AK$5,'Oxford Economics'!$A$6:$AZ$6,0),MATCH(AK$5&amp;"",'Oxford Economics'!$A$6:$AZ$6,0))),'Oxford Economics'!$A$7:$A$1000,$C124,'Oxford Economics'!$B$7:$B$1000,Settings!$B$18)))),""))</f>
        <v/>
      </c>
      <c r="AL124" s="38" t="str">
        <f aca="false">IF($A124="","",IFERROR(1/(1/IF($B124="Residential",SUMIFS(INDEX('Oxford Economics'!$A$7:$AZ$1000,0,IFERROR(MATCH(AL$5,'Oxford Economics'!$A$6:$AZ$6,0),MATCH(AL$5&amp;"",'Oxford Economics'!$A$6:$AZ$6,0))),'Oxford Economics'!$A$7:$A$1000,$C124,'Oxford Economics'!$B$7:$B$1000,Settings!$B$12)-SUMIFS(INDEX('Oxford Economics'!$A$7:$AZ$1000,0,IFERROR(MATCH(AL$5,'Oxford Economics'!$A$6:$AZ$6,0),MATCH(AL$5&amp;"",'Oxford Economics'!$A$6:$AZ$6,0))),'Oxford Economics'!$A$7:$A$1000,$C124,'Oxford Economics'!$B$7:$B$1000,Settings!$B$14),SUMIFS(INDEX('Oxford Economics'!$A$7:$AZ$1000,0,IFERROR(MATCH(AL$5,'Oxford Economics'!$A$6:$AZ$6,0),MATCH(AL$5&amp;"",'Oxford Economics'!$A$6:$AZ$6,0))),'Oxford Economics'!$A$7:$A$1000,$C124,'Oxford Economics'!$B$7:$B$1000,Settings!$B$14)+SUMIFS(INDEX('Oxford Economics'!$A$7:$AZ$1000,0,IFERROR(MATCH(AL$5,'Oxford Economics'!$A$6:$AZ$6,0),MATCH(AL$5&amp;"",'Oxford Economics'!$A$6:$AZ$6,0))),'Oxford Economics'!$A$7:$A$1000,$C124,'Oxford Economics'!$B$7:$B$1000,Settings!$B$16)+IF(Settings!$B$18="",0,SUMIFS(INDEX('Oxford Economics'!$A$7:$AZ$1000,0,IFERROR(MATCH(AL$5,'Oxford Economics'!$A$6:$AZ$6,0),MATCH(AL$5&amp;"",'Oxford Economics'!$A$6:$AZ$6,0))),'Oxford Economics'!$A$7:$A$1000,$C124,'Oxford Economics'!$B$7:$B$1000,Settings!$B$18)))),""))</f>
        <v/>
      </c>
      <c r="AM124" s="38" t="str">
        <f aca="false">IF($A124="","",IFERROR(1/(1/IF($B124="Residential",SUMIFS(INDEX('Oxford Economics'!$A$7:$AZ$1000,0,IFERROR(MATCH(AM$5,'Oxford Economics'!$A$6:$AZ$6,0),MATCH(AM$5&amp;"",'Oxford Economics'!$A$6:$AZ$6,0))),'Oxford Economics'!$A$7:$A$1000,$C124,'Oxford Economics'!$B$7:$B$1000,Settings!$B$12)-SUMIFS(INDEX('Oxford Economics'!$A$7:$AZ$1000,0,IFERROR(MATCH(AM$5,'Oxford Economics'!$A$6:$AZ$6,0),MATCH(AM$5&amp;"",'Oxford Economics'!$A$6:$AZ$6,0))),'Oxford Economics'!$A$7:$A$1000,$C124,'Oxford Economics'!$B$7:$B$1000,Settings!$B$14),SUMIFS(INDEX('Oxford Economics'!$A$7:$AZ$1000,0,IFERROR(MATCH(AM$5,'Oxford Economics'!$A$6:$AZ$6,0),MATCH(AM$5&amp;"",'Oxford Economics'!$A$6:$AZ$6,0))),'Oxford Economics'!$A$7:$A$1000,$C124,'Oxford Economics'!$B$7:$B$1000,Settings!$B$14)+SUMIFS(INDEX('Oxford Economics'!$A$7:$AZ$1000,0,IFERROR(MATCH(AM$5,'Oxford Economics'!$A$6:$AZ$6,0),MATCH(AM$5&amp;"",'Oxford Economics'!$A$6:$AZ$6,0))),'Oxford Economics'!$A$7:$A$1000,$C124,'Oxford Economics'!$B$7:$B$1000,Settings!$B$16)+IF(Settings!$B$18="",0,SUMIFS(INDEX('Oxford Economics'!$A$7:$AZ$1000,0,IFERROR(MATCH(AM$5,'Oxford Economics'!$A$6:$AZ$6,0),MATCH(AM$5&amp;"",'Oxford Economics'!$A$6:$AZ$6,0))),'Oxford Economics'!$A$7:$A$1000,$C124,'Oxford Economics'!$B$7:$B$1000,Settings!$B$18)))),""))</f>
        <v/>
      </c>
    </row>
    <row r="125" customFormat="false" ht="15" hidden="false" customHeight="false" outlineLevel="0" collapsed="false">
      <c r="A125" s="37" t="str">
        <f aca="false">IF('Raw data'!$A125="","",'Raw data'!$A125)</f>
        <v/>
      </c>
      <c r="B125" s="37" t="str">
        <f aca="false">IF($A125="","",'Raw data'!$C125)</f>
        <v/>
      </c>
      <c r="C125" s="37" t="str">
        <f aca="false">IF($A125="","",IF('Raw data'!$E125="",$A125,'Raw data'!$E125))</f>
        <v/>
      </c>
      <c r="D125" s="38" t="str">
        <f aca="false">IF($A125="","",IF(AND(ISNUMBER(P125),ISNUMBER(AB125)),P125+AB125,""))</f>
        <v/>
      </c>
      <c r="E125" s="38" t="str">
        <f aca="false">IF($A125="","",IF(AND(ISNUMBER(Q125),ISNUMBER(AC125)),Q125+AC125,""))</f>
        <v/>
      </c>
      <c r="F125" s="38" t="str">
        <f aca="false">IF($A125="","",IF(AND(ISNUMBER(R125),ISNUMBER(AD125)),R125+AD125,""))</f>
        <v/>
      </c>
      <c r="G125" s="38" t="str">
        <f aca="false">IF($A125="","",IF(AND(ISNUMBER(S125),ISNUMBER(AE125)),S125+AE125,""))</f>
        <v/>
      </c>
      <c r="H125" s="38" t="str">
        <f aca="false">IF($A125="","",IF(AND(ISNUMBER(T125),ISNUMBER(AF125)),T125+AF125,""))</f>
        <v/>
      </c>
      <c r="I125" s="38" t="str">
        <f aca="false">IF($A125="","",IF(AND(ISNUMBER(U125),ISNUMBER(AG125)),U125+AG125,""))</f>
        <v/>
      </c>
      <c r="J125" s="38" t="str">
        <f aca="false">IF($A125="","",IF(AND(ISNUMBER(V125),ISNUMBER(AH125)),V125+AH125,""))</f>
        <v/>
      </c>
      <c r="K125" s="38" t="str">
        <f aca="false">IF($A125="","",IF(AND(ISNUMBER(W125),ISNUMBER(AI125)),W125+AI125,""))</f>
        <v/>
      </c>
      <c r="L125" s="38" t="str">
        <f aca="false">IF($A125="","",IF(AND(ISNUMBER(X125),ISNUMBER(AJ125)),X125+AJ125,""))</f>
        <v/>
      </c>
      <c r="M125" s="38" t="str">
        <f aca="false">IF($A125="","",IF(AND(ISNUMBER(Y125),ISNUMBER(AK125)),Y125+AK125,""))</f>
        <v/>
      </c>
      <c r="N125" s="38" t="str">
        <f aca="false">IF($A125="","",IF(AND(ISNUMBER(Z125),ISNUMBER(AL125)),Z125+AL125,""))</f>
        <v/>
      </c>
      <c r="O125" s="38" t="str">
        <f aca="false">IF($A125="","",IF(AND(ISNUMBER(AA125),ISNUMBER(AM125)),AA125+AM125,""))</f>
        <v/>
      </c>
      <c r="P125" s="38" t="str">
        <f aca="false">IF($A125="","",IFERROR(1/(1/IF($B125="Residential",SUMIFS(INDEX('Oxford Economics'!$A$7:$AZ$1000,0,IFERROR(MATCH(P$5,'Oxford Economics'!$A$6:$AZ$6,0),MATCH(P$5&amp;"",'Oxford Economics'!$A$6:$AZ$6,0))),'Oxford Economics'!$A$7:$A$1000,$C125,'Oxford Economics'!$B$7:$B$1000,Settings!$B$13)-SUMIFS(INDEX('Oxford Economics'!$A$7:$AZ$1000,0,IFERROR(MATCH(P$5,'Oxford Economics'!$A$6:$AZ$6,0),MATCH(P$5&amp;"",'Oxford Economics'!$A$6:$AZ$6,0))),'Oxford Economics'!$A$7:$A$1000,$C125,'Oxford Economics'!$B$7:$B$1000,Settings!$B$15),SUMIFS(INDEX('Oxford Economics'!$A$7:$AZ$1000,0,IFERROR(MATCH(P$5,'Oxford Economics'!$A$6:$AZ$6,0),MATCH(P$5&amp;"",'Oxford Economics'!$A$6:$AZ$6,0))),'Oxford Economics'!$A$7:$A$1000,$C125,'Oxford Economics'!$B$7:$B$1000,Settings!$B$15)+SUMIFS(INDEX('Oxford Economics'!$A$7:$AZ$1000,0,IFERROR(MATCH(P$5,'Oxford Economics'!$A$6:$AZ$6,0),MATCH(P$5&amp;"",'Oxford Economics'!$A$6:$AZ$6,0))),'Oxford Economics'!$A$7:$A$1000,$C125,'Oxford Economics'!$B$7:$B$1000,Settings!$B$17)+IF(Settings!$B$19="",0,SUMIFS(INDEX('Oxford Economics'!$A$7:$AZ$1000,0,IFERROR(MATCH(P$5,'Oxford Economics'!$A$6:$AZ$6,0),MATCH(P$5&amp;"",'Oxford Economics'!$A$6:$AZ$6,0))),'Oxford Economics'!$A$7:$A$1000,$C125,'Oxford Economics'!$B$7:$B$1000,Settings!$B$19)))),""))</f>
        <v/>
      </c>
      <c r="Q125" s="38" t="str">
        <f aca="false">IF($A125="","",IFERROR(1/(1/IF($B125="Residential",SUMIFS(INDEX('Oxford Economics'!$A$7:$AZ$1000,0,IFERROR(MATCH(Q$5,'Oxford Economics'!$A$6:$AZ$6,0),MATCH(Q$5&amp;"",'Oxford Economics'!$A$6:$AZ$6,0))),'Oxford Economics'!$A$7:$A$1000,$C125,'Oxford Economics'!$B$7:$B$1000,Settings!$B$13)-SUMIFS(INDEX('Oxford Economics'!$A$7:$AZ$1000,0,IFERROR(MATCH(Q$5,'Oxford Economics'!$A$6:$AZ$6,0),MATCH(Q$5&amp;"",'Oxford Economics'!$A$6:$AZ$6,0))),'Oxford Economics'!$A$7:$A$1000,$C125,'Oxford Economics'!$B$7:$B$1000,Settings!$B$15),SUMIFS(INDEX('Oxford Economics'!$A$7:$AZ$1000,0,IFERROR(MATCH(Q$5,'Oxford Economics'!$A$6:$AZ$6,0),MATCH(Q$5&amp;"",'Oxford Economics'!$A$6:$AZ$6,0))),'Oxford Economics'!$A$7:$A$1000,$C125,'Oxford Economics'!$B$7:$B$1000,Settings!$B$15)+SUMIFS(INDEX('Oxford Economics'!$A$7:$AZ$1000,0,IFERROR(MATCH(Q$5,'Oxford Economics'!$A$6:$AZ$6,0),MATCH(Q$5&amp;"",'Oxford Economics'!$A$6:$AZ$6,0))),'Oxford Economics'!$A$7:$A$1000,$C125,'Oxford Economics'!$B$7:$B$1000,Settings!$B$17)+IF(Settings!$B$19="",0,SUMIFS(INDEX('Oxford Economics'!$A$7:$AZ$1000,0,IFERROR(MATCH(Q$5,'Oxford Economics'!$A$6:$AZ$6,0),MATCH(Q$5&amp;"",'Oxford Economics'!$A$6:$AZ$6,0))),'Oxford Economics'!$A$7:$A$1000,$C125,'Oxford Economics'!$B$7:$B$1000,Settings!$B$19)))),""))</f>
        <v/>
      </c>
      <c r="R125" s="38" t="str">
        <f aca="false">IF($A125="","",IFERROR(1/(1/IF($B125="Residential",SUMIFS(INDEX('Oxford Economics'!$A$7:$AZ$1000,0,IFERROR(MATCH(R$5,'Oxford Economics'!$A$6:$AZ$6,0),MATCH(R$5&amp;"",'Oxford Economics'!$A$6:$AZ$6,0))),'Oxford Economics'!$A$7:$A$1000,$C125,'Oxford Economics'!$B$7:$B$1000,Settings!$B$13)-SUMIFS(INDEX('Oxford Economics'!$A$7:$AZ$1000,0,IFERROR(MATCH(R$5,'Oxford Economics'!$A$6:$AZ$6,0),MATCH(R$5&amp;"",'Oxford Economics'!$A$6:$AZ$6,0))),'Oxford Economics'!$A$7:$A$1000,$C125,'Oxford Economics'!$B$7:$B$1000,Settings!$B$15),SUMIFS(INDEX('Oxford Economics'!$A$7:$AZ$1000,0,IFERROR(MATCH(R$5,'Oxford Economics'!$A$6:$AZ$6,0),MATCH(R$5&amp;"",'Oxford Economics'!$A$6:$AZ$6,0))),'Oxford Economics'!$A$7:$A$1000,$C125,'Oxford Economics'!$B$7:$B$1000,Settings!$B$15)+SUMIFS(INDEX('Oxford Economics'!$A$7:$AZ$1000,0,IFERROR(MATCH(R$5,'Oxford Economics'!$A$6:$AZ$6,0),MATCH(R$5&amp;"",'Oxford Economics'!$A$6:$AZ$6,0))),'Oxford Economics'!$A$7:$A$1000,$C125,'Oxford Economics'!$B$7:$B$1000,Settings!$B$17)+IF(Settings!$B$19="",0,SUMIFS(INDEX('Oxford Economics'!$A$7:$AZ$1000,0,IFERROR(MATCH(R$5,'Oxford Economics'!$A$6:$AZ$6,0),MATCH(R$5&amp;"",'Oxford Economics'!$A$6:$AZ$6,0))),'Oxford Economics'!$A$7:$A$1000,$C125,'Oxford Economics'!$B$7:$B$1000,Settings!$B$19)))),""))</f>
        <v/>
      </c>
      <c r="S125" s="38" t="str">
        <f aca="false">IF($A125="","",IFERROR(1/(1/IF($B125="Residential",SUMIFS(INDEX('Oxford Economics'!$A$7:$AZ$1000,0,IFERROR(MATCH(S$5,'Oxford Economics'!$A$6:$AZ$6,0),MATCH(S$5&amp;"",'Oxford Economics'!$A$6:$AZ$6,0))),'Oxford Economics'!$A$7:$A$1000,$C125,'Oxford Economics'!$B$7:$B$1000,Settings!$B$13)-SUMIFS(INDEX('Oxford Economics'!$A$7:$AZ$1000,0,IFERROR(MATCH(S$5,'Oxford Economics'!$A$6:$AZ$6,0),MATCH(S$5&amp;"",'Oxford Economics'!$A$6:$AZ$6,0))),'Oxford Economics'!$A$7:$A$1000,$C125,'Oxford Economics'!$B$7:$B$1000,Settings!$B$15),SUMIFS(INDEX('Oxford Economics'!$A$7:$AZ$1000,0,IFERROR(MATCH(S$5,'Oxford Economics'!$A$6:$AZ$6,0),MATCH(S$5&amp;"",'Oxford Economics'!$A$6:$AZ$6,0))),'Oxford Economics'!$A$7:$A$1000,$C125,'Oxford Economics'!$B$7:$B$1000,Settings!$B$15)+SUMIFS(INDEX('Oxford Economics'!$A$7:$AZ$1000,0,IFERROR(MATCH(S$5,'Oxford Economics'!$A$6:$AZ$6,0),MATCH(S$5&amp;"",'Oxford Economics'!$A$6:$AZ$6,0))),'Oxford Economics'!$A$7:$A$1000,$C125,'Oxford Economics'!$B$7:$B$1000,Settings!$B$17)+IF(Settings!$B$19="",0,SUMIFS(INDEX('Oxford Economics'!$A$7:$AZ$1000,0,IFERROR(MATCH(S$5,'Oxford Economics'!$A$6:$AZ$6,0),MATCH(S$5&amp;"",'Oxford Economics'!$A$6:$AZ$6,0))),'Oxford Economics'!$A$7:$A$1000,$C125,'Oxford Economics'!$B$7:$B$1000,Settings!$B$19)))),""))</f>
        <v/>
      </c>
      <c r="T125" s="38" t="str">
        <f aca="false">IF($A125="","",IFERROR(1/(1/IF($B125="Residential",SUMIFS(INDEX('Oxford Economics'!$A$7:$AZ$1000,0,IFERROR(MATCH(T$5,'Oxford Economics'!$A$6:$AZ$6,0),MATCH(T$5&amp;"",'Oxford Economics'!$A$6:$AZ$6,0))),'Oxford Economics'!$A$7:$A$1000,$C125,'Oxford Economics'!$B$7:$B$1000,Settings!$B$13)-SUMIFS(INDEX('Oxford Economics'!$A$7:$AZ$1000,0,IFERROR(MATCH(T$5,'Oxford Economics'!$A$6:$AZ$6,0),MATCH(T$5&amp;"",'Oxford Economics'!$A$6:$AZ$6,0))),'Oxford Economics'!$A$7:$A$1000,$C125,'Oxford Economics'!$B$7:$B$1000,Settings!$B$15),SUMIFS(INDEX('Oxford Economics'!$A$7:$AZ$1000,0,IFERROR(MATCH(T$5,'Oxford Economics'!$A$6:$AZ$6,0),MATCH(T$5&amp;"",'Oxford Economics'!$A$6:$AZ$6,0))),'Oxford Economics'!$A$7:$A$1000,$C125,'Oxford Economics'!$B$7:$B$1000,Settings!$B$15)+SUMIFS(INDEX('Oxford Economics'!$A$7:$AZ$1000,0,IFERROR(MATCH(T$5,'Oxford Economics'!$A$6:$AZ$6,0),MATCH(T$5&amp;"",'Oxford Economics'!$A$6:$AZ$6,0))),'Oxford Economics'!$A$7:$A$1000,$C125,'Oxford Economics'!$B$7:$B$1000,Settings!$B$17)+IF(Settings!$B$19="",0,SUMIFS(INDEX('Oxford Economics'!$A$7:$AZ$1000,0,IFERROR(MATCH(T$5,'Oxford Economics'!$A$6:$AZ$6,0),MATCH(T$5&amp;"",'Oxford Economics'!$A$6:$AZ$6,0))),'Oxford Economics'!$A$7:$A$1000,$C125,'Oxford Economics'!$B$7:$B$1000,Settings!$B$19)))),""))</f>
        <v/>
      </c>
      <c r="U125" s="38" t="str">
        <f aca="false">IF($A125="","",IFERROR(1/(1/IF($B125="Residential",SUMIFS(INDEX('Oxford Economics'!$A$7:$AZ$1000,0,IFERROR(MATCH(U$5,'Oxford Economics'!$A$6:$AZ$6,0),MATCH(U$5&amp;"",'Oxford Economics'!$A$6:$AZ$6,0))),'Oxford Economics'!$A$7:$A$1000,$C125,'Oxford Economics'!$B$7:$B$1000,Settings!$B$13)-SUMIFS(INDEX('Oxford Economics'!$A$7:$AZ$1000,0,IFERROR(MATCH(U$5,'Oxford Economics'!$A$6:$AZ$6,0),MATCH(U$5&amp;"",'Oxford Economics'!$A$6:$AZ$6,0))),'Oxford Economics'!$A$7:$A$1000,$C125,'Oxford Economics'!$B$7:$B$1000,Settings!$B$15),SUMIFS(INDEX('Oxford Economics'!$A$7:$AZ$1000,0,IFERROR(MATCH(U$5,'Oxford Economics'!$A$6:$AZ$6,0),MATCH(U$5&amp;"",'Oxford Economics'!$A$6:$AZ$6,0))),'Oxford Economics'!$A$7:$A$1000,$C125,'Oxford Economics'!$B$7:$B$1000,Settings!$B$15)+SUMIFS(INDEX('Oxford Economics'!$A$7:$AZ$1000,0,IFERROR(MATCH(U$5,'Oxford Economics'!$A$6:$AZ$6,0),MATCH(U$5&amp;"",'Oxford Economics'!$A$6:$AZ$6,0))),'Oxford Economics'!$A$7:$A$1000,$C125,'Oxford Economics'!$B$7:$B$1000,Settings!$B$17)+IF(Settings!$B$19="",0,SUMIFS(INDEX('Oxford Economics'!$A$7:$AZ$1000,0,IFERROR(MATCH(U$5,'Oxford Economics'!$A$6:$AZ$6,0),MATCH(U$5&amp;"",'Oxford Economics'!$A$6:$AZ$6,0))),'Oxford Economics'!$A$7:$A$1000,$C125,'Oxford Economics'!$B$7:$B$1000,Settings!$B$19)))),""))</f>
        <v/>
      </c>
      <c r="V125" s="38" t="str">
        <f aca="false">IF($A125="","",IFERROR(1/(1/IF($B125="Residential",SUMIFS(INDEX('Oxford Economics'!$A$7:$AZ$1000,0,IFERROR(MATCH(V$5,'Oxford Economics'!$A$6:$AZ$6,0),MATCH(V$5&amp;"",'Oxford Economics'!$A$6:$AZ$6,0))),'Oxford Economics'!$A$7:$A$1000,$C125,'Oxford Economics'!$B$7:$B$1000,Settings!$B$13)-SUMIFS(INDEX('Oxford Economics'!$A$7:$AZ$1000,0,IFERROR(MATCH(V$5,'Oxford Economics'!$A$6:$AZ$6,0),MATCH(V$5&amp;"",'Oxford Economics'!$A$6:$AZ$6,0))),'Oxford Economics'!$A$7:$A$1000,$C125,'Oxford Economics'!$B$7:$B$1000,Settings!$B$15),SUMIFS(INDEX('Oxford Economics'!$A$7:$AZ$1000,0,IFERROR(MATCH(V$5,'Oxford Economics'!$A$6:$AZ$6,0),MATCH(V$5&amp;"",'Oxford Economics'!$A$6:$AZ$6,0))),'Oxford Economics'!$A$7:$A$1000,$C125,'Oxford Economics'!$B$7:$B$1000,Settings!$B$15)+SUMIFS(INDEX('Oxford Economics'!$A$7:$AZ$1000,0,IFERROR(MATCH(V$5,'Oxford Economics'!$A$6:$AZ$6,0),MATCH(V$5&amp;"",'Oxford Economics'!$A$6:$AZ$6,0))),'Oxford Economics'!$A$7:$A$1000,$C125,'Oxford Economics'!$B$7:$B$1000,Settings!$B$17)+IF(Settings!$B$19="",0,SUMIFS(INDEX('Oxford Economics'!$A$7:$AZ$1000,0,IFERROR(MATCH(V$5,'Oxford Economics'!$A$6:$AZ$6,0),MATCH(V$5&amp;"",'Oxford Economics'!$A$6:$AZ$6,0))),'Oxford Economics'!$A$7:$A$1000,$C125,'Oxford Economics'!$B$7:$B$1000,Settings!$B$19)))),""))</f>
        <v/>
      </c>
      <c r="W125" s="38" t="str">
        <f aca="false">IF($A125="","",IFERROR(1/(1/IF($B125="Residential",SUMIFS(INDEX('Oxford Economics'!$A$7:$AZ$1000,0,IFERROR(MATCH(W$5,'Oxford Economics'!$A$6:$AZ$6,0),MATCH(W$5&amp;"",'Oxford Economics'!$A$6:$AZ$6,0))),'Oxford Economics'!$A$7:$A$1000,$C125,'Oxford Economics'!$B$7:$B$1000,Settings!$B$13)-SUMIFS(INDEX('Oxford Economics'!$A$7:$AZ$1000,0,IFERROR(MATCH(W$5,'Oxford Economics'!$A$6:$AZ$6,0),MATCH(W$5&amp;"",'Oxford Economics'!$A$6:$AZ$6,0))),'Oxford Economics'!$A$7:$A$1000,$C125,'Oxford Economics'!$B$7:$B$1000,Settings!$B$15),SUMIFS(INDEX('Oxford Economics'!$A$7:$AZ$1000,0,IFERROR(MATCH(W$5,'Oxford Economics'!$A$6:$AZ$6,0),MATCH(W$5&amp;"",'Oxford Economics'!$A$6:$AZ$6,0))),'Oxford Economics'!$A$7:$A$1000,$C125,'Oxford Economics'!$B$7:$B$1000,Settings!$B$15)+SUMIFS(INDEX('Oxford Economics'!$A$7:$AZ$1000,0,IFERROR(MATCH(W$5,'Oxford Economics'!$A$6:$AZ$6,0),MATCH(W$5&amp;"",'Oxford Economics'!$A$6:$AZ$6,0))),'Oxford Economics'!$A$7:$A$1000,$C125,'Oxford Economics'!$B$7:$B$1000,Settings!$B$17)+IF(Settings!$B$19="",0,SUMIFS(INDEX('Oxford Economics'!$A$7:$AZ$1000,0,IFERROR(MATCH(W$5,'Oxford Economics'!$A$6:$AZ$6,0),MATCH(W$5&amp;"",'Oxford Economics'!$A$6:$AZ$6,0))),'Oxford Economics'!$A$7:$A$1000,$C125,'Oxford Economics'!$B$7:$B$1000,Settings!$B$19)))),""))</f>
        <v/>
      </c>
      <c r="X125" s="38" t="str">
        <f aca="false">IF($A125="","",IFERROR(1/(1/IF($B125="Residential",SUMIFS(INDEX('Oxford Economics'!$A$7:$AZ$1000,0,IFERROR(MATCH(X$5,'Oxford Economics'!$A$6:$AZ$6,0),MATCH(X$5&amp;"",'Oxford Economics'!$A$6:$AZ$6,0))),'Oxford Economics'!$A$7:$A$1000,$C125,'Oxford Economics'!$B$7:$B$1000,Settings!$B$13)-SUMIFS(INDEX('Oxford Economics'!$A$7:$AZ$1000,0,IFERROR(MATCH(X$5,'Oxford Economics'!$A$6:$AZ$6,0),MATCH(X$5&amp;"",'Oxford Economics'!$A$6:$AZ$6,0))),'Oxford Economics'!$A$7:$A$1000,$C125,'Oxford Economics'!$B$7:$B$1000,Settings!$B$15),SUMIFS(INDEX('Oxford Economics'!$A$7:$AZ$1000,0,IFERROR(MATCH(X$5,'Oxford Economics'!$A$6:$AZ$6,0),MATCH(X$5&amp;"",'Oxford Economics'!$A$6:$AZ$6,0))),'Oxford Economics'!$A$7:$A$1000,$C125,'Oxford Economics'!$B$7:$B$1000,Settings!$B$15)+SUMIFS(INDEX('Oxford Economics'!$A$7:$AZ$1000,0,IFERROR(MATCH(X$5,'Oxford Economics'!$A$6:$AZ$6,0),MATCH(X$5&amp;"",'Oxford Economics'!$A$6:$AZ$6,0))),'Oxford Economics'!$A$7:$A$1000,$C125,'Oxford Economics'!$B$7:$B$1000,Settings!$B$17)+IF(Settings!$B$19="",0,SUMIFS(INDEX('Oxford Economics'!$A$7:$AZ$1000,0,IFERROR(MATCH(X$5,'Oxford Economics'!$A$6:$AZ$6,0),MATCH(X$5&amp;"",'Oxford Economics'!$A$6:$AZ$6,0))),'Oxford Economics'!$A$7:$A$1000,$C125,'Oxford Economics'!$B$7:$B$1000,Settings!$B$19)))),""))</f>
        <v/>
      </c>
      <c r="Y125" s="38" t="str">
        <f aca="false">IF($A125="","",IFERROR(1/(1/IF($B125="Residential",SUMIFS(INDEX('Oxford Economics'!$A$7:$AZ$1000,0,IFERROR(MATCH(Y$5,'Oxford Economics'!$A$6:$AZ$6,0),MATCH(Y$5&amp;"",'Oxford Economics'!$A$6:$AZ$6,0))),'Oxford Economics'!$A$7:$A$1000,$C125,'Oxford Economics'!$B$7:$B$1000,Settings!$B$13)-SUMIFS(INDEX('Oxford Economics'!$A$7:$AZ$1000,0,IFERROR(MATCH(Y$5,'Oxford Economics'!$A$6:$AZ$6,0),MATCH(Y$5&amp;"",'Oxford Economics'!$A$6:$AZ$6,0))),'Oxford Economics'!$A$7:$A$1000,$C125,'Oxford Economics'!$B$7:$B$1000,Settings!$B$15),SUMIFS(INDEX('Oxford Economics'!$A$7:$AZ$1000,0,IFERROR(MATCH(Y$5,'Oxford Economics'!$A$6:$AZ$6,0),MATCH(Y$5&amp;"",'Oxford Economics'!$A$6:$AZ$6,0))),'Oxford Economics'!$A$7:$A$1000,$C125,'Oxford Economics'!$B$7:$B$1000,Settings!$B$15)+SUMIFS(INDEX('Oxford Economics'!$A$7:$AZ$1000,0,IFERROR(MATCH(Y$5,'Oxford Economics'!$A$6:$AZ$6,0),MATCH(Y$5&amp;"",'Oxford Economics'!$A$6:$AZ$6,0))),'Oxford Economics'!$A$7:$A$1000,$C125,'Oxford Economics'!$B$7:$B$1000,Settings!$B$17)+IF(Settings!$B$19="",0,SUMIFS(INDEX('Oxford Economics'!$A$7:$AZ$1000,0,IFERROR(MATCH(Y$5,'Oxford Economics'!$A$6:$AZ$6,0),MATCH(Y$5&amp;"",'Oxford Economics'!$A$6:$AZ$6,0))),'Oxford Economics'!$A$7:$A$1000,$C125,'Oxford Economics'!$B$7:$B$1000,Settings!$B$19)))),""))</f>
        <v/>
      </c>
      <c r="Z125" s="38" t="str">
        <f aca="false">IF($A125="","",IFERROR(1/(1/IF($B125="Residential",SUMIFS(INDEX('Oxford Economics'!$A$7:$AZ$1000,0,IFERROR(MATCH(Z$5,'Oxford Economics'!$A$6:$AZ$6,0),MATCH(Z$5&amp;"",'Oxford Economics'!$A$6:$AZ$6,0))),'Oxford Economics'!$A$7:$A$1000,$C125,'Oxford Economics'!$B$7:$B$1000,Settings!$B$13)-SUMIFS(INDEX('Oxford Economics'!$A$7:$AZ$1000,0,IFERROR(MATCH(Z$5,'Oxford Economics'!$A$6:$AZ$6,0),MATCH(Z$5&amp;"",'Oxford Economics'!$A$6:$AZ$6,0))),'Oxford Economics'!$A$7:$A$1000,$C125,'Oxford Economics'!$B$7:$B$1000,Settings!$B$15),SUMIFS(INDEX('Oxford Economics'!$A$7:$AZ$1000,0,IFERROR(MATCH(Z$5,'Oxford Economics'!$A$6:$AZ$6,0),MATCH(Z$5&amp;"",'Oxford Economics'!$A$6:$AZ$6,0))),'Oxford Economics'!$A$7:$A$1000,$C125,'Oxford Economics'!$B$7:$B$1000,Settings!$B$15)+SUMIFS(INDEX('Oxford Economics'!$A$7:$AZ$1000,0,IFERROR(MATCH(Z$5,'Oxford Economics'!$A$6:$AZ$6,0),MATCH(Z$5&amp;"",'Oxford Economics'!$A$6:$AZ$6,0))),'Oxford Economics'!$A$7:$A$1000,$C125,'Oxford Economics'!$B$7:$B$1000,Settings!$B$17)+IF(Settings!$B$19="",0,SUMIFS(INDEX('Oxford Economics'!$A$7:$AZ$1000,0,IFERROR(MATCH(Z$5,'Oxford Economics'!$A$6:$AZ$6,0),MATCH(Z$5&amp;"",'Oxford Economics'!$A$6:$AZ$6,0))),'Oxford Economics'!$A$7:$A$1000,$C125,'Oxford Economics'!$B$7:$B$1000,Settings!$B$19)))),""))</f>
        <v/>
      </c>
      <c r="AA125" s="38" t="str">
        <f aca="false">IF($A125="","",IFERROR(1/(1/IF($B125="Residential",SUMIFS(INDEX('Oxford Economics'!$A$7:$AZ$1000,0,IFERROR(MATCH(AA$5,'Oxford Economics'!$A$6:$AZ$6,0),MATCH(AA$5&amp;"",'Oxford Economics'!$A$6:$AZ$6,0))),'Oxford Economics'!$A$7:$A$1000,$C125,'Oxford Economics'!$B$7:$B$1000,Settings!$B$13)-SUMIFS(INDEX('Oxford Economics'!$A$7:$AZ$1000,0,IFERROR(MATCH(AA$5,'Oxford Economics'!$A$6:$AZ$6,0),MATCH(AA$5&amp;"",'Oxford Economics'!$A$6:$AZ$6,0))),'Oxford Economics'!$A$7:$A$1000,$C125,'Oxford Economics'!$B$7:$B$1000,Settings!$B$15),SUMIFS(INDEX('Oxford Economics'!$A$7:$AZ$1000,0,IFERROR(MATCH(AA$5,'Oxford Economics'!$A$6:$AZ$6,0),MATCH(AA$5&amp;"",'Oxford Economics'!$A$6:$AZ$6,0))),'Oxford Economics'!$A$7:$A$1000,$C125,'Oxford Economics'!$B$7:$B$1000,Settings!$B$15)+SUMIFS(INDEX('Oxford Economics'!$A$7:$AZ$1000,0,IFERROR(MATCH(AA$5,'Oxford Economics'!$A$6:$AZ$6,0),MATCH(AA$5&amp;"",'Oxford Economics'!$A$6:$AZ$6,0))),'Oxford Economics'!$A$7:$A$1000,$C125,'Oxford Economics'!$B$7:$B$1000,Settings!$B$17)+IF(Settings!$B$19="",0,SUMIFS(INDEX('Oxford Economics'!$A$7:$AZ$1000,0,IFERROR(MATCH(AA$5,'Oxford Economics'!$A$6:$AZ$6,0),MATCH(AA$5&amp;"",'Oxford Economics'!$A$6:$AZ$6,0))),'Oxford Economics'!$A$7:$A$1000,$C125,'Oxford Economics'!$B$7:$B$1000,Settings!$B$19)))),""))</f>
        <v/>
      </c>
      <c r="AB125" s="38" t="str">
        <f aca="false">IF($A125="","",IFERROR(1/(1/IF($B125="Residential",SUMIFS(INDEX('Oxford Economics'!$A$7:$AZ$1000,0,IFERROR(MATCH(AB$5,'Oxford Economics'!$A$6:$AZ$6,0),MATCH(AB$5&amp;"",'Oxford Economics'!$A$6:$AZ$6,0))),'Oxford Economics'!$A$7:$A$1000,$C125,'Oxford Economics'!$B$7:$B$1000,Settings!$B$12)-SUMIFS(INDEX('Oxford Economics'!$A$7:$AZ$1000,0,IFERROR(MATCH(AB$5,'Oxford Economics'!$A$6:$AZ$6,0),MATCH(AB$5&amp;"",'Oxford Economics'!$A$6:$AZ$6,0))),'Oxford Economics'!$A$7:$A$1000,$C125,'Oxford Economics'!$B$7:$B$1000,Settings!$B$14),SUMIFS(INDEX('Oxford Economics'!$A$7:$AZ$1000,0,IFERROR(MATCH(AB$5,'Oxford Economics'!$A$6:$AZ$6,0),MATCH(AB$5&amp;"",'Oxford Economics'!$A$6:$AZ$6,0))),'Oxford Economics'!$A$7:$A$1000,$C125,'Oxford Economics'!$B$7:$B$1000,Settings!$B$14)+SUMIFS(INDEX('Oxford Economics'!$A$7:$AZ$1000,0,IFERROR(MATCH(AB$5,'Oxford Economics'!$A$6:$AZ$6,0),MATCH(AB$5&amp;"",'Oxford Economics'!$A$6:$AZ$6,0))),'Oxford Economics'!$A$7:$A$1000,$C125,'Oxford Economics'!$B$7:$B$1000,Settings!$B$16)+IF(Settings!$B$18="",0,SUMIFS(INDEX('Oxford Economics'!$A$7:$AZ$1000,0,IFERROR(MATCH(AB$5,'Oxford Economics'!$A$6:$AZ$6,0),MATCH(AB$5&amp;"",'Oxford Economics'!$A$6:$AZ$6,0))),'Oxford Economics'!$A$7:$A$1000,$C125,'Oxford Economics'!$B$7:$B$1000,Settings!$B$18)))),""))</f>
        <v/>
      </c>
      <c r="AC125" s="38" t="str">
        <f aca="false">IF($A125="","",IFERROR(1/(1/IF($B125="Residential",SUMIFS(INDEX('Oxford Economics'!$A$7:$AZ$1000,0,IFERROR(MATCH(AC$5,'Oxford Economics'!$A$6:$AZ$6,0),MATCH(AC$5&amp;"",'Oxford Economics'!$A$6:$AZ$6,0))),'Oxford Economics'!$A$7:$A$1000,$C125,'Oxford Economics'!$B$7:$B$1000,Settings!$B$12)-SUMIFS(INDEX('Oxford Economics'!$A$7:$AZ$1000,0,IFERROR(MATCH(AC$5,'Oxford Economics'!$A$6:$AZ$6,0),MATCH(AC$5&amp;"",'Oxford Economics'!$A$6:$AZ$6,0))),'Oxford Economics'!$A$7:$A$1000,$C125,'Oxford Economics'!$B$7:$B$1000,Settings!$B$14),SUMIFS(INDEX('Oxford Economics'!$A$7:$AZ$1000,0,IFERROR(MATCH(AC$5,'Oxford Economics'!$A$6:$AZ$6,0),MATCH(AC$5&amp;"",'Oxford Economics'!$A$6:$AZ$6,0))),'Oxford Economics'!$A$7:$A$1000,$C125,'Oxford Economics'!$B$7:$B$1000,Settings!$B$14)+SUMIFS(INDEX('Oxford Economics'!$A$7:$AZ$1000,0,IFERROR(MATCH(AC$5,'Oxford Economics'!$A$6:$AZ$6,0),MATCH(AC$5&amp;"",'Oxford Economics'!$A$6:$AZ$6,0))),'Oxford Economics'!$A$7:$A$1000,$C125,'Oxford Economics'!$B$7:$B$1000,Settings!$B$16)+IF(Settings!$B$18="",0,SUMIFS(INDEX('Oxford Economics'!$A$7:$AZ$1000,0,IFERROR(MATCH(AC$5,'Oxford Economics'!$A$6:$AZ$6,0),MATCH(AC$5&amp;"",'Oxford Economics'!$A$6:$AZ$6,0))),'Oxford Economics'!$A$7:$A$1000,$C125,'Oxford Economics'!$B$7:$B$1000,Settings!$B$18)))),""))</f>
        <v/>
      </c>
      <c r="AD125" s="38" t="str">
        <f aca="false">IF($A125="","",IFERROR(1/(1/IF($B125="Residential",SUMIFS(INDEX('Oxford Economics'!$A$7:$AZ$1000,0,IFERROR(MATCH(AD$5,'Oxford Economics'!$A$6:$AZ$6,0),MATCH(AD$5&amp;"",'Oxford Economics'!$A$6:$AZ$6,0))),'Oxford Economics'!$A$7:$A$1000,$C125,'Oxford Economics'!$B$7:$B$1000,Settings!$B$12)-SUMIFS(INDEX('Oxford Economics'!$A$7:$AZ$1000,0,IFERROR(MATCH(AD$5,'Oxford Economics'!$A$6:$AZ$6,0),MATCH(AD$5&amp;"",'Oxford Economics'!$A$6:$AZ$6,0))),'Oxford Economics'!$A$7:$A$1000,$C125,'Oxford Economics'!$B$7:$B$1000,Settings!$B$14),SUMIFS(INDEX('Oxford Economics'!$A$7:$AZ$1000,0,IFERROR(MATCH(AD$5,'Oxford Economics'!$A$6:$AZ$6,0),MATCH(AD$5&amp;"",'Oxford Economics'!$A$6:$AZ$6,0))),'Oxford Economics'!$A$7:$A$1000,$C125,'Oxford Economics'!$B$7:$B$1000,Settings!$B$14)+SUMIFS(INDEX('Oxford Economics'!$A$7:$AZ$1000,0,IFERROR(MATCH(AD$5,'Oxford Economics'!$A$6:$AZ$6,0),MATCH(AD$5&amp;"",'Oxford Economics'!$A$6:$AZ$6,0))),'Oxford Economics'!$A$7:$A$1000,$C125,'Oxford Economics'!$B$7:$B$1000,Settings!$B$16)+IF(Settings!$B$18="",0,SUMIFS(INDEX('Oxford Economics'!$A$7:$AZ$1000,0,IFERROR(MATCH(AD$5,'Oxford Economics'!$A$6:$AZ$6,0),MATCH(AD$5&amp;"",'Oxford Economics'!$A$6:$AZ$6,0))),'Oxford Economics'!$A$7:$A$1000,$C125,'Oxford Economics'!$B$7:$B$1000,Settings!$B$18)))),""))</f>
        <v/>
      </c>
      <c r="AE125" s="38" t="str">
        <f aca="false">IF($A125="","",IFERROR(1/(1/IF($B125="Residential",SUMIFS(INDEX('Oxford Economics'!$A$7:$AZ$1000,0,IFERROR(MATCH(AE$5,'Oxford Economics'!$A$6:$AZ$6,0),MATCH(AE$5&amp;"",'Oxford Economics'!$A$6:$AZ$6,0))),'Oxford Economics'!$A$7:$A$1000,$C125,'Oxford Economics'!$B$7:$B$1000,Settings!$B$12)-SUMIFS(INDEX('Oxford Economics'!$A$7:$AZ$1000,0,IFERROR(MATCH(AE$5,'Oxford Economics'!$A$6:$AZ$6,0),MATCH(AE$5&amp;"",'Oxford Economics'!$A$6:$AZ$6,0))),'Oxford Economics'!$A$7:$A$1000,$C125,'Oxford Economics'!$B$7:$B$1000,Settings!$B$14),SUMIFS(INDEX('Oxford Economics'!$A$7:$AZ$1000,0,IFERROR(MATCH(AE$5,'Oxford Economics'!$A$6:$AZ$6,0),MATCH(AE$5&amp;"",'Oxford Economics'!$A$6:$AZ$6,0))),'Oxford Economics'!$A$7:$A$1000,$C125,'Oxford Economics'!$B$7:$B$1000,Settings!$B$14)+SUMIFS(INDEX('Oxford Economics'!$A$7:$AZ$1000,0,IFERROR(MATCH(AE$5,'Oxford Economics'!$A$6:$AZ$6,0),MATCH(AE$5&amp;"",'Oxford Economics'!$A$6:$AZ$6,0))),'Oxford Economics'!$A$7:$A$1000,$C125,'Oxford Economics'!$B$7:$B$1000,Settings!$B$16)+IF(Settings!$B$18="",0,SUMIFS(INDEX('Oxford Economics'!$A$7:$AZ$1000,0,IFERROR(MATCH(AE$5,'Oxford Economics'!$A$6:$AZ$6,0),MATCH(AE$5&amp;"",'Oxford Economics'!$A$6:$AZ$6,0))),'Oxford Economics'!$A$7:$A$1000,$C125,'Oxford Economics'!$B$7:$B$1000,Settings!$B$18)))),""))</f>
        <v/>
      </c>
      <c r="AF125" s="38" t="str">
        <f aca="false">IF($A125="","",IFERROR(1/(1/IF($B125="Residential",SUMIFS(INDEX('Oxford Economics'!$A$7:$AZ$1000,0,IFERROR(MATCH(AF$5,'Oxford Economics'!$A$6:$AZ$6,0),MATCH(AF$5&amp;"",'Oxford Economics'!$A$6:$AZ$6,0))),'Oxford Economics'!$A$7:$A$1000,$C125,'Oxford Economics'!$B$7:$B$1000,Settings!$B$12)-SUMIFS(INDEX('Oxford Economics'!$A$7:$AZ$1000,0,IFERROR(MATCH(AF$5,'Oxford Economics'!$A$6:$AZ$6,0),MATCH(AF$5&amp;"",'Oxford Economics'!$A$6:$AZ$6,0))),'Oxford Economics'!$A$7:$A$1000,$C125,'Oxford Economics'!$B$7:$B$1000,Settings!$B$14),SUMIFS(INDEX('Oxford Economics'!$A$7:$AZ$1000,0,IFERROR(MATCH(AF$5,'Oxford Economics'!$A$6:$AZ$6,0),MATCH(AF$5&amp;"",'Oxford Economics'!$A$6:$AZ$6,0))),'Oxford Economics'!$A$7:$A$1000,$C125,'Oxford Economics'!$B$7:$B$1000,Settings!$B$14)+SUMIFS(INDEX('Oxford Economics'!$A$7:$AZ$1000,0,IFERROR(MATCH(AF$5,'Oxford Economics'!$A$6:$AZ$6,0),MATCH(AF$5&amp;"",'Oxford Economics'!$A$6:$AZ$6,0))),'Oxford Economics'!$A$7:$A$1000,$C125,'Oxford Economics'!$B$7:$B$1000,Settings!$B$16)+IF(Settings!$B$18="",0,SUMIFS(INDEX('Oxford Economics'!$A$7:$AZ$1000,0,IFERROR(MATCH(AF$5,'Oxford Economics'!$A$6:$AZ$6,0),MATCH(AF$5&amp;"",'Oxford Economics'!$A$6:$AZ$6,0))),'Oxford Economics'!$A$7:$A$1000,$C125,'Oxford Economics'!$B$7:$B$1000,Settings!$B$18)))),""))</f>
        <v/>
      </c>
      <c r="AG125" s="38" t="str">
        <f aca="false">IF($A125="","",IFERROR(1/(1/IF($B125="Residential",SUMIFS(INDEX('Oxford Economics'!$A$7:$AZ$1000,0,IFERROR(MATCH(AG$5,'Oxford Economics'!$A$6:$AZ$6,0),MATCH(AG$5&amp;"",'Oxford Economics'!$A$6:$AZ$6,0))),'Oxford Economics'!$A$7:$A$1000,$C125,'Oxford Economics'!$B$7:$B$1000,Settings!$B$12)-SUMIFS(INDEX('Oxford Economics'!$A$7:$AZ$1000,0,IFERROR(MATCH(AG$5,'Oxford Economics'!$A$6:$AZ$6,0),MATCH(AG$5&amp;"",'Oxford Economics'!$A$6:$AZ$6,0))),'Oxford Economics'!$A$7:$A$1000,$C125,'Oxford Economics'!$B$7:$B$1000,Settings!$B$14),SUMIFS(INDEX('Oxford Economics'!$A$7:$AZ$1000,0,IFERROR(MATCH(AG$5,'Oxford Economics'!$A$6:$AZ$6,0),MATCH(AG$5&amp;"",'Oxford Economics'!$A$6:$AZ$6,0))),'Oxford Economics'!$A$7:$A$1000,$C125,'Oxford Economics'!$B$7:$B$1000,Settings!$B$14)+SUMIFS(INDEX('Oxford Economics'!$A$7:$AZ$1000,0,IFERROR(MATCH(AG$5,'Oxford Economics'!$A$6:$AZ$6,0),MATCH(AG$5&amp;"",'Oxford Economics'!$A$6:$AZ$6,0))),'Oxford Economics'!$A$7:$A$1000,$C125,'Oxford Economics'!$B$7:$B$1000,Settings!$B$16)+IF(Settings!$B$18="",0,SUMIFS(INDEX('Oxford Economics'!$A$7:$AZ$1000,0,IFERROR(MATCH(AG$5,'Oxford Economics'!$A$6:$AZ$6,0),MATCH(AG$5&amp;"",'Oxford Economics'!$A$6:$AZ$6,0))),'Oxford Economics'!$A$7:$A$1000,$C125,'Oxford Economics'!$B$7:$B$1000,Settings!$B$18)))),""))</f>
        <v/>
      </c>
      <c r="AH125" s="38" t="str">
        <f aca="false">IF($A125="","",IFERROR(1/(1/IF($B125="Residential",SUMIFS(INDEX('Oxford Economics'!$A$7:$AZ$1000,0,IFERROR(MATCH(AH$5,'Oxford Economics'!$A$6:$AZ$6,0),MATCH(AH$5&amp;"",'Oxford Economics'!$A$6:$AZ$6,0))),'Oxford Economics'!$A$7:$A$1000,$C125,'Oxford Economics'!$B$7:$B$1000,Settings!$B$12)-SUMIFS(INDEX('Oxford Economics'!$A$7:$AZ$1000,0,IFERROR(MATCH(AH$5,'Oxford Economics'!$A$6:$AZ$6,0),MATCH(AH$5&amp;"",'Oxford Economics'!$A$6:$AZ$6,0))),'Oxford Economics'!$A$7:$A$1000,$C125,'Oxford Economics'!$B$7:$B$1000,Settings!$B$14),SUMIFS(INDEX('Oxford Economics'!$A$7:$AZ$1000,0,IFERROR(MATCH(AH$5,'Oxford Economics'!$A$6:$AZ$6,0),MATCH(AH$5&amp;"",'Oxford Economics'!$A$6:$AZ$6,0))),'Oxford Economics'!$A$7:$A$1000,$C125,'Oxford Economics'!$B$7:$B$1000,Settings!$B$14)+SUMIFS(INDEX('Oxford Economics'!$A$7:$AZ$1000,0,IFERROR(MATCH(AH$5,'Oxford Economics'!$A$6:$AZ$6,0),MATCH(AH$5&amp;"",'Oxford Economics'!$A$6:$AZ$6,0))),'Oxford Economics'!$A$7:$A$1000,$C125,'Oxford Economics'!$B$7:$B$1000,Settings!$B$16)+IF(Settings!$B$18="",0,SUMIFS(INDEX('Oxford Economics'!$A$7:$AZ$1000,0,IFERROR(MATCH(AH$5,'Oxford Economics'!$A$6:$AZ$6,0),MATCH(AH$5&amp;"",'Oxford Economics'!$A$6:$AZ$6,0))),'Oxford Economics'!$A$7:$A$1000,$C125,'Oxford Economics'!$B$7:$B$1000,Settings!$B$18)))),""))</f>
        <v/>
      </c>
      <c r="AI125" s="38" t="str">
        <f aca="false">IF($A125="","",IFERROR(1/(1/IF($B125="Residential",SUMIFS(INDEX('Oxford Economics'!$A$7:$AZ$1000,0,IFERROR(MATCH(AI$5,'Oxford Economics'!$A$6:$AZ$6,0),MATCH(AI$5&amp;"",'Oxford Economics'!$A$6:$AZ$6,0))),'Oxford Economics'!$A$7:$A$1000,$C125,'Oxford Economics'!$B$7:$B$1000,Settings!$B$12)-SUMIFS(INDEX('Oxford Economics'!$A$7:$AZ$1000,0,IFERROR(MATCH(AI$5,'Oxford Economics'!$A$6:$AZ$6,0),MATCH(AI$5&amp;"",'Oxford Economics'!$A$6:$AZ$6,0))),'Oxford Economics'!$A$7:$A$1000,$C125,'Oxford Economics'!$B$7:$B$1000,Settings!$B$14),SUMIFS(INDEX('Oxford Economics'!$A$7:$AZ$1000,0,IFERROR(MATCH(AI$5,'Oxford Economics'!$A$6:$AZ$6,0),MATCH(AI$5&amp;"",'Oxford Economics'!$A$6:$AZ$6,0))),'Oxford Economics'!$A$7:$A$1000,$C125,'Oxford Economics'!$B$7:$B$1000,Settings!$B$14)+SUMIFS(INDEX('Oxford Economics'!$A$7:$AZ$1000,0,IFERROR(MATCH(AI$5,'Oxford Economics'!$A$6:$AZ$6,0),MATCH(AI$5&amp;"",'Oxford Economics'!$A$6:$AZ$6,0))),'Oxford Economics'!$A$7:$A$1000,$C125,'Oxford Economics'!$B$7:$B$1000,Settings!$B$16)+IF(Settings!$B$18="",0,SUMIFS(INDEX('Oxford Economics'!$A$7:$AZ$1000,0,IFERROR(MATCH(AI$5,'Oxford Economics'!$A$6:$AZ$6,0),MATCH(AI$5&amp;"",'Oxford Economics'!$A$6:$AZ$6,0))),'Oxford Economics'!$A$7:$A$1000,$C125,'Oxford Economics'!$B$7:$B$1000,Settings!$B$18)))),""))</f>
        <v/>
      </c>
      <c r="AJ125" s="38" t="str">
        <f aca="false">IF($A125="","",IFERROR(1/(1/IF($B125="Residential",SUMIFS(INDEX('Oxford Economics'!$A$7:$AZ$1000,0,IFERROR(MATCH(AJ$5,'Oxford Economics'!$A$6:$AZ$6,0),MATCH(AJ$5&amp;"",'Oxford Economics'!$A$6:$AZ$6,0))),'Oxford Economics'!$A$7:$A$1000,$C125,'Oxford Economics'!$B$7:$B$1000,Settings!$B$12)-SUMIFS(INDEX('Oxford Economics'!$A$7:$AZ$1000,0,IFERROR(MATCH(AJ$5,'Oxford Economics'!$A$6:$AZ$6,0),MATCH(AJ$5&amp;"",'Oxford Economics'!$A$6:$AZ$6,0))),'Oxford Economics'!$A$7:$A$1000,$C125,'Oxford Economics'!$B$7:$B$1000,Settings!$B$14),SUMIFS(INDEX('Oxford Economics'!$A$7:$AZ$1000,0,IFERROR(MATCH(AJ$5,'Oxford Economics'!$A$6:$AZ$6,0),MATCH(AJ$5&amp;"",'Oxford Economics'!$A$6:$AZ$6,0))),'Oxford Economics'!$A$7:$A$1000,$C125,'Oxford Economics'!$B$7:$B$1000,Settings!$B$14)+SUMIFS(INDEX('Oxford Economics'!$A$7:$AZ$1000,0,IFERROR(MATCH(AJ$5,'Oxford Economics'!$A$6:$AZ$6,0),MATCH(AJ$5&amp;"",'Oxford Economics'!$A$6:$AZ$6,0))),'Oxford Economics'!$A$7:$A$1000,$C125,'Oxford Economics'!$B$7:$B$1000,Settings!$B$16)+IF(Settings!$B$18="",0,SUMIFS(INDEX('Oxford Economics'!$A$7:$AZ$1000,0,IFERROR(MATCH(AJ$5,'Oxford Economics'!$A$6:$AZ$6,0),MATCH(AJ$5&amp;"",'Oxford Economics'!$A$6:$AZ$6,0))),'Oxford Economics'!$A$7:$A$1000,$C125,'Oxford Economics'!$B$7:$B$1000,Settings!$B$18)))),""))</f>
        <v/>
      </c>
      <c r="AK125" s="38" t="str">
        <f aca="false">IF($A125="","",IFERROR(1/(1/IF($B125="Residential",SUMIFS(INDEX('Oxford Economics'!$A$7:$AZ$1000,0,IFERROR(MATCH(AK$5,'Oxford Economics'!$A$6:$AZ$6,0),MATCH(AK$5&amp;"",'Oxford Economics'!$A$6:$AZ$6,0))),'Oxford Economics'!$A$7:$A$1000,$C125,'Oxford Economics'!$B$7:$B$1000,Settings!$B$12)-SUMIFS(INDEX('Oxford Economics'!$A$7:$AZ$1000,0,IFERROR(MATCH(AK$5,'Oxford Economics'!$A$6:$AZ$6,0),MATCH(AK$5&amp;"",'Oxford Economics'!$A$6:$AZ$6,0))),'Oxford Economics'!$A$7:$A$1000,$C125,'Oxford Economics'!$B$7:$B$1000,Settings!$B$14),SUMIFS(INDEX('Oxford Economics'!$A$7:$AZ$1000,0,IFERROR(MATCH(AK$5,'Oxford Economics'!$A$6:$AZ$6,0),MATCH(AK$5&amp;"",'Oxford Economics'!$A$6:$AZ$6,0))),'Oxford Economics'!$A$7:$A$1000,$C125,'Oxford Economics'!$B$7:$B$1000,Settings!$B$14)+SUMIFS(INDEX('Oxford Economics'!$A$7:$AZ$1000,0,IFERROR(MATCH(AK$5,'Oxford Economics'!$A$6:$AZ$6,0),MATCH(AK$5&amp;"",'Oxford Economics'!$A$6:$AZ$6,0))),'Oxford Economics'!$A$7:$A$1000,$C125,'Oxford Economics'!$B$7:$B$1000,Settings!$B$16)+IF(Settings!$B$18="",0,SUMIFS(INDEX('Oxford Economics'!$A$7:$AZ$1000,0,IFERROR(MATCH(AK$5,'Oxford Economics'!$A$6:$AZ$6,0),MATCH(AK$5&amp;"",'Oxford Economics'!$A$6:$AZ$6,0))),'Oxford Economics'!$A$7:$A$1000,$C125,'Oxford Economics'!$B$7:$B$1000,Settings!$B$18)))),""))</f>
        <v/>
      </c>
      <c r="AL125" s="38" t="str">
        <f aca="false">IF($A125="","",IFERROR(1/(1/IF($B125="Residential",SUMIFS(INDEX('Oxford Economics'!$A$7:$AZ$1000,0,IFERROR(MATCH(AL$5,'Oxford Economics'!$A$6:$AZ$6,0),MATCH(AL$5&amp;"",'Oxford Economics'!$A$6:$AZ$6,0))),'Oxford Economics'!$A$7:$A$1000,$C125,'Oxford Economics'!$B$7:$B$1000,Settings!$B$12)-SUMIFS(INDEX('Oxford Economics'!$A$7:$AZ$1000,0,IFERROR(MATCH(AL$5,'Oxford Economics'!$A$6:$AZ$6,0),MATCH(AL$5&amp;"",'Oxford Economics'!$A$6:$AZ$6,0))),'Oxford Economics'!$A$7:$A$1000,$C125,'Oxford Economics'!$B$7:$B$1000,Settings!$B$14),SUMIFS(INDEX('Oxford Economics'!$A$7:$AZ$1000,0,IFERROR(MATCH(AL$5,'Oxford Economics'!$A$6:$AZ$6,0),MATCH(AL$5&amp;"",'Oxford Economics'!$A$6:$AZ$6,0))),'Oxford Economics'!$A$7:$A$1000,$C125,'Oxford Economics'!$B$7:$B$1000,Settings!$B$14)+SUMIFS(INDEX('Oxford Economics'!$A$7:$AZ$1000,0,IFERROR(MATCH(AL$5,'Oxford Economics'!$A$6:$AZ$6,0),MATCH(AL$5&amp;"",'Oxford Economics'!$A$6:$AZ$6,0))),'Oxford Economics'!$A$7:$A$1000,$C125,'Oxford Economics'!$B$7:$B$1000,Settings!$B$16)+IF(Settings!$B$18="",0,SUMIFS(INDEX('Oxford Economics'!$A$7:$AZ$1000,0,IFERROR(MATCH(AL$5,'Oxford Economics'!$A$6:$AZ$6,0),MATCH(AL$5&amp;"",'Oxford Economics'!$A$6:$AZ$6,0))),'Oxford Economics'!$A$7:$A$1000,$C125,'Oxford Economics'!$B$7:$B$1000,Settings!$B$18)))),""))</f>
        <v/>
      </c>
      <c r="AM125" s="38" t="str">
        <f aca="false">IF($A125="","",IFERROR(1/(1/IF($B125="Residential",SUMIFS(INDEX('Oxford Economics'!$A$7:$AZ$1000,0,IFERROR(MATCH(AM$5,'Oxford Economics'!$A$6:$AZ$6,0),MATCH(AM$5&amp;"",'Oxford Economics'!$A$6:$AZ$6,0))),'Oxford Economics'!$A$7:$A$1000,$C125,'Oxford Economics'!$B$7:$B$1000,Settings!$B$12)-SUMIFS(INDEX('Oxford Economics'!$A$7:$AZ$1000,0,IFERROR(MATCH(AM$5,'Oxford Economics'!$A$6:$AZ$6,0),MATCH(AM$5&amp;"",'Oxford Economics'!$A$6:$AZ$6,0))),'Oxford Economics'!$A$7:$A$1000,$C125,'Oxford Economics'!$B$7:$B$1000,Settings!$B$14),SUMIFS(INDEX('Oxford Economics'!$A$7:$AZ$1000,0,IFERROR(MATCH(AM$5,'Oxford Economics'!$A$6:$AZ$6,0),MATCH(AM$5&amp;"",'Oxford Economics'!$A$6:$AZ$6,0))),'Oxford Economics'!$A$7:$A$1000,$C125,'Oxford Economics'!$B$7:$B$1000,Settings!$B$14)+SUMIFS(INDEX('Oxford Economics'!$A$7:$AZ$1000,0,IFERROR(MATCH(AM$5,'Oxford Economics'!$A$6:$AZ$6,0),MATCH(AM$5&amp;"",'Oxford Economics'!$A$6:$AZ$6,0))),'Oxford Economics'!$A$7:$A$1000,$C125,'Oxford Economics'!$B$7:$B$1000,Settings!$B$16)+IF(Settings!$B$18="",0,SUMIFS(INDEX('Oxford Economics'!$A$7:$AZ$1000,0,IFERROR(MATCH(AM$5,'Oxford Economics'!$A$6:$AZ$6,0),MATCH(AM$5&amp;"",'Oxford Economics'!$A$6:$AZ$6,0))),'Oxford Economics'!$A$7:$A$1000,$C125,'Oxford Economics'!$B$7:$B$1000,Settings!$B$18)))),""))</f>
        <v/>
      </c>
    </row>
  </sheetData>
  <mergeCells count="3">
    <mergeCell ref="D4:O4"/>
    <mergeCell ref="P4:AA4"/>
    <mergeCell ref="AB4:A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AD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29" min="4" style="0" width="13"/>
    <col collapsed="false" customWidth="true" hidden="false" outlineLevel="0" max="30" min="30" style="0" width="34"/>
  </cols>
  <sheetData>
    <row r="1" customFormat="false" ht="27.75" hidden="false" customHeight="true" outlineLevel="0" collapsed="false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8" hidden="false" customHeight="true" outlineLevel="0" collapsed="false">
      <c r="A2" s="3" t="s">
        <v>237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19" t="s">
        <v>238</v>
      </c>
    </row>
    <row r="4" customFormat="false" ht="36" hidden="false" customHeight="true" outlineLevel="0" collapsed="false">
      <c r="A4" s="20" t="s">
        <v>198</v>
      </c>
      <c r="B4" s="20" t="s">
        <v>199</v>
      </c>
      <c r="C4" s="20" t="s">
        <v>200</v>
      </c>
      <c r="D4" s="20" t="str">
        <f aca="false">"SAM "&amp;(Settings!$B$7-1)</f>
        <v>SAM 2025</v>
      </c>
      <c r="E4" s="39" t="str">
        <f aca="false">"HFC sales "&amp;(Settings!$B$7-1)</f>
        <v>HFC sales 2025</v>
      </c>
      <c r="F4" s="20" t="str">
        <f aca="false">"Market CAGR "&amp;(Settings!$B$7-6)&amp;"-"&amp;(Settings!$B$7-1)&amp;" (%)"</f>
        <v>Market CAGR 2020-2025 (%)</v>
      </c>
      <c r="G4" s="20" t="str">
        <f aca="false">"Market growth "&amp;Settings!$B$7&amp;"E (%)"</f>
        <v>Market growth 2026E (%)</v>
      </c>
      <c r="H4" s="20" t="str">
        <f aca="false">"Market CAGR "&amp;Settings!$B$7&amp;"-"&amp;(Settings!$B$7+5)&amp;" (%)"</f>
        <v>Market CAGR 2026-2031 (%)</v>
      </c>
      <c r="I4" s="39" t="str">
        <f aca="false">"HFC CAGR "&amp;(Settings!$B$7-6)&amp;"-"&amp;(Settings!$B$7-1)&amp;" (%)"</f>
        <v>HFC CAGR 2020-2025 (%)</v>
      </c>
      <c r="J4" s="39" t="str">
        <f aca="false">"HFC growth "&amp;Settings!$B$7&amp;"F (%)"</f>
        <v>HFC growth 2026F (%)</v>
      </c>
      <c r="K4" s="39" t="str">
        <f aca="false">"HFC BP CAGR "&amp;Settings!$B$7&amp;"-"&amp;(Settings!$B$7+5)&amp;" (%)"</f>
        <v>HFC BP CAGR 2026-2031 (%)</v>
      </c>
      <c r="L4" s="39" t="str">
        <f aca="false">"HFC share "&amp;Settings!$B$7&amp;" (%)"</f>
        <v>HFC share 2026 (%)</v>
      </c>
      <c r="M4" s="39" t="str">
        <f aca="false">"HFC share "&amp;(Settings!$B$7-1)&amp;" (%)"</f>
        <v>HFC share 2025 (%)</v>
      </c>
      <c r="N4" s="20" t="s">
        <v>239</v>
      </c>
      <c r="O4" s="20" t="s">
        <v>240</v>
      </c>
      <c r="P4" s="20" t="s">
        <v>241</v>
      </c>
      <c r="Q4" s="20" t="s">
        <v>242</v>
      </c>
      <c r="R4" s="20" t="s">
        <v>243</v>
      </c>
      <c r="S4" s="20" t="str">
        <f aca="false">"Reno CAGR "&amp;(Settings!$B$7-6)&amp;"-"&amp;(Settings!$B$7-1)&amp;" (%)"</f>
        <v>Reno CAGR 2020-2025 (%)</v>
      </c>
      <c r="T4" s="20" t="str">
        <f aca="false">"Reno growth "&amp;Settings!$B$7&amp;"E (%)"</f>
        <v>Reno growth 2026E (%)</v>
      </c>
      <c r="U4" s="20" t="str">
        <f aca="false">"Reno CAGR "&amp;Settings!$B$7&amp;"-"&amp;(Settings!$B$7+5)&amp;" (%)"</f>
        <v>Reno CAGR 2026-2031 (%)</v>
      </c>
      <c r="V4" s="20" t="str">
        <f aca="false">"NB CAGR "&amp;(Settings!$B$7-6)&amp;"-"&amp;(Settings!$B$7-1)&amp;" (%)"</f>
        <v>NB CAGR 2020-2025 (%)</v>
      </c>
      <c r="W4" s="20" t="str">
        <f aca="false">"NB growth "&amp;Settings!$B$7&amp;"E (%)"</f>
        <v>NB growth 2026E (%)</v>
      </c>
      <c r="X4" s="20" t="str">
        <f aca="false">"NB CAGR "&amp;Settings!$B$7&amp;"-"&amp;(Settings!$B$7+5)&amp;" (%)"</f>
        <v>NB CAGR 2026-2031 (%)</v>
      </c>
      <c r="Y4" s="20" t="s">
        <v>201</v>
      </c>
      <c r="Z4" s="20" t="str">
        <f aca="false">"Total market "&amp;(Settings!$B$7-1)&amp;" (construction, US$ m)"</f>
        <v>Total market 2025 (construction, US$ m)</v>
      </c>
      <c r="AA4" s="20" t="str">
        <f aca="false">"TAM "&amp;(Settings!$B$7-1)</f>
        <v>TAM 2025</v>
      </c>
      <c r="AB4" s="20" t="str">
        <f aca="false">"TAM CAGR "&amp;(Settings!$B$7-6)&amp;"-"&amp;(Settings!$B$7-1)&amp;" (%)"</f>
        <v>TAM CAGR 2020-2025 (%)</v>
      </c>
      <c r="AC4" s="20" t="str">
        <f aca="false">"TAM CAGR "&amp;Settings!$B$7&amp;"-"&amp;(Settings!$B$7+5)&amp;" (%)"</f>
        <v>TAM CAGR 2026-2031 (%)</v>
      </c>
      <c r="AD4" s="40" t="s">
        <v>244</v>
      </c>
    </row>
    <row r="5" customFormat="false" ht="15" hidden="false" customHeight="false" outlineLevel="0" collapsed="false">
      <c r="A5" s="41" t="s">
        <v>245</v>
      </c>
      <c r="B5" s="41" t="s">
        <v>246</v>
      </c>
      <c r="C5" s="41" t="s">
        <v>247</v>
      </c>
      <c r="D5" s="41" t="s">
        <v>248</v>
      </c>
      <c r="E5" s="41" t="s">
        <v>249</v>
      </c>
      <c r="F5" s="41" t="s">
        <v>250</v>
      </c>
      <c r="G5" s="41" t="s">
        <v>251</v>
      </c>
      <c r="H5" s="41" t="s">
        <v>252</v>
      </c>
      <c r="I5" s="41" t="s">
        <v>253</v>
      </c>
      <c r="J5" s="41" t="s">
        <v>254</v>
      </c>
      <c r="K5" s="41" t="s">
        <v>255</v>
      </c>
      <c r="L5" s="41" t="s">
        <v>256</v>
      </c>
      <c r="M5" s="41" t="s">
        <v>257</v>
      </c>
      <c r="N5" s="41" t="s">
        <v>258</v>
      </c>
      <c r="O5" s="41" t="s">
        <v>259</v>
      </c>
      <c r="P5" s="41" t="s">
        <v>260</v>
      </c>
      <c r="Q5" s="41" t="s">
        <v>261</v>
      </c>
      <c r="R5" s="41" t="s">
        <v>262</v>
      </c>
      <c r="S5" s="41" t="s">
        <v>263</v>
      </c>
      <c r="T5" s="41" t="s">
        <v>264</v>
      </c>
      <c r="U5" s="41" t="s">
        <v>265</v>
      </c>
      <c r="V5" s="41" t="s">
        <v>266</v>
      </c>
      <c r="W5" s="41" t="s">
        <v>267</v>
      </c>
      <c r="X5" s="41" t="s">
        <v>268</v>
      </c>
      <c r="Y5" s="41" t="s">
        <v>269</v>
      </c>
      <c r="Z5" s="41" t="s">
        <v>270</v>
      </c>
      <c r="AA5" s="41" t="s">
        <v>271</v>
      </c>
      <c r="AB5" s="41" t="s">
        <v>272</v>
      </c>
      <c r="AC5" s="41" t="s">
        <v>273</v>
      </c>
      <c r="AD5" s="15" t="s">
        <v>274</v>
      </c>
    </row>
    <row r="6" customFormat="false" ht="15" hidden="false" customHeight="false" outlineLevel="0" collapsed="false">
      <c r="A6" s="37" t="str">
        <f aca="false">IF(TRIM('Raw data'!A6)="","",TRIM('Raw data'!A6))</f>
        <v>Poland</v>
      </c>
      <c r="B6" s="37" t="str">
        <f aca="false">IF($A6="","",IF('Raw data'!B6="",UPPER(LEFT($A6,3)),'Raw data'!B6))</f>
        <v>PL</v>
      </c>
      <c r="C6" s="37" t="str">
        <f aca="false">IF($A6="","",'Raw data'!C6)</f>
        <v>Residential</v>
      </c>
      <c r="D6" s="38" t="n">
        <f aca="false">IF(OR($A6="",'Raw data'!J6=""),"",'Raw data'!J6)</f>
        <v>71</v>
      </c>
      <c r="E6" s="38" t="n">
        <f aca="false">IF(OR($A6="",'Raw data'!U6=""),"",'Raw data'!U6)</f>
        <v>4.3</v>
      </c>
      <c r="F6" s="42" t="n">
        <f aca="false">IF($A6="","",IF(ISNUMBER('Raw data'!K6),'Raw data'!K6*100,""))</f>
        <v>-1.95992504134664</v>
      </c>
      <c r="G6" s="42" t="n">
        <f aca="false">IF($A6="","",IF(ISNUMBER('Raw data'!L6),'Raw data'!L6*100,""))</f>
        <v>6.54305043526753</v>
      </c>
      <c r="H6" s="42" t="n">
        <f aca="false">IF($A6="","",IF(ISNUMBER('Raw data'!M6),'Raw data'!M6*100,""))</f>
        <v>2.25015243342797</v>
      </c>
      <c r="I6" s="42" t="n">
        <f aca="false">IF($A6="","",IF(ISNUMBER('Raw data'!V6),'Raw data'!V6*100,""))</f>
        <v>9</v>
      </c>
      <c r="J6" s="42" t="n">
        <f aca="false">IF($A6="","",IF(ISNUMBER('Raw data'!W6),'Raw data'!W6*100,""))</f>
        <v>8.5</v>
      </c>
      <c r="K6" s="42" t="n">
        <f aca="false">IF($A6="","",IF(ISNUMBER('Raw data'!X6),'Raw data'!X6*100,""))</f>
        <v>10</v>
      </c>
      <c r="L6" s="42" t="n">
        <f aca="false">IF($A6="","",IF('Raw data'!Z6&lt;&gt;"",'Raw data'!Z6*100,IF(AND(N('Raw data'!J6)&gt;0,'Raw data'!U6&lt;&gt;""),'Raw data'!U6*(1+N('Raw data'!W6))/('Raw data'!J6*(1+N('Raw data'!L6)))*100,"")))</f>
        <v>6.1675789586631</v>
      </c>
      <c r="M6" s="42" t="n">
        <f aca="false">IF($A6="","",IF('Raw data'!Y6&lt;&gt;"",'Raw data'!Y6*100,IF(AND(N('Raw data'!J6)&gt;0,'Raw data'!U6&lt;&gt;""),'Raw data'!U6/'Raw data'!J6*100,"")))</f>
        <v>6.05633802816901</v>
      </c>
      <c r="N6" s="43" t="n">
        <f aca="false">IF($A6="","",IF(ISNUMBER('Raw data'!AA6),'Raw data'!AA6,""))</f>
        <v>3</v>
      </c>
      <c r="O6" s="43" t="n">
        <f aca="false">IF($A6="","",IF(ISNUMBER('Raw data'!AB6),'Raw data'!AB6,""))</f>
        <v>3</v>
      </c>
      <c r="P6" s="43" t="n">
        <f aca="false">IF($A6="","",IF(ISNUMBER('Raw data'!AC6),'Raw data'!AC6,""))</f>
        <v>2</v>
      </c>
      <c r="Q6" s="43" t="n">
        <f aca="false">IF($A6="","",IF(ISNUMBER('Raw data'!AD6),'Raw data'!AD6,""))</f>
        <v>4</v>
      </c>
      <c r="R6" s="43" t="n">
        <f aca="false">IF($A6="","",IF(ISNUMBER('Raw data'!N6),'Raw data'!N6*100,""))</f>
        <v>53.2586976052542</v>
      </c>
      <c r="S6" s="42" t="n">
        <f aca="false">IF($A6="","",IF(ISNUMBER('Raw data'!O6),'Raw data'!O6*100,""))</f>
        <v>2.11153330698004</v>
      </c>
      <c r="T6" s="42" t="n">
        <f aca="false">IF($A6="","",IF(ISNUMBER('Raw data'!P6),'Raw data'!P6*100,""))</f>
        <v>18.5850826359149</v>
      </c>
      <c r="U6" s="42" t="n">
        <f aca="false">IF($A6="","",IF(ISNUMBER('Raw data'!Q6),'Raw data'!Q6*100,""))</f>
        <v>1.41805398769062</v>
      </c>
      <c r="V6" s="42" t="n">
        <f aca="false">IF($A6="","",IF(ISNUMBER('Raw data'!R6),'Raw data'!R6*100,""))</f>
        <v>-5.62343157624903</v>
      </c>
      <c r="W6" s="42" t="n">
        <f aca="false">IF($A6="","",IF(ISNUMBER('Raw data'!S6),'Raw data'!S6*100,""))</f>
        <v>-7.17806811873972</v>
      </c>
      <c r="X6" s="42" t="n">
        <f aca="false">IF($A6="","",IF(ISNUMBER('Raw data'!T6),'Raw data'!T6*100,""))</f>
        <v>3.41503028428385</v>
      </c>
      <c r="Y6" s="37" t="str">
        <f aca="false">IF($A6="","",IF('Raw data'!D6="","",'Raw data'!D6))</f>
        <v>Heating</v>
      </c>
      <c r="Z6" s="38" t="n">
        <f aca="false">IF($A6="","",IF(ISNUMBER('Raw data'!F6),'Raw data'!F6,""))</f>
        <v>10329.28</v>
      </c>
      <c r="AA6" s="38" t="n">
        <f aca="false">IF($A6="","",IF(ISNUMBER('Raw data'!G6),'Raw data'!G6,""))</f>
        <v>184</v>
      </c>
      <c r="AB6" s="42" t="n">
        <f aca="false">IF($A6="","",IF(ISNUMBER('Raw data'!H6),'Raw data'!H6*100,IF(ISNUMBER('Raw data'!K6),'Raw data'!K6*100,"")))</f>
        <v>-1.95992504134664</v>
      </c>
      <c r="AC6" s="42" t="n">
        <f aca="false">IF($A6="","",IF(ISNUMBER('Raw data'!I6),'Raw data'!I6*100,IF(ISNUMBER('Raw data'!M6),'Raw data'!M6*100,"")))</f>
        <v>2.25015243342797</v>
      </c>
      <c r="AD6" s="44" t="n">
        <f aca="false">IF($A6="","",IF(AND(ISNUMBER('Raw data'!N6),ISNUMBER('Raw data'!L6),ISNUMBER('Raw data'!P6),ISNUMBER('Raw data'!S6)),ROUND(('Raw data'!N6*'Raw data'!P6+(1-'Raw data'!N6)*'Raw data'!S6-'Raw data'!L6)*100,1),""))</f>
        <v>0</v>
      </c>
    </row>
    <row r="7" customFormat="false" ht="15" hidden="false" customHeight="false" outlineLevel="0" collapsed="false">
      <c r="A7" s="37" t="str">
        <f aca="false">IF(TRIM('Raw data'!A7)="","",TRIM('Raw data'!A7))</f>
        <v>Poland</v>
      </c>
      <c r="B7" s="37" t="str">
        <f aca="false">IF($A7="","",IF('Raw data'!B7="",UPPER(LEFT($A7,3)),'Raw data'!B7))</f>
        <v>PL</v>
      </c>
      <c r="C7" s="37" t="str">
        <f aca="false">IF($A7="","",'Raw data'!C7)</f>
        <v>Residential</v>
      </c>
      <c r="D7" s="38" t="n">
        <f aca="false">IF(OR($A7="",'Raw data'!J7=""),"",'Raw data'!J7)</f>
        <v>11</v>
      </c>
      <c r="E7" s="38" t="n">
        <f aca="false">IF(OR($A7="",'Raw data'!U7=""),"",'Raw data'!U7)</f>
        <v>0.3</v>
      </c>
      <c r="F7" s="42" t="n">
        <f aca="false">IF($A7="","",IF(ISNUMBER('Raw data'!K7),'Raw data'!K7*100,""))</f>
        <v>-1.95992504134664</v>
      </c>
      <c r="G7" s="42" t="n">
        <f aca="false">IF($A7="","",IF(ISNUMBER('Raw data'!L7),'Raw data'!L7*100,""))</f>
        <v>6.54305043526753</v>
      </c>
      <c r="H7" s="42" t="n">
        <f aca="false">IF($A7="","",IF(ISNUMBER('Raw data'!M7),'Raw data'!M7*100,""))</f>
        <v>2.25015243342797</v>
      </c>
      <c r="I7" s="42" t="n">
        <f aca="false">IF($A7="","",IF(ISNUMBER('Raw data'!V7),'Raw data'!V7*100,""))</f>
        <v>10.5</v>
      </c>
      <c r="J7" s="42" t="n">
        <f aca="false">IF($A7="","",IF(ISNUMBER('Raw data'!W7),'Raw data'!W7*100,""))</f>
        <v>10</v>
      </c>
      <c r="K7" s="42" t="n">
        <f aca="false">IF($A7="","",IF(ISNUMBER('Raw data'!X7),'Raw data'!X7*100,""))</f>
        <v>11.5</v>
      </c>
      <c r="L7" s="42" t="n">
        <f aca="false">IF($A7="","",IF('Raw data'!Z7&lt;&gt;"",'Raw data'!Z7*100,IF(AND(N('Raw data'!J7)&gt;0,'Raw data'!U7&lt;&gt;""),'Raw data'!U7*(1+N('Raw data'!W7))/('Raw data'!J7*(1+N('Raw data'!L7)))*100,"")))</f>
        <v>2.81576319407404</v>
      </c>
      <c r="M7" s="42" t="n">
        <f aca="false">IF($A7="","",IF('Raw data'!Y7&lt;&gt;"",'Raw data'!Y7*100,IF(AND(N('Raw data'!J7)&gt;0,'Raw data'!U7&lt;&gt;""),'Raw data'!U7/'Raw data'!J7*100,"")))</f>
        <v>2.72727272727273</v>
      </c>
      <c r="N7" s="43" t="n">
        <f aca="false">IF($A7="","",IF(ISNUMBER('Raw data'!AA7),'Raw data'!AA7,""))</f>
        <v>3</v>
      </c>
      <c r="O7" s="43" t="n">
        <f aca="false">IF($A7="","",IF(ISNUMBER('Raw data'!AB7),'Raw data'!AB7,""))</f>
        <v>3</v>
      </c>
      <c r="P7" s="43" t="n">
        <f aca="false">IF($A7="","",IF(ISNUMBER('Raw data'!AC7),'Raw data'!AC7,""))</f>
        <v>2</v>
      </c>
      <c r="Q7" s="43" t="n">
        <f aca="false">IF($A7="","",IF(ISNUMBER('Raw data'!AD7),'Raw data'!AD7,""))</f>
        <v>4</v>
      </c>
      <c r="R7" s="43" t="n">
        <f aca="false">IF($A7="","",IF(ISNUMBER('Raw data'!N7),'Raw data'!N7*100,""))</f>
        <v>53.2586976052542</v>
      </c>
      <c r="S7" s="42" t="n">
        <f aca="false">IF($A7="","",IF(ISNUMBER('Raw data'!O7),'Raw data'!O7*100,""))</f>
        <v>2.11153330698004</v>
      </c>
      <c r="T7" s="42" t="n">
        <f aca="false">IF($A7="","",IF(ISNUMBER('Raw data'!P7),'Raw data'!P7*100,""))</f>
        <v>18.5850826359149</v>
      </c>
      <c r="U7" s="42" t="n">
        <f aca="false">IF($A7="","",IF(ISNUMBER('Raw data'!Q7),'Raw data'!Q7*100,""))</f>
        <v>1.41805398769062</v>
      </c>
      <c r="V7" s="42" t="n">
        <f aca="false">IF($A7="","",IF(ISNUMBER('Raw data'!R7),'Raw data'!R7*100,""))</f>
        <v>-5.62343157624903</v>
      </c>
      <c r="W7" s="42" t="n">
        <f aca="false">IF($A7="","",IF(ISNUMBER('Raw data'!S7),'Raw data'!S7*100,""))</f>
        <v>-7.17806811873972</v>
      </c>
      <c r="X7" s="42" t="n">
        <f aca="false">IF($A7="","",IF(ISNUMBER('Raw data'!T7),'Raw data'!T7*100,""))</f>
        <v>3.41503028428385</v>
      </c>
      <c r="Y7" s="37" t="str">
        <f aca="false">IF($A7="","",IF('Raw data'!D7="","",'Raw data'!D7))</f>
        <v>Cooling</v>
      </c>
      <c r="Z7" s="38" t="n">
        <f aca="false">IF($A7="","",IF(ISNUMBER('Raw data'!F7),'Raw data'!F7,""))</f>
        <v>10329.28</v>
      </c>
      <c r="AA7" s="38" t="n">
        <f aca="false">IF($A7="","",IF(ISNUMBER('Raw data'!G7),'Raw data'!G7,""))</f>
        <v>45</v>
      </c>
      <c r="AB7" s="42" t="n">
        <f aca="false">IF($A7="","",IF(ISNUMBER('Raw data'!H7),'Raw data'!H7*100,IF(ISNUMBER('Raw data'!K7),'Raw data'!K7*100,"")))</f>
        <v>-1.95992504134664</v>
      </c>
      <c r="AC7" s="42" t="n">
        <f aca="false">IF($A7="","",IF(ISNUMBER('Raw data'!I7),'Raw data'!I7*100,IF(ISNUMBER('Raw data'!M7),'Raw data'!M7*100,"")))</f>
        <v>2.25015243342797</v>
      </c>
      <c r="AD7" s="44" t="n">
        <f aca="false">IF($A7="","",IF(AND(ISNUMBER('Raw data'!N7),ISNUMBER('Raw data'!L7),ISNUMBER('Raw data'!P7),ISNUMBER('Raw data'!S7)),ROUND(('Raw data'!N7*'Raw data'!P7+(1-'Raw data'!N7)*'Raw data'!S7-'Raw data'!L7)*100,1),""))</f>
        <v>0</v>
      </c>
    </row>
    <row r="8" customFormat="false" ht="15" hidden="false" customHeight="false" outlineLevel="0" collapsed="false">
      <c r="A8" s="37" t="str">
        <f aca="false">IF(TRIM('Raw data'!A8)="","",TRIM('Raw data'!A8))</f>
        <v>Poland</v>
      </c>
      <c r="B8" s="37" t="str">
        <f aca="false">IF($A8="","",IF('Raw data'!B8="",UPPER(LEFT($A8,3)),'Raw data'!B8))</f>
        <v>PL</v>
      </c>
      <c r="C8" s="37" t="str">
        <f aca="false">IF($A8="","",'Raw data'!C8)</f>
        <v>Residential</v>
      </c>
      <c r="D8" s="38" t="n">
        <f aca="false">IF(OR($A8="",'Raw data'!J8=""),"",'Raw data'!J8)</f>
        <v>32</v>
      </c>
      <c r="E8" s="38" t="n">
        <f aca="false">IF(OR($A8="",'Raw data'!U8=""),"",'Raw data'!U8)</f>
        <v>1.4</v>
      </c>
      <c r="F8" s="42" t="n">
        <f aca="false">IF($A8="","",IF(ISNUMBER('Raw data'!K8),'Raw data'!K8*100,""))</f>
        <v>-1.95992504134664</v>
      </c>
      <c r="G8" s="42" t="n">
        <f aca="false">IF($A8="","",IF(ISNUMBER('Raw data'!L8),'Raw data'!L8*100,""))</f>
        <v>6.54305043526753</v>
      </c>
      <c r="H8" s="42" t="n">
        <f aca="false">IF($A8="","",IF(ISNUMBER('Raw data'!M8),'Raw data'!M8*100,""))</f>
        <v>2.25015243342797</v>
      </c>
      <c r="I8" s="42" t="n">
        <f aca="false">IF($A8="","",IF(ISNUMBER('Raw data'!V8),'Raw data'!V8*100,""))</f>
        <v>9.5</v>
      </c>
      <c r="J8" s="42" t="n">
        <f aca="false">IF($A8="","",IF(ISNUMBER('Raw data'!W8),'Raw data'!W8*100,""))</f>
        <v>9</v>
      </c>
      <c r="K8" s="42" t="n">
        <f aca="false">IF($A8="","",IF(ISNUMBER('Raw data'!X8),'Raw data'!X8*100,""))</f>
        <v>10.5</v>
      </c>
      <c r="L8" s="42" t="n">
        <f aca="false">IF($A8="","",IF('Raw data'!Z8&lt;&gt;"",'Raw data'!Z8*100,IF(AND(N('Raw data'!J8)&gt;0,'Raw data'!U8&lt;&gt;""),'Raw data'!U8*(1+N('Raw data'!W8))/('Raw data'!J8*(1+N('Raw data'!L8)))*100,"")))</f>
        <v>4.47589024391352</v>
      </c>
      <c r="M8" s="42" t="n">
        <f aca="false">IF($A8="","",IF('Raw data'!Y8&lt;&gt;"",'Raw data'!Y8*100,IF(AND(N('Raw data'!J8)&gt;0,'Raw data'!U8&lt;&gt;""),'Raw data'!U8/'Raw data'!J8*100,"")))</f>
        <v>4.375</v>
      </c>
      <c r="N8" s="43" t="n">
        <f aca="false">IF($A8="","",IF(ISNUMBER('Raw data'!AA8),'Raw data'!AA8,""))</f>
        <v>3</v>
      </c>
      <c r="O8" s="43" t="n">
        <f aca="false">IF($A8="","",IF(ISNUMBER('Raw data'!AB8),'Raw data'!AB8,""))</f>
        <v>3</v>
      </c>
      <c r="P8" s="43" t="n">
        <f aca="false">IF($A8="","",IF(ISNUMBER('Raw data'!AC8),'Raw data'!AC8,""))</f>
        <v>2</v>
      </c>
      <c r="Q8" s="43" t="n">
        <f aca="false">IF($A8="","",IF(ISNUMBER('Raw data'!AD8),'Raw data'!AD8,""))</f>
        <v>4</v>
      </c>
      <c r="R8" s="43" t="n">
        <f aca="false">IF($A8="","",IF(ISNUMBER('Raw data'!N8),'Raw data'!N8*100,""))</f>
        <v>53.2586976052542</v>
      </c>
      <c r="S8" s="42" t="n">
        <f aca="false">IF($A8="","",IF(ISNUMBER('Raw data'!O8),'Raw data'!O8*100,""))</f>
        <v>2.11153330698004</v>
      </c>
      <c r="T8" s="42" t="n">
        <f aca="false">IF($A8="","",IF(ISNUMBER('Raw data'!P8),'Raw data'!P8*100,""))</f>
        <v>18.5850826359149</v>
      </c>
      <c r="U8" s="42" t="n">
        <f aca="false">IF($A8="","",IF(ISNUMBER('Raw data'!Q8),'Raw data'!Q8*100,""))</f>
        <v>1.41805398769062</v>
      </c>
      <c r="V8" s="42" t="n">
        <f aca="false">IF($A8="","",IF(ISNUMBER('Raw data'!R8),'Raw data'!R8*100,""))</f>
        <v>-5.62343157624903</v>
      </c>
      <c r="W8" s="42" t="n">
        <f aca="false">IF($A8="","",IF(ISNUMBER('Raw data'!S8),'Raw data'!S8*100,""))</f>
        <v>-7.17806811873972</v>
      </c>
      <c r="X8" s="42" t="n">
        <f aca="false">IF($A8="","",IF(ISNUMBER('Raw data'!T8),'Raw data'!T8*100,""))</f>
        <v>3.41503028428385</v>
      </c>
      <c r="Y8" s="37" t="str">
        <f aca="false">IF($A8="","",IF('Raw data'!D8="","",'Raw data'!D8))</f>
        <v>Sanitary</v>
      </c>
      <c r="Z8" s="38" t="n">
        <f aca="false">IF($A8="","",IF(ISNUMBER('Raw data'!F8),'Raw data'!F8,""))</f>
        <v>10329.28</v>
      </c>
      <c r="AA8" s="38" t="n">
        <f aca="false">IF($A8="","",IF(ISNUMBER('Raw data'!G8),'Raw data'!G8,""))</f>
        <v>102</v>
      </c>
      <c r="AB8" s="42" t="n">
        <f aca="false">IF($A8="","",IF(ISNUMBER('Raw data'!H8),'Raw data'!H8*100,IF(ISNUMBER('Raw data'!K8),'Raw data'!K8*100,"")))</f>
        <v>-1.95992504134664</v>
      </c>
      <c r="AC8" s="42" t="n">
        <f aca="false">IF($A8="","",IF(ISNUMBER('Raw data'!I8),'Raw data'!I8*100,IF(ISNUMBER('Raw data'!M8),'Raw data'!M8*100,"")))</f>
        <v>2.25015243342797</v>
      </c>
      <c r="AD8" s="44" t="n">
        <f aca="false">IF($A8="","",IF(AND(ISNUMBER('Raw data'!N8),ISNUMBER('Raw data'!L8),ISNUMBER('Raw data'!P8),ISNUMBER('Raw data'!S8)),ROUND(('Raw data'!N8*'Raw data'!P8+(1-'Raw data'!N8)*'Raw data'!S8-'Raw data'!L8)*100,1),""))</f>
        <v>0</v>
      </c>
    </row>
    <row r="9" customFormat="false" ht="15" hidden="false" customHeight="false" outlineLevel="0" collapsed="false">
      <c r="A9" s="37" t="str">
        <f aca="false">IF(TRIM('Raw data'!A9)="","",TRIM('Raw data'!A9))</f>
        <v>Poland</v>
      </c>
      <c r="B9" s="37" t="str">
        <f aca="false">IF($A9="","",IF('Raw data'!B9="",UPPER(LEFT($A9,3)),'Raw data'!B9))</f>
        <v>PL</v>
      </c>
      <c r="C9" s="37" t="str">
        <f aca="false">IF($A9="","",'Raw data'!C9)</f>
        <v>Commercial</v>
      </c>
      <c r="D9" s="38" t="n">
        <f aca="false">IF(OR($A9="",'Raw data'!J9=""),"",'Raw data'!J9)</f>
        <v>161</v>
      </c>
      <c r="E9" s="38" t="n">
        <f aca="false">IF(OR($A9="",'Raw data'!U9=""),"",'Raw data'!U9)</f>
        <v>7.3</v>
      </c>
      <c r="F9" s="42" t="n">
        <f aca="false">IF($A9="","",IF(ISNUMBER('Raw data'!K9),'Raw data'!K9*100,""))</f>
        <v>0.341472045997371</v>
      </c>
      <c r="G9" s="42" t="n">
        <f aca="false">IF($A9="","",IF(ISNUMBER('Raw data'!L9),'Raw data'!L9*100,""))</f>
        <v>5.96590775647863</v>
      </c>
      <c r="H9" s="42" t="n">
        <f aca="false">IF($A9="","",IF(ISNUMBER('Raw data'!M9),'Raw data'!M9*100,""))</f>
        <v>2.34508339237622</v>
      </c>
      <c r="I9" s="42" t="n">
        <f aca="false">IF($A9="","",IF(ISNUMBER('Raw data'!V9),'Raw data'!V9*100,""))</f>
        <v>9.5</v>
      </c>
      <c r="J9" s="42" t="n">
        <f aca="false">IF($A9="","",IF(ISNUMBER('Raw data'!W9),'Raw data'!W9*100,""))</f>
        <v>9</v>
      </c>
      <c r="K9" s="42" t="n">
        <f aca="false">IF($A9="","",IF(ISNUMBER('Raw data'!X9),'Raw data'!X9*100,""))</f>
        <v>10.5</v>
      </c>
      <c r="L9" s="42" t="n">
        <f aca="false">IF($A9="","",IF('Raw data'!Z9&lt;&gt;"",'Raw data'!Z9*100,IF(AND(N('Raw data'!J9)&gt;0,'Raw data'!U9&lt;&gt;""),'Raw data'!U9*(1+N('Raw data'!W9))/('Raw data'!J9*(1+N('Raw data'!L9)))*100,"")))</f>
        <v>4.66398687038337</v>
      </c>
      <c r="M9" s="42" t="n">
        <f aca="false">IF($A9="","",IF('Raw data'!Y9&lt;&gt;"",'Raw data'!Y9*100,IF(AND(N('Raw data'!J9)&gt;0,'Raw data'!U9&lt;&gt;""),'Raw data'!U9/'Raw data'!J9*100,"")))</f>
        <v>4.53416149068323</v>
      </c>
      <c r="N9" s="43" t="n">
        <f aca="false">IF($A9="","",IF(ISNUMBER('Raw data'!AA9),'Raw data'!AA9,""))</f>
        <v>3</v>
      </c>
      <c r="O9" s="43" t="n">
        <f aca="false">IF($A9="","",IF(ISNUMBER('Raw data'!AB9),'Raw data'!AB9,""))</f>
        <v>3</v>
      </c>
      <c r="P9" s="43" t="n">
        <f aca="false">IF($A9="","",IF(ISNUMBER('Raw data'!AC9),'Raw data'!AC9,""))</f>
        <v>2</v>
      </c>
      <c r="Q9" s="43" t="n">
        <f aca="false">IF($A9="","",IF(ISNUMBER('Raw data'!AD9),'Raw data'!AD9,""))</f>
        <v>4</v>
      </c>
      <c r="R9" s="43" t="n">
        <f aca="false">IF($A9="","",IF(ISNUMBER('Raw data'!N9),'Raw data'!N9*100,""))</f>
        <v>32.7015747987786</v>
      </c>
      <c r="S9" s="42" t="n">
        <f aca="false">IF($A9="","",IF(ISNUMBER('Raw data'!O9),'Raw data'!O9*100,""))</f>
        <v>0.993674664251398</v>
      </c>
      <c r="T9" s="42" t="n">
        <f aca="false">IF($A9="","",IF(ISNUMBER('Raw data'!P9),'Raw data'!P9*100,""))</f>
        <v>16.5138225650388</v>
      </c>
      <c r="U9" s="42" t="n">
        <f aca="false">IF($A9="","",IF(ISNUMBER('Raw data'!Q9),'Raw data'!Q9*100,""))</f>
        <v>2.04915356177162</v>
      </c>
      <c r="V9" s="42" t="n">
        <f aca="false">IF($A9="","",IF(ISNUMBER('Raw data'!R9),'Raw data'!R9*100,""))</f>
        <v>0.0334978916365802</v>
      </c>
      <c r="W9" s="42" t="n">
        <f aca="false">IF($A9="","",IF(ISNUMBER('Raw data'!S9),'Raw data'!S9*100,""))</f>
        <v>0.840476900527287</v>
      </c>
      <c r="X9" s="42" t="n">
        <f aca="false">IF($A9="","",IF(ISNUMBER('Raw data'!T9),'Raw data'!T9*100,""))</f>
        <v>2.50974263653638</v>
      </c>
      <c r="Y9" s="37" t="str">
        <f aca="false">IF($A9="","",IF('Raw data'!D9="","",'Raw data'!D9))</f>
        <v>Heating</v>
      </c>
      <c r="Z9" s="38" t="n">
        <f aca="false">IF($A9="","",IF(ISNUMBER('Raw data'!F9),'Raw data'!F9,""))</f>
        <v>23418.23</v>
      </c>
      <c r="AA9" s="38" t="n">
        <f aca="false">IF($A9="","",IF(ISNUMBER('Raw data'!G9),'Raw data'!G9,""))</f>
        <v>418</v>
      </c>
      <c r="AB9" s="42" t="n">
        <f aca="false">IF($A9="","",IF(ISNUMBER('Raw data'!H9),'Raw data'!H9*100,IF(ISNUMBER('Raw data'!K9),'Raw data'!K9*100,"")))</f>
        <v>0.341472045997371</v>
      </c>
      <c r="AC9" s="42" t="n">
        <f aca="false">IF($A9="","",IF(ISNUMBER('Raw data'!I9),'Raw data'!I9*100,IF(ISNUMBER('Raw data'!M9),'Raw data'!M9*100,"")))</f>
        <v>2.34508339237622</v>
      </c>
      <c r="AD9" s="44" t="n">
        <f aca="false">IF($A9="","",IF(AND(ISNUMBER('Raw data'!N9),ISNUMBER('Raw data'!L9),ISNUMBER('Raw data'!P9),ISNUMBER('Raw data'!S9)),ROUND(('Raw data'!N9*'Raw data'!P9+(1-'Raw data'!N9)*'Raw data'!S9-'Raw data'!L9)*100,1),""))</f>
        <v>0</v>
      </c>
    </row>
    <row r="10" customFormat="false" ht="15" hidden="false" customHeight="false" outlineLevel="0" collapsed="false">
      <c r="A10" s="37" t="str">
        <f aca="false">IF(TRIM('Raw data'!A10)="","",TRIM('Raw data'!A10))</f>
        <v>Poland</v>
      </c>
      <c r="B10" s="37" t="str">
        <f aca="false">IF($A10="","",IF('Raw data'!B10="",UPPER(LEFT($A10,3)),'Raw data'!B10))</f>
        <v>PL</v>
      </c>
      <c r="C10" s="37" t="str">
        <f aca="false">IF($A10="","",'Raw data'!C10)</f>
        <v>Commercial</v>
      </c>
      <c r="D10" s="38" t="n">
        <f aca="false">IF(OR($A10="",'Raw data'!J10=""),"",'Raw data'!J10)</f>
        <v>26</v>
      </c>
      <c r="E10" s="38" t="n">
        <f aca="false">IF(OR($A10="",'Raw data'!U10=""),"",'Raw data'!U10)</f>
        <v>0.6</v>
      </c>
      <c r="F10" s="42" t="n">
        <f aca="false">IF($A10="","",IF(ISNUMBER('Raw data'!K10),'Raw data'!K10*100,""))</f>
        <v>0.341472045997371</v>
      </c>
      <c r="G10" s="42" t="n">
        <f aca="false">IF($A10="","",IF(ISNUMBER('Raw data'!L10),'Raw data'!L10*100,""))</f>
        <v>5.96590775647863</v>
      </c>
      <c r="H10" s="42" t="n">
        <f aca="false">IF($A10="","",IF(ISNUMBER('Raw data'!M10),'Raw data'!M10*100,""))</f>
        <v>2.34508339237622</v>
      </c>
      <c r="I10" s="42" t="n">
        <f aca="false">IF($A10="","",IF(ISNUMBER('Raw data'!V10),'Raw data'!V10*100,""))</f>
        <v>11</v>
      </c>
      <c r="J10" s="42" t="n">
        <f aca="false">IF($A10="","",IF(ISNUMBER('Raw data'!W10),'Raw data'!W10*100,""))</f>
        <v>10.5</v>
      </c>
      <c r="K10" s="42" t="n">
        <f aca="false">IF($A10="","",IF(ISNUMBER('Raw data'!X10),'Raw data'!X10*100,""))</f>
        <v>12</v>
      </c>
      <c r="L10" s="42" t="n">
        <f aca="false">IF($A10="","",IF('Raw data'!Z10&lt;&gt;"",'Raw data'!Z10*100,IF(AND(N('Raw data'!J10)&gt;0,'Raw data'!U10&lt;&gt;""),'Raw data'!U10*(1+N('Raw data'!W10))/('Raw data'!J10*(1+N('Raw data'!L10)))*100,"")))</f>
        <v>2.40643434665816</v>
      </c>
      <c r="M10" s="42" t="n">
        <f aca="false">IF($A10="","",IF('Raw data'!Y10&lt;&gt;"",'Raw data'!Y10*100,IF(AND(N('Raw data'!J10)&gt;0,'Raw data'!U10&lt;&gt;""),'Raw data'!U10/'Raw data'!J10*100,"")))</f>
        <v>2.30769230769231</v>
      </c>
      <c r="N10" s="43" t="n">
        <f aca="false">IF($A10="","",IF(ISNUMBER('Raw data'!AA10),'Raw data'!AA10,""))</f>
        <v>3</v>
      </c>
      <c r="O10" s="43" t="n">
        <f aca="false">IF($A10="","",IF(ISNUMBER('Raw data'!AB10),'Raw data'!AB10,""))</f>
        <v>3</v>
      </c>
      <c r="P10" s="43" t="n">
        <f aca="false">IF($A10="","",IF(ISNUMBER('Raw data'!AC10),'Raw data'!AC10,""))</f>
        <v>2</v>
      </c>
      <c r="Q10" s="43" t="n">
        <f aca="false">IF($A10="","",IF(ISNUMBER('Raw data'!AD10),'Raw data'!AD10,""))</f>
        <v>4</v>
      </c>
      <c r="R10" s="43" t="n">
        <f aca="false">IF($A10="","",IF(ISNUMBER('Raw data'!N10),'Raw data'!N10*100,""))</f>
        <v>32.7015747987786</v>
      </c>
      <c r="S10" s="42" t="n">
        <f aca="false">IF($A10="","",IF(ISNUMBER('Raw data'!O10),'Raw data'!O10*100,""))</f>
        <v>0.993674664251398</v>
      </c>
      <c r="T10" s="42" t="n">
        <f aca="false">IF($A10="","",IF(ISNUMBER('Raw data'!P10),'Raw data'!P10*100,""))</f>
        <v>16.5138225650388</v>
      </c>
      <c r="U10" s="42" t="n">
        <f aca="false">IF($A10="","",IF(ISNUMBER('Raw data'!Q10),'Raw data'!Q10*100,""))</f>
        <v>2.04915356177162</v>
      </c>
      <c r="V10" s="42" t="n">
        <f aca="false">IF($A10="","",IF(ISNUMBER('Raw data'!R10),'Raw data'!R10*100,""))</f>
        <v>0.0334978916365802</v>
      </c>
      <c r="W10" s="42" t="n">
        <f aca="false">IF($A10="","",IF(ISNUMBER('Raw data'!S10),'Raw data'!S10*100,""))</f>
        <v>0.840476900527287</v>
      </c>
      <c r="X10" s="42" t="n">
        <f aca="false">IF($A10="","",IF(ISNUMBER('Raw data'!T10),'Raw data'!T10*100,""))</f>
        <v>2.50974263653638</v>
      </c>
      <c r="Y10" s="37" t="str">
        <f aca="false">IF($A10="","",IF('Raw data'!D10="","",'Raw data'!D10))</f>
        <v>Cooling</v>
      </c>
      <c r="Z10" s="38" t="n">
        <f aca="false">IF($A10="","",IF(ISNUMBER('Raw data'!F10),'Raw data'!F10,""))</f>
        <v>23418.23</v>
      </c>
      <c r="AA10" s="38" t="n">
        <f aca="false">IF($A10="","",IF(ISNUMBER('Raw data'!G10),'Raw data'!G10,""))</f>
        <v>106</v>
      </c>
      <c r="AB10" s="42" t="n">
        <f aca="false">IF($A10="","",IF(ISNUMBER('Raw data'!H10),'Raw data'!H10*100,IF(ISNUMBER('Raw data'!K10),'Raw data'!K10*100,"")))</f>
        <v>0.341472045997371</v>
      </c>
      <c r="AC10" s="42" t="n">
        <f aca="false">IF($A10="","",IF(ISNUMBER('Raw data'!I10),'Raw data'!I10*100,IF(ISNUMBER('Raw data'!M10),'Raw data'!M10*100,"")))</f>
        <v>2.34508339237622</v>
      </c>
      <c r="AD10" s="44" t="n">
        <f aca="false">IF($A10="","",IF(AND(ISNUMBER('Raw data'!N10),ISNUMBER('Raw data'!L10),ISNUMBER('Raw data'!P10),ISNUMBER('Raw data'!S10)),ROUND(('Raw data'!N10*'Raw data'!P10+(1-'Raw data'!N10)*'Raw data'!S10-'Raw data'!L10)*100,1),""))</f>
        <v>0</v>
      </c>
    </row>
    <row r="11" customFormat="false" ht="15" hidden="false" customHeight="false" outlineLevel="0" collapsed="false">
      <c r="A11" s="37" t="str">
        <f aca="false">IF(TRIM('Raw data'!A11)="","",TRIM('Raw data'!A11))</f>
        <v>Poland</v>
      </c>
      <c r="B11" s="37" t="str">
        <f aca="false">IF($A11="","",IF('Raw data'!B11="",UPPER(LEFT($A11,3)),'Raw data'!B11))</f>
        <v>PL</v>
      </c>
      <c r="C11" s="37" t="str">
        <f aca="false">IF($A11="","",'Raw data'!C11)</f>
        <v>Commercial</v>
      </c>
      <c r="D11" s="38" t="n">
        <f aca="false">IF(OR($A11="",'Raw data'!J11=""),"",'Raw data'!J11)</f>
        <v>72</v>
      </c>
      <c r="E11" s="38" t="n">
        <f aca="false">IF(OR($A11="",'Raw data'!U11=""),"",'Raw data'!U11)</f>
        <v>2.5</v>
      </c>
      <c r="F11" s="42" t="n">
        <f aca="false">IF($A11="","",IF(ISNUMBER('Raw data'!K11),'Raw data'!K11*100,""))</f>
        <v>0.341472045997371</v>
      </c>
      <c r="G11" s="42" t="n">
        <f aca="false">IF($A11="","",IF(ISNUMBER('Raw data'!L11),'Raw data'!L11*100,""))</f>
        <v>5.96590775647863</v>
      </c>
      <c r="H11" s="42" t="n">
        <f aca="false">IF($A11="","",IF(ISNUMBER('Raw data'!M11),'Raw data'!M11*100,""))</f>
        <v>2.34508339237622</v>
      </c>
      <c r="I11" s="42" t="n">
        <f aca="false">IF($A11="","",IF(ISNUMBER('Raw data'!V11),'Raw data'!V11*100,""))</f>
        <v>10</v>
      </c>
      <c r="J11" s="42" t="n">
        <f aca="false">IF($A11="","",IF(ISNUMBER('Raw data'!W11),'Raw data'!W11*100,""))</f>
        <v>9.5</v>
      </c>
      <c r="K11" s="42" t="n">
        <f aca="false">IF($A11="","",IF(ISNUMBER('Raw data'!X11),'Raw data'!X11*100,""))</f>
        <v>11</v>
      </c>
      <c r="L11" s="42" t="n">
        <f aca="false">IF($A11="","",IF('Raw data'!Z11&lt;&gt;"",'Raw data'!Z11*100,IF(AND(N('Raw data'!J11)&gt;0,'Raw data'!U11&lt;&gt;""),'Raw data'!U11*(1+N('Raw data'!W11))/('Raw data'!J11*(1+N('Raw data'!L11)))*100,"")))</f>
        <v>3.58802506752544</v>
      </c>
      <c r="M11" s="42" t="n">
        <f aca="false">IF($A11="","",IF('Raw data'!Y11&lt;&gt;"",'Raw data'!Y11*100,IF(AND(N('Raw data'!J11)&gt;0,'Raw data'!U11&lt;&gt;""),'Raw data'!U11/'Raw data'!J11*100,"")))</f>
        <v>3.47222222222222</v>
      </c>
      <c r="N11" s="43" t="n">
        <f aca="false">IF($A11="","",IF(ISNUMBER('Raw data'!AA11),'Raw data'!AA11,""))</f>
        <v>3</v>
      </c>
      <c r="O11" s="43" t="n">
        <f aca="false">IF($A11="","",IF(ISNUMBER('Raw data'!AB11),'Raw data'!AB11,""))</f>
        <v>3</v>
      </c>
      <c r="P11" s="43" t="n">
        <f aca="false">IF($A11="","",IF(ISNUMBER('Raw data'!AC11),'Raw data'!AC11,""))</f>
        <v>2</v>
      </c>
      <c r="Q11" s="43" t="n">
        <f aca="false">IF($A11="","",IF(ISNUMBER('Raw data'!AD11),'Raw data'!AD11,""))</f>
        <v>4</v>
      </c>
      <c r="R11" s="43" t="n">
        <f aca="false">IF($A11="","",IF(ISNUMBER('Raw data'!N11),'Raw data'!N11*100,""))</f>
        <v>32.7015747987786</v>
      </c>
      <c r="S11" s="42" t="n">
        <f aca="false">IF($A11="","",IF(ISNUMBER('Raw data'!O11),'Raw data'!O11*100,""))</f>
        <v>0.993674664251398</v>
      </c>
      <c r="T11" s="42" t="n">
        <f aca="false">IF($A11="","",IF(ISNUMBER('Raw data'!P11),'Raw data'!P11*100,""))</f>
        <v>16.5138225650388</v>
      </c>
      <c r="U11" s="42" t="n">
        <f aca="false">IF($A11="","",IF(ISNUMBER('Raw data'!Q11),'Raw data'!Q11*100,""))</f>
        <v>2.04915356177162</v>
      </c>
      <c r="V11" s="42" t="n">
        <f aca="false">IF($A11="","",IF(ISNUMBER('Raw data'!R11),'Raw data'!R11*100,""))</f>
        <v>0.0334978916365802</v>
      </c>
      <c r="W11" s="42" t="n">
        <f aca="false">IF($A11="","",IF(ISNUMBER('Raw data'!S11),'Raw data'!S11*100,""))</f>
        <v>0.840476900527287</v>
      </c>
      <c r="X11" s="42" t="n">
        <f aca="false">IF($A11="","",IF(ISNUMBER('Raw data'!T11),'Raw data'!T11*100,""))</f>
        <v>2.50974263653638</v>
      </c>
      <c r="Y11" s="37" t="str">
        <f aca="false">IF($A11="","",IF('Raw data'!D11="","",'Raw data'!D11))</f>
        <v>Sanitary</v>
      </c>
      <c r="Z11" s="38" t="n">
        <f aca="false">IF($A11="","",IF(ISNUMBER('Raw data'!F11),'Raw data'!F11,""))</f>
        <v>23418.23</v>
      </c>
      <c r="AA11" s="38" t="n">
        <f aca="false">IF($A11="","",IF(ISNUMBER('Raw data'!G11),'Raw data'!G11,""))</f>
        <v>229</v>
      </c>
      <c r="AB11" s="42" t="n">
        <f aca="false">IF($A11="","",IF(ISNUMBER('Raw data'!H11),'Raw data'!H11*100,IF(ISNUMBER('Raw data'!K11),'Raw data'!K11*100,"")))</f>
        <v>0.341472045997371</v>
      </c>
      <c r="AC11" s="42" t="n">
        <f aca="false">IF($A11="","",IF(ISNUMBER('Raw data'!I11),'Raw data'!I11*100,IF(ISNUMBER('Raw data'!M11),'Raw data'!M11*100,"")))</f>
        <v>2.34508339237622</v>
      </c>
      <c r="AD11" s="44" t="n">
        <f aca="false">IF($A11="","",IF(AND(ISNUMBER('Raw data'!N11),ISNUMBER('Raw data'!L11),ISNUMBER('Raw data'!P11),ISNUMBER('Raw data'!S11)),ROUND(('Raw data'!N11*'Raw data'!P11+(1-'Raw data'!N11)*'Raw data'!S11-'Raw data'!L11)*100,1),""))</f>
        <v>0</v>
      </c>
    </row>
    <row r="12" customFormat="false" ht="15" hidden="false" customHeight="false" outlineLevel="0" collapsed="false">
      <c r="A12" s="37" t="str">
        <f aca="false">IF(TRIM('Raw data'!A12)="","",TRIM('Raw data'!A12))</f>
        <v>Czech Republic</v>
      </c>
      <c r="B12" s="37" t="str">
        <f aca="false">IF($A12="","",IF('Raw data'!B12="",UPPER(LEFT($A12,3)),'Raw data'!B12))</f>
        <v>CZ</v>
      </c>
      <c r="C12" s="37" t="str">
        <f aca="false">IF($A12="","",'Raw data'!C12)</f>
        <v>Residential</v>
      </c>
      <c r="D12" s="38" t="n">
        <f aca="false">IF(OR($A12="",'Raw data'!J12=""),"",'Raw data'!J12)</f>
        <v>38</v>
      </c>
      <c r="E12" s="38" t="n">
        <f aca="false">IF(OR($A12="",'Raw data'!U12=""),"",'Raw data'!U12)</f>
        <v>2.7</v>
      </c>
      <c r="F12" s="42" t="n">
        <f aca="false">IF($A12="","",IF(ISNUMBER('Raw data'!K12),'Raw data'!K12*100,""))</f>
        <v>-2.40851177496964</v>
      </c>
      <c r="G12" s="42" t="n">
        <f aca="false">IF($A12="","",IF(ISNUMBER('Raw data'!L12),'Raw data'!L12*100,""))</f>
        <v>-1.68148143071558</v>
      </c>
      <c r="H12" s="42" t="n">
        <f aca="false">IF($A12="","",IF(ISNUMBER('Raw data'!M12),'Raw data'!M12*100,""))</f>
        <v>2.19043525508911</v>
      </c>
      <c r="I12" s="42" t="n">
        <f aca="false">IF($A12="","",IF(ISNUMBER('Raw data'!V12),'Raw data'!V12*100,""))</f>
        <v>6</v>
      </c>
      <c r="J12" s="42" t="n">
        <f aca="false">IF($A12="","",IF(ISNUMBER('Raw data'!W12),'Raw data'!W12*100,""))</f>
        <v>5</v>
      </c>
      <c r="K12" s="42" t="n">
        <f aca="false">IF($A12="","",IF(ISNUMBER('Raw data'!X12),'Raw data'!X12*100,""))</f>
        <v>7</v>
      </c>
      <c r="L12" s="42" t="n">
        <f aca="false">IF($A12="","",IF('Raw data'!Z12&lt;&gt;"",'Raw data'!Z12*100,IF(AND(N('Raw data'!J12)&gt;0,'Raw data'!U12&lt;&gt;""),'Raw data'!U12*(1+N('Raw data'!W12))/('Raw data'!J12*(1+N('Raw data'!L12)))*100,"")))</f>
        <v>7.58811912989931</v>
      </c>
      <c r="M12" s="42" t="n">
        <f aca="false">IF($A12="","",IF('Raw data'!Y12&lt;&gt;"",'Raw data'!Y12*100,IF(AND(N('Raw data'!J12)&gt;0,'Raw data'!U12&lt;&gt;""),'Raw data'!U12/'Raw data'!J12*100,"")))</f>
        <v>7.10526315789474</v>
      </c>
      <c r="N12" s="43" t="n">
        <f aca="false">IF($A12="","",IF(ISNUMBER('Raw data'!AA12),'Raw data'!AA12,""))</f>
        <v>3</v>
      </c>
      <c r="O12" s="43" t="n">
        <f aca="false">IF($A12="","",IF(ISNUMBER('Raw data'!AB12),'Raw data'!AB12,""))</f>
        <v>3</v>
      </c>
      <c r="P12" s="43" t="n">
        <f aca="false">IF($A12="","",IF(ISNUMBER('Raw data'!AC12),'Raw data'!AC12,""))</f>
        <v>3</v>
      </c>
      <c r="Q12" s="43" t="n">
        <f aca="false">IF($A12="","",IF(ISNUMBER('Raw data'!AD12),'Raw data'!AD12,""))</f>
        <v>3</v>
      </c>
      <c r="R12" s="43" t="n">
        <f aca="false">IF($A12="","",IF(ISNUMBER('Raw data'!N12),'Raw data'!N12*100,""))</f>
        <v>32.3363922337283</v>
      </c>
      <c r="S12" s="42" t="n">
        <f aca="false">IF($A12="","",IF(ISNUMBER('Raw data'!O12),'Raw data'!O12*100,""))</f>
        <v>3.19288971282656</v>
      </c>
      <c r="T12" s="42" t="n">
        <f aca="false">IF($A12="","",IF(ISNUMBER('Raw data'!P12),'Raw data'!P12*100,""))</f>
        <v>-9.42818387978723</v>
      </c>
      <c r="U12" s="42" t="n">
        <f aca="false">IF($A12="","",IF(ISNUMBER('Raw data'!Q12),'Raw data'!Q12*100,""))</f>
        <v>3.10685186979185</v>
      </c>
      <c r="V12" s="42" t="n">
        <f aca="false">IF($A12="","",IF(ISNUMBER('Raw data'!R12),'Raw data'!R12*100,""))</f>
        <v>-4.53359898789375</v>
      </c>
      <c r="W12" s="42" t="n">
        <f aca="false">IF($A12="","",IF(ISNUMBER('Raw data'!S12),'Raw data'!S12*100,""))</f>
        <v>2.02066241264052</v>
      </c>
      <c r="X12" s="42" t="n">
        <f aca="false">IF($A12="","",IF(ISNUMBER('Raw data'!T12),'Raw data'!T12*100,""))</f>
        <v>1.79148899833346</v>
      </c>
      <c r="Y12" s="37" t="str">
        <f aca="false">IF($A12="","",IF('Raw data'!D12="","",'Raw data'!D12))</f>
        <v>Heating</v>
      </c>
      <c r="Z12" s="38" t="n">
        <f aca="false">IF($A12="","",IF(ISNUMBER('Raw data'!F12),'Raw data'!F12,""))</f>
        <v>5836.52</v>
      </c>
      <c r="AA12" s="38" t="n">
        <f aca="false">IF($A12="","",IF(ISNUMBER('Raw data'!G12),'Raw data'!G12,""))</f>
        <v>86</v>
      </c>
      <c r="AB12" s="42" t="n">
        <f aca="false">IF($A12="","",IF(ISNUMBER('Raw data'!H12),'Raw data'!H12*100,IF(ISNUMBER('Raw data'!K12),'Raw data'!K12*100,"")))</f>
        <v>-2.40851177496964</v>
      </c>
      <c r="AC12" s="42" t="n">
        <f aca="false">IF($A12="","",IF(ISNUMBER('Raw data'!I12),'Raw data'!I12*100,IF(ISNUMBER('Raw data'!M12),'Raw data'!M12*100,"")))</f>
        <v>2.19043525508911</v>
      </c>
      <c r="AD12" s="44" t="n">
        <f aca="false">IF($A12="","",IF(AND(ISNUMBER('Raw data'!N12),ISNUMBER('Raw data'!L12),ISNUMBER('Raw data'!P12),ISNUMBER('Raw data'!S12)),ROUND(('Raw data'!N12*'Raw data'!P12+(1-'Raw data'!N12)*'Raw data'!S12-'Raw data'!L12)*100,1),""))</f>
        <v>0</v>
      </c>
    </row>
    <row r="13" customFormat="false" ht="15" hidden="false" customHeight="false" outlineLevel="0" collapsed="false">
      <c r="A13" s="37" t="str">
        <f aca="false">IF(TRIM('Raw data'!A13)="","",TRIM('Raw data'!A13))</f>
        <v>Czech Republic</v>
      </c>
      <c r="B13" s="37" t="str">
        <f aca="false">IF($A13="","",IF('Raw data'!B13="",UPPER(LEFT($A13,3)),'Raw data'!B13))</f>
        <v>CZ</v>
      </c>
      <c r="C13" s="37" t="str">
        <f aca="false">IF($A13="","",'Raw data'!C13)</f>
        <v>Residential</v>
      </c>
      <c r="D13" s="38" t="n">
        <f aca="false">IF(OR($A13="",'Raw data'!J13=""),"",'Raw data'!J13)</f>
        <v>8</v>
      </c>
      <c r="E13" s="38" t="n">
        <f aca="false">IF(OR($A13="",'Raw data'!U13=""),"",'Raw data'!U13)</f>
        <v>0.3</v>
      </c>
      <c r="F13" s="42" t="n">
        <f aca="false">IF($A13="","",IF(ISNUMBER('Raw data'!K13),'Raw data'!K13*100,""))</f>
        <v>-2.40851177496964</v>
      </c>
      <c r="G13" s="42" t="n">
        <f aca="false">IF($A13="","",IF(ISNUMBER('Raw data'!L13),'Raw data'!L13*100,""))</f>
        <v>-1.68148143071558</v>
      </c>
      <c r="H13" s="42" t="n">
        <f aca="false">IF($A13="","",IF(ISNUMBER('Raw data'!M13),'Raw data'!M13*100,""))</f>
        <v>2.19043525508911</v>
      </c>
      <c r="I13" s="42" t="n">
        <f aca="false">IF($A13="","",IF(ISNUMBER('Raw data'!V13),'Raw data'!V13*100,""))</f>
        <v>7.5</v>
      </c>
      <c r="J13" s="42" t="n">
        <f aca="false">IF($A13="","",IF(ISNUMBER('Raw data'!W13),'Raw data'!W13*100,""))</f>
        <v>6.5</v>
      </c>
      <c r="K13" s="42" t="n">
        <f aca="false">IF($A13="","",IF(ISNUMBER('Raw data'!X13),'Raw data'!X13*100,""))</f>
        <v>8.5</v>
      </c>
      <c r="L13" s="42" t="n">
        <f aca="false">IF($A13="","",IF('Raw data'!Z13&lt;&gt;"",'Raw data'!Z13*100,IF(AND(N('Raw data'!J13)&gt;0,'Raw data'!U13&lt;&gt;""),'Raw data'!U13*(1+N('Raw data'!W13))/('Raw data'!J13*(1+N('Raw data'!L13)))*100,"")))</f>
        <v>4.06205266120403</v>
      </c>
      <c r="M13" s="42" t="n">
        <f aca="false">IF($A13="","",IF('Raw data'!Y13&lt;&gt;"",'Raw data'!Y13*100,IF(AND(N('Raw data'!J13)&gt;0,'Raw data'!U13&lt;&gt;""),'Raw data'!U13/'Raw data'!J13*100,"")))</f>
        <v>3.75</v>
      </c>
      <c r="N13" s="43" t="n">
        <f aca="false">IF($A13="","",IF(ISNUMBER('Raw data'!AA13),'Raw data'!AA13,""))</f>
        <v>3</v>
      </c>
      <c r="O13" s="43" t="n">
        <f aca="false">IF($A13="","",IF(ISNUMBER('Raw data'!AB13),'Raw data'!AB13,""))</f>
        <v>3</v>
      </c>
      <c r="P13" s="43" t="n">
        <f aca="false">IF($A13="","",IF(ISNUMBER('Raw data'!AC13),'Raw data'!AC13,""))</f>
        <v>3</v>
      </c>
      <c r="Q13" s="43" t="n">
        <f aca="false">IF($A13="","",IF(ISNUMBER('Raw data'!AD13),'Raw data'!AD13,""))</f>
        <v>3</v>
      </c>
      <c r="R13" s="43" t="n">
        <f aca="false">IF($A13="","",IF(ISNUMBER('Raw data'!N13),'Raw data'!N13*100,""))</f>
        <v>32.3363922337283</v>
      </c>
      <c r="S13" s="42" t="n">
        <f aca="false">IF($A13="","",IF(ISNUMBER('Raw data'!O13),'Raw data'!O13*100,""))</f>
        <v>3.19288971282656</v>
      </c>
      <c r="T13" s="42" t="n">
        <f aca="false">IF($A13="","",IF(ISNUMBER('Raw data'!P13),'Raw data'!P13*100,""))</f>
        <v>-9.42818387978723</v>
      </c>
      <c r="U13" s="42" t="n">
        <f aca="false">IF($A13="","",IF(ISNUMBER('Raw data'!Q13),'Raw data'!Q13*100,""))</f>
        <v>3.10685186979185</v>
      </c>
      <c r="V13" s="42" t="n">
        <f aca="false">IF($A13="","",IF(ISNUMBER('Raw data'!R13),'Raw data'!R13*100,""))</f>
        <v>-4.53359898789375</v>
      </c>
      <c r="W13" s="42" t="n">
        <f aca="false">IF($A13="","",IF(ISNUMBER('Raw data'!S13),'Raw data'!S13*100,""))</f>
        <v>2.02066241264052</v>
      </c>
      <c r="X13" s="42" t="n">
        <f aca="false">IF($A13="","",IF(ISNUMBER('Raw data'!T13),'Raw data'!T13*100,""))</f>
        <v>1.79148899833346</v>
      </c>
      <c r="Y13" s="37" t="str">
        <f aca="false">IF($A13="","",IF('Raw data'!D13="","",'Raw data'!D13))</f>
        <v>Cooling</v>
      </c>
      <c r="Z13" s="38" t="n">
        <f aca="false">IF($A13="","",IF(ISNUMBER('Raw data'!F13),'Raw data'!F13,""))</f>
        <v>5836.52</v>
      </c>
      <c r="AA13" s="38" t="n">
        <f aca="false">IF($A13="","",IF(ISNUMBER('Raw data'!G13),'Raw data'!G13,""))</f>
        <v>29</v>
      </c>
      <c r="AB13" s="42" t="n">
        <f aca="false">IF($A13="","",IF(ISNUMBER('Raw data'!H13),'Raw data'!H13*100,IF(ISNUMBER('Raw data'!K13),'Raw data'!K13*100,"")))</f>
        <v>-2.40851177496964</v>
      </c>
      <c r="AC13" s="42" t="n">
        <f aca="false">IF($A13="","",IF(ISNUMBER('Raw data'!I13),'Raw data'!I13*100,IF(ISNUMBER('Raw data'!M13),'Raw data'!M13*100,"")))</f>
        <v>2.19043525508911</v>
      </c>
      <c r="AD13" s="44" t="n">
        <f aca="false">IF($A13="","",IF(AND(ISNUMBER('Raw data'!N13),ISNUMBER('Raw data'!L13),ISNUMBER('Raw data'!P13),ISNUMBER('Raw data'!S13)),ROUND(('Raw data'!N13*'Raw data'!P13+(1-'Raw data'!N13)*'Raw data'!S13-'Raw data'!L13)*100,1),""))</f>
        <v>0</v>
      </c>
    </row>
    <row r="14" customFormat="false" ht="15" hidden="false" customHeight="false" outlineLevel="0" collapsed="false">
      <c r="A14" s="37" t="str">
        <f aca="false">IF(TRIM('Raw data'!A14)="","",TRIM('Raw data'!A14))</f>
        <v>Czech Republic</v>
      </c>
      <c r="B14" s="37" t="str">
        <f aca="false">IF($A14="","",IF('Raw data'!B14="",UPPER(LEFT($A14,3)),'Raw data'!B14))</f>
        <v>CZ</v>
      </c>
      <c r="C14" s="37" t="str">
        <f aca="false">IF($A14="","",'Raw data'!C14)</f>
        <v>Residential</v>
      </c>
      <c r="D14" s="38" t="n">
        <f aca="false">IF(OR($A14="",'Raw data'!J14=""),"",'Raw data'!J14)</f>
        <v>18</v>
      </c>
      <c r="E14" s="38" t="n">
        <f aca="false">IF(OR($A14="",'Raw data'!U14=""),"",'Raw data'!U14)</f>
        <v>1</v>
      </c>
      <c r="F14" s="42" t="n">
        <f aca="false">IF($A14="","",IF(ISNUMBER('Raw data'!K14),'Raw data'!K14*100,""))</f>
        <v>-2.40851177496964</v>
      </c>
      <c r="G14" s="42" t="n">
        <f aca="false">IF($A14="","",IF(ISNUMBER('Raw data'!L14),'Raw data'!L14*100,""))</f>
        <v>-1.68148143071558</v>
      </c>
      <c r="H14" s="42" t="n">
        <f aca="false">IF($A14="","",IF(ISNUMBER('Raw data'!M14),'Raw data'!M14*100,""))</f>
        <v>2.19043525508911</v>
      </c>
      <c r="I14" s="42" t="n">
        <f aca="false">IF($A14="","",IF(ISNUMBER('Raw data'!V14),'Raw data'!V14*100,""))</f>
        <v>6.5</v>
      </c>
      <c r="J14" s="42" t="n">
        <f aca="false">IF($A14="","",IF(ISNUMBER('Raw data'!W14),'Raw data'!W14*100,""))</f>
        <v>5.5</v>
      </c>
      <c r="K14" s="42" t="n">
        <f aca="false">IF($A14="","",IF(ISNUMBER('Raw data'!X14),'Raw data'!X14*100,""))</f>
        <v>7.5</v>
      </c>
      <c r="L14" s="42" t="n">
        <f aca="false">IF($A14="","",IF('Raw data'!Z14&lt;&gt;"",'Raw data'!Z14*100,IF(AND(N('Raw data'!J14)&gt;0,'Raw data'!U14&lt;&gt;""),'Raw data'!U14*(1+N('Raw data'!W14))/('Raw data'!J14*(1+N('Raw data'!L14)))*100,"")))</f>
        <v>5.96135010616624</v>
      </c>
      <c r="M14" s="42" t="n">
        <f aca="false">IF($A14="","",IF('Raw data'!Y14&lt;&gt;"",'Raw data'!Y14*100,IF(AND(N('Raw data'!J14)&gt;0,'Raw data'!U14&lt;&gt;""),'Raw data'!U14/'Raw data'!J14*100,"")))</f>
        <v>5.55555555555556</v>
      </c>
      <c r="N14" s="43" t="n">
        <f aca="false">IF($A14="","",IF(ISNUMBER('Raw data'!AA14),'Raw data'!AA14,""))</f>
        <v>3</v>
      </c>
      <c r="O14" s="43" t="n">
        <f aca="false">IF($A14="","",IF(ISNUMBER('Raw data'!AB14),'Raw data'!AB14,""))</f>
        <v>3</v>
      </c>
      <c r="P14" s="43" t="n">
        <f aca="false">IF($A14="","",IF(ISNUMBER('Raw data'!AC14),'Raw data'!AC14,""))</f>
        <v>3</v>
      </c>
      <c r="Q14" s="43" t="n">
        <f aca="false">IF($A14="","",IF(ISNUMBER('Raw data'!AD14),'Raw data'!AD14,""))</f>
        <v>3</v>
      </c>
      <c r="R14" s="43" t="n">
        <f aca="false">IF($A14="","",IF(ISNUMBER('Raw data'!N14),'Raw data'!N14*100,""))</f>
        <v>32.3363922337283</v>
      </c>
      <c r="S14" s="42" t="n">
        <f aca="false">IF($A14="","",IF(ISNUMBER('Raw data'!O14),'Raw data'!O14*100,""))</f>
        <v>3.19288971282656</v>
      </c>
      <c r="T14" s="42" t="n">
        <f aca="false">IF($A14="","",IF(ISNUMBER('Raw data'!P14),'Raw data'!P14*100,""))</f>
        <v>-9.42818387978723</v>
      </c>
      <c r="U14" s="42" t="n">
        <f aca="false">IF($A14="","",IF(ISNUMBER('Raw data'!Q14),'Raw data'!Q14*100,""))</f>
        <v>3.10685186979185</v>
      </c>
      <c r="V14" s="42" t="n">
        <f aca="false">IF($A14="","",IF(ISNUMBER('Raw data'!R14),'Raw data'!R14*100,""))</f>
        <v>-4.53359898789375</v>
      </c>
      <c r="W14" s="42" t="n">
        <f aca="false">IF($A14="","",IF(ISNUMBER('Raw data'!S14),'Raw data'!S14*100,""))</f>
        <v>2.02066241264052</v>
      </c>
      <c r="X14" s="42" t="n">
        <f aca="false">IF($A14="","",IF(ISNUMBER('Raw data'!T14),'Raw data'!T14*100,""))</f>
        <v>1.79148899833346</v>
      </c>
      <c r="Y14" s="37" t="str">
        <f aca="false">IF($A14="","",IF('Raw data'!D14="","",'Raw data'!D14))</f>
        <v>Sanitary</v>
      </c>
      <c r="Z14" s="38" t="n">
        <f aca="false">IF($A14="","",IF(ISNUMBER('Raw data'!F14),'Raw data'!F14,""))</f>
        <v>5836.52</v>
      </c>
      <c r="AA14" s="38" t="n">
        <f aca="false">IF($A14="","",IF(ISNUMBER('Raw data'!G14),'Raw data'!G14,""))</f>
        <v>50</v>
      </c>
      <c r="AB14" s="42" t="n">
        <f aca="false">IF($A14="","",IF(ISNUMBER('Raw data'!H14),'Raw data'!H14*100,IF(ISNUMBER('Raw data'!K14),'Raw data'!K14*100,"")))</f>
        <v>-2.40851177496964</v>
      </c>
      <c r="AC14" s="42" t="n">
        <f aca="false">IF($A14="","",IF(ISNUMBER('Raw data'!I14),'Raw data'!I14*100,IF(ISNUMBER('Raw data'!M14),'Raw data'!M14*100,"")))</f>
        <v>2.19043525508911</v>
      </c>
      <c r="AD14" s="44" t="n">
        <f aca="false">IF($A14="","",IF(AND(ISNUMBER('Raw data'!N14),ISNUMBER('Raw data'!L14),ISNUMBER('Raw data'!P14),ISNUMBER('Raw data'!S14)),ROUND(('Raw data'!N14*'Raw data'!P14+(1-'Raw data'!N14)*'Raw data'!S14-'Raw data'!L14)*100,1),""))</f>
        <v>0</v>
      </c>
    </row>
    <row r="15" customFormat="false" ht="15" hidden="false" customHeight="false" outlineLevel="0" collapsed="false">
      <c r="A15" s="37" t="str">
        <f aca="false">IF(TRIM('Raw data'!A15)="","",TRIM('Raw data'!A15))</f>
        <v>Czech Republic</v>
      </c>
      <c r="B15" s="37" t="str">
        <f aca="false">IF($A15="","",IF('Raw data'!B15="",UPPER(LEFT($A15,3)),'Raw data'!B15))</f>
        <v>CZ</v>
      </c>
      <c r="C15" s="37" t="str">
        <f aca="false">IF($A15="","",'Raw data'!C15)</f>
        <v>Commercial</v>
      </c>
      <c r="D15" s="38" t="n">
        <f aca="false">IF(OR($A15="",'Raw data'!J15=""),"",'Raw data'!J15)</f>
        <v>52</v>
      </c>
      <c r="E15" s="38" t="n">
        <f aca="false">IF(OR($A15="",'Raw data'!U15=""),"",'Raw data'!U15)</f>
        <v>2.5</v>
      </c>
      <c r="F15" s="42" t="n">
        <f aca="false">IF($A15="","",IF(ISNUMBER('Raw data'!K15),'Raw data'!K15*100,""))</f>
        <v>-0.337034520083179</v>
      </c>
      <c r="G15" s="42" t="n">
        <f aca="false">IF($A15="","",IF(ISNUMBER('Raw data'!L15),'Raw data'!L15*100,""))</f>
        <v>5.11502462007294</v>
      </c>
      <c r="H15" s="42" t="n">
        <f aca="false">IF($A15="","",IF(ISNUMBER('Raw data'!M15),'Raw data'!M15*100,""))</f>
        <v>4.00035541568586</v>
      </c>
      <c r="I15" s="42" t="n">
        <f aca="false">IF($A15="","",IF(ISNUMBER('Raw data'!V15),'Raw data'!V15*100,""))</f>
        <v>6.5</v>
      </c>
      <c r="J15" s="42" t="n">
        <f aca="false">IF($A15="","",IF(ISNUMBER('Raw data'!W15),'Raw data'!W15*100,""))</f>
        <v>5.5</v>
      </c>
      <c r="K15" s="42" t="n">
        <f aca="false">IF($A15="","",IF(ISNUMBER('Raw data'!X15),'Raw data'!X15*100,""))</f>
        <v>7.5</v>
      </c>
      <c r="L15" s="42" t="n">
        <f aca="false">IF($A15="","",IF('Raw data'!Z15&lt;&gt;"",'Raw data'!Z15*100,IF(AND(N('Raw data'!J15)&gt;0,'Raw data'!U15&lt;&gt;""),'Raw data'!U15*(1+N('Raw data'!W15))/('Raw data'!J15*(1+N('Raw data'!L15)))*100,"")))</f>
        <v>4.82530009667791</v>
      </c>
      <c r="M15" s="42" t="n">
        <f aca="false">IF($A15="","",IF('Raw data'!Y15&lt;&gt;"",'Raw data'!Y15*100,IF(AND(N('Raw data'!J15)&gt;0,'Raw data'!U15&lt;&gt;""),'Raw data'!U15/'Raw data'!J15*100,"")))</f>
        <v>4.80769230769231</v>
      </c>
      <c r="N15" s="43" t="n">
        <f aca="false">IF($A15="","",IF(ISNUMBER('Raw data'!AA15),'Raw data'!AA15,""))</f>
        <v>3</v>
      </c>
      <c r="O15" s="43" t="n">
        <f aca="false">IF($A15="","",IF(ISNUMBER('Raw data'!AB15),'Raw data'!AB15,""))</f>
        <v>3</v>
      </c>
      <c r="P15" s="43" t="n">
        <f aca="false">IF($A15="","",IF(ISNUMBER('Raw data'!AC15),'Raw data'!AC15,""))</f>
        <v>3</v>
      </c>
      <c r="Q15" s="43" t="n">
        <f aca="false">IF($A15="","",IF(ISNUMBER('Raw data'!AD15),'Raw data'!AD15,""))</f>
        <v>3</v>
      </c>
      <c r="R15" s="43" t="n">
        <f aca="false">IF($A15="","",IF(ISNUMBER('Raw data'!N15),'Raw data'!N15*100,""))</f>
        <v>31.8157287683266</v>
      </c>
      <c r="S15" s="42" t="n">
        <f aca="false">IF($A15="","",IF(ISNUMBER('Raw data'!O15),'Raw data'!O15*100,""))</f>
        <v>-0.0172368597403549</v>
      </c>
      <c r="T15" s="42" t="n">
        <f aca="false">IF($A15="","",IF(ISNUMBER('Raw data'!P15),'Raw data'!P15*100,""))</f>
        <v>3.57060445232513</v>
      </c>
      <c r="U15" s="42" t="n">
        <f aca="false">IF($A15="","",IF(ISNUMBER('Raw data'!Q15),'Raw data'!Q15*100,""))</f>
        <v>5.41595511445643</v>
      </c>
      <c r="V15" s="42" t="n">
        <f aca="false">IF($A15="","",IF(ISNUMBER('Raw data'!R15),'Raw data'!R15*100,""))</f>
        <v>-0.48417679935393</v>
      </c>
      <c r="W15" s="42" t="n">
        <f aca="false">IF($A15="","",IF(ISNUMBER('Raw data'!S15),'Raw data'!S15*100,""))</f>
        <v>5.83567253892274</v>
      </c>
      <c r="X15" s="42" t="n">
        <f aca="false">IF($A15="","",IF(ISNUMBER('Raw data'!T15),'Raw data'!T15*100,""))</f>
        <v>3.32746428625212</v>
      </c>
      <c r="Y15" s="37" t="str">
        <f aca="false">IF($A15="","",IF('Raw data'!D15="","",'Raw data'!D15))</f>
        <v>Heating</v>
      </c>
      <c r="Z15" s="38" t="n">
        <f aca="false">IF($A15="","",IF(ISNUMBER('Raw data'!F15),'Raw data'!F15,""))</f>
        <v>7763.99</v>
      </c>
      <c r="AA15" s="38" t="n">
        <f aca="false">IF($A15="","",IF(ISNUMBER('Raw data'!G15),'Raw data'!G15,""))</f>
        <v>118</v>
      </c>
      <c r="AB15" s="42" t="n">
        <f aca="false">IF($A15="","",IF(ISNUMBER('Raw data'!H15),'Raw data'!H15*100,IF(ISNUMBER('Raw data'!K15),'Raw data'!K15*100,"")))</f>
        <v>-0.337034520083179</v>
      </c>
      <c r="AC15" s="42" t="n">
        <f aca="false">IF($A15="","",IF(ISNUMBER('Raw data'!I15),'Raw data'!I15*100,IF(ISNUMBER('Raw data'!M15),'Raw data'!M15*100,"")))</f>
        <v>4.00035541568586</v>
      </c>
      <c r="AD15" s="44" t="n">
        <f aca="false">IF($A15="","",IF(AND(ISNUMBER('Raw data'!N15),ISNUMBER('Raw data'!L15),ISNUMBER('Raw data'!P15),ISNUMBER('Raw data'!S15)),ROUND(('Raw data'!N15*'Raw data'!P15+(1-'Raw data'!N15)*'Raw data'!S15-'Raw data'!L15)*100,1),""))</f>
        <v>0</v>
      </c>
    </row>
    <row r="16" customFormat="false" ht="15" hidden="false" customHeight="false" outlineLevel="0" collapsed="false">
      <c r="A16" s="37" t="str">
        <f aca="false">IF(TRIM('Raw data'!A16)="","",TRIM('Raw data'!A16))</f>
        <v>Czech Republic</v>
      </c>
      <c r="B16" s="37" t="str">
        <f aca="false">IF($A16="","",IF('Raw data'!B16="",UPPER(LEFT($A16,3)),'Raw data'!B16))</f>
        <v>CZ</v>
      </c>
      <c r="C16" s="37" t="str">
        <f aca="false">IF($A16="","",'Raw data'!C16)</f>
        <v>Commercial</v>
      </c>
      <c r="D16" s="38" t="n">
        <f aca="false">IF(OR($A16="",'Raw data'!J16=""),"",'Raw data'!J16)</f>
        <v>10</v>
      </c>
      <c r="E16" s="38" t="n">
        <f aca="false">IF(OR($A16="",'Raw data'!U16=""),"",'Raw data'!U16)</f>
        <v>0.2</v>
      </c>
      <c r="F16" s="42" t="n">
        <f aca="false">IF($A16="","",IF(ISNUMBER('Raw data'!K16),'Raw data'!K16*100,""))</f>
        <v>-0.337034520083179</v>
      </c>
      <c r="G16" s="42" t="n">
        <f aca="false">IF($A16="","",IF(ISNUMBER('Raw data'!L16),'Raw data'!L16*100,""))</f>
        <v>5.11502462007294</v>
      </c>
      <c r="H16" s="42" t="n">
        <f aca="false">IF($A16="","",IF(ISNUMBER('Raw data'!M16),'Raw data'!M16*100,""))</f>
        <v>4.00035541568586</v>
      </c>
      <c r="I16" s="42" t="n">
        <f aca="false">IF($A16="","",IF(ISNUMBER('Raw data'!V16),'Raw data'!V16*100,""))</f>
        <v>8</v>
      </c>
      <c r="J16" s="42" t="n">
        <f aca="false">IF($A16="","",IF(ISNUMBER('Raw data'!W16),'Raw data'!W16*100,""))</f>
        <v>7</v>
      </c>
      <c r="K16" s="42" t="n">
        <f aca="false">IF($A16="","",IF(ISNUMBER('Raw data'!X16),'Raw data'!X16*100,""))</f>
        <v>9</v>
      </c>
      <c r="L16" s="42" t="n">
        <f aca="false">IF($A16="","",IF('Raw data'!Z16&lt;&gt;"",'Raw data'!Z16*100,IF(AND(N('Raw data'!J16)&gt;0,'Raw data'!U16&lt;&gt;""),'Raw data'!U16*(1+N('Raw data'!W16))/('Raw data'!J16*(1+N('Raw data'!L16)))*100,"")))</f>
        <v>2.03586500382301</v>
      </c>
      <c r="M16" s="42" t="n">
        <f aca="false">IF($A16="","",IF('Raw data'!Y16&lt;&gt;"",'Raw data'!Y16*100,IF(AND(N('Raw data'!J16)&gt;0,'Raw data'!U16&lt;&gt;""),'Raw data'!U16/'Raw data'!J16*100,"")))</f>
        <v>2</v>
      </c>
      <c r="N16" s="43" t="n">
        <f aca="false">IF($A16="","",IF(ISNUMBER('Raw data'!AA16),'Raw data'!AA16,""))</f>
        <v>3</v>
      </c>
      <c r="O16" s="43" t="n">
        <f aca="false">IF($A16="","",IF(ISNUMBER('Raw data'!AB16),'Raw data'!AB16,""))</f>
        <v>3</v>
      </c>
      <c r="P16" s="43" t="n">
        <f aca="false">IF($A16="","",IF(ISNUMBER('Raw data'!AC16),'Raw data'!AC16,""))</f>
        <v>3</v>
      </c>
      <c r="Q16" s="43" t="n">
        <f aca="false">IF($A16="","",IF(ISNUMBER('Raw data'!AD16),'Raw data'!AD16,""))</f>
        <v>3</v>
      </c>
      <c r="R16" s="43" t="n">
        <f aca="false">IF($A16="","",IF(ISNUMBER('Raw data'!N16),'Raw data'!N16*100,""))</f>
        <v>31.8157287683266</v>
      </c>
      <c r="S16" s="42" t="n">
        <f aca="false">IF($A16="","",IF(ISNUMBER('Raw data'!O16),'Raw data'!O16*100,""))</f>
        <v>-0.0172368597403549</v>
      </c>
      <c r="T16" s="42" t="n">
        <f aca="false">IF($A16="","",IF(ISNUMBER('Raw data'!P16),'Raw data'!P16*100,""))</f>
        <v>3.57060445232513</v>
      </c>
      <c r="U16" s="42" t="n">
        <f aca="false">IF($A16="","",IF(ISNUMBER('Raw data'!Q16),'Raw data'!Q16*100,""))</f>
        <v>5.41595511445643</v>
      </c>
      <c r="V16" s="42" t="n">
        <f aca="false">IF($A16="","",IF(ISNUMBER('Raw data'!R16),'Raw data'!R16*100,""))</f>
        <v>-0.48417679935393</v>
      </c>
      <c r="W16" s="42" t="n">
        <f aca="false">IF($A16="","",IF(ISNUMBER('Raw data'!S16),'Raw data'!S16*100,""))</f>
        <v>5.83567253892274</v>
      </c>
      <c r="X16" s="42" t="n">
        <f aca="false">IF($A16="","",IF(ISNUMBER('Raw data'!T16),'Raw data'!T16*100,""))</f>
        <v>3.32746428625212</v>
      </c>
      <c r="Y16" s="37" t="str">
        <f aca="false">IF($A16="","",IF('Raw data'!D16="","",'Raw data'!D16))</f>
        <v>Cooling</v>
      </c>
      <c r="Z16" s="38" t="n">
        <f aca="false">IF($A16="","",IF(ISNUMBER('Raw data'!F16),'Raw data'!F16,""))</f>
        <v>7763.99</v>
      </c>
      <c r="AA16" s="38" t="n">
        <f aca="false">IF($A16="","",IF(ISNUMBER('Raw data'!G16),'Raw data'!G16,""))</f>
        <v>36</v>
      </c>
      <c r="AB16" s="42" t="n">
        <f aca="false">IF($A16="","",IF(ISNUMBER('Raw data'!H16),'Raw data'!H16*100,IF(ISNUMBER('Raw data'!K16),'Raw data'!K16*100,"")))</f>
        <v>-0.337034520083179</v>
      </c>
      <c r="AC16" s="42" t="n">
        <f aca="false">IF($A16="","",IF(ISNUMBER('Raw data'!I16),'Raw data'!I16*100,IF(ISNUMBER('Raw data'!M16),'Raw data'!M16*100,"")))</f>
        <v>4.00035541568586</v>
      </c>
      <c r="AD16" s="44" t="n">
        <f aca="false">IF($A16="","",IF(AND(ISNUMBER('Raw data'!N16),ISNUMBER('Raw data'!L16),ISNUMBER('Raw data'!P16),ISNUMBER('Raw data'!S16)),ROUND(('Raw data'!N16*'Raw data'!P16+(1-'Raw data'!N16)*'Raw data'!S16-'Raw data'!L16)*100,1),""))</f>
        <v>0</v>
      </c>
    </row>
    <row r="17" customFormat="false" ht="15" hidden="false" customHeight="false" outlineLevel="0" collapsed="false">
      <c r="A17" s="37" t="str">
        <f aca="false">IF(TRIM('Raw data'!A17)="","",TRIM('Raw data'!A17))</f>
        <v>Czech Republic</v>
      </c>
      <c r="B17" s="37" t="str">
        <f aca="false">IF($A17="","",IF('Raw data'!B17="",UPPER(LEFT($A17,3)),'Raw data'!B17))</f>
        <v>CZ</v>
      </c>
      <c r="C17" s="37" t="str">
        <f aca="false">IF($A17="","",'Raw data'!C17)</f>
        <v>Commercial</v>
      </c>
      <c r="D17" s="38" t="n">
        <f aca="false">IF(OR($A17="",'Raw data'!J17=""),"",'Raw data'!J17)</f>
        <v>24</v>
      </c>
      <c r="E17" s="38" t="n">
        <f aca="false">IF(OR($A17="",'Raw data'!U17=""),"",'Raw data'!U17)</f>
        <v>0.9</v>
      </c>
      <c r="F17" s="42" t="n">
        <f aca="false">IF($A17="","",IF(ISNUMBER('Raw data'!K17),'Raw data'!K17*100,""))</f>
        <v>-0.337034520083179</v>
      </c>
      <c r="G17" s="42" t="n">
        <f aca="false">IF($A17="","",IF(ISNUMBER('Raw data'!L17),'Raw data'!L17*100,""))</f>
        <v>5.11502462007294</v>
      </c>
      <c r="H17" s="42" t="n">
        <f aca="false">IF($A17="","",IF(ISNUMBER('Raw data'!M17),'Raw data'!M17*100,""))</f>
        <v>4.00035541568586</v>
      </c>
      <c r="I17" s="42" t="n">
        <f aca="false">IF($A17="","",IF(ISNUMBER('Raw data'!V17),'Raw data'!V17*100,""))</f>
        <v>7</v>
      </c>
      <c r="J17" s="42" t="n">
        <f aca="false">IF($A17="","",IF(ISNUMBER('Raw data'!W17),'Raw data'!W17*100,""))</f>
        <v>6</v>
      </c>
      <c r="K17" s="42" t="n">
        <f aca="false">IF($A17="","",IF(ISNUMBER('Raw data'!X17),'Raw data'!X17*100,""))</f>
        <v>8</v>
      </c>
      <c r="L17" s="42" t="n">
        <f aca="false">IF($A17="","",IF('Raw data'!Z17&lt;&gt;"",'Raw data'!Z17*100,IF(AND(N('Raw data'!J17)&gt;0,'Raw data'!U17&lt;&gt;""),'Raw data'!U17*(1+N('Raw data'!W17))/('Raw data'!J17*(1+N('Raw data'!L17)))*100,"")))</f>
        <v>3.78157167766189</v>
      </c>
      <c r="M17" s="42" t="n">
        <f aca="false">IF($A17="","",IF('Raw data'!Y17&lt;&gt;"",'Raw data'!Y17*100,IF(AND(N('Raw data'!J17)&gt;0,'Raw data'!U17&lt;&gt;""),'Raw data'!U17/'Raw data'!J17*100,"")))</f>
        <v>3.75</v>
      </c>
      <c r="N17" s="43" t="n">
        <f aca="false">IF($A17="","",IF(ISNUMBER('Raw data'!AA17),'Raw data'!AA17,""))</f>
        <v>3</v>
      </c>
      <c r="O17" s="43" t="n">
        <f aca="false">IF($A17="","",IF(ISNUMBER('Raw data'!AB17),'Raw data'!AB17,""))</f>
        <v>3</v>
      </c>
      <c r="P17" s="43" t="n">
        <f aca="false">IF($A17="","",IF(ISNUMBER('Raw data'!AC17),'Raw data'!AC17,""))</f>
        <v>3</v>
      </c>
      <c r="Q17" s="43" t="n">
        <f aca="false">IF($A17="","",IF(ISNUMBER('Raw data'!AD17),'Raw data'!AD17,""))</f>
        <v>3</v>
      </c>
      <c r="R17" s="43" t="n">
        <f aca="false">IF($A17="","",IF(ISNUMBER('Raw data'!N17),'Raw data'!N17*100,""))</f>
        <v>31.8157287683266</v>
      </c>
      <c r="S17" s="42" t="n">
        <f aca="false">IF($A17="","",IF(ISNUMBER('Raw data'!O17),'Raw data'!O17*100,""))</f>
        <v>-0.0172368597403549</v>
      </c>
      <c r="T17" s="42" t="n">
        <f aca="false">IF($A17="","",IF(ISNUMBER('Raw data'!P17),'Raw data'!P17*100,""))</f>
        <v>3.57060445232513</v>
      </c>
      <c r="U17" s="42" t="n">
        <f aca="false">IF($A17="","",IF(ISNUMBER('Raw data'!Q17),'Raw data'!Q17*100,""))</f>
        <v>5.41595511445643</v>
      </c>
      <c r="V17" s="42" t="n">
        <f aca="false">IF($A17="","",IF(ISNUMBER('Raw data'!R17),'Raw data'!R17*100,""))</f>
        <v>-0.48417679935393</v>
      </c>
      <c r="W17" s="42" t="n">
        <f aca="false">IF($A17="","",IF(ISNUMBER('Raw data'!S17),'Raw data'!S17*100,""))</f>
        <v>5.83567253892274</v>
      </c>
      <c r="X17" s="42" t="n">
        <f aca="false">IF($A17="","",IF(ISNUMBER('Raw data'!T17),'Raw data'!T17*100,""))</f>
        <v>3.32746428625212</v>
      </c>
      <c r="Y17" s="37" t="str">
        <f aca="false">IF($A17="","",IF('Raw data'!D17="","",'Raw data'!D17))</f>
        <v>Sanitary</v>
      </c>
      <c r="Z17" s="38" t="n">
        <f aca="false">IF($A17="","",IF(ISNUMBER('Raw data'!F17),'Raw data'!F17,""))</f>
        <v>7763.99</v>
      </c>
      <c r="AA17" s="38" t="n">
        <f aca="false">IF($A17="","",IF(ISNUMBER('Raw data'!G17),'Raw data'!G17,""))</f>
        <v>67</v>
      </c>
      <c r="AB17" s="42" t="n">
        <f aca="false">IF($A17="","",IF(ISNUMBER('Raw data'!H17),'Raw data'!H17*100,IF(ISNUMBER('Raw data'!K17),'Raw data'!K17*100,"")))</f>
        <v>-0.337034520083179</v>
      </c>
      <c r="AC17" s="42" t="n">
        <f aca="false">IF($A17="","",IF(ISNUMBER('Raw data'!I17),'Raw data'!I17*100,IF(ISNUMBER('Raw data'!M17),'Raw data'!M17*100,"")))</f>
        <v>4.00035541568586</v>
      </c>
      <c r="AD17" s="44" t="n">
        <f aca="false">IF($A17="","",IF(AND(ISNUMBER('Raw data'!N17),ISNUMBER('Raw data'!L17),ISNUMBER('Raw data'!P17),ISNUMBER('Raw data'!S17)),ROUND(('Raw data'!N17*'Raw data'!P17+(1-'Raw data'!N17)*'Raw data'!S17-'Raw data'!L17)*100,1),""))</f>
        <v>0</v>
      </c>
    </row>
    <row r="18" customFormat="false" ht="15" hidden="false" customHeight="false" outlineLevel="0" collapsed="false">
      <c r="A18" s="37" t="str">
        <f aca="false">IF(TRIM('Raw data'!A18)="","",TRIM('Raw data'!A18))</f>
        <v>Hungary</v>
      </c>
      <c r="B18" s="37" t="str">
        <f aca="false">IF($A18="","",IF('Raw data'!B18="",UPPER(LEFT($A18,3)),'Raw data'!B18))</f>
        <v>HU</v>
      </c>
      <c r="C18" s="37" t="str">
        <f aca="false">IF($A18="","",'Raw data'!C18)</f>
        <v>Residential</v>
      </c>
      <c r="D18" s="38" t="n">
        <f aca="false">IF(OR($A18="",'Raw data'!J18=""),"",'Raw data'!J18)</f>
        <v>13</v>
      </c>
      <c r="E18" s="38" t="n">
        <f aca="false">IF(OR($A18="",'Raw data'!U18=""),"",'Raw data'!U18)</f>
        <v>0.6</v>
      </c>
      <c r="F18" s="42" t="n">
        <f aca="false">IF($A18="","",IF(ISNUMBER('Raw data'!K18),'Raw data'!K18*100,""))</f>
        <v>-0.33333537733401</v>
      </c>
      <c r="G18" s="42" t="n">
        <f aca="false">IF($A18="","",IF(ISNUMBER('Raw data'!L18),'Raw data'!L18*100,""))</f>
        <v>8.69175672855187</v>
      </c>
      <c r="H18" s="42" t="n">
        <f aca="false">IF($A18="","",IF(ISNUMBER('Raw data'!M18),'Raw data'!M18*100,""))</f>
        <v>0.646351483566021</v>
      </c>
      <c r="I18" s="42" t="n">
        <f aca="false">IF($A18="","",IF(ISNUMBER('Raw data'!V18),'Raw data'!V18*100,""))</f>
        <v>5</v>
      </c>
      <c r="J18" s="42" t="n">
        <f aca="false">IF($A18="","",IF(ISNUMBER('Raw data'!W18),'Raw data'!W18*100,""))</f>
        <v>3</v>
      </c>
      <c r="K18" s="42" t="n">
        <f aca="false">IF($A18="","",IF(ISNUMBER('Raw data'!X18),'Raw data'!X18*100,""))</f>
        <v>6</v>
      </c>
      <c r="L18" s="42" t="n">
        <f aca="false">IF($A18="","",IF('Raw data'!Z18&lt;&gt;"",'Raw data'!Z18*100,IF(AND(N('Raw data'!J18)&gt;0,'Raw data'!U18&lt;&gt;""),'Raw data'!U18*(1+N('Raw data'!W18))/('Raw data'!J18*(1+N('Raw data'!L18)))*100,"")))</f>
        <v>4.37369520645293</v>
      </c>
      <c r="M18" s="42" t="n">
        <f aca="false">IF($A18="","",IF('Raw data'!Y18&lt;&gt;"",'Raw data'!Y18*100,IF(AND(N('Raw data'!J18)&gt;0,'Raw data'!U18&lt;&gt;""),'Raw data'!U18/'Raw data'!J18*100,"")))</f>
        <v>4.61538461538462</v>
      </c>
      <c r="N18" s="43" t="n">
        <f aca="false">IF($A18="","",IF(ISNUMBER('Raw data'!AA18),'Raw data'!AA18,""))</f>
        <v>2</v>
      </c>
      <c r="O18" s="43" t="n">
        <f aca="false">IF($A18="","",IF(ISNUMBER('Raw data'!AB18),'Raw data'!AB18,""))</f>
        <v>3</v>
      </c>
      <c r="P18" s="43" t="n">
        <f aca="false">IF($A18="","",IF(ISNUMBER('Raw data'!AC18),'Raw data'!AC18,""))</f>
        <v>2</v>
      </c>
      <c r="Q18" s="43" t="n">
        <f aca="false">IF($A18="","",IF(ISNUMBER('Raw data'!AD18),'Raw data'!AD18,""))</f>
        <v>3</v>
      </c>
      <c r="R18" s="43" t="n">
        <f aca="false">IF($A18="","",IF(ISNUMBER('Raw data'!N18),'Raw data'!N18*100,""))</f>
        <v>53.0159489714364</v>
      </c>
      <c r="S18" s="42" t="n">
        <f aca="false">IF($A18="","",IF(ISNUMBER('Raw data'!O18),'Raw data'!O18*100,""))</f>
        <v>2.6370963125081</v>
      </c>
      <c r="T18" s="42" t="n">
        <f aca="false">IF($A18="","",IF(ISNUMBER('Raw data'!P18),'Raw data'!P18*100,""))</f>
        <v>-1.69188815486249</v>
      </c>
      <c r="U18" s="42" t="n">
        <f aca="false">IF($A18="","",IF(ISNUMBER('Raw data'!Q18),'Raw data'!Q18*100,""))</f>
        <v>5.28241378587315</v>
      </c>
      <c r="V18" s="42" t="n">
        <f aca="false">IF($A18="","",IF(ISNUMBER('Raw data'!R18),'Raw data'!R18*100,""))</f>
        <v>-3.14966623547504</v>
      </c>
      <c r="W18" s="42" t="n">
        <f aca="false">IF($A18="","",IF(ISNUMBER('Raw data'!S18),'Raw data'!S18*100,""))</f>
        <v>20.408472831681</v>
      </c>
      <c r="X18" s="42" t="n">
        <f aca="false">IF($A18="","",IF(ISNUMBER('Raw data'!T18),'Raw data'!T18*100,""))</f>
        <v>-4.54546149649131</v>
      </c>
      <c r="Y18" s="37" t="str">
        <f aca="false">IF($A18="","",IF('Raw data'!D18="","",'Raw data'!D18))</f>
        <v>Heating</v>
      </c>
      <c r="Z18" s="38" t="n">
        <f aca="false">IF($A18="","",IF(ISNUMBER('Raw data'!F18),'Raw data'!F18,""))</f>
        <v>1964.39</v>
      </c>
      <c r="AA18" s="38" t="n">
        <f aca="false">IF($A18="","",IF(ISNUMBER('Raw data'!G18),'Raw data'!G18,""))</f>
        <v>34</v>
      </c>
      <c r="AB18" s="42" t="n">
        <f aca="false">IF($A18="","",IF(ISNUMBER('Raw data'!H18),'Raw data'!H18*100,IF(ISNUMBER('Raw data'!K18),'Raw data'!K18*100,"")))</f>
        <v>-0.33333537733401</v>
      </c>
      <c r="AC18" s="42" t="n">
        <f aca="false">IF($A18="","",IF(ISNUMBER('Raw data'!I18),'Raw data'!I18*100,IF(ISNUMBER('Raw data'!M18),'Raw data'!M18*100,"")))</f>
        <v>0.646351483566021</v>
      </c>
      <c r="AD18" s="44" t="n">
        <f aca="false">IF($A18="","",IF(AND(ISNUMBER('Raw data'!N18),ISNUMBER('Raw data'!L18),ISNUMBER('Raw data'!P18),ISNUMBER('Raw data'!S18)),ROUND(('Raw data'!N18*'Raw data'!P18+(1-'Raw data'!N18)*'Raw data'!S18-'Raw data'!L18)*100,1),""))</f>
        <v>0</v>
      </c>
    </row>
    <row r="19" customFormat="false" ht="15" hidden="false" customHeight="false" outlineLevel="0" collapsed="false">
      <c r="A19" s="37" t="str">
        <f aca="false">IF(TRIM('Raw data'!A19)="","",TRIM('Raw data'!A19))</f>
        <v>Hungary</v>
      </c>
      <c r="B19" s="37" t="str">
        <f aca="false">IF($A19="","",IF('Raw data'!B19="",UPPER(LEFT($A19,3)),'Raw data'!B19))</f>
        <v>HU</v>
      </c>
      <c r="C19" s="37" t="str">
        <f aca="false">IF($A19="","",'Raw data'!C19)</f>
        <v>Residential</v>
      </c>
      <c r="D19" s="38" t="n">
        <f aca="false">IF(OR($A19="",'Raw data'!J19=""),"",'Raw data'!J19)</f>
        <v>3</v>
      </c>
      <c r="E19" s="38" t="n">
        <f aca="false">IF(OR($A19="",'Raw data'!U19=""),"",'Raw data'!U19)</f>
        <v>0.1</v>
      </c>
      <c r="F19" s="42" t="n">
        <f aca="false">IF($A19="","",IF(ISNUMBER('Raw data'!K19),'Raw data'!K19*100,""))</f>
        <v>-0.33333537733401</v>
      </c>
      <c r="G19" s="42" t="n">
        <f aca="false">IF($A19="","",IF(ISNUMBER('Raw data'!L19),'Raw data'!L19*100,""))</f>
        <v>8.69175672855187</v>
      </c>
      <c r="H19" s="42" t="n">
        <f aca="false">IF($A19="","",IF(ISNUMBER('Raw data'!M19),'Raw data'!M19*100,""))</f>
        <v>0.646351483566021</v>
      </c>
      <c r="I19" s="42" t="n">
        <f aca="false">IF($A19="","",IF(ISNUMBER('Raw data'!V19),'Raw data'!V19*100,""))</f>
        <v>6.5</v>
      </c>
      <c r="J19" s="42" t="n">
        <f aca="false">IF($A19="","",IF(ISNUMBER('Raw data'!W19),'Raw data'!W19*100,""))</f>
        <v>4.5</v>
      </c>
      <c r="K19" s="42" t="n">
        <f aca="false">IF($A19="","",IF(ISNUMBER('Raw data'!X19),'Raw data'!X19*100,""))</f>
        <v>7.5</v>
      </c>
      <c r="L19" s="42" t="n">
        <f aca="false">IF($A19="","",IF('Raw data'!Z19&lt;&gt;"",'Raw data'!Z19*100,IF(AND(N('Raw data'!J19)&gt;0,'Raw data'!U19&lt;&gt;""),'Raw data'!U19*(1+N('Raw data'!W19))/('Raw data'!J19*(1+N('Raw data'!L19)))*100,"")))</f>
        <v>3.20478151993868</v>
      </c>
      <c r="M19" s="42" t="n">
        <f aca="false">IF($A19="","",IF('Raw data'!Y19&lt;&gt;"",'Raw data'!Y19*100,IF(AND(N('Raw data'!J19)&gt;0,'Raw data'!U19&lt;&gt;""),'Raw data'!U19/'Raw data'!J19*100,"")))</f>
        <v>3.33333333333333</v>
      </c>
      <c r="N19" s="43" t="n">
        <f aca="false">IF($A19="","",IF(ISNUMBER('Raw data'!AA19),'Raw data'!AA19,""))</f>
        <v>2</v>
      </c>
      <c r="O19" s="43" t="n">
        <f aca="false">IF($A19="","",IF(ISNUMBER('Raw data'!AB19),'Raw data'!AB19,""))</f>
        <v>3</v>
      </c>
      <c r="P19" s="43" t="n">
        <f aca="false">IF($A19="","",IF(ISNUMBER('Raw data'!AC19),'Raw data'!AC19,""))</f>
        <v>2</v>
      </c>
      <c r="Q19" s="43" t="n">
        <f aca="false">IF($A19="","",IF(ISNUMBER('Raw data'!AD19),'Raw data'!AD19,""))</f>
        <v>3</v>
      </c>
      <c r="R19" s="43" t="n">
        <f aca="false">IF($A19="","",IF(ISNUMBER('Raw data'!N19),'Raw data'!N19*100,""))</f>
        <v>53.0159489714364</v>
      </c>
      <c r="S19" s="42" t="n">
        <f aca="false">IF($A19="","",IF(ISNUMBER('Raw data'!O19),'Raw data'!O19*100,""))</f>
        <v>2.6370963125081</v>
      </c>
      <c r="T19" s="42" t="n">
        <f aca="false">IF($A19="","",IF(ISNUMBER('Raw data'!P19),'Raw data'!P19*100,""))</f>
        <v>-1.69188815486249</v>
      </c>
      <c r="U19" s="42" t="n">
        <f aca="false">IF($A19="","",IF(ISNUMBER('Raw data'!Q19),'Raw data'!Q19*100,""))</f>
        <v>5.28241378587315</v>
      </c>
      <c r="V19" s="42" t="n">
        <f aca="false">IF($A19="","",IF(ISNUMBER('Raw data'!R19),'Raw data'!R19*100,""))</f>
        <v>-3.14966623547504</v>
      </c>
      <c r="W19" s="42" t="n">
        <f aca="false">IF($A19="","",IF(ISNUMBER('Raw data'!S19),'Raw data'!S19*100,""))</f>
        <v>20.408472831681</v>
      </c>
      <c r="X19" s="42" t="n">
        <f aca="false">IF($A19="","",IF(ISNUMBER('Raw data'!T19),'Raw data'!T19*100,""))</f>
        <v>-4.54546149649131</v>
      </c>
      <c r="Y19" s="37" t="str">
        <f aca="false">IF($A19="","",IF('Raw data'!D19="","",'Raw data'!D19))</f>
        <v>Cooling</v>
      </c>
      <c r="Z19" s="38" t="n">
        <f aca="false">IF($A19="","",IF(ISNUMBER('Raw data'!F19),'Raw data'!F19,""))</f>
        <v>1964.39</v>
      </c>
      <c r="AA19" s="38" t="n">
        <f aca="false">IF($A19="","",IF(ISNUMBER('Raw data'!G19),'Raw data'!G19,""))</f>
        <v>12</v>
      </c>
      <c r="AB19" s="42" t="n">
        <f aca="false">IF($A19="","",IF(ISNUMBER('Raw data'!H19),'Raw data'!H19*100,IF(ISNUMBER('Raw data'!K19),'Raw data'!K19*100,"")))</f>
        <v>-0.33333537733401</v>
      </c>
      <c r="AC19" s="42" t="n">
        <f aca="false">IF($A19="","",IF(ISNUMBER('Raw data'!I19),'Raw data'!I19*100,IF(ISNUMBER('Raw data'!M19),'Raw data'!M19*100,"")))</f>
        <v>0.646351483566021</v>
      </c>
      <c r="AD19" s="44" t="n">
        <f aca="false">IF($A19="","",IF(AND(ISNUMBER('Raw data'!N19),ISNUMBER('Raw data'!L19),ISNUMBER('Raw data'!P19),ISNUMBER('Raw data'!S19)),ROUND(('Raw data'!N19*'Raw data'!P19+(1-'Raw data'!N19)*'Raw data'!S19-'Raw data'!L19)*100,1),""))</f>
        <v>0</v>
      </c>
    </row>
    <row r="20" customFormat="false" ht="15" hidden="false" customHeight="false" outlineLevel="0" collapsed="false">
      <c r="A20" s="37" t="str">
        <f aca="false">IF(TRIM('Raw data'!A20)="","",TRIM('Raw data'!A20))</f>
        <v>Hungary</v>
      </c>
      <c r="B20" s="37" t="str">
        <f aca="false">IF($A20="","",IF('Raw data'!B20="",UPPER(LEFT($A20,3)),'Raw data'!B20))</f>
        <v>HU</v>
      </c>
      <c r="C20" s="37" t="str">
        <f aca="false">IF($A20="","",'Raw data'!C20)</f>
        <v>Residential</v>
      </c>
      <c r="D20" s="38" t="n">
        <f aca="false">IF(OR($A20="",'Raw data'!J20=""),"",'Raw data'!J20)</f>
        <v>6</v>
      </c>
      <c r="E20" s="38" t="n">
        <f aca="false">IF(OR($A20="",'Raw data'!U20=""),"",'Raw data'!U20)</f>
        <v>0.2</v>
      </c>
      <c r="F20" s="42" t="n">
        <f aca="false">IF($A20="","",IF(ISNUMBER('Raw data'!K20),'Raw data'!K20*100,""))</f>
        <v>-0.33333537733401</v>
      </c>
      <c r="G20" s="42" t="n">
        <f aca="false">IF($A20="","",IF(ISNUMBER('Raw data'!L20),'Raw data'!L20*100,""))</f>
        <v>8.69175672855187</v>
      </c>
      <c r="H20" s="42" t="n">
        <f aca="false">IF($A20="","",IF(ISNUMBER('Raw data'!M20),'Raw data'!M20*100,""))</f>
        <v>0.646351483566021</v>
      </c>
      <c r="I20" s="42" t="n">
        <f aca="false">IF($A20="","",IF(ISNUMBER('Raw data'!V20),'Raw data'!V20*100,""))</f>
        <v>5.5</v>
      </c>
      <c r="J20" s="42" t="n">
        <f aca="false">IF($A20="","",IF(ISNUMBER('Raw data'!W20),'Raw data'!W20*100,""))</f>
        <v>3.5</v>
      </c>
      <c r="K20" s="42" t="n">
        <f aca="false">IF($A20="","",IF(ISNUMBER('Raw data'!X20),'Raw data'!X20*100,""))</f>
        <v>6.5</v>
      </c>
      <c r="L20" s="42" t="n">
        <f aca="false">IF($A20="","",IF('Raw data'!Z20&lt;&gt;"",'Raw data'!Z20*100,IF(AND(N('Raw data'!J20)&gt;0,'Raw data'!U20&lt;&gt;""),'Raw data'!U20*(1+N('Raw data'!W20))/('Raw data'!J20*(1+N('Raw data'!L20)))*100,"")))</f>
        <v>3.17411375419764</v>
      </c>
      <c r="M20" s="42" t="n">
        <f aca="false">IF($A20="","",IF('Raw data'!Y20&lt;&gt;"",'Raw data'!Y20*100,IF(AND(N('Raw data'!J20)&gt;0,'Raw data'!U20&lt;&gt;""),'Raw data'!U20/'Raw data'!J20*100,"")))</f>
        <v>3.33333333333333</v>
      </c>
      <c r="N20" s="43" t="n">
        <f aca="false">IF($A20="","",IF(ISNUMBER('Raw data'!AA20),'Raw data'!AA20,""))</f>
        <v>2</v>
      </c>
      <c r="O20" s="43" t="n">
        <f aca="false">IF($A20="","",IF(ISNUMBER('Raw data'!AB20),'Raw data'!AB20,""))</f>
        <v>3</v>
      </c>
      <c r="P20" s="43" t="n">
        <f aca="false">IF($A20="","",IF(ISNUMBER('Raw data'!AC20),'Raw data'!AC20,""))</f>
        <v>2</v>
      </c>
      <c r="Q20" s="43" t="n">
        <f aca="false">IF($A20="","",IF(ISNUMBER('Raw data'!AD20),'Raw data'!AD20,""))</f>
        <v>3</v>
      </c>
      <c r="R20" s="43" t="n">
        <f aca="false">IF($A20="","",IF(ISNUMBER('Raw data'!N20),'Raw data'!N20*100,""))</f>
        <v>53.0159489714364</v>
      </c>
      <c r="S20" s="42" t="n">
        <f aca="false">IF($A20="","",IF(ISNUMBER('Raw data'!O20),'Raw data'!O20*100,""))</f>
        <v>2.6370963125081</v>
      </c>
      <c r="T20" s="42" t="n">
        <f aca="false">IF($A20="","",IF(ISNUMBER('Raw data'!P20),'Raw data'!P20*100,""))</f>
        <v>-1.69188815486249</v>
      </c>
      <c r="U20" s="42" t="n">
        <f aca="false">IF($A20="","",IF(ISNUMBER('Raw data'!Q20),'Raw data'!Q20*100,""))</f>
        <v>5.28241378587315</v>
      </c>
      <c r="V20" s="42" t="n">
        <f aca="false">IF($A20="","",IF(ISNUMBER('Raw data'!R20),'Raw data'!R20*100,""))</f>
        <v>-3.14966623547504</v>
      </c>
      <c r="W20" s="42" t="n">
        <f aca="false">IF($A20="","",IF(ISNUMBER('Raw data'!S20),'Raw data'!S20*100,""))</f>
        <v>20.408472831681</v>
      </c>
      <c r="X20" s="42" t="n">
        <f aca="false">IF($A20="","",IF(ISNUMBER('Raw data'!T20),'Raw data'!T20*100,""))</f>
        <v>-4.54546149649131</v>
      </c>
      <c r="Y20" s="37" t="str">
        <f aca="false">IF($A20="","",IF('Raw data'!D20="","",'Raw data'!D20))</f>
        <v>Sanitary</v>
      </c>
      <c r="Z20" s="38" t="n">
        <f aca="false">IF($A20="","",IF(ISNUMBER('Raw data'!F20),'Raw data'!F20,""))</f>
        <v>1964.39</v>
      </c>
      <c r="AA20" s="38" t="n">
        <f aca="false">IF($A20="","",IF(ISNUMBER('Raw data'!G20),'Raw data'!G20,""))</f>
        <v>19</v>
      </c>
      <c r="AB20" s="42" t="n">
        <f aca="false">IF($A20="","",IF(ISNUMBER('Raw data'!H20),'Raw data'!H20*100,IF(ISNUMBER('Raw data'!K20),'Raw data'!K20*100,"")))</f>
        <v>-0.33333537733401</v>
      </c>
      <c r="AC20" s="42" t="n">
        <f aca="false">IF($A20="","",IF(ISNUMBER('Raw data'!I20),'Raw data'!I20*100,IF(ISNUMBER('Raw data'!M20),'Raw data'!M20*100,"")))</f>
        <v>0.646351483566021</v>
      </c>
      <c r="AD20" s="44" t="n">
        <f aca="false">IF($A20="","",IF(AND(ISNUMBER('Raw data'!N20),ISNUMBER('Raw data'!L20),ISNUMBER('Raw data'!P20),ISNUMBER('Raw data'!S20)),ROUND(('Raw data'!N20*'Raw data'!P20+(1-'Raw data'!N20)*'Raw data'!S20-'Raw data'!L20)*100,1),""))</f>
        <v>0</v>
      </c>
    </row>
    <row r="21" customFormat="false" ht="15" hidden="false" customHeight="false" outlineLevel="0" collapsed="false">
      <c r="A21" s="37" t="str">
        <f aca="false">IF(TRIM('Raw data'!A21)="","",TRIM('Raw data'!A21))</f>
        <v>Hungary</v>
      </c>
      <c r="B21" s="37" t="str">
        <f aca="false">IF($A21="","",IF('Raw data'!B21="",UPPER(LEFT($A21,3)),'Raw data'!B21))</f>
        <v>HU</v>
      </c>
      <c r="C21" s="37" t="str">
        <f aca="false">IF($A21="","",'Raw data'!C21)</f>
        <v>Commercial</v>
      </c>
      <c r="D21" s="38" t="n">
        <f aca="false">IF(OR($A21="",'Raw data'!J21=""),"",'Raw data'!J21)</f>
        <v>24</v>
      </c>
      <c r="E21" s="38" t="n">
        <f aca="false">IF(OR($A21="",'Raw data'!U21=""),"",'Raw data'!U21)</f>
        <v>0.9</v>
      </c>
      <c r="F21" s="42" t="n">
        <f aca="false">IF($A21="","",IF(ISNUMBER('Raw data'!K21),'Raw data'!K21*100,""))</f>
        <v>0.844826606355431</v>
      </c>
      <c r="G21" s="42" t="n">
        <f aca="false">IF($A21="","",IF(ISNUMBER('Raw data'!L21),'Raw data'!L21*100,""))</f>
        <v>11.6684490030625</v>
      </c>
      <c r="H21" s="42" t="n">
        <f aca="false">IF($A21="","",IF(ISNUMBER('Raw data'!M21),'Raw data'!M21*100,""))</f>
        <v>2.68761815236398</v>
      </c>
      <c r="I21" s="42" t="n">
        <f aca="false">IF($A21="","",IF(ISNUMBER('Raw data'!V21),'Raw data'!V21*100,""))</f>
        <v>5.5</v>
      </c>
      <c r="J21" s="42" t="n">
        <f aca="false">IF($A21="","",IF(ISNUMBER('Raw data'!W21),'Raw data'!W21*100,""))</f>
        <v>3.5</v>
      </c>
      <c r="K21" s="42" t="n">
        <f aca="false">IF($A21="","",IF(ISNUMBER('Raw data'!X21),'Raw data'!X21*100,""))</f>
        <v>6.5</v>
      </c>
      <c r="L21" s="42" t="n">
        <f aca="false">IF($A21="","",IF('Raw data'!Z21&lt;&gt;"",'Raw data'!Z21*100,IF(AND(N('Raw data'!J21)&gt;0,'Raw data'!U21&lt;&gt;""),'Raw data'!U21*(1+N('Raw data'!W21))/('Raw data'!J21*(1+N('Raw data'!L21)))*100,"")))</f>
        <v>3.47569079238627</v>
      </c>
      <c r="M21" s="42" t="n">
        <f aca="false">IF($A21="","",IF('Raw data'!Y21&lt;&gt;"",'Raw data'!Y21*100,IF(AND(N('Raw data'!J21)&gt;0,'Raw data'!U21&lt;&gt;""),'Raw data'!U21/'Raw data'!J21*100,"")))</f>
        <v>3.75</v>
      </c>
      <c r="N21" s="43" t="n">
        <f aca="false">IF($A21="","",IF(ISNUMBER('Raw data'!AA21),'Raw data'!AA21,""))</f>
        <v>2</v>
      </c>
      <c r="O21" s="43" t="n">
        <f aca="false">IF($A21="","",IF(ISNUMBER('Raw data'!AB21),'Raw data'!AB21,""))</f>
        <v>3</v>
      </c>
      <c r="P21" s="43" t="n">
        <f aca="false">IF($A21="","",IF(ISNUMBER('Raw data'!AC21),'Raw data'!AC21,""))</f>
        <v>2</v>
      </c>
      <c r="Q21" s="43" t="n">
        <f aca="false">IF($A21="","",IF(ISNUMBER('Raw data'!AD21),'Raw data'!AD21,""))</f>
        <v>3</v>
      </c>
      <c r="R21" s="43" t="n">
        <f aca="false">IF($A21="","",IF(ISNUMBER('Raw data'!N21),'Raw data'!N21*100,""))</f>
        <v>49.522411904446</v>
      </c>
      <c r="S21" s="42" t="n">
        <f aca="false">IF($A21="","",IF(ISNUMBER('Raw data'!O21),'Raw data'!O21*100,""))</f>
        <v>4.31067043011753</v>
      </c>
      <c r="T21" s="42" t="n">
        <f aca="false">IF($A21="","",IF(ISNUMBER('Raw data'!P21),'Raw data'!P21*100,""))</f>
        <v>13.7299819259384</v>
      </c>
      <c r="U21" s="42" t="n">
        <f aca="false">IF($A21="","",IF(ISNUMBER('Raw data'!Q21),'Raw data'!Q21*100,""))</f>
        <v>0.749737665613659</v>
      </c>
      <c r="V21" s="42" t="n">
        <f aca="false">IF($A21="","",IF(ISNUMBER('Raw data'!R21),'Raw data'!R21*100,""))</f>
        <v>-1.97775033065249</v>
      </c>
      <c r="W21" s="42" t="n">
        <f aca="false">IF($A21="","",IF(ISNUMBER('Raw data'!S21),'Raw data'!S21*100,""))</f>
        <v>9.64592600992789</v>
      </c>
      <c r="X21" s="42" t="n">
        <f aca="false">IF($A21="","",IF(ISNUMBER('Raw data'!T21),'Raw data'!T21*100,""))</f>
        <v>4.52003053264212</v>
      </c>
      <c r="Y21" s="37" t="str">
        <f aca="false">IF($A21="","",IF('Raw data'!D21="","",'Raw data'!D21))</f>
        <v>Heating</v>
      </c>
      <c r="Z21" s="38" t="n">
        <f aca="false">IF($A21="","",IF(ISNUMBER('Raw data'!F21),'Raw data'!F21,""))</f>
        <v>3843.27</v>
      </c>
      <c r="AA21" s="38" t="n">
        <f aca="false">IF($A21="","",IF(ISNUMBER('Raw data'!G21),'Raw data'!G21,""))</f>
        <v>62</v>
      </c>
      <c r="AB21" s="42" t="n">
        <f aca="false">IF($A21="","",IF(ISNUMBER('Raw data'!H21),'Raw data'!H21*100,IF(ISNUMBER('Raw data'!K21),'Raw data'!K21*100,"")))</f>
        <v>0.844826606355431</v>
      </c>
      <c r="AC21" s="42" t="n">
        <f aca="false">IF($A21="","",IF(ISNUMBER('Raw data'!I21),'Raw data'!I21*100,IF(ISNUMBER('Raw data'!M21),'Raw data'!M21*100,"")))</f>
        <v>2.68761815236398</v>
      </c>
      <c r="AD21" s="44" t="n">
        <f aca="false">IF($A21="","",IF(AND(ISNUMBER('Raw data'!N21),ISNUMBER('Raw data'!L21),ISNUMBER('Raw data'!P21),ISNUMBER('Raw data'!S21)),ROUND(('Raw data'!N21*'Raw data'!P21+(1-'Raw data'!N21)*'Raw data'!S21-'Raw data'!L21)*100,1),""))</f>
        <v>0</v>
      </c>
    </row>
    <row r="22" customFormat="false" ht="15" hidden="false" customHeight="false" outlineLevel="0" collapsed="false">
      <c r="A22" s="37" t="str">
        <f aca="false">IF(TRIM('Raw data'!A22)="","",TRIM('Raw data'!A22))</f>
        <v>Hungary</v>
      </c>
      <c r="B22" s="37" t="str">
        <f aca="false">IF($A22="","",IF('Raw data'!B22="",UPPER(LEFT($A22,3)),'Raw data'!B22))</f>
        <v>HU</v>
      </c>
      <c r="C22" s="37" t="str">
        <f aca="false">IF($A22="","",'Raw data'!C22)</f>
        <v>Commercial</v>
      </c>
      <c r="D22" s="38" t="n">
        <f aca="false">IF(OR($A22="",'Raw data'!J22=""),"",'Raw data'!J22)</f>
        <v>6</v>
      </c>
      <c r="E22" s="38" t="n">
        <f aca="false">IF(OR($A22="",'Raw data'!U22=""),"",'Raw data'!U22)</f>
        <v>0.1</v>
      </c>
      <c r="F22" s="42" t="n">
        <f aca="false">IF($A22="","",IF(ISNUMBER('Raw data'!K22),'Raw data'!K22*100,""))</f>
        <v>0.844826606355431</v>
      </c>
      <c r="G22" s="42" t="n">
        <f aca="false">IF($A22="","",IF(ISNUMBER('Raw data'!L22),'Raw data'!L22*100,""))</f>
        <v>11.6684490030625</v>
      </c>
      <c r="H22" s="42" t="n">
        <f aca="false">IF($A22="","",IF(ISNUMBER('Raw data'!M22),'Raw data'!M22*100,""))</f>
        <v>2.68761815236398</v>
      </c>
      <c r="I22" s="42" t="n">
        <f aca="false">IF($A22="","",IF(ISNUMBER('Raw data'!V22),'Raw data'!V22*100,""))</f>
        <v>7</v>
      </c>
      <c r="J22" s="42" t="n">
        <f aca="false">IF($A22="","",IF(ISNUMBER('Raw data'!W22),'Raw data'!W22*100,""))</f>
        <v>5</v>
      </c>
      <c r="K22" s="42" t="n">
        <f aca="false">IF($A22="","",IF(ISNUMBER('Raw data'!X22),'Raw data'!X22*100,""))</f>
        <v>8</v>
      </c>
      <c r="L22" s="42" t="n">
        <f aca="false">IF($A22="","",IF('Raw data'!Z22&lt;&gt;"",'Raw data'!Z22*100,IF(AND(N('Raw data'!J22)&gt;0,'Raw data'!U22&lt;&gt;""),'Raw data'!U22*(1+N('Raw data'!W22))/('Raw data'!J22*(1+N('Raw data'!L22)))*100,"")))</f>
        <v>1.5671391656492</v>
      </c>
      <c r="M22" s="42" t="n">
        <f aca="false">IF($A22="","",IF('Raw data'!Y22&lt;&gt;"",'Raw data'!Y22*100,IF(AND(N('Raw data'!J22)&gt;0,'Raw data'!U22&lt;&gt;""),'Raw data'!U22/'Raw data'!J22*100,"")))</f>
        <v>1.66666666666667</v>
      </c>
      <c r="N22" s="43" t="n">
        <f aca="false">IF($A22="","",IF(ISNUMBER('Raw data'!AA22),'Raw data'!AA22,""))</f>
        <v>2</v>
      </c>
      <c r="O22" s="43" t="n">
        <f aca="false">IF($A22="","",IF(ISNUMBER('Raw data'!AB22),'Raw data'!AB22,""))</f>
        <v>3</v>
      </c>
      <c r="P22" s="43" t="n">
        <f aca="false">IF($A22="","",IF(ISNUMBER('Raw data'!AC22),'Raw data'!AC22,""))</f>
        <v>2</v>
      </c>
      <c r="Q22" s="43" t="n">
        <f aca="false">IF($A22="","",IF(ISNUMBER('Raw data'!AD22),'Raw data'!AD22,""))</f>
        <v>3</v>
      </c>
      <c r="R22" s="43" t="n">
        <f aca="false">IF($A22="","",IF(ISNUMBER('Raw data'!N22),'Raw data'!N22*100,""))</f>
        <v>49.522411904446</v>
      </c>
      <c r="S22" s="42" t="n">
        <f aca="false">IF($A22="","",IF(ISNUMBER('Raw data'!O22),'Raw data'!O22*100,""))</f>
        <v>4.31067043011753</v>
      </c>
      <c r="T22" s="42" t="n">
        <f aca="false">IF($A22="","",IF(ISNUMBER('Raw data'!P22),'Raw data'!P22*100,""))</f>
        <v>13.7299819259384</v>
      </c>
      <c r="U22" s="42" t="n">
        <f aca="false">IF($A22="","",IF(ISNUMBER('Raw data'!Q22),'Raw data'!Q22*100,""))</f>
        <v>0.749737665613659</v>
      </c>
      <c r="V22" s="42" t="n">
        <f aca="false">IF($A22="","",IF(ISNUMBER('Raw data'!R22),'Raw data'!R22*100,""))</f>
        <v>-1.97775033065249</v>
      </c>
      <c r="W22" s="42" t="n">
        <f aca="false">IF($A22="","",IF(ISNUMBER('Raw data'!S22),'Raw data'!S22*100,""))</f>
        <v>9.64592600992789</v>
      </c>
      <c r="X22" s="42" t="n">
        <f aca="false">IF($A22="","",IF(ISNUMBER('Raw data'!T22),'Raw data'!T22*100,""))</f>
        <v>4.52003053264212</v>
      </c>
      <c r="Y22" s="37" t="str">
        <f aca="false">IF($A22="","",IF('Raw data'!D22="","",'Raw data'!D22))</f>
        <v>Cooling</v>
      </c>
      <c r="Z22" s="38" t="n">
        <f aca="false">IF($A22="","",IF(ISNUMBER('Raw data'!F22),'Raw data'!F22,""))</f>
        <v>3843.27</v>
      </c>
      <c r="AA22" s="38" t="n">
        <f aca="false">IF($A22="","",IF(ISNUMBER('Raw data'!G22),'Raw data'!G22,""))</f>
        <v>24</v>
      </c>
      <c r="AB22" s="42" t="n">
        <f aca="false">IF($A22="","",IF(ISNUMBER('Raw data'!H22),'Raw data'!H22*100,IF(ISNUMBER('Raw data'!K22),'Raw data'!K22*100,"")))</f>
        <v>0.844826606355431</v>
      </c>
      <c r="AC22" s="42" t="n">
        <f aca="false">IF($A22="","",IF(ISNUMBER('Raw data'!I22),'Raw data'!I22*100,IF(ISNUMBER('Raw data'!M22),'Raw data'!M22*100,"")))</f>
        <v>2.68761815236398</v>
      </c>
      <c r="AD22" s="44" t="n">
        <f aca="false">IF($A22="","",IF(AND(ISNUMBER('Raw data'!N22),ISNUMBER('Raw data'!L22),ISNUMBER('Raw data'!P22),ISNUMBER('Raw data'!S22)),ROUND(('Raw data'!N22*'Raw data'!P22+(1-'Raw data'!N22)*'Raw data'!S22-'Raw data'!L22)*100,1),""))</f>
        <v>0</v>
      </c>
    </row>
    <row r="23" customFormat="false" ht="15" hidden="false" customHeight="false" outlineLevel="0" collapsed="false">
      <c r="A23" s="37" t="str">
        <f aca="false">IF(TRIM('Raw data'!A23)="","",TRIM('Raw data'!A23))</f>
        <v>Hungary</v>
      </c>
      <c r="B23" s="37" t="str">
        <f aca="false">IF($A23="","",IF('Raw data'!B23="",UPPER(LEFT($A23,3)),'Raw data'!B23))</f>
        <v>HU</v>
      </c>
      <c r="C23" s="37" t="str">
        <f aca="false">IF($A23="","",'Raw data'!C23)</f>
        <v>Commercial</v>
      </c>
      <c r="D23" s="38" t="n">
        <f aca="false">IF(OR($A23="",'Raw data'!J23=""),"",'Raw data'!J23)</f>
        <v>12</v>
      </c>
      <c r="E23" s="38" t="n">
        <f aca="false">IF(OR($A23="",'Raw data'!U23=""),"",'Raw data'!U23)</f>
        <v>0.3</v>
      </c>
      <c r="F23" s="42" t="n">
        <f aca="false">IF($A23="","",IF(ISNUMBER('Raw data'!K23),'Raw data'!K23*100,""))</f>
        <v>0.844826606355431</v>
      </c>
      <c r="G23" s="42" t="n">
        <f aca="false">IF($A23="","",IF(ISNUMBER('Raw data'!L23),'Raw data'!L23*100,""))</f>
        <v>11.6684490030625</v>
      </c>
      <c r="H23" s="42" t="n">
        <f aca="false">IF($A23="","",IF(ISNUMBER('Raw data'!M23),'Raw data'!M23*100,""))</f>
        <v>2.68761815236398</v>
      </c>
      <c r="I23" s="42" t="n">
        <f aca="false">IF($A23="","",IF(ISNUMBER('Raw data'!V23),'Raw data'!V23*100,""))</f>
        <v>6</v>
      </c>
      <c r="J23" s="42" t="n">
        <f aca="false">IF($A23="","",IF(ISNUMBER('Raw data'!W23),'Raw data'!W23*100,""))</f>
        <v>4</v>
      </c>
      <c r="K23" s="42" t="n">
        <f aca="false">IF($A23="","",IF(ISNUMBER('Raw data'!X23),'Raw data'!X23*100,""))</f>
        <v>7</v>
      </c>
      <c r="L23" s="42" t="n">
        <f aca="false">IF($A23="","",IF('Raw data'!Z23&lt;&gt;"",'Raw data'!Z23*100,IF(AND(N('Raw data'!J23)&gt;0,'Raw data'!U23&lt;&gt;""),'Raw data'!U23*(1+N('Raw data'!W23))/('Raw data'!J23*(1+N('Raw data'!L23)))*100,"")))</f>
        <v>2.32832104610739</v>
      </c>
      <c r="M23" s="42" t="n">
        <f aca="false">IF($A23="","",IF('Raw data'!Y23&lt;&gt;"",'Raw data'!Y23*100,IF(AND(N('Raw data'!J23)&gt;0,'Raw data'!U23&lt;&gt;""),'Raw data'!U23/'Raw data'!J23*100,"")))</f>
        <v>2.5</v>
      </c>
      <c r="N23" s="43" t="n">
        <f aca="false">IF($A23="","",IF(ISNUMBER('Raw data'!AA23),'Raw data'!AA23,""))</f>
        <v>2</v>
      </c>
      <c r="O23" s="43" t="n">
        <f aca="false">IF($A23="","",IF(ISNUMBER('Raw data'!AB23),'Raw data'!AB23,""))</f>
        <v>3</v>
      </c>
      <c r="P23" s="43" t="n">
        <f aca="false">IF($A23="","",IF(ISNUMBER('Raw data'!AC23),'Raw data'!AC23,""))</f>
        <v>2</v>
      </c>
      <c r="Q23" s="43" t="n">
        <f aca="false">IF($A23="","",IF(ISNUMBER('Raw data'!AD23),'Raw data'!AD23,""))</f>
        <v>3</v>
      </c>
      <c r="R23" s="43" t="n">
        <f aca="false">IF($A23="","",IF(ISNUMBER('Raw data'!N23),'Raw data'!N23*100,""))</f>
        <v>49.522411904446</v>
      </c>
      <c r="S23" s="42" t="n">
        <f aca="false">IF($A23="","",IF(ISNUMBER('Raw data'!O23),'Raw data'!O23*100,""))</f>
        <v>4.31067043011753</v>
      </c>
      <c r="T23" s="42" t="n">
        <f aca="false">IF($A23="","",IF(ISNUMBER('Raw data'!P23),'Raw data'!P23*100,""))</f>
        <v>13.7299819259384</v>
      </c>
      <c r="U23" s="42" t="n">
        <f aca="false">IF($A23="","",IF(ISNUMBER('Raw data'!Q23),'Raw data'!Q23*100,""))</f>
        <v>0.749737665613659</v>
      </c>
      <c r="V23" s="42" t="n">
        <f aca="false">IF($A23="","",IF(ISNUMBER('Raw data'!R23),'Raw data'!R23*100,""))</f>
        <v>-1.97775033065249</v>
      </c>
      <c r="W23" s="42" t="n">
        <f aca="false">IF($A23="","",IF(ISNUMBER('Raw data'!S23),'Raw data'!S23*100,""))</f>
        <v>9.64592600992789</v>
      </c>
      <c r="X23" s="42" t="n">
        <f aca="false">IF($A23="","",IF(ISNUMBER('Raw data'!T23),'Raw data'!T23*100,""))</f>
        <v>4.52003053264212</v>
      </c>
      <c r="Y23" s="37" t="str">
        <f aca="false">IF($A23="","",IF('Raw data'!D23="","",'Raw data'!D23))</f>
        <v>Sanitary</v>
      </c>
      <c r="Z23" s="38" t="n">
        <f aca="false">IF($A23="","",IF(ISNUMBER('Raw data'!F23),'Raw data'!F23,""))</f>
        <v>3843.27</v>
      </c>
      <c r="AA23" s="38" t="n">
        <f aca="false">IF($A23="","",IF(ISNUMBER('Raw data'!G23),'Raw data'!G23,""))</f>
        <v>38</v>
      </c>
      <c r="AB23" s="42" t="n">
        <f aca="false">IF($A23="","",IF(ISNUMBER('Raw data'!H23),'Raw data'!H23*100,IF(ISNUMBER('Raw data'!K23),'Raw data'!K23*100,"")))</f>
        <v>0.844826606355431</v>
      </c>
      <c r="AC23" s="42" t="n">
        <f aca="false">IF($A23="","",IF(ISNUMBER('Raw data'!I23),'Raw data'!I23*100,IF(ISNUMBER('Raw data'!M23),'Raw data'!M23*100,"")))</f>
        <v>2.68761815236398</v>
      </c>
      <c r="AD23" s="44" t="n">
        <f aca="false">IF($A23="","",IF(AND(ISNUMBER('Raw data'!N23),ISNUMBER('Raw data'!L23),ISNUMBER('Raw data'!P23),ISNUMBER('Raw data'!S23)),ROUND(('Raw data'!N23*'Raw data'!P23+(1-'Raw data'!N23)*'Raw data'!S23-'Raw data'!L23)*100,1),""))</f>
        <v>0</v>
      </c>
    </row>
    <row r="24" customFormat="false" ht="15" hidden="false" customHeight="false" outlineLevel="0" collapsed="false">
      <c r="A24" s="37" t="str">
        <f aca="false">IF(TRIM('Raw data'!A24)="","",TRIM('Raw data'!A24))</f>
        <v>Netherlands</v>
      </c>
      <c r="B24" s="37" t="str">
        <f aca="false">IF($A24="","",IF('Raw data'!B24="",UPPER(LEFT($A24,3)),'Raw data'!B24))</f>
        <v>NL</v>
      </c>
      <c r="C24" s="37" t="str">
        <f aca="false">IF($A24="","",'Raw data'!C24)</f>
        <v>Residential</v>
      </c>
      <c r="D24" s="38" t="n">
        <f aca="false">IF(OR($A24="",'Raw data'!J24=""),"",'Raw data'!J24)</f>
        <v>177</v>
      </c>
      <c r="E24" s="38" t="n">
        <f aca="false">IF(OR($A24="",'Raw data'!U24=""),"",'Raw data'!U24)</f>
        <v>34</v>
      </c>
      <c r="F24" s="42" t="n">
        <f aca="false">IF($A24="","",IF(ISNUMBER('Raw data'!K24),'Raw data'!K24*100,""))</f>
        <v>1.63457022077107</v>
      </c>
      <c r="G24" s="42" t="n">
        <f aca="false">IF($A24="","",IF(ISNUMBER('Raw data'!L24),'Raw data'!L24*100,""))</f>
        <v>1.31534409044378</v>
      </c>
      <c r="H24" s="42" t="n">
        <f aca="false">IF($A24="","",IF(ISNUMBER('Raw data'!M24),'Raw data'!M24*100,""))</f>
        <v>2.89869339370692</v>
      </c>
      <c r="I24" s="42" t="n">
        <f aca="false">IF($A24="","",IF(ISNUMBER('Raw data'!V24),'Raw data'!V24*100,""))</f>
        <v>3.5</v>
      </c>
      <c r="J24" s="42" t="n">
        <f aca="false">IF($A24="","",IF(ISNUMBER('Raw data'!W24),'Raw data'!W24*100,""))</f>
        <v>2</v>
      </c>
      <c r="K24" s="42" t="n">
        <f aca="false">IF($A24="","",IF(ISNUMBER('Raw data'!X24),'Raw data'!X24*100,""))</f>
        <v>3</v>
      </c>
      <c r="L24" s="42" t="n">
        <f aca="false">IF($A24="","",IF('Raw data'!Z24&lt;&gt;"",'Raw data'!Z24*100,IF(AND(N('Raw data'!J24)&gt;0,'Raw data'!U24&lt;&gt;""),'Raw data'!U24*(1+N('Raw data'!W24))/('Raw data'!J24*(1+N('Raw data'!L24)))*100,"")))</f>
        <v>19.3388479453737</v>
      </c>
      <c r="M24" s="42" t="n">
        <f aca="false">IF($A24="","",IF('Raw data'!Y24&lt;&gt;"",'Raw data'!Y24*100,IF(AND(N('Raw data'!J24)&gt;0,'Raw data'!U24&lt;&gt;""),'Raw data'!U24/'Raw data'!J24*100,"")))</f>
        <v>19.2090395480226</v>
      </c>
      <c r="N24" s="43" t="n">
        <f aca="false">IF($A24="","",IF(ISNUMBER('Raw data'!AA24),'Raw data'!AA24,""))</f>
        <v>4</v>
      </c>
      <c r="O24" s="43" t="n">
        <f aca="false">IF($A24="","",IF(ISNUMBER('Raw data'!AB24),'Raw data'!AB24,""))</f>
        <v>3</v>
      </c>
      <c r="P24" s="43" t="n">
        <f aca="false">IF($A24="","",IF(ISNUMBER('Raw data'!AC24),'Raw data'!AC24,""))</f>
        <v>5</v>
      </c>
      <c r="Q24" s="43" t="n">
        <f aca="false">IF($A24="","",IF(ISNUMBER('Raw data'!AD24),'Raw data'!AD24,""))</f>
        <v>4</v>
      </c>
      <c r="R24" s="43" t="n">
        <f aca="false">IF($A24="","",IF(ISNUMBER('Raw data'!N24),'Raw data'!N24*100,""))</f>
        <v>61.3365049438262</v>
      </c>
      <c r="S24" s="42" t="n">
        <f aca="false">IF($A24="","",IF(ISNUMBER('Raw data'!O24),'Raw data'!O24*100,""))</f>
        <v>3.87654221228175</v>
      </c>
      <c r="T24" s="42" t="n">
        <f aca="false">IF($A24="","",IF(ISNUMBER('Raw data'!P24),'Raw data'!P24*100,""))</f>
        <v>0.339175244460854</v>
      </c>
      <c r="U24" s="42" t="n">
        <f aca="false">IF($A24="","",IF(ISNUMBER('Raw data'!Q24),'Raw data'!Q24*100,""))</f>
        <v>3.49653818762163</v>
      </c>
      <c r="V24" s="42" t="n">
        <f aca="false">IF($A24="","",IF(ISNUMBER('Raw data'!R24),'Raw data'!R24*100,""))</f>
        <v>-1.40534901957474</v>
      </c>
      <c r="W24" s="42" t="n">
        <f aca="false">IF($A24="","",IF(ISNUMBER('Raw data'!S24),'Raw data'!S24*100,""))</f>
        <v>2.86395693986801</v>
      </c>
      <c r="X24" s="42" t="n">
        <f aca="false">IF($A24="","",IF(ISNUMBER('Raw data'!T24),'Raw data'!T24*100,""))</f>
        <v>1.94522013587353</v>
      </c>
      <c r="Y24" s="37" t="str">
        <f aca="false">IF($A24="","",IF('Raw data'!D24="","",'Raw data'!D24))</f>
        <v>Heating</v>
      </c>
      <c r="Z24" s="38" t="n">
        <f aca="false">IF($A24="","",IF(ISNUMBER('Raw data'!F24),'Raw data'!F24,""))</f>
        <v>29129.26</v>
      </c>
      <c r="AA24" s="38" t="n">
        <f aca="false">IF($A24="","",IF(ISNUMBER('Raw data'!G24),'Raw data'!G24,""))</f>
        <v>268</v>
      </c>
      <c r="AB24" s="42" t="n">
        <f aca="false">IF($A24="","",IF(ISNUMBER('Raw data'!H24),'Raw data'!H24*100,IF(ISNUMBER('Raw data'!K24),'Raw data'!K24*100,"")))</f>
        <v>1.63457022077107</v>
      </c>
      <c r="AC24" s="42" t="n">
        <f aca="false">IF($A24="","",IF(ISNUMBER('Raw data'!I24),'Raw data'!I24*100,IF(ISNUMBER('Raw data'!M24),'Raw data'!M24*100,"")))</f>
        <v>2.89869339370692</v>
      </c>
      <c r="AD24" s="44" t="n">
        <f aca="false">IF($A24="","",IF(AND(ISNUMBER('Raw data'!N24),ISNUMBER('Raw data'!L24),ISNUMBER('Raw data'!P24),ISNUMBER('Raw data'!S24)),ROUND(('Raw data'!N24*'Raw data'!P24+(1-'Raw data'!N24)*'Raw data'!S24-'Raw data'!L24)*100,1),""))</f>
        <v>0</v>
      </c>
    </row>
    <row r="25" customFormat="false" ht="15" hidden="false" customHeight="false" outlineLevel="0" collapsed="false">
      <c r="A25" s="37" t="str">
        <f aca="false">IF(TRIM('Raw data'!A25)="","",TRIM('Raw data'!A25))</f>
        <v>Netherlands</v>
      </c>
      <c r="B25" s="37" t="str">
        <f aca="false">IF($A25="","",IF('Raw data'!B25="",UPPER(LEFT($A25,3)),'Raw data'!B25))</f>
        <v>NL</v>
      </c>
      <c r="C25" s="37" t="str">
        <f aca="false">IF($A25="","",'Raw data'!C25)</f>
        <v>Residential</v>
      </c>
      <c r="D25" s="38" t="n">
        <f aca="false">IF(OR($A25="",'Raw data'!J25=""),"",'Raw data'!J25)</f>
        <v>64</v>
      </c>
      <c r="E25" s="38" t="n">
        <f aca="false">IF(OR($A25="",'Raw data'!U25=""),"",'Raw data'!U25)</f>
        <v>6.1</v>
      </c>
      <c r="F25" s="42" t="n">
        <f aca="false">IF($A25="","",IF(ISNUMBER('Raw data'!K25),'Raw data'!K25*100,""))</f>
        <v>1.63457022077107</v>
      </c>
      <c r="G25" s="42" t="n">
        <f aca="false">IF($A25="","",IF(ISNUMBER('Raw data'!L25),'Raw data'!L25*100,""))</f>
        <v>1.31534409044378</v>
      </c>
      <c r="H25" s="42" t="n">
        <f aca="false">IF($A25="","",IF(ISNUMBER('Raw data'!M25),'Raw data'!M25*100,""))</f>
        <v>2.89869339370692</v>
      </c>
      <c r="I25" s="42" t="n">
        <f aca="false">IF($A25="","",IF(ISNUMBER('Raw data'!V25),'Raw data'!V25*100,""))</f>
        <v>5</v>
      </c>
      <c r="J25" s="42" t="n">
        <f aca="false">IF($A25="","",IF(ISNUMBER('Raw data'!W25),'Raw data'!W25*100,""))</f>
        <v>3.5</v>
      </c>
      <c r="K25" s="42" t="n">
        <f aca="false">IF($A25="","",IF(ISNUMBER('Raw data'!X25),'Raw data'!X25*100,""))</f>
        <v>4.5</v>
      </c>
      <c r="L25" s="42" t="n">
        <f aca="false">IF($A25="","",IF('Raw data'!Z25&lt;&gt;"",'Raw data'!Z25*100,IF(AND(N('Raw data'!J25)&gt;0,'Raw data'!U25&lt;&gt;""),'Raw data'!U25*(1+N('Raw data'!W25))/('Raw data'!J25*(1+N('Raw data'!L25)))*100,"")))</f>
        <v>9.73677169885905</v>
      </c>
      <c r="M25" s="42" t="n">
        <f aca="false">IF($A25="","",IF('Raw data'!Y25&lt;&gt;"",'Raw data'!Y25*100,IF(AND(N('Raw data'!J25)&gt;0,'Raw data'!U25&lt;&gt;""),'Raw data'!U25/'Raw data'!J25*100,"")))</f>
        <v>9.53125</v>
      </c>
      <c r="N25" s="43" t="n">
        <f aca="false">IF($A25="","",IF(ISNUMBER('Raw data'!AA25),'Raw data'!AA25,""))</f>
        <v>4</v>
      </c>
      <c r="O25" s="43" t="n">
        <f aca="false">IF($A25="","",IF(ISNUMBER('Raw data'!AB25),'Raw data'!AB25,""))</f>
        <v>3</v>
      </c>
      <c r="P25" s="43" t="n">
        <f aca="false">IF($A25="","",IF(ISNUMBER('Raw data'!AC25),'Raw data'!AC25,""))</f>
        <v>5</v>
      </c>
      <c r="Q25" s="43" t="n">
        <f aca="false">IF($A25="","",IF(ISNUMBER('Raw data'!AD25),'Raw data'!AD25,""))</f>
        <v>4</v>
      </c>
      <c r="R25" s="43" t="n">
        <f aca="false">IF($A25="","",IF(ISNUMBER('Raw data'!N25),'Raw data'!N25*100,""))</f>
        <v>61.3365049438262</v>
      </c>
      <c r="S25" s="42" t="n">
        <f aca="false">IF($A25="","",IF(ISNUMBER('Raw data'!O25),'Raw data'!O25*100,""))</f>
        <v>3.87654221228175</v>
      </c>
      <c r="T25" s="42" t="n">
        <f aca="false">IF($A25="","",IF(ISNUMBER('Raw data'!P25),'Raw data'!P25*100,""))</f>
        <v>0.339175244460854</v>
      </c>
      <c r="U25" s="42" t="n">
        <f aca="false">IF($A25="","",IF(ISNUMBER('Raw data'!Q25),'Raw data'!Q25*100,""))</f>
        <v>3.49653818762163</v>
      </c>
      <c r="V25" s="42" t="n">
        <f aca="false">IF($A25="","",IF(ISNUMBER('Raw data'!R25),'Raw data'!R25*100,""))</f>
        <v>-1.40534901957474</v>
      </c>
      <c r="W25" s="42" t="n">
        <f aca="false">IF($A25="","",IF(ISNUMBER('Raw data'!S25),'Raw data'!S25*100,""))</f>
        <v>2.86395693986801</v>
      </c>
      <c r="X25" s="42" t="n">
        <f aca="false">IF($A25="","",IF(ISNUMBER('Raw data'!T25),'Raw data'!T25*100,""))</f>
        <v>1.94522013587353</v>
      </c>
      <c r="Y25" s="37" t="str">
        <f aca="false">IF($A25="","",IF('Raw data'!D25="","",'Raw data'!D25))</f>
        <v>Cooling</v>
      </c>
      <c r="Z25" s="38" t="n">
        <f aca="false">IF($A25="","",IF(ISNUMBER('Raw data'!F25),'Raw data'!F25,""))</f>
        <v>29129.26</v>
      </c>
      <c r="AA25" s="38" t="n">
        <f aca="false">IF($A25="","",IF(ISNUMBER('Raw data'!G25),'Raw data'!G25,""))</f>
        <v>152</v>
      </c>
      <c r="AB25" s="42" t="n">
        <f aca="false">IF($A25="","",IF(ISNUMBER('Raw data'!H25),'Raw data'!H25*100,IF(ISNUMBER('Raw data'!K25),'Raw data'!K25*100,"")))</f>
        <v>1.63457022077107</v>
      </c>
      <c r="AC25" s="42" t="n">
        <f aca="false">IF($A25="","",IF(ISNUMBER('Raw data'!I25),'Raw data'!I25*100,IF(ISNUMBER('Raw data'!M25),'Raw data'!M25*100,"")))</f>
        <v>2.89869339370692</v>
      </c>
      <c r="AD25" s="44" t="n">
        <f aca="false">IF($A25="","",IF(AND(ISNUMBER('Raw data'!N25),ISNUMBER('Raw data'!L25),ISNUMBER('Raw data'!P25),ISNUMBER('Raw data'!S25)),ROUND(('Raw data'!N25*'Raw data'!P25+(1-'Raw data'!N25)*'Raw data'!S25-'Raw data'!L25)*100,1),""))</f>
        <v>0</v>
      </c>
    </row>
    <row r="26" customFormat="false" ht="15" hidden="false" customHeight="false" outlineLevel="0" collapsed="false">
      <c r="A26" s="37" t="str">
        <f aca="false">IF(TRIM('Raw data'!A26)="","",TRIM('Raw data'!A26))</f>
        <v>Netherlands</v>
      </c>
      <c r="B26" s="37" t="str">
        <f aca="false">IF($A26="","",IF('Raw data'!B26="",UPPER(LEFT($A26,3)),'Raw data'!B26))</f>
        <v>NL</v>
      </c>
      <c r="C26" s="37" t="str">
        <f aca="false">IF($A26="","",'Raw data'!C26)</f>
        <v>Residential</v>
      </c>
      <c r="D26" s="38" t="n">
        <f aca="false">IF(OR($A26="",'Raw data'!J26=""),"",'Raw data'!J26)</f>
        <v>81</v>
      </c>
      <c r="E26" s="38" t="n">
        <f aca="false">IF(OR($A26="",'Raw data'!U26=""),"",'Raw data'!U26)</f>
        <v>11.7</v>
      </c>
      <c r="F26" s="42" t="n">
        <f aca="false">IF($A26="","",IF(ISNUMBER('Raw data'!K26),'Raw data'!K26*100,""))</f>
        <v>1.63457022077107</v>
      </c>
      <c r="G26" s="42" t="n">
        <f aca="false">IF($A26="","",IF(ISNUMBER('Raw data'!L26),'Raw data'!L26*100,""))</f>
        <v>1.31534409044378</v>
      </c>
      <c r="H26" s="42" t="n">
        <f aca="false">IF($A26="","",IF(ISNUMBER('Raw data'!M26),'Raw data'!M26*100,""))</f>
        <v>2.89869339370692</v>
      </c>
      <c r="I26" s="42" t="n">
        <f aca="false">IF($A26="","",IF(ISNUMBER('Raw data'!V26),'Raw data'!V26*100,""))</f>
        <v>4</v>
      </c>
      <c r="J26" s="42" t="n">
        <f aca="false">IF($A26="","",IF(ISNUMBER('Raw data'!W26),'Raw data'!W26*100,""))</f>
        <v>2.5</v>
      </c>
      <c r="K26" s="42" t="n">
        <f aca="false">IF($A26="","",IF(ISNUMBER('Raw data'!X26),'Raw data'!X26*100,""))</f>
        <v>3.5</v>
      </c>
      <c r="L26" s="42" t="n">
        <f aca="false">IF($A26="","",IF('Raw data'!Z26&lt;&gt;"",'Raw data'!Z26*100,IF(AND(N('Raw data'!J26)&gt;0,'Raw data'!U26&lt;&gt;""),'Raw data'!U26*(1+N('Raw data'!W26))/('Raw data'!J26*(1+N('Raw data'!L26)))*100,"")))</f>
        <v>14.6133398533777</v>
      </c>
      <c r="M26" s="42" t="n">
        <f aca="false">IF($A26="","",IF('Raw data'!Y26&lt;&gt;"",'Raw data'!Y26*100,IF(AND(N('Raw data'!J26)&gt;0,'Raw data'!U26&lt;&gt;""),'Raw data'!U26/'Raw data'!J26*100,"")))</f>
        <v>14.4444444444444</v>
      </c>
      <c r="N26" s="43" t="n">
        <f aca="false">IF($A26="","",IF(ISNUMBER('Raw data'!AA26),'Raw data'!AA26,""))</f>
        <v>4</v>
      </c>
      <c r="O26" s="43" t="n">
        <f aca="false">IF($A26="","",IF(ISNUMBER('Raw data'!AB26),'Raw data'!AB26,""))</f>
        <v>3</v>
      </c>
      <c r="P26" s="43" t="n">
        <f aca="false">IF($A26="","",IF(ISNUMBER('Raw data'!AC26),'Raw data'!AC26,""))</f>
        <v>5</v>
      </c>
      <c r="Q26" s="43" t="n">
        <f aca="false">IF($A26="","",IF(ISNUMBER('Raw data'!AD26),'Raw data'!AD26,""))</f>
        <v>4</v>
      </c>
      <c r="R26" s="43" t="n">
        <f aca="false">IF($A26="","",IF(ISNUMBER('Raw data'!N26),'Raw data'!N26*100,""))</f>
        <v>61.3365049438262</v>
      </c>
      <c r="S26" s="42" t="n">
        <f aca="false">IF($A26="","",IF(ISNUMBER('Raw data'!O26),'Raw data'!O26*100,""))</f>
        <v>3.87654221228175</v>
      </c>
      <c r="T26" s="42" t="n">
        <f aca="false">IF($A26="","",IF(ISNUMBER('Raw data'!P26),'Raw data'!P26*100,""))</f>
        <v>0.339175244460854</v>
      </c>
      <c r="U26" s="42" t="n">
        <f aca="false">IF($A26="","",IF(ISNUMBER('Raw data'!Q26),'Raw data'!Q26*100,""))</f>
        <v>3.49653818762163</v>
      </c>
      <c r="V26" s="42" t="n">
        <f aca="false">IF($A26="","",IF(ISNUMBER('Raw data'!R26),'Raw data'!R26*100,""))</f>
        <v>-1.40534901957474</v>
      </c>
      <c r="W26" s="42" t="n">
        <f aca="false">IF($A26="","",IF(ISNUMBER('Raw data'!S26),'Raw data'!S26*100,""))</f>
        <v>2.86395693986801</v>
      </c>
      <c r="X26" s="42" t="n">
        <f aca="false">IF($A26="","",IF(ISNUMBER('Raw data'!T26),'Raw data'!T26*100,""))</f>
        <v>1.94522013587353</v>
      </c>
      <c r="Y26" s="37" t="str">
        <f aca="false">IF($A26="","",IF('Raw data'!D26="","",'Raw data'!D26))</f>
        <v>Sanitary</v>
      </c>
      <c r="Z26" s="38" t="n">
        <f aca="false">IF($A26="","",IF(ISNUMBER('Raw data'!F26),'Raw data'!F26,""))</f>
        <v>29129.26</v>
      </c>
      <c r="AA26" s="38" t="n">
        <f aca="false">IF($A26="","",IF(ISNUMBER('Raw data'!G26),'Raw data'!G26,""))</f>
        <v>150</v>
      </c>
      <c r="AB26" s="42" t="n">
        <f aca="false">IF($A26="","",IF(ISNUMBER('Raw data'!H26),'Raw data'!H26*100,IF(ISNUMBER('Raw data'!K26),'Raw data'!K26*100,"")))</f>
        <v>1.63457022077107</v>
      </c>
      <c r="AC26" s="42" t="n">
        <f aca="false">IF($A26="","",IF(ISNUMBER('Raw data'!I26),'Raw data'!I26*100,IF(ISNUMBER('Raw data'!M26),'Raw data'!M26*100,"")))</f>
        <v>2.89869339370692</v>
      </c>
      <c r="AD26" s="44" t="n">
        <f aca="false">IF($A26="","",IF(AND(ISNUMBER('Raw data'!N26),ISNUMBER('Raw data'!L26),ISNUMBER('Raw data'!P26),ISNUMBER('Raw data'!S26)),ROUND(('Raw data'!N26*'Raw data'!P26+(1-'Raw data'!N26)*'Raw data'!S26-'Raw data'!L26)*100,1),""))</f>
        <v>0</v>
      </c>
    </row>
    <row r="27" customFormat="false" ht="15" hidden="false" customHeight="false" outlineLevel="0" collapsed="false">
      <c r="A27" s="37" t="str">
        <f aca="false">IF(TRIM('Raw data'!A27)="","",TRIM('Raw data'!A27))</f>
        <v>Netherlands</v>
      </c>
      <c r="B27" s="37" t="str">
        <f aca="false">IF($A27="","",IF('Raw data'!B27="",UPPER(LEFT($A27,3)),'Raw data'!B27))</f>
        <v>NL</v>
      </c>
      <c r="C27" s="37" t="str">
        <f aca="false">IF($A27="","",'Raw data'!C27)</f>
        <v>Commercial</v>
      </c>
      <c r="D27" s="38" t="n">
        <f aca="false">IF(OR($A27="",'Raw data'!J27=""),"",'Raw data'!J27)</f>
        <v>149</v>
      </c>
      <c r="E27" s="38" t="n">
        <f aca="false">IF(OR($A27="",'Raw data'!U27=""),"",'Raw data'!U27)</f>
        <v>24.1</v>
      </c>
      <c r="F27" s="42" t="n">
        <f aca="false">IF($A27="","",IF(ISNUMBER('Raw data'!K27),'Raw data'!K27*100,""))</f>
        <v>2.41636167909041</v>
      </c>
      <c r="G27" s="42" t="n">
        <f aca="false">IF($A27="","",IF(ISNUMBER('Raw data'!L27),'Raw data'!L27*100,""))</f>
        <v>2.67648673793428</v>
      </c>
      <c r="H27" s="42" t="n">
        <f aca="false">IF($A27="","",IF(ISNUMBER('Raw data'!M27),'Raw data'!M27*100,""))</f>
        <v>2.89147714067022</v>
      </c>
      <c r="I27" s="42" t="n">
        <f aca="false">IF($A27="","",IF(ISNUMBER('Raw data'!V27),'Raw data'!V27*100,""))</f>
        <v>4</v>
      </c>
      <c r="J27" s="42" t="n">
        <f aca="false">IF($A27="","",IF(ISNUMBER('Raw data'!W27),'Raw data'!W27*100,""))</f>
        <v>2.5</v>
      </c>
      <c r="K27" s="42" t="n">
        <f aca="false">IF($A27="","",IF(ISNUMBER('Raw data'!X27),'Raw data'!X27*100,""))</f>
        <v>3.5</v>
      </c>
      <c r="L27" s="42" t="n">
        <f aca="false">IF($A27="","",IF('Raw data'!Z27&lt;&gt;"",'Raw data'!Z27*100,IF(AND(N('Raw data'!J27)&gt;0,'Raw data'!U27&lt;&gt;""),'Raw data'!U27*(1+N('Raw data'!W27))/('Raw data'!J27*(1+N('Raw data'!L27)))*100,"")))</f>
        <v>16.1466949124561</v>
      </c>
      <c r="M27" s="42" t="n">
        <f aca="false">IF($A27="","",IF('Raw data'!Y27&lt;&gt;"",'Raw data'!Y27*100,IF(AND(N('Raw data'!J27)&gt;0,'Raw data'!U27&lt;&gt;""),'Raw data'!U27/'Raw data'!J27*100,"")))</f>
        <v>16.1744966442953</v>
      </c>
      <c r="N27" s="43" t="n">
        <f aca="false">IF($A27="","",IF(ISNUMBER('Raw data'!AA27),'Raw data'!AA27,""))</f>
        <v>4</v>
      </c>
      <c r="O27" s="43" t="n">
        <f aca="false">IF($A27="","",IF(ISNUMBER('Raw data'!AB27),'Raw data'!AB27,""))</f>
        <v>3</v>
      </c>
      <c r="P27" s="43" t="n">
        <f aca="false">IF($A27="","",IF(ISNUMBER('Raw data'!AC27),'Raw data'!AC27,""))</f>
        <v>5</v>
      </c>
      <c r="Q27" s="43" t="n">
        <f aca="false">IF($A27="","",IF(ISNUMBER('Raw data'!AD27),'Raw data'!AD27,""))</f>
        <v>4</v>
      </c>
      <c r="R27" s="43" t="n">
        <f aca="false">IF($A27="","",IF(ISNUMBER('Raw data'!N27),'Raw data'!N27*100,""))</f>
        <v>42.9948284542553</v>
      </c>
      <c r="S27" s="42" t="n">
        <f aca="false">IF($A27="","",IF(ISNUMBER('Raw data'!O27),'Raw data'!O27*100,""))</f>
        <v>0.692442654922432</v>
      </c>
      <c r="T27" s="42" t="n">
        <f aca="false">IF($A27="","",IF(ISNUMBER('Raw data'!P27),'Raw data'!P27*100,""))</f>
        <v>2.52759090146857</v>
      </c>
      <c r="U27" s="42" t="n">
        <f aca="false">IF($A27="","",IF(ISNUMBER('Raw data'!Q27),'Raw data'!Q27*100,""))</f>
        <v>3.79030127118749</v>
      </c>
      <c r="V27" s="42" t="n">
        <f aca="false">IF($A27="","",IF(ISNUMBER('Raw data'!R27),'Raw data'!R27*100,""))</f>
        <v>3.84261657086995</v>
      </c>
      <c r="W27" s="42" t="n">
        <f aca="false">IF($A27="","",IF(ISNUMBER('Raw data'!S27),'Raw data'!S27*100,""))</f>
        <v>2.78878796908235</v>
      </c>
      <c r="X27" s="42" t="n">
        <f aca="false">IF($A27="","",IF(ISNUMBER('Raw data'!T27),'Raw data'!T27*100,""))</f>
        <v>2.19397195404747</v>
      </c>
      <c r="Y27" s="37" t="str">
        <f aca="false">IF($A27="","",IF('Raw data'!D27="","",'Raw data'!D27))</f>
        <v>Heating</v>
      </c>
      <c r="Z27" s="38" t="n">
        <f aca="false">IF($A27="","",IF(ISNUMBER('Raw data'!F27),'Raw data'!F27,""))</f>
        <v>24549.72</v>
      </c>
      <c r="AA27" s="38" t="n">
        <f aca="false">IF($A27="","",IF(ISNUMBER('Raw data'!G27),'Raw data'!G27,""))</f>
        <v>226</v>
      </c>
      <c r="AB27" s="42" t="n">
        <f aca="false">IF($A27="","",IF(ISNUMBER('Raw data'!H27),'Raw data'!H27*100,IF(ISNUMBER('Raw data'!K27),'Raw data'!K27*100,"")))</f>
        <v>2.41636167909041</v>
      </c>
      <c r="AC27" s="42" t="n">
        <f aca="false">IF($A27="","",IF(ISNUMBER('Raw data'!I27),'Raw data'!I27*100,IF(ISNUMBER('Raw data'!M27),'Raw data'!M27*100,"")))</f>
        <v>2.89147714067022</v>
      </c>
      <c r="AD27" s="44" t="n">
        <f aca="false">IF($A27="","",IF(AND(ISNUMBER('Raw data'!N27),ISNUMBER('Raw data'!L27),ISNUMBER('Raw data'!P27),ISNUMBER('Raw data'!S27)),ROUND(('Raw data'!N27*'Raw data'!P27+(1-'Raw data'!N27)*'Raw data'!S27-'Raw data'!L27)*100,1),""))</f>
        <v>-0</v>
      </c>
    </row>
    <row r="28" customFormat="false" ht="15" hidden="false" customHeight="false" outlineLevel="0" collapsed="false">
      <c r="A28" s="37" t="str">
        <f aca="false">IF(TRIM('Raw data'!A28)="","",TRIM('Raw data'!A28))</f>
        <v>Netherlands</v>
      </c>
      <c r="B28" s="37" t="str">
        <f aca="false">IF($A28="","",IF('Raw data'!B28="",UPPER(LEFT($A28,3)),'Raw data'!B28))</f>
        <v>NL</v>
      </c>
      <c r="C28" s="37" t="str">
        <f aca="false">IF($A28="","",'Raw data'!C28)</f>
        <v>Commercial</v>
      </c>
      <c r="D28" s="38" t="n">
        <f aca="false">IF(OR($A28="",'Raw data'!J28=""),"",'Raw data'!J28)</f>
        <v>54</v>
      </c>
      <c r="E28" s="38" t="n">
        <f aca="false">IF(OR($A28="",'Raw data'!U28=""),"",'Raw data'!U28)</f>
        <v>4.4</v>
      </c>
      <c r="F28" s="42" t="n">
        <f aca="false">IF($A28="","",IF(ISNUMBER('Raw data'!K28),'Raw data'!K28*100,""))</f>
        <v>2.41636167909041</v>
      </c>
      <c r="G28" s="42" t="n">
        <f aca="false">IF($A28="","",IF(ISNUMBER('Raw data'!L28),'Raw data'!L28*100,""))</f>
        <v>2.67648673793428</v>
      </c>
      <c r="H28" s="42" t="n">
        <f aca="false">IF($A28="","",IF(ISNUMBER('Raw data'!M28),'Raw data'!M28*100,""))</f>
        <v>2.89147714067022</v>
      </c>
      <c r="I28" s="42" t="n">
        <f aca="false">IF($A28="","",IF(ISNUMBER('Raw data'!V28),'Raw data'!V28*100,""))</f>
        <v>5.5</v>
      </c>
      <c r="J28" s="42" t="n">
        <f aca="false">IF($A28="","",IF(ISNUMBER('Raw data'!W28),'Raw data'!W28*100,""))</f>
        <v>4</v>
      </c>
      <c r="K28" s="42" t="n">
        <f aca="false">IF($A28="","",IF(ISNUMBER('Raw data'!X28),'Raw data'!X28*100,""))</f>
        <v>5</v>
      </c>
      <c r="L28" s="42" t="n">
        <f aca="false">IF($A28="","",IF('Raw data'!Z28&lt;&gt;"",'Raw data'!Z28*100,IF(AND(N('Raw data'!J28)&gt;0,'Raw data'!U28&lt;&gt;""),'Raw data'!U28*(1+N('Raw data'!W28))/('Raw data'!J28*(1+N('Raw data'!L28)))*100,"")))</f>
        <v>8.25317883704263</v>
      </c>
      <c r="M28" s="42" t="n">
        <f aca="false">IF($A28="","",IF('Raw data'!Y28&lt;&gt;"",'Raw data'!Y28*100,IF(AND(N('Raw data'!J28)&gt;0,'Raw data'!U28&lt;&gt;""),'Raw data'!U28/'Raw data'!J28*100,"")))</f>
        <v>8.14814814814815</v>
      </c>
      <c r="N28" s="43" t="n">
        <f aca="false">IF($A28="","",IF(ISNUMBER('Raw data'!AA28),'Raw data'!AA28,""))</f>
        <v>4</v>
      </c>
      <c r="O28" s="43" t="n">
        <f aca="false">IF($A28="","",IF(ISNUMBER('Raw data'!AB28),'Raw data'!AB28,""))</f>
        <v>3</v>
      </c>
      <c r="P28" s="43" t="n">
        <f aca="false">IF($A28="","",IF(ISNUMBER('Raw data'!AC28),'Raw data'!AC28,""))</f>
        <v>5</v>
      </c>
      <c r="Q28" s="43" t="n">
        <f aca="false">IF($A28="","",IF(ISNUMBER('Raw data'!AD28),'Raw data'!AD28,""))</f>
        <v>4</v>
      </c>
      <c r="R28" s="43" t="n">
        <f aca="false">IF($A28="","",IF(ISNUMBER('Raw data'!N28),'Raw data'!N28*100,""))</f>
        <v>42.9948284542553</v>
      </c>
      <c r="S28" s="42" t="n">
        <f aca="false">IF($A28="","",IF(ISNUMBER('Raw data'!O28),'Raw data'!O28*100,""))</f>
        <v>0.692442654922432</v>
      </c>
      <c r="T28" s="42" t="n">
        <f aca="false">IF($A28="","",IF(ISNUMBER('Raw data'!P28),'Raw data'!P28*100,""))</f>
        <v>2.52759090146857</v>
      </c>
      <c r="U28" s="42" t="n">
        <f aca="false">IF($A28="","",IF(ISNUMBER('Raw data'!Q28),'Raw data'!Q28*100,""))</f>
        <v>3.79030127118749</v>
      </c>
      <c r="V28" s="42" t="n">
        <f aca="false">IF($A28="","",IF(ISNUMBER('Raw data'!R28),'Raw data'!R28*100,""))</f>
        <v>3.84261657086995</v>
      </c>
      <c r="W28" s="42" t="n">
        <f aca="false">IF($A28="","",IF(ISNUMBER('Raw data'!S28),'Raw data'!S28*100,""))</f>
        <v>2.78878796908235</v>
      </c>
      <c r="X28" s="42" t="n">
        <f aca="false">IF($A28="","",IF(ISNUMBER('Raw data'!T28),'Raw data'!T28*100,""))</f>
        <v>2.19397195404747</v>
      </c>
      <c r="Y28" s="37" t="str">
        <f aca="false">IF($A28="","",IF('Raw data'!D28="","",'Raw data'!D28))</f>
        <v>Cooling</v>
      </c>
      <c r="Z28" s="38" t="n">
        <f aca="false">IF($A28="","",IF(ISNUMBER('Raw data'!F28),'Raw data'!F28,""))</f>
        <v>24549.72</v>
      </c>
      <c r="AA28" s="38" t="n">
        <f aca="false">IF($A28="","",IF(ISNUMBER('Raw data'!G28),'Raw data'!G28,""))</f>
        <v>129</v>
      </c>
      <c r="AB28" s="42" t="n">
        <f aca="false">IF($A28="","",IF(ISNUMBER('Raw data'!H28),'Raw data'!H28*100,IF(ISNUMBER('Raw data'!K28),'Raw data'!K28*100,"")))</f>
        <v>2.41636167909041</v>
      </c>
      <c r="AC28" s="42" t="n">
        <f aca="false">IF($A28="","",IF(ISNUMBER('Raw data'!I28),'Raw data'!I28*100,IF(ISNUMBER('Raw data'!M28),'Raw data'!M28*100,"")))</f>
        <v>2.89147714067022</v>
      </c>
      <c r="AD28" s="44" t="n">
        <f aca="false">IF($A28="","",IF(AND(ISNUMBER('Raw data'!N28),ISNUMBER('Raw data'!L28),ISNUMBER('Raw data'!P28),ISNUMBER('Raw data'!S28)),ROUND(('Raw data'!N28*'Raw data'!P28+(1-'Raw data'!N28)*'Raw data'!S28-'Raw data'!L28)*100,1),""))</f>
        <v>-0</v>
      </c>
    </row>
    <row r="29" customFormat="false" ht="15" hidden="false" customHeight="false" outlineLevel="0" collapsed="false">
      <c r="A29" s="37" t="str">
        <f aca="false">IF(TRIM('Raw data'!A29)="","",TRIM('Raw data'!A29))</f>
        <v>Netherlands</v>
      </c>
      <c r="B29" s="37" t="str">
        <f aca="false">IF($A29="","",IF('Raw data'!B29="",UPPER(LEFT($A29,3)),'Raw data'!B29))</f>
        <v>NL</v>
      </c>
      <c r="C29" s="37" t="str">
        <f aca="false">IF($A29="","",'Raw data'!C29)</f>
        <v>Commercial</v>
      </c>
      <c r="D29" s="38" t="n">
        <f aca="false">IF(OR($A29="",'Raw data'!J29=""),"",'Raw data'!J29)</f>
        <v>68</v>
      </c>
      <c r="E29" s="38" t="n">
        <f aca="false">IF(OR($A29="",'Raw data'!U29=""),"",'Raw data'!U29)</f>
        <v>8.3</v>
      </c>
      <c r="F29" s="42" t="n">
        <f aca="false">IF($A29="","",IF(ISNUMBER('Raw data'!K29),'Raw data'!K29*100,""))</f>
        <v>2.41636167909041</v>
      </c>
      <c r="G29" s="42" t="n">
        <f aca="false">IF($A29="","",IF(ISNUMBER('Raw data'!L29),'Raw data'!L29*100,""))</f>
        <v>2.67648673793428</v>
      </c>
      <c r="H29" s="42" t="n">
        <f aca="false">IF($A29="","",IF(ISNUMBER('Raw data'!M29),'Raw data'!M29*100,""))</f>
        <v>2.89147714067022</v>
      </c>
      <c r="I29" s="42" t="n">
        <f aca="false">IF($A29="","",IF(ISNUMBER('Raw data'!V29),'Raw data'!V29*100,""))</f>
        <v>4.5</v>
      </c>
      <c r="J29" s="42" t="n">
        <f aca="false">IF($A29="","",IF(ISNUMBER('Raw data'!W29),'Raw data'!W29*100,""))</f>
        <v>3</v>
      </c>
      <c r="K29" s="42" t="n">
        <f aca="false">IF($A29="","",IF(ISNUMBER('Raw data'!X29),'Raw data'!X29*100,""))</f>
        <v>4</v>
      </c>
      <c r="L29" s="42" t="n">
        <f aca="false">IF($A29="","",IF('Raw data'!Z29&lt;&gt;"",'Raw data'!Z29*100,IF(AND(N('Raw data'!J29)&gt;0,'Raw data'!U29&lt;&gt;""),'Raw data'!U29*(1+N('Raw data'!W29))/('Raw data'!J29*(1+N('Raw data'!L29)))*100,"")))</f>
        <v>12.2443406693663</v>
      </c>
      <c r="M29" s="42" t="n">
        <f aca="false">IF($A29="","",IF('Raw data'!Y29&lt;&gt;"",'Raw data'!Y29*100,IF(AND(N('Raw data'!J29)&gt;0,'Raw data'!U29&lt;&gt;""),'Raw data'!U29/'Raw data'!J29*100,"")))</f>
        <v>12.2058823529412</v>
      </c>
      <c r="N29" s="43" t="n">
        <f aca="false">IF($A29="","",IF(ISNUMBER('Raw data'!AA29),'Raw data'!AA29,""))</f>
        <v>4</v>
      </c>
      <c r="O29" s="43" t="n">
        <f aca="false">IF($A29="","",IF(ISNUMBER('Raw data'!AB29),'Raw data'!AB29,""))</f>
        <v>3</v>
      </c>
      <c r="P29" s="43" t="n">
        <f aca="false">IF($A29="","",IF(ISNUMBER('Raw data'!AC29),'Raw data'!AC29,""))</f>
        <v>5</v>
      </c>
      <c r="Q29" s="43" t="n">
        <f aca="false">IF($A29="","",IF(ISNUMBER('Raw data'!AD29),'Raw data'!AD29,""))</f>
        <v>4</v>
      </c>
      <c r="R29" s="43" t="n">
        <f aca="false">IF($A29="","",IF(ISNUMBER('Raw data'!N29),'Raw data'!N29*100,""))</f>
        <v>42.9948284542553</v>
      </c>
      <c r="S29" s="42" t="n">
        <f aca="false">IF($A29="","",IF(ISNUMBER('Raw data'!O29),'Raw data'!O29*100,""))</f>
        <v>0.692442654922432</v>
      </c>
      <c r="T29" s="42" t="n">
        <f aca="false">IF($A29="","",IF(ISNUMBER('Raw data'!P29),'Raw data'!P29*100,""))</f>
        <v>2.52759090146857</v>
      </c>
      <c r="U29" s="42" t="n">
        <f aca="false">IF($A29="","",IF(ISNUMBER('Raw data'!Q29),'Raw data'!Q29*100,""))</f>
        <v>3.79030127118749</v>
      </c>
      <c r="V29" s="42" t="n">
        <f aca="false">IF($A29="","",IF(ISNUMBER('Raw data'!R29),'Raw data'!R29*100,""))</f>
        <v>3.84261657086995</v>
      </c>
      <c r="W29" s="42" t="n">
        <f aca="false">IF($A29="","",IF(ISNUMBER('Raw data'!S29),'Raw data'!S29*100,""))</f>
        <v>2.78878796908235</v>
      </c>
      <c r="X29" s="42" t="n">
        <f aca="false">IF($A29="","",IF(ISNUMBER('Raw data'!T29),'Raw data'!T29*100,""))</f>
        <v>2.19397195404747</v>
      </c>
      <c r="Y29" s="37" t="str">
        <f aca="false">IF($A29="","",IF('Raw data'!D29="","",'Raw data'!D29))</f>
        <v>Sanitary</v>
      </c>
      <c r="Z29" s="38" t="n">
        <f aca="false">IF($A29="","",IF(ISNUMBER('Raw data'!F29),'Raw data'!F29,""))</f>
        <v>24549.72</v>
      </c>
      <c r="AA29" s="38" t="n">
        <f aca="false">IF($A29="","",IF(ISNUMBER('Raw data'!G29),'Raw data'!G29,""))</f>
        <v>126</v>
      </c>
      <c r="AB29" s="42" t="n">
        <f aca="false">IF($A29="","",IF(ISNUMBER('Raw data'!H29),'Raw data'!H29*100,IF(ISNUMBER('Raw data'!K29),'Raw data'!K29*100,"")))</f>
        <v>2.41636167909041</v>
      </c>
      <c r="AC29" s="42" t="n">
        <f aca="false">IF($A29="","",IF(ISNUMBER('Raw data'!I29),'Raw data'!I29*100,IF(ISNUMBER('Raw data'!M29),'Raw data'!M29*100,"")))</f>
        <v>2.89147714067022</v>
      </c>
      <c r="AD29" s="44" t="n">
        <f aca="false">IF($A29="","",IF(AND(ISNUMBER('Raw data'!N29),ISNUMBER('Raw data'!L29),ISNUMBER('Raw data'!P29),ISNUMBER('Raw data'!S29)),ROUND(('Raw data'!N29*'Raw data'!P29+(1-'Raw data'!N29)*'Raw data'!S29-'Raw data'!L29)*100,1),""))</f>
        <v>-0</v>
      </c>
    </row>
    <row r="30" customFormat="false" ht="15" hidden="false" customHeight="false" outlineLevel="0" collapsed="false">
      <c r="A30" s="37" t="str">
        <f aca="false">IF(TRIM('Raw data'!A30)="","",TRIM('Raw data'!A30))</f>
        <v>Sweden</v>
      </c>
      <c r="B30" s="37" t="str">
        <f aca="false">IF($A30="","",IF('Raw data'!B30="",UPPER(LEFT($A30,3)),'Raw data'!B30))</f>
        <v>SE</v>
      </c>
      <c r="C30" s="37" t="str">
        <f aca="false">IF($A30="","",'Raw data'!C30)</f>
        <v>Residential</v>
      </c>
      <c r="D30" s="38" t="n">
        <f aca="false">IF(OR($A30="",'Raw data'!J30=""),"",'Raw data'!J30)</f>
        <v>61</v>
      </c>
      <c r="E30" s="38" t="n">
        <f aca="false">IF(OR($A30="",'Raw data'!U30=""),"",'Raw data'!U30)</f>
        <v>5.1</v>
      </c>
      <c r="F30" s="42" t="n">
        <f aca="false">IF($A30="","",IF(ISNUMBER('Raw data'!K30),'Raw data'!K30*100,""))</f>
        <v>-0.0390270398990311</v>
      </c>
      <c r="G30" s="42" t="n">
        <f aca="false">IF($A30="","",IF(ISNUMBER('Raw data'!L30),'Raw data'!L30*100,""))</f>
        <v>2.05347279014041</v>
      </c>
      <c r="H30" s="42" t="n">
        <f aca="false">IF($A30="","",IF(ISNUMBER('Raw data'!M30),'Raw data'!M30*100,""))</f>
        <v>2.57026876814164</v>
      </c>
      <c r="I30" s="42" t="n">
        <f aca="false">IF($A30="","",IF(ISNUMBER('Raw data'!V30),'Raw data'!V30*100,""))</f>
        <v>1</v>
      </c>
      <c r="J30" s="42" t="n">
        <f aca="false">IF($A30="","",IF(ISNUMBER('Raw data'!W30),'Raw data'!W30*100,""))</f>
        <v>0</v>
      </c>
      <c r="K30" s="42" t="n">
        <f aca="false">IF($A30="","",IF(ISNUMBER('Raw data'!X30),'Raw data'!X30*100,""))</f>
        <v>3.5</v>
      </c>
      <c r="L30" s="42" t="n">
        <f aca="false">IF($A30="","",IF('Raw data'!Z30&lt;&gt;"",'Raw data'!Z30*100,IF(AND(N('Raw data'!J30)&gt;0,'Raw data'!U30&lt;&gt;""),'Raw data'!U30*(1+N('Raw data'!W30))/('Raw data'!J30*(1+N('Raw data'!L30)))*100,"")))</f>
        <v>8.19242648890304</v>
      </c>
      <c r="M30" s="42" t="n">
        <f aca="false">IF($A30="","",IF('Raw data'!Y30&lt;&gt;"",'Raw data'!Y30*100,IF(AND(N('Raw data'!J30)&gt;0,'Raw data'!U30&lt;&gt;""),'Raw data'!U30/'Raw data'!J30*100,"")))</f>
        <v>8.36065573770492</v>
      </c>
      <c r="N30" s="43" t="n">
        <f aca="false">IF($A30="","",IF(ISNUMBER('Raw data'!AA30),'Raw data'!AA30,""))</f>
        <v>4</v>
      </c>
      <c r="O30" s="43" t="n">
        <f aca="false">IF($A30="","",IF(ISNUMBER('Raw data'!AB30),'Raw data'!AB30,""))</f>
        <v>3</v>
      </c>
      <c r="P30" s="43" t="n">
        <f aca="false">IF($A30="","",IF(ISNUMBER('Raw data'!AC30),'Raw data'!AC30,""))</f>
        <v>3</v>
      </c>
      <c r="Q30" s="43" t="n">
        <f aca="false">IF($A30="","",IF(ISNUMBER('Raw data'!AD30),'Raw data'!AD30,""))</f>
        <v>3</v>
      </c>
      <c r="R30" s="43" t="n">
        <f aca="false">IF($A30="","",IF(ISNUMBER('Raw data'!N30),'Raw data'!N30*100,""))</f>
        <v>60.6806888668895</v>
      </c>
      <c r="S30" s="42" t="n">
        <f aca="false">IF($A30="","",IF(ISNUMBER('Raw data'!O30),'Raw data'!O30*100,""))</f>
        <v>4.59838541730646</v>
      </c>
      <c r="T30" s="42" t="n">
        <f aca="false">IF($A30="","",IF(ISNUMBER('Raw data'!P30),'Raw data'!P30*100,""))</f>
        <v>-0.483916094939019</v>
      </c>
      <c r="U30" s="42" t="n">
        <f aca="false">IF($A30="","",IF(ISNUMBER('Raw data'!Q30),'Raw data'!Q30*100,""))</f>
        <v>2.66223472909226</v>
      </c>
      <c r="V30" s="42" t="n">
        <f aca="false">IF($A30="","",IF(ISNUMBER('Raw data'!R30),'Raw data'!R30*100,""))</f>
        <v>-5.33889216975546</v>
      </c>
      <c r="W30" s="42" t="n">
        <f aca="false">IF($A30="","",IF(ISNUMBER('Raw data'!S30),'Raw data'!S30*100,""))</f>
        <v>5.9693731717255</v>
      </c>
      <c r="X30" s="42" t="n">
        <f aca="false">IF($A30="","",IF(ISNUMBER('Raw data'!T30),'Raw data'!T30*100,""))</f>
        <v>2.43639450466462</v>
      </c>
      <c r="Y30" s="37" t="str">
        <f aca="false">IF($A30="","",IF('Raw data'!D30="","",'Raw data'!D30))</f>
        <v>Heating</v>
      </c>
      <c r="Z30" s="38" t="n">
        <f aca="false">IF($A30="","",IF(ISNUMBER('Raw data'!F30),'Raw data'!F30,""))</f>
        <v>8363.88</v>
      </c>
      <c r="AA30" s="38" t="n">
        <f aca="false">IF($A30="","",IF(ISNUMBER('Raw data'!G30),'Raw data'!G30,""))</f>
        <v>123</v>
      </c>
      <c r="AB30" s="42" t="n">
        <f aca="false">IF($A30="","",IF(ISNUMBER('Raw data'!H30),'Raw data'!H30*100,IF(ISNUMBER('Raw data'!K30),'Raw data'!K30*100,"")))</f>
        <v>-0.0390270398990311</v>
      </c>
      <c r="AC30" s="42" t="n">
        <f aca="false">IF($A30="","",IF(ISNUMBER('Raw data'!I30),'Raw data'!I30*100,IF(ISNUMBER('Raw data'!M30),'Raw data'!M30*100,"")))</f>
        <v>2.57026876814164</v>
      </c>
      <c r="AD30" s="44" t="n">
        <f aca="false">IF($A30="","",IF(AND(ISNUMBER('Raw data'!N30),ISNUMBER('Raw data'!L30),ISNUMBER('Raw data'!P30),ISNUMBER('Raw data'!S30)),ROUND(('Raw data'!N30*'Raw data'!P30+(1-'Raw data'!N30)*'Raw data'!S30-'Raw data'!L30)*100,1),""))</f>
        <v>0</v>
      </c>
    </row>
    <row r="31" customFormat="false" ht="15" hidden="false" customHeight="false" outlineLevel="0" collapsed="false">
      <c r="A31" s="37" t="str">
        <f aca="false">IF(TRIM('Raw data'!A31)="","",TRIM('Raw data'!A31))</f>
        <v>Sweden</v>
      </c>
      <c r="B31" s="37" t="str">
        <f aca="false">IF($A31="","",IF('Raw data'!B31="",UPPER(LEFT($A31,3)),'Raw data'!B31))</f>
        <v>SE</v>
      </c>
      <c r="C31" s="37" t="str">
        <f aca="false">IF($A31="","",'Raw data'!C31)</f>
        <v>Residential</v>
      </c>
      <c r="D31" s="38" t="n">
        <f aca="false">IF(OR($A31="",'Raw data'!J31=""),"",'Raw data'!J31)</f>
        <v>7</v>
      </c>
      <c r="E31" s="38" t="n">
        <f aca="false">IF(OR($A31="",'Raw data'!U31=""),"",'Raw data'!U31)</f>
        <v>0.3</v>
      </c>
      <c r="F31" s="42" t="n">
        <f aca="false">IF($A31="","",IF(ISNUMBER('Raw data'!K31),'Raw data'!K31*100,""))</f>
        <v>-0.0390270398990311</v>
      </c>
      <c r="G31" s="42" t="n">
        <f aca="false">IF($A31="","",IF(ISNUMBER('Raw data'!L31),'Raw data'!L31*100,""))</f>
        <v>2.05347279014041</v>
      </c>
      <c r="H31" s="42" t="n">
        <f aca="false">IF($A31="","",IF(ISNUMBER('Raw data'!M31),'Raw data'!M31*100,""))</f>
        <v>2.57026876814164</v>
      </c>
      <c r="I31" s="42" t="n">
        <f aca="false">IF($A31="","",IF(ISNUMBER('Raw data'!V31),'Raw data'!V31*100,""))</f>
        <v>2.5</v>
      </c>
      <c r="J31" s="42" t="n">
        <f aca="false">IF($A31="","",IF(ISNUMBER('Raw data'!W31),'Raw data'!W31*100,""))</f>
        <v>1.5</v>
      </c>
      <c r="K31" s="42" t="n">
        <f aca="false">IF($A31="","",IF(ISNUMBER('Raw data'!X31),'Raw data'!X31*100,""))</f>
        <v>5</v>
      </c>
      <c r="L31" s="42" t="n">
        <f aca="false">IF($A31="","",IF('Raw data'!Z31&lt;&gt;"",'Raw data'!Z31*100,IF(AND(N('Raw data'!J31)&gt;0,'Raw data'!U31&lt;&gt;""),'Raw data'!U31*(1+N('Raw data'!W31))/('Raw data'!J31*(1+N('Raw data'!L31)))*100,"")))</f>
        <v>4.2624713114322</v>
      </c>
      <c r="M31" s="42" t="n">
        <f aca="false">IF($A31="","",IF('Raw data'!Y31&lt;&gt;"",'Raw data'!Y31*100,IF(AND(N('Raw data'!J31)&gt;0,'Raw data'!U31&lt;&gt;""),'Raw data'!U31/'Raw data'!J31*100,"")))</f>
        <v>4.28571428571429</v>
      </c>
      <c r="N31" s="43" t="n">
        <f aca="false">IF($A31="","",IF(ISNUMBER('Raw data'!AA31),'Raw data'!AA31,""))</f>
        <v>4</v>
      </c>
      <c r="O31" s="43" t="n">
        <f aca="false">IF($A31="","",IF(ISNUMBER('Raw data'!AB31),'Raw data'!AB31,""))</f>
        <v>3</v>
      </c>
      <c r="P31" s="43" t="n">
        <f aca="false">IF($A31="","",IF(ISNUMBER('Raw data'!AC31),'Raw data'!AC31,""))</f>
        <v>3</v>
      </c>
      <c r="Q31" s="43" t="n">
        <f aca="false">IF($A31="","",IF(ISNUMBER('Raw data'!AD31),'Raw data'!AD31,""))</f>
        <v>3</v>
      </c>
      <c r="R31" s="43" t="n">
        <f aca="false">IF($A31="","",IF(ISNUMBER('Raw data'!N31),'Raw data'!N31*100,""))</f>
        <v>60.6806888668895</v>
      </c>
      <c r="S31" s="42" t="n">
        <f aca="false">IF($A31="","",IF(ISNUMBER('Raw data'!O31),'Raw data'!O31*100,""))</f>
        <v>4.59838541730646</v>
      </c>
      <c r="T31" s="42" t="n">
        <f aca="false">IF($A31="","",IF(ISNUMBER('Raw data'!P31),'Raw data'!P31*100,""))</f>
        <v>-0.483916094939019</v>
      </c>
      <c r="U31" s="42" t="n">
        <f aca="false">IF($A31="","",IF(ISNUMBER('Raw data'!Q31),'Raw data'!Q31*100,""))</f>
        <v>2.66223472909226</v>
      </c>
      <c r="V31" s="42" t="n">
        <f aca="false">IF($A31="","",IF(ISNUMBER('Raw data'!R31),'Raw data'!R31*100,""))</f>
        <v>-5.33889216975546</v>
      </c>
      <c r="W31" s="42" t="n">
        <f aca="false">IF($A31="","",IF(ISNUMBER('Raw data'!S31),'Raw data'!S31*100,""))</f>
        <v>5.9693731717255</v>
      </c>
      <c r="X31" s="42" t="n">
        <f aca="false">IF($A31="","",IF(ISNUMBER('Raw data'!T31),'Raw data'!T31*100,""))</f>
        <v>2.43639450466462</v>
      </c>
      <c r="Y31" s="37" t="str">
        <f aca="false">IF($A31="","",IF('Raw data'!D31="","",'Raw data'!D31))</f>
        <v>Cooling</v>
      </c>
      <c r="Z31" s="38" t="n">
        <f aca="false">IF($A31="","",IF(ISNUMBER('Raw data'!F31),'Raw data'!F31,""))</f>
        <v>8363.88</v>
      </c>
      <c r="AA31" s="38" t="n">
        <f aca="false">IF($A31="","",IF(ISNUMBER('Raw data'!G31),'Raw data'!G31,""))</f>
        <v>22</v>
      </c>
      <c r="AB31" s="42" t="n">
        <f aca="false">IF($A31="","",IF(ISNUMBER('Raw data'!H31),'Raw data'!H31*100,IF(ISNUMBER('Raw data'!K31),'Raw data'!K31*100,"")))</f>
        <v>-0.0390270398990311</v>
      </c>
      <c r="AC31" s="42" t="n">
        <f aca="false">IF($A31="","",IF(ISNUMBER('Raw data'!I31),'Raw data'!I31*100,IF(ISNUMBER('Raw data'!M31),'Raw data'!M31*100,"")))</f>
        <v>2.57026876814164</v>
      </c>
      <c r="AD31" s="44" t="n">
        <f aca="false">IF($A31="","",IF(AND(ISNUMBER('Raw data'!N31),ISNUMBER('Raw data'!L31),ISNUMBER('Raw data'!P31),ISNUMBER('Raw data'!S31)),ROUND(('Raw data'!N31*'Raw data'!P31+(1-'Raw data'!N31)*'Raw data'!S31-'Raw data'!L31)*100,1),""))</f>
        <v>0</v>
      </c>
    </row>
    <row r="32" customFormat="false" ht="15" hidden="false" customHeight="false" outlineLevel="0" collapsed="false">
      <c r="A32" s="37" t="str">
        <f aca="false">IF(TRIM('Raw data'!A32)="","",TRIM('Raw data'!A32))</f>
        <v>Sweden</v>
      </c>
      <c r="B32" s="37" t="str">
        <f aca="false">IF($A32="","",IF('Raw data'!B32="",UPPER(LEFT($A32,3)),'Raw data'!B32))</f>
        <v>SE</v>
      </c>
      <c r="C32" s="37" t="str">
        <f aca="false">IF($A32="","",'Raw data'!C32)</f>
        <v>Residential</v>
      </c>
      <c r="D32" s="38" t="n">
        <f aca="false">IF(OR($A32="",'Raw data'!J32=""),"",'Raw data'!J32)</f>
        <v>24</v>
      </c>
      <c r="E32" s="38" t="n">
        <f aca="false">IF(OR($A32="",'Raw data'!U32=""),"",'Raw data'!U32)</f>
        <v>1.5</v>
      </c>
      <c r="F32" s="42" t="n">
        <f aca="false">IF($A32="","",IF(ISNUMBER('Raw data'!K32),'Raw data'!K32*100,""))</f>
        <v>-0.0390270398990311</v>
      </c>
      <c r="G32" s="42" t="n">
        <f aca="false">IF($A32="","",IF(ISNUMBER('Raw data'!L32),'Raw data'!L32*100,""))</f>
        <v>2.05347279014041</v>
      </c>
      <c r="H32" s="42" t="n">
        <f aca="false">IF($A32="","",IF(ISNUMBER('Raw data'!M32),'Raw data'!M32*100,""))</f>
        <v>2.57026876814164</v>
      </c>
      <c r="I32" s="42" t="n">
        <f aca="false">IF($A32="","",IF(ISNUMBER('Raw data'!V32),'Raw data'!V32*100,""))</f>
        <v>1.5</v>
      </c>
      <c r="J32" s="42" t="n">
        <f aca="false">IF($A32="","",IF(ISNUMBER('Raw data'!W32),'Raw data'!W32*100,""))</f>
        <v>0.5</v>
      </c>
      <c r="K32" s="42" t="n">
        <f aca="false">IF($A32="","",IF(ISNUMBER('Raw data'!X32),'Raw data'!X32*100,""))</f>
        <v>4</v>
      </c>
      <c r="L32" s="42" t="n">
        <f aca="false">IF($A32="","",IF('Raw data'!Z32&lt;&gt;"",'Raw data'!Z32*100,IF(AND(N('Raw data'!J32)&gt;0,'Raw data'!U32&lt;&gt;""),'Raw data'!U32*(1+N('Raw data'!W32))/('Raw data'!J32*(1+N('Raw data'!L32)))*100,"")))</f>
        <v>6.15486159193874</v>
      </c>
      <c r="M32" s="42" t="n">
        <f aca="false">IF($A32="","",IF('Raw data'!Y32&lt;&gt;"",'Raw data'!Y32*100,IF(AND(N('Raw data'!J32)&gt;0,'Raw data'!U32&lt;&gt;""),'Raw data'!U32/'Raw data'!J32*100,"")))</f>
        <v>6.25</v>
      </c>
      <c r="N32" s="43" t="n">
        <f aca="false">IF($A32="","",IF(ISNUMBER('Raw data'!AA32),'Raw data'!AA32,""))</f>
        <v>4</v>
      </c>
      <c r="O32" s="43" t="n">
        <f aca="false">IF($A32="","",IF(ISNUMBER('Raw data'!AB32),'Raw data'!AB32,""))</f>
        <v>3</v>
      </c>
      <c r="P32" s="43" t="n">
        <f aca="false">IF($A32="","",IF(ISNUMBER('Raw data'!AC32),'Raw data'!AC32,""))</f>
        <v>3</v>
      </c>
      <c r="Q32" s="43" t="n">
        <f aca="false">IF($A32="","",IF(ISNUMBER('Raw data'!AD32),'Raw data'!AD32,""))</f>
        <v>3</v>
      </c>
      <c r="R32" s="43" t="n">
        <f aca="false">IF($A32="","",IF(ISNUMBER('Raw data'!N32),'Raw data'!N32*100,""))</f>
        <v>60.6806888668895</v>
      </c>
      <c r="S32" s="42" t="n">
        <f aca="false">IF($A32="","",IF(ISNUMBER('Raw data'!O32),'Raw data'!O32*100,""))</f>
        <v>4.59838541730646</v>
      </c>
      <c r="T32" s="42" t="n">
        <f aca="false">IF($A32="","",IF(ISNUMBER('Raw data'!P32),'Raw data'!P32*100,""))</f>
        <v>-0.483916094939019</v>
      </c>
      <c r="U32" s="42" t="n">
        <f aca="false">IF($A32="","",IF(ISNUMBER('Raw data'!Q32),'Raw data'!Q32*100,""))</f>
        <v>2.66223472909226</v>
      </c>
      <c r="V32" s="42" t="n">
        <f aca="false">IF($A32="","",IF(ISNUMBER('Raw data'!R32),'Raw data'!R32*100,""))</f>
        <v>-5.33889216975546</v>
      </c>
      <c r="W32" s="42" t="n">
        <f aca="false">IF($A32="","",IF(ISNUMBER('Raw data'!S32),'Raw data'!S32*100,""))</f>
        <v>5.9693731717255</v>
      </c>
      <c r="X32" s="42" t="n">
        <f aca="false">IF($A32="","",IF(ISNUMBER('Raw data'!T32),'Raw data'!T32*100,""))</f>
        <v>2.43639450466462</v>
      </c>
      <c r="Y32" s="37" t="str">
        <f aca="false">IF($A32="","",IF('Raw data'!D32="","",'Raw data'!D32))</f>
        <v>Sanitary</v>
      </c>
      <c r="Z32" s="38" t="n">
        <f aca="false">IF($A32="","",IF(ISNUMBER('Raw data'!F32),'Raw data'!F32,""))</f>
        <v>8363.88</v>
      </c>
      <c r="AA32" s="38" t="n">
        <f aca="false">IF($A32="","",IF(ISNUMBER('Raw data'!G32),'Raw data'!G32,""))</f>
        <v>59</v>
      </c>
      <c r="AB32" s="42" t="n">
        <f aca="false">IF($A32="","",IF(ISNUMBER('Raw data'!H32),'Raw data'!H32*100,IF(ISNUMBER('Raw data'!K32),'Raw data'!K32*100,"")))</f>
        <v>-0.0390270398990311</v>
      </c>
      <c r="AC32" s="42" t="n">
        <f aca="false">IF($A32="","",IF(ISNUMBER('Raw data'!I32),'Raw data'!I32*100,IF(ISNUMBER('Raw data'!M32),'Raw data'!M32*100,"")))</f>
        <v>2.57026876814164</v>
      </c>
      <c r="AD32" s="44" t="n">
        <f aca="false">IF($A32="","",IF(AND(ISNUMBER('Raw data'!N32),ISNUMBER('Raw data'!L32),ISNUMBER('Raw data'!P32),ISNUMBER('Raw data'!S32)),ROUND(('Raw data'!N32*'Raw data'!P32+(1-'Raw data'!N32)*'Raw data'!S32-'Raw data'!L32)*100,1),""))</f>
        <v>0</v>
      </c>
    </row>
    <row r="33" customFormat="false" ht="15" hidden="false" customHeight="false" outlineLevel="0" collapsed="false">
      <c r="A33" s="37" t="str">
        <f aca="false">IF(TRIM('Raw data'!A33)="","",TRIM('Raw data'!A33))</f>
        <v>Sweden</v>
      </c>
      <c r="B33" s="37" t="str">
        <f aca="false">IF($A33="","",IF('Raw data'!B33="",UPPER(LEFT($A33,3)),'Raw data'!B33))</f>
        <v>SE</v>
      </c>
      <c r="C33" s="37" t="str">
        <f aca="false">IF($A33="","",'Raw data'!C33)</f>
        <v>Commercial</v>
      </c>
      <c r="D33" s="38" t="n">
        <f aca="false">IF(OR($A33="",'Raw data'!J33=""),"",'Raw data'!J33)</f>
        <v>123</v>
      </c>
      <c r="E33" s="38" t="n">
        <f aca="false">IF(OR($A33="",'Raw data'!U33=""),"",'Raw data'!U33)</f>
        <v>8.1</v>
      </c>
      <c r="F33" s="42" t="n">
        <f aca="false">IF($A33="","",IF(ISNUMBER('Raw data'!K33),'Raw data'!K33*100,""))</f>
        <v>-0.402900622497826</v>
      </c>
      <c r="G33" s="42" t="n">
        <f aca="false">IF($A33="","",IF(ISNUMBER('Raw data'!L33),'Raw data'!L33*100,""))</f>
        <v>-0.652981438720612</v>
      </c>
      <c r="H33" s="42" t="n">
        <f aca="false">IF($A33="","",IF(ISNUMBER('Raw data'!M33),'Raw data'!M33*100,""))</f>
        <v>2.26991071956315</v>
      </c>
      <c r="I33" s="42" t="n">
        <f aca="false">IF($A33="","",IF(ISNUMBER('Raw data'!V33),'Raw data'!V33*100,""))</f>
        <v>1.5</v>
      </c>
      <c r="J33" s="42" t="n">
        <f aca="false">IF($A33="","",IF(ISNUMBER('Raw data'!W33),'Raw data'!W33*100,""))</f>
        <v>0.5</v>
      </c>
      <c r="K33" s="42" t="n">
        <f aca="false">IF($A33="","",IF(ISNUMBER('Raw data'!X33),'Raw data'!X33*100,""))</f>
        <v>4</v>
      </c>
      <c r="L33" s="42" t="n">
        <f aca="false">IF($A33="","",IF('Raw data'!Z33&lt;&gt;"",'Raw data'!Z33*100,IF(AND(N('Raw data'!J33)&gt;0,'Raw data'!U33&lt;&gt;""),'Raw data'!U33*(1+N('Raw data'!W33))/('Raw data'!J33*(1+N('Raw data'!L33)))*100,"")))</f>
        <v>6.66179295440509</v>
      </c>
      <c r="M33" s="42" t="n">
        <f aca="false">IF($A33="","",IF('Raw data'!Y33&lt;&gt;"",'Raw data'!Y33*100,IF(AND(N('Raw data'!J33)&gt;0,'Raw data'!U33&lt;&gt;""),'Raw data'!U33/'Raw data'!J33*100,"")))</f>
        <v>6.58536585365854</v>
      </c>
      <c r="N33" s="43" t="n">
        <f aca="false">IF($A33="","",IF(ISNUMBER('Raw data'!AA33),'Raw data'!AA33,""))</f>
        <v>4</v>
      </c>
      <c r="O33" s="43" t="n">
        <f aca="false">IF($A33="","",IF(ISNUMBER('Raw data'!AB33),'Raw data'!AB33,""))</f>
        <v>3</v>
      </c>
      <c r="P33" s="43" t="n">
        <f aca="false">IF($A33="","",IF(ISNUMBER('Raw data'!AC33),'Raw data'!AC33,""))</f>
        <v>3</v>
      </c>
      <c r="Q33" s="43" t="n">
        <f aca="false">IF($A33="","",IF(ISNUMBER('Raw data'!AD33),'Raw data'!AD33,""))</f>
        <v>3</v>
      </c>
      <c r="R33" s="43" t="n">
        <f aca="false">IF($A33="","",IF(ISNUMBER('Raw data'!N33),'Raw data'!N33*100,""))</f>
        <v>54.1020840838358</v>
      </c>
      <c r="S33" s="42" t="n">
        <f aca="false">IF($A33="","",IF(ISNUMBER('Raw data'!O33),'Raw data'!O33*100,""))</f>
        <v>5.01975479380685</v>
      </c>
      <c r="T33" s="42" t="n">
        <f aca="false">IF($A33="","",IF(ISNUMBER('Raw data'!P33),'Raw data'!P33*100,""))</f>
        <v>-2.39303756292871</v>
      </c>
      <c r="U33" s="42" t="n">
        <f aca="false">IF($A33="","",IF(ISNUMBER('Raw data'!Q33),'Raw data'!Q33*100,""))</f>
        <v>2.66289617092792</v>
      </c>
      <c r="V33" s="42" t="n">
        <f aca="false">IF($A33="","",IF(ISNUMBER('Raw data'!R33),'Raw data'!R33*100,""))</f>
        <v>-5.1187487299301</v>
      </c>
      <c r="W33" s="42" t="n">
        <f aca="false">IF($A33="","",IF(ISNUMBER('Raw data'!S33),'Raw data'!S33*100,""))</f>
        <v>1.39810652166641</v>
      </c>
      <c r="X33" s="42" t="n">
        <f aca="false">IF($A33="","",IF(ISNUMBER('Raw data'!T33),'Raw data'!T33*100,""))</f>
        <v>1.81655774098575</v>
      </c>
      <c r="Y33" s="37" t="str">
        <f aca="false">IF($A33="","",IF('Raw data'!D33="","",'Raw data'!D33))</f>
        <v>Heating</v>
      </c>
      <c r="Z33" s="38" t="n">
        <f aca="false">IF($A33="","",IF(ISNUMBER('Raw data'!F33),'Raw data'!F33,""))</f>
        <v>16933.1</v>
      </c>
      <c r="AA33" s="38" t="n">
        <f aca="false">IF($A33="","",IF(ISNUMBER('Raw data'!G33),'Raw data'!G33,""))</f>
        <v>248</v>
      </c>
      <c r="AB33" s="42" t="n">
        <f aca="false">IF($A33="","",IF(ISNUMBER('Raw data'!H33),'Raw data'!H33*100,IF(ISNUMBER('Raw data'!K33),'Raw data'!K33*100,"")))</f>
        <v>-0.402900622497826</v>
      </c>
      <c r="AC33" s="42" t="n">
        <f aca="false">IF($A33="","",IF(ISNUMBER('Raw data'!I33),'Raw data'!I33*100,IF(ISNUMBER('Raw data'!M33),'Raw data'!M33*100,"")))</f>
        <v>2.26991071956315</v>
      </c>
      <c r="AD33" s="44" t="n">
        <f aca="false">IF($A33="","",IF(AND(ISNUMBER('Raw data'!N33),ISNUMBER('Raw data'!L33),ISNUMBER('Raw data'!P33),ISNUMBER('Raw data'!S33)),ROUND(('Raw data'!N33*'Raw data'!P33+(1-'Raw data'!N33)*'Raw data'!S33-'Raw data'!L33)*100,1),""))</f>
        <v>0</v>
      </c>
    </row>
    <row r="34" customFormat="false" ht="15" hidden="false" customHeight="false" outlineLevel="0" collapsed="false">
      <c r="A34" s="37" t="str">
        <f aca="false">IF(TRIM('Raw data'!A34)="","",TRIM('Raw data'!A34))</f>
        <v>Sweden</v>
      </c>
      <c r="B34" s="37" t="str">
        <f aca="false">IF($A34="","",IF('Raw data'!B34="",UPPER(LEFT($A34,3)),'Raw data'!B34))</f>
        <v>SE</v>
      </c>
      <c r="C34" s="37" t="str">
        <f aca="false">IF($A34="","",'Raw data'!C34)</f>
        <v>Commercial</v>
      </c>
      <c r="D34" s="38" t="n">
        <f aca="false">IF(OR($A34="",'Raw data'!J34=""),"",'Raw data'!J34)</f>
        <v>15</v>
      </c>
      <c r="E34" s="38" t="n">
        <f aca="false">IF(OR($A34="",'Raw data'!U34=""),"",'Raw data'!U34)</f>
        <v>0.5</v>
      </c>
      <c r="F34" s="42" t="n">
        <f aca="false">IF($A34="","",IF(ISNUMBER('Raw data'!K34),'Raw data'!K34*100,""))</f>
        <v>-0.402900622497826</v>
      </c>
      <c r="G34" s="42" t="n">
        <f aca="false">IF($A34="","",IF(ISNUMBER('Raw data'!L34),'Raw data'!L34*100,""))</f>
        <v>-0.652981438720612</v>
      </c>
      <c r="H34" s="42" t="n">
        <f aca="false">IF($A34="","",IF(ISNUMBER('Raw data'!M34),'Raw data'!M34*100,""))</f>
        <v>2.26991071956315</v>
      </c>
      <c r="I34" s="42" t="n">
        <f aca="false">IF($A34="","",IF(ISNUMBER('Raw data'!V34),'Raw data'!V34*100,""))</f>
        <v>3</v>
      </c>
      <c r="J34" s="42" t="n">
        <f aca="false">IF($A34="","",IF(ISNUMBER('Raw data'!W34),'Raw data'!W34*100,""))</f>
        <v>2</v>
      </c>
      <c r="K34" s="42" t="n">
        <f aca="false">IF($A34="","",IF(ISNUMBER('Raw data'!X34),'Raw data'!X34*100,""))</f>
        <v>5.5</v>
      </c>
      <c r="L34" s="42" t="n">
        <f aca="false">IF($A34="","",IF('Raw data'!Z34&lt;&gt;"",'Raw data'!Z34*100,IF(AND(N('Raw data'!J34)&gt;0,'Raw data'!U34&lt;&gt;""),'Raw data'!U34*(1+N('Raw data'!W34))/('Raw data'!J34*(1+N('Raw data'!L34)))*100,"")))</f>
        <v>3.42234729258916</v>
      </c>
      <c r="M34" s="42" t="n">
        <f aca="false">IF($A34="","",IF('Raw data'!Y34&lt;&gt;"",'Raw data'!Y34*100,IF(AND(N('Raw data'!J34)&gt;0,'Raw data'!U34&lt;&gt;""),'Raw data'!U34/'Raw data'!J34*100,"")))</f>
        <v>3.33333333333333</v>
      </c>
      <c r="N34" s="43" t="n">
        <f aca="false">IF($A34="","",IF(ISNUMBER('Raw data'!AA34),'Raw data'!AA34,""))</f>
        <v>4</v>
      </c>
      <c r="O34" s="43" t="n">
        <f aca="false">IF($A34="","",IF(ISNUMBER('Raw data'!AB34),'Raw data'!AB34,""))</f>
        <v>3</v>
      </c>
      <c r="P34" s="43" t="n">
        <f aca="false">IF($A34="","",IF(ISNUMBER('Raw data'!AC34),'Raw data'!AC34,""))</f>
        <v>3</v>
      </c>
      <c r="Q34" s="43" t="n">
        <f aca="false">IF($A34="","",IF(ISNUMBER('Raw data'!AD34),'Raw data'!AD34,""))</f>
        <v>3</v>
      </c>
      <c r="R34" s="43" t="n">
        <f aca="false">IF($A34="","",IF(ISNUMBER('Raw data'!N34),'Raw data'!N34*100,""))</f>
        <v>54.1020840838358</v>
      </c>
      <c r="S34" s="42" t="n">
        <f aca="false">IF($A34="","",IF(ISNUMBER('Raw data'!O34),'Raw data'!O34*100,""))</f>
        <v>5.01975479380685</v>
      </c>
      <c r="T34" s="42" t="n">
        <f aca="false">IF($A34="","",IF(ISNUMBER('Raw data'!P34),'Raw data'!P34*100,""))</f>
        <v>-2.39303756292871</v>
      </c>
      <c r="U34" s="42" t="n">
        <f aca="false">IF($A34="","",IF(ISNUMBER('Raw data'!Q34),'Raw data'!Q34*100,""))</f>
        <v>2.66289617092792</v>
      </c>
      <c r="V34" s="42" t="n">
        <f aca="false">IF($A34="","",IF(ISNUMBER('Raw data'!R34),'Raw data'!R34*100,""))</f>
        <v>-5.1187487299301</v>
      </c>
      <c r="W34" s="42" t="n">
        <f aca="false">IF($A34="","",IF(ISNUMBER('Raw data'!S34),'Raw data'!S34*100,""))</f>
        <v>1.39810652166641</v>
      </c>
      <c r="X34" s="42" t="n">
        <f aca="false">IF($A34="","",IF(ISNUMBER('Raw data'!T34),'Raw data'!T34*100,""))</f>
        <v>1.81655774098575</v>
      </c>
      <c r="Y34" s="37" t="str">
        <f aca="false">IF($A34="","",IF('Raw data'!D34="","",'Raw data'!D34))</f>
        <v>Cooling</v>
      </c>
      <c r="Z34" s="38" t="n">
        <f aca="false">IF($A34="","",IF(ISNUMBER('Raw data'!F34),'Raw data'!F34,""))</f>
        <v>16933.1</v>
      </c>
      <c r="AA34" s="38" t="n">
        <f aca="false">IF($A34="","",IF(ISNUMBER('Raw data'!G34),'Raw data'!G34,""))</f>
        <v>48</v>
      </c>
      <c r="AB34" s="42" t="n">
        <f aca="false">IF($A34="","",IF(ISNUMBER('Raw data'!H34),'Raw data'!H34*100,IF(ISNUMBER('Raw data'!K34),'Raw data'!K34*100,"")))</f>
        <v>-0.402900622497826</v>
      </c>
      <c r="AC34" s="42" t="n">
        <f aca="false">IF($A34="","",IF(ISNUMBER('Raw data'!I34),'Raw data'!I34*100,IF(ISNUMBER('Raw data'!M34),'Raw data'!M34*100,"")))</f>
        <v>2.26991071956315</v>
      </c>
      <c r="AD34" s="44" t="n">
        <f aca="false">IF($A34="","",IF(AND(ISNUMBER('Raw data'!N34),ISNUMBER('Raw data'!L34),ISNUMBER('Raw data'!P34),ISNUMBER('Raw data'!S34)),ROUND(('Raw data'!N34*'Raw data'!P34+(1-'Raw data'!N34)*'Raw data'!S34-'Raw data'!L34)*100,1),""))</f>
        <v>0</v>
      </c>
    </row>
    <row r="35" customFormat="false" ht="15" hidden="false" customHeight="false" outlineLevel="0" collapsed="false">
      <c r="A35" s="37" t="str">
        <f aca="false">IF(TRIM('Raw data'!A35)="","",TRIM('Raw data'!A35))</f>
        <v>Sweden</v>
      </c>
      <c r="B35" s="37" t="str">
        <f aca="false">IF($A35="","",IF('Raw data'!B35="",UPPER(LEFT($A35,3)),'Raw data'!B35))</f>
        <v>SE</v>
      </c>
      <c r="C35" s="37" t="str">
        <f aca="false">IF($A35="","",'Raw data'!C35)</f>
        <v>Commercial</v>
      </c>
      <c r="D35" s="38" t="n">
        <f aca="false">IF(OR($A35="",'Raw data'!J35=""),"",'Raw data'!J35)</f>
        <v>49</v>
      </c>
      <c r="E35" s="38" t="n">
        <f aca="false">IF(OR($A35="",'Raw data'!U35=""),"",'Raw data'!U35)</f>
        <v>2.4</v>
      </c>
      <c r="F35" s="42" t="n">
        <f aca="false">IF($A35="","",IF(ISNUMBER('Raw data'!K35),'Raw data'!K35*100,""))</f>
        <v>-0.402900622497826</v>
      </c>
      <c r="G35" s="42" t="n">
        <f aca="false">IF($A35="","",IF(ISNUMBER('Raw data'!L35),'Raw data'!L35*100,""))</f>
        <v>-0.652981438720612</v>
      </c>
      <c r="H35" s="42" t="n">
        <f aca="false">IF($A35="","",IF(ISNUMBER('Raw data'!M35),'Raw data'!M35*100,""))</f>
        <v>2.26991071956315</v>
      </c>
      <c r="I35" s="42" t="n">
        <f aca="false">IF($A35="","",IF(ISNUMBER('Raw data'!V35),'Raw data'!V35*100,""))</f>
        <v>2</v>
      </c>
      <c r="J35" s="42" t="n">
        <f aca="false">IF($A35="","",IF(ISNUMBER('Raw data'!W35),'Raw data'!W35*100,""))</f>
        <v>1</v>
      </c>
      <c r="K35" s="42" t="n">
        <f aca="false">IF($A35="","",IF(ISNUMBER('Raw data'!X35),'Raw data'!X35*100,""))</f>
        <v>4.5</v>
      </c>
      <c r="L35" s="42" t="n">
        <f aca="false">IF($A35="","",IF('Raw data'!Z35&lt;&gt;"",'Raw data'!Z35*100,IF(AND(N('Raw data'!J35)&gt;0,'Raw data'!U35&lt;&gt;""),'Raw data'!U35*(1+N('Raw data'!W35))/('Raw data'!J35*(1+N('Raw data'!L35)))*100,"")))</f>
        <v>4.97945368381521</v>
      </c>
      <c r="M35" s="42" t="n">
        <f aca="false">IF($A35="","",IF('Raw data'!Y35&lt;&gt;"",'Raw data'!Y35*100,IF(AND(N('Raw data'!J35)&gt;0,'Raw data'!U35&lt;&gt;""),'Raw data'!U35/'Raw data'!J35*100,"")))</f>
        <v>4.89795918367347</v>
      </c>
      <c r="N35" s="43" t="n">
        <f aca="false">IF($A35="","",IF(ISNUMBER('Raw data'!AA35),'Raw data'!AA35,""))</f>
        <v>4</v>
      </c>
      <c r="O35" s="43" t="n">
        <f aca="false">IF($A35="","",IF(ISNUMBER('Raw data'!AB35),'Raw data'!AB35,""))</f>
        <v>3</v>
      </c>
      <c r="P35" s="43" t="n">
        <f aca="false">IF($A35="","",IF(ISNUMBER('Raw data'!AC35),'Raw data'!AC35,""))</f>
        <v>3</v>
      </c>
      <c r="Q35" s="43" t="n">
        <f aca="false">IF($A35="","",IF(ISNUMBER('Raw data'!AD35),'Raw data'!AD35,""))</f>
        <v>3</v>
      </c>
      <c r="R35" s="43" t="n">
        <f aca="false">IF($A35="","",IF(ISNUMBER('Raw data'!N35),'Raw data'!N35*100,""))</f>
        <v>54.1020840838358</v>
      </c>
      <c r="S35" s="42" t="n">
        <f aca="false">IF($A35="","",IF(ISNUMBER('Raw data'!O35),'Raw data'!O35*100,""))</f>
        <v>5.01975479380685</v>
      </c>
      <c r="T35" s="42" t="n">
        <f aca="false">IF($A35="","",IF(ISNUMBER('Raw data'!P35),'Raw data'!P35*100,""))</f>
        <v>-2.39303756292871</v>
      </c>
      <c r="U35" s="42" t="n">
        <f aca="false">IF($A35="","",IF(ISNUMBER('Raw data'!Q35),'Raw data'!Q35*100,""))</f>
        <v>2.66289617092792</v>
      </c>
      <c r="V35" s="42" t="n">
        <f aca="false">IF($A35="","",IF(ISNUMBER('Raw data'!R35),'Raw data'!R35*100,""))</f>
        <v>-5.1187487299301</v>
      </c>
      <c r="W35" s="42" t="n">
        <f aca="false">IF($A35="","",IF(ISNUMBER('Raw data'!S35),'Raw data'!S35*100,""))</f>
        <v>1.39810652166641</v>
      </c>
      <c r="X35" s="42" t="n">
        <f aca="false">IF($A35="","",IF(ISNUMBER('Raw data'!T35),'Raw data'!T35*100,""))</f>
        <v>1.81655774098575</v>
      </c>
      <c r="Y35" s="37" t="str">
        <f aca="false">IF($A35="","",IF('Raw data'!D35="","",'Raw data'!D35))</f>
        <v>Sanitary</v>
      </c>
      <c r="Z35" s="38" t="n">
        <f aca="false">IF($A35="","",IF(ISNUMBER('Raw data'!F35),'Raw data'!F35,""))</f>
        <v>16933.1</v>
      </c>
      <c r="AA35" s="38" t="n">
        <f aca="false">IF($A35="","",IF(ISNUMBER('Raw data'!G35),'Raw data'!G35,""))</f>
        <v>121</v>
      </c>
      <c r="AB35" s="42" t="n">
        <f aca="false">IF($A35="","",IF(ISNUMBER('Raw data'!H35),'Raw data'!H35*100,IF(ISNUMBER('Raw data'!K35),'Raw data'!K35*100,"")))</f>
        <v>-0.402900622497826</v>
      </c>
      <c r="AC35" s="42" t="n">
        <f aca="false">IF($A35="","",IF(ISNUMBER('Raw data'!I35),'Raw data'!I35*100,IF(ISNUMBER('Raw data'!M35),'Raw data'!M35*100,"")))</f>
        <v>2.26991071956315</v>
      </c>
      <c r="AD35" s="44" t="n">
        <f aca="false">IF($A35="","",IF(AND(ISNUMBER('Raw data'!N35),ISNUMBER('Raw data'!L35),ISNUMBER('Raw data'!P35),ISNUMBER('Raw data'!S35)),ROUND(('Raw data'!N35*'Raw data'!P35+(1-'Raw data'!N35)*'Raw data'!S35-'Raw data'!L35)*100,1),""))</f>
        <v>0</v>
      </c>
    </row>
    <row r="36" customFormat="false" ht="15" hidden="false" customHeight="false" outlineLevel="0" collapsed="false">
      <c r="A36" s="37" t="str">
        <f aca="false">IF(TRIM('Raw data'!A36)="","",TRIM('Raw data'!A36))</f>
        <v>Norway</v>
      </c>
      <c r="B36" s="37" t="str">
        <f aca="false">IF($A36="","",IF('Raw data'!B36="",UPPER(LEFT($A36,3)),'Raw data'!B36))</f>
        <v>NO</v>
      </c>
      <c r="C36" s="37" t="str">
        <f aca="false">IF($A36="","",'Raw data'!C36)</f>
        <v>Residential</v>
      </c>
      <c r="D36" s="38" t="n">
        <f aca="false">IF(OR($A36="",'Raw data'!J36=""),"",'Raw data'!J36)</f>
        <v>33</v>
      </c>
      <c r="E36" s="38" t="n">
        <f aca="false">IF(OR($A36="",'Raw data'!U36=""),"",'Raw data'!U36)</f>
        <v>3</v>
      </c>
      <c r="F36" s="42" t="n">
        <f aca="false">IF($A36="","",IF(ISNUMBER('Raw data'!K36),'Raw data'!K36*100,""))</f>
        <v>-2.44620040690535</v>
      </c>
      <c r="G36" s="42" t="n">
        <f aca="false">IF($A36="","",IF(ISNUMBER('Raw data'!L36),'Raw data'!L36*100,""))</f>
        <v>-5.56125893658148</v>
      </c>
      <c r="H36" s="42" t="n">
        <f aca="false">IF($A36="","",IF(ISNUMBER('Raw data'!M36),'Raw data'!M36*100,""))</f>
        <v>2.86285547308702</v>
      </c>
      <c r="I36" s="42" t="n">
        <f aca="false">IF($A36="","",IF(ISNUMBER('Raw data'!V36),'Raw data'!V36*100,""))</f>
        <v>1.5</v>
      </c>
      <c r="J36" s="42" t="n">
        <f aca="false">IF($A36="","",IF(ISNUMBER('Raw data'!W36),'Raw data'!W36*100,""))</f>
        <v>0.5</v>
      </c>
      <c r="K36" s="42" t="n">
        <f aca="false">IF($A36="","",IF(ISNUMBER('Raw data'!X36),'Raw data'!X36*100,""))</f>
        <v>3</v>
      </c>
      <c r="L36" s="42" t="n">
        <f aca="false">IF($A36="","",IF('Raw data'!Z36&lt;&gt;"",'Raw data'!Z36*100,IF(AND(N('Raw data'!J36)&gt;0,'Raw data'!U36&lt;&gt;""),'Raw data'!U36*(1+N('Raw data'!W36))/('Raw data'!J36*(1+N('Raw data'!L36)))*100,"")))</f>
        <v>9.67438101512629</v>
      </c>
      <c r="M36" s="42" t="n">
        <f aca="false">IF($A36="","",IF('Raw data'!Y36&lt;&gt;"",'Raw data'!Y36*100,IF(AND(N('Raw data'!J36)&gt;0,'Raw data'!U36&lt;&gt;""),'Raw data'!U36/'Raw data'!J36*100,"")))</f>
        <v>9.09090909090909</v>
      </c>
      <c r="N36" s="43" t="n">
        <f aca="false">IF($A36="","",IF(ISNUMBER('Raw data'!AA36),'Raw data'!AA36,""))</f>
        <v>4</v>
      </c>
      <c r="O36" s="43" t="n">
        <f aca="false">IF($A36="","",IF(ISNUMBER('Raw data'!AB36),'Raw data'!AB36,""))</f>
        <v>3</v>
      </c>
      <c r="P36" s="43" t="n">
        <f aca="false">IF($A36="","",IF(ISNUMBER('Raw data'!AC36),'Raw data'!AC36,""))</f>
        <v>3</v>
      </c>
      <c r="Q36" s="43" t="n">
        <f aca="false">IF($A36="","",IF(ISNUMBER('Raw data'!AD36),'Raw data'!AD36,""))</f>
        <v>3</v>
      </c>
      <c r="R36" s="43" t="n">
        <f aca="false">IF($A36="","",IF(ISNUMBER('Raw data'!N36),'Raw data'!N36*100,""))</f>
        <v>75.231911804149</v>
      </c>
      <c r="S36" s="42" t="n">
        <f aca="false">IF($A36="","",IF(ISNUMBER('Raw data'!O36),'Raw data'!O36*100,""))</f>
        <v>0.918783915111576</v>
      </c>
      <c r="T36" s="42" t="n">
        <f aca="false">IF($A36="","",IF(ISNUMBER('Raw data'!P36),'Raw data'!P36*100,""))</f>
        <v>-5.98883739227715</v>
      </c>
      <c r="U36" s="42" t="n">
        <f aca="false">IF($A36="","",IF(ISNUMBER('Raw data'!Q36),'Raw data'!Q36*100,""))</f>
        <v>2.1261829806934</v>
      </c>
      <c r="V36" s="42" t="n">
        <f aca="false">IF($A36="","",IF(ISNUMBER('Raw data'!R36),'Raw data'!R36*100,""))</f>
        <v>-9.72647889181081</v>
      </c>
      <c r="W36" s="42" t="n">
        <f aca="false">IF($A36="","",IF(ISNUMBER('Raw data'!S36),'Raw data'!S36*100,""))</f>
        <v>-4.26250933532482</v>
      </c>
      <c r="X36" s="42" t="n">
        <f aca="false">IF($A36="","",IF(ISNUMBER('Raw data'!T36),'Raw data'!T36*100,""))</f>
        <v>4.94301639433219</v>
      </c>
      <c r="Y36" s="37" t="str">
        <f aca="false">IF($A36="","",IF('Raw data'!D36="","",'Raw data'!D36))</f>
        <v>Heating</v>
      </c>
      <c r="Z36" s="38" t="n">
        <f aca="false">IF($A36="","",IF(ISNUMBER('Raw data'!F36),'Raw data'!F36,""))</f>
        <v>4324.92</v>
      </c>
      <c r="AA36" s="38" t="n">
        <f aca="false">IF($A36="","",IF(ISNUMBER('Raw data'!G36),'Raw data'!G36,""))</f>
        <v>67</v>
      </c>
      <c r="AB36" s="42" t="n">
        <f aca="false">IF($A36="","",IF(ISNUMBER('Raw data'!H36),'Raw data'!H36*100,IF(ISNUMBER('Raw data'!K36),'Raw data'!K36*100,"")))</f>
        <v>-2.44620040690535</v>
      </c>
      <c r="AC36" s="42" t="n">
        <f aca="false">IF($A36="","",IF(ISNUMBER('Raw data'!I36),'Raw data'!I36*100,IF(ISNUMBER('Raw data'!M36),'Raw data'!M36*100,"")))</f>
        <v>2.86285547308702</v>
      </c>
      <c r="AD36" s="44" t="n">
        <f aca="false">IF($A36="","",IF(AND(ISNUMBER('Raw data'!N36),ISNUMBER('Raw data'!L36),ISNUMBER('Raw data'!P36),ISNUMBER('Raw data'!S36)),ROUND(('Raw data'!N36*'Raw data'!P36+(1-'Raw data'!N36)*'Raw data'!S36-'Raw data'!L36)*100,1),""))</f>
        <v>0</v>
      </c>
    </row>
    <row r="37" customFormat="false" ht="15" hidden="false" customHeight="false" outlineLevel="0" collapsed="false">
      <c r="A37" s="37" t="str">
        <f aca="false">IF(TRIM('Raw data'!A37)="","",TRIM('Raw data'!A37))</f>
        <v>Norway</v>
      </c>
      <c r="B37" s="37" t="str">
        <f aca="false">IF($A37="","",IF('Raw data'!B37="",UPPER(LEFT($A37,3)),'Raw data'!B37))</f>
        <v>NO</v>
      </c>
      <c r="C37" s="37" t="str">
        <f aca="false">IF($A37="","",'Raw data'!C37)</f>
        <v>Residential</v>
      </c>
      <c r="D37" s="38" t="n">
        <f aca="false">IF(OR($A37="",'Raw data'!J37=""),"",'Raw data'!J37)</f>
        <v>3</v>
      </c>
      <c r="E37" s="38" t="n">
        <f aca="false">IF(OR($A37="",'Raw data'!U37=""),"",'Raw data'!U37)</f>
        <v>0.1</v>
      </c>
      <c r="F37" s="42" t="n">
        <f aca="false">IF($A37="","",IF(ISNUMBER('Raw data'!K37),'Raw data'!K37*100,""))</f>
        <v>-2.44620040690535</v>
      </c>
      <c r="G37" s="42" t="n">
        <f aca="false">IF($A37="","",IF(ISNUMBER('Raw data'!L37),'Raw data'!L37*100,""))</f>
        <v>-5.56125893658148</v>
      </c>
      <c r="H37" s="42" t="n">
        <f aca="false">IF($A37="","",IF(ISNUMBER('Raw data'!M37),'Raw data'!M37*100,""))</f>
        <v>2.86285547308702</v>
      </c>
      <c r="I37" s="42" t="n">
        <f aca="false">IF($A37="","",IF(ISNUMBER('Raw data'!V37),'Raw data'!V37*100,""))</f>
        <v>3</v>
      </c>
      <c r="J37" s="42" t="n">
        <f aca="false">IF($A37="","",IF(ISNUMBER('Raw data'!W37),'Raw data'!W37*100,""))</f>
        <v>2</v>
      </c>
      <c r="K37" s="42" t="n">
        <f aca="false">IF($A37="","",IF(ISNUMBER('Raw data'!X37),'Raw data'!X37*100,""))</f>
        <v>4.5</v>
      </c>
      <c r="L37" s="42" t="n">
        <f aca="false">IF($A37="","",IF('Raw data'!Z37&lt;&gt;"",'Raw data'!Z37*100,IF(AND(N('Raw data'!J37)&gt;0,'Raw data'!U37&lt;&gt;""),'Raw data'!U37*(1+N('Raw data'!W37))/('Raw data'!J37*(1+N('Raw data'!L37)))*100,"")))</f>
        <v>3.60021741259426</v>
      </c>
      <c r="M37" s="42" t="n">
        <f aca="false">IF($A37="","",IF('Raw data'!Y37&lt;&gt;"",'Raw data'!Y37*100,IF(AND(N('Raw data'!J37)&gt;0,'Raw data'!U37&lt;&gt;""),'Raw data'!U37/'Raw data'!J37*100,"")))</f>
        <v>3.33333333333333</v>
      </c>
      <c r="N37" s="43" t="n">
        <f aca="false">IF($A37="","",IF(ISNUMBER('Raw data'!AA37),'Raw data'!AA37,""))</f>
        <v>4</v>
      </c>
      <c r="O37" s="43" t="n">
        <f aca="false">IF($A37="","",IF(ISNUMBER('Raw data'!AB37),'Raw data'!AB37,""))</f>
        <v>3</v>
      </c>
      <c r="P37" s="43" t="n">
        <f aca="false">IF($A37="","",IF(ISNUMBER('Raw data'!AC37),'Raw data'!AC37,""))</f>
        <v>3</v>
      </c>
      <c r="Q37" s="43" t="n">
        <f aca="false">IF($A37="","",IF(ISNUMBER('Raw data'!AD37),'Raw data'!AD37,""))</f>
        <v>3</v>
      </c>
      <c r="R37" s="43" t="n">
        <f aca="false">IF($A37="","",IF(ISNUMBER('Raw data'!N37),'Raw data'!N37*100,""))</f>
        <v>75.231911804149</v>
      </c>
      <c r="S37" s="42" t="n">
        <f aca="false">IF($A37="","",IF(ISNUMBER('Raw data'!O37),'Raw data'!O37*100,""))</f>
        <v>0.918783915111576</v>
      </c>
      <c r="T37" s="42" t="n">
        <f aca="false">IF($A37="","",IF(ISNUMBER('Raw data'!P37),'Raw data'!P37*100,""))</f>
        <v>-5.98883739227715</v>
      </c>
      <c r="U37" s="42" t="n">
        <f aca="false">IF($A37="","",IF(ISNUMBER('Raw data'!Q37),'Raw data'!Q37*100,""))</f>
        <v>2.1261829806934</v>
      </c>
      <c r="V37" s="42" t="n">
        <f aca="false">IF($A37="","",IF(ISNUMBER('Raw data'!R37),'Raw data'!R37*100,""))</f>
        <v>-9.72647889181081</v>
      </c>
      <c r="W37" s="42" t="n">
        <f aca="false">IF($A37="","",IF(ISNUMBER('Raw data'!S37),'Raw data'!S37*100,""))</f>
        <v>-4.26250933532482</v>
      </c>
      <c r="X37" s="42" t="n">
        <f aca="false">IF($A37="","",IF(ISNUMBER('Raw data'!T37),'Raw data'!T37*100,""))</f>
        <v>4.94301639433219</v>
      </c>
      <c r="Y37" s="37" t="str">
        <f aca="false">IF($A37="","",IF('Raw data'!D37="","",'Raw data'!D37))</f>
        <v>Cooling</v>
      </c>
      <c r="Z37" s="38" t="n">
        <f aca="false">IF($A37="","",IF(ISNUMBER('Raw data'!F37),'Raw data'!F37,""))</f>
        <v>4324.92</v>
      </c>
      <c r="AA37" s="38" t="n">
        <f aca="false">IF($A37="","",IF(ISNUMBER('Raw data'!G37),'Raw data'!G37,""))</f>
        <v>10</v>
      </c>
      <c r="AB37" s="42" t="n">
        <f aca="false">IF($A37="","",IF(ISNUMBER('Raw data'!H37),'Raw data'!H37*100,IF(ISNUMBER('Raw data'!K37),'Raw data'!K37*100,"")))</f>
        <v>-2.44620040690535</v>
      </c>
      <c r="AC37" s="42" t="n">
        <f aca="false">IF($A37="","",IF(ISNUMBER('Raw data'!I37),'Raw data'!I37*100,IF(ISNUMBER('Raw data'!M37),'Raw data'!M37*100,"")))</f>
        <v>2.86285547308702</v>
      </c>
      <c r="AD37" s="44" t="n">
        <f aca="false">IF($A37="","",IF(AND(ISNUMBER('Raw data'!N37),ISNUMBER('Raw data'!L37),ISNUMBER('Raw data'!P37),ISNUMBER('Raw data'!S37)),ROUND(('Raw data'!N37*'Raw data'!P37+(1-'Raw data'!N37)*'Raw data'!S37-'Raw data'!L37)*100,1),""))</f>
        <v>0</v>
      </c>
    </row>
    <row r="38" customFormat="false" ht="15" hidden="false" customHeight="false" outlineLevel="0" collapsed="false">
      <c r="A38" s="37" t="str">
        <f aca="false">IF(TRIM('Raw data'!A38)="","",TRIM('Raw data'!A38))</f>
        <v>Norway</v>
      </c>
      <c r="B38" s="37" t="str">
        <f aca="false">IF($A38="","",IF('Raw data'!B38="",UPPER(LEFT($A38,3)),'Raw data'!B38))</f>
        <v>NO</v>
      </c>
      <c r="C38" s="37" t="str">
        <f aca="false">IF($A38="","",'Raw data'!C38)</f>
        <v>Residential</v>
      </c>
      <c r="D38" s="38" t="n">
        <f aca="false">IF(OR($A38="",'Raw data'!J38=""),"",'Raw data'!J38)</f>
        <v>12</v>
      </c>
      <c r="E38" s="38" t="n">
        <f aca="false">IF(OR($A38="",'Raw data'!U38=""),"",'Raw data'!U38)</f>
        <v>0.8</v>
      </c>
      <c r="F38" s="42" t="n">
        <f aca="false">IF($A38="","",IF(ISNUMBER('Raw data'!K38),'Raw data'!K38*100,""))</f>
        <v>-2.44620040690535</v>
      </c>
      <c r="G38" s="42" t="n">
        <f aca="false">IF($A38="","",IF(ISNUMBER('Raw data'!L38),'Raw data'!L38*100,""))</f>
        <v>-5.56125893658148</v>
      </c>
      <c r="H38" s="42" t="n">
        <f aca="false">IF($A38="","",IF(ISNUMBER('Raw data'!M38),'Raw data'!M38*100,""))</f>
        <v>2.86285547308702</v>
      </c>
      <c r="I38" s="42" t="n">
        <f aca="false">IF($A38="","",IF(ISNUMBER('Raw data'!V38),'Raw data'!V38*100,""))</f>
        <v>2</v>
      </c>
      <c r="J38" s="42" t="n">
        <f aca="false">IF($A38="","",IF(ISNUMBER('Raw data'!W38),'Raw data'!W38*100,""))</f>
        <v>1</v>
      </c>
      <c r="K38" s="42" t="n">
        <f aca="false">IF($A38="","",IF(ISNUMBER('Raw data'!X38),'Raw data'!X38*100,""))</f>
        <v>3.5</v>
      </c>
      <c r="L38" s="42" t="n">
        <f aca="false">IF($A38="","",IF('Raw data'!Z38&lt;&gt;"",'Raw data'!Z38*100,IF(AND(N('Raw data'!J38)&gt;0,'Raw data'!U38&lt;&gt;""),'Raw data'!U38*(1+N('Raw data'!W38))/('Raw data'!J38*(1+N('Raw data'!L38)))*100,"")))</f>
        <v>7.12984232690236</v>
      </c>
      <c r="M38" s="42" t="n">
        <f aca="false">IF($A38="","",IF('Raw data'!Y38&lt;&gt;"",'Raw data'!Y38*100,IF(AND(N('Raw data'!J38)&gt;0,'Raw data'!U38&lt;&gt;""),'Raw data'!U38/'Raw data'!J38*100,"")))</f>
        <v>6.66666666666667</v>
      </c>
      <c r="N38" s="43" t="n">
        <f aca="false">IF($A38="","",IF(ISNUMBER('Raw data'!AA38),'Raw data'!AA38,""))</f>
        <v>4</v>
      </c>
      <c r="O38" s="43" t="n">
        <f aca="false">IF($A38="","",IF(ISNUMBER('Raw data'!AB38),'Raw data'!AB38,""))</f>
        <v>3</v>
      </c>
      <c r="P38" s="43" t="n">
        <f aca="false">IF($A38="","",IF(ISNUMBER('Raw data'!AC38),'Raw data'!AC38,""))</f>
        <v>3</v>
      </c>
      <c r="Q38" s="43" t="n">
        <f aca="false">IF($A38="","",IF(ISNUMBER('Raw data'!AD38),'Raw data'!AD38,""))</f>
        <v>3</v>
      </c>
      <c r="R38" s="43" t="n">
        <f aca="false">IF($A38="","",IF(ISNUMBER('Raw data'!N38),'Raw data'!N38*100,""))</f>
        <v>75.231911804149</v>
      </c>
      <c r="S38" s="42" t="n">
        <f aca="false">IF($A38="","",IF(ISNUMBER('Raw data'!O38),'Raw data'!O38*100,""))</f>
        <v>0.918783915111576</v>
      </c>
      <c r="T38" s="42" t="n">
        <f aca="false">IF($A38="","",IF(ISNUMBER('Raw data'!P38),'Raw data'!P38*100,""))</f>
        <v>-5.98883739227715</v>
      </c>
      <c r="U38" s="42" t="n">
        <f aca="false">IF($A38="","",IF(ISNUMBER('Raw data'!Q38),'Raw data'!Q38*100,""))</f>
        <v>2.1261829806934</v>
      </c>
      <c r="V38" s="42" t="n">
        <f aca="false">IF($A38="","",IF(ISNUMBER('Raw data'!R38),'Raw data'!R38*100,""))</f>
        <v>-9.72647889181081</v>
      </c>
      <c r="W38" s="42" t="n">
        <f aca="false">IF($A38="","",IF(ISNUMBER('Raw data'!S38),'Raw data'!S38*100,""))</f>
        <v>-4.26250933532482</v>
      </c>
      <c r="X38" s="42" t="n">
        <f aca="false">IF($A38="","",IF(ISNUMBER('Raw data'!T38),'Raw data'!T38*100,""))</f>
        <v>4.94301639433219</v>
      </c>
      <c r="Y38" s="37" t="str">
        <f aca="false">IF($A38="","",IF('Raw data'!D38="","",'Raw data'!D38))</f>
        <v>Sanitary</v>
      </c>
      <c r="Z38" s="38" t="n">
        <f aca="false">IF($A38="","",IF(ISNUMBER('Raw data'!F38),'Raw data'!F38,""))</f>
        <v>4324.92</v>
      </c>
      <c r="AA38" s="38" t="n">
        <f aca="false">IF($A38="","",IF(ISNUMBER('Raw data'!G38),'Raw data'!G38,""))</f>
        <v>30</v>
      </c>
      <c r="AB38" s="42" t="n">
        <f aca="false">IF($A38="","",IF(ISNUMBER('Raw data'!H38),'Raw data'!H38*100,IF(ISNUMBER('Raw data'!K38),'Raw data'!K38*100,"")))</f>
        <v>-2.44620040690535</v>
      </c>
      <c r="AC38" s="42" t="n">
        <f aca="false">IF($A38="","",IF(ISNUMBER('Raw data'!I38),'Raw data'!I38*100,IF(ISNUMBER('Raw data'!M38),'Raw data'!M38*100,"")))</f>
        <v>2.86285547308702</v>
      </c>
      <c r="AD38" s="44" t="n">
        <f aca="false">IF($A38="","",IF(AND(ISNUMBER('Raw data'!N38),ISNUMBER('Raw data'!L38),ISNUMBER('Raw data'!P38),ISNUMBER('Raw data'!S38)),ROUND(('Raw data'!N38*'Raw data'!P38+(1-'Raw data'!N38)*'Raw data'!S38-'Raw data'!L38)*100,1),""))</f>
        <v>0</v>
      </c>
    </row>
    <row r="39" customFormat="false" ht="15" hidden="false" customHeight="false" outlineLevel="0" collapsed="false">
      <c r="A39" s="37" t="str">
        <f aca="false">IF(TRIM('Raw data'!A39)="","",TRIM('Raw data'!A39))</f>
        <v>Norway</v>
      </c>
      <c r="B39" s="37" t="str">
        <f aca="false">IF($A39="","",IF('Raw data'!B39="",UPPER(LEFT($A39,3)),'Raw data'!B39))</f>
        <v>NO</v>
      </c>
      <c r="C39" s="37" t="str">
        <f aca="false">IF($A39="","",'Raw data'!C39)</f>
        <v>Commercial</v>
      </c>
      <c r="D39" s="38" t="n">
        <f aca="false">IF(OR($A39="",'Raw data'!J39=""),"",'Raw data'!J39)</f>
        <v>88</v>
      </c>
      <c r="E39" s="38" t="n">
        <f aca="false">IF(OR($A39="",'Raw data'!U39=""),"",'Raw data'!U39)</f>
        <v>5.8</v>
      </c>
      <c r="F39" s="42" t="n">
        <f aca="false">IF($A39="","",IF(ISNUMBER('Raw data'!K39),'Raw data'!K39*100,""))</f>
        <v>-1.37269352433753</v>
      </c>
      <c r="G39" s="42" t="n">
        <f aca="false">IF($A39="","",IF(ISNUMBER('Raw data'!L39),'Raw data'!L39*100,""))</f>
        <v>2.43441397356168</v>
      </c>
      <c r="H39" s="42" t="n">
        <f aca="false">IF($A39="","",IF(ISNUMBER('Raw data'!M39),'Raw data'!M39*100,""))</f>
        <v>2.23445448537853</v>
      </c>
      <c r="I39" s="42" t="n">
        <f aca="false">IF($A39="","",IF(ISNUMBER('Raw data'!V39),'Raw data'!V39*100,""))</f>
        <v>2</v>
      </c>
      <c r="J39" s="42" t="n">
        <f aca="false">IF($A39="","",IF(ISNUMBER('Raw data'!W39),'Raw data'!W39*100,""))</f>
        <v>1</v>
      </c>
      <c r="K39" s="42" t="n">
        <f aca="false">IF($A39="","",IF(ISNUMBER('Raw data'!X39),'Raw data'!X39*100,""))</f>
        <v>3.5</v>
      </c>
      <c r="L39" s="42" t="n">
        <f aca="false">IF($A39="","",IF('Raw data'!Z39&lt;&gt;"",'Raw data'!Z39*100,IF(AND(N('Raw data'!J39)&gt;0,'Raw data'!U39&lt;&gt;""),'Raw data'!U39*(1+N('Raw data'!W39))/('Raw data'!J39*(1+N('Raw data'!L39)))*100,"")))</f>
        <v>6.49861499040382</v>
      </c>
      <c r="M39" s="42" t="n">
        <f aca="false">IF($A39="","",IF('Raw data'!Y39&lt;&gt;"",'Raw data'!Y39*100,IF(AND(N('Raw data'!J39)&gt;0,'Raw data'!U39&lt;&gt;""),'Raw data'!U39/'Raw data'!J39*100,"")))</f>
        <v>6.59090909090909</v>
      </c>
      <c r="N39" s="43" t="n">
        <f aca="false">IF($A39="","",IF(ISNUMBER('Raw data'!AA39),'Raw data'!AA39,""))</f>
        <v>4</v>
      </c>
      <c r="O39" s="43" t="n">
        <f aca="false">IF($A39="","",IF(ISNUMBER('Raw data'!AB39),'Raw data'!AB39,""))</f>
        <v>3</v>
      </c>
      <c r="P39" s="43" t="n">
        <f aca="false">IF($A39="","",IF(ISNUMBER('Raw data'!AC39),'Raw data'!AC39,""))</f>
        <v>3</v>
      </c>
      <c r="Q39" s="43" t="n">
        <f aca="false">IF($A39="","",IF(ISNUMBER('Raw data'!AD39),'Raw data'!AD39,""))</f>
        <v>3</v>
      </c>
      <c r="R39" s="43" t="n">
        <f aca="false">IF($A39="","",IF(ISNUMBER('Raw data'!N39),'Raw data'!N39*100,""))</f>
        <v>59.1599551432358</v>
      </c>
      <c r="S39" s="42" t="n">
        <f aca="false">IF($A39="","",IF(ISNUMBER('Raw data'!O39),'Raw data'!O39*100,""))</f>
        <v>1.53103604232856</v>
      </c>
      <c r="T39" s="42" t="n">
        <f aca="false">IF($A39="","",IF(ISNUMBER('Raw data'!P39),'Raw data'!P39*100,""))</f>
        <v>-0.598253776782132</v>
      </c>
      <c r="U39" s="42" t="n">
        <f aca="false">IF($A39="","",IF(ISNUMBER('Raw data'!Q39),'Raw data'!Q39*100,""))</f>
        <v>3.13870044129079</v>
      </c>
      <c r="V39" s="42" t="n">
        <f aca="false">IF($A39="","",IF(ISNUMBER('Raw data'!R39),'Raw data'!R39*100,""))</f>
        <v>-4.83484732141297</v>
      </c>
      <c r="W39" s="42" t="n">
        <f aca="false">IF($A39="","",IF(ISNUMBER('Raw data'!S39),'Raw data'!S39*100,""))</f>
        <v>6.82746713263438</v>
      </c>
      <c r="X39" s="42" t="n">
        <f aca="false">IF($A39="","",IF(ISNUMBER('Raw data'!T39),'Raw data'!T39*100,""))</f>
        <v>0.962630833084033</v>
      </c>
      <c r="Y39" s="37" t="str">
        <f aca="false">IF($A39="","",IF('Raw data'!D39="","",'Raw data'!D39))</f>
        <v>Heating</v>
      </c>
      <c r="Z39" s="38" t="n">
        <f aca="false">IF($A39="","",IF(ISNUMBER('Raw data'!F39),'Raw data'!F39,""))</f>
        <v>11770.8</v>
      </c>
      <c r="AA39" s="38" t="n">
        <f aca="false">IF($A39="","",IF(ISNUMBER('Raw data'!G39),'Raw data'!G39,""))</f>
        <v>178</v>
      </c>
      <c r="AB39" s="42" t="n">
        <f aca="false">IF($A39="","",IF(ISNUMBER('Raw data'!H39),'Raw data'!H39*100,IF(ISNUMBER('Raw data'!K39),'Raw data'!K39*100,"")))</f>
        <v>-1.37269352433753</v>
      </c>
      <c r="AC39" s="42" t="n">
        <f aca="false">IF($A39="","",IF(ISNUMBER('Raw data'!I39),'Raw data'!I39*100,IF(ISNUMBER('Raw data'!M39),'Raw data'!M39*100,"")))</f>
        <v>2.23445448537853</v>
      </c>
      <c r="AD39" s="44" t="n">
        <f aca="false">IF($A39="","",IF(AND(ISNUMBER('Raw data'!N39),ISNUMBER('Raw data'!L39),ISNUMBER('Raw data'!P39),ISNUMBER('Raw data'!S39)),ROUND(('Raw data'!N39*'Raw data'!P39+(1-'Raw data'!N39)*'Raw data'!S39-'Raw data'!L39)*100,1),""))</f>
        <v>0</v>
      </c>
    </row>
    <row r="40" customFormat="false" ht="15" hidden="false" customHeight="false" outlineLevel="0" collapsed="false">
      <c r="A40" s="37" t="str">
        <f aca="false">IF(TRIM('Raw data'!A40)="","",TRIM('Raw data'!A40))</f>
        <v>Norway</v>
      </c>
      <c r="B40" s="37" t="str">
        <f aca="false">IF($A40="","",IF('Raw data'!B40="",UPPER(LEFT($A40,3)),'Raw data'!B40))</f>
        <v>NO</v>
      </c>
      <c r="C40" s="37" t="str">
        <f aca="false">IF($A40="","",'Raw data'!C40)</f>
        <v>Commercial</v>
      </c>
      <c r="D40" s="38" t="n">
        <f aca="false">IF(OR($A40="",'Raw data'!J40=""),"",'Raw data'!J40)</f>
        <v>9</v>
      </c>
      <c r="E40" s="38" t="n">
        <f aca="false">IF(OR($A40="",'Raw data'!U40=""),"",'Raw data'!U40)</f>
        <v>0.3</v>
      </c>
      <c r="F40" s="42" t="n">
        <f aca="false">IF($A40="","",IF(ISNUMBER('Raw data'!K40),'Raw data'!K40*100,""))</f>
        <v>-1.37269352433753</v>
      </c>
      <c r="G40" s="42" t="n">
        <f aca="false">IF($A40="","",IF(ISNUMBER('Raw data'!L40),'Raw data'!L40*100,""))</f>
        <v>2.43441397356168</v>
      </c>
      <c r="H40" s="42" t="n">
        <f aca="false">IF($A40="","",IF(ISNUMBER('Raw data'!M40),'Raw data'!M40*100,""))</f>
        <v>2.23445448537853</v>
      </c>
      <c r="I40" s="42" t="n">
        <f aca="false">IF($A40="","",IF(ISNUMBER('Raw data'!V40),'Raw data'!V40*100,""))</f>
        <v>3.5</v>
      </c>
      <c r="J40" s="42" t="n">
        <f aca="false">IF($A40="","",IF(ISNUMBER('Raw data'!W40),'Raw data'!W40*100,""))</f>
        <v>2.5</v>
      </c>
      <c r="K40" s="42" t="n">
        <f aca="false">IF($A40="","",IF(ISNUMBER('Raw data'!X40),'Raw data'!X40*100,""))</f>
        <v>5</v>
      </c>
      <c r="L40" s="42" t="n">
        <f aca="false">IF($A40="","",IF('Raw data'!Z40&lt;&gt;"",'Raw data'!Z40*100,IF(AND(N('Raw data'!J40)&gt;0,'Raw data'!U40&lt;&gt;""),'Raw data'!U40*(1+N('Raw data'!W40))/('Raw data'!J40*(1+N('Raw data'!L40)))*100,"")))</f>
        <v>3.33546757786744</v>
      </c>
      <c r="M40" s="42" t="n">
        <f aca="false">IF($A40="","",IF('Raw data'!Y40&lt;&gt;"",'Raw data'!Y40*100,IF(AND(N('Raw data'!J40)&gt;0,'Raw data'!U40&lt;&gt;""),'Raw data'!U40/'Raw data'!J40*100,"")))</f>
        <v>3.33333333333333</v>
      </c>
      <c r="N40" s="43" t="n">
        <f aca="false">IF($A40="","",IF(ISNUMBER('Raw data'!AA40),'Raw data'!AA40,""))</f>
        <v>4</v>
      </c>
      <c r="O40" s="43" t="n">
        <f aca="false">IF($A40="","",IF(ISNUMBER('Raw data'!AB40),'Raw data'!AB40,""))</f>
        <v>3</v>
      </c>
      <c r="P40" s="43" t="n">
        <f aca="false">IF($A40="","",IF(ISNUMBER('Raw data'!AC40),'Raw data'!AC40,""))</f>
        <v>3</v>
      </c>
      <c r="Q40" s="43" t="n">
        <f aca="false">IF($A40="","",IF(ISNUMBER('Raw data'!AD40),'Raw data'!AD40,""))</f>
        <v>3</v>
      </c>
      <c r="R40" s="43" t="n">
        <f aca="false">IF($A40="","",IF(ISNUMBER('Raw data'!N40),'Raw data'!N40*100,""))</f>
        <v>59.1599551432358</v>
      </c>
      <c r="S40" s="42" t="n">
        <f aca="false">IF($A40="","",IF(ISNUMBER('Raw data'!O40),'Raw data'!O40*100,""))</f>
        <v>1.53103604232856</v>
      </c>
      <c r="T40" s="42" t="n">
        <f aca="false">IF($A40="","",IF(ISNUMBER('Raw data'!P40),'Raw data'!P40*100,""))</f>
        <v>-0.598253776782132</v>
      </c>
      <c r="U40" s="42" t="n">
        <f aca="false">IF($A40="","",IF(ISNUMBER('Raw data'!Q40),'Raw data'!Q40*100,""))</f>
        <v>3.13870044129079</v>
      </c>
      <c r="V40" s="42" t="n">
        <f aca="false">IF($A40="","",IF(ISNUMBER('Raw data'!R40),'Raw data'!R40*100,""))</f>
        <v>-4.83484732141297</v>
      </c>
      <c r="W40" s="42" t="n">
        <f aca="false">IF($A40="","",IF(ISNUMBER('Raw data'!S40),'Raw data'!S40*100,""))</f>
        <v>6.82746713263438</v>
      </c>
      <c r="X40" s="42" t="n">
        <f aca="false">IF($A40="","",IF(ISNUMBER('Raw data'!T40),'Raw data'!T40*100,""))</f>
        <v>0.962630833084033</v>
      </c>
      <c r="Y40" s="37" t="str">
        <f aca="false">IF($A40="","",IF('Raw data'!D40="","",'Raw data'!D40))</f>
        <v>Cooling</v>
      </c>
      <c r="Z40" s="38" t="n">
        <f aca="false">IF($A40="","",IF(ISNUMBER('Raw data'!F40),'Raw data'!F40,""))</f>
        <v>11770.8</v>
      </c>
      <c r="AA40" s="38" t="n">
        <f aca="false">IF($A40="","",IF(ISNUMBER('Raw data'!G40),'Raw data'!G40,""))</f>
        <v>29</v>
      </c>
      <c r="AB40" s="42" t="n">
        <f aca="false">IF($A40="","",IF(ISNUMBER('Raw data'!H40),'Raw data'!H40*100,IF(ISNUMBER('Raw data'!K40),'Raw data'!K40*100,"")))</f>
        <v>-1.37269352433753</v>
      </c>
      <c r="AC40" s="42" t="n">
        <f aca="false">IF($A40="","",IF(ISNUMBER('Raw data'!I40),'Raw data'!I40*100,IF(ISNUMBER('Raw data'!M40),'Raw data'!M40*100,"")))</f>
        <v>2.23445448537853</v>
      </c>
      <c r="AD40" s="44" t="n">
        <f aca="false">IF($A40="","",IF(AND(ISNUMBER('Raw data'!N40),ISNUMBER('Raw data'!L40),ISNUMBER('Raw data'!P40),ISNUMBER('Raw data'!S40)),ROUND(('Raw data'!N40*'Raw data'!P40+(1-'Raw data'!N40)*'Raw data'!S40-'Raw data'!L40)*100,1),""))</f>
        <v>0</v>
      </c>
    </row>
    <row r="41" customFormat="false" ht="15" hidden="false" customHeight="false" outlineLevel="0" collapsed="false">
      <c r="A41" s="37" t="str">
        <f aca="false">IF(TRIM('Raw data'!A41)="","",TRIM('Raw data'!A41))</f>
        <v>Norway</v>
      </c>
      <c r="B41" s="37" t="str">
        <f aca="false">IF($A41="","",IF('Raw data'!B41="",UPPER(LEFT($A41,3)),'Raw data'!B41))</f>
        <v>NO</v>
      </c>
      <c r="C41" s="37" t="str">
        <f aca="false">IF($A41="","",'Raw data'!C41)</f>
        <v>Commercial</v>
      </c>
      <c r="D41" s="38" t="n">
        <f aca="false">IF(OR($A41="",'Raw data'!J41=""),"",'Raw data'!J41)</f>
        <v>33</v>
      </c>
      <c r="E41" s="38" t="n">
        <f aca="false">IF(OR($A41="",'Raw data'!U41=""),"",'Raw data'!U41)</f>
        <v>1.6</v>
      </c>
      <c r="F41" s="42" t="n">
        <f aca="false">IF($A41="","",IF(ISNUMBER('Raw data'!K41),'Raw data'!K41*100,""))</f>
        <v>-1.37269352433753</v>
      </c>
      <c r="G41" s="42" t="n">
        <f aca="false">IF($A41="","",IF(ISNUMBER('Raw data'!L41),'Raw data'!L41*100,""))</f>
        <v>2.43441397356168</v>
      </c>
      <c r="H41" s="42" t="n">
        <f aca="false">IF($A41="","",IF(ISNUMBER('Raw data'!M41),'Raw data'!M41*100,""))</f>
        <v>2.23445448537853</v>
      </c>
      <c r="I41" s="42" t="n">
        <f aca="false">IF($A41="","",IF(ISNUMBER('Raw data'!V41),'Raw data'!V41*100,""))</f>
        <v>2.5</v>
      </c>
      <c r="J41" s="42" t="n">
        <f aca="false">IF($A41="","",IF(ISNUMBER('Raw data'!W41),'Raw data'!W41*100,""))</f>
        <v>1.5</v>
      </c>
      <c r="K41" s="42" t="n">
        <f aca="false">IF($A41="","",IF(ISNUMBER('Raw data'!X41),'Raw data'!X41*100,""))</f>
        <v>4</v>
      </c>
      <c r="L41" s="42" t="n">
        <f aca="false">IF($A41="","",IF('Raw data'!Z41&lt;&gt;"",'Raw data'!Z41*100,IF(AND(N('Raw data'!J41)&gt;0,'Raw data'!U41&lt;&gt;""),'Raw data'!U41*(1+N('Raw data'!W41))/('Raw data'!J41*(1+N('Raw data'!L41)))*100,"")))</f>
        <v>4.80425662656916</v>
      </c>
      <c r="M41" s="42" t="n">
        <f aca="false">IF($A41="","",IF('Raw data'!Y41&lt;&gt;"",'Raw data'!Y41*100,IF(AND(N('Raw data'!J41)&gt;0,'Raw data'!U41&lt;&gt;""),'Raw data'!U41/'Raw data'!J41*100,"")))</f>
        <v>4.84848484848485</v>
      </c>
      <c r="N41" s="43" t="n">
        <f aca="false">IF($A41="","",IF(ISNUMBER('Raw data'!AA41),'Raw data'!AA41,""))</f>
        <v>4</v>
      </c>
      <c r="O41" s="43" t="n">
        <f aca="false">IF($A41="","",IF(ISNUMBER('Raw data'!AB41),'Raw data'!AB41,""))</f>
        <v>3</v>
      </c>
      <c r="P41" s="43" t="n">
        <f aca="false">IF($A41="","",IF(ISNUMBER('Raw data'!AC41),'Raw data'!AC41,""))</f>
        <v>3</v>
      </c>
      <c r="Q41" s="43" t="n">
        <f aca="false">IF($A41="","",IF(ISNUMBER('Raw data'!AD41),'Raw data'!AD41,""))</f>
        <v>3</v>
      </c>
      <c r="R41" s="43" t="n">
        <f aca="false">IF($A41="","",IF(ISNUMBER('Raw data'!N41),'Raw data'!N41*100,""))</f>
        <v>59.1599551432358</v>
      </c>
      <c r="S41" s="42" t="n">
        <f aca="false">IF($A41="","",IF(ISNUMBER('Raw data'!O41),'Raw data'!O41*100,""))</f>
        <v>1.53103604232856</v>
      </c>
      <c r="T41" s="42" t="n">
        <f aca="false">IF($A41="","",IF(ISNUMBER('Raw data'!P41),'Raw data'!P41*100,""))</f>
        <v>-0.598253776782132</v>
      </c>
      <c r="U41" s="42" t="n">
        <f aca="false">IF($A41="","",IF(ISNUMBER('Raw data'!Q41),'Raw data'!Q41*100,""))</f>
        <v>3.13870044129079</v>
      </c>
      <c r="V41" s="42" t="n">
        <f aca="false">IF($A41="","",IF(ISNUMBER('Raw data'!R41),'Raw data'!R41*100,""))</f>
        <v>-4.83484732141297</v>
      </c>
      <c r="W41" s="42" t="n">
        <f aca="false">IF($A41="","",IF(ISNUMBER('Raw data'!S41),'Raw data'!S41*100,""))</f>
        <v>6.82746713263438</v>
      </c>
      <c r="X41" s="42" t="n">
        <f aca="false">IF($A41="","",IF(ISNUMBER('Raw data'!T41),'Raw data'!T41*100,""))</f>
        <v>0.962630833084033</v>
      </c>
      <c r="Y41" s="37" t="str">
        <f aca="false">IF($A41="","",IF('Raw data'!D41="","",'Raw data'!D41))</f>
        <v>Sanitary</v>
      </c>
      <c r="Z41" s="38" t="n">
        <f aca="false">IF($A41="","",IF(ISNUMBER('Raw data'!F41),'Raw data'!F41,""))</f>
        <v>11770.8</v>
      </c>
      <c r="AA41" s="38" t="n">
        <f aca="false">IF($A41="","",IF(ISNUMBER('Raw data'!G41),'Raw data'!G41,""))</f>
        <v>81</v>
      </c>
      <c r="AB41" s="42" t="n">
        <f aca="false">IF($A41="","",IF(ISNUMBER('Raw data'!H41),'Raw data'!H41*100,IF(ISNUMBER('Raw data'!K41),'Raw data'!K41*100,"")))</f>
        <v>-1.37269352433753</v>
      </c>
      <c r="AC41" s="42" t="n">
        <f aca="false">IF($A41="","",IF(ISNUMBER('Raw data'!I41),'Raw data'!I41*100,IF(ISNUMBER('Raw data'!M41),'Raw data'!M41*100,"")))</f>
        <v>2.23445448537853</v>
      </c>
      <c r="AD41" s="44" t="n">
        <f aca="false">IF($A41="","",IF(AND(ISNUMBER('Raw data'!N41),ISNUMBER('Raw data'!L41),ISNUMBER('Raw data'!P41),ISNUMBER('Raw data'!S41)),ROUND(('Raw data'!N41*'Raw data'!P41+(1-'Raw data'!N41)*'Raw data'!S41-'Raw data'!L41)*100,1),""))</f>
        <v>0</v>
      </c>
    </row>
    <row r="42" customFormat="false" ht="15" hidden="false" customHeight="false" outlineLevel="0" collapsed="false">
      <c r="A42" s="37" t="str">
        <f aca="false">IF(TRIM('Raw data'!A42)="","",TRIM('Raw data'!A42))</f>
        <v>Finland</v>
      </c>
      <c r="B42" s="37" t="str">
        <f aca="false">IF($A42="","",IF('Raw data'!B42="",UPPER(LEFT($A42,3)),'Raw data'!B42))</f>
        <v>FI</v>
      </c>
      <c r="C42" s="37" t="str">
        <f aca="false">IF($A42="","",'Raw data'!C42)</f>
        <v>Residential</v>
      </c>
      <c r="D42" s="38" t="n">
        <f aca="false">IF(OR($A42="",'Raw data'!J42=""),"",'Raw data'!J42)</f>
        <v>13</v>
      </c>
      <c r="E42" s="38" t="n">
        <f aca="false">IF(OR($A42="",'Raw data'!U42=""),"",'Raw data'!U42)</f>
        <v>1</v>
      </c>
      <c r="F42" s="42" t="n">
        <f aca="false">IF($A42="","",IF(ISNUMBER('Raw data'!K42),'Raw data'!K42*100,""))</f>
        <v>-6.24297451878662</v>
      </c>
      <c r="G42" s="42" t="n">
        <f aca="false">IF($A42="","",IF(ISNUMBER('Raw data'!L42),'Raw data'!L42*100,""))</f>
        <v>-2.97078842881453</v>
      </c>
      <c r="H42" s="42" t="n">
        <f aca="false">IF($A42="","",IF(ISNUMBER('Raw data'!M42),'Raw data'!M42*100,""))</f>
        <v>4.10537557782591</v>
      </c>
      <c r="I42" s="42" t="n">
        <f aca="false">IF($A42="","",IF(ISNUMBER('Raw data'!V42),'Raw data'!V42*100,""))</f>
        <v>0.5</v>
      </c>
      <c r="J42" s="42" t="n">
        <f aca="false">IF($A42="","",IF(ISNUMBER('Raw data'!W42),'Raw data'!W42*100,""))</f>
        <v>-0.5</v>
      </c>
      <c r="K42" s="42" t="n">
        <f aca="false">IF($A42="","",IF(ISNUMBER('Raw data'!X42),'Raw data'!X42*100,""))</f>
        <v>3</v>
      </c>
      <c r="L42" s="42" t="n">
        <f aca="false">IF($A42="","",IF('Raw data'!Z42&lt;&gt;"",'Raw data'!Z42*100,IF(AND(N('Raw data'!J42)&gt;0,'Raw data'!U42&lt;&gt;""),'Raw data'!U42*(1+N('Raw data'!W42))/('Raw data'!J42*(1+N('Raw data'!L42)))*100,"")))</f>
        <v>7.888187515809</v>
      </c>
      <c r="M42" s="42" t="n">
        <f aca="false">IF($A42="","",IF('Raw data'!Y42&lt;&gt;"",'Raw data'!Y42*100,IF(AND(N('Raw data'!J42)&gt;0,'Raw data'!U42&lt;&gt;""),'Raw data'!U42/'Raw data'!J42*100,"")))</f>
        <v>7.69230769230769</v>
      </c>
      <c r="N42" s="43" t="n">
        <f aca="false">IF($A42="","",IF(ISNUMBER('Raw data'!AA42),'Raw data'!AA42,""))</f>
        <v>4</v>
      </c>
      <c r="O42" s="43" t="n">
        <f aca="false">IF($A42="","",IF(ISNUMBER('Raw data'!AB42),'Raw data'!AB42,""))</f>
        <v>3</v>
      </c>
      <c r="P42" s="43" t="n">
        <f aca="false">IF($A42="","",IF(ISNUMBER('Raw data'!AC42),'Raw data'!AC42,""))</f>
        <v>3</v>
      </c>
      <c r="Q42" s="43" t="n">
        <f aca="false">IF($A42="","",IF(ISNUMBER('Raw data'!AD42),'Raw data'!AD42,""))</f>
        <v>3</v>
      </c>
      <c r="R42" s="43" t="n">
        <f aca="false">IF($A42="","",IF(ISNUMBER('Raw data'!N42),'Raw data'!N42*100,""))</f>
        <v>80.0228067687654</v>
      </c>
      <c r="S42" s="42" t="n">
        <f aca="false">IF($A42="","",IF(ISNUMBER('Raw data'!O42),'Raw data'!O42*100,""))</f>
        <v>-4.01624266565354</v>
      </c>
      <c r="T42" s="42" t="n">
        <f aca="false">IF($A42="","",IF(ISNUMBER('Raw data'!P42),'Raw data'!P42*100,""))</f>
        <v>-1.63397003772973</v>
      </c>
      <c r="U42" s="42" t="n">
        <f aca="false">IF($A42="","",IF(ISNUMBER('Raw data'!Q42),'Raw data'!Q42*100,""))</f>
        <v>3.79303960728621</v>
      </c>
      <c r="V42" s="42" t="n">
        <f aca="false">IF($A42="","",IF(ISNUMBER('Raw data'!R42),'Raw data'!R42*100,""))</f>
        <v>-12.8804316121209</v>
      </c>
      <c r="W42" s="42" t="n">
        <f aca="false">IF($A42="","",IF(ISNUMBER('Raw data'!S42),'Raw data'!S42*100,""))</f>
        <v>-8.32569282186273</v>
      </c>
      <c r="X42" s="42" t="n">
        <f aca="false">IF($A42="","",IF(ISNUMBER('Raw data'!T42),'Raw data'!T42*100,""))</f>
        <v>5.40684666979081</v>
      </c>
      <c r="Y42" s="37" t="str">
        <f aca="false">IF($A42="","",IF('Raw data'!D42="","",'Raw data'!D42))</f>
        <v>Heating</v>
      </c>
      <c r="Z42" s="38" t="n">
        <f aca="false">IF($A42="","",IF(ISNUMBER('Raw data'!F42),'Raw data'!F42,""))</f>
        <v>1692.48</v>
      </c>
      <c r="AA42" s="38" t="n">
        <f aca="false">IF($A42="","",IF(ISNUMBER('Raw data'!G42),'Raw data'!G42,""))</f>
        <v>26</v>
      </c>
      <c r="AB42" s="42" t="n">
        <f aca="false">IF($A42="","",IF(ISNUMBER('Raw data'!H42),'Raw data'!H42*100,IF(ISNUMBER('Raw data'!K42),'Raw data'!K42*100,"")))</f>
        <v>-6.24297451878662</v>
      </c>
      <c r="AC42" s="42" t="n">
        <f aca="false">IF($A42="","",IF(ISNUMBER('Raw data'!I42),'Raw data'!I42*100,IF(ISNUMBER('Raw data'!M42),'Raw data'!M42*100,"")))</f>
        <v>4.10537557782591</v>
      </c>
      <c r="AD42" s="44" t="n">
        <f aca="false">IF($A42="","",IF(AND(ISNUMBER('Raw data'!N42),ISNUMBER('Raw data'!L42),ISNUMBER('Raw data'!P42),ISNUMBER('Raw data'!S42)),ROUND(('Raw data'!N42*'Raw data'!P42+(1-'Raw data'!N42)*'Raw data'!S42-'Raw data'!L42)*100,1),""))</f>
        <v>0</v>
      </c>
    </row>
    <row r="43" customFormat="false" ht="15" hidden="false" customHeight="false" outlineLevel="0" collapsed="false">
      <c r="A43" s="37" t="str">
        <f aca="false">IF(TRIM('Raw data'!A43)="","",TRIM('Raw data'!A43))</f>
        <v>Finland</v>
      </c>
      <c r="B43" s="37" t="str">
        <f aca="false">IF($A43="","",IF('Raw data'!B43="",UPPER(LEFT($A43,3)),'Raw data'!B43))</f>
        <v>FI</v>
      </c>
      <c r="C43" s="37" t="str">
        <f aca="false">IF($A43="","",'Raw data'!C43)</f>
        <v>Residential</v>
      </c>
      <c r="D43" s="38" t="n">
        <f aca="false">IF(OR($A43="",'Raw data'!J43=""),"",'Raw data'!J43)</f>
        <v>1</v>
      </c>
      <c r="E43" s="38" t="n">
        <f aca="false">IF(OR($A43="",'Raw data'!U43=""),"",'Raw data'!U43)</f>
        <v>0</v>
      </c>
      <c r="F43" s="42" t="n">
        <f aca="false">IF($A43="","",IF(ISNUMBER('Raw data'!K43),'Raw data'!K43*100,""))</f>
        <v>-6.24297451878662</v>
      </c>
      <c r="G43" s="42" t="n">
        <f aca="false">IF($A43="","",IF(ISNUMBER('Raw data'!L43),'Raw data'!L43*100,""))</f>
        <v>-2.97078842881453</v>
      </c>
      <c r="H43" s="42" t="n">
        <f aca="false">IF($A43="","",IF(ISNUMBER('Raw data'!M43),'Raw data'!M43*100,""))</f>
        <v>4.10537557782591</v>
      </c>
      <c r="I43" s="42" t="n">
        <f aca="false">IF($A43="","",IF(ISNUMBER('Raw data'!V43),'Raw data'!V43*100,""))</f>
        <v>2</v>
      </c>
      <c r="J43" s="42" t="n">
        <f aca="false">IF($A43="","",IF(ISNUMBER('Raw data'!W43),'Raw data'!W43*100,""))</f>
        <v>1</v>
      </c>
      <c r="K43" s="42" t="n">
        <f aca="false">IF($A43="","",IF(ISNUMBER('Raw data'!X43),'Raw data'!X43*100,""))</f>
        <v>4.5</v>
      </c>
      <c r="L43" s="42" t="n">
        <f aca="false">IF($A43="","",IF('Raw data'!Z43&lt;&gt;"",'Raw data'!Z43*100,IF(AND(N('Raw data'!J43)&gt;0,'Raw data'!U43&lt;&gt;""),'Raw data'!U43*(1+N('Raw data'!W43))/('Raw data'!J43*(1+N('Raw data'!L43)))*100,"")))</f>
        <v>0</v>
      </c>
      <c r="M43" s="42" t="n">
        <f aca="false">IF($A43="","",IF('Raw data'!Y43&lt;&gt;"",'Raw data'!Y43*100,IF(AND(N('Raw data'!J43)&gt;0,'Raw data'!U43&lt;&gt;""),'Raw data'!U43/'Raw data'!J43*100,"")))</f>
        <v>0</v>
      </c>
      <c r="N43" s="43" t="n">
        <f aca="false">IF($A43="","",IF(ISNUMBER('Raw data'!AA43),'Raw data'!AA43,""))</f>
        <v>4</v>
      </c>
      <c r="O43" s="43" t="n">
        <f aca="false">IF($A43="","",IF(ISNUMBER('Raw data'!AB43),'Raw data'!AB43,""))</f>
        <v>3</v>
      </c>
      <c r="P43" s="43" t="n">
        <f aca="false">IF($A43="","",IF(ISNUMBER('Raw data'!AC43),'Raw data'!AC43,""))</f>
        <v>3</v>
      </c>
      <c r="Q43" s="43" t="n">
        <f aca="false">IF($A43="","",IF(ISNUMBER('Raw data'!AD43),'Raw data'!AD43,""))</f>
        <v>3</v>
      </c>
      <c r="R43" s="43" t="n">
        <f aca="false">IF($A43="","",IF(ISNUMBER('Raw data'!N43),'Raw data'!N43*100,""))</f>
        <v>80.0228067687654</v>
      </c>
      <c r="S43" s="42" t="n">
        <f aca="false">IF($A43="","",IF(ISNUMBER('Raw data'!O43),'Raw data'!O43*100,""))</f>
        <v>-4.01624266565354</v>
      </c>
      <c r="T43" s="42" t="n">
        <f aca="false">IF($A43="","",IF(ISNUMBER('Raw data'!P43),'Raw data'!P43*100,""))</f>
        <v>-1.63397003772973</v>
      </c>
      <c r="U43" s="42" t="n">
        <f aca="false">IF($A43="","",IF(ISNUMBER('Raw data'!Q43),'Raw data'!Q43*100,""))</f>
        <v>3.79303960728621</v>
      </c>
      <c r="V43" s="42" t="n">
        <f aca="false">IF($A43="","",IF(ISNUMBER('Raw data'!R43),'Raw data'!R43*100,""))</f>
        <v>-12.8804316121209</v>
      </c>
      <c r="W43" s="42" t="n">
        <f aca="false">IF($A43="","",IF(ISNUMBER('Raw data'!S43),'Raw data'!S43*100,""))</f>
        <v>-8.32569282186273</v>
      </c>
      <c r="X43" s="42" t="n">
        <f aca="false">IF($A43="","",IF(ISNUMBER('Raw data'!T43),'Raw data'!T43*100,""))</f>
        <v>5.40684666979081</v>
      </c>
      <c r="Y43" s="37" t="str">
        <f aca="false">IF($A43="","",IF('Raw data'!D43="","",'Raw data'!D43))</f>
        <v>Cooling</v>
      </c>
      <c r="Z43" s="38" t="n">
        <f aca="false">IF($A43="","",IF(ISNUMBER('Raw data'!F43),'Raw data'!F43,""))</f>
        <v>1692.48</v>
      </c>
      <c r="AA43" s="38" t="n">
        <f aca="false">IF($A43="","",IF(ISNUMBER('Raw data'!G43),'Raw data'!G43,""))</f>
        <v>3</v>
      </c>
      <c r="AB43" s="42" t="n">
        <f aca="false">IF($A43="","",IF(ISNUMBER('Raw data'!H43),'Raw data'!H43*100,IF(ISNUMBER('Raw data'!K43),'Raw data'!K43*100,"")))</f>
        <v>-6.24297451878662</v>
      </c>
      <c r="AC43" s="42" t="n">
        <f aca="false">IF($A43="","",IF(ISNUMBER('Raw data'!I43),'Raw data'!I43*100,IF(ISNUMBER('Raw data'!M43),'Raw data'!M43*100,"")))</f>
        <v>4.10537557782591</v>
      </c>
      <c r="AD43" s="44" t="n">
        <f aca="false">IF($A43="","",IF(AND(ISNUMBER('Raw data'!N43),ISNUMBER('Raw data'!L43),ISNUMBER('Raw data'!P43),ISNUMBER('Raw data'!S43)),ROUND(('Raw data'!N43*'Raw data'!P43+(1-'Raw data'!N43)*'Raw data'!S43-'Raw data'!L43)*100,1),""))</f>
        <v>0</v>
      </c>
    </row>
    <row r="44" customFormat="false" ht="15" hidden="false" customHeight="false" outlineLevel="0" collapsed="false">
      <c r="A44" s="37" t="str">
        <f aca="false">IF(TRIM('Raw data'!A44)="","",TRIM('Raw data'!A44))</f>
        <v>Finland</v>
      </c>
      <c r="B44" s="37" t="str">
        <f aca="false">IF($A44="","",IF('Raw data'!B44="",UPPER(LEFT($A44,3)),'Raw data'!B44))</f>
        <v>FI</v>
      </c>
      <c r="C44" s="37" t="str">
        <f aca="false">IF($A44="","",'Raw data'!C44)</f>
        <v>Residential</v>
      </c>
      <c r="D44" s="38" t="n">
        <f aca="false">IF(OR($A44="",'Raw data'!J44=""),"",'Raw data'!J44)</f>
        <v>5</v>
      </c>
      <c r="E44" s="38" t="n">
        <f aca="false">IF(OR($A44="",'Raw data'!U44=""),"",'Raw data'!U44)</f>
        <v>0.3</v>
      </c>
      <c r="F44" s="42" t="n">
        <f aca="false">IF($A44="","",IF(ISNUMBER('Raw data'!K44),'Raw data'!K44*100,""))</f>
        <v>-6.24297451878662</v>
      </c>
      <c r="G44" s="42" t="n">
        <f aca="false">IF($A44="","",IF(ISNUMBER('Raw data'!L44),'Raw data'!L44*100,""))</f>
        <v>-2.97078842881453</v>
      </c>
      <c r="H44" s="42" t="n">
        <f aca="false">IF($A44="","",IF(ISNUMBER('Raw data'!M44),'Raw data'!M44*100,""))</f>
        <v>4.10537557782591</v>
      </c>
      <c r="I44" s="42" t="n">
        <f aca="false">IF($A44="","",IF(ISNUMBER('Raw data'!V44),'Raw data'!V44*100,""))</f>
        <v>1</v>
      </c>
      <c r="J44" s="42" t="n">
        <f aca="false">IF($A44="","",IF(ISNUMBER('Raw data'!W44),'Raw data'!W44*100,""))</f>
        <v>0</v>
      </c>
      <c r="K44" s="42" t="n">
        <f aca="false">IF($A44="","",IF(ISNUMBER('Raw data'!X44),'Raw data'!X44*100,""))</f>
        <v>3.5</v>
      </c>
      <c r="L44" s="42" t="n">
        <f aca="false">IF($A44="","",IF('Raw data'!Z44&lt;&gt;"",'Raw data'!Z44*100,IF(AND(N('Raw data'!J44)&gt;0,'Raw data'!U44&lt;&gt;""),'Raw data'!U44*(1+N('Raw data'!W44))/('Raw data'!J44*(1+N('Raw data'!L44)))*100,"")))</f>
        <v>6.18370478626233</v>
      </c>
      <c r="M44" s="42" t="n">
        <f aca="false">IF($A44="","",IF('Raw data'!Y44&lt;&gt;"",'Raw data'!Y44*100,IF(AND(N('Raw data'!J44)&gt;0,'Raw data'!U44&lt;&gt;""),'Raw data'!U44/'Raw data'!J44*100,"")))</f>
        <v>6</v>
      </c>
      <c r="N44" s="43" t="n">
        <f aca="false">IF($A44="","",IF(ISNUMBER('Raw data'!AA44),'Raw data'!AA44,""))</f>
        <v>4</v>
      </c>
      <c r="O44" s="43" t="n">
        <f aca="false">IF($A44="","",IF(ISNUMBER('Raw data'!AB44),'Raw data'!AB44,""))</f>
        <v>3</v>
      </c>
      <c r="P44" s="43" t="n">
        <f aca="false">IF($A44="","",IF(ISNUMBER('Raw data'!AC44),'Raw data'!AC44,""))</f>
        <v>3</v>
      </c>
      <c r="Q44" s="43" t="n">
        <f aca="false">IF($A44="","",IF(ISNUMBER('Raw data'!AD44),'Raw data'!AD44,""))</f>
        <v>3</v>
      </c>
      <c r="R44" s="43" t="n">
        <f aca="false">IF($A44="","",IF(ISNUMBER('Raw data'!N44),'Raw data'!N44*100,""))</f>
        <v>80.0228067687654</v>
      </c>
      <c r="S44" s="42" t="n">
        <f aca="false">IF($A44="","",IF(ISNUMBER('Raw data'!O44),'Raw data'!O44*100,""))</f>
        <v>-4.01624266565354</v>
      </c>
      <c r="T44" s="42" t="n">
        <f aca="false">IF($A44="","",IF(ISNUMBER('Raw data'!P44),'Raw data'!P44*100,""))</f>
        <v>-1.63397003772973</v>
      </c>
      <c r="U44" s="42" t="n">
        <f aca="false">IF($A44="","",IF(ISNUMBER('Raw data'!Q44),'Raw data'!Q44*100,""))</f>
        <v>3.79303960728621</v>
      </c>
      <c r="V44" s="42" t="n">
        <f aca="false">IF($A44="","",IF(ISNUMBER('Raw data'!R44),'Raw data'!R44*100,""))</f>
        <v>-12.8804316121209</v>
      </c>
      <c r="W44" s="42" t="n">
        <f aca="false">IF($A44="","",IF(ISNUMBER('Raw data'!S44),'Raw data'!S44*100,""))</f>
        <v>-8.32569282186273</v>
      </c>
      <c r="X44" s="42" t="n">
        <f aca="false">IF($A44="","",IF(ISNUMBER('Raw data'!T44),'Raw data'!T44*100,""))</f>
        <v>5.40684666979081</v>
      </c>
      <c r="Y44" s="37" t="str">
        <f aca="false">IF($A44="","",IF('Raw data'!D44="","",'Raw data'!D44))</f>
        <v>Sanitary</v>
      </c>
      <c r="Z44" s="38" t="n">
        <f aca="false">IF($A44="","",IF(ISNUMBER('Raw data'!F44),'Raw data'!F44,""))</f>
        <v>1692.48</v>
      </c>
      <c r="AA44" s="38" t="n">
        <f aca="false">IF($A44="","",IF(ISNUMBER('Raw data'!G44),'Raw data'!G44,""))</f>
        <v>12</v>
      </c>
      <c r="AB44" s="42" t="n">
        <f aca="false">IF($A44="","",IF(ISNUMBER('Raw data'!H44),'Raw data'!H44*100,IF(ISNUMBER('Raw data'!K44),'Raw data'!K44*100,"")))</f>
        <v>-6.24297451878662</v>
      </c>
      <c r="AC44" s="42" t="n">
        <f aca="false">IF($A44="","",IF(ISNUMBER('Raw data'!I44),'Raw data'!I44*100,IF(ISNUMBER('Raw data'!M44),'Raw data'!M44*100,"")))</f>
        <v>4.10537557782591</v>
      </c>
      <c r="AD44" s="44" t="n">
        <f aca="false">IF($A44="","",IF(AND(ISNUMBER('Raw data'!N44),ISNUMBER('Raw data'!L44),ISNUMBER('Raw data'!P44),ISNUMBER('Raw data'!S44)),ROUND(('Raw data'!N44*'Raw data'!P44+(1-'Raw data'!N44)*'Raw data'!S44-'Raw data'!L44)*100,1),""))</f>
        <v>0</v>
      </c>
    </row>
    <row r="45" customFormat="false" ht="15" hidden="false" customHeight="false" outlineLevel="0" collapsed="false">
      <c r="A45" s="37" t="str">
        <f aca="false">IF(TRIM('Raw data'!A45)="","",TRIM('Raw data'!A45))</f>
        <v>Finland</v>
      </c>
      <c r="B45" s="37" t="str">
        <f aca="false">IF($A45="","",IF('Raw data'!B45="",UPPER(LEFT($A45,3)),'Raw data'!B45))</f>
        <v>FI</v>
      </c>
      <c r="C45" s="37" t="str">
        <f aca="false">IF($A45="","",'Raw data'!C45)</f>
        <v>Commercial</v>
      </c>
      <c r="D45" s="38" t="n">
        <f aca="false">IF(OR($A45="",'Raw data'!J45=""),"",'Raw data'!J45)</f>
        <v>36</v>
      </c>
      <c r="E45" s="38" t="n">
        <f aca="false">IF(OR($A45="",'Raw data'!U45=""),"",'Raw data'!U45)</f>
        <v>2.2</v>
      </c>
      <c r="F45" s="42" t="n">
        <f aca="false">IF($A45="","",IF(ISNUMBER('Raw data'!K45),'Raw data'!K45*100,""))</f>
        <v>-6.2718340864463</v>
      </c>
      <c r="G45" s="42" t="n">
        <f aca="false">IF($A45="","",IF(ISNUMBER('Raw data'!L45),'Raw data'!L45*100,""))</f>
        <v>-0.852818518344989</v>
      </c>
      <c r="H45" s="42" t="n">
        <f aca="false">IF($A45="","",IF(ISNUMBER('Raw data'!M45),'Raw data'!M45*100,""))</f>
        <v>3.30537597407516</v>
      </c>
      <c r="I45" s="42" t="n">
        <f aca="false">IF($A45="","",IF(ISNUMBER('Raw data'!V45),'Raw data'!V45*100,""))</f>
        <v>1</v>
      </c>
      <c r="J45" s="42" t="n">
        <f aca="false">IF($A45="","",IF(ISNUMBER('Raw data'!W45),'Raw data'!W45*100,""))</f>
        <v>0</v>
      </c>
      <c r="K45" s="42" t="n">
        <f aca="false">IF($A45="","",IF(ISNUMBER('Raw data'!X45),'Raw data'!X45*100,""))</f>
        <v>3.5</v>
      </c>
      <c r="L45" s="42" t="n">
        <f aca="false">IF($A45="","",IF('Raw data'!Z45&lt;&gt;"",'Raw data'!Z45*100,IF(AND(N('Raw data'!J45)&gt;0,'Raw data'!U45&lt;&gt;""),'Raw data'!U45*(1+N('Raw data'!W45))/('Raw data'!J45*(1+N('Raw data'!L45)))*100,"")))</f>
        <v>6.16367608215049</v>
      </c>
      <c r="M45" s="42" t="n">
        <f aca="false">IF($A45="","",IF('Raw data'!Y45&lt;&gt;"",'Raw data'!Y45*100,IF(AND(N('Raw data'!J45)&gt;0,'Raw data'!U45&lt;&gt;""),'Raw data'!U45/'Raw data'!J45*100,"")))</f>
        <v>6.11111111111111</v>
      </c>
      <c r="N45" s="43" t="n">
        <f aca="false">IF($A45="","",IF(ISNUMBER('Raw data'!AA45),'Raw data'!AA45,""))</f>
        <v>4</v>
      </c>
      <c r="O45" s="43" t="n">
        <f aca="false">IF($A45="","",IF(ISNUMBER('Raw data'!AB45),'Raw data'!AB45,""))</f>
        <v>3</v>
      </c>
      <c r="P45" s="43" t="n">
        <f aca="false">IF($A45="","",IF(ISNUMBER('Raw data'!AC45),'Raw data'!AC45,""))</f>
        <v>3</v>
      </c>
      <c r="Q45" s="43" t="n">
        <f aca="false">IF($A45="","",IF(ISNUMBER('Raw data'!AD45),'Raw data'!AD45,""))</f>
        <v>3</v>
      </c>
      <c r="R45" s="43" t="n">
        <f aca="false">IF($A45="","",IF(ISNUMBER('Raw data'!N45),'Raw data'!N45*100,""))</f>
        <v>62.5839719532611</v>
      </c>
      <c r="S45" s="42" t="n">
        <f aca="false">IF($A45="","",IF(ISNUMBER('Raw data'!O45),'Raw data'!O45*100,""))</f>
        <v>-1.93795965026594</v>
      </c>
      <c r="T45" s="42" t="n">
        <f aca="false">IF($A45="","",IF(ISNUMBER('Raw data'!P45),'Raw data'!P45*100,""))</f>
        <v>2.96631079558796</v>
      </c>
      <c r="U45" s="42" t="n">
        <f aca="false">IF($A45="","",IF(ISNUMBER('Raw data'!Q45),'Raw data'!Q45*100,""))</f>
        <v>2.9650174076602</v>
      </c>
      <c r="V45" s="42" t="n">
        <f aca="false">IF($A45="","",IF(ISNUMBER('Raw data'!R45),'Raw data'!R45*100,""))</f>
        <v>-11.5789490686626</v>
      </c>
      <c r="W45" s="42" t="n">
        <f aca="false">IF($A45="","",IF(ISNUMBER('Raw data'!S45),'Raw data'!S45*100,""))</f>
        <v>-7.24089053845585</v>
      </c>
      <c r="X45" s="42" t="n">
        <f aca="false">IF($A45="","",IF(ISNUMBER('Raw data'!T45),'Raw data'!T45*100,""))</f>
        <v>3.92567847289851</v>
      </c>
      <c r="Y45" s="37" t="str">
        <f aca="false">IF($A45="","",IF('Raw data'!D45="","",'Raw data'!D45))</f>
        <v>Heating</v>
      </c>
      <c r="Z45" s="38" t="n">
        <f aca="false">IF($A45="","",IF(ISNUMBER('Raw data'!F45),'Raw data'!F45,""))</f>
        <v>4695.02</v>
      </c>
      <c r="AA45" s="38" t="n">
        <f aca="false">IF($A45="","",IF(ISNUMBER('Raw data'!G45),'Raw data'!G45,""))</f>
        <v>73</v>
      </c>
      <c r="AB45" s="42" t="n">
        <f aca="false">IF($A45="","",IF(ISNUMBER('Raw data'!H45),'Raw data'!H45*100,IF(ISNUMBER('Raw data'!K45),'Raw data'!K45*100,"")))</f>
        <v>-6.2718340864463</v>
      </c>
      <c r="AC45" s="42" t="n">
        <f aca="false">IF($A45="","",IF(ISNUMBER('Raw data'!I45),'Raw data'!I45*100,IF(ISNUMBER('Raw data'!M45),'Raw data'!M45*100,"")))</f>
        <v>3.30537597407516</v>
      </c>
      <c r="AD45" s="44" t="n">
        <f aca="false">IF($A45="","",IF(AND(ISNUMBER('Raw data'!N45),ISNUMBER('Raw data'!L45),ISNUMBER('Raw data'!P45),ISNUMBER('Raw data'!S45)),ROUND(('Raw data'!N45*'Raw data'!P45+(1-'Raw data'!N45)*'Raw data'!S45-'Raw data'!L45)*100,1),""))</f>
        <v>0</v>
      </c>
    </row>
    <row r="46" customFormat="false" ht="15" hidden="false" customHeight="false" outlineLevel="0" collapsed="false">
      <c r="A46" s="37" t="str">
        <f aca="false">IF(TRIM('Raw data'!A46)="","",TRIM('Raw data'!A46))</f>
        <v>Finland</v>
      </c>
      <c r="B46" s="37" t="str">
        <f aca="false">IF($A46="","",IF('Raw data'!B46="",UPPER(LEFT($A46,3)),'Raw data'!B46))</f>
        <v>FI</v>
      </c>
      <c r="C46" s="37" t="str">
        <f aca="false">IF($A46="","",'Raw data'!C46)</f>
        <v>Commercial</v>
      </c>
      <c r="D46" s="38" t="n">
        <f aca="false">IF(OR($A46="",'Raw data'!J46=""),"",'Raw data'!J46)</f>
        <v>3</v>
      </c>
      <c r="E46" s="38" t="n">
        <f aca="false">IF(OR($A46="",'Raw data'!U46=""),"",'Raw data'!U46)</f>
        <v>0.1</v>
      </c>
      <c r="F46" s="42" t="n">
        <f aca="false">IF($A46="","",IF(ISNUMBER('Raw data'!K46),'Raw data'!K46*100,""))</f>
        <v>-6.2718340864463</v>
      </c>
      <c r="G46" s="42" t="n">
        <f aca="false">IF($A46="","",IF(ISNUMBER('Raw data'!L46),'Raw data'!L46*100,""))</f>
        <v>-0.852818518344989</v>
      </c>
      <c r="H46" s="42" t="n">
        <f aca="false">IF($A46="","",IF(ISNUMBER('Raw data'!M46),'Raw data'!M46*100,""))</f>
        <v>3.30537597407516</v>
      </c>
      <c r="I46" s="42" t="n">
        <f aca="false">IF($A46="","",IF(ISNUMBER('Raw data'!V46),'Raw data'!V46*100,""))</f>
        <v>2.5</v>
      </c>
      <c r="J46" s="42" t="n">
        <f aca="false">IF($A46="","",IF(ISNUMBER('Raw data'!W46),'Raw data'!W46*100,""))</f>
        <v>1.5</v>
      </c>
      <c r="K46" s="42" t="n">
        <f aca="false">IF($A46="","",IF(ISNUMBER('Raw data'!X46),'Raw data'!X46*100,""))</f>
        <v>5</v>
      </c>
      <c r="L46" s="42" t="n">
        <f aca="false">IF($A46="","",IF('Raw data'!Z46&lt;&gt;"",'Raw data'!Z46*100,IF(AND(N('Raw data'!J46)&gt;0,'Raw data'!U46&lt;&gt;""),'Raw data'!U46*(1+N('Raw data'!W46))/('Raw data'!J46*(1+N('Raw data'!L46)))*100,"")))</f>
        <v>3.41243521275423</v>
      </c>
      <c r="M46" s="42" t="n">
        <f aca="false">IF($A46="","",IF('Raw data'!Y46&lt;&gt;"",'Raw data'!Y46*100,IF(AND(N('Raw data'!J46)&gt;0,'Raw data'!U46&lt;&gt;""),'Raw data'!U46/'Raw data'!J46*100,"")))</f>
        <v>3.33333333333333</v>
      </c>
      <c r="N46" s="43" t="n">
        <f aca="false">IF($A46="","",IF(ISNUMBER('Raw data'!AA46),'Raw data'!AA46,""))</f>
        <v>4</v>
      </c>
      <c r="O46" s="43" t="n">
        <f aca="false">IF($A46="","",IF(ISNUMBER('Raw data'!AB46),'Raw data'!AB46,""))</f>
        <v>3</v>
      </c>
      <c r="P46" s="43" t="n">
        <f aca="false">IF($A46="","",IF(ISNUMBER('Raw data'!AC46),'Raw data'!AC46,""))</f>
        <v>3</v>
      </c>
      <c r="Q46" s="43" t="n">
        <f aca="false">IF($A46="","",IF(ISNUMBER('Raw data'!AD46),'Raw data'!AD46,""))</f>
        <v>3</v>
      </c>
      <c r="R46" s="43" t="n">
        <f aca="false">IF($A46="","",IF(ISNUMBER('Raw data'!N46),'Raw data'!N46*100,""))</f>
        <v>62.5839719532611</v>
      </c>
      <c r="S46" s="42" t="n">
        <f aca="false">IF($A46="","",IF(ISNUMBER('Raw data'!O46),'Raw data'!O46*100,""))</f>
        <v>-1.93795965026594</v>
      </c>
      <c r="T46" s="42" t="n">
        <f aca="false">IF($A46="","",IF(ISNUMBER('Raw data'!P46),'Raw data'!P46*100,""))</f>
        <v>2.96631079558796</v>
      </c>
      <c r="U46" s="42" t="n">
        <f aca="false">IF($A46="","",IF(ISNUMBER('Raw data'!Q46),'Raw data'!Q46*100,""))</f>
        <v>2.9650174076602</v>
      </c>
      <c r="V46" s="42" t="n">
        <f aca="false">IF($A46="","",IF(ISNUMBER('Raw data'!R46),'Raw data'!R46*100,""))</f>
        <v>-11.5789490686626</v>
      </c>
      <c r="W46" s="42" t="n">
        <f aca="false">IF($A46="","",IF(ISNUMBER('Raw data'!S46),'Raw data'!S46*100,""))</f>
        <v>-7.24089053845585</v>
      </c>
      <c r="X46" s="42" t="n">
        <f aca="false">IF($A46="","",IF(ISNUMBER('Raw data'!T46),'Raw data'!T46*100,""))</f>
        <v>3.92567847289851</v>
      </c>
      <c r="Y46" s="37" t="str">
        <f aca="false">IF($A46="","",IF('Raw data'!D46="","",'Raw data'!D46))</f>
        <v>Cooling</v>
      </c>
      <c r="Z46" s="38" t="n">
        <f aca="false">IF($A46="","",IF(ISNUMBER('Raw data'!F46),'Raw data'!F46,""))</f>
        <v>4695.02</v>
      </c>
      <c r="AA46" s="38" t="n">
        <f aca="false">IF($A46="","",IF(ISNUMBER('Raw data'!G46),'Raw data'!G46,""))</f>
        <v>10</v>
      </c>
      <c r="AB46" s="42" t="n">
        <f aca="false">IF($A46="","",IF(ISNUMBER('Raw data'!H46),'Raw data'!H46*100,IF(ISNUMBER('Raw data'!K46),'Raw data'!K46*100,"")))</f>
        <v>-6.2718340864463</v>
      </c>
      <c r="AC46" s="42" t="n">
        <f aca="false">IF($A46="","",IF(ISNUMBER('Raw data'!I46),'Raw data'!I46*100,IF(ISNUMBER('Raw data'!M46),'Raw data'!M46*100,"")))</f>
        <v>3.30537597407516</v>
      </c>
      <c r="AD46" s="44" t="n">
        <f aca="false">IF($A46="","",IF(AND(ISNUMBER('Raw data'!N46),ISNUMBER('Raw data'!L46),ISNUMBER('Raw data'!P46),ISNUMBER('Raw data'!S46)),ROUND(('Raw data'!N46*'Raw data'!P46+(1-'Raw data'!N46)*'Raw data'!S46-'Raw data'!L46)*100,1),""))</f>
        <v>0</v>
      </c>
    </row>
    <row r="47" customFormat="false" ht="15" hidden="false" customHeight="false" outlineLevel="0" collapsed="false">
      <c r="A47" s="37" t="str">
        <f aca="false">IF(TRIM('Raw data'!A47)="","",TRIM('Raw data'!A47))</f>
        <v>Finland</v>
      </c>
      <c r="B47" s="37" t="str">
        <f aca="false">IF($A47="","",IF('Raw data'!B47="",UPPER(LEFT($A47,3)),'Raw data'!B47))</f>
        <v>FI</v>
      </c>
      <c r="C47" s="37" t="str">
        <f aca="false">IF($A47="","",'Raw data'!C47)</f>
        <v>Commercial</v>
      </c>
      <c r="D47" s="38" t="n">
        <f aca="false">IF(OR($A47="",'Raw data'!J47=""),"",'Raw data'!J47)</f>
        <v>13</v>
      </c>
      <c r="E47" s="38" t="n">
        <f aca="false">IF(OR($A47="",'Raw data'!U47=""),"",'Raw data'!U47)</f>
        <v>0.6</v>
      </c>
      <c r="F47" s="42" t="n">
        <f aca="false">IF($A47="","",IF(ISNUMBER('Raw data'!K47),'Raw data'!K47*100,""))</f>
        <v>-6.2718340864463</v>
      </c>
      <c r="G47" s="42" t="n">
        <f aca="false">IF($A47="","",IF(ISNUMBER('Raw data'!L47),'Raw data'!L47*100,""))</f>
        <v>-0.852818518344989</v>
      </c>
      <c r="H47" s="42" t="n">
        <f aca="false">IF($A47="","",IF(ISNUMBER('Raw data'!M47),'Raw data'!M47*100,""))</f>
        <v>3.30537597407516</v>
      </c>
      <c r="I47" s="42" t="n">
        <f aca="false">IF($A47="","",IF(ISNUMBER('Raw data'!V47),'Raw data'!V47*100,""))</f>
        <v>1.5</v>
      </c>
      <c r="J47" s="42" t="n">
        <f aca="false">IF($A47="","",IF(ISNUMBER('Raw data'!W47),'Raw data'!W47*100,""))</f>
        <v>0.5</v>
      </c>
      <c r="K47" s="42" t="n">
        <f aca="false">IF($A47="","",IF(ISNUMBER('Raw data'!X47),'Raw data'!X47*100,""))</f>
        <v>4</v>
      </c>
      <c r="L47" s="42" t="n">
        <f aca="false">IF($A47="","",IF('Raw data'!Z47&lt;&gt;"",'Raw data'!Z47*100,IF(AND(N('Raw data'!J47)&gt;0,'Raw data'!U47&lt;&gt;""),'Raw data'!U47*(1+N('Raw data'!W47))/('Raw data'!J47*(1+N('Raw data'!L47)))*100,"")))</f>
        <v>4.67835945424206</v>
      </c>
      <c r="M47" s="42" t="n">
        <f aca="false">IF($A47="","",IF('Raw data'!Y47&lt;&gt;"",'Raw data'!Y47*100,IF(AND(N('Raw data'!J47)&gt;0,'Raw data'!U47&lt;&gt;""),'Raw data'!U47/'Raw data'!J47*100,"")))</f>
        <v>4.61538461538462</v>
      </c>
      <c r="N47" s="43" t="n">
        <f aca="false">IF($A47="","",IF(ISNUMBER('Raw data'!AA47),'Raw data'!AA47,""))</f>
        <v>4</v>
      </c>
      <c r="O47" s="43" t="n">
        <f aca="false">IF($A47="","",IF(ISNUMBER('Raw data'!AB47),'Raw data'!AB47,""))</f>
        <v>3</v>
      </c>
      <c r="P47" s="43" t="n">
        <f aca="false">IF($A47="","",IF(ISNUMBER('Raw data'!AC47),'Raw data'!AC47,""))</f>
        <v>3</v>
      </c>
      <c r="Q47" s="43" t="n">
        <f aca="false">IF($A47="","",IF(ISNUMBER('Raw data'!AD47),'Raw data'!AD47,""))</f>
        <v>3</v>
      </c>
      <c r="R47" s="43" t="n">
        <f aca="false">IF($A47="","",IF(ISNUMBER('Raw data'!N47),'Raw data'!N47*100,""))</f>
        <v>62.5839719532611</v>
      </c>
      <c r="S47" s="42" t="n">
        <f aca="false">IF($A47="","",IF(ISNUMBER('Raw data'!O47),'Raw data'!O47*100,""))</f>
        <v>-1.93795965026594</v>
      </c>
      <c r="T47" s="42" t="n">
        <f aca="false">IF($A47="","",IF(ISNUMBER('Raw data'!P47),'Raw data'!P47*100,""))</f>
        <v>2.96631079558796</v>
      </c>
      <c r="U47" s="42" t="n">
        <f aca="false">IF($A47="","",IF(ISNUMBER('Raw data'!Q47),'Raw data'!Q47*100,""))</f>
        <v>2.9650174076602</v>
      </c>
      <c r="V47" s="42" t="n">
        <f aca="false">IF($A47="","",IF(ISNUMBER('Raw data'!R47),'Raw data'!R47*100,""))</f>
        <v>-11.5789490686626</v>
      </c>
      <c r="W47" s="42" t="n">
        <f aca="false">IF($A47="","",IF(ISNUMBER('Raw data'!S47),'Raw data'!S47*100,""))</f>
        <v>-7.24089053845585</v>
      </c>
      <c r="X47" s="42" t="n">
        <f aca="false">IF($A47="","",IF(ISNUMBER('Raw data'!T47),'Raw data'!T47*100,""))</f>
        <v>3.92567847289851</v>
      </c>
      <c r="Y47" s="37" t="str">
        <f aca="false">IF($A47="","",IF('Raw data'!D47="","",'Raw data'!D47))</f>
        <v>Sanitary</v>
      </c>
      <c r="Z47" s="38" t="n">
        <f aca="false">IF($A47="","",IF(ISNUMBER('Raw data'!F47),'Raw data'!F47,""))</f>
        <v>4695.02</v>
      </c>
      <c r="AA47" s="38" t="n">
        <f aca="false">IF($A47="","",IF(ISNUMBER('Raw data'!G47),'Raw data'!G47,""))</f>
        <v>32</v>
      </c>
      <c r="AB47" s="42" t="n">
        <f aca="false">IF($A47="","",IF(ISNUMBER('Raw data'!H47),'Raw data'!H47*100,IF(ISNUMBER('Raw data'!K47),'Raw data'!K47*100,"")))</f>
        <v>-6.2718340864463</v>
      </c>
      <c r="AC47" s="42" t="n">
        <f aca="false">IF($A47="","",IF(ISNUMBER('Raw data'!I47),'Raw data'!I47*100,IF(ISNUMBER('Raw data'!M47),'Raw data'!M47*100,"")))</f>
        <v>3.30537597407516</v>
      </c>
      <c r="AD47" s="44" t="n">
        <f aca="false">IF($A47="","",IF(AND(ISNUMBER('Raw data'!N47),ISNUMBER('Raw data'!L47),ISNUMBER('Raw data'!P47),ISNUMBER('Raw data'!S47)),ROUND(('Raw data'!N47*'Raw data'!P47+(1-'Raw data'!N47)*'Raw data'!S47-'Raw data'!L47)*100,1),""))</f>
        <v>0</v>
      </c>
    </row>
    <row r="48" customFormat="false" ht="15" hidden="false" customHeight="false" outlineLevel="0" collapsed="false">
      <c r="A48" s="37" t="str">
        <f aca="false">IF(TRIM('Raw data'!A48)="","",TRIM('Raw data'!A48))</f>
        <v>Denmark</v>
      </c>
      <c r="B48" s="37" t="str">
        <f aca="false">IF($A48="","",IF('Raw data'!B48="",UPPER(LEFT($A48,3)),'Raw data'!B48))</f>
        <v>DK</v>
      </c>
      <c r="C48" s="37" t="str">
        <f aca="false">IF($A48="","",'Raw data'!C48)</f>
        <v>Residential</v>
      </c>
      <c r="D48" s="38" t="n">
        <f aca="false">IF(OR($A48="",'Raw data'!J48=""),"",'Raw data'!J48)</f>
        <v>85</v>
      </c>
      <c r="E48" s="38" t="n">
        <f aca="false">IF(OR($A48="",'Raw data'!U48=""),"",'Raw data'!U48)</f>
        <v>8.2</v>
      </c>
      <c r="F48" s="42" t="n">
        <f aca="false">IF($A48="","",IF(ISNUMBER('Raw data'!K48),'Raw data'!K48*100,""))</f>
        <v>3.26397767255737</v>
      </c>
      <c r="G48" s="42" t="n">
        <f aca="false">IF($A48="","",IF(ISNUMBER('Raw data'!L48),'Raw data'!L48*100,""))</f>
        <v>-5.30170574453849</v>
      </c>
      <c r="H48" s="42" t="n">
        <f aca="false">IF($A48="","",IF(ISNUMBER('Raw data'!M48),'Raw data'!M48*100,""))</f>
        <v>1.81504700923969</v>
      </c>
      <c r="I48" s="42" t="n">
        <f aca="false">IF($A48="","",IF(ISNUMBER('Raw data'!V48),'Raw data'!V48*100,""))</f>
        <v>2</v>
      </c>
      <c r="J48" s="42" t="n">
        <f aca="false">IF($A48="","",IF(ISNUMBER('Raw data'!W48),'Raw data'!W48*100,""))</f>
        <v>1</v>
      </c>
      <c r="K48" s="42" t="n">
        <f aca="false">IF($A48="","",IF(ISNUMBER('Raw data'!X48),'Raw data'!X48*100,""))</f>
        <v>3</v>
      </c>
      <c r="L48" s="42" t="n">
        <f aca="false">IF($A48="","",IF('Raw data'!Z48&lt;&gt;"",'Raw data'!Z48*100,IF(AND(N('Raw data'!J48)&gt;0,'Raw data'!U48&lt;&gt;""),'Raw data'!U48*(1+N('Raw data'!W48))/('Raw data'!J48*(1+N('Raw data'!L48)))*100,"")))</f>
        <v>10.2890231427825</v>
      </c>
      <c r="M48" s="42" t="n">
        <f aca="false">IF($A48="","",IF('Raw data'!Y48&lt;&gt;"",'Raw data'!Y48*100,IF(AND(N('Raw data'!J48)&gt;0,'Raw data'!U48&lt;&gt;""),'Raw data'!U48/'Raw data'!J48*100,"")))</f>
        <v>9.64705882352941</v>
      </c>
      <c r="N48" s="43" t="n">
        <f aca="false">IF($A48="","",IF(ISNUMBER('Raw data'!AA48),'Raw data'!AA48,""))</f>
        <v>4</v>
      </c>
      <c r="O48" s="43" t="n">
        <f aca="false">IF($A48="","",IF(ISNUMBER('Raw data'!AB48),'Raw data'!AB48,""))</f>
        <v>3</v>
      </c>
      <c r="P48" s="43" t="n">
        <f aca="false">IF($A48="","",IF(ISNUMBER('Raw data'!AC48),'Raw data'!AC48,""))</f>
        <v>3</v>
      </c>
      <c r="Q48" s="43" t="n">
        <f aca="false">IF($A48="","",IF(ISNUMBER('Raw data'!AD48),'Raw data'!AD48,""))</f>
        <v>3</v>
      </c>
      <c r="R48" s="43" t="n">
        <f aca="false">IF($A48="","",IF(ISNUMBER('Raw data'!N48),'Raw data'!N48*100,""))</f>
        <v>81.6850391608926</v>
      </c>
      <c r="S48" s="42" t="n">
        <f aca="false">IF($A48="","",IF(ISNUMBER('Raw data'!O48),'Raw data'!O48*100,""))</f>
        <v>5.82416845072404</v>
      </c>
      <c r="T48" s="42" t="n">
        <f aca="false">IF($A48="","",IF(ISNUMBER('Raw data'!P48),'Raw data'!P48*100,""))</f>
        <v>-5.06153503721374</v>
      </c>
      <c r="U48" s="42" t="n">
        <f aca="false">IF($A48="","",IF(ISNUMBER('Raw data'!Q48),'Raw data'!Q48*100,""))</f>
        <v>2.81623776166671</v>
      </c>
      <c r="V48" s="42" t="n">
        <f aca="false">IF($A48="","",IF(ISNUMBER('Raw data'!R48),'Raw data'!R48*100,""))</f>
        <v>-4.95651228964285</v>
      </c>
      <c r="W48" s="42" t="n">
        <f aca="false">IF($A48="","",IF(ISNUMBER('Raw data'!S48),'Raw data'!S48*100,""))</f>
        <v>-6.37287121442204</v>
      </c>
      <c r="X48" s="42" t="n">
        <f aca="false">IF($A48="","",IF(ISNUMBER('Raw data'!T48),'Raw data'!T48*100,""))</f>
        <v>-3.28957912463279</v>
      </c>
      <c r="Y48" s="37" t="str">
        <f aca="false">IF($A48="","",IF('Raw data'!D48="","",'Raw data'!D48))</f>
        <v>Heating</v>
      </c>
      <c r="Z48" s="38" t="n">
        <f aca="false">IF($A48="","",IF(ISNUMBER('Raw data'!F48),'Raw data'!F48,""))</f>
        <v>12045.18</v>
      </c>
      <c r="AA48" s="38" t="n">
        <f aca="false">IF($A48="","",IF(ISNUMBER('Raw data'!G48),'Raw data'!G48,""))</f>
        <v>155</v>
      </c>
      <c r="AB48" s="42" t="n">
        <f aca="false">IF($A48="","",IF(ISNUMBER('Raw data'!H48),'Raw data'!H48*100,IF(ISNUMBER('Raw data'!K48),'Raw data'!K48*100,"")))</f>
        <v>3.26397767255737</v>
      </c>
      <c r="AC48" s="42" t="n">
        <f aca="false">IF($A48="","",IF(ISNUMBER('Raw data'!I48),'Raw data'!I48*100,IF(ISNUMBER('Raw data'!M48),'Raw data'!M48*100,"")))</f>
        <v>1.81504700923969</v>
      </c>
      <c r="AD48" s="44" t="n">
        <f aca="false">IF($A48="","",IF(AND(ISNUMBER('Raw data'!N48),ISNUMBER('Raw data'!L48),ISNUMBER('Raw data'!P48),ISNUMBER('Raw data'!S48)),ROUND(('Raw data'!N48*'Raw data'!P48+(1-'Raw data'!N48)*'Raw data'!S48-'Raw data'!L48)*100,1),""))</f>
        <v>0</v>
      </c>
    </row>
    <row r="49" customFormat="false" ht="15" hidden="false" customHeight="false" outlineLevel="0" collapsed="false">
      <c r="A49" s="37" t="str">
        <f aca="false">IF(TRIM('Raw data'!A49)="","",TRIM('Raw data'!A49))</f>
        <v>Denmark</v>
      </c>
      <c r="B49" s="37" t="str">
        <f aca="false">IF($A49="","",IF('Raw data'!B49="",UPPER(LEFT($A49,3)),'Raw data'!B49))</f>
        <v>DK</v>
      </c>
      <c r="C49" s="37" t="str">
        <f aca="false">IF($A49="","",'Raw data'!C49)</f>
        <v>Residential</v>
      </c>
      <c r="D49" s="38" t="n">
        <f aca="false">IF(OR($A49="",'Raw data'!J49=""),"",'Raw data'!J49)</f>
        <v>13</v>
      </c>
      <c r="E49" s="38" t="n">
        <f aca="false">IF(OR($A49="",'Raw data'!U49=""),"",'Raw data'!U49)</f>
        <v>0.6</v>
      </c>
      <c r="F49" s="42" t="n">
        <f aca="false">IF($A49="","",IF(ISNUMBER('Raw data'!K49),'Raw data'!K49*100,""))</f>
        <v>3.26397767255737</v>
      </c>
      <c r="G49" s="42" t="n">
        <f aca="false">IF($A49="","",IF(ISNUMBER('Raw data'!L49),'Raw data'!L49*100,""))</f>
        <v>-5.30170574453849</v>
      </c>
      <c r="H49" s="42" t="n">
        <f aca="false">IF($A49="","",IF(ISNUMBER('Raw data'!M49),'Raw data'!M49*100,""))</f>
        <v>1.81504700923969</v>
      </c>
      <c r="I49" s="42" t="n">
        <f aca="false">IF($A49="","",IF(ISNUMBER('Raw data'!V49),'Raw data'!V49*100,""))</f>
        <v>3.5</v>
      </c>
      <c r="J49" s="42" t="n">
        <f aca="false">IF($A49="","",IF(ISNUMBER('Raw data'!W49),'Raw data'!W49*100,""))</f>
        <v>2.5</v>
      </c>
      <c r="K49" s="42" t="n">
        <f aca="false">IF($A49="","",IF(ISNUMBER('Raw data'!X49),'Raw data'!X49*100,""))</f>
        <v>4.5</v>
      </c>
      <c r="L49" s="42" t="n">
        <f aca="false">IF($A49="","",IF('Raw data'!Z49&lt;&gt;"",'Raw data'!Z49*100,IF(AND(N('Raw data'!J49)&gt;0,'Raw data'!U49&lt;&gt;""),'Raw data'!U49*(1+N('Raw data'!W49))/('Raw data'!J49*(1+N('Raw data'!L49)))*100,"")))</f>
        <v>4.99562243223446</v>
      </c>
      <c r="M49" s="42" t="n">
        <f aca="false">IF($A49="","",IF('Raw data'!Y49&lt;&gt;"",'Raw data'!Y49*100,IF(AND(N('Raw data'!J49)&gt;0,'Raw data'!U49&lt;&gt;""),'Raw data'!U49/'Raw data'!J49*100,"")))</f>
        <v>4.61538461538462</v>
      </c>
      <c r="N49" s="43" t="n">
        <f aca="false">IF($A49="","",IF(ISNUMBER('Raw data'!AA49),'Raw data'!AA49,""))</f>
        <v>4</v>
      </c>
      <c r="O49" s="43" t="n">
        <f aca="false">IF($A49="","",IF(ISNUMBER('Raw data'!AB49),'Raw data'!AB49,""))</f>
        <v>3</v>
      </c>
      <c r="P49" s="43" t="n">
        <f aca="false">IF($A49="","",IF(ISNUMBER('Raw data'!AC49),'Raw data'!AC49,""))</f>
        <v>3</v>
      </c>
      <c r="Q49" s="43" t="n">
        <f aca="false">IF($A49="","",IF(ISNUMBER('Raw data'!AD49),'Raw data'!AD49,""))</f>
        <v>3</v>
      </c>
      <c r="R49" s="43" t="n">
        <f aca="false">IF($A49="","",IF(ISNUMBER('Raw data'!N49),'Raw data'!N49*100,""))</f>
        <v>81.6850391608926</v>
      </c>
      <c r="S49" s="42" t="n">
        <f aca="false">IF($A49="","",IF(ISNUMBER('Raw data'!O49),'Raw data'!O49*100,""))</f>
        <v>5.82416845072404</v>
      </c>
      <c r="T49" s="42" t="n">
        <f aca="false">IF($A49="","",IF(ISNUMBER('Raw data'!P49),'Raw data'!P49*100,""))</f>
        <v>-5.06153503721374</v>
      </c>
      <c r="U49" s="42" t="n">
        <f aca="false">IF($A49="","",IF(ISNUMBER('Raw data'!Q49),'Raw data'!Q49*100,""))</f>
        <v>2.81623776166671</v>
      </c>
      <c r="V49" s="42" t="n">
        <f aca="false">IF($A49="","",IF(ISNUMBER('Raw data'!R49),'Raw data'!R49*100,""))</f>
        <v>-4.95651228964285</v>
      </c>
      <c r="W49" s="42" t="n">
        <f aca="false">IF($A49="","",IF(ISNUMBER('Raw data'!S49),'Raw data'!S49*100,""))</f>
        <v>-6.37287121442204</v>
      </c>
      <c r="X49" s="42" t="n">
        <f aca="false">IF($A49="","",IF(ISNUMBER('Raw data'!T49),'Raw data'!T49*100,""))</f>
        <v>-3.28957912463279</v>
      </c>
      <c r="Y49" s="37" t="str">
        <f aca="false">IF($A49="","",IF('Raw data'!D49="","",'Raw data'!D49))</f>
        <v>Cooling</v>
      </c>
      <c r="Z49" s="38" t="n">
        <f aca="false">IF($A49="","",IF(ISNUMBER('Raw data'!F49),'Raw data'!F49,""))</f>
        <v>12045.18</v>
      </c>
      <c r="AA49" s="38" t="n">
        <f aca="false">IF($A49="","",IF(ISNUMBER('Raw data'!G49),'Raw data'!G49,""))</f>
        <v>37</v>
      </c>
      <c r="AB49" s="42" t="n">
        <f aca="false">IF($A49="","",IF(ISNUMBER('Raw data'!H49),'Raw data'!H49*100,IF(ISNUMBER('Raw data'!K49),'Raw data'!K49*100,"")))</f>
        <v>3.26397767255737</v>
      </c>
      <c r="AC49" s="42" t="n">
        <f aca="false">IF($A49="","",IF(ISNUMBER('Raw data'!I49),'Raw data'!I49*100,IF(ISNUMBER('Raw data'!M49),'Raw data'!M49*100,"")))</f>
        <v>1.81504700923969</v>
      </c>
      <c r="AD49" s="44" t="n">
        <f aca="false">IF($A49="","",IF(AND(ISNUMBER('Raw data'!N49),ISNUMBER('Raw data'!L49),ISNUMBER('Raw data'!P49),ISNUMBER('Raw data'!S49)),ROUND(('Raw data'!N49*'Raw data'!P49+(1-'Raw data'!N49)*'Raw data'!S49-'Raw data'!L49)*100,1),""))</f>
        <v>0</v>
      </c>
    </row>
    <row r="50" customFormat="false" ht="15" hidden="false" customHeight="false" outlineLevel="0" collapsed="false">
      <c r="A50" s="37" t="str">
        <f aca="false">IF(TRIM('Raw data'!A50)="","",TRIM('Raw data'!A50))</f>
        <v>Denmark</v>
      </c>
      <c r="B50" s="37" t="str">
        <f aca="false">IF($A50="","",IF('Raw data'!B50="",UPPER(LEFT($A50,3)),'Raw data'!B50))</f>
        <v>DK</v>
      </c>
      <c r="C50" s="37" t="str">
        <f aca="false">IF($A50="","",'Raw data'!C50)</f>
        <v>Residential</v>
      </c>
      <c r="D50" s="38" t="n">
        <f aca="false">IF(OR($A50="",'Raw data'!J50=""),"",'Raw data'!J50)</f>
        <v>35</v>
      </c>
      <c r="E50" s="38" t="n">
        <f aca="false">IF(OR($A50="",'Raw data'!U50=""),"",'Raw data'!U50)</f>
        <v>2.5</v>
      </c>
      <c r="F50" s="42" t="n">
        <f aca="false">IF($A50="","",IF(ISNUMBER('Raw data'!K50),'Raw data'!K50*100,""))</f>
        <v>3.26397767255737</v>
      </c>
      <c r="G50" s="42" t="n">
        <f aca="false">IF($A50="","",IF(ISNUMBER('Raw data'!L50),'Raw data'!L50*100,""))</f>
        <v>-5.30170574453849</v>
      </c>
      <c r="H50" s="42" t="n">
        <f aca="false">IF($A50="","",IF(ISNUMBER('Raw data'!M50),'Raw data'!M50*100,""))</f>
        <v>1.81504700923969</v>
      </c>
      <c r="I50" s="42" t="n">
        <f aca="false">IF($A50="","",IF(ISNUMBER('Raw data'!V50),'Raw data'!V50*100,""))</f>
        <v>2.5</v>
      </c>
      <c r="J50" s="42" t="n">
        <f aca="false">IF($A50="","",IF(ISNUMBER('Raw data'!W50),'Raw data'!W50*100,""))</f>
        <v>1.5</v>
      </c>
      <c r="K50" s="42" t="n">
        <f aca="false">IF($A50="","",IF(ISNUMBER('Raw data'!X50),'Raw data'!X50*100,""))</f>
        <v>3.5</v>
      </c>
      <c r="L50" s="42" t="n">
        <f aca="false">IF($A50="","",IF('Raw data'!Z50&lt;&gt;"",'Raw data'!Z50*100,IF(AND(N('Raw data'!J50)&gt;0,'Raw data'!U50&lt;&gt;""),'Raw data'!U50*(1+N('Raw data'!W50))/('Raw data'!J50*(1+N('Raw data'!L50)))*100,"")))</f>
        <v>7.65589291444061</v>
      </c>
      <c r="M50" s="42" t="n">
        <f aca="false">IF($A50="","",IF('Raw data'!Y50&lt;&gt;"",'Raw data'!Y50*100,IF(AND(N('Raw data'!J50)&gt;0,'Raw data'!U50&lt;&gt;""),'Raw data'!U50/'Raw data'!J50*100,"")))</f>
        <v>7.14285714285714</v>
      </c>
      <c r="N50" s="43" t="n">
        <f aca="false">IF($A50="","",IF(ISNUMBER('Raw data'!AA50),'Raw data'!AA50,""))</f>
        <v>4</v>
      </c>
      <c r="O50" s="43" t="n">
        <f aca="false">IF($A50="","",IF(ISNUMBER('Raw data'!AB50),'Raw data'!AB50,""))</f>
        <v>3</v>
      </c>
      <c r="P50" s="43" t="n">
        <f aca="false">IF($A50="","",IF(ISNUMBER('Raw data'!AC50),'Raw data'!AC50,""))</f>
        <v>3</v>
      </c>
      <c r="Q50" s="43" t="n">
        <f aca="false">IF($A50="","",IF(ISNUMBER('Raw data'!AD50),'Raw data'!AD50,""))</f>
        <v>3</v>
      </c>
      <c r="R50" s="43" t="n">
        <f aca="false">IF($A50="","",IF(ISNUMBER('Raw data'!N50),'Raw data'!N50*100,""))</f>
        <v>81.6850391608926</v>
      </c>
      <c r="S50" s="42" t="n">
        <f aca="false">IF($A50="","",IF(ISNUMBER('Raw data'!O50),'Raw data'!O50*100,""))</f>
        <v>5.82416845072404</v>
      </c>
      <c r="T50" s="42" t="n">
        <f aca="false">IF($A50="","",IF(ISNUMBER('Raw data'!P50),'Raw data'!P50*100,""))</f>
        <v>-5.06153503721374</v>
      </c>
      <c r="U50" s="42" t="n">
        <f aca="false">IF($A50="","",IF(ISNUMBER('Raw data'!Q50),'Raw data'!Q50*100,""))</f>
        <v>2.81623776166671</v>
      </c>
      <c r="V50" s="42" t="n">
        <f aca="false">IF($A50="","",IF(ISNUMBER('Raw data'!R50),'Raw data'!R50*100,""))</f>
        <v>-4.95651228964285</v>
      </c>
      <c r="W50" s="42" t="n">
        <f aca="false">IF($A50="","",IF(ISNUMBER('Raw data'!S50),'Raw data'!S50*100,""))</f>
        <v>-6.37287121442204</v>
      </c>
      <c r="X50" s="42" t="n">
        <f aca="false">IF($A50="","",IF(ISNUMBER('Raw data'!T50),'Raw data'!T50*100,""))</f>
        <v>-3.28957912463279</v>
      </c>
      <c r="Y50" s="37" t="str">
        <f aca="false">IF($A50="","",IF('Raw data'!D50="","",'Raw data'!D50))</f>
        <v>Sanitary</v>
      </c>
      <c r="Z50" s="38" t="n">
        <f aca="false">IF($A50="","",IF(ISNUMBER('Raw data'!F50),'Raw data'!F50,""))</f>
        <v>12045.18</v>
      </c>
      <c r="AA50" s="38" t="n">
        <f aca="false">IF($A50="","",IF(ISNUMBER('Raw data'!G50),'Raw data'!G50,""))</f>
        <v>78</v>
      </c>
      <c r="AB50" s="42" t="n">
        <f aca="false">IF($A50="","",IF(ISNUMBER('Raw data'!H50),'Raw data'!H50*100,IF(ISNUMBER('Raw data'!K50),'Raw data'!K50*100,"")))</f>
        <v>3.26397767255737</v>
      </c>
      <c r="AC50" s="42" t="n">
        <f aca="false">IF($A50="","",IF(ISNUMBER('Raw data'!I50),'Raw data'!I50*100,IF(ISNUMBER('Raw data'!M50),'Raw data'!M50*100,"")))</f>
        <v>1.81504700923969</v>
      </c>
      <c r="AD50" s="44" t="n">
        <f aca="false">IF($A50="","",IF(AND(ISNUMBER('Raw data'!N50),ISNUMBER('Raw data'!L50),ISNUMBER('Raw data'!P50),ISNUMBER('Raw data'!S50)),ROUND(('Raw data'!N50*'Raw data'!P50+(1-'Raw data'!N50)*'Raw data'!S50-'Raw data'!L50)*100,1),""))</f>
        <v>0</v>
      </c>
    </row>
    <row r="51" customFormat="false" ht="15" hidden="false" customHeight="false" outlineLevel="0" collapsed="false">
      <c r="A51" s="37" t="str">
        <f aca="false">IF(TRIM('Raw data'!A51)="","",TRIM('Raw data'!A51))</f>
        <v>Denmark</v>
      </c>
      <c r="B51" s="37" t="str">
        <f aca="false">IF($A51="","",IF('Raw data'!B51="",UPPER(LEFT($A51,3)),'Raw data'!B51))</f>
        <v>DK</v>
      </c>
      <c r="C51" s="37" t="str">
        <f aca="false">IF($A51="","",'Raw data'!C51)</f>
        <v>Commercial</v>
      </c>
      <c r="D51" s="38" t="n">
        <f aca="false">IF(OR($A51="",'Raw data'!J51=""),"",'Raw data'!J51)</f>
        <v>57</v>
      </c>
      <c r="E51" s="38" t="n">
        <f aca="false">IF(OR($A51="",'Raw data'!U51=""),"",'Raw data'!U51)</f>
        <v>4.1</v>
      </c>
      <c r="F51" s="42" t="n">
        <f aca="false">IF($A51="","",IF(ISNUMBER('Raw data'!K51),'Raw data'!K51*100,""))</f>
        <v>3.54377644926591</v>
      </c>
      <c r="G51" s="42" t="n">
        <f aca="false">IF($A51="","",IF(ISNUMBER('Raw data'!L51),'Raw data'!L51*100,""))</f>
        <v>-4.07821965363917</v>
      </c>
      <c r="H51" s="42" t="n">
        <f aca="false">IF($A51="","",IF(ISNUMBER('Raw data'!M51),'Raw data'!M51*100,""))</f>
        <v>2.15696868689033</v>
      </c>
      <c r="I51" s="42" t="n">
        <f aca="false">IF($A51="","",IF(ISNUMBER('Raw data'!V51),'Raw data'!V51*100,""))</f>
        <v>2.5</v>
      </c>
      <c r="J51" s="42" t="n">
        <f aca="false">IF($A51="","",IF(ISNUMBER('Raw data'!W51),'Raw data'!W51*100,""))</f>
        <v>1.5</v>
      </c>
      <c r="K51" s="42" t="n">
        <f aca="false">IF($A51="","",IF(ISNUMBER('Raw data'!X51),'Raw data'!X51*100,""))</f>
        <v>3.5</v>
      </c>
      <c r="L51" s="42" t="n">
        <f aca="false">IF($A51="","",IF('Raw data'!Z51&lt;&gt;"",'Raw data'!Z51*100,IF(AND(N('Raw data'!J51)&gt;0,'Raw data'!U51&lt;&gt;""),'Raw data'!U51*(1+N('Raw data'!W51))/('Raw data'!J51*(1+N('Raw data'!L51)))*100,"")))</f>
        <v>7.61128199103473</v>
      </c>
      <c r="M51" s="42" t="n">
        <f aca="false">IF($A51="","",IF('Raw data'!Y51&lt;&gt;"",'Raw data'!Y51*100,IF(AND(N('Raw data'!J51)&gt;0,'Raw data'!U51&lt;&gt;""),'Raw data'!U51/'Raw data'!J51*100,"")))</f>
        <v>7.19298245614035</v>
      </c>
      <c r="N51" s="43" t="n">
        <f aca="false">IF($A51="","",IF(ISNUMBER('Raw data'!AA51),'Raw data'!AA51,""))</f>
        <v>4</v>
      </c>
      <c r="O51" s="43" t="n">
        <f aca="false">IF($A51="","",IF(ISNUMBER('Raw data'!AB51),'Raw data'!AB51,""))</f>
        <v>3</v>
      </c>
      <c r="P51" s="43" t="n">
        <f aca="false">IF($A51="","",IF(ISNUMBER('Raw data'!AC51),'Raw data'!AC51,""))</f>
        <v>3</v>
      </c>
      <c r="Q51" s="43" t="n">
        <f aca="false">IF($A51="","",IF(ISNUMBER('Raw data'!AD51),'Raw data'!AD51,""))</f>
        <v>3</v>
      </c>
      <c r="R51" s="43" t="n">
        <f aca="false">IF($A51="","",IF(ISNUMBER('Raw data'!N51),'Raw data'!N51*100,""))</f>
        <v>45.0710477365191</v>
      </c>
      <c r="S51" s="42" t="n">
        <f aca="false">IF($A51="","",IF(ISNUMBER('Raw data'!O51),'Raw data'!O51*100,""))</f>
        <v>6.82346136542571</v>
      </c>
      <c r="T51" s="42" t="n">
        <f aca="false">IF($A51="","",IF(ISNUMBER('Raw data'!P51),'Raw data'!P51*100,""))</f>
        <v>-3.50664720828288</v>
      </c>
      <c r="U51" s="42" t="n">
        <f aca="false">IF($A51="","",IF(ISNUMBER('Raw data'!Q51),'Raw data'!Q51*100,""))</f>
        <v>2.87223647508359</v>
      </c>
      <c r="V51" s="42" t="n">
        <f aca="false">IF($A51="","",IF(ISNUMBER('Raw data'!R51),'Raw data'!R51*100,""))</f>
        <v>1.2511518316763</v>
      </c>
      <c r="W51" s="42" t="n">
        <f aca="false">IF($A51="","",IF(ISNUMBER('Raw data'!S51),'Raw data'!S51*100,""))</f>
        <v>-4.54721401650197</v>
      </c>
      <c r="X51" s="42" t="n">
        <f aca="false">IF($A51="","",IF(ISNUMBER('Raw data'!T51),'Raw data'!T51*100,""))</f>
        <v>1.5480878882054</v>
      </c>
      <c r="Y51" s="37" t="str">
        <f aca="false">IF($A51="","",IF('Raw data'!D51="","",'Raw data'!D51))</f>
        <v>Heating</v>
      </c>
      <c r="Z51" s="38" t="n">
        <f aca="false">IF($A51="","",IF(ISNUMBER('Raw data'!F51),'Raw data'!F51,""))</f>
        <v>8042.48</v>
      </c>
      <c r="AA51" s="38" t="n">
        <f aca="false">IF($A51="","",IF(ISNUMBER('Raw data'!G51),'Raw data'!G51,""))</f>
        <v>104</v>
      </c>
      <c r="AB51" s="42" t="n">
        <f aca="false">IF($A51="","",IF(ISNUMBER('Raw data'!H51),'Raw data'!H51*100,IF(ISNUMBER('Raw data'!K51),'Raw data'!K51*100,"")))</f>
        <v>3.54377644926591</v>
      </c>
      <c r="AC51" s="42" t="n">
        <f aca="false">IF($A51="","",IF(ISNUMBER('Raw data'!I51),'Raw data'!I51*100,IF(ISNUMBER('Raw data'!M51),'Raw data'!M51*100,"")))</f>
        <v>2.15696868689033</v>
      </c>
      <c r="AD51" s="44" t="n">
        <f aca="false">IF($A51="","",IF(AND(ISNUMBER('Raw data'!N51),ISNUMBER('Raw data'!L51),ISNUMBER('Raw data'!P51),ISNUMBER('Raw data'!S51)),ROUND(('Raw data'!N51*'Raw data'!P51+(1-'Raw data'!N51)*'Raw data'!S51-'Raw data'!L51)*100,1),""))</f>
        <v>0</v>
      </c>
    </row>
    <row r="52" customFormat="false" ht="15" hidden="false" customHeight="false" outlineLevel="0" collapsed="false">
      <c r="A52" s="37" t="str">
        <f aca="false">IF(TRIM('Raw data'!A52)="","",TRIM('Raw data'!A52))</f>
        <v>Denmark</v>
      </c>
      <c r="B52" s="37" t="str">
        <f aca="false">IF($A52="","",IF('Raw data'!B52="",UPPER(LEFT($A52,3)),'Raw data'!B52))</f>
        <v>DK</v>
      </c>
      <c r="C52" s="37" t="str">
        <f aca="false">IF($A52="","",'Raw data'!C52)</f>
        <v>Commercial</v>
      </c>
      <c r="D52" s="38" t="n">
        <f aca="false">IF(OR($A52="",'Raw data'!J52=""),"",'Raw data'!J52)</f>
        <v>9</v>
      </c>
      <c r="E52" s="38" t="n">
        <f aca="false">IF(OR($A52="",'Raw data'!U52=""),"",'Raw data'!U52)</f>
        <v>0.3</v>
      </c>
      <c r="F52" s="42" t="n">
        <f aca="false">IF($A52="","",IF(ISNUMBER('Raw data'!K52),'Raw data'!K52*100,""))</f>
        <v>3.54377644926591</v>
      </c>
      <c r="G52" s="42" t="n">
        <f aca="false">IF($A52="","",IF(ISNUMBER('Raw data'!L52),'Raw data'!L52*100,""))</f>
        <v>-4.07821965363917</v>
      </c>
      <c r="H52" s="42" t="n">
        <f aca="false">IF($A52="","",IF(ISNUMBER('Raw data'!M52),'Raw data'!M52*100,""))</f>
        <v>2.15696868689033</v>
      </c>
      <c r="I52" s="42" t="n">
        <f aca="false">IF($A52="","",IF(ISNUMBER('Raw data'!V52),'Raw data'!V52*100,""))</f>
        <v>4</v>
      </c>
      <c r="J52" s="42" t="n">
        <f aca="false">IF($A52="","",IF(ISNUMBER('Raw data'!W52),'Raw data'!W52*100,""))</f>
        <v>3</v>
      </c>
      <c r="K52" s="42" t="n">
        <f aca="false">IF($A52="","",IF(ISNUMBER('Raw data'!X52),'Raw data'!X52*100,""))</f>
        <v>5</v>
      </c>
      <c r="L52" s="42" t="n">
        <f aca="false">IF($A52="","",IF('Raw data'!Z52&lt;&gt;"",'Raw data'!Z52*100,IF(AND(N('Raw data'!J52)&gt;0,'Raw data'!U52&lt;&gt;""),'Raw data'!U52*(1+N('Raw data'!W52))/('Raw data'!J52*(1+N('Raw data'!L52)))*100,"")))</f>
        <v>3.57930526407665</v>
      </c>
      <c r="M52" s="42" t="n">
        <f aca="false">IF($A52="","",IF('Raw data'!Y52&lt;&gt;"",'Raw data'!Y52*100,IF(AND(N('Raw data'!J52)&gt;0,'Raw data'!U52&lt;&gt;""),'Raw data'!U52/'Raw data'!J52*100,"")))</f>
        <v>3.33333333333333</v>
      </c>
      <c r="N52" s="43" t="n">
        <f aca="false">IF($A52="","",IF(ISNUMBER('Raw data'!AA52),'Raw data'!AA52,""))</f>
        <v>4</v>
      </c>
      <c r="O52" s="43" t="n">
        <f aca="false">IF($A52="","",IF(ISNUMBER('Raw data'!AB52),'Raw data'!AB52,""))</f>
        <v>3</v>
      </c>
      <c r="P52" s="43" t="n">
        <f aca="false">IF($A52="","",IF(ISNUMBER('Raw data'!AC52),'Raw data'!AC52,""))</f>
        <v>3</v>
      </c>
      <c r="Q52" s="43" t="n">
        <f aca="false">IF($A52="","",IF(ISNUMBER('Raw data'!AD52),'Raw data'!AD52,""))</f>
        <v>3</v>
      </c>
      <c r="R52" s="43" t="n">
        <f aca="false">IF($A52="","",IF(ISNUMBER('Raw data'!N52),'Raw data'!N52*100,""))</f>
        <v>45.0710477365191</v>
      </c>
      <c r="S52" s="42" t="n">
        <f aca="false">IF($A52="","",IF(ISNUMBER('Raw data'!O52),'Raw data'!O52*100,""))</f>
        <v>6.82346136542571</v>
      </c>
      <c r="T52" s="42" t="n">
        <f aca="false">IF($A52="","",IF(ISNUMBER('Raw data'!P52),'Raw data'!P52*100,""))</f>
        <v>-3.50664720828288</v>
      </c>
      <c r="U52" s="42" t="n">
        <f aca="false">IF($A52="","",IF(ISNUMBER('Raw data'!Q52),'Raw data'!Q52*100,""))</f>
        <v>2.87223647508359</v>
      </c>
      <c r="V52" s="42" t="n">
        <f aca="false">IF($A52="","",IF(ISNUMBER('Raw data'!R52),'Raw data'!R52*100,""))</f>
        <v>1.2511518316763</v>
      </c>
      <c r="W52" s="42" t="n">
        <f aca="false">IF($A52="","",IF(ISNUMBER('Raw data'!S52),'Raw data'!S52*100,""))</f>
        <v>-4.54721401650197</v>
      </c>
      <c r="X52" s="42" t="n">
        <f aca="false">IF($A52="","",IF(ISNUMBER('Raw data'!T52),'Raw data'!T52*100,""))</f>
        <v>1.5480878882054</v>
      </c>
      <c r="Y52" s="37" t="str">
        <f aca="false">IF($A52="","",IF('Raw data'!D52="","",'Raw data'!D52))</f>
        <v>Cooling</v>
      </c>
      <c r="Z52" s="38" t="n">
        <f aca="false">IF($A52="","",IF(ISNUMBER('Raw data'!F52),'Raw data'!F52,""))</f>
        <v>8042.48</v>
      </c>
      <c r="AA52" s="38" t="n">
        <f aca="false">IF($A52="","",IF(ISNUMBER('Raw data'!G52),'Raw data'!G52,""))</f>
        <v>26</v>
      </c>
      <c r="AB52" s="42" t="n">
        <f aca="false">IF($A52="","",IF(ISNUMBER('Raw data'!H52),'Raw data'!H52*100,IF(ISNUMBER('Raw data'!K52),'Raw data'!K52*100,"")))</f>
        <v>3.54377644926591</v>
      </c>
      <c r="AC52" s="42" t="n">
        <f aca="false">IF($A52="","",IF(ISNUMBER('Raw data'!I52),'Raw data'!I52*100,IF(ISNUMBER('Raw data'!M52),'Raw data'!M52*100,"")))</f>
        <v>2.15696868689033</v>
      </c>
      <c r="AD52" s="44" t="n">
        <f aca="false">IF($A52="","",IF(AND(ISNUMBER('Raw data'!N52),ISNUMBER('Raw data'!L52),ISNUMBER('Raw data'!P52),ISNUMBER('Raw data'!S52)),ROUND(('Raw data'!N52*'Raw data'!P52+(1-'Raw data'!N52)*'Raw data'!S52-'Raw data'!L52)*100,1),""))</f>
        <v>0</v>
      </c>
    </row>
    <row r="53" customFormat="false" ht="15" hidden="false" customHeight="false" outlineLevel="0" collapsed="false">
      <c r="A53" s="37" t="str">
        <f aca="false">IF(TRIM('Raw data'!A53)="","",TRIM('Raw data'!A53))</f>
        <v>Denmark</v>
      </c>
      <c r="B53" s="37" t="str">
        <f aca="false">IF($A53="","",IF('Raw data'!B53="",UPPER(LEFT($A53,3)),'Raw data'!B53))</f>
        <v>DK</v>
      </c>
      <c r="C53" s="37" t="str">
        <f aca="false">IF($A53="","",'Raw data'!C53)</f>
        <v>Commercial</v>
      </c>
      <c r="D53" s="38" t="n">
        <f aca="false">IF(OR($A53="",'Raw data'!J53=""),"",'Raw data'!J53)</f>
        <v>23</v>
      </c>
      <c r="E53" s="38" t="n">
        <f aca="false">IF(OR($A53="",'Raw data'!U53=""),"",'Raw data'!U53)</f>
        <v>1.2</v>
      </c>
      <c r="F53" s="42" t="n">
        <f aca="false">IF($A53="","",IF(ISNUMBER('Raw data'!K53),'Raw data'!K53*100,""))</f>
        <v>3.54377644926591</v>
      </c>
      <c r="G53" s="42" t="n">
        <f aca="false">IF($A53="","",IF(ISNUMBER('Raw data'!L53),'Raw data'!L53*100,""))</f>
        <v>-4.07821965363917</v>
      </c>
      <c r="H53" s="42" t="n">
        <f aca="false">IF($A53="","",IF(ISNUMBER('Raw data'!M53),'Raw data'!M53*100,""))</f>
        <v>2.15696868689033</v>
      </c>
      <c r="I53" s="42" t="n">
        <f aca="false">IF($A53="","",IF(ISNUMBER('Raw data'!V53),'Raw data'!V53*100,""))</f>
        <v>3</v>
      </c>
      <c r="J53" s="42" t="n">
        <f aca="false">IF($A53="","",IF(ISNUMBER('Raw data'!W53),'Raw data'!W53*100,""))</f>
        <v>2</v>
      </c>
      <c r="K53" s="42" t="n">
        <f aca="false">IF($A53="","",IF(ISNUMBER('Raw data'!X53),'Raw data'!X53*100,""))</f>
        <v>4</v>
      </c>
      <c r="L53" s="42" t="n">
        <f aca="false">IF($A53="","",IF('Raw data'!Z53&lt;&gt;"",'Raw data'!Z53*100,IF(AND(N('Raw data'!J53)&gt;0,'Raw data'!U53&lt;&gt;""),'Raw data'!U53*(1+N('Raw data'!W53))/('Raw data'!J53*(1+N('Raw data'!L53)))*100,"")))</f>
        <v>5.54799870396347</v>
      </c>
      <c r="M53" s="42" t="n">
        <f aca="false">IF($A53="","",IF('Raw data'!Y53&lt;&gt;"",'Raw data'!Y53*100,IF(AND(N('Raw data'!J53)&gt;0,'Raw data'!U53&lt;&gt;""),'Raw data'!U53/'Raw data'!J53*100,"")))</f>
        <v>5.21739130434783</v>
      </c>
      <c r="N53" s="43" t="n">
        <f aca="false">IF($A53="","",IF(ISNUMBER('Raw data'!AA53),'Raw data'!AA53,""))</f>
        <v>4</v>
      </c>
      <c r="O53" s="43" t="n">
        <f aca="false">IF($A53="","",IF(ISNUMBER('Raw data'!AB53),'Raw data'!AB53,""))</f>
        <v>3</v>
      </c>
      <c r="P53" s="43" t="n">
        <f aca="false">IF($A53="","",IF(ISNUMBER('Raw data'!AC53),'Raw data'!AC53,""))</f>
        <v>3</v>
      </c>
      <c r="Q53" s="43" t="n">
        <f aca="false">IF($A53="","",IF(ISNUMBER('Raw data'!AD53),'Raw data'!AD53,""))</f>
        <v>3</v>
      </c>
      <c r="R53" s="43" t="n">
        <f aca="false">IF($A53="","",IF(ISNUMBER('Raw data'!N53),'Raw data'!N53*100,""))</f>
        <v>45.0710477365191</v>
      </c>
      <c r="S53" s="42" t="n">
        <f aca="false">IF($A53="","",IF(ISNUMBER('Raw data'!O53),'Raw data'!O53*100,""))</f>
        <v>6.82346136542571</v>
      </c>
      <c r="T53" s="42" t="n">
        <f aca="false">IF($A53="","",IF(ISNUMBER('Raw data'!P53),'Raw data'!P53*100,""))</f>
        <v>-3.50664720828288</v>
      </c>
      <c r="U53" s="42" t="n">
        <f aca="false">IF($A53="","",IF(ISNUMBER('Raw data'!Q53),'Raw data'!Q53*100,""))</f>
        <v>2.87223647508359</v>
      </c>
      <c r="V53" s="42" t="n">
        <f aca="false">IF($A53="","",IF(ISNUMBER('Raw data'!R53),'Raw data'!R53*100,""))</f>
        <v>1.2511518316763</v>
      </c>
      <c r="W53" s="42" t="n">
        <f aca="false">IF($A53="","",IF(ISNUMBER('Raw data'!S53),'Raw data'!S53*100,""))</f>
        <v>-4.54721401650197</v>
      </c>
      <c r="X53" s="42" t="n">
        <f aca="false">IF($A53="","",IF(ISNUMBER('Raw data'!T53),'Raw data'!T53*100,""))</f>
        <v>1.5480878882054</v>
      </c>
      <c r="Y53" s="37" t="str">
        <f aca="false">IF($A53="","",IF('Raw data'!D53="","",'Raw data'!D53))</f>
        <v>Sanitary</v>
      </c>
      <c r="Z53" s="38" t="n">
        <f aca="false">IF($A53="","",IF(ISNUMBER('Raw data'!F53),'Raw data'!F53,""))</f>
        <v>8042.48</v>
      </c>
      <c r="AA53" s="38" t="n">
        <f aca="false">IF($A53="","",IF(ISNUMBER('Raw data'!G53),'Raw data'!G53,""))</f>
        <v>51</v>
      </c>
      <c r="AB53" s="42" t="n">
        <f aca="false">IF($A53="","",IF(ISNUMBER('Raw data'!H53),'Raw data'!H53*100,IF(ISNUMBER('Raw data'!K53),'Raw data'!K53*100,"")))</f>
        <v>3.54377644926591</v>
      </c>
      <c r="AC53" s="42" t="n">
        <f aca="false">IF($A53="","",IF(ISNUMBER('Raw data'!I53),'Raw data'!I53*100,IF(ISNUMBER('Raw data'!M53),'Raw data'!M53*100,"")))</f>
        <v>2.15696868689033</v>
      </c>
      <c r="AD53" s="44" t="n">
        <f aca="false">IF($A53="","",IF(AND(ISNUMBER('Raw data'!N53),ISNUMBER('Raw data'!L53),ISNUMBER('Raw data'!P53),ISNUMBER('Raw data'!S53)),ROUND(('Raw data'!N53*'Raw data'!P53+(1-'Raw data'!N53)*'Raw data'!S53-'Raw data'!L53)*100,1),""))</f>
        <v>0</v>
      </c>
    </row>
    <row r="54" customFormat="false" ht="15" hidden="false" customHeight="false" outlineLevel="0" collapsed="false">
      <c r="A54" s="37" t="str">
        <f aca="false">IF(TRIM('Raw data'!A54)="","",TRIM('Raw data'!A54))</f>
        <v>Germany</v>
      </c>
      <c r="B54" s="37" t="str">
        <f aca="false">IF($A54="","",IF('Raw data'!B54="",UPPER(LEFT($A54,3)),'Raw data'!B54))</f>
        <v>DE</v>
      </c>
      <c r="C54" s="37" t="str">
        <f aca="false">IF($A54="","",'Raw data'!C54)</f>
        <v>Residential</v>
      </c>
      <c r="D54" s="38" t="n">
        <f aca="false">IF(OR($A54="",'Raw data'!J54=""),"",'Raw data'!J54)</f>
        <v>615</v>
      </c>
      <c r="E54" s="38" t="n">
        <f aca="false">IF(OR($A54="",'Raw data'!U54=""),"",'Raw data'!U54)</f>
        <v>44.3</v>
      </c>
      <c r="F54" s="42" t="n">
        <f aca="false">IF($A54="","",IF(ISNUMBER('Raw data'!K54),'Raw data'!K54*100,""))</f>
        <v>-5.34251096435302</v>
      </c>
      <c r="G54" s="42" t="n">
        <f aca="false">IF($A54="","",IF(ISNUMBER('Raw data'!L54),'Raw data'!L54*100,""))</f>
        <v>-0.566275043265374</v>
      </c>
      <c r="H54" s="42" t="n">
        <f aca="false">IF($A54="","",IF(ISNUMBER('Raw data'!M54),'Raw data'!M54*100,""))</f>
        <v>2.87276954117597</v>
      </c>
      <c r="I54" s="42" t="n">
        <f aca="false">IF($A54="","",IF(ISNUMBER('Raw data'!V54),'Raw data'!V54*100,""))</f>
        <v>2</v>
      </c>
      <c r="J54" s="42" t="n">
        <f aca="false">IF($A54="","",IF(ISNUMBER('Raw data'!W54),'Raw data'!W54*100,""))</f>
        <v>-2</v>
      </c>
      <c r="K54" s="42" t="n">
        <f aca="false">IF($A54="","",IF(ISNUMBER('Raw data'!X54),'Raw data'!X54*100,""))</f>
        <v>3</v>
      </c>
      <c r="L54" s="42" t="n">
        <f aca="false">IF($A54="","",IF('Raw data'!Z54&lt;&gt;"",'Raw data'!Z54*100,IF(AND(N('Raw data'!J54)&gt;0,'Raw data'!U54&lt;&gt;""),'Raw data'!U54*(1+N('Raw data'!W54))/('Raw data'!J54*(1+N('Raw data'!L54)))*100,"")))</f>
        <v>7.09938906034295</v>
      </c>
      <c r="M54" s="42" t="n">
        <f aca="false">IF($A54="","",IF('Raw data'!Y54&lt;&gt;"",'Raw data'!Y54*100,IF(AND(N('Raw data'!J54)&gt;0,'Raw data'!U54&lt;&gt;""),'Raw data'!U54/'Raw data'!J54*100,"")))</f>
        <v>7.20325203252032</v>
      </c>
      <c r="N54" s="43" t="n">
        <f aca="false">IF($A54="","",IF(ISNUMBER('Raw data'!AA54),'Raw data'!AA54,""))</f>
        <v>3</v>
      </c>
      <c r="O54" s="43" t="n">
        <f aca="false">IF($A54="","",IF(ISNUMBER('Raw data'!AB54),'Raw data'!AB54,""))</f>
        <v>2</v>
      </c>
      <c r="P54" s="43" t="n">
        <f aca="false">IF($A54="","",IF(ISNUMBER('Raw data'!AC54),'Raw data'!AC54,""))</f>
        <v>3</v>
      </c>
      <c r="Q54" s="43" t="n">
        <f aca="false">IF($A54="","",IF(ISNUMBER('Raw data'!AD54),'Raw data'!AD54,""))</f>
        <v>3</v>
      </c>
      <c r="R54" s="43" t="n">
        <f aca="false">IF($A54="","",IF(ISNUMBER('Raw data'!N54),'Raw data'!N54*100,""))</f>
        <v>82.4697116388656</v>
      </c>
      <c r="S54" s="42" t="n">
        <f aca="false">IF($A54="","",IF(ISNUMBER('Raw data'!O54),'Raw data'!O54*100,""))</f>
        <v>-3.0846031919548</v>
      </c>
      <c r="T54" s="42" t="n">
        <f aca="false">IF($A54="","",IF(ISNUMBER('Raw data'!P54),'Raw data'!P54*100,""))</f>
        <v>-2.29630989934343</v>
      </c>
      <c r="U54" s="42" t="n">
        <f aca="false">IF($A54="","",IF(ISNUMBER('Raw data'!Q54),'Raw data'!Q54*100,""))</f>
        <v>2.97289891885875</v>
      </c>
      <c r="V54" s="42" t="n">
        <f aca="false">IF($A54="","",IF(ISNUMBER('Raw data'!R54),'Raw data'!R54*100,""))</f>
        <v>-12.9815449999589</v>
      </c>
      <c r="W54" s="42" t="n">
        <f aca="false">IF($A54="","",IF(ISNUMBER('Raw data'!S54),'Raw data'!S54*100,""))</f>
        <v>7.57252294834458</v>
      </c>
      <c r="X54" s="42" t="n">
        <f aca="false">IF($A54="","",IF(ISNUMBER('Raw data'!T54),'Raw data'!T54*100,""))</f>
        <v>2.4404828150171</v>
      </c>
      <c r="Y54" s="37" t="str">
        <f aca="false">IF($A54="","",IF('Raw data'!D54="","",'Raw data'!D54))</f>
        <v>Heating</v>
      </c>
      <c r="Z54" s="38" t="n">
        <f aca="false">IF($A54="","",IF(ISNUMBER('Raw data'!F54),'Raw data'!F54,""))</f>
        <v>96006.35</v>
      </c>
      <c r="AA54" s="38" t="n">
        <f aca="false">IF($A54="","",IF(ISNUMBER('Raw data'!G54),'Raw data'!G54,""))</f>
        <v>1118</v>
      </c>
      <c r="AB54" s="42" t="n">
        <f aca="false">IF($A54="","",IF(ISNUMBER('Raw data'!H54),'Raw data'!H54*100,IF(ISNUMBER('Raw data'!K54),'Raw data'!K54*100,"")))</f>
        <v>-5.34251096435302</v>
      </c>
      <c r="AC54" s="42" t="n">
        <f aca="false">IF($A54="","",IF(ISNUMBER('Raw data'!I54),'Raw data'!I54*100,IF(ISNUMBER('Raw data'!M54),'Raw data'!M54*100,"")))</f>
        <v>2.87276954117597</v>
      </c>
      <c r="AD54" s="44" t="n">
        <f aca="false">IF($A54="","",IF(AND(ISNUMBER('Raw data'!N54),ISNUMBER('Raw data'!L54),ISNUMBER('Raw data'!P54),ISNUMBER('Raw data'!S54)),ROUND(('Raw data'!N54*'Raw data'!P54+(1-'Raw data'!N54)*'Raw data'!S54-'Raw data'!L54)*100,1),""))</f>
        <v>0</v>
      </c>
    </row>
    <row r="55" customFormat="false" ht="15" hidden="false" customHeight="false" outlineLevel="0" collapsed="false">
      <c r="A55" s="37" t="str">
        <f aca="false">IF(TRIM('Raw data'!A55)="","",TRIM('Raw data'!A55))</f>
        <v>Germany</v>
      </c>
      <c r="B55" s="37" t="str">
        <f aca="false">IF($A55="","",IF('Raw data'!B55="",UPPER(LEFT($A55,3)),'Raw data'!B55))</f>
        <v>DE</v>
      </c>
      <c r="C55" s="37" t="str">
        <f aca="false">IF($A55="","",'Raw data'!C55)</f>
        <v>Residential</v>
      </c>
      <c r="D55" s="38" t="n">
        <f aca="false">IF(OR($A55="",'Raw data'!J55=""),"",'Raw data'!J55)</f>
        <v>159</v>
      </c>
      <c r="E55" s="38" t="n">
        <f aca="false">IF(OR($A55="",'Raw data'!U55=""),"",'Raw data'!U55)</f>
        <v>5.7</v>
      </c>
      <c r="F55" s="42" t="n">
        <f aca="false">IF($A55="","",IF(ISNUMBER('Raw data'!K55),'Raw data'!K55*100,""))</f>
        <v>-5.34251096435302</v>
      </c>
      <c r="G55" s="42" t="n">
        <f aca="false">IF($A55="","",IF(ISNUMBER('Raw data'!L55),'Raw data'!L55*100,""))</f>
        <v>-0.566275043265374</v>
      </c>
      <c r="H55" s="42" t="n">
        <f aca="false">IF($A55="","",IF(ISNUMBER('Raw data'!M55),'Raw data'!M55*100,""))</f>
        <v>2.87276954117597</v>
      </c>
      <c r="I55" s="42" t="n">
        <f aca="false">IF($A55="","",IF(ISNUMBER('Raw data'!V55),'Raw data'!V55*100,""))</f>
        <v>3.5</v>
      </c>
      <c r="J55" s="42" t="n">
        <f aca="false">IF($A55="","",IF(ISNUMBER('Raw data'!W55),'Raw data'!W55*100,""))</f>
        <v>-0.5</v>
      </c>
      <c r="K55" s="42" t="n">
        <f aca="false">IF($A55="","",IF(ISNUMBER('Raw data'!X55),'Raw data'!X55*100,""))</f>
        <v>4.5</v>
      </c>
      <c r="L55" s="42" t="n">
        <f aca="false">IF($A55="","",IF('Raw data'!Z55&lt;&gt;"",'Raw data'!Z55*100,IF(AND(N('Raw data'!J55)&gt;0,'Raw data'!U55&lt;&gt;""),'Raw data'!U55*(1+N('Raw data'!W55))/('Raw data'!J55*(1+N('Raw data'!L55)))*100,"")))</f>
        <v>3.58729508889215</v>
      </c>
      <c r="M55" s="42" t="n">
        <f aca="false">IF($A55="","",IF('Raw data'!Y55&lt;&gt;"",'Raw data'!Y55*100,IF(AND(N('Raw data'!J55)&gt;0,'Raw data'!U55&lt;&gt;""),'Raw data'!U55/'Raw data'!J55*100,"")))</f>
        <v>3.58490566037736</v>
      </c>
      <c r="N55" s="43" t="n">
        <f aca="false">IF($A55="","",IF(ISNUMBER('Raw data'!AA55),'Raw data'!AA55,""))</f>
        <v>3</v>
      </c>
      <c r="O55" s="43" t="n">
        <f aca="false">IF($A55="","",IF(ISNUMBER('Raw data'!AB55),'Raw data'!AB55,""))</f>
        <v>2</v>
      </c>
      <c r="P55" s="43" t="n">
        <f aca="false">IF($A55="","",IF(ISNUMBER('Raw data'!AC55),'Raw data'!AC55,""))</f>
        <v>3</v>
      </c>
      <c r="Q55" s="43" t="n">
        <f aca="false">IF($A55="","",IF(ISNUMBER('Raw data'!AD55),'Raw data'!AD55,""))</f>
        <v>3</v>
      </c>
      <c r="R55" s="43" t="n">
        <f aca="false">IF($A55="","",IF(ISNUMBER('Raw data'!N55),'Raw data'!N55*100,""))</f>
        <v>82.4697116388656</v>
      </c>
      <c r="S55" s="42" t="n">
        <f aca="false">IF($A55="","",IF(ISNUMBER('Raw data'!O55),'Raw data'!O55*100,""))</f>
        <v>-3.0846031919548</v>
      </c>
      <c r="T55" s="42" t="n">
        <f aca="false">IF($A55="","",IF(ISNUMBER('Raw data'!P55),'Raw data'!P55*100,""))</f>
        <v>-2.29630989934343</v>
      </c>
      <c r="U55" s="42" t="n">
        <f aca="false">IF($A55="","",IF(ISNUMBER('Raw data'!Q55),'Raw data'!Q55*100,""))</f>
        <v>2.97289891885875</v>
      </c>
      <c r="V55" s="42" t="n">
        <f aca="false">IF($A55="","",IF(ISNUMBER('Raw data'!R55),'Raw data'!R55*100,""))</f>
        <v>-12.9815449999589</v>
      </c>
      <c r="W55" s="42" t="n">
        <f aca="false">IF($A55="","",IF(ISNUMBER('Raw data'!S55),'Raw data'!S55*100,""))</f>
        <v>7.57252294834458</v>
      </c>
      <c r="X55" s="42" t="n">
        <f aca="false">IF($A55="","",IF(ISNUMBER('Raw data'!T55),'Raw data'!T55*100,""))</f>
        <v>2.4404828150171</v>
      </c>
      <c r="Y55" s="37" t="str">
        <f aca="false">IF($A55="","",IF('Raw data'!D55="","",'Raw data'!D55))</f>
        <v>Cooling</v>
      </c>
      <c r="Z55" s="38" t="n">
        <f aca="false">IF($A55="","",IF(ISNUMBER('Raw data'!F55),'Raw data'!F55,""))</f>
        <v>96006.35</v>
      </c>
      <c r="AA55" s="38" t="n">
        <f aca="false">IF($A55="","",IF(ISNUMBER('Raw data'!G55),'Raw data'!G55,""))</f>
        <v>454</v>
      </c>
      <c r="AB55" s="42" t="n">
        <f aca="false">IF($A55="","",IF(ISNUMBER('Raw data'!H55),'Raw data'!H55*100,IF(ISNUMBER('Raw data'!K55),'Raw data'!K55*100,"")))</f>
        <v>-5.34251096435302</v>
      </c>
      <c r="AC55" s="42" t="n">
        <f aca="false">IF($A55="","",IF(ISNUMBER('Raw data'!I55),'Raw data'!I55*100,IF(ISNUMBER('Raw data'!M55),'Raw data'!M55*100,"")))</f>
        <v>2.87276954117597</v>
      </c>
      <c r="AD55" s="44" t="n">
        <f aca="false">IF($A55="","",IF(AND(ISNUMBER('Raw data'!N55),ISNUMBER('Raw data'!L55),ISNUMBER('Raw data'!P55),ISNUMBER('Raw data'!S55)),ROUND(('Raw data'!N55*'Raw data'!P55+(1-'Raw data'!N55)*'Raw data'!S55-'Raw data'!L55)*100,1),""))</f>
        <v>0</v>
      </c>
    </row>
    <row r="56" customFormat="false" ht="15" hidden="false" customHeight="false" outlineLevel="0" collapsed="false">
      <c r="A56" s="37" t="str">
        <f aca="false">IF(TRIM('Raw data'!A56)="","",TRIM('Raw data'!A56))</f>
        <v>Germany</v>
      </c>
      <c r="B56" s="37" t="str">
        <f aca="false">IF($A56="","",IF('Raw data'!B56="",UPPER(LEFT($A56,3)),'Raw data'!B56))</f>
        <v>DE</v>
      </c>
      <c r="C56" s="37" t="str">
        <f aca="false">IF($A56="","",'Raw data'!C56)</f>
        <v>Residential</v>
      </c>
      <c r="D56" s="38" t="n">
        <f aca="false">IF(OR($A56="",'Raw data'!J56=""),"",'Raw data'!J56)</f>
        <v>286</v>
      </c>
      <c r="E56" s="38" t="n">
        <f aca="false">IF(OR($A56="",'Raw data'!U56=""),"",'Raw data'!U56)</f>
        <v>15.4</v>
      </c>
      <c r="F56" s="42" t="n">
        <f aca="false">IF($A56="","",IF(ISNUMBER('Raw data'!K56),'Raw data'!K56*100,""))</f>
        <v>-5.34251096435302</v>
      </c>
      <c r="G56" s="42" t="n">
        <f aca="false">IF($A56="","",IF(ISNUMBER('Raw data'!L56),'Raw data'!L56*100,""))</f>
        <v>-0.566275043265374</v>
      </c>
      <c r="H56" s="42" t="n">
        <f aca="false">IF($A56="","",IF(ISNUMBER('Raw data'!M56),'Raw data'!M56*100,""))</f>
        <v>2.87276954117597</v>
      </c>
      <c r="I56" s="42" t="n">
        <f aca="false">IF($A56="","",IF(ISNUMBER('Raw data'!V56),'Raw data'!V56*100,""))</f>
        <v>2.5</v>
      </c>
      <c r="J56" s="42" t="n">
        <f aca="false">IF($A56="","",IF(ISNUMBER('Raw data'!W56),'Raw data'!W56*100,""))</f>
        <v>-1.5</v>
      </c>
      <c r="K56" s="42" t="n">
        <f aca="false">IF($A56="","",IF(ISNUMBER('Raw data'!X56),'Raw data'!X56*100,""))</f>
        <v>3.5</v>
      </c>
      <c r="L56" s="42" t="n">
        <f aca="false">IF($A56="","",IF('Raw data'!Z56&lt;&gt;"",'Raw data'!Z56*100,IF(AND(N('Raw data'!J56)&gt;0,'Raw data'!U56&lt;&gt;""),'Raw data'!U56*(1+N('Raw data'!W56))/('Raw data'!J56*(1+N('Raw data'!L56)))*100,"")))</f>
        <v>5.33405155660612</v>
      </c>
      <c r="M56" s="42" t="n">
        <f aca="false">IF($A56="","",IF('Raw data'!Y56&lt;&gt;"",'Raw data'!Y56*100,IF(AND(N('Raw data'!J56)&gt;0,'Raw data'!U56&lt;&gt;""),'Raw data'!U56/'Raw data'!J56*100,"")))</f>
        <v>5.38461538461539</v>
      </c>
      <c r="N56" s="43" t="n">
        <f aca="false">IF($A56="","",IF(ISNUMBER('Raw data'!AA56),'Raw data'!AA56,""))</f>
        <v>3</v>
      </c>
      <c r="O56" s="43" t="n">
        <f aca="false">IF($A56="","",IF(ISNUMBER('Raw data'!AB56),'Raw data'!AB56,""))</f>
        <v>2</v>
      </c>
      <c r="P56" s="43" t="n">
        <f aca="false">IF($A56="","",IF(ISNUMBER('Raw data'!AC56),'Raw data'!AC56,""))</f>
        <v>3</v>
      </c>
      <c r="Q56" s="43" t="n">
        <f aca="false">IF($A56="","",IF(ISNUMBER('Raw data'!AD56),'Raw data'!AD56,""))</f>
        <v>3</v>
      </c>
      <c r="R56" s="43" t="n">
        <f aca="false">IF($A56="","",IF(ISNUMBER('Raw data'!N56),'Raw data'!N56*100,""))</f>
        <v>82.4697116388656</v>
      </c>
      <c r="S56" s="42" t="n">
        <f aca="false">IF($A56="","",IF(ISNUMBER('Raw data'!O56),'Raw data'!O56*100,""))</f>
        <v>-3.0846031919548</v>
      </c>
      <c r="T56" s="42" t="n">
        <f aca="false">IF($A56="","",IF(ISNUMBER('Raw data'!P56),'Raw data'!P56*100,""))</f>
        <v>-2.29630989934343</v>
      </c>
      <c r="U56" s="42" t="n">
        <f aca="false">IF($A56="","",IF(ISNUMBER('Raw data'!Q56),'Raw data'!Q56*100,""))</f>
        <v>2.97289891885875</v>
      </c>
      <c r="V56" s="42" t="n">
        <f aca="false">IF($A56="","",IF(ISNUMBER('Raw data'!R56),'Raw data'!R56*100,""))</f>
        <v>-12.9815449999589</v>
      </c>
      <c r="W56" s="42" t="n">
        <f aca="false">IF($A56="","",IF(ISNUMBER('Raw data'!S56),'Raw data'!S56*100,""))</f>
        <v>7.57252294834458</v>
      </c>
      <c r="X56" s="42" t="n">
        <f aca="false">IF($A56="","",IF(ISNUMBER('Raw data'!T56),'Raw data'!T56*100,""))</f>
        <v>2.4404828150171</v>
      </c>
      <c r="Y56" s="37" t="str">
        <f aca="false">IF($A56="","",IF('Raw data'!D56="","",'Raw data'!D56))</f>
        <v>Sanitary</v>
      </c>
      <c r="Z56" s="38" t="n">
        <f aca="false">IF($A56="","",IF(ISNUMBER('Raw data'!F56),'Raw data'!F56,""))</f>
        <v>96006.35</v>
      </c>
      <c r="AA56" s="38" t="n">
        <f aca="false">IF($A56="","",IF(ISNUMBER('Raw data'!G56),'Raw data'!G56,""))</f>
        <v>636</v>
      </c>
      <c r="AB56" s="42" t="n">
        <f aca="false">IF($A56="","",IF(ISNUMBER('Raw data'!H56),'Raw data'!H56*100,IF(ISNUMBER('Raw data'!K56),'Raw data'!K56*100,"")))</f>
        <v>-5.34251096435302</v>
      </c>
      <c r="AC56" s="42" t="n">
        <f aca="false">IF($A56="","",IF(ISNUMBER('Raw data'!I56),'Raw data'!I56*100,IF(ISNUMBER('Raw data'!M56),'Raw data'!M56*100,"")))</f>
        <v>2.87276954117597</v>
      </c>
      <c r="AD56" s="44" t="n">
        <f aca="false">IF($A56="","",IF(AND(ISNUMBER('Raw data'!N56),ISNUMBER('Raw data'!L56),ISNUMBER('Raw data'!P56),ISNUMBER('Raw data'!S56)),ROUND(('Raw data'!N56*'Raw data'!P56+(1-'Raw data'!N56)*'Raw data'!S56-'Raw data'!L56)*100,1),""))</f>
        <v>0</v>
      </c>
    </row>
    <row r="57" customFormat="false" ht="15" hidden="false" customHeight="false" outlineLevel="0" collapsed="false">
      <c r="A57" s="37" t="str">
        <f aca="false">IF(TRIM('Raw data'!A57)="","",TRIM('Raw data'!A57))</f>
        <v>Germany</v>
      </c>
      <c r="B57" s="37" t="str">
        <f aca="false">IF($A57="","",IF('Raw data'!B57="",UPPER(LEFT($A57,3)),'Raw data'!B57))</f>
        <v>DE</v>
      </c>
      <c r="C57" s="37" t="str">
        <f aca="false">IF($A57="","",'Raw data'!C57)</f>
        <v>Commercial</v>
      </c>
      <c r="D57" s="38" t="n">
        <f aca="false">IF(OR($A57="",'Raw data'!J57=""),"",'Raw data'!J57)</f>
        <v>694</v>
      </c>
      <c r="E57" s="38" t="n">
        <f aca="false">IF(OR($A57="",'Raw data'!U57=""),"",'Raw data'!U57)</f>
        <v>37.5</v>
      </c>
      <c r="F57" s="42" t="n">
        <f aca="false">IF($A57="","",IF(ISNUMBER('Raw data'!K57),'Raw data'!K57*100,""))</f>
        <v>-5.19121631727134</v>
      </c>
      <c r="G57" s="42" t="n">
        <f aca="false">IF($A57="","",IF(ISNUMBER('Raw data'!L57),'Raw data'!L57*100,""))</f>
        <v>2.36626255536028</v>
      </c>
      <c r="H57" s="42" t="n">
        <f aca="false">IF($A57="","",IF(ISNUMBER('Raw data'!M57),'Raw data'!M57*100,""))</f>
        <v>3.72633789674854</v>
      </c>
      <c r="I57" s="42" t="n">
        <f aca="false">IF($A57="","",IF(ISNUMBER('Raw data'!V57),'Raw data'!V57*100,""))</f>
        <v>2.5</v>
      </c>
      <c r="J57" s="42" t="n">
        <f aca="false">IF($A57="","",IF(ISNUMBER('Raw data'!W57),'Raw data'!W57*100,""))</f>
        <v>-1.5</v>
      </c>
      <c r="K57" s="42" t="n">
        <f aca="false">IF($A57="","",IF(ISNUMBER('Raw data'!X57),'Raw data'!X57*100,""))</f>
        <v>3.5</v>
      </c>
      <c r="L57" s="42" t="n">
        <f aca="false">IF($A57="","",IF('Raw data'!Z57&lt;&gt;"",'Raw data'!Z57*100,IF(AND(N('Raw data'!J57)&gt;0,'Raw data'!U57&lt;&gt;""),'Raw data'!U57*(1+N('Raw data'!W57))/('Raw data'!J57*(1+N('Raw data'!L57)))*100,"")))</f>
        <v>5.19937546530943</v>
      </c>
      <c r="M57" s="42" t="n">
        <f aca="false">IF($A57="","",IF('Raw data'!Y57&lt;&gt;"",'Raw data'!Y57*100,IF(AND(N('Raw data'!J57)&gt;0,'Raw data'!U57&lt;&gt;""),'Raw data'!U57/'Raw data'!J57*100,"")))</f>
        <v>5.40345821325648</v>
      </c>
      <c r="N57" s="43" t="n">
        <f aca="false">IF($A57="","",IF(ISNUMBER('Raw data'!AA57),'Raw data'!AA57,""))</f>
        <v>3</v>
      </c>
      <c r="O57" s="43" t="n">
        <f aca="false">IF($A57="","",IF(ISNUMBER('Raw data'!AB57),'Raw data'!AB57,""))</f>
        <v>2</v>
      </c>
      <c r="P57" s="43" t="n">
        <f aca="false">IF($A57="","",IF(ISNUMBER('Raw data'!AC57),'Raw data'!AC57,""))</f>
        <v>3</v>
      </c>
      <c r="Q57" s="43" t="n">
        <f aca="false">IF($A57="","",IF(ISNUMBER('Raw data'!AD57),'Raw data'!AD57,""))</f>
        <v>3</v>
      </c>
      <c r="R57" s="43" t="n">
        <f aca="false">IF($A57="","",IF(ISNUMBER('Raw data'!N57),'Raw data'!N57*100,""))</f>
        <v>63.452931032972</v>
      </c>
      <c r="S57" s="42" t="n">
        <f aca="false">IF($A57="","",IF(ISNUMBER('Raw data'!O57),'Raw data'!O57*100,""))</f>
        <v>-4.40679867822753</v>
      </c>
      <c r="T57" s="42" t="n">
        <f aca="false">IF($A57="","",IF(ISNUMBER('Raw data'!P57),'Raw data'!P57*100,""))</f>
        <v>1.99575825236509</v>
      </c>
      <c r="U57" s="42" t="n">
        <f aca="false">IF($A57="","",IF(ISNUMBER('Raw data'!Q57),'Raw data'!Q57*100,""))</f>
        <v>4.1331877077611</v>
      </c>
      <c r="V57" s="42" t="n">
        <f aca="false">IF($A57="","",IF(ISNUMBER('Raw data'!R57),'Raw data'!R57*100,""))</f>
        <v>-6.46681041890747</v>
      </c>
      <c r="W57" s="42" t="n">
        <f aca="false">IF($A57="","",IF(ISNUMBER('Raw data'!S57),'Raw data'!S57*100,""))</f>
        <v>3.0095312127342</v>
      </c>
      <c r="X57" s="42" t="n">
        <f aca="false">IF($A57="","",IF(ISNUMBER('Raw data'!T57),'Raw data'!T57*100,""))</f>
        <v>3.01162820635343</v>
      </c>
      <c r="Y57" s="37" t="str">
        <f aca="false">IF($A57="","",IF('Raw data'!D57="","",'Raw data'!D57))</f>
        <v>Heating</v>
      </c>
      <c r="Z57" s="38" t="n">
        <f aca="false">IF($A57="","",IF(ISNUMBER('Raw data'!F57),'Raw data'!F57,""))</f>
        <v>108414.85</v>
      </c>
      <c r="AA57" s="38" t="n">
        <f aca="false">IF($A57="","",IF(ISNUMBER('Raw data'!G57),'Raw data'!G57,""))</f>
        <v>1262</v>
      </c>
      <c r="AB57" s="42" t="n">
        <f aca="false">IF($A57="","",IF(ISNUMBER('Raw data'!H57),'Raw data'!H57*100,IF(ISNUMBER('Raw data'!K57),'Raw data'!K57*100,"")))</f>
        <v>-5.19121631727134</v>
      </c>
      <c r="AC57" s="42" t="n">
        <f aca="false">IF($A57="","",IF(ISNUMBER('Raw data'!I57),'Raw data'!I57*100,IF(ISNUMBER('Raw data'!M57),'Raw data'!M57*100,"")))</f>
        <v>3.72633789674854</v>
      </c>
      <c r="AD57" s="44" t="n">
        <f aca="false">IF($A57="","",IF(AND(ISNUMBER('Raw data'!N57),ISNUMBER('Raw data'!L57),ISNUMBER('Raw data'!P57),ISNUMBER('Raw data'!S57)),ROUND(('Raw data'!N57*'Raw data'!P57+(1-'Raw data'!N57)*'Raw data'!S57-'Raw data'!L57)*100,1),""))</f>
        <v>-0</v>
      </c>
    </row>
    <row r="58" customFormat="false" ht="15" hidden="false" customHeight="false" outlineLevel="0" collapsed="false">
      <c r="A58" s="37" t="str">
        <f aca="false">IF(TRIM('Raw data'!A58)="","",TRIM('Raw data'!A58))</f>
        <v>Germany</v>
      </c>
      <c r="B58" s="37" t="str">
        <f aca="false">IF($A58="","",IF('Raw data'!B58="",UPPER(LEFT($A58,3)),'Raw data'!B58))</f>
        <v>DE</v>
      </c>
      <c r="C58" s="37" t="str">
        <f aca="false">IF($A58="","",'Raw data'!C58)</f>
        <v>Commercial</v>
      </c>
      <c r="D58" s="38" t="n">
        <f aca="false">IF(OR($A58="",'Raw data'!J58=""),"",'Raw data'!J58)</f>
        <v>180</v>
      </c>
      <c r="E58" s="38" t="n">
        <f aca="false">IF(OR($A58="",'Raw data'!U58=""),"",'Raw data'!U58)</f>
        <v>4.9</v>
      </c>
      <c r="F58" s="42" t="n">
        <f aca="false">IF($A58="","",IF(ISNUMBER('Raw data'!K58),'Raw data'!K58*100,""))</f>
        <v>-5.19121631727134</v>
      </c>
      <c r="G58" s="42" t="n">
        <f aca="false">IF($A58="","",IF(ISNUMBER('Raw data'!L58),'Raw data'!L58*100,""))</f>
        <v>2.36626255536028</v>
      </c>
      <c r="H58" s="42" t="n">
        <f aca="false">IF($A58="","",IF(ISNUMBER('Raw data'!M58),'Raw data'!M58*100,""))</f>
        <v>3.72633789674854</v>
      </c>
      <c r="I58" s="42" t="n">
        <f aca="false">IF($A58="","",IF(ISNUMBER('Raw data'!V58),'Raw data'!V58*100,""))</f>
        <v>4</v>
      </c>
      <c r="J58" s="42" t="n">
        <f aca="false">IF($A58="","",IF(ISNUMBER('Raw data'!W58),'Raw data'!W58*100,""))</f>
        <v>0</v>
      </c>
      <c r="K58" s="42" t="n">
        <f aca="false">IF($A58="","",IF(ISNUMBER('Raw data'!X58),'Raw data'!X58*100,""))</f>
        <v>5</v>
      </c>
      <c r="L58" s="42" t="n">
        <f aca="false">IF($A58="","",IF('Raw data'!Z58&lt;&gt;"",'Raw data'!Z58*100,IF(AND(N('Raw data'!J58)&gt;0,'Raw data'!U58&lt;&gt;""),'Raw data'!U58*(1+N('Raw data'!W58))/('Raw data'!J58*(1+N('Raw data'!L58)))*100,"")))</f>
        <v>2.65929628987874</v>
      </c>
      <c r="M58" s="42" t="n">
        <f aca="false">IF($A58="","",IF('Raw data'!Y58&lt;&gt;"",'Raw data'!Y58*100,IF(AND(N('Raw data'!J58)&gt;0,'Raw data'!U58&lt;&gt;""),'Raw data'!U58/'Raw data'!J58*100,"")))</f>
        <v>2.72222222222222</v>
      </c>
      <c r="N58" s="43" t="n">
        <f aca="false">IF($A58="","",IF(ISNUMBER('Raw data'!AA58),'Raw data'!AA58,""))</f>
        <v>3</v>
      </c>
      <c r="O58" s="43" t="n">
        <f aca="false">IF($A58="","",IF(ISNUMBER('Raw data'!AB58),'Raw data'!AB58,""))</f>
        <v>2</v>
      </c>
      <c r="P58" s="43" t="n">
        <f aca="false">IF($A58="","",IF(ISNUMBER('Raw data'!AC58),'Raw data'!AC58,""))</f>
        <v>3</v>
      </c>
      <c r="Q58" s="43" t="n">
        <f aca="false">IF($A58="","",IF(ISNUMBER('Raw data'!AD58),'Raw data'!AD58,""))</f>
        <v>3</v>
      </c>
      <c r="R58" s="43" t="n">
        <f aca="false">IF($A58="","",IF(ISNUMBER('Raw data'!N58),'Raw data'!N58*100,""))</f>
        <v>63.452931032972</v>
      </c>
      <c r="S58" s="42" t="n">
        <f aca="false">IF($A58="","",IF(ISNUMBER('Raw data'!O58),'Raw data'!O58*100,""))</f>
        <v>-4.40679867822753</v>
      </c>
      <c r="T58" s="42" t="n">
        <f aca="false">IF($A58="","",IF(ISNUMBER('Raw data'!P58),'Raw data'!P58*100,""))</f>
        <v>1.99575825236509</v>
      </c>
      <c r="U58" s="42" t="n">
        <f aca="false">IF($A58="","",IF(ISNUMBER('Raw data'!Q58),'Raw data'!Q58*100,""))</f>
        <v>4.1331877077611</v>
      </c>
      <c r="V58" s="42" t="n">
        <f aca="false">IF($A58="","",IF(ISNUMBER('Raw data'!R58),'Raw data'!R58*100,""))</f>
        <v>-6.46681041890747</v>
      </c>
      <c r="W58" s="42" t="n">
        <f aca="false">IF($A58="","",IF(ISNUMBER('Raw data'!S58),'Raw data'!S58*100,""))</f>
        <v>3.0095312127342</v>
      </c>
      <c r="X58" s="42" t="n">
        <f aca="false">IF($A58="","",IF(ISNUMBER('Raw data'!T58),'Raw data'!T58*100,""))</f>
        <v>3.01162820635343</v>
      </c>
      <c r="Y58" s="37" t="str">
        <f aca="false">IF($A58="","",IF('Raw data'!D58="","",'Raw data'!D58))</f>
        <v>Cooling</v>
      </c>
      <c r="Z58" s="38" t="n">
        <f aca="false">IF($A58="","",IF(ISNUMBER('Raw data'!F58),'Raw data'!F58,""))</f>
        <v>108414.85</v>
      </c>
      <c r="AA58" s="38" t="n">
        <f aca="false">IF($A58="","",IF(ISNUMBER('Raw data'!G58),'Raw data'!G58,""))</f>
        <v>514</v>
      </c>
      <c r="AB58" s="42" t="n">
        <f aca="false">IF($A58="","",IF(ISNUMBER('Raw data'!H58),'Raw data'!H58*100,IF(ISNUMBER('Raw data'!K58),'Raw data'!K58*100,"")))</f>
        <v>-5.19121631727134</v>
      </c>
      <c r="AC58" s="42" t="n">
        <f aca="false">IF($A58="","",IF(ISNUMBER('Raw data'!I58),'Raw data'!I58*100,IF(ISNUMBER('Raw data'!M58),'Raw data'!M58*100,"")))</f>
        <v>3.72633789674854</v>
      </c>
      <c r="AD58" s="44" t="n">
        <f aca="false">IF($A58="","",IF(AND(ISNUMBER('Raw data'!N58),ISNUMBER('Raw data'!L58),ISNUMBER('Raw data'!P58),ISNUMBER('Raw data'!S58)),ROUND(('Raw data'!N58*'Raw data'!P58+(1-'Raw data'!N58)*'Raw data'!S58-'Raw data'!L58)*100,1),""))</f>
        <v>-0</v>
      </c>
    </row>
    <row r="59" customFormat="false" ht="15" hidden="false" customHeight="false" outlineLevel="0" collapsed="false">
      <c r="A59" s="37" t="str">
        <f aca="false">IF(TRIM('Raw data'!A59)="","",TRIM('Raw data'!A59))</f>
        <v>Germany</v>
      </c>
      <c r="B59" s="37" t="str">
        <f aca="false">IF($A59="","",IF('Raw data'!B59="",UPPER(LEFT($A59,3)),'Raw data'!B59))</f>
        <v>DE</v>
      </c>
      <c r="C59" s="37" t="str">
        <f aca="false">IF($A59="","",'Raw data'!C59)</f>
        <v>Commercial</v>
      </c>
      <c r="D59" s="38" t="n">
        <f aca="false">IF(OR($A59="",'Raw data'!J59=""),"",'Raw data'!J59)</f>
        <v>323</v>
      </c>
      <c r="E59" s="38" t="n">
        <f aca="false">IF(OR($A59="",'Raw data'!U59=""),"",'Raw data'!U59)</f>
        <v>13.1</v>
      </c>
      <c r="F59" s="42" t="n">
        <f aca="false">IF($A59="","",IF(ISNUMBER('Raw data'!K59),'Raw data'!K59*100,""))</f>
        <v>-5.19121631727134</v>
      </c>
      <c r="G59" s="42" t="n">
        <f aca="false">IF($A59="","",IF(ISNUMBER('Raw data'!L59),'Raw data'!L59*100,""))</f>
        <v>2.36626255536028</v>
      </c>
      <c r="H59" s="42" t="n">
        <f aca="false">IF($A59="","",IF(ISNUMBER('Raw data'!M59),'Raw data'!M59*100,""))</f>
        <v>3.72633789674854</v>
      </c>
      <c r="I59" s="42" t="n">
        <f aca="false">IF($A59="","",IF(ISNUMBER('Raw data'!V59),'Raw data'!V59*100,""))</f>
        <v>3</v>
      </c>
      <c r="J59" s="42" t="n">
        <f aca="false">IF($A59="","",IF(ISNUMBER('Raw data'!W59),'Raw data'!W59*100,""))</f>
        <v>-1</v>
      </c>
      <c r="K59" s="42" t="n">
        <f aca="false">IF($A59="","",IF(ISNUMBER('Raw data'!X59),'Raw data'!X59*100,""))</f>
        <v>4</v>
      </c>
      <c r="L59" s="42" t="n">
        <f aca="false">IF($A59="","",IF('Raw data'!Z59&lt;&gt;"",'Raw data'!Z59*100,IF(AND(N('Raw data'!J59)&gt;0,'Raw data'!U59&lt;&gt;""),'Raw data'!U59*(1+N('Raw data'!W59))/('Raw data'!J59*(1+N('Raw data'!L59)))*100,"")))</f>
        <v>3.92235701334348</v>
      </c>
      <c r="M59" s="42" t="n">
        <f aca="false">IF($A59="","",IF('Raw data'!Y59&lt;&gt;"",'Raw data'!Y59*100,IF(AND(N('Raw data'!J59)&gt;0,'Raw data'!U59&lt;&gt;""),'Raw data'!U59/'Raw data'!J59*100,"")))</f>
        <v>4.05572755417957</v>
      </c>
      <c r="N59" s="43" t="n">
        <f aca="false">IF($A59="","",IF(ISNUMBER('Raw data'!AA59),'Raw data'!AA59,""))</f>
        <v>3</v>
      </c>
      <c r="O59" s="43" t="n">
        <f aca="false">IF($A59="","",IF(ISNUMBER('Raw data'!AB59),'Raw data'!AB59,""))</f>
        <v>2</v>
      </c>
      <c r="P59" s="43" t="n">
        <f aca="false">IF($A59="","",IF(ISNUMBER('Raw data'!AC59),'Raw data'!AC59,""))</f>
        <v>3</v>
      </c>
      <c r="Q59" s="43" t="n">
        <f aca="false">IF($A59="","",IF(ISNUMBER('Raw data'!AD59),'Raw data'!AD59,""))</f>
        <v>3</v>
      </c>
      <c r="R59" s="43" t="n">
        <f aca="false">IF($A59="","",IF(ISNUMBER('Raw data'!N59),'Raw data'!N59*100,""))</f>
        <v>63.452931032972</v>
      </c>
      <c r="S59" s="42" t="n">
        <f aca="false">IF($A59="","",IF(ISNUMBER('Raw data'!O59),'Raw data'!O59*100,""))</f>
        <v>-4.40679867822753</v>
      </c>
      <c r="T59" s="42" t="n">
        <f aca="false">IF($A59="","",IF(ISNUMBER('Raw data'!P59),'Raw data'!P59*100,""))</f>
        <v>1.99575825236509</v>
      </c>
      <c r="U59" s="42" t="n">
        <f aca="false">IF($A59="","",IF(ISNUMBER('Raw data'!Q59),'Raw data'!Q59*100,""))</f>
        <v>4.1331877077611</v>
      </c>
      <c r="V59" s="42" t="n">
        <f aca="false">IF($A59="","",IF(ISNUMBER('Raw data'!R59),'Raw data'!R59*100,""))</f>
        <v>-6.46681041890747</v>
      </c>
      <c r="W59" s="42" t="n">
        <f aca="false">IF($A59="","",IF(ISNUMBER('Raw data'!S59),'Raw data'!S59*100,""))</f>
        <v>3.0095312127342</v>
      </c>
      <c r="X59" s="42" t="n">
        <f aca="false">IF($A59="","",IF(ISNUMBER('Raw data'!T59),'Raw data'!T59*100,""))</f>
        <v>3.01162820635343</v>
      </c>
      <c r="Y59" s="37" t="str">
        <f aca="false">IF($A59="","",IF('Raw data'!D59="","",'Raw data'!D59))</f>
        <v>Sanitary</v>
      </c>
      <c r="Z59" s="38" t="n">
        <f aca="false">IF($A59="","",IF(ISNUMBER('Raw data'!F59),'Raw data'!F59,""))</f>
        <v>108414.85</v>
      </c>
      <c r="AA59" s="38" t="n">
        <f aca="false">IF($A59="","",IF(ISNUMBER('Raw data'!G59),'Raw data'!G59,""))</f>
        <v>718</v>
      </c>
      <c r="AB59" s="42" t="n">
        <f aca="false">IF($A59="","",IF(ISNUMBER('Raw data'!H59),'Raw data'!H59*100,IF(ISNUMBER('Raw data'!K59),'Raw data'!K59*100,"")))</f>
        <v>-5.19121631727134</v>
      </c>
      <c r="AC59" s="42" t="n">
        <f aca="false">IF($A59="","",IF(ISNUMBER('Raw data'!I59),'Raw data'!I59*100,IF(ISNUMBER('Raw data'!M59),'Raw data'!M59*100,"")))</f>
        <v>3.72633789674854</v>
      </c>
      <c r="AD59" s="44" t="n">
        <f aca="false">IF($A59="","",IF(AND(ISNUMBER('Raw data'!N59),ISNUMBER('Raw data'!L59),ISNUMBER('Raw data'!P59),ISNUMBER('Raw data'!S59)),ROUND(('Raw data'!N59*'Raw data'!P59+(1-'Raw data'!N59)*'Raw data'!S59-'Raw data'!L59)*100,1),""))</f>
        <v>-0</v>
      </c>
    </row>
    <row r="60" customFormat="false" ht="15" hidden="false" customHeight="false" outlineLevel="0" collapsed="false">
      <c r="A60" s="37" t="str">
        <f aca="false">IF(TRIM('Raw data'!A60)="","",TRIM('Raw data'!A60))</f>
        <v>Austria</v>
      </c>
      <c r="B60" s="37" t="str">
        <f aca="false">IF($A60="","",IF('Raw data'!B60="",UPPER(LEFT($A60,3)),'Raw data'!B60))</f>
        <v>AT</v>
      </c>
      <c r="C60" s="37" t="str">
        <f aca="false">IF($A60="","",'Raw data'!C60)</f>
        <v>Residential</v>
      </c>
      <c r="D60" s="38" t="n">
        <f aca="false">IF(OR($A60="",'Raw data'!J60=""),"",'Raw data'!J60)</f>
        <v>48</v>
      </c>
      <c r="E60" s="38" t="n">
        <f aca="false">IF(OR($A60="",'Raw data'!U60=""),"",'Raw data'!U60)</f>
        <v>4</v>
      </c>
      <c r="F60" s="42" t="n">
        <f aca="false">IF($A60="","",IF(ISNUMBER('Raw data'!K60),'Raw data'!K60*100,""))</f>
        <v>-4.0347959574352</v>
      </c>
      <c r="G60" s="42" t="n">
        <f aca="false">IF($A60="","",IF(ISNUMBER('Raw data'!L60),'Raw data'!L60*100,""))</f>
        <v>2.49825557084584</v>
      </c>
      <c r="H60" s="42" t="n">
        <f aca="false">IF($A60="","",IF(ISNUMBER('Raw data'!M60),'Raw data'!M60*100,""))</f>
        <v>3.73754977616738</v>
      </c>
      <c r="I60" s="42" t="n">
        <f aca="false">IF($A60="","",IF(ISNUMBER('Raw data'!V60),'Raw data'!V60*100,""))</f>
        <v>2</v>
      </c>
      <c r="J60" s="42" t="n">
        <f aca="false">IF($A60="","",IF(ISNUMBER('Raw data'!W60),'Raw data'!W60*100,""))</f>
        <v>-1</v>
      </c>
      <c r="K60" s="42" t="n">
        <f aca="false">IF($A60="","",IF(ISNUMBER('Raw data'!X60),'Raw data'!X60*100,""))</f>
        <v>2.5</v>
      </c>
      <c r="L60" s="42" t="n">
        <f aca="false">IF($A60="","",IF('Raw data'!Z60&lt;&gt;"",'Raw data'!Z60*100,IF(AND(N('Raw data'!J60)&gt;0,'Raw data'!U60&lt;&gt;""),'Raw data'!U60*(1+N('Raw data'!W60))/('Raw data'!J60*(1+N('Raw data'!L60)))*100,"")))</f>
        <v>8.04891747089069</v>
      </c>
      <c r="M60" s="42" t="n">
        <f aca="false">IF($A60="","",IF('Raw data'!Y60&lt;&gt;"",'Raw data'!Y60*100,IF(AND(N('Raw data'!J60)&gt;0,'Raw data'!U60&lt;&gt;""),'Raw data'!U60/'Raw data'!J60*100,"")))</f>
        <v>8.33333333333333</v>
      </c>
      <c r="N60" s="43" t="n">
        <f aca="false">IF($A60="","",IF(ISNUMBER('Raw data'!AA60),'Raw data'!AA60,""))</f>
        <v>4</v>
      </c>
      <c r="O60" s="43" t="n">
        <f aca="false">IF($A60="","",IF(ISNUMBER('Raw data'!AB60),'Raw data'!AB60,""))</f>
        <v>3</v>
      </c>
      <c r="P60" s="43" t="n">
        <f aca="false">IF($A60="","",IF(ISNUMBER('Raw data'!AC60),'Raw data'!AC60,""))</f>
        <v>3</v>
      </c>
      <c r="Q60" s="43" t="n">
        <f aca="false">IF($A60="","",IF(ISNUMBER('Raw data'!AD60),'Raw data'!AD60,""))</f>
        <v>4</v>
      </c>
      <c r="R60" s="43" t="n">
        <f aca="false">IF($A60="","",IF(ISNUMBER('Raw data'!N60),'Raw data'!N60*100,""))</f>
        <v>42.2373226281265</v>
      </c>
      <c r="S60" s="42" t="n">
        <f aca="false">IF($A60="","",IF(ISNUMBER('Raw data'!O60),'Raw data'!O60*100,""))</f>
        <v>-1.20433774159285</v>
      </c>
      <c r="T60" s="42" t="n">
        <f aca="false">IF($A60="","",IF(ISNUMBER('Raw data'!P60),'Raw data'!P60*100,""))</f>
        <v>0.751227526006448</v>
      </c>
      <c r="U60" s="42" t="n">
        <f aca="false">IF($A60="","",IF(ISNUMBER('Raw data'!Q60),'Raw data'!Q60*100,""))</f>
        <v>3.63238899541662</v>
      </c>
      <c r="V60" s="42" t="n">
        <f aca="false">IF($A60="","",IF(ISNUMBER('Raw data'!R60),'Raw data'!R60*100,""))</f>
        <v>-5.82815705090648</v>
      </c>
      <c r="W60" s="42" t="n">
        <f aca="false">IF($A60="","",IF(ISNUMBER('Raw data'!S60),'Raw data'!S60*100,""))</f>
        <v>3.77572037212595</v>
      </c>
      <c r="X60" s="42" t="n">
        <f aca="false">IF($A60="","",IF(ISNUMBER('Raw data'!T60),'Raw data'!T60*100,""))</f>
        <v>3.81194653775636</v>
      </c>
      <c r="Y60" s="37" t="str">
        <f aca="false">IF($A60="","",IF('Raw data'!D60="","",'Raw data'!D60))</f>
        <v>Heating</v>
      </c>
      <c r="Z60" s="38" t="n">
        <f aca="false">IF($A60="","",IF(ISNUMBER('Raw data'!F60),'Raw data'!F60,""))</f>
        <v>7724.59</v>
      </c>
      <c r="AA60" s="38" t="n">
        <f aca="false">IF($A60="","",IF(ISNUMBER('Raw data'!G60),'Raw data'!G60,""))</f>
        <v>87</v>
      </c>
      <c r="AB60" s="42" t="n">
        <f aca="false">IF($A60="","",IF(ISNUMBER('Raw data'!H60),'Raw data'!H60*100,IF(ISNUMBER('Raw data'!K60),'Raw data'!K60*100,"")))</f>
        <v>-4.0347959574352</v>
      </c>
      <c r="AC60" s="42" t="n">
        <f aca="false">IF($A60="","",IF(ISNUMBER('Raw data'!I60),'Raw data'!I60*100,IF(ISNUMBER('Raw data'!M60),'Raw data'!M60*100,"")))</f>
        <v>3.73754977616738</v>
      </c>
      <c r="AD60" s="44" t="n">
        <f aca="false">IF($A60="","",IF(AND(ISNUMBER('Raw data'!N60),ISNUMBER('Raw data'!L60),ISNUMBER('Raw data'!P60),ISNUMBER('Raw data'!S60)),ROUND(('Raw data'!N60*'Raw data'!P60+(1-'Raw data'!N60)*'Raw data'!S60-'Raw data'!L60)*100,1),""))</f>
        <v>0</v>
      </c>
    </row>
    <row r="61" customFormat="false" ht="15" hidden="false" customHeight="false" outlineLevel="0" collapsed="false">
      <c r="A61" s="37" t="str">
        <f aca="false">IF(TRIM('Raw data'!A61)="","",TRIM('Raw data'!A61))</f>
        <v>Austria</v>
      </c>
      <c r="B61" s="37" t="str">
        <f aca="false">IF($A61="","",IF('Raw data'!B61="",UPPER(LEFT($A61,3)),'Raw data'!B61))</f>
        <v>AT</v>
      </c>
      <c r="C61" s="37" t="str">
        <f aca="false">IF($A61="","",'Raw data'!C61)</f>
        <v>Residential</v>
      </c>
      <c r="D61" s="38" t="n">
        <f aca="false">IF(OR($A61="",'Raw data'!J61=""),"",'Raw data'!J61)</f>
        <v>14</v>
      </c>
      <c r="E61" s="38" t="n">
        <f aca="false">IF(OR($A61="",'Raw data'!U61=""),"",'Raw data'!U61)</f>
        <v>0.6</v>
      </c>
      <c r="F61" s="42" t="n">
        <f aca="false">IF($A61="","",IF(ISNUMBER('Raw data'!K61),'Raw data'!K61*100,""))</f>
        <v>-4.0347959574352</v>
      </c>
      <c r="G61" s="42" t="n">
        <f aca="false">IF($A61="","",IF(ISNUMBER('Raw data'!L61),'Raw data'!L61*100,""))</f>
        <v>2.49825557084584</v>
      </c>
      <c r="H61" s="42" t="n">
        <f aca="false">IF($A61="","",IF(ISNUMBER('Raw data'!M61),'Raw data'!M61*100,""))</f>
        <v>3.73754977616738</v>
      </c>
      <c r="I61" s="42" t="n">
        <f aca="false">IF($A61="","",IF(ISNUMBER('Raw data'!V61),'Raw data'!V61*100,""))</f>
        <v>3.5</v>
      </c>
      <c r="J61" s="42" t="n">
        <f aca="false">IF($A61="","",IF(ISNUMBER('Raw data'!W61),'Raw data'!W61*100,""))</f>
        <v>0.5</v>
      </c>
      <c r="K61" s="42" t="n">
        <f aca="false">IF($A61="","",IF(ISNUMBER('Raw data'!X61),'Raw data'!X61*100,""))</f>
        <v>4</v>
      </c>
      <c r="L61" s="42" t="n">
        <f aca="false">IF($A61="","",IF('Raw data'!Z61&lt;&gt;"",'Raw data'!Z61*100,IF(AND(N('Raw data'!J61)&gt;0,'Raw data'!U61&lt;&gt;""),'Raw data'!U61*(1+N('Raw data'!W61))/('Raw data'!J61*(1+N('Raw data'!L61)))*100,"")))</f>
        <v>4.20216210817929</v>
      </c>
      <c r="M61" s="42" t="n">
        <f aca="false">IF($A61="","",IF('Raw data'!Y61&lt;&gt;"",'Raw data'!Y61*100,IF(AND(N('Raw data'!J61)&gt;0,'Raw data'!U61&lt;&gt;""),'Raw data'!U61/'Raw data'!J61*100,"")))</f>
        <v>4.28571428571429</v>
      </c>
      <c r="N61" s="43" t="n">
        <f aca="false">IF($A61="","",IF(ISNUMBER('Raw data'!AA61),'Raw data'!AA61,""))</f>
        <v>4</v>
      </c>
      <c r="O61" s="43" t="n">
        <f aca="false">IF($A61="","",IF(ISNUMBER('Raw data'!AB61),'Raw data'!AB61,""))</f>
        <v>3</v>
      </c>
      <c r="P61" s="43" t="n">
        <f aca="false">IF($A61="","",IF(ISNUMBER('Raw data'!AC61),'Raw data'!AC61,""))</f>
        <v>3</v>
      </c>
      <c r="Q61" s="43" t="n">
        <f aca="false">IF($A61="","",IF(ISNUMBER('Raw data'!AD61),'Raw data'!AD61,""))</f>
        <v>4</v>
      </c>
      <c r="R61" s="43" t="n">
        <f aca="false">IF($A61="","",IF(ISNUMBER('Raw data'!N61),'Raw data'!N61*100,""))</f>
        <v>42.2373226281265</v>
      </c>
      <c r="S61" s="42" t="n">
        <f aca="false">IF($A61="","",IF(ISNUMBER('Raw data'!O61),'Raw data'!O61*100,""))</f>
        <v>-1.20433774159285</v>
      </c>
      <c r="T61" s="42" t="n">
        <f aca="false">IF($A61="","",IF(ISNUMBER('Raw data'!P61),'Raw data'!P61*100,""))</f>
        <v>0.751227526006448</v>
      </c>
      <c r="U61" s="42" t="n">
        <f aca="false">IF($A61="","",IF(ISNUMBER('Raw data'!Q61),'Raw data'!Q61*100,""))</f>
        <v>3.63238899541662</v>
      </c>
      <c r="V61" s="42" t="n">
        <f aca="false">IF($A61="","",IF(ISNUMBER('Raw data'!R61),'Raw data'!R61*100,""))</f>
        <v>-5.82815705090648</v>
      </c>
      <c r="W61" s="42" t="n">
        <f aca="false">IF($A61="","",IF(ISNUMBER('Raw data'!S61),'Raw data'!S61*100,""))</f>
        <v>3.77572037212595</v>
      </c>
      <c r="X61" s="42" t="n">
        <f aca="false">IF($A61="","",IF(ISNUMBER('Raw data'!T61),'Raw data'!T61*100,""))</f>
        <v>3.81194653775636</v>
      </c>
      <c r="Y61" s="37" t="str">
        <f aca="false">IF($A61="","",IF('Raw data'!D61="","",'Raw data'!D61))</f>
        <v>Cooling</v>
      </c>
      <c r="Z61" s="38" t="n">
        <f aca="false">IF($A61="","",IF(ISNUMBER('Raw data'!F61),'Raw data'!F61,""))</f>
        <v>7724.59</v>
      </c>
      <c r="AA61" s="38" t="n">
        <f aca="false">IF($A61="","",IF(ISNUMBER('Raw data'!G61),'Raw data'!G61,""))</f>
        <v>40</v>
      </c>
      <c r="AB61" s="42" t="n">
        <f aca="false">IF($A61="","",IF(ISNUMBER('Raw data'!H61),'Raw data'!H61*100,IF(ISNUMBER('Raw data'!K61),'Raw data'!K61*100,"")))</f>
        <v>-4.0347959574352</v>
      </c>
      <c r="AC61" s="42" t="n">
        <f aca="false">IF($A61="","",IF(ISNUMBER('Raw data'!I61),'Raw data'!I61*100,IF(ISNUMBER('Raw data'!M61),'Raw data'!M61*100,"")))</f>
        <v>3.73754977616738</v>
      </c>
      <c r="AD61" s="44" t="n">
        <f aca="false">IF($A61="","",IF(AND(ISNUMBER('Raw data'!N61),ISNUMBER('Raw data'!L61),ISNUMBER('Raw data'!P61),ISNUMBER('Raw data'!S61)),ROUND(('Raw data'!N61*'Raw data'!P61+(1-'Raw data'!N61)*'Raw data'!S61-'Raw data'!L61)*100,1),""))</f>
        <v>0</v>
      </c>
    </row>
    <row r="62" customFormat="false" ht="15" hidden="false" customHeight="false" outlineLevel="0" collapsed="false">
      <c r="A62" s="37" t="str">
        <f aca="false">IF(TRIM('Raw data'!A62)="","",TRIM('Raw data'!A62))</f>
        <v>Austria</v>
      </c>
      <c r="B62" s="37" t="str">
        <f aca="false">IF($A62="","",IF('Raw data'!B62="",UPPER(LEFT($A62,3)),'Raw data'!B62))</f>
        <v>AT</v>
      </c>
      <c r="C62" s="37" t="str">
        <f aca="false">IF($A62="","",'Raw data'!C62)</f>
        <v>Residential</v>
      </c>
      <c r="D62" s="38" t="n">
        <f aca="false">IF(OR($A62="",'Raw data'!J62=""),"",'Raw data'!J62)</f>
        <v>23</v>
      </c>
      <c r="E62" s="38" t="n">
        <f aca="false">IF(OR($A62="",'Raw data'!U62=""),"",'Raw data'!U62)</f>
        <v>1.4</v>
      </c>
      <c r="F62" s="42" t="n">
        <f aca="false">IF($A62="","",IF(ISNUMBER('Raw data'!K62),'Raw data'!K62*100,""))</f>
        <v>-4.0347959574352</v>
      </c>
      <c r="G62" s="42" t="n">
        <f aca="false">IF($A62="","",IF(ISNUMBER('Raw data'!L62),'Raw data'!L62*100,""))</f>
        <v>2.49825557084584</v>
      </c>
      <c r="H62" s="42" t="n">
        <f aca="false">IF($A62="","",IF(ISNUMBER('Raw data'!M62),'Raw data'!M62*100,""))</f>
        <v>3.73754977616738</v>
      </c>
      <c r="I62" s="42" t="n">
        <f aca="false">IF($A62="","",IF(ISNUMBER('Raw data'!V62),'Raw data'!V62*100,""))</f>
        <v>2.5</v>
      </c>
      <c r="J62" s="42" t="n">
        <f aca="false">IF($A62="","",IF(ISNUMBER('Raw data'!W62),'Raw data'!W62*100,""))</f>
        <v>-0.5</v>
      </c>
      <c r="K62" s="42" t="n">
        <f aca="false">IF($A62="","",IF(ISNUMBER('Raw data'!X62),'Raw data'!X62*100,""))</f>
        <v>3</v>
      </c>
      <c r="L62" s="42" t="n">
        <f aca="false">IF($A62="","",IF('Raw data'!Z62&lt;&gt;"",'Raw data'!Z62*100,IF(AND(N('Raw data'!J62)&gt;0,'Raw data'!U62&lt;&gt;""),'Raw data'!U62*(1+N('Raw data'!W62))/('Raw data'!J62*(1+N('Raw data'!L62)))*100,"")))</f>
        <v>5.90890225926257</v>
      </c>
      <c r="M62" s="42" t="n">
        <f aca="false">IF($A62="","",IF('Raw data'!Y62&lt;&gt;"",'Raw data'!Y62*100,IF(AND(N('Raw data'!J62)&gt;0,'Raw data'!U62&lt;&gt;""),'Raw data'!U62/'Raw data'!J62*100,"")))</f>
        <v>6.08695652173913</v>
      </c>
      <c r="N62" s="43" t="n">
        <f aca="false">IF($A62="","",IF(ISNUMBER('Raw data'!AA62),'Raw data'!AA62,""))</f>
        <v>4</v>
      </c>
      <c r="O62" s="43" t="n">
        <f aca="false">IF($A62="","",IF(ISNUMBER('Raw data'!AB62),'Raw data'!AB62,""))</f>
        <v>3</v>
      </c>
      <c r="P62" s="43" t="n">
        <f aca="false">IF($A62="","",IF(ISNUMBER('Raw data'!AC62),'Raw data'!AC62,""))</f>
        <v>3</v>
      </c>
      <c r="Q62" s="43" t="n">
        <f aca="false">IF($A62="","",IF(ISNUMBER('Raw data'!AD62),'Raw data'!AD62,""))</f>
        <v>4</v>
      </c>
      <c r="R62" s="43" t="n">
        <f aca="false">IF($A62="","",IF(ISNUMBER('Raw data'!N62),'Raw data'!N62*100,""))</f>
        <v>42.2373226281265</v>
      </c>
      <c r="S62" s="42" t="n">
        <f aca="false">IF($A62="","",IF(ISNUMBER('Raw data'!O62),'Raw data'!O62*100,""))</f>
        <v>-1.20433774159285</v>
      </c>
      <c r="T62" s="42" t="n">
        <f aca="false">IF($A62="","",IF(ISNUMBER('Raw data'!P62),'Raw data'!P62*100,""))</f>
        <v>0.751227526006448</v>
      </c>
      <c r="U62" s="42" t="n">
        <f aca="false">IF($A62="","",IF(ISNUMBER('Raw data'!Q62),'Raw data'!Q62*100,""))</f>
        <v>3.63238899541662</v>
      </c>
      <c r="V62" s="42" t="n">
        <f aca="false">IF($A62="","",IF(ISNUMBER('Raw data'!R62),'Raw data'!R62*100,""))</f>
        <v>-5.82815705090648</v>
      </c>
      <c r="W62" s="42" t="n">
        <f aca="false">IF($A62="","",IF(ISNUMBER('Raw data'!S62),'Raw data'!S62*100,""))</f>
        <v>3.77572037212595</v>
      </c>
      <c r="X62" s="42" t="n">
        <f aca="false">IF($A62="","",IF(ISNUMBER('Raw data'!T62),'Raw data'!T62*100,""))</f>
        <v>3.81194653775636</v>
      </c>
      <c r="Y62" s="37" t="str">
        <f aca="false">IF($A62="","",IF('Raw data'!D62="","",'Raw data'!D62))</f>
        <v>Sanitary</v>
      </c>
      <c r="Z62" s="38" t="n">
        <f aca="false">IF($A62="","",IF(ISNUMBER('Raw data'!F62),'Raw data'!F62,""))</f>
        <v>7724.59</v>
      </c>
      <c r="AA62" s="38" t="n">
        <f aca="false">IF($A62="","",IF(ISNUMBER('Raw data'!G62),'Raw data'!G62,""))</f>
        <v>51</v>
      </c>
      <c r="AB62" s="42" t="n">
        <f aca="false">IF($A62="","",IF(ISNUMBER('Raw data'!H62),'Raw data'!H62*100,IF(ISNUMBER('Raw data'!K62),'Raw data'!K62*100,"")))</f>
        <v>-4.0347959574352</v>
      </c>
      <c r="AC62" s="42" t="n">
        <f aca="false">IF($A62="","",IF(ISNUMBER('Raw data'!I62),'Raw data'!I62*100,IF(ISNUMBER('Raw data'!M62),'Raw data'!M62*100,"")))</f>
        <v>3.73754977616738</v>
      </c>
      <c r="AD62" s="44" t="n">
        <f aca="false">IF($A62="","",IF(AND(ISNUMBER('Raw data'!N62),ISNUMBER('Raw data'!L62),ISNUMBER('Raw data'!P62),ISNUMBER('Raw data'!S62)),ROUND(('Raw data'!N62*'Raw data'!P62+(1-'Raw data'!N62)*'Raw data'!S62-'Raw data'!L62)*100,1),""))</f>
        <v>0</v>
      </c>
    </row>
    <row r="63" customFormat="false" ht="15" hidden="false" customHeight="false" outlineLevel="0" collapsed="false">
      <c r="A63" s="37" t="str">
        <f aca="false">IF(TRIM('Raw data'!A63)="","",TRIM('Raw data'!A63))</f>
        <v>Austria</v>
      </c>
      <c r="B63" s="37" t="str">
        <f aca="false">IF($A63="","",IF('Raw data'!B63="",UPPER(LEFT($A63,3)),'Raw data'!B63))</f>
        <v>AT</v>
      </c>
      <c r="C63" s="37" t="str">
        <f aca="false">IF($A63="","",'Raw data'!C63)</f>
        <v>Commercial</v>
      </c>
      <c r="D63" s="38" t="n">
        <f aca="false">IF(OR($A63="",'Raw data'!J63=""),"",'Raw data'!J63)</f>
        <v>138</v>
      </c>
      <c r="E63" s="38" t="n">
        <f aca="false">IF(OR($A63="",'Raw data'!U63=""),"",'Raw data'!U63)</f>
        <v>8.3</v>
      </c>
      <c r="F63" s="42" t="n">
        <f aca="false">IF($A63="","",IF(ISNUMBER('Raw data'!K63),'Raw data'!K63*100,""))</f>
        <v>-4.99056314974363</v>
      </c>
      <c r="G63" s="42" t="n">
        <f aca="false">IF($A63="","",IF(ISNUMBER('Raw data'!L63),'Raw data'!L63*100,""))</f>
        <v>3.19045114339906</v>
      </c>
      <c r="H63" s="42" t="n">
        <f aca="false">IF($A63="","",IF(ISNUMBER('Raw data'!M63),'Raw data'!M63*100,""))</f>
        <v>2.57312661499052</v>
      </c>
      <c r="I63" s="42" t="n">
        <f aca="false">IF($A63="","",IF(ISNUMBER('Raw data'!V63),'Raw data'!V63*100,""))</f>
        <v>2.5</v>
      </c>
      <c r="J63" s="42" t="n">
        <f aca="false">IF($A63="","",IF(ISNUMBER('Raw data'!W63),'Raw data'!W63*100,""))</f>
        <v>-0.5</v>
      </c>
      <c r="K63" s="42" t="n">
        <f aca="false">IF($A63="","",IF(ISNUMBER('Raw data'!X63),'Raw data'!X63*100,""))</f>
        <v>3</v>
      </c>
      <c r="L63" s="42" t="n">
        <f aca="false">IF($A63="","",IF('Raw data'!Z63&lt;&gt;"",'Raw data'!Z63*100,IF(AND(N('Raw data'!J63)&gt;0,'Raw data'!U63&lt;&gt;""),'Raw data'!U63*(1+N('Raw data'!W63))/('Raw data'!J63*(1+N('Raw data'!L63)))*100,"")))</f>
        <v>5.79939347443961</v>
      </c>
      <c r="M63" s="42" t="n">
        <f aca="false">IF($A63="","",IF('Raw data'!Y63&lt;&gt;"",'Raw data'!Y63*100,IF(AND(N('Raw data'!J63)&gt;0,'Raw data'!U63&lt;&gt;""),'Raw data'!U63/'Raw data'!J63*100,"")))</f>
        <v>6.01449275362319</v>
      </c>
      <c r="N63" s="43" t="n">
        <f aca="false">IF($A63="","",IF(ISNUMBER('Raw data'!AA63),'Raw data'!AA63,""))</f>
        <v>4</v>
      </c>
      <c r="O63" s="43" t="n">
        <f aca="false">IF($A63="","",IF(ISNUMBER('Raw data'!AB63),'Raw data'!AB63,""))</f>
        <v>3</v>
      </c>
      <c r="P63" s="43" t="n">
        <f aca="false">IF($A63="","",IF(ISNUMBER('Raw data'!AC63),'Raw data'!AC63,""))</f>
        <v>3</v>
      </c>
      <c r="Q63" s="43" t="n">
        <f aca="false">IF($A63="","",IF(ISNUMBER('Raw data'!AD63),'Raw data'!AD63,""))</f>
        <v>4</v>
      </c>
      <c r="R63" s="43" t="n">
        <f aca="false">IF($A63="","",IF(ISNUMBER('Raw data'!N63),'Raw data'!N63*100,""))</f>
        <v>36.5886791765432</v>
      </c>
      <c r="S63" s="42" t="n">
        <f aca="false">IF($A63="","",IF(ISNUMBER('Raw data'!O63),'Raw data'!O63*100,""))</f>
        <v>-0.562353815248129</v>
      </c>
      <c r="T63" s="42" t="n">
        <f aca="false">IF($A63="","",IF(ISNUMBER('Raw data'!P63),'Raw data'!P63*100,""))</f>
        <v>11.3371535824793</v>
      </c>
      <c r="U63" s="42" t="n">
        <f aca="false">IF($A63="","",IF(ISNUMBER('Raw data'!Q63),'Raw data'!Q63*100,""))</f>
        <v>2.10523171085899</v>
      </c>
      <c r="V63" s="42" t="n">
        <f aca="false">IF($A63="","",IF(ISNUMBER('Raw data'!R63),'Raw data'!R63*100,""))</f>
        <v>-7.07882974039739</v>
      </c>
      <c r="W63" s="42" t="n">
        <f aca="false">IF($A63="","",IF(ISNUMBER('Raw data'!S63),'Raw data'!S63*100,""))</f>
        <v>-1.51024075229796</v>
      </c>
      <c r="X63" s="42" t="n">
        <f aca="false">IF($A63="","",IF(ISNUMBER('Raw data'!T63),'Raw data'!T63*100,""))</f>
        <v>2.87378216168481</v>
      </c>
      <c r="Y63" s="37" t="str">
        <f aca="false">IF($A63="","",IF('Raw data'!D63="","",'Raw data'!D63))</f>
        <v>Heating</v>
      </c>
      <c r="Z63" s="38" t="n">
        <f aca="false">IF($A63="","",IF(ISNUMBER('Raw data'!F63),'Raw data'!F63,""))</f>
        <v>21958.65</v>
      </c>
      <c r="AA63" s="38" t="n">
        <f aca="false">IF($A63="","",IF(ISNUMBER('Raw data'!G63),'Raw data'!G63,""))</f>
        <v>251</v>
      </c>
      <c r="AB63" s="42" t="n">
        <f aca="false">IF($A63="","",IF(ISNUMBER('Raw data'!H63),'Raw data'!H63*100,IF(ISNUMBER('Raw data'!K63),'Raw data'!K63*100,"")))</f>
        <v>-4.99056314974363</v>
      </c>
      <c r="AC63" s="42" t="n">
        <f aca="false">IF($A63="","",IF(ISNUMBER('Raw data'!I63),'Raw data'!I63*100,IF(ISNUMBER('Raw data'!M63),'Raw data'!M63*100,"")))</f>
        <v>2.57312661499052</v>
      </c>
      <c r="AD63" s="44" t="n">
        <f aca="false">IF($A63="","",IF(AND(ISNUMBER('Raw data'!N63),ISNUMBER('Raw data'!L63),ISNUMBER('Raw data'!P63),ISNUMBER('Raw data'!S63)),ROUND(('Raw data'!N63*'Raw data'!P63+(1-'Raw data'!N63)*'Raw data'!S63-'Raw data'!L63)*100,1),""))</f>
        <v>0</v>
      </c>
    </row>
    <row r="64" customFormat="false" ht="15" hidden="false" customHeight="false" outlineLevel="0" collapsed="false">
      <c r="A64" s="37" t="str">
        <f aca="false">IF(TRIM('Raw data'!A64)="","",TRIM('Raw data'!A64))</f>
        <v>Austria</v>
      </c>
      <c r="B64" s="37" t="str">
        <f aca="false">IF($A64="","",IF('Raw data'!B64="",UPPER(LEFT($A64,3)),'Raw data'!B64))</f>
        <v>AT</v>
      </c>
      <c r="C64" s="37" t="str">
        <f aca="false">IF($A64="","",'Raw data'!C64)</f>
        <v>Commercial</v>
      </c>
      <c r="D64" s="38" t="n">
        <f aca="false">IF(OR($A64="",'Raw data'!J64=""),"",'Raw data'!J64)</f>
        <v>39</v>
      </c>
      <c r="E64" s="38" t="n">
        <f aca="false">IF(OR($A64="",'Raw data'!U64=""),"",'Raw data'!U64)</f>
        <v>1.2</v>
      </c>
      <c r="F64" s="42" t="n">
        <f aca="false">IF($A64="","",IF(ISNUMBER('Raw data'!K64),'Raw data'!K64*100,""))</f>
        <v>-4.99056314974363</v>
      </c>
      <c r="G64" s="42" t="n">
        <f aca="false">IF($A64="","",IF(ISNUMBER('Raw data'!L64),'Raw data'!L64*100,""))</f>
        <v>3.19045114339906</v>
      </c>
      <c r="H64" s="42" t="n">
        <f aca="false">IF($A64="","",IF(ISNUMBER('Raw data'!M64),'Raw data'!M64*100,""))</f>
        <v>2.57312661499052</v>
      </c>
      <c r="I64" s="42" t="n">
        <f aca="false">IF($A64="","",IF(ISNUMBER('Raw data'!V64),'Raw data'!V64*100,""))</f>
        <v>4</v>
      </c>
      <c r="J64" s="42" t="n">
        <f aca="false">IF($A64="","",IF(ISNUMBER('Raw data'!W64),'Raw data'!W64*100,""))</f>
        <v>1</v>
      </c>
      <c r="K64" s="42" t="n">
        <f aca="false">IF($A64="","",IF(ISNUMBER('Raw data'!X64),'Raw data'!X64*100,""))</f>
        <v>4.5</v>
      </c>
      <c r="L64" s="42" t="n">
        <f aca="false">IF($A64="","",IF('Raw data'!Z64&lt;&gt;"",'Raw data'!Z64*100,IF(AND(N('Raw data'!J64)&gt;0,'Raw data'!U64&lt;&gt;""),'Raw data'!U64*(1+N('Raw data'!W64))/('Raw data'!J64*(1+N('Raw data'!L64)))*100,"")))</f>
        <v>3.01160841265602</v>
      </c>
      <c r="M64" s="42" t="n">
        <f aca="false">IF($A64="","",IF('Raw data'!Y64&lt;&gt;"",'Raw data'!Y64*100,IF(AND(N('Raw data'!J64)&gt;0,'Raw data'!U64&lt;&gt;""),'Raw data'!U64/'Raw data'!J64*100,"")))</f>
        <v>3.07692307692308</v>
      </c>
      <c r="N64" s="43" t="n">
        <f aca="false">IF($A64="","",IF(ISNUMBER('Raw data'!AA64),'Raw data'!AA64,""))</f>
        <v>4</v>
      </c>
      <c r="O64" s="43" t="n">
        <f aca="false">IF($A64="","",IF(ISNUMBER('Raw data'!AB64),'Raw data'!AB64,""))</f>
        <v>3</v>
      </c>
      <c r="P64" s="43" t="n">
        <f aca="false">IF($A64="","",IF(ISNUMBER('Raw data'!AC64),'Raw data'!AC64,""))</f>
        <v>3</v>
      </c>
      <c r="Q64" s="43" t="n">
        <f aca="false">IF($A64="","",IF(ISNUMBER('Raw data'!AD64),'Raw data'!AD64,""))</f>
        <v>4</v>
      </c>
      <c r="R64" s="43" t="n">
        <f aca="false">IF($A64="","",IF(ISNUMBER('Raw data'!N64),'Raw data'!N64*100,""))</f>
        <v>36.5886791765432</v>
      </c>
      <c r="S64" s="42" t="n">
        <f aca="false">IF($A64="","",IF(ISNUMBER('Raw data'!O64),'Raw data'!O64*100,""))</f>
        <v>-0.562353815248129</v>
      </c>
      <c r="T64" s="42" t="n">
        <f aca="false">IF($A64="","",IF(ISNUMBER('Raw data'!P64),'Raw data'!P64*100,""))</f>
        <v>11.3371535824793</v>
      </c>
      <c r="U64" s="42" t="n">
        <f aca="false">IF($A64="","",IF(ISNUMBER('Raw data'!Q64),'Raw data'!Q64*100,""))</f>
        <v>2.10523171085899</v>
      </c>
      <c r="V64" s="42" t="n">
        <f aca="false">IF($A64="","",IF(ISNUMBER('Raw data'!R64),'Raw data'!R64*100,""))</f>
        <v>-7.07882974039739</v>
      </c>
      <c r="W64" s="42" t="n">
        <f aca="false">IF($A64="","",IF(ISNUMBER('Raw data'!S64),'Raw data'!S64*100,""))</f>
        <v>-1.51024075229796</v>
      </c>
      <c r="X64" s="42" t="n">
        <f aca="false">IF($A64="","",IF(ISNUMBER('Raw data'!T64),'Raw data'!T64*100,""))</f>
        <v>2.87378216168481</v>
      </c>
      <c r="Y64" s="37" t="str">
        <f aca="false">IF($A64="","",IF('Raw data'!D64="","",'Raw data'!D64))</f>
        <v>Cooling</v>
      </c>
      <c r="Z64" s="38" t="n">
        <f aca="false">IF($A64="","",IF(ISNUMBER('Raw data'!F64),'Raw data'!F64,""))</f>
        <v>21958.65</v>
      </c>
      <c r="AA64" s="38" t="n">
        <f aca="false">IF($A64="","",IF(ISNUMBER('Raw data'!G64),'Raw data'!G64,""))</f>
        <v>111</v>
      </c>
      <c r="AB64" s="42" t="n">
        <f aca="false">IF($A64="","",IF(ISNUMBER('Raw data'!H64),'Raw data'!H64*100,IF(ISNUMBER('Raw data'!K64),'Raw data'!K64*100,"")))</f>
        <v>-4.99056314974363</v>
      </c>
      <c r="AC64" s="42" t="n">
        <f aca="false">IF($A64="","",IF(ISNUMBER('Raw data'!I64),'Raw data'!I64*100,IF(ISNUMBER('Raw data'!M64),'Raw data'!M64*100,"")))</f>
        <v>2.57312661499052</v>
      </c>
      <c r="AD64" s="44" t="n">
        <f aca="false">IF($A64="","",IF(AND(ISNUMBER('Raw data'!N64),ISNUMBER('Raw data'!L64),ISNUMBER('Raw data'!P64),ISNUMBER('Raw data'!S64)),ROUND(('Raw data'!N64*'Raw data'!P64+(1-'Raw data'!N64)*'Raw data'!S64-'Raw data'!L64)*100,1),""))</f>
        <v>0</v>
      </c>
    </row>
    <row r="65" customFormat="false" ht="15" hidden="false" customHeight="false" outlineLevel="0" collapsed="false">
      <c r="A65" s="37" t="str">
        <f aca="false">IF(TRIM('Raw data'!A65)="","",TRIM('Raw data'!A65))</f>
        <v>Austria</v>
      </c>
      <c r="B65" s="37" t="str">
        <f aca="false">IF($A65="","",IF('Raw data'!B65="",UPPER(LEFT($A65,3)),'Raw data'!B65))</f>
        <v>AT</v>
      </c>
      <c r="C65" s="37" t="str">
        <f aca="false">IF($A65="","",'Raw data'!C65)</f>
        <v>Commercial</v>
      </c>
      <c r="D65" s="38" t="n">
        <f aca="false">IF(OR($A65="",'Raw data'!J65=""),"",'Raw data'!J65)</f>
        <v>65</v>
      </c>
      <c r="E65" s="38" t="n">
        <f aca="false">IF(OR($A65="",'Raw data'!U65=""),"",'Raw data'!U65)</f>
        <v>2.9</v>
      </c>
      <c r="F65" s="42" t="n">
        <f aca="false">IF($A65="","",IF(ISNUMBER('Raw data'!K65),'Raw data'!K65*100,""))</f>
        <v>-4.99056314974363</v>
      </c>
      <c r="G65" s="42" t="n">
        <f aca="false">IF($A65="","",IF(ISNUMBER('Raw data'!L65),'Raw data'!L65*100,""))</f>
        <v>3.19045114339906</v>
      </c>
      <c r="H65" s="42" t="n">
        <f aca="false">IF($A65="","",IF(ISNUMBER('Raw data'!M65),'Raw data'!M65*100,""))</f>
        <v>2.57312661499052</v>
      </c>
      <c r="I65" s="42" t="n">
        <f aca="false">IF($A65="","",IF(ISNUMBER('Raw data'!V65),'Raw data'!V65*100,""))</f>
        <v>3</v>
      </c>
      <c r="J65" s="42" t="n">
        <f aca="false">IF($A65="","",IF(ISNUMBER('Raw data'!W65),'Raw data'!W65*100,""))</f>
        <v>0</v>
      </c>
      <c r="K65" s="42" t="n">
        <f aca="false">IF($A65="","",IF(ISNUMBER('Raw data'!X65),'Raw data'!X65*100,""))</f>
        <v>3.5</v>
      </c>
      <c r="L65" s="42" t="n">
        <f aca="false">IF($A65="","",IF('Raw data'!Z65&lt;&gt;"",'Raw data'!Z65*100,IF(AND(N('Raw data'!J65)&gt;0,'Raw data'!U65&lt;&gt;""),'Raw data'!U65*(1+N('Raw data'!W65))/('Raw data'!J65*(1+N('Raw data'!L65)))*100,"")))</f>
        <v>4.32359623599132</v>
      </c>
      <c r="M65" s="42" t="n">
        <f aca="false">IF($A65="","",IF('Raw data'!Y65&lt;&gt;"",'Raw data'!Y65*100,IF(AND(N('Raw data'!J65)&gt;0,'Raw data'!U65&lt;&gt;""),'Raw data'!U65/'Raw data'!J65*100,"")))</f>
        <v>4.46153846153846</v>
      </c>
      <c r="N65" s="43" t="n">
        <f aca="false">IF($A65="","",IF(ISNUMBER('Raw data'!AA65),'Raw data'!AA65,""))</f>
        <v>4</v>
      </c>
      <c r="O65" s="43" t="n">
        <f aca="false">IF($A65="","",IF(ISNUMBER('Raw data'!AB65),'Raw data'!AB65,""))</f>
        <v>3</v>
      </c>
      <c r="P65" s="43" t="n">
        <f aca="false">IF($A65="","",IF(ISNUMBER('Raw data'!AC65),'Raw data'!AC65,""))</f>
        <v>3</v>
      </c>
      <c r="Q65" s="43" t="n">
        <f aca="false">IF($A65="","",IF(ISNUMBER('Raw data'!AD65),'Raw data'!AD65,""))</f>
        <v>4</v>
      </c>
      <c r="R65" s="43" t="n">
        <f aca="false">IF($A65="","",IF(ISNUMBER('Raw data'!N65),'Raw data'!N65*100,""))</f>
        <v>36.5886791765432</v>
      </c>
      <c r="S65" s="42" t="n">
        <f aca="false">IF($A65="","",IF(ISNUMBER('Raw data'!O65),'Raw data'!O65*100,""))</f>
        <v>-0.562353815248129</v>
      </c>
      <c r="T65" s="42" t="n">
        <f aca="false">IF($A65="","",IF(ISNUMBER('Raw data'!P65),'Raw data'!P65*100,""))</f>
        <v>11.3371535824793</v>
      </c>
      <c r="U65" s="42" t="n">
        <f aca="false">IF($A65="","",IF(ISNUMBER('Raw data'!Q65),'Raw data'!Q65*100,""))</f>
        <v>2.10523171085899</v>
      </c>
      <c r="V65" s="42" t="n">
        <f aca="false">IF($A65="","",IF(ISNUMBER('Raw data'!R65),'Raw data'!R65*100,""))</f>
        <v>-7.07882974039739</v>
      </c>
      <c r="W65" s="42" t="n">
        <f aca="false">IF($A65="","",IF(ISNUMBER('Raw data'!S65),'Raw data'!S65*100,""))</f>
        <v>-1.51024075229796</v>
      </c>
      <c r="X65" s="42" t="n">
        <f aca="false">IF($A65="","",IF(ISNUMBER('Raw data'!T65),'Raw data'!T65*100,""))</f>
        <v>2.87378216168481</v>
      </c>
      <c r="Y65" s="37" t="str">
        <f aca="false">IF($A65="","",IF('Raw data'!D65="","",'Raw data'!D65))</f>
        <v>Sanitary</v>
      </c>
      <c r="Z65" s="38" t="n">
        <f aca="false">IF($A65="","",IF(ISNUMBER('Raw data'!F65),'Raw data'!F65,""))</f>
        <v>21958.65</v>
      </c>
      <c r="AA65" s="38" t="n">
        <f aca="false">IF($A65="","",IF(ISNUMBER('Raw data'!G65),'Raw data'!G65,""))</f>
        <v>144</v>
      </c>
      <c r="AB65" s="42" t="n">
        <f aca="false">IF($A65="","",IF(ISNUMBER('Raw data'!H65),'Raw data'!H65*100,IF(ISNUMBER('Raw data'!K65),'Raw data'!K65*100,"")))</f>
        <v>-4.99056314974363</v>
      </c>
      <c r="AC65" s="42" t="n">
        <f aca="false">IF($A65="","",IF(ISNUMBER('Raw data'!I65),'Raw data'!I65*100,IF(ISNUMBER('Raw data'!M65),'Raw data'!M65*100,"")))</f>
        <v>2.57312661499052</v>
      </c>
      <c r="AD65" s="44" t="n">
        <f aca="false">IF($A65="","",IF(AND(ISNUMBER('Raw data'!N65),ISNUMBER('Raw data'!L65),ISNUMBER('Raw data'!P65),ISNUMBER('Raw data'!S65)),ROUND(('Raw data'!N65*'Raw data'!P65+(1-'Raw data'!N65)*'Raw data'!S65-'Raw data'!L65)*100,1),""))</f>
        <v>0</v>
      </c>
    </row>
    <row r="66" customFormat="false" ht="15" hidden="false" customHeight="false" outlineLevel="0" collapsed="false">
      <c r="A66" s="37" t="str">
        <f aca="false">IF(TRIM('Raw data'!A66)="","",TRIM('Raw data'!A66))</f>
        <v>Switzerland</v>
      </c>
      <c r="B66" s="37" t="str">
        <f aca="false">IF($A66="","",IF('Raw data'!B66="",UPPER(LEFT($A66,3)),'Raw data'!B66))</f>
        <v>CH</v>
      </c>
      <c r="C66" s="37" t="str">
        <f aca="false">IF($A66="","",'Raw data'!C66)</f>
        <v>Residential</v>
      </c>
      <c r="D66" s="38" t="n">
        <f aca="false">IF(OR($A66="",'Raw data'!J66=""),"",'Raw data'!J66)</f>
        <v>42</v>
      </c>
      <c r="E66" s="38" t="n">
        <f aca="false">IF(OR($A66="",'Raw data'!U66=""),"",'Raw data'!U66)</f>
        <v>6</v>
      </c>
      <c r="F66" s="42" t="n">
        <f aca="false">IF($A66="","",IF(ISNUMBER('Raw data'!K66),'Raw data'!K66*100,""))</f>
        <v>0.0294211687557056</v>
      </c>
      <c r="G66" s="42" t="n">
        <f aca="false">IF($A66="","",IF(ISNUMBER('Raw data'!L66),'Raw data'!L66*100,""))</f>
        <v>-0.784952475766632</v>
      </c>
      <c r="H66" s="42" t="n">
        <f aca="false">IF($A66="","",IF(ISNUMBER('Raw data'!M66),'Raw data'!M66*100,""))</f>
        <v>1.43685816568195</v>
      </c>
      <c r="I66" s="42" t="n">
        <f aca="false">IF($A66="","",IF(ISNUMBER('Raw data'!V66),'Raw data'!V66*100,""))</f>
        <v>2.5</v>
      </c>
      <c r="J66" s="42" t="n">
        <f aca="false">IF($A66="","",IF(ISNUMBER('Raw data'!W66),'Raw data'!W66*100,""))</f>
        <v>1.5</v>
      </c>
      <c r="K66" s="42" t="n">
        <f aca="false">IF($A66="","",IF(ISNUMBER('Raw data'!X66),'Raw data'!X66*100,""))</f>
        <v>2</v>
      </c>
      <c r="L66" s="42" t="n">
        <f aca="false">IF($A66="","",IF('Raw data'!Z66&lt;&gt;"",'Raw data'!Z66*100,IF(AND(N('Raw data'!J66)&gt;0,'Raw data'!U66&lt;&gt;""),'Raw data'!U66*(1+N('Raw data'!W66))/('Raw data'!J66*(1+N('Raw data'!L66)))*100,"")))</f>
        <v>14.6147185954412</v>
      </c>
      <c r="M66" s="42" t="n">
        <f aca="false">IF($A66="","",IF('Raw data'!Y66&lt;&gt;"",'Raw data'!Y66*100,IF(AND(N('Raw data'!J66)&gt;0,'Raw data'!U66&lt;&gt;""),'Raw data'!U66/'Raw data'!J66*100,"")))</f>
        <v>14.2857142857143</v>
      </c>
      <c r="N66" s="43" t="n">
        <f aca="false">IF($A66="","",IF(ISNUMBER('Raw data'!AA66),'Raw data'!AA66,""))</f>
        <v>5</v>
      </c>
      <c r="O66" s="43" t="n">
        <f aca="false">IF($A66="","",IF(ISNUMBER('Raw data'!AB66),'Raw data'!AB66,""))</f>
        <v>4</v>
      </c>
      <c r="P66" s="43" t="n">
        <f aca="false">IF($A66="","",IF(ISNUMBER('Raw data'!AC66),'Raw data'!AC66,""))</f>
        <v>4</v>
      </c>
      <c r="Q66" s="43" t="n">
        <f aca="false">IF($A66="","",IF(ISNUMBER('Raw data'!AD66),'Raw data'!AD66,""))</f>
        <v>4</v>
      </c>
      <c r="R66" s="43" t="n">
        <f aca="false">IF($A66="","",IF(ISNUMBER('Raw data'!N66),'Raw data'!N66*100,""))</f>
        <v>43.3918194108586</v>
      </c>
      <c r="S66" s="42" t="n">
        <f aca="false">IF($A66="","",IF(ISNUMBER('Raw data'!O66),'Raw data'!O66*100,""))</f>
        <v>-0.549538485364742</v>
      </c>
      <c r="T66" s="42" t="n">
        <f aca="false">IF($A66="","",IF(ISNUMBER('Raw data'!P66),'Raw data'!P66*100,""))</f>
        <v>2.66935921802878</v>
      </c>
      <c r="U66" s="42" t="n">
        <f aca="false">IF($A66="","",IF(ISNUMBER('Raw data'!Q66),'Raw data'!Q66*100,""))</f>
        <v>3.62517979469283</v>
      </c>
      <c r="V66" s="42" t="n">
        <f aca="false">IF($A66="","",IF(ISNUMBER('Raw data'!R66),'Raw data'!R66*100,""))</f>
        <v>0.487241319101606</v>
      </c>
      <c r="W66" s="42" t="n">
        <f aca="false">IF($A66="","",IF(ISNUMBER('Raw data'!S66),'Raw data'!S66*100,""))</f>
        <v>-3.43278301273214</v>
      </c>
      <c r="X66" s="42" t="n">
        <f aca="false">IF($A66="","",IF(ISNUMBER('Raw data'!T66),'Raw data'!T66*100,""))</f>
        <v>-0.497562582892686</v>
      </c>
      <c r="Y66" s="37" t="str">
        <f aca="false">IF($A66="","",IF('Raw data'!D66="","",'Raw data'!D66))</f>
        <v>Heating</v>
      </c>
      <c r="Z66" s="38" t="n">
        <f aca="false">IF($A66="","",IF(ISNUMBER('Raw data'!F66),'Raw data'!F66,""))</f>
        <v>6790.22</v>
      </c>
      <c r="AA66" s="38" t="n">
        <f aca="false">IF($A66="","",IF(ISNUMBER('Raw data'!G66),'Raw data'!G66,""))</f>
        <v>64</v>
      </c>
      <c r="AB66" s="42" t="n">
        <f aca="false">IF($A66="","",IF(ISNUMBER('Raw data'!H66),'Raw data'!H66*100,IF(ISNUMBER('Raw data'!K66),'Raw data'!K66*100,"")))</f>
        <v>0.0294211687557056</v>
      </c>
      <c r="AC66" s="42" t="n">
        <f aca="false">IF($A66="","",IF(ISNUMBER('Raw data'!I66),'Raw data'!I66*100,IF(ISNUMBER('Raw data'!M66),'Raw data'!M66*100,"")))</f>
        <v>1.43685816568195</v>
      </c>
      <c r="AD66" s="44" t="n">
        <f aca="false">IF($A66="","",IF(AND(ISNUMBER('Raw data'!N66),ISNUMBER('Raw data'!L66),ISNUMBER('Raw data'!P66),ISNUMBER('Raw data'!S66)),ROUND(('Raw data'!N66*'Raw data'!P66+(1-'Raw data'!N66)*'Raw data'!S66-'Raw data'!L66)*100,1),""))</f>
        <v>0</v>
      </c>
    </row>
    <row r="67" customFormat="false" ht="15" hidden="false" customHeight="false" outlineLevel="0" collapsed="false">
      <c r="A67" s="37" t="str">
        <f aca="false">IF(TRIM('Raw data'!A67)="","",TRIM('Raw data'!A67))</f>
        <v>Switzerland</v>
      </c>
      <c r="B67" s="37" t="str">
        <f aca="false">IF($A67="","",IF('Raw data'!B67="",UPPER(LEFT($A67,3)),'Raw data'!B67))</f>
        <v>CH</v>
      </c>
      <c r="C67" s="37" t="str">
        <f aca="false">IF($A67="","",'Raw data'!C67)</f>
        <v>Residential</v>
      </c>
      <c r="D67" s="38" t="n">
        <f aca="false">IF(OR($A67="",'Raw data'!J67=""),"",'Raw data'!J67)</f>
        <v>13</v>
      </c>
      <c r="E67" s="38" t="n">
        <f aca="false">IF(OR($A67="",'Raw data'!U67=""),"",'Raw data'!U67)</f>
        <v>0.9</v>
      </c>
      <c r="F67" s="42" t="n">
        <f aca="false">IF($A67="","",IF(ISNUMBER('Raw data'!K67),'Raw data'!K67*100,""))</f>
        <v>0.0294211687557056</v>
      </c>
      <c r="G67" s="42" t="n">
        <f aca="false">IF($A67="","",IF(ISNUMBER('Raw data'!L67),'Raw data'!L67*100,""))</f>
        <v>-0.784952475766632</v>
      </c>
      <c r="H67" s="42" t="n">
        <f aca="false">IF($A67="","",IF(ISNUMBER('Raw data'!M67),'Raw data'!M67*100,""))</f>
        <v>1.43685816568195</v>
      </c>
      <c r="I67" s="42" t="n">
        <f aca="false">IF($A67="","",IF(ISNUMBER('Raw data'!V67),'Raw data'!V67*100,""))</f>
        <v>4</v>
      </c>
      <c r="J67" s="42" t="n">
        <f aca="false">IF($A67="","",IF(ISNUMBER('Raw data'!W67),'Raw data'!W67*100,""))</f>
        <v>3</v>
      </c>
      <c r="K67" s="42" t="n">
        <f aca="false">IF($A67="","",IF(ISNUMBER('Raw data'!X67),'Raw data'!X67*100,""))</f>
        <v>3.5</v>
      </c>
      <c r="L67" s="42" t="n">
        <f aca="false">IF($A67="","",IF('Raw data'!Z67&lt;&gt;"",'Raw data'!Z67*100,IF(AND(N('Raw data'!J67)&gt;0,'Raw data'!U67&lt;&gt;""),'Raw data'!U67*(1+N('Raw data'!W67))/('Raw data'!J67*(1+N('Raw data'!L67)))*100,"")))</f>
        <v>7.18718521908437</v>
      </c>
      <c r="M67" s="42" t="n">
        <f aca="false">IF($A67="","",IF('Raw data'!Y67&lt;&gt;"",'Raw data'!Y67*100,IF(AND(N('Raw data'!J67)&gt;0,'Raw data'!U67&lt;&gt;""),'Raw data'!U67/'Raw data'!J67*100,"")))</f>
        <v>6.92307692307692</v>
      </c>
      <c r="N67" s="43" t="n">
        <f aca="false">IF($A67="","",IF(ISNUMBER('Raw data'!AA67),'Raw data'!AA67,""))</f>
        <v>5</v>
      </c>
      <c r="O67" s="43" t="n">
        <f aca="false">IF($A67="","",IF(ISNUMBER('Raw data'!AB67),'Raw data'!AB67,""))</f>
        <v>4</v>
      </c>
      <c r="P67" s="43" t="n">
        <f aca="false">IF($A67="","",IF(ISNUMBER('Raw data'!AC67),'Raw data'!AC67,""))</f>
        <v>4</v>
      </c>
      <c r="Q67" s="43" t="n">
        <f aca="false">IF($A67="","",IF(ISNUMBER('Raw data'!AD67),'Raw data'!AD67,""))</f>
        <v>4</v>
      </c>
      <c r="R67" s="43" t="n">
        <f aca="false">IF($A67="","",IF(ISNUMBER('Raw data'!N67),'Raw data'!N67*100,""))</f>
        <v>43.3918194108586</v>
      </c>
      <c r="S67" s="42" t="n">
        <f aca="false">IF($A67="","",IF(ISNUMBER('Raw data'!O67),'Raw data'!O67*100,""))</f>
        <v>-0.549538485364742</v>
      </c>
      <c r="T67" s="42" t="n">
        <f aca="false">IF($A67="","",IF(ISNUMBER('Raw data'!P67),'Raw data'!P67*100,""))</f>
        <v>2.66935921802878</v>
      </c>
      <c r="U67" s="42" t="n">
        <f aca="false">IF($A67="","",IF(ISNUMBER('Raw data'!Q67),'Raw data'!Q67*100,""))</f>
        <v>3.62517979469283</v>
      </c>
      <c r="V67" s="42" t="n">
        <f aca="false">IF($A67="","",IF(ISNUMBER('Raw data'!R67),'Raw data'!R67*100,""))</f>
        <v>0.487241319101606</v>
      </c>
      <c r="W67" s="42" t="n">
        <f aca="false">IF($A67="","",IF(ISNUMBER('Raw data'!S67),'Raw data'!S67*100,""))</f>
        <v>-3.43278301273214</v>
      </c>
      <c r="X67" s="42" t="n">
        <f aca="false">IF($A67="","",IF(ISNUMBER('Raw data'!T67),'Raw data'!T67*100,""))</f>
        <v>-0.497562582892686</v>
      </c>
      <c r="Y67" s="37" t="str">
        <f aca="false">IF($A67="","",IF('Raw data'!D67="","",'Raw data'!D67))</f>
        <v>Cooling</v>
      </c>
      <c r="Z67" s="38" t="n">
        <f aca="false">IF($A67="","",IF(ISNUMBER('Raw data'!F67),'Raw data'!F67,""))</f>
        <v>6790.22</v>
      </c>
      <c r="AA67" s="38" t="n">
        <f aca="false">IF($A67="","",IF(ISNUMBER('Raw data'!G67),'Raw data'!G67,""))</f>
        <v>31</v>
      </c>
      <c r="AB67" s="42" t="n">
        <f aca="false">IF($A67="","",IF(ISNUMBER('Raw data'!H67),'Raw data'!H67*100,IF(ISNUMBER('Raw data'!K67),'Raw data'!K67*100,"")))</f>
        <v>0.0294211687557056</v>
      </c>
      <c r="AC67" s="42" t="n">
        <f aca="false">IF($A67="","",IF(ISNUMBER('Raw data'!I67),'Raw data'!I67*100,IF(ISNUMBER('Raw data'!M67),'Raw data'!M67*100,"")))</f>
        <v>1.43685816568195</v>
      </c>
      <c r="AD67" s="44" t="n">
        <f aca="false">IF($A67="","",IF(AND(ISNUMBER('Raw data'!N67),ISNUMBER('Raw data'!L67),ISNUMBER('Raw data'!P67),ISNUMBER('Raw data'!S67)),ROUND(('Raw data'!N67*'Raw data'!P67+(1-'Raw data'!N67)*'Raw data'!S67-'Raw data'!L67)*100,1),""))</f>
        <v>0</v>
      </c>
    </row>
    <row r="68" customFormat="false" ht="15" hidden="false" customHeight="false" outlineLevel="0" collapsed="false">
      <c r="A68" s="37" t="str">
        <f aca="false">IF(TRIM('Raw data'!A68)="","",TRIM('Raw data'!A68))</f>
        <v>Switzerland</v>
      </c>
      <c r="B68" s="37" t="str">
        <f aca="false">IF($A68="","",IF('Raw data'!B68="",UPPER(LEFT($A68,3)),'Raw data'!B68))</f>
        <v>CH</v>
      </c>
      <c r="C68" s="37" t="str">
        <f aca="false">IF($A68="","",'Raw data'!C68)</f>
        <v>Residential</v>
      </c>
      <c r="D68" s="38" t="n">
        <f aca="false">IF(OR($A68="",'Raw data'!J68=""),"",'Raw data'!J68)</f>
        <v>20</v>
      </c>
      <c r="E68" s="38" t="n">
        <f aca="false">IF(OR($A68="",'Raw data'!U68=""),"",'Raw data'!U68)</f>
        <v>2.2</v>
      </c>
      <c r="F68" s="42" t="n">
        <f aca="false">IF($A68="","",IF(ISNUMBER('Raw data'!K68),'Raw data'!K68*100,""))</f>
        <v>0.0294211687557056</v>
      </c>
      <c r="G68" s="42" t="n">
        <f aca="false">IF($A68="","",IF(ISNUMBER('Raw data'!L68),'Raw data'!L68*100,""))</f>
        <v>-0.784952475766632</v>
      </c>
      <c r="H68" s="42" t="n">
        <f aca="false">IF($A68="","",IF(ISNUMBER('Raw data'!M68),'Raw data'!M68*100,""))</f>
        <v>1.43685816568195</v>
      </c>
      <c r="I68" s="42" t="n">
        <f aca="false">IF($A68="","",IF(ISNUMBER('Raw data'!V68),'Raw data'!V68*100,""))</f>
        <v>3</v>
      </c>
      <c r="J68" s="42" t="n">
        <f aca="false">IF($A68="","",IF(ISNUMBER('Raw data'!W68),'Raw data'!W68*100,""))</f>
        <v>2</v>
      </c>
      <c r="K68" s="42" t="n">
        <f aca="false">IF($A68="","",IF(ISNUMBER('Raw data'!X68),'Raw data'!X68*100,""))</f>
        <v>2.5</v>
      </c>
      <c r="L68" s="42" t="n">
        <f aca="false">IF($A68="","",IF('Raw data'!Z68&lt;&gt;"",'Raw data'!Z68*100,IF(AND(N('Raw data'!J68)&gt;0,'Raw data'!U68&lt;&gt;""),'Raw data'!U68*(1+N('Raw data'!W68))/('Raw data'!J68*(1+N('Raw data'!L68)))*100,"")))</f>
        <v>11.3087684579897</v>
      </c>
      <c r="M68" s="42" t="n">
        <f aca="false">IF($A68="","",IF('Raw data'!Y68&lt;&gt;"",'Raw data'!Y68*100,IF(AND(N('Raw data'!J68)&gt;0,'Raw data'!U68&lt;&gt;""),'Raw data'!U68/'Raw data'!J68*100,"")))</f>
        <v>11</v>
      </c>
      <c r="N68" s="43" t="n">
        <f aca="false">IF($A68="","",IF(ISNUMBER('Raw data'!AA68),'Raw data'!AA68,""))</f>
        <v>5</v>
      </c>
      <c r="O68" s="43" t="n">
        <f aca="false">IF($A68="","",IF(ISNUMBER('Raw data'!AB68),'Raw data'!AB68,""))</f>
        <v>4</v>
      </c>
      <c r="P68" s="43" t="n">
        <f aca="false">IF($A68="","",IF(ISNUMBER('Raw data'!AC68),'Raw data'!AC68,""))</f>
        <v>4</v>
      </c>
      <c r="Q68" s="43" t="n">
        <f aca="false">IF($A68="","",IF(ISNUMBER('Raw data'!AD68),'Raw data'!AD68,""))</f>
        <v>4</v>
      </c>
      <c r="R68" s="43" t="n">
        <f aca="false">IF($A68="","",IF(ISNUMBER('Raw data'!N68),'Raw data'!N68*100,""))</f>
        <v>43.3918194108586</v>
      </c>
      <c r="S68" s="42" t="n">
        <f aca="false">IF($A68="","",IF(ISNUMBER('Raw data'!O68),'Raw data'!O68*100,""))</f>
        <v>-0.549538485364742</v>
      </c>
      <c r="T68" s="42" t="n">
        <f aca="false">IF($A68="","",IF(ISNUMBER('Raw data'!P68),'Raw data'!P68*100,""))</f>
        <v>2.66935921802878</v>
      </c>
      <c r="U68" s="42" t="n">
        <f aca="false">IF($A68="","",IF(ISNUMBER('Raw data'!Q68),'Raw data'!Q68*100,""))</f>
        <v>3.62517979469283</v>
      </c>
      <c r="V68" s="42" t="n">
        <f aca="false">IF($A68="","",IF(ISNUMBER('Raw data'!R68),'Raw data'!R68*100,""))</f>
        <v>0.487241319101606</v>
      </c>
      <c r="W68" s="42" t="n">
        <f aca="false">IF($A68="","",IF(ISNUMBER('Raw data'!S68),'Raw data'!S68*100,""))</f>
        <v>-3.43278301273214</v>
      </c>
      <c r="X68" s="42" t="n">
        <f aca="false">IF($A68="","",IF(ISNUMBER('Raw data'!T68),'Raw data'!T68*100,""))</f>
        <v>-0.497562582892686</v>
      </c>
      <c r="Y68" s="37" t="str">
        <f aca="false">IF($A68="","",IF('Raw data'!D68="","",'Raw data'!D68))</f>
        <v>Sanitary</v>
      </c>
      <c r="Z68" s="38" t="n">
        <f aca="false">IF($A68="","",IF(ISNUMBER('Raw data'!F68),'Raw data'!F68,""))</f>
        <v>6790.22</v>
      </c>
      <c r="AA68" s="38" t="n">
        <f aca="false">IF($A68="","",IF(ISNUMBER('Raw data'!G68),'Raw data'!G68,""))</f>
        <v>37</v>
      </c>
      <c r="AB68" s="42" t="n">
        <f aca="false">IF($A68="","",IF(ISNUMBER('Raw data'!H68),'Raw data'!H68*100,IF(ISNUMBER('Raw data'!K68),'Raw data'!K68*100,"")))</f>
        <v>0.0294211687557056</v>
      </c>
      <c r="AC68" s="42" t="n">
        <f aca="false">IF($A68="","",IF(ISNUMBER('Raw data'!I68),'Raw data'!I68*100,IF(ISNUMBER('Raw data'!M68),'Raw data'!M68*100,"")))</f>
        <v>1.43685816568195</v>
      </c>
      <c r="AD68" s="44" t="n">
        <f aca="false">IF($A68="","",IF(AND(ISNUMBER('Raw data'!N68),ISNUMBER('Raw data'!L68),ISNUMBER('Raw data'!P68),ISNUMBER('Raw data'!S68)),ROUND(('Raw data'!N68*'Raw data'!P68+(1-'Raw data'!N68)*'Raw data'!S68-'Raw data'!L68)*100,1),""))</f>
        <v>0</v>
      </c>
    </row>
    <row r="69" customFormat="false" ht="15" hidden="false" customHeight="false" outlineLevel="0" collapsed="false">
      <c r="A69" s="37" t="str">
        <f aca="false">IF(TRIM('Raw data'!A69)="","",TRIM('Raw data'!A69))</f>
        <v>Switzerland</v>
      </c>
      <c r="B69" s="37" t="str">
        <f aca="false">IF($A69="","",IF('Raw data'!B69="",UPPER(LEFT($A69,3)),'Raw data'!B69))</f>
        <v>CH</v>
      </c>
      <c r="C69" s="37" t="str">
        <f aca="false">IF($A69="","",'Raw data'!C69)</f>
        <v>Commercial</v>
      </c>
      <c r="D69" s="38" t="n">
        <f aca="false">IF(OR($A69="",'Raw data'!J69=""),"",'Raw data'!J69)</f>
        <v>208</v>
      </c>
      <c r="E69" s="38" t="n">
        <f aca="false">IF(OR($A69="",'Raw data'!U69=""),"",'Raw data'!U69)</f>
        <v>25</v>
      </c>
      <c r="F69" s="42" t="n">
        <f aca="false">IF($A69="","",IF(ISNUMBER('Raw data'!K69),'Raw data'!K69*100,""))</f>
        <v>-0.202959145329351</v>
      </c>
      <c r="G69" s="42" t="n">
        <f aca="false">IF($A69="","",IF(ISNUMBER('Raw data'!L69),'Raw data'!L69*100,""))</f>
        <v>2.23934609082377</v>
      </c>
      <c r="H69" s="42" t="n">
        <f aca="false">IF($A69="","",IF(ISNUMBER('Raw data'!M69),'Raw data'!M69*100,""))</f>
        <v>2.87017530362954</v>
      </c>
      <c r="I69" s="42" t="n">
        <f aca="false">IF($A69="","",IF(ISNUMBER('Raw data'!V69),'Raw data'!V69*100,""))</f>
        <v>3</v>
      </c>
      <c r="J69" s="42" t="n">
        <f aca="false">IF($A69="","",IF(ISNUMBER('Raw data'!W69),'Raw data'!W69*100,""))</f>
        <v>2</v>
      </c>
      <c r="K69" s="42" t="n">
        <f aca="false">IF($A69="","",IF(ISNUMBER('Raw data'!X69),'Raw data'!X69*100,""))</f>
        <v>2.5</v>
      </c>
      <c r="L69" s="42" t="n">
        <f aca="false">IF($A69="","",IF('Raw data'!Z69&lt;&gt;"",'Raw data'!Z69*100,IF(AND(N('Raw data'!J69)&gt;0,'Raw data'!U69&lt;&gt;""),'Raw data'!U69*(1+N('Raw data'!W69))/('Raw data'!J69*(1+N('Raw data'!L69)))*100,"")))</f>
        <v>11.9910933054331</v>
      </c>
      <c r="M69" s="42" t="n">
        <f aca="false">IF($A69="","",IF('Raw data'!Y69&lt;&gt;"",'Raw data'!Y69*100,IF(AND(N('Raw data'!J69)&gt;0,'Raw data'!U69&lt;&gt;""),'Raw data'!U69/'Raw data'!J69*100,"")))</f>
        <v>12.0192307692308</v>
      </c>
      <c r="N69" s="43" t="n">
        <f aca="false">IF($A69="","",IF(ISNUMBER('Raw data'!AA69),'Raw data'!AA69,""))</f>
        <v>5</v>
      </c>
      <c r="O69" s="43" t="n">
        <f aca="false">IF($A69="","",IF(ISNUMBER('Raw data'!AB69),'Raw data'!AB69,""))</f>
        <v>4</v>
      </c>
      <c r="P69" s="43" t="n">
        <f aca="false">IF($A69="","",IF(ISNUMBER('Raw data'!AC69),'Raw data'!AC69,""))</f>
        <v>4</v>
      </c>
      <c r="Q69" s="43" t="n">
        <f aca="false">IF($A69="","",IF(ISNUMBER('Raw data'!AD69),'Raw data'!AD69,""))</f>
        <v>4</v>
      </c>
      <c r="R69" s="43" t="n">
        <f aca="false">IF($A69="","",IF(ISNUMBER('Raw data'!N69),'Raw data'!N69*100,""))</f>
        <v>34.7129743213395</v>
      </c>
      <c r="S69" s="42" t="n">
        <f aca="false">IF($A69="","",IF(ISNUMBER('Raw data'!O69),'Raw data'!O69*100,""))</f>
        <v>1.36656008008185</v>
      </c>
      <c r="T69" s="42" t="n">
        <f aca="false">IF($A69="","",IF(ISNUMBER('Raw data'!P69),'Raw data'!P69*100,""))</f>
        <v>-2.20012636816688</v>
      </c>
      <c r="U69" s="42" t="n">
        <f aca="false">IF($A69="","",IF(ISNUMBER('Raw data'!Q69),'Raw data'!Q69*100,""))</f>
        <v>0.920711679532471</v>
      </c>
      <c r="V69" s="42" t="n">
        <f aca="false">IF($A69="","",IF(ISNUMBER('Raw data'!R69),'Raw data'!R69*100,""))</f>
        <v>-0.980964662788009</v>
      </c>
      <c r="W69" s="42" t="n">
        <f aca="false">IF($A69="","",IF(ISNUMBER('Raw data'!S69),'Raw data'!S69*100,""))</f>
        <v>4.59980426558799</v>
      </c>
      <c r="X69" s="42" t="n">
        <f aca="false">IF($A69="","",IF(ISNUMBER('Raw data'!T69),'Raw data'!T69*100,""))</f>
        <v>3.78679398493862</v>
      </c>
      <c r="Y69" s="37" t="str">
        <f aca="false">IF($A69="","",IF('Raw data'!D69="","",'Raw data'!D69))</f>
        <v>Heating</v>
      </c>
      <c r="Z69" s="38" t="n">
        <f aca="false">IF($A69="","",IF(ISNUMBER('Raw data'!F69),'Raw data'!F69,""))</f>
        <v>33602.22</v>
      </c>
      <c r="AA69" s="38" t="n">
        <f aca="false">IF($A69="","",IF(ISNUMBER('Raw data'!G69),'Raw data'!G69,""))</f>
        <v>315</v>
      </c>
      <c r="AB69" s="42" t="n">
        <f aca="false">IF($A69="","",IF(ISNUMBER('Raw data'!H69),'Raw data'!H69*100,IF(ISNUMBER('Raw data'!K69),'Raw data'!K69*100,"")))</f>
        <v>-0.202959145329351</v>
      </c>
      <c r="AC69" s="42" t="n">
        <f aca="false">IF($A69="","",IF(ISNUMBER('Raw data'!I69),'Raw data'!I69*100,IF(ISNUMBER('Raw data'!M69),'Raw data'!M69*100,"")))</f>
        <v>2.87017530362954</v>
      </c>
      <c r="AD69" s="44" t="n">
        <f aca="false">IF($A69="","",IF(AND(ISNUMBER('Raw data'!N69),ISNUMBER('Raw data'!L69),ISNUMBER('Raw data'!P69),ISNUMBER('Raw data'!S69)),ROUND(('Raw data'!N69*'Raw data'!P69+(1-'Raw data'!N69)*'Raw data'!S69-'Raw data'!L69)*100,1),""))</f>
        <v>0</v>
      </c>
    </row>
    <row r="70" customFormat="false" ht="15" hidden="false" customHeight="false" outlineLevel="0" collapsed="false">
      <c r="A70" s="37" t="str">
        <f aca="false">IF(TRIM('Raw data'!A70)="","",TRIM('Raw data'!A70))</f>
        <v>Switzerland</v>
      </c>
      <c r="B70" s="37" t="str">
        <f aca="false">IF($A70="","",IF('Raw data'!B70="",UPPER(LEFT($A70,3)),'Raw data'!B70))</f>
        <v>CH</v>
      </c>
      <c r="C70" s="37" t="str">
        <f aca="false">IF($A70="","",'Raw data'!C70)</f>
        <v>Commercial</v>
      </c>
      <c r="D70" s="38" t="n">
        <f aca="false">IF(OR($A70="",'Raw data'!J70=""),"",'Raw data'!J70)</f>
        <v>63</v>
      </c>
      <c r="E70" s="38" t="n">
        <f aca="false">IF(OR($A70="",'Raw data'!U70=""),"",'Raw data'!U70)</f>
        <v>3.8</v>
      </c>
      <c r="F70" s="42" t="n">
        <f aca="false">IF($A70="","",IF(ISNUMBER('Raw data'!K70),'Raw data'!K70*100,""))</f>
        <v>-0.202959145329351</v>
      </c>
      <c r="G70" s="42" t="n">
        <f aca="false">IF($A70="","",IF(ISNUMBER('Raw data'!L70),'Raw data'!L70*100,""))</f>
        <v>2.23934609082377</v>
      </c>
      <c r="H70" s="42" t="n">
        <f aca="false">IF($A70="","",IF(ISNUMBER('Raw data'!M70),'Raw data'!M70*100,""))</f>
        <v>2.87017530362954</v>
      </c>
      <c r="I70" s="42" t="n">
        <f aca="false">IF($A70="","",IF(ISNUMBER('Raw data'!V70),'Raw data'!V70*100,""))</f>
        <v>4.5</v>
      </c>
      <c r="J70" s="42" t="n">
        <f aca="false">IF($A70="","",IF(ISNUMBER('Raw data'!W70),'Raw data'!W70*100,""))</f>
        <v>3.5</v>
      </c>
      <c r="K70" s="42" t="n">
        <f aca="false">IF($A70="","",IF(ISNUMBER('Raw data'!X70),'Raw data'!X70*100,""))</f>
        <v>4</v>
      </c>
      <c r="L70" s="42" t="n">
        <f aca="false">IF($A70="","",IF('Raw data'!Z70&lt;&gt;"",'Raw data'!Z70*100,IF(AND(N('Raw data'!J70)&gt;0,'Raw data'!U70&lt;&gt;""),'Raw data'!U70*(1+N('Raw data'!W70))/('Raw data'!J70*(1+N('Raw data'!L70)))*100,"")))</f>
        <v>6.10611998370112</v>
      </c>
      <c r="M70" s="42" t="n">
        <f aca="false">IF($A70="","",IF('Raw data'!Y70&lt;&gt;"",'Raw data'!Y70*100,IF(AND(N('Raw data'!J70)&gt;0,'Raw data'!U70&lt;&gt;""),'Raw data'!U70/'Raw data'!J70*100,"")))</f>
        <v>6.03174603174603</v>
      </c>
      <c r="N70" s="43" t="n">
        <f aca="false">IF($A70="","",IF(ISNUMBER('Raw data'!AA70),'Raw data'!AA70,""))</f>
        <v>5</v>
      </c>
      <c r="O70" s="43" t="n">
        <f aca="false">IF($A70="","",IF(ISNUMBER('Raw data'!AB70),'Raw data'!AB70,""))</f>
        <v>4</v>
      </c>
      <c r="P70" s="43" t="n">
        <f aca="false">IF($A70="","",IF(ISNUMBER('Raw data'!AC70),'Raw data'!AC70,""))</f>
        <v>4</v>
      </c>
      <c r="Q70" s="43" t="n">
        <f aca="false">IF($A70="","",IF(ISNUMBER('Raw data'!AD70),'Raw data'!AD70,""))</f>
        <v>4</v>
      </c>
      <c r="R70" s="43" t="n">
        <f aca="false">IF($A70="","",IF(ISNUMBER('Raw data'!N70),'Raw data'!N70*100,""))</f>
        <v>34.7129743213395</v>
      </c>
      <c r="S70" s="42" t="n">
        <f aca="false">IF($A70="","",IF(ISNUMBER('Raw data'!O70),'Raw data'!O70*100,""))</f>
        <v>1.36656008008185</v>
      </c>
      <c r="T70" s="42" t="n">
        <f aca="false">IF($A70="","",IF(ISNUMBER('Raw data'!P70),'Raw data'!P70*100,""))</f>
        <v>-2.20012636816688</v>
      </c>
      <c r="U70" s="42" t="n">
        <f aca="false">IF($A70="","",IF(ISNUMBER('Raw data'!Q70),'Raw data'!Q70*100,""))</f>
        <v>0.920711679532471</v>
      </c>
      <c r="V70" s="42" t="n">
        <f aca="false">IF($A70="","",IF(ISNUMBER('Raw data'!R70),'Raw data'!R70*100,""))</f>
        <v>-0.980964662788009</v>
      </c>
      <c r="W70" s="42" t="n">
        <f aca="false">IF($A70="","",IF(ISNUMBER('Raw data'!S70),'Raw data'!S70*100,""))</f>
        <v>4.59980426558799</v>
      </c>
      <c r="X70" s="42" t="n">
        <f aca="false">IF($A70="","",IF(ISNUMBER('Raw data'!T70),'Raw data'!T70*100,""))</f>
        <v>3.78679398493862</v>
      </c>
      <c r="Y70" s="37" t="str">
        <f aca="false">IF($A70="","",IF('Raw data'!D70="","",'Raw data'!D70))</f>
        <v>Cooling</v>
      </c>
      <c r="Z70" s="38" t="n">
        <f aca="false">IF($A70="","",IF(ISNUMBER('Raw data'!F70),'Raw data'!F70,""))</f>
        <v>33602.22</v>
      </c>
      <c r="AA70" s="38" t="n">
        <f aca="false">IF($A70="","",IF(ISNUMBER('Raw data'!G70),'Raw data'!G70,""))</f>
        <v>150</v>
      </c>
      <c r="AB70" s="42" t="n">
        <f aca="false">IF($A70="","",IF(ISNUMBER('Raw data'!H70),'Raw data'!H70*100,IF(ISNUMBER('Raw data'!K70),'Raw data'!K70*100,"")))</f>
        <v>-0.202959145329351</v>
      </c>
      <c r="AC70" s="42" t="n">
        <f aca="false">IF($A70="","",IF(ISNUMBER('Raw data'!I70),'Raw data'!I70*100,IF(ISNUMBER('Raw data'!M70),'Raw data'!M70*100,"")))</f>
        <v>2.87017530362954</v>
      </c>
      <c r="AD70" s="44" t="n">
        <f aca="false">IF($A70="","",IF(AND(ISNUMBER('Raw data'!N70),ISNUMBER('Raw data'!L70),ISNUMBER('Raw data'!P70),ISNUMBER('Raw data'!S70)),ROUND(('Raw data'!N70*'Raw data'!P70+(1-'Raw data'!N70)*'Raw data'!S70-'Raw data'!L70)*100,1),""))</f>
        <v>0</v>
      </c>
    </row>
    <row r="71" customFormat="false" ht="15" hidden="false" customHeight="false" outlineLevel="0" collapsed="false">
      <c r="A71" s="37" t="str">
        <f aca="false">IF(TRIM('Raw data'!A71)="","",TRIM('Raw data'!A71))</f>
        <v>Switzerland</v>
      </c>
      <c r="B71" s="37" t="str">
        <f aca="false">IF($A71="","",IF('Raw data'!B71="",UPPER(LEFT($A71,3)),'Raw data'!B71))</f>
        <v>CH</v>
      </c>
      <c r="C71" s="37" t="str">
        <f aca="false">IF($A71="","",'Raw data'!C71)</f>
        <v>Commercial</v>
      </c>
      <c r="D71" s="38" t="n">
        <f aca="false">IF(OR($A71="",'Raw data'!J71=""),"",'Raw data'!J71)</f>
        <v>100</v>
      </c>
      <c r="E71" s="38" t="n">
        <f aca="false">IF(OR($A71="",'Raw data'!U71=""),"",'Raw data'!U71)</f>
        <v>9</v>
      </c>
      <c r="F71" s="42" t="n">
        <f aca="false">IF($A71="","",IF(ISNUMBER('Raw data'!K71),'Raw data'!K71*100,""))</f>
        <v>-0.202959145329351</v>
      </c>
      <c r="G71" s="42" t="n">
        <f aca="false">IF($A71="","",IF(ISNUMBER('Raw data'!L71),'Raw data'!L71*100,""))</f>
        <v>2.23934609082377</v>
      </c>
      <c r="H71" s="42" t="n">
        <f aca="false">IF($A71="","",IF(ISNUMBER('Raw data'!M71),'Raw data'!M71*100,""))</f>
        <v>2.87017530362954</v>
      </c>
      <c r="I71" s="42" t="n">
        <f aca="false">IF($A71="","",IF(ISNUMBER('Raw data'!V71),'Raw data'!V71*100,""))</f>
        <v>3.5</v>
      </c>
      <c r="J71" s="42" t="n">
        <f aca="false">IF($A71="","",IF(ISNUMBER('Raw data'!W71),'Raw data'!W71*100,""))</f>
        <v>2.5</v>
      </c>
      <c r="K71" s="42" t="n">
        <f aca="false">IF($A71="","",IF(ISNUMBER('Raw data'!X71),'Raw data'!X71*100,""))</f>
        <v>3</v>
      </c>
      <c r="L71" s="42" t="n">
        <f aca="false">IF($A71="","",IF('Raw data'!Z71&lt;&gt;"",'Raw data'!Z71*100,IF(AND(N('Raw data'!J71)&gt;0,'Raw data'!U71&lt;&gt;""),'Raw data'!U71*(1+N('Raw data'!W71))/('Raw data'!J71*(1+N('Raw data'!L71)))*100,"")))</f>
        <v>9.02294503312357</v>
      </c>
      <c r="M71" s="42" t="n">
        <f aca="false">IF($A71="","",IF('Raw data'!Y71&lt;&gt;"",'Raw data'!Y71*100,IF(AND(N('Raw data'!J71)&gt;0,'Raw data'!U71&lt;&gt;""),'Raw data'!U71/'Raw data'!J71*100,"")))</f>
        <v>9</v>
      </c>
      <c r="N71" s="43" t="n">
        <f aca="false">IF($A71="","",IF(ISNUMBER('Raw data'!AA71),'Raw data'!AA71,""))</f>
        <v>5</v>
      </c>
      <c r="O71" s="43" t="n">
        <f aca="false">IF($A71="","",IF(ISNUMBER('Raw data'!AB71),'Raw data'!AB71,""))</f>
        <v>4</v>
      </c>
      <c r="P71" s="43" t="n">
        <f aca="false">IF($A71="","",IF(ISNUMBER('Raw data'!AC71),'Raw data'!AC71,""))</f>
        <v>4</v>
      </c>
      <c r="Q71" s="43" t="n">
        <f aca="false">IF($A71="","",IF(ISNUMBER('Raw data'!AD71),'Raw data'!AD71,""))</f>
        <v>4</v>
      </c>
      <c r="R71" s="43" t="n">
        <f aca="false">IF($A71="","",IF(ISNUMBER('Raw data'!N71),'Raw data'!N71*100,""))</f>
        <v>34.7129743213395</v>
      </c>
      <c r="S71" s="42" t="n">
        <f aca="false">IF($A71="","",IF(ISNUMBER('Raw data'!O71),'Raw data'!O71*100,""))</f>
        <v>1.36656008008185</v>
      </c>
      <c r="T71" s="42" t="n">
        <f aca="false">IF($A71="","",IF(ISNUMBER('Raw data'!P71),'Raw data'!P71*100,""))</f>
        <v>-2.20012636816688</v>
      </c>
      <c r="U71" s="42" t="n">
        <f aca="false">IF($A71="","",IF(ISNUMBER('Raw data'!Q71),'Raw data'!Q71*100,""))</f>
        <v>0.920711679532471</v>
      </c>
      <c r="V71" s="42" t="n">
        <f aca="false">IF($A71="","",IF(ISNUMBER('Raw data'!R71),'Raw data'!R71*100,""))</f>
        <v>-0.980964662788009</v>
      </c>
      <c r="W71" s="42" t="n">
        <f aca="false">IF($A71="","",IF(ISNUMBER('Raw data'!S71),'Raw data'!S71*100,""))</f>
        <v>4.59980426558799</v>
      </c>
      <c r="X71" s="42" t="n">
        <f aca="false">IF($A71="","",IF(ISNUMBER('Raw data'!T71),'Raw data'!T71*100,""))</f>
        <v>3.78679398493862</v>
      </c>
      <c r="Y71" s="37" t="str">
        <f aca="false">IF($A71="","",IF('Raw data'!D71="","",'Raw data'!D71))</f>
        <v>Sanitary</v>
      </c>
      <c r="Z71" s="38" t="n">
        <f aca="false">IF($A71="","",IF(ISNUMBER('Raw data'!F71),'Raw data'!F71,""))</f>
        <v>33602.22</v>
      </c>
      <c r="AA71" s="38" t="n">
        <f aca="false">IF($A71="","",IF(ISNUMBER('Raw data'!G71),'Raw data'!G71,""))</f>
        <v>185</v>
      </c>
      <c r="AB71" s="42" t="n">
        <f aca="false">IF($A71="","",IF(ISNUMBER('Raw data'!H71),'Raw data'!H71*100,IF(ISNUMBER('Raw data'!K71),'Raw data'!K71*100,"")))</f>
        <v>-0.202959145329351</v>
      </c>
      <c r="AC71" s="42" t="n">
        <f aca="false">IF($A71="","",IF(ISNUMBER('Raw data'!I71),'Raw data'!I71*100,IF(ISNUMBER('Raw data'!M71),'Raw data'!M71*100,"")))</f>
        <v>2.87017530362954</v>
      </c>
      <c r="AD71" s="44" t="n">
        <f aca="false">IF($A71="","",IF(AND(ISNUMBER('Raw data'!N71),ISNUMBER('Raw data'!L71),ISNUMBER('Raw data'!P71),ISNUMBER('Raw data'!S71)),ROUND(('Raw data'!N71*'Raw data'!P71+(1-'Raw data'!N71)*'Raw data'!S71-'Raw data'!L71)*100,1),""))</f>
        <v>0</v>
      </c>
    </row>
    <row r="72" customFormat="false" ht="15" hidden="false" customHeight="false" outlineLevel="0" collapsed="false">
      <c r="A72" s="37" t="str">
        <f aca="false">IF(TRIM('Raw data'!A72)="","",TRIM('Raw data'!A72))</f>
        <v>United Kingdom</v>
      </c>
      <c r="B72" s="37" t="str">
        <f aca="false">IF($A72="","",IF('Raw data'!B72="",UPPER(LEFT($A72,3)),'Raw data'!B72))</f>
        <v>UK</v>
      </c>
      <c r="C72" s="37" t="str">
        <f aca="false">IF($A72="","",'Raw data'!C72)</f>
        <v>Residential</v>
      </c>
      <c r="D72" s="38" t="n">
        <f aca="false">IF(OR($A72="",'Raw data'!J72=""),"",'Raw data'!J72)</f>
        <v>603</v>
      </c>
      <c r="E72" s="38" t="n">
        <f aca="false">IF(OR($A72="",'Raw data'!U72=""),"",'Raw data'!U72)</f>
        <v>23.2</v>
      </c>
      <c r="F72" s="42" t="n">
        <f aca="false">IF($A72="","",IF(ISNUMBER('Raw data'!K72),'Raw data'!K72*100,""))</f>
        <v>4.84928270822107</v>
      </c>
      <c r="G72" s="42" t="n">
        <f aca="false">IF($A72="","",IF(ISNUMBER('Raw data'!L72),'Raw data'!L72*100,""))</f>
        <v>0.965295150142276</v>
      </c>
      <c r="H72" s="42" t="n">
        <f aca="false">IF($A72="","",IF(ISNUMBER('Raw data'!M72),'Raw data'!M72*100,""))</f>
        <v>4.23295425363863</v>
      </c>
      <c r="I72" s="42" t="n">
        <f aca="false">IF($A72="","",IF(ISNUMBER('Raw data'!V72),'Raw data'!V72*100,""))</f>
        <v>-1</v>
      </c>
      <c r="J72" s="42" t="n">
        <f aca="false">IF($A72="","",IF(ISNUMBER('Raw data'!W72),'Raw data'!W72*100,""))</f>
        <v>1.5</v>
      </c>
      <c r="K72" s="42" t="n">
        <f aca="false">IF($A72="","",IF(ISNUMBER('Raw data'!X72),'Raw data'!X72*100,""))</f>
        <v>2.5</v>
      </c>
      <c r="L72" s="42" t="n">
        <f aca="false">IF($A72="","",IF('Raw data'!Z72&lt;&gt;"",'Raw data'!Z72*100,IF(AND(N('Raw data'!J72)&gt;0,'Raw data'!U72&lt;&gt;""),'Raw data'!U72*(1+N('Raw data'!W72))/('Raw data'!J72*(1+N('Raw data'!L72)))*100,"")))</f>
        <v>3.86780522559774</v>
      </c>
      <c r="M72" s="42" t="n">
        <f aca="false">IF($A72="","",IF('Raw data'!Y72&lt;&gt;"",'Raw data'!Y72*100,IF(AND(N('Raw data'!J72)&gt;0,'Raw data'!U72&lt;&gt;""),'Raw data'!U72/'Raw data'!J72*100,"")))</f>
        <v>3.84742951907131</v>
      </c>
      <c r="N72" s="43" t="n">
        <f aca="false">IF($A72="","",IF(ISNUMBER('Raw data'!AA72),'Raw data'!AA72,""))</f>
        <v>3</v>
      </c>
      <c r="O72" s="43" t="n">
        <f aca="false">IF($A72="","",IF(ISNUMBER('Raw data'!AB72),'Raw data'!AB72,""))</f>
        <v>2</v>
      </c>
      <c r="P72" s="43" t="n">
        <f aca="false">IF($A72="","",IF(ISNUMBER('Raw data'!AC72),'Raw data'!AC72,""))</f>
        <v>2</v>
      </c>
      <c r="Q72" s="43" t="n">
        <f aca="false">IF($A72="","",IF(ISNUMBER('Raw data'!AD72),'Raw data'!AD72,""))</f>
        <v>3</v>
      </c>
      <c r="R72" s="43" t="n">
        <f aca="false">IF($A72="","",IF(ISNUMBER('Raw data'!N72),'Raw data'!N72*100,""))</f>
        <v>47.6396818643388</v>
      </c>
      <c r="S72" s="42" t="n">
        <f aca="false">IF($A72="","",IF(ISNUMBER('Raw data'!O72),'Raw data'!O72*100,""))</f>
        <v>7.80631180286031</v>
      </c>
      <c r="T72" s="42" t="n">
        <f aca="false">IF($A72="","",IF(ISNUMBER('Raw data'!P72),'Raw data'!P72*100,""))</f>
        <v>-2.92014150242004</v>
      </c>
      <c r="U72" s="42" t="n">
        <f aca="false">IF($A72="","",IF(ISNUMBER('Raw data'!Q72),'Raw data'!Q72*100,""))</f>
        <v>3.475600059401</v>
      </c>
      <c r="V72" s="42" t="n">
        <f aca="false">IF($A72="","",IF(ISNUMBER('Raw data'!R72),'Raw data'!R72*100,""))</f>
        <v>2.53395688618621</v>
      </c>
      <c r="W72" s="42" t="n">
        <f aca="false">IF($A72="","",IF(ISNUMBER('Raw data'!S72),'Raw data'!S72*100,""))</f>
        <v>4.50043344996176</v>
      </c>
      <c r="X72" s="42" t="n">
        <f aca="false">IF($A72="","",IF(ISNUMBER('Raw data'!T72),'Raw data'!T72*100,""))</f>
        <v>4.85635979840966</v>
      </c>
      <c r="Y72" s="37" t="str">
        <f aca="false">IF($A72="","",IF('Raw data'!D72="","",'Raw data'!D72))</f>
        <v>Heating</v>
      </c>
      <c r="Z72" s="38" t="n">
        <f aca="false">IF($A72="","",IF(ISNUMBER('Raw data'!F72),'Raw data'!F72,""))</f>
        <v>91052.98</v>
      </c>
      <c r="AA72" s="38" t="n">
        <f aca="false">IF($A72="","",IF(ISNUMBER('Raw data'!G72),'Raw data'!G72,""))</f>
        <v>1827</v>
      </c>
      <c r="AB72" s="42" t="n">
        <f aca="false">IF($A72="","",IF(ISNUMBER('Raw data'!H72),'Raw data'!H72*100,IF(ISNUMBER('Raw data'!K72),'Raw data'!K72*100,"")))</f>
        <v>4.84928270822107</v>
      </c>
      <c r="AC72" s="42" t="n">
        <f aca="false">IF($A72="","",IF(ISNUMBER('Raw data'!I72),'Raw data'!I72*100,IF(ISNUMBER('Raw data'!M72),'Raw data'!M72*100,"")))</f>
        <v>4.23295425363863</v>
      </c>
      <c r="AD72" s="44" t="n">
        <f aca="false">IF($A72="","",IF(AND(ISNUMBER('Raw data'!N72),ISNUMBER('Raw data'!L72),ISNUMBER('Raw data'!P72),ISNUMBER('Raw data'!S72)),ROUND(('Raw data'!N72*'Raw data'!P72+(1-'Raw data'!N72)*'Raw data'!S72-'Raw data'!L72)*100,1),""))</f>
        <v>-0</v>
      </c>
    </row>
    <row r="73" customFormat="false" ht="15" hidden="false" customHeight="false" outlineLevel="0" collapsed="false">
      <c r="A73" s="37" t="str">
        <f aca="false">IF(TRIM('Raw data'!A73)="","",TRIM('Raw data'!A73))</f>
        <v>United Kingdom</v>
      </c>
      <c r="B73" s="37" t="str">
        <f aca="false">IF($A73="","",IF('Raw data'!B73="",UPPER(LEFT($A73,3)),'Raw data'!B73))</f>
        <v>UK</v>
      </c>
      <c r="C73" s="37" t="str">
        <f aca="false">IF($A73="","",'Raw data'!C73)</f>
        <v>Residential</v>
      </c>
      <c r="D73" s="38" t="n">
        <f aca="false">IF(OR($A73="",'Raw data'!J73=""),"",'Raw data'!J73)</f>
        <v>141</v>
      </c>
      <c r="E73" s="38" t="n">
        <f aca="false">IF(OR($A73="",'Raw data'!U73=""),"",'Raw data'!U73)</f>
        <v>2.7</v>
      </c>
      <c r="F73" s="42" t="n">
        <f aca="false">IF($A73="","",IF(ISNUMBER('Raw data'!K73),'Raw data'!K73*100,""))</f>
        <v>4.84928270822107</v>
      </c>
      <c r="G73" s="42" t="n">
        <f aca="false">IF($A73="","",IF(ISNUMBER('Raw data'!L73),'Raw data'!L73*100,""))</f>
        <v>0.965295150142276</v>
      </c>
      <c r="H73" s="42" t="n">
        <f aca="false">IF($A73="","",IF(ISNUMBER('Raw data'!M73),'Raw data'!M73*100,""))</f>
        <v>4.23295425363863</v>
      </c>
      <c r="I73" s="42" t="n">
        <f aca="false">IF($A73="","",IF(ISNUMBER('Raw data'!V73),'Raw data'!V73*100,""))</f>
        <v>0.5</v>
      </c>
      <c r="J73" s="42" t="n">
        <f aca="false">IF($A73="","",IF(ISNUMBER('Raw data'!W73),'Raw data'!W73*100,""))</f>
        <v>3</v>
      </c>
      <c r="K73" s="42" t="n">
        <f aca="false">IF($A73="","",IF(ISNUMBER('Raw data'!X73),'Raw data'!X73*100,""))</f>
        <v>4</v>
      </c>
      <c r="L73" s="42" t="n">
        <f aca="false">IF($A73="","",IF('Raw data'!Z73&lt;&gt;"",'Raw data'!Z73*100,IF(AND(N('Raw data'!J73)&gt;0,'Raw data'!U73&lt;&gt;""),'Raw data'!U73*(1+N('Raw data'!W73))/('Raw data'!J73*(1+N('Raw data'!L73)))*100,"")))</f>
        <v>1.95348354362646</v>
      </c>
      <c r="M73" s="42" t="n">
        <f aca="false">IF($A73="","",IF('Raw data'!Y73&lt;&gt;"",'Raw data'!Y73*100,IF(AND(N('Raw data'!J73)&gt;0,'Raw data'!U73&lt;&gt;""),'Raw data'!U73/'Raw data'!J73*100,"")))</f>
        <v>1.91489361702128</v>
      </c>
      <c r="N73" s="43" t="n">
        <f aca="false">IF($A73="","",IF(ISNUMBER('Raw data'!AA73),'Raw data'!AA73,""))</f>
        <v>3</v>
      </c>
      <c r="O73" s="43" t="n">
        <f aca="false">IF($A73="","",IF(ISNUMBER('Raw data'!AB73),'Raw data'!AB73,""))</f>
        <v>2</v>
      </c>
      <c r="P73" s="43" t="n">
        <f aca="false">IF($A73="","",IF(ISNUMBER('Raw data'!AC73),'Raw data'!AC73,""))</f>
        <v>2</v>
      </c>
      <c r="Q73" s="43" t="n">
        <f aca="false">IF($A73="","",IF(ISNUMBER('Raw data'!AD73),'Raw data'!AD73,""))</f>
        <v>3</v>
      </c>
      <c r="R73" s="43" t="n">
        <f aca="false">IF($A73="","",IF(ISNUMBER('Raw data'!N73),'Raw data'!N73*100,""))</f>
        <v>47.6396818643388</v>
      </c>
      <c r="S73" s="42" t="n">
        <f aca="false">IF($A73="","",IF(ISNUMBER('Raw data'!O73),'Raw data'!O73*100,""))</f>
        <v>7.80631180286031</v>
      </c>
      <c r="T73" s="42" t="n">
        <f aca="false">IF($A73="","",IF(ISNUMBER('Raw data'!P73),'Raw data'!P73*100,""))</f>
        <v>-2.92014150242004</v>
      </c>
      <c r="U73" s="42" t="n">
        <f aca="false">IF($A73="","",IF(ISNUMBER('Raw data'!Q73),'Raw data'!Q73*100,""))</f>
        <v>3.475600059401</v>
      </c>
      <c r="V73" s="42" t="n">
        <f aca="false">IF($A73="","",IF(ISNUMBER('Raw data'!R73),'Raw data'!R73*100,""))</f>
        <v>2.53395688618621</v>
      </c>
      <c r="W73" s="42" t="n">
        <f aca="false">IF($A73="","",IF(ISNUMBER('Raw data'!S73),'Raw data'!S73*100,""))</f>
        <v>4.50043344996176</v>
      </c>
      <c r="X73" s="42" t="n">
        <f aca="false">IF($A73="","",IF(ISNUMBER('Raw data'!T73),'Raw data'!T73*100,""))</f>
        <v>4.85635979840966</v>
      </c>
      <c r="Y73" s="37" t="str">
        <f aca="false">IF($A73="","",IF('Raw data'!D73="","",'Raw data'!D73))</f>
        <v>Cooling</v>
      </c>
      <c r="Z73" s="38" t="n">
        <f aca="false">IF($A73="","",IF(ISNUMBER('Raw data'!F73),'Raw data'!F73,""))</f>
        <v>91052.98</v>
      </c>
      <c r="AA73" s="38" t="n">
        <f aca="false">IF($A73="","",IF(ISNUMBER('Raw data'!G73),'Raw data'!G73,""))</f>
        <v>671</v>
      </c>
      <c r="AB73" s="42" t="n">
        <f aca="false">IF($A73="","",IF(ISNUMBER('Raw data'!H73),'Raw data'!H73*100,IF(ISNUMBER('Raw data'!K73),'Raw data'!K73*100,"")))</f>
        <v>4.84928270822107</v>
      </c>
      <c r="AC73" s="42" t="n">
        <f aca="false">IF($A73="","",IF(ISNUMBER('Raw data'!I73),'Raw data'!I73*100,IF(ISNUMBER('Raw data'!M73),'Raw data'!M73*100,"")))</f>
        <v>4.23295425363863</v>
      </c>
      <c r="AD73" s="44" t="n">
        <f aca="false">IF($A73="","",IF(AND(ISNUMBER('Raw data'!N73),ISNUMBER('Raw data'!L73),ISNUMBER('Raw data'!P73),ISNUMBER('Raw data'!S73)),ROUND(('Raw data'!N73*'Raw data'!P73+(1-'Raw data'!N73)*'Raw data'!S73-'Raw data'!L73)*100,1),""))</f>
        <v>-0</v>
      </c>
    </row>
    <row r="74" customFormat="false" ht="15" hidden="false" customHeight="false" outlineLevel="0" collapsed="false">
      <c r="A74" s="37" t="str">
        <f aca="false">IF(TRIM('Raw data'!A74)="","",TRIM('Raw data'!A74))</f>
        <v>United Kingdom</v>
      </c>
      <c r="B74" s="37" t="str">
        <f aca="false">IF($A74="","",IF('Raw data'!B74="",UPPER(LEFT($A74,3)),'Raw data'!B74))</f>
        <v>UK</v>
      </c>
      <c r="C74" s="37" t="str">
        <f aca="false">IF($A74="","",'Raw data'!C74)</f>
        <v>Residential</v>
      </c>
      <c r="D74" s="38" t="n">
        <f aca="false">IF(OR($A74="",'Raw data'!J74=""),"",'Raw data'!J74)</f>
        <v>261</v>
      </c>
      <c r="E74" s="38" t="n">
        <f aca="false">IF(OR($A74="",'Raw data'!U74=""),"",'Raw data'!U74)</f>
        <v>7.5</v>
      </c>
      <c r="F74" s="42" t="n">
        <f aca="false">IF($A74="","",IF(ISNUMBER('Raw data'!K74),'Raw data'!K74*100,""))</f>
        <v>4.84928270822107</v>
      </c>
      <c r="G74" s="42" t="n">
        <f aca="false">IF($A74="","",IF(ISNUMBER('Raw data'!L74),'Raw data'!L74*100,""))</f>
        <v>0.965295150142276</v>
      </c>
      <c r="H74" s="42" t="n">
        <f aca="false">IF($A74="","",IF(ISNUMBER('Raw data'!M74),'Raw data'!M74*100,""))</f>
        <v>4.23295425363863</v>
      </c>
      <c r="I74" s="42" t="n">
        <f aca="false">IF($A74="","",IF(ISNUMBER('Raw data'!V74),'Raw data'!V74*100,""))</f>
        <v>-0.5</v>
      </c>
      <c r="J74" s="42" t="n">
        <f aca="false">IF($A74="","",IF(ISNUMBER('Raw data'!W74),'Raw data'!W74*100,""))</f>
        <v>2</v>
      </c>
      <c r="K74" s="42" t="n">
        <f aca="false">IF($A74="","",IF(ISNUMBER('Raw data'!X74),'Raw data'!X74*100,""))</f>
        <v>3</v>
      </c>
      <c r="L74" s="42" t="n">
        <f aca="false">IF($A74="","",IF('Raw data'!Z74&lt;&gt;"",'Raw data'!Z74*100,IF(AND(N('Raw data'!J74)&gt;0,'Raw data'!U74&lt;&gt;""),'Raw data'!U74*(1+N('Raw data'!W74))/('Raw data'!J74*(1+N('Raw data'!L74)))*100,"")))</f>
        <v>2.90301185016096</v>
      </c>
      <c r="M74" s="42" t="n">
        <f aca="false">IF($A74="","",IF('Raw data'!Y74&lt;&gt;"",'Raw data'!Y74*100,IF(AND(N('Raw data'!J74)&gt;0,'Raw data'!U74&lt;&gt;""),'Raw data'!U74/'Raw data'!J74*100,"")))</f>
        <v>2.8735632183908</v>
      </c>
      <c r="N74" s="43" t="n">
        <f aca="false">IF($A74="","",IF(ISNUMBER('Raw data'!AA74),'Raw data'!AA74,""))</f>
        <v>3</v>
      </c>
      <c r="O74" s="43" t="n">
        <f aca="false">IF($A74="","",IF(ISNUMBER('Raw data'!AB74),'Raw data'!AB74,""))</f>
        <v>2</v>
      </c>
      <c r="P74" s="43" t="n">
        <f aca="false">IF($A74="","",IF(ISNUMBER('Raw data'!AC74),'Raw data'!AC74,""))</f>
        <v>2</v>
      </c>
      <c r="Q74" s="43" t="n">
        <f aca="false">IF($A74="","",IF(ISNUMBER('Raw data'!AD74),'Raw data'!AD74,""))</f>
        <v>3</v>
      </c>
      <c r="R74" s="43" t="n">
        <f aca="false">IF($A74="","",IF(ISNUMBER('Raw data'!N74),'Raw data'!N74*100,""))</f>
        <v>47.6396818643388</v>
      </c>
      <c r="S74" s="42" t="n">
        <f aca="false">IF($A74="","",IF(ISNUMBER('Raw data'!O74),'Raw data'!O74*100,""))</f>
        <v>7.80631180286031</v>
      </c>
      <c r="T74" s="42" t="n">
        <f aca="false">IF($A74="","",IF(ISNUMBER('Raw data'!P74),'Raw data'!P74*100,""))</f>
        <v>-2.92014150242004</v>
      </c>
      <c r="U74" s="42" t="n">
        <f aca="false">IF($A74="","",IF(ISNUMBER('Raw data'!Q74),'Raw data'!Q74*100,""))</f>
        <v>3.475600059401</v>
      </c>
      <c r="V74" s="42" t="n">
        <f aca="false">IF($A74="","",IF(ISNUMBER('Raw data'!R74),'Raw data'!R74*100,""))</f>
        <v>2.53395688618621</v>
      </c>
      <c r="W74" s="42" t="n">
        <f aca="false">IF($A74="","",IF(ISNUMBER('Raw data'!S74),'Raw data'!S74*100,""))</f>
        <v>4.50043344996176</v>
      </c>
      <c r="X74" s="42" t="n">
        <f aca="false">IF($A74="","",IF(ISNUMBER('Raw data'!T74),'Raw data'!T74*100,""))</f>
        <v>4.85635979840966</v>
      </c>
      <c r="Y74" s="37" t="str">
        <f aca="false">IF($A74="","",IF('Raw data'!D74="","",'Raw data'!D74))</f>
        <v>Sanitary</v>
      </c>
      <c r="Z74" s="38" t="n">
        <f aca="false">IF($A74="","",IF(ISNUMBER('Raw data'!F74),'Raw data'!F74,""))</f>
        <v>91052.98</v>
      </c>
      <c r="AA74" s="38" t="n">
        <f aca="false">IF($A74="","",IF(ISNUMBER('Raw data'!G74),'Raw data'!G74,""))</f>
        <v>967</v>
      </c>
      <c r="AB74" s="42" t="n">
        <f aca="false">IF($A74="","",IF(ISNUMBER('Raw data'!H74),'Raw data'!H74*100,IF(ISNUMBER('Raw data'!K74),'Raw data'!K74*100,"")))</f>
        <v>4.84928270822107</v>
      </c>
      <c r="AC74" s="42" t="n">
        <f aca="false">IF($A74="","",IF(ISNUMBER('Raw data'!I74),'Raw data'!I74*100,IF(ISNUMBER('Raw data'!M74),'Raw data'!M74*100,"")))</f>
        <v>4.23295425363863</v>
      </c>
      <c r="AD74" s="44" t="n">
        <f aca="false">IF($A74="","",IF(AND(ISNUMBER('Raw data'!N74),ISNUMBER('Raw data'!L74),ISNUMBER('Raw data'!P74),ISNUMBER('Raw data'!S74)),ROUND(('Raw data'!N74*'Raw data'!P74+(1-'Raw data'!N74)*'Raw data'!S74-'Raw data'!L74)*100,1),""))</f>
        <v>-0</v>
      </c>
    </row>
    <row r="75" customFormat="false" ht="15" hidden="false" customHeight="false" outlineLevel="0" collapsed="false">
      <c r="A75" s="37" t="str">
        <f aca="false">IF(TRIM('Raw data'!A75)="","",TRIM('Raw data'!A75))</f>
        <v>United Kingdom</v>
      </c>
      <c r="B75" s="37" t="str">
        <f aca="false">IF($A75="","",IF('Raw data'!B75="",UPPER(LEFT($A75,3)),'Raw data'!B75))</f>
        <v>UK</v>
      </c>
      <c r="C75" s="37" t="str">
        <f aca="false">IF($A75="","",'Raw data'!C75)</f>
        <v>Commercial</v>
      </c>
      <c r="D75" s="38" t="n">
        <f aca="false">IF(OR($A75="",'Raw data'!J75=""),"",'Raw data'!J75)</f>
        <v>455</v>
      </c>
      <c r="E75" s="38" t="n">
        <f aca="false">IF(OR($A75="",'Raw data'!U75=""),"",'Raw data'!U75)</f>
        <v>15.3</v>
      </c>
      <c r="F75" s="42" t="n">
        <f aca="false">IF($A75="","",IF(ISNUMBER('Raw data'!K75),'Raw data'!K75*100,""))</f>
        <v>0.479005986441861</v>
      </c>
      <c r="G75" s="42" t="n">
        <f aca="false">IF($A75="","",IF(ISNUMBER('Raw data'!L75),'Raw data'!L75*100,""))</f>
        <v>-0.535419205160392</v>
      </c>
      <c r="H75" s="42" t="n">
        <f aca="false">IF($A75="","",IF(ISNUMBER('Raw data'!M75),'Raw data'!M75*100,""))</f>
        <v>4.03468721186624</v>
      </c>
      <c r="I75" s="42" t="n">
        <f aca="false">IF($A75="","",IF(ISNUMBER('Raw data'!V75),'Raw data'!V75*100,""))</f>
        <v>-0.5</v>
      </c>
      <c r="J75" s="42" t="n">
        <f aca="false">IF($A75="","",IF(ISNUMBER('Raw data'!W75),'Raw data'!W75*100,""))</f>
        <v>2</v>
      </c>
      <c r="K75" s="42" t="n">
        <f aca="false">IF($A75="","",IF(ISNUMBER('Raw data'!X75),'Raw data'!X75*100,""))</f>
        <v>3</v>
      </c>
      <c r="L75" s="42" t="n">
        <f aca="false">IF($A75="","",IF('Raw data'!Z75&lt;&gt;"",'Raw data'!Z75*100,IF(AND(N('Raw data'!J75)&gt;0,'Raw data'!U75&lt;&gt;""),'Raw data'!U75*(1+N('Raw data'!W75))/('Raw data'!J75*(1+N('Raw data'!L75)))*100,"")))</f>
        <v>3.44835325548173</v>
      </c>
      <c r="M75" s="42" t="n">
        <f aca="false">IF($A75="","",IF('Raw data'!Y75&lt;&gt;"",'Raw data'!Y75*100,IF(AND(N('Raw data'!J75)&gt;0,'Raw data'!U75&lt;&gt;""),'Raw data'!U75/'Raw data'!J75*100,"")))</f>
        <v>3.36263736263736</v>
      </c>
      <c r="N75" s="43" t="n">
        <f aca="false">IF($A75="","",IF(ISNUMBER('Raw data'!AA75),'Raw data'!AA75,""))</f>
        <v>3</v>
      </c>
      <c r="O75" s="43" t="n">
        <f aca="false">IF($A75="","",IF(ISNUMBER('Raw data'!AB75),'Raw data'!AB75,""))</f>
        <v>2</v>
      </c>
      <c r="P75" s="43" t="n">
        <f aca="false">IF($A75="","",IF(ISNUMBER('Raw data'!AC75),'Raw data'!AC75,""))</f>
        <v>2</v>
      </c>
      <c r="Q75" s="43" t="n">
        <f aca="false">IF($A75="","",IF(ISNUMBER('Raw data'!AD75),'Raw data'!AD75,""))</f>
        <v>3</v>
      </c>
      <c r="R75" s="43" t="n">
        <f aca="false">IF($A75="","",IF(ISNUMBER('Raw data'!N75),'Raw data'!N75*100,""))</f>
        <v>40.7700623102364</v>
      </c>
      <c r="S75" s="42" t="n">
        <f aca="false">IF($A75="","",IF(ISNUMBER('Raw data'!O75),'Raw data'!O75*100,""))</f>
        <v>5.32599551238662</v>
      </c>
      <c r="T75" s="42" t="n">
        <f aca="false">IF($A75="","",IF(ISNUMBER('Raw data'!P75),'Raw data'!P75*100,""))</f>
        <v>-0.083047993524743</v>
      </c>
      <c r="U75" s="42" t="n">
        <f aca="false">IF($A75="","",IF(ISNUMBER('Raw data'!Q75),'Raw data'!Q75*100,""))</f>
        <v>5.38909749105168</v>
      </c>
      <c r="V75" s="42" t="n">
        <f aca="false">IF($A75="","",IF(ISNUMBER('Raw data'!R75),'Raw data'!R75*100,""))</f>
        <v>-2.19632883829541</v>
      </c>
      <c r="W75" s="42" t="n">
        <f aca="false">IF($A75="","",IF(ISNUMBER('Raw data'!S75),'Raw data'!S75*100,""))</f>
        <v>-0.846802319934958</v>
      </c>
      <c r="X75" s="42" t="n">
        <f aca="false">IF($A75="","",IF(ISNUMBER('Raw data'!T75),'Raw data'!T75*100,""))</f>
        <v>3.0520471588577</v>
      </c>
      <c r="Y75" s="37" t="str">
        <f aca="false">IF($A75="","",IF('Raw data'!D75="","",'Raw data'!D75))</f>
        <v>Heating</v>
      </c>
      <c r="Z75" s="38" t="n">
        <f aca="false">IF($A75="","",IF(ISNUMBER('Raw data'!F75),'Raw data'!F75,""))</f>
        <v>68667.69</v>
      </c>
      <c r="AA75" s="38" t="n">
        <f aca="false">IF($A75="","",IF(ISNUMBER('Raw data'!G75),'Raw data'!G75,""))</f>
        <v>1379</v>
      </c>
      <c r="AB75" s="42" t="n">
        <f aca="false">IF($A75="","",IF(ISNUMBER('Raw data'!H75),'Raw data'!H75*100,IF(ISNUMBER('Raw data'!K75),'Raw data'!K75*100,"")))</f>
        <v>0.479005986441861</v>
      </c>
      <c r="AC75" s="42" t="n">
        <f aca="false">IF($A75="","",IF(ISNUMBER('Raw data'!I75),'Raw data'!I75*100,IF(ISNUMBER('Raw data'!M75),'Raw data'!M75*100,"")))</f>
        <v>4.03468721186624</v>
      </c>
      <c r="AD75" s="44" t="n">
        <f aca="false">IF($A75="","",IF(AND(ISNUMBER('Raw data'!N75),ISNUMBER('Raw data'!L75),ISNUMBER('Raw data'!P75),ISNUMBER('Raw data'!S75)),ROUND(('Raw data'!N75*'Raw data'!P75+(1-'Raw data'!N75)*'Raw data'!S75-'Raw data'!L75)*100,1),""))</f>
        <v>0</v>
      </c>
    </row>
    <row r="76" customFormat="false" ht="15" hidden="false" customHeight="false" outlineLevel="0" collapsed="false">
      <c r="A76" s="37" t="str">
        <f aca="false">IF(TRIM('Raw data'!A76)="","",TRIM('Raw data'!A76))</f>
        <v>United Kingdom</v>
      </c>
      <c r="B76" s="37" t="str">
        <f aca="false">IF($A76="","",IF('Raw data'!B76="",UPPER(LEFT($A76,3)),'Raw data'!B76))</f>
        <v>UK</v>
      </c>
      <c r="C76" s="37" t="str">
        <f aca="false">IF($A76="","",'Raw data'!C76)</f>
        <v>Commercial</v>
      </c>
      <c r="D76" s="38" t="n">
        <f aca="false">IF(OR($A76="",'Raw data'!J76=""),"",'Raw data'!J76)</f>
        <v>106</v>
      </c>
      <c r="E76" s="38" t="n">
        <f aca="false">IF(OR($A76="",'Raw data'!U76=""),"",'Raw data'!U76)</f>
        <v>1.8</v>
      </c>
      <c r="F76" s="42" t="n">
        <f aca="false">IF($A76="","",IF(ISNUMBER('Raw data'!K76),'Raw data'!K76*100,""))</f>
        <v>0.479005986441861</v>
      </c>
      <c r="G76" s="42" t="n">
        <f aca="false">IF($A76="","",IF(ISNUMBER('Raw data'!L76),'Raw data'!L76*100,""))</f>
        <v>-0.535419205160392</v>
      </c>
      <c r="H76" s="42" t="n">
        <f aca="false">IF($A76="","",IF(ISNUMBER('Raw data'!M76),'Raw data'!M76*100,""))</f>
        <v>4.03468721186624</v>
      </c>
      <c r="I76" s="42" t="n">
        <f aca="false">IF($A76="","",IF(ISNUMBER('Raw data'!V76),'Raw data'!V76*100,""))</f>
        <v>1</v>
      </c>
      <c r="J76" s="42" t="n">
        <f aca="false">IF($A76="","",IF(ISNUMBER('Raw data'!W76),'Raw data'!W76*100,""))</f>
        <v>3.5</v>
      </c>
      <c r="K76" s="42" t="n">
        <f aca="false">IF($A76="","",IF(ISNUMBER('Raw data'!X76),'Raw data'!X76*100,""))</f>
        <v>4.5</v>
      </c>
      <c r="L76" s="42" t="n">
        <f aca="false">IF($A76="","",IF('Raw data'!Z76&lt;&gt;"",'Raw data'!Z76*100,IF(AND(N('Raw data'!J76)&gt;0,'Raw data'!U76&lt;&gt;""),'Raw data'!U76*(1+N('Raw data'!W76))/('Raw data'!J76*(1+N('Raw data'!L76)))*100,"")))</f>
        <v>1.76700807037685</v>
      </c>
      <c r="M76" s="42" t="n">
        <f aca="false">IF($A76="","",IF('Raw data'!Y76&lt;&gt;"",'Raw data'!Y76*100,IF(AND(N('Raw data'!J76)&gt;0,'Raw data'!U76&lt;&gt;""),'Raw data'!U76/'Raw data'!J76*100,"")))</f>
        <v>1.69811320754717</v>
      </c>
      <c r="N76" s="43" t="n">
        <f aca="false">IF($A76="","",IF(ISNUMBER('Raw data'!AA76),'Raw data'!AA76,""))</f>
        <v>3</v>
      </c>
      <c r="O76" s="43" t="n">
        <f aca="false">IF($A76="","",IF(ISNUMBER('Raw data'!AB76),'Raw data'!AB76,""))</f>
        <v>2</v>
      </c>
      <c r="P76" s="43" t="n">
        <f aca="false">IF($A76="","",IF(ISNUMBER('Raw data'!AC76),'Raw data'!AC76,""))</f>
        <v>2</v>
      </c>
      <c r="Q76" s="43" t="n">
        <f aca="false">IF($A76="","",IF(ISNUMBER('Raw data'!AD76),'Raw data'!AD76,""))</f>
        <v>3</v>
      </c>
      <c r="R76" s="43" t="n">
        <f aca="false">IF($A76="","",IF(ISNUMBER('Raw data'!N76),'Raw data'!N76*100,""))</f>
        <v>40.7700623102364</v>
      </c>
      <c r="S76" s="42" t="n">
        <f aca="false">IF($A76="","",IF(ISNUMBER('Raw data'!O76),'Raw data'!O76*100,""))</f>
        <v>5.32599551238662</v>
      </c>
      <c r="T76" s="42" t="n">
        <f aca="false">IF($A76="","",IF(ISNUMBER('Raw data'!P76),'Raw data'!P76*100,""))</f>
        <v>-0.083047993524743</v>
      </c>
      <c r="U76" s="42" t="n">
        <f aca="false">IF($A76="","",IF(ISNUMBER('Raw data'!Q76),'Raw data'!Q76*100,""))</f>
        <v>5.38909749105168</v>
      </c>
      <c r="V76" s="42" t="n">
        <f aca="false">IF($A76="","",IF(ISNUMBER('Raw data'!R76),'Raw data'!R76*100,""))</f>
        <v>-2.19632883829541</v>
      </c>
      <c r="W76" s="42" t="n">
        <f aca="false">IF($A76="","",IF(ISNUMBER('Raw data'!S76),'Raw data'!S76*100,""))</f>
        <v>-0.846802319934958</v>
      </c>
      <c r="X76" s="42" t="n">
        <f aca="false">IF($A76="","",IF(ISNUMBER('Raw data'!T76),'Raw data'!T76*100,""))</f>
        <v>3.0520471588577</v>
      </c>
      <c r="Y76" s="37" t="str">
        <f aca="false">IF($A76="","",IF('Raw data'!D76="","",'Raw data'!D76))</f>
        <v>Cooling</v>
      </c>
      <c r="Z76" s="38" t="n">
        <f aca="false">IF($A76="","",IF(ISNUMBER('Raw data'!F76),'Raw data'!F76,""))</f>
        <v>68667.69</v>
      </c>
      <c r="AA76" s="38" t="n">
        <f aca="false">IF($A76="","",IF(ISNUMBER('Raw data'!G76),'Raw data'!G76,""))</f>
        <v>505</v>
      </c>
      <c r="AB76" s="42" t="n">
        <f aca="false">IF($A76="","",IF(ISNUMBER('Raw data'!H76),'Raw data'!H76*100,IF(ISNUMBER('Raw data'!K76),'Raw data'!K76*100,"")))</f>
        <v>0.479005986441861</v>
      </c>
      <c r="AC76" s="42" t="n">
        <f aca="false">IF($A76="","",IF(ISNUMBER('Raw data'!I76),'Raw data'!I76*100,IF(ISNUMBER('Raw data'!M76),'Raw data'!M76*100,"")))</f>
        <v>4.03468721186624</v>
      </c>
      <c r="AD76" s="44" t="n">
        <f aca="false">IF($A76="","",IF(AND(ISNUMBER('Raw data'!N76),ISNUMBER('Raw data'!L76),ISNUMBER('Raw data'!P76),ISNUMBER('Raw data'!S76)),ROUND(('Raw data'!N76*'Raw data'!P76+(1-'Raw data'!N76)*'Raw data'!S76-'Raw data'!L76)*100,1),""))</f>
        <v>0</v>
      </c>
    </row>
    <row r="77" customFormat="false" ht="15" hidden="false" customHeight="false" outlineLevel="0" collapsed="false">
      <c r="A77" s="37" t="str">
        <f aca="false">IF(TRIM('Raw data'!A77)="","",TRIM('Raw data'!A77))</f>
        <v>United Kingdom</v>
      </c>
      <c r="B77" s="37" t="str">
        <f aca="false">IF($A77="","",IF('Raw data'!B77="",UPPER(LEFT($A77,3)),'Raw data'!B77))</f>
        <v>UK</v>
      </c>
      <c r="C77" s="37" t="str">
        <f aca="false">IF($A77="","",'Raw data'!C77)</f>
        <v>Commercial</v>
      </c>
      <c r="D77" s="38" t="n">
        <f aca="false">IF(OR($A77="",'Raw data'!J77=""),"",'Raw data'!J77)</f>
        <v>197</v>
      </c>
      <c r="E77" s="38" t="n">
        <f aca="false">IF(OR($A77="",'Raw data'!U77=""),"",'Raw data'!U77)</f>
        <v>5</v>
      </c>
      <c r="F77" s="42" t="n">
        <f aca="false">IF($A77="","",IF(ISNUMBER('Raw data'!K77),'Raw data'!K77*100,""))</f>
        <v>0.479005986441861</v>
      </c>
      <c r="G77" s="42" t="n">
        <f aca="false">IF($A77="","",IF(ISNUMBER('Raw data'!L77),'Raw data'!L77*100,""))</f>
        <v>-0.535419205160392</v>
      </c>
      <c r="H77" s="42" t="n">
        <f aca="false">IF($A77="","",IF(ISNUMBER('Raw data'!M77),'Raw data'!M77*100,""))</f>
        <v>4.03468721186624</v>
      </c>
      <c r="I77" s="42" t="n">
        <f aca="false">IF($A77="","",IF(ISNUMBER('Raw data'!V77),'Raw data'!V77*100,""))</f>
        <v>0</v>
      </c>
      <c r="J77" s="42" t="n">
        <f aca="false">IF($A77="","",IF(ISNUMBER('Raw data'!W77),'Raw data'!W77*100,""))</f>
        <v>2.5</v>
      </c>
      <c r="K77" s="42" t="n">
        <f aca="false">IF($A77="","",IF(ISNUMBER('Raw data'!X77),'Raw data'!X77*100,""))</f>
        <v>3.5</v>
      </c>
      <c r="L77" s="42" t="n">
        <f aca="false">IF($A77="","",IF('Raw data'!Z77&lt;&gt;"",'Raw data'!Z77*100,IF(AND(N('Raw data'!J77)&gt;0,'Raw data'!U77&lt;&gt;""),'Raw data'!U77*(1+N('Raw data'!W77))/('Raw data'!J77*(1+N('Raw data'!L77)))*100,"")))</f>
        <v>2.61552687584902</v>
      </c>
      <c r="M77" s="42" t="n">
        <f aca="false">IF($A77="","",IF('Raw data'!Y77&lt;&gt;"",'Raw data'!Y77*100,IF(AND(N('Raw data'!J77)&gt;0,'Raw data'!U77&lt;&gt;""),'Raw data'!U77/'Raw data'!J77*100,"")))</f>
        <v>2.53807106598985</v>
      </c>
      <c r="N77" s="43" t="n">
        <f aca="false">IF($A77="","",IF(ISNUMBER('Raw data'!AA77),'Raw data'!AA77,""))</f>
        <v>3</v>
      </c>
      <c r="O77" s="43" t="n">
        <f aca="false">IF($A77="","",IF(ISNUMBER('Raw data'!AB77),'Raw data'!AB77,""))</f>
        <v>2</v>
      </c>
      <c r="P77" s="43" t="n">
        <f aca="false">IF($A77="","",IF(ISNUMBER('Raw data'!AC77),'Raw data'!AC77,""))</f>
        <v>2</v>
      </c>
      <c r="Q77" s="43" t="n">
        <f aca="false">IF($A77="","",IF(ISNUMBER('Raw data'!AD77),'Raw data'!AD77,""))</f>
        <v>3</v>
      </c>
      <c r="R77" s="43" t="n">
        <f aca="false">IF($A77="","",IF(ISNUMBER('Raw data'!N77),'Raw data'!N77*100,""))</f>
        <v>40.7700623102364</v>
      </c>
      <c r="S77" s="42" t="n">
        <f aca="false">IF($A77="","",IF(ISNUMBER('Raw data'!O77),'Raw data'!O77*100,""))</f>
        <v>5.32599551238662</v>
      </c>
      <c r="T77" s="42" t="n">
        <f aca="false">IF($A77="","",IF(ISNUMBER('Raw data'!P77),'Raw data'!P77*100,""))</f>
        <v>-0.083047993524743</v>
      </c>
      <c r="U77" s="42" t="n">
        <f aca="false">IF($A77="","",IF(ISNUMBER('Raw data'!Q77),'Raw data'!Q77*100,""))</f>
        <v>5.38909749105168</v>
      </c>
      <c r="V77" s="42" t="n">
        <f aca="false">IF($A77="","",IF(ISNUMBER('Raw data'!R77),'Raw data'!R77*100,""))</f>
        <v>-2.19632883829541</v>
      </c>
      <c r="W77" s="42" t="n">
        <f aca="false">IF($A77="","",IF(ISNUMBER('Raw data'!S77),'Raw data'!S77*100,""))</f>
        <v>-0.846802319934958</v>
      </c>
      <c r="X77" s="42" t="n">
        <f aca="false">IF($A77="","",IF(ISNUMBER('Raw data'!T77),'Raw data'!T77*100,""))</f>
        <v>3.0520471588577</v>
      </c>
      <c r="Y77" s="37" t="str">
        <f aca="false">IF($A77="","",IF('Raw data'!D77="","",'Raw data'!D77))</f>
        <v>Sanitary</v>
      </c>
      <c r="Z77" s="38" t="n">
        <f aca="false">IF($A77="","",IF(ISNUMBER('Raw data'!F77),'Raw data'!F77,""))</f>
        <v>68667.69</v>
      </c>
      <c r="AA77" s="38" t="n">
        <f aca="false">IF($A77="","",IF(ISNUMBER('Raw data'!G77),'Raw data'!G77,""))</f>
        <v>730</v>
      </c>
      <c r="AB77" s="42" t="n">
        <f aca="false">IF($A77="","",IF(ISNUMBER('Raw data'!H77),'Raw data'!H77*100,IF(ISNUMBER('Raw data'!K77),'Raw data'!K77*100,"")))</f>
        <v>0.479005986441861</v>
      </c>
      <c r="AC77" s="42" t="n">
        <f aca="false">IF($A77="","",IF(ISNUMBER('Raw data'!I77),'Raw data'!I77*100,IF(ISNUMBER('Raw data'!M77),'Raw data'!M77*100,"")))</f>
        <v>4.03468721186624</v>
      </c>
      <c r="AD77" s="44" t="n">
        <f aca="false">IF($A77="","",IF(AND(ISNUMBER('Raw data'!N77),ISNUMBER('Raw data'!L77),ISNUMBER('Raw data'!P77),ISNUMBER('Raw data'!S77)),ROUND(('Raw data'!N77*'Raw data'!P77+(1-'Raw data'!N77)*'Raw data'!S77-'Raw data'!L77)*100,1),""))</f>
        <v>0</v>
      </c>
    </row>
    <row r="78" customFormat="false" ht="15" hidden="false" customHeight="false" outlineLevel="0" collapsed="false">
      <c r="A78" s="37" t="str">
        <f aca="false">IF(TRIM('Raw data'!A78)="","",TRIM('Raw data'!A78))</f>
        <v>France</v>
      </c>
      <c r="B78" s="37" t="str">
        <f aca="false">IF($A78="","",IF('Raw data'!B78="",UPPER(LEFT($A78,3)),'Raw data'!B78))</f>
        <v>FR</v>
      </c>
      <c r="C78" s="37" t="str">
        <f aca="false">IF($A78="","",'Raw data'!C78)</f>
        <v>Residential</v>
      </c>
      <c r="D78" s="38" t="n">
        <f aca="false">IF(OR($A78="",'Raw data'!J78=""),"",'Raw data'!J78)</f>
        <v>252</v>
      </c>
      <c r="E78" s="38" t="n">
        <f aca="false">IF(OR($A78="",'Raw data'!U78=""),"",'Raw data'!U78)</f>
        <v>54.4</v>
      </c>
      <c r="F78" s="42" t="n">
        <f aca="false">IF($A78="","",IF(ISNUMBER('Raw data'!K78),'Raw data'!K78*100,""))</f>
        <v>-1.54949361668216</v>
      </c>
      <c r="G78" s="42" t="n">
        <f aca="false">IF($A78="","",IF(ISNUMBER('Raw data'!L78),'Raw data'!L78*100,""))</f>
        <v>0.409163476775953</v>
      </c>
      <c r="H78" s="42" t="n">
        <f aca="false">IF($A78="","",IF(ISNUMBER('Raw data'!M78),'Raw data'!M78*100,""))</f>
        <v>1.91750853803925</v>
      </c>
      <c r="I78" s="42" t="n">
        <f aca="false">IF($A78="","",IF(ISNUMBER('Raw data'!V78),'Raw data'!V78*100,""))</f>
        <v>4</v>
      </c>
      <c r="J78" s="42" t="n">
        <f aca="false">IF($A78="","",IF(ISNUMBER('Raw data'!W78),'Raw data'!W78*100,""))</f>
        <v>1</v>
      </c>
      <c r="K78" s="42" t="n">
        <f aca="false">IF($A78="","",IF(ISNUMBER('Raw data'!X78),'Raw data'!X78*100,""))</f>
        <v>3.5</v>
      </c>
      <c r="L78" s="42" t="n">
        <f aca="false">IF($A78="","",IF('Raw data'!Z78&lt;&gt;"",'Raw data'!Z78*100,IF(AND(N('Raw data'!J78)&gt;0,'Raw data'!U78&lt;&gt;""),'Raw data'!U78*(1+N('Raw data'!W78))/('Raw data'!J78*(1+N('Raw data'!L78)))*100,"")))</f>
        <v>21.7143275057934</v>
      </c>
      <c r="M78" s="42" t="n">
        <f aca="false">IF($A78="","",IF('Raw data'!Y78&lt;&gt;"",'Raw data'!Y78*100,IF(AND(N('Raw data'!J78)&gt;0,'Raw data'!U78&lt;&gt;""),'Raw data'!U78/'Raw data'!J78*100,"")))</f>
        <v>21.5873015873016</v>
      </c>
      <c r="N78" s="43" t="n">
        <f aca="false">IF($A78="","",IF(ISNUMBER('Raw data'!AA78),'Raw data'!AA78,""))</f>
        <v>4</v>
      </c>
      <c r="O78" s="43" t="n">
        <f aca="false">IF($A78="","",IF(ISNUMBER('Raw data'!AB78),'Raw data'!AB78,""))</f>
        <v>3</v>
      </c>
      <c r="P78" s="43" t="n">
        <f aca="false">IF($A78="","",IF(ISNUMBER('Raw data'!AC78),'Raw data'!AC78,""))</f>
        <v>4</v>
      </c>
      <c r="Q78" s="43" t="n">
        <f aca="false">IF($A78="","",IF(ISNUMBER('Raw data'!AD78),'Raw data'!AD78,""))</f>
        <v>4</v>
      </c>
      <c r="R78" s="43" t="n">
        <f aca="false">IF($A78="","",IF(ISNUMBER('Raw data'!N78),'Raw data'!N78*100,""))</f>
        <v>77.4944720723876</v>
      </c>
      <c r="S78" s="42" t="n">
        <f aca="false">IF($A78="","",IF(ISNUMBER('Raw data'!O78),'Raw data'!O78*100,""))</f>
        <v>2.80821798617414</v>
      </c>
      <c r="T78" s="42" t="n">
        <f aca="false">IF($A78="","",IF(ISNUMBER('Raw data'!P78),'Raw data'!P78*100,""))</f>
        <v>1.76184277578997</v>
      </c>
      <c r="U78" s="42" t="n">
        <f aca="false">IF($A78="","",IF(ISNUMBER('Raw data'!Q78),'Raw data'!Q78*100,""))</f>
        <v>1.92596423783837</v>
      </c>
      <c r="V78" s="42" t="n">
        <f aca="false">IF($A78="","",IF(ISNUMBER('Raw data'!R78),'Raw data'!R78*100,""))</f>
        <v>-11.1514335254401</v>
      </c>
      <c r="W78" s="42" t="n">
        <f aca="false">IF($A78="","",IF(ISNUMBER('Raw data'!S78),'Raw data'!S78*100,""))</f>
        <v>-4.24858854297232</v>
      </c>
      <c r="X78" s="42" t="n">
        <f aca="false">IF($A78="","",IF(ISNUMBER('Raw data'!T78),'Raw data'!T78*100,""))</f>
        <v>1.88654098880188</v>
      </c>
      <c r="Y78" s="37" t="str">
        <f aca="false">IF($A78="","",IF('Raw data'!D78="","",'Raw data'!D78))</f>
        <v>Heating</v>
      </c>
      <c r="Z78" s="38" t="n">
        <f aca="false">IF($A78="","",IF(ISNUMBER('Raw data'!F78),'Raw data'!F78,""))</f>
        <v>47504.24</v>
      </c>
      <c r="AA78" s="38" t="n">
        <f aca="false">IF($A78="","",IF(ISNUMBER('Raw data'!G78),'Raw data'!G78,""))</f>
        <v>352</v>
      </c>
      <c r="AB78" s="42" t="n">
        <f aca="false">IF($A78="","",IF(ISNUMBER('Raw data'!H78),'Raw data'!H78*100,IF(ISNUMBER('Raw data'!K78),'Raw data'!K78*100,"")))</f>
        <v>-1.54949361668216</v>
      </c>
      <c r="AC78" s="42" t="n">
        <f aca="false">IF($A78="","",IF(ISNUMBER('Raw data'!I78),'Raw data'!I78*100,IF(ISNUMBER('Raw data'!M78),'Raw data'!M78*100,"")))</f>
        <v>1.91750853803925</v>
      </c>
      <c r="AD78" s="44" t="n">
        <f aca="false">IF($A78="","",IF(AND(ISNUMBER('Raw data'!N78),ISNUMBER('Raw data'!L78),ISNUMBER('Raw data'!P78),ISNUMBER('Raw data'!S78)),ROUND(('Raw data'!N78*'Raw data'!P78+(1-'Raw data'!N78)*'Raw data'!S78-'Raw data'!L78)*100,1),""))</f>
        <v>0</v>
      </c>
    </row>
    <row r="79" customFormat="false" ht="15" hidden="false" customHeight="false" outlineLevel="0" collapsed="false">
      <c r="A79" s="37" t="str">
        <f aca="false">IF(TRIM('Raw data'!A79)="","",TRIM('Raw data'!A79))</f>
        <v>France</v>
      </c>
      <c r="B79" s="37" t="str">
        <f aca="false">IF($A79="","",IF('Raw data'!B79="",UPPER(LEFT($A79,3)),'Raw data'!B79))</f>
        <v>FR</v>
      </c>
      <c r="C79" s="37" t="str">
        <f aca="false">IF($A79="","",'Raw data'!C79)</f>
        <v>Residential</v>
      </c>
      <c r="D79" s="38" t="n">
        <f aca="false">IF(OR($A79="",'Raw data'!J79=""),"",'Raw data'!J79)</f>
        <v>141</v>
      </c>
      <c r="E79" s="38" t="n">
        <f aca="false">IF(OR($A79="",'Raw data'!U79=""),"",'Raw data'!U79)</f>
        <v>15.2</v>
      </c>
      <c r="F79" s="42" t="n">
        <f aca="false">IF($A79="","",IF(ISNUMBER('Raw data'!K79),'Raw data'!K79*100,""))</f>
        <v>-1.54949361668216</v>
      </c>
      <c r="G79" s="42" t="n">
        <f aca="false">IF($A79="","",IF(ISNUMBER('Raw data'!L79),'Raw data'!L79*100,""))</f>
        <v>0.409163476775953</v>
      </c>
      <c r="H79" s="42" t="n">
        <f aca="false">IF($A79="","",IF(ISNUMBER('Raw data'!M79),'Raw data'!M79*100,""))</f>
        <v>1.91750853803925</v>
      </c>
      <c r="I79" s="42" t="n">
        <f aca="false">IF($A79="","",IF(ISNUMBER('Raw data'!V79),'Raw data'!V79*100,""))</f>
        <v>5.5</v>
      </c>
      <c r="J79" s="42" t="n">
        <f aca="false">IF($A79="","",IF(ISNUMBER('Raw data'!W79),'Raw data'!W79*100,""))</f>
        <v>2.5</v>
      </c>
      <c r="K79" s="42" t="n">
        <f aca="false">IF($A79="","",IF(ISNUMBER('Raw data'!X79),'Raw data'!X79*100,""))</f>
        <v>5</v>
      </c>
      <c r="L79" s="42" t="n">
        <f aca="false">IF($A79="","",IF('Raw data'!Z79&lt;&gt;"",'Raw data'!Z79*100,IF(AND(N('Raw data'!J79)&gt;0,'Raw data'!U79&lt;&gt;""),'Raw data'!U79*(1+N('Raw data'!W79))/('Raw data'!J79*(1+N('Raw data'!L79)))*100,"")))</f>
        <v>11.004618510368</v>
      </c>
      <c r="M79" s="42" t="n">
        <f aca="false">IF($A79="","",IF('Raw data'!Y79&lt;&gt;"",'Raw data'!Y79*100,IF(AND(N('Raw data'!J79)&gt;0,'Raw data'!U79&lt;&gt;""),'Raw data'!U79/'Raw data'!J79*100,"")))</f>
        <v>10.7801418439716</v>
      </c>
      <c r="N79" s="43" t="n">
        <f aca="false">IF($A79="","",IF(ISNUMBER('Raw data'!AA79),'Raw data'!AA79,""))</f>
        <v>4</v>
      </c>
      <c r="O79" s="43" t="n">
        <f aca="false">IF($A79="","",IF(ISNUMBER('Raw data'!AB79),'Raw data'!AB79,""))</f>
        <v>3</v>
      </c>
      <c r="P79" s="43" t="n">
        <f aca="false">IF($A79="","",IF(ISNUMBER('Raw data'!AC79),'Raw data'!AC79,""))</f>
        <v>4</v>
      </c>
      <c r="Q79" s="43" t="n">
        <f aca="false">IF($A79="","",IF(ISNUMBER('Raw data'!AD79),'Raw data'!AD79,""))</f>
        <v>4</v>
      </c>
      <c r="R79" s="43" t="n">
        <f aca="false">IF($A79="","",IF(ISNUMBER('Raw data'!N79),'Raw data'!N79*100,""))</f>
        <v>77.4944720723876</v>
      </c>
      <c r="S79" s="42" t="n">
        <f aca="false">IF($A79="","",IF(ISNUMBER('Raw data'!O79),'Raw data'!O79*100,""))</f>
        <v>2.80821798617414</v>
      </c>
      <c r="T79" s="42" t="n">
        <f aca="false">IF($A79="","",IF(ISNUMBER('Raw data'!P79),'Raw data'!P79*100,""))</f>
        <v>1.76184277578997</v>
      </c>
      <c r="U79" s="42" t="n">
        <f aca="false">IF($A79="","",IF(ISNUMBER('Raw data'!Q79),'Raw data'!Q79*100,""))</f>
        <v>1.92596423783837</v>
      </c>
      <c r="V79" s="42" t="n">
        <f aca="false">IF($A79="","",IF(ISNUMBER('Raw data'!R79),'Raw data'!R79*100,""))</f>
        <v>-11.1514335254401</v>
      </c>
      <c r="W79" s="42" t="n">
        <f aca="false">IF($A79="","",IF(ISNUMBER('Raw data'!S79),'Raw data'!S79*100,""))</f>
        <v>-4.24858854297232</v>
      </c>
      <c r="X79" s="42" t="n">
        <f aca="false">IF($A79="","",IF(ISNUMBER('Raw data'!T79),'Raw data'!T79*100,""))</f>
        <v>1.88654098880188</v>
      </c>
      <c r="Y79" s="37" t="str">
        <f aca="false">IF($A79="","",IF('Raw data'!D79="","",'Raw data'!D79))</f>
        <v>Cooling</v>
      </c>
      <c r="Z79" s="38" t="n">
        <f aca="false">IF($A79="","",IF(ISNUMBER('Raw data'!F79),'Raw data'!F79,""))</f>
        <v>47504.24</v>
      </c>
      <c r="AA79" s="38" t="n">
        <f aca="false">IF($A79="","",IF(ISNUMBER('Raw data'!G79),'Raw data'!G79,""))</f>
        <v>310</v>
      </c>
      <c r="AB79" s="42" t="n">
        <f aca="false">IF($A79="","",IF(ISNUMBER('Raw data'!H79),'Raw data'!H79*100,IF(ISNUMBER('Raw data'!K79),'Raw data'!K79*100,"")))</f>
        <v>-1.54949361668216</v>
      </c>
      <c r="AC79" s="42" t="n">
        <f aca="false">IF($A79="","",IF(ISNUMBER('Raw data'!I79),'Raw data'!I79*100,IF(ISNUMBER('Raw data'!M79),'Raw data'!M79*100,"")))</f>
        <v>1.91750853803925</v>
      </c>
      <c r="AD79" s="44" t="n">
        <f aca="false">IF($A79="","",IF(AND(ISNUMBER('Raw data'!N79),ISNUMBER('Raw data'!L79),ISNUMBER('Raw data'!P79),ISNUMBER('Raw data'!S79)),ROUND(('Raw data'!N79*'Raw data'!P79+(1-'Raw data'!N79)*'Raw data'!S79-'Raw data'!L79)*100,1),""))</f>
        <v>0</v>
      </c>
    </row>
    <row r="80" customFormat="false" ht="15" hidden="false" customHeight="false" outlineLevel="0" collapsed="false">
      <c r="A80" s="37" t="str">
        <f aca="false">IF(TRIM('Raw data'!A80)="","",TRIM('Raw data'!A80))</f>
        <v>France</v>
      </c>
      <c r="B80" s="37" t="str">
        <f aca="false">IF($A80="","",IF('Raw data'!B80="",UPPER(LEFT($A80,3)),'Raw data'!B80))</f>
        <v>FR</v>
      </c>
      <c r="C80" s="37" t="str">
        <f aca="false">IF($A80="","",'Raw data'!C80)</f>
        <v>Residential</v>
      </c>
      <c r="D80" s="38" t="n">
        <f aca="false">IF(OR($A80="",'Raw data'!J80=""),"",'Raw data'!J80)</f>
        <v>131</v>
      </c>
      <c r="E80" s="38" t="n">
        <f aca="false">IF(OR($A80="",'Raw data'!U80=""),"",'Raw data'!U80)</f>
        <v>21.2</v>
      </c>
      <c r="F80" s="42" t="n">
        <f aca="false">IF($A80="","",IF(ISNUMBER('Raw data'!K80),'Raw data'!K80*100,""))</f>
        <v>-1.54949361668216</v>
      </c>
      <c r="G80" s="42" t="n">
        <f aca="false">IF($A80="","",IF(ISNUMBER('Raw data'!L80),'Raw data'!L80*100,""))</f>
        <v>0.409163476775953</v>
      </c>
      <c r="H80" s="42" t="n">
        <f aca="false">IF($A80="","",IF(ISNUMBER('Raw data'!M80),'Raw data'!M80*100,""))</f>
        <v>1.91750853803925</v>
      </c>
      <c r="I80" s="42" t="n">
        <f aca="false">IF($A80="","",IF(ISNUMBER('Raw data'!V80),'Raw data'!V80*100,""))</f>
        <v>4.5</v>
      </c>
      <c r="J80" s="42" t="n">
        <f aca="false">IF($A80="","",IF(ISNUMBER('Raw data'!W80),'Raw data'!W80*100,""))</f>
        <v>1.5</v>
      </c>
      <c r="K80" s="42" t="n">
        <f aca="false">IF($A80="","",IF(ISNUMBER('Raw data'!X80),'Raw data'!X80*100,""))</f>
        <v>4</v>
      </c>
      <c r="L80" s="42" t="n">
        <f aca="false">IF($A80="","",IF('Raw data'!Z80&lt;&gt;"",'Raw data'!Z80*100,IF(AND(N('Raw data'!J80)&gt;0,'Raw data'!U80&lt;&gt;""),'Raw data'!U80*(1+N('Raw data'!W80))/('Raw data'!J80*(1+N('Raw data'!L80)))*100,"")))</f>
        <v>16.3590190672911</v>
      </c>
      <c r="M80" s="42" t="n">
        <f aca="false">IF($A80="","",IF('Raw data'!Y80&lt;&gt;"",'Raw data'!Y80*100,IF(AND(N('Raw data'!J80)&gt;0,'Raw data'!U80&lt;&gt;""),'Raw data'!U80/'Raw data'!J80*100,"")))</f>
        <v>16.1832061068702</v>
      </c>
      <c r="N80" s="43" t="n">
        <f aca="false">IF($A80="","",IF(ISNUMBER('Raw data'!AA80),'Raw data'!AA80,""))</f>
        <v>4</v>
      </c>
      <c r="O80" s="43" t="n">
        <f aca="false">IF($A80="","",IF(ISNUMBER('Raw data'!AB80),'Raw data'!AB80,""))</f>
        <v>3</v>
      </c>
      <c r="P80" s="43" t="n">
        <f aca="false">IF($A80="","",IF(ISNUMBER('Raw data'!AC80),'Raw data'!AC80,""))</f>
        <v>4</v>
      </c>
      <c r="Q80" s="43" t="n">
        <f aca="false">IF($A80="","",IF(ISNUMBER('Raw data'!AD80),'Raw data'!AD80,""))</f>
        <v>4</v>
      </c>
      <c r="R80" s="43" t="n">
        <f aca="false">IF($A80="","",IF(ISNUMBER('Raw data'!N80),'Raw data'!N80*100,""))</f>
        <v>77.4944720723876</v>
      </c>
      <c r="S80" s="42" t="n">
        <f aca="false">IF($A80="","",IF(ISNUMBER('Raw data'!O80),'Raw data'!O80*100,""))</f>
        <v>2.80821798617414</v>
      </c>
      <c r="T80" s="42" t="n">
        <f aca="false">IF($A80="","",IF(ISNUMBER('Raw data'!P80),'Raw data'!P80*100,""))</f>
        <v>1.76184277578997</v>
      </c>
      <c r="U80" s="42" t="n">
        <f aca="false">IF($A80="","",IF(ISNUMBER('Raw data'!Q80),'Raw data'!Q80*100,""))</f>
        <v>1.92596423783837</v>
      </c>
      <c r="V80" s="42" t="n">
        <f aca="false">IF($A80="","",IF(ISNUMBER('Raw data'!R80),'Raw data'!R80*100,""))</f>
        <v>-11.1514335254401</v>
      </c>
      <c r="W80" s="42" t="n">
        <f aca="false">IF($A80="","",IF(ISNUMBER('Raw data'!S80),'Raw data'!S80*100,""))</f>
        <v>-4.24858854297232</v>
      </c>
      <c r="X80" s="42" t="n">
        <f aca="false">IF($A80="","",IF(ISNUMBER('Raw data'!T80),'Raw data'!T80*100,""))</f>
        <v>1.88654098880188</v>
      </c>
      <c r="Y80" s="37" t="str">
        <f aca="false">IF($A80="","",IF('Raw data'!D80="","",'Raw data'!D80))</f>
        <v>Sanitary</v>
      </c>
      <c r="Z80" s="38" t="n">
        <f aca="false">IF($A80="","",IF(ISNUMBER('Raw data'!F80),'Raw data'!F80,""))</f>
        <v>47504.24</v>
      </c>
      <c r="AA80" s="38" t="n">
        <f aca="false">IF($A80="","",IF(ISNUMBER('Raw data'!G80),'Raw data'!G80,""))</f>
        <v>224</v>
      </c>
      <c r="AB80" s="42" t="n">
        <f aca="false">IF($A80="","",IF(ISNUMBER('Raw data'!H80),'Raw data'!H80*100,IF(ISNUMBER('Raw data'!K80),'Raw data'!K80*100,"")))</f>
        <v>-1.54949361668216</v>
      </c>
      <c r="AC80" s="42" t="n">
        <f aca="false">IF($A80="","",IF(ISNUMBER('Raw data'!I80),'Raw data'!I80*100,IF(ISNUMBER('Raw data'!M80),'Raw data'!M80*100,"")))</f>
        <v>1.91750853803925</v>
      </c>
      <c r="AD80" s="44" t="n">
        <f aca="false">IF($A80="","",IF(AND(ISNUMBER('Raw data'!N80),ISNUMBER('Raw data'!L80),ISNUMBER('Raw data'!P80),ISNUMBER('Raw data'!S80)),ROUND(('Raw data'!N80*'Raw data'!P80+(1-'Raw data'!N80)*'Raw data'!S80-'Raw data'!L80)*100,1),""))</f>
        <v>0</v>
      </c>
    </row>
    <row r="81" customFormat="false" ht="15" hidden="false" customHeight="false" outlineLevel="0" collapsed="false">
      <c r="A81" s="37" t="str">
        <f aca="false">IF(TRIM('Raw data'!A81)="","",TRIM('Raw data'!A81))</f>
        <v>France</v>
      </c>
      <c r="B81" s="37" t="str">
        <f aca="false">IF($A81="","",IF('Raw data'!B81="",UPPER(LEFT($A81,3)),'Raw data'!B81))</f>
        <v>FR</v>
      </c>
      <c r="C81" s="37" t="str">
        <f aca="false">IF($A81="","",'Raw data'!C81)</f>
        <v>Commercial</v>
      </c>
      <c r="D81" s="38" t="n">
        <f aca="false">IF(OR($A81="",'Raw data'!J81=""),"",'Raw data'!J81)</f>
        <v>492</v>
      </c>
      <c r="E81" s="38" t="n">
        <f aca="false">IF(OR($A81="",'Raw data'!U81=""),"",'Raw data'!U81)</f>
        <v>82.7</v>
      </c>
      <c r="F81" s="42" t="n">
        <f aca="false">IF($A81="","",IF(ISNUMBER('Raw data'!K81),'Raw data'!K81*100,""))</f>
        <v>0.737970337835248</v>
      </c>
      <c r="G81" s="42" t="n">
        <f aca="false">IF($A81="","",IF(ISNUMBER('Raw data'!L81),'Raw data'!L81*100,""))</f>
        <v>1.04207784260486</v>
      </c>
      <c r="H81" s="42" t="n">
        <f aca="false">IF($A81="","",IF(ISNUMBER('Raw data'!M81),'Raw data'!M81*100,""))</f>
        <v>1.21628290255464</v>
      </c>
      <c r="I81" s="42" t="n">
        <f aca="false">IF($A81="","",IF(ISNUMBER('Raw data'!V81),'Raw data'!V81*100,""))</f>
        <v>4.5</v>
      </c>
      <c r="J81" s="42" t="n">
        <f aca="false">IF($A81="","",IF(ISNUMBER('Raw data'!W81),'Raw data'!W81*100,""))</f>
        <v>1.5</v>
      </c>
      <c r="K81" s="42" t="n">
        <f aca="false">IF($A81="","",IF(ISNUMBER('Raw data'!X81),'Raw data'!X81*100,""))</f>
        <v>4</v>
      </c>
      <c r="L81" s="42" t="n">
        <f aca="false">IF($A81="","",IF('Raw data'!Z81&lt;&gt;"",'Raw data'!Z81*100,IF(AND(N('Raw data'!J81)&gt;0,'Raw data'!U81&lt;&gt;""),'Raw data'!U81*(1+N('Raw data'!W81))/('Raw data'!J81*(1+N('Raw data'!L81)))*100,"")))</f>
        <v>16.8851211297819</v>
      </c>
      <c r="M81" s="42" t="n">
        <f aca="false">IF($A81="","",IF('Raw data'!Y81&lt;&gt;"",'Raw data'!Y81*100,IF(AND(N('Raw data'!J81)&gt;0,'Raw data'!U81&lt;&gt;""),'Raw data'!U81/'Raw data'!J81*100,"")))</f>
        <v>16.8089430894309</v>
      </c>
      <c r="N81" s="43" t="n">
        <f aca="false">IF($A81="","",IF(ISNUMBER('Raw data'!AA81),'Raw data'!AA81,""))</f>
        <v>4</v>
      </c>
      <c r="O81" s="43" t="n">
        <f aca="false">IF($A81="","",IF(ISNUMBER('Raw data'!AB81),'Raw data'!AB81,""))</f>
        <v>3</v>
      </c>
      <c r="P81" s="43" t="n">
        <f aca="false">IF($A81="","",IF(ISNUMBER('Raw data'!AC81),'Raw data'!AC81,""))</f>
        <v>4</v>
      </c>
      <c r="Q81" s="43" t="n">
        <f aca="false">IF($A81="","",IF(ISNUMBER('Raw data'!AD81),'Raw data'!AD81,""))</f>
        <v>4</v>
      </c>
      <c r="R81" s="43" t="n">
        <f aca="false">IF($A81="","",IF(ISNUMBER('Raw data'!N81),'Raw data'!N81*100,""))</f>
        <v>63.4343436951553</v>
      </c>
      <c r="S81" s="42" t="n">
        <f aca="false">IF($A81="","",IF(ISNUMBER('Raw data'!O81),'Raw data'!O81*100,""))</f>
        <v>4.45764611895643</v>
      </c>
      <c r="T81" s="42" t="n">
        <f aca="false">IF($A81="","",IF(ISNUMBER('Raw data'!P81),'Raw data'!P81*100,""))</f>
        <v>1.64129049590125</v>
      </c>
      <c r="U81" s="42" t="n">
        <f aca="false">IF($A81="","",IF(ISNUMBER('Raw data'!Q81),'Raw data'!Q81*100,""))</f>
        <v>1.68941707468939</v>
      </c>
      <c r="V81" s="42" t="n">
        <f aca="false">IF($A81="","",IF(ISNUMBER('Raw data'!R81),'Raw data'!R81*100,""))</f>
        <v>-4.22906958929223</v>
      </c>
      <c r="W81" s="42" t="n">
        <f aca="false">IF($A81="","",IF(ISNUMBER('Raw data'!S81),'Raw data'!S81*100,""))</f>
        <v>0.00255974729705954</v>
      </c>
      <c r="X81" s="42" t="n">
        <f aca="false">IF($A81="","",IF(ISNUMBER('Raw data'!T81),'Raw data'!T81*100,""))</f>
        <v>0.359828535973383</v>
      </c>
      <c r="Y81" s="37" t="str">
        <f aca="false">IF($A81="","",IF('Raw data'!D81="","",'Raw data'!D81))</f>
        <v>Heating</v>
      </c>
      <c r="Z81" s="38" t="n">
        <f aca="false">IF($A81="","",IF(ISNUMBER('Raw data'!F81),'Raw data'!F81,""))</f>
        <v>92949.87</v>
      </c>
      <c r="AA81" s="38" t="n">
        <f aca="false">IF($A81="","",IF(ISNUMBER('Raw data'!G81),'Raw data'!G81,""))</f>
        <v>688</v>
      </c>
      <c r="AB81" s="42" t="n">
        <f aca="false">IF($A81="","",IF(ISNUMBER('Raw data'!H81),'Raw data'!H81*100,IF(ISNUMBER('Raw data'!K81),'Raw data'!K81*100,"")))</f>
        <v>0.737970337835248</v>
      </c>
      <c r="AC81" s="42" t="n">
        <f aca="false">IF($A81="","",IF(ISNUMBER('Raw data'!I81),'Raw data'!I81*100,IF(ISNUMBER('Raw data'!M81),'Raw data'!M81*100,"")))</f>
        <v>1.21628290255464</v>
      </c>
      <c r="AD81" s="44" t="n">
        <f aca="false">IF($A81="","",IF(AND(ISNUMBER('Raw data'!N81),ISNUMBER('Raw data'!L81),ISNUMBER('Raw data'!P81),ISNUMBER('Raw data'!S81)),ROUND(('Raw data'!N81*'Raw data'!P81+(1-'Raw data'!N81)*'Raw data'!S81-'Raw data'!L81)*100,1),""))</f>
        <v>-0</v>
      </c>
    </row>
    <row r="82" customFormat="false" ht="15" hidden="false" customHeight="false" outlineLevel="0" collapsed="false">
      <c r="A82" s="37" t="str">
        <f aca="false">IF(TRIM('Raw data'!A82)="","",TRIM('Raw data'!A82))</f>
        <v>France</v>
      </c>
      <c r="B82" s="37" t="str">
        <f aca="false">IF($A82="","",IF('Raw data'!B82="",UPPER(LEFT($A82,3)),'Raw data'!B82))</f>
        <v>FR</v>
      </c>
      <c r="C82" s="37" t="str">
        <f aca="false">IF($A82="","",'Raw data'!C82)</f>
        <v>Commercial</v>
      </c>
      <c r="D82" s="38" t="n">
        <f aca="false">IF(OR($A82="",'Raw data'!J82=""),"",'Raw data'!J82)</f>
        <v>277</v>
      </c>
      <c r="E82" s="38" t="n">
        <f aca="false">IF(OR($A82="",'Raw data'!U82=""),"",'Raw data'!U82)</f>
        <v>23.3</v>
      </c>
      <c r="F82" s="42" t="n">
        <f aca="false">IF($A82="","",IF(ISNUMBER('Raw data'!K82),'Raw data'!K82*100,""))</f>
        <v>0.737970337835248</v>
      </c>
      <c r="G82" s="42" t="n">
        <f aca="false">IF($A82="","",IF(ISNUMBER('Raw data'!L82),'Raw data'!L82*100,""))</f>
        <v>1.04207784260486</v>
      </c>
      <c r="H82" s="42" t="n">
        <f aca="false">IF($A82="","",IF(ISNUMBER('Raw data'!M82),'Raw data'!M82*100,""))</f>
        <v>1.21628290255464</v>
      </c>
      <c r="I82" s="42" t="n">
        <f aca="false">IF($A82="","",IF(ISNUMBER('Raw data'!V82),'Raw data'!V82*100,""))</f>
        <v>6</v>
      </c>
      <c r="J82" s="42" t="n">
        <f aca="false">IF($A82="","",IF(ISNUMBER('Raw data'!W82),'Raw data'!W82*100,""))</f>
        <v>3</v>
      </c>
      <c r="K82" s="42" t="n">
        <f aca="false">IF($A82="","",IF(ISNUMBER('Raw data'!X82),'Raw data'!X82*100,""))</f>
        <v>5.5</v>
      </c>
      <c r="L82" s="42" t="n">
        <f aca="false">IF($A82="","",IF('Raw data'!Z82&lt;&gt;"",'Raw data'!Z82*100,IF(AND(N('Raw data'!J82)&gt;0,'Raw data'!U82&lt;&gt;""),'Raw data'!U82*(1+N('Raw data'!W82))/('Raw data'!J82*(1+N('Raw data'!L82)))*100,"")))</f>
        <v>8.57454547843269</v>
      </c>
      <c r="M82" s="42" t="n">
        <f aca="false">IF($A82="","",IF('Raw data'!Y82&lt;&gt;"",'Raw data'!Y82*100,IF(AND(N('Raw data'!J82)&gt;0,'Raw data'!U82&lt;&gt;""),'Raw data'!U82/'Raw data'!J82*100,"")))</f>
        <v>8.4115523465704</v>
      </c>
      <c r="N82" s="43" t="n">
        <f aca="false">IF($A82="","",IF(ISNUMBER('Raw data'!AA82),'Raw data'!AA82,""))</f>
        <v>4</v>
      </c>
      <c r="O82" s="43" t="n">
        <f aca="false">IF($A82="","",IF(ISNUMBER('Raw data'!AB82),'Raw data'!AB82,""))</f>
        <v>3</v>
      </c>
      <c r="P82" s="43" t="n">
        <f aca="false">IF($A82="","",IF(ISNUMBER('Raw data'!AC82),'Raw data'!AC82,""))</f>
        <v>4</v>
      </c>
      <c r="Q82" s="43" t="n">
        <f aca="false">IF($A82="","",IF(ISNUMBER('Raw data'!AD82),'Raw data'!AD82,""))</f>
        <v>4</v>
      </c>
      <c r="R82" s="43" t="n">
        <f aca="false">IF($A82="","",IF(ISNUMBER('Raw data'!N82),'Raw data'!N82*100,""))</f>
        <v>63.4343436951553</v>
      </c>
      <c r="S82" s="42" t="n">
        <f aca="false">IF($A82="","",IF(ISNUMBER('Raw data'!O82),'Raw data'!O82*100,""))</f>
        <v>4.45764611895643</v>
      </c>
      <c r="T82" s="42" t="n">
        <f aca="false">IF($A82="","",IF(ISNUMBER('Raw data'!P82),'Raw data'!P82*100,""))</f>
        <v>1.64129049590125</v>
      </c>
      <c r="U82" s="42" t="n">
        <f aca="false">IF($A82="","",IF(ISNUMBER('Raw data'!Q82),'Raw data'!Q82*100,""))</f>
        <v>1.68941707468939</v>
      </c>
      <c r="V82" s="42" t="n">
        <f aca="false">IF($A82="","",IF(ISNUMBER('Raw data'!R82),'Raw data'!R82*100,""))</f>
        <v>-4.22906958929223</v>
      </c>
      <c r="W82" s="42" t="n">
        <f aca="false">IF($A82="","",IF(ISNUMBER('Raw data'!S82),'Raw data'!S82*100,""))</f>
        <v>0.00255974729705954</v>
      </c>
      <c r="X82" s="42" t="n">
        <f aca="false">IF($A82="","",IF(ISNUMBER('Raw data'!T82),'Raw data'!T82*100,""))</f>
        <v>0.359828535973383</v>
      </c>
      <c r="Y82" s="37" t="str">
        <f aca="false">IF($A82="","",IF('Raw data'!D82="","",'Raw data'!D82))</f>
        <v>Cooling</v>
      </c>
      <c r="Z82" s="38" t="n">
        <f aca="false">IF($A82="","",IF(ISNUMBER('Raw data'!F82),'Raw data'!F82,""))</f>
        <v>92949.87</v>
      </c>
      <c r="AA82" s="38" t="n">
        <f aca="false">IF($A82="","",IF(ISNUMBER('Raw data'!G82),'Raw data'!G82,""))</f>
        <v>609</v>
      </c>
      <c r="AB82" s="42" t="n">
        <f aca="false">IF($A82="","",IF(ISNUMBER('Raw data'!H82),'Raw data'!H82*100,IF(ISNUMBER('Raw data'!K82),'Raw data'!K82*100,"")))</f>
        <v>0.737970337835248</v>
      </c>
      <c r="AC82" s="42" t="n">
        <f aca="false">IF($A82="","",IF(ISNUMBER('Raw data'!I82),'Raw data'!I82*100,IF(ISNUMBER('Raw data'!M82),'Raw data'!M82*100,"")))</f>
        <v>1.21628290255464</v>
      </c>
      <c r="AD82" s="44" t="n">
        <f aca="false">IF($A82="","",IF(AND(ISNUMBER('Raw data'!N82),ISNUMBER('Raw data'!L82),ISNUMBER('Raw data'!P82),ISNUMBER('Raw data'!S82)),ROUND(('Raw data'!N82*'Raw data'!P82+(1-'Raw data'!N82)*'Raw data'!S82-'Raw data'!L82)*100,1),""))</f>
        <v>-0</v>
      </c>
    </row>
    <row r="83" customFormat="false" ht="15" hidden="false" customHeight="false" outlineLevel="0" collapsed="false">
      <c r="A83" s="37" t="str">
        <f aca="false">IF(TRIM('Raw data'!A83)="","",TRIM('Raw data'!A83))</f>
        <v>France</v>
      </c>
      <c r="B83" s="37" t="str">
        <f aca="false">IF($A83="","",IF('Raw data'!B83="",UPPER(LEFT($A83,3)),'Raw data'!B83))</f>
        <v>FR</v>
      </c>
      <c r="C83" s="37" t="str">
        <f aca="false">IF($A83="","",'Raw data'!C83)</f>
        <v>Commercial</v>
      </c>
      <c r="D83" s="38" t="n">
        <f aca="false">IF(OR($A83="",'Raw data'!J83=""),"",'Raw data'!J83)</f>
        <v>257</v>
      </c>
      <c r="E83" s="38" t="n">
        <f aca="false">IF(OR($A83="",'Raw data'!U83=""),"",'Raw data'!U83)</f>
        <v>32.4</v>
      </c>
      <c r="F83" s="42" t="n">
        <f aca="false">IF($A83="","",IF(ISNUMBER('Raw data'!K83),'Raw data'!K83*100,""))</f>
        <v>0.737970337835248</v>
      </c>
      <c r="G83" s="42" t="n">
        <f aca="false">IF($A83="","",IF(ISNUMBER('Raw data'!L83),'Raw data'!L83*100,""))</f>
        <v>1.04207784260486</v>
      </c>
      <c r="H83" s="42" t="n">
        <f aca="false">IF($A83="","",IF(ISNUMBER('Raw data'!M83),'Raw data'!M83*100,""))</f>
        <v>1.21628290255464</v>
      </c>
      <c r="I83" s="42" t="n">
        <f aca="false">IF($A83="","",IF(ISNUMBER('Raw data'!V83),'Raw data'!V83*100,""))</f>
        <v>5</v>
      </c>
      <c r="J83" s="42" t="n">
        <f aca="false">IF($A83="","",IF(ISNUMBER('Raw data'!W83),'Raw data'!W83*100,""))</f>
        <v>2</v>
      </c>
      <c r="K83" s="42" t="n">
        <f aca="false">IF($A83="","",IF(ISNUMBER('Raw data'!X83),'Raw data'!X83*100,""))</f>
        <v>4.5</v>
      </c>
      <c r="L83" s="42" t="n">
        <f aca="false">IF($A83="","",IF('Raw data'!Z83&lt;&gt;"",'Raw data'!Z83*100,IF(AND(N('Raw data'!J83)&gt;0,'Raw data'!U83&lt;&gt;""),'Raw data'!U83*(1+N('Raw data'!W83))/('Raw data'!J83*(1+N('Raw data'!L83)))*100,"")))</f>
        <v>12.7265236854121</v>
      </c>
      <c r="M83" s="42" t="n">
        <f aca="false">IF($A83="","",IF('Raw data'!Y83&lt;&gt;"",'Raw data'!Y83*100,IF(AND(N('Raw data'!J83)&gt;0,'Raw data'!U83&lt;&gt;""),'Raw data'!U83/'Raw data'!J83*100,"")))</f>
        <v>12.6070038910506</v>
      </c>
      <c r="N83" s="43" t="n">
        <f aca="false">IF($A83="","",IF(ISNUMBER('Raw data'!AA83),'Raw data'!AA83,""))</f>
        <v>4</v>
      </c>
      <c r="O83" s="43" t="n">
        <f aca="false">IF($A83="","",IF(ISNUMBER('Raw data'!AB83),'Raw data'!AB83,""))</f>
        <v>3</v>
      </c>
      <c r="P83" s="43" t="n">
        <f aca="false">IF($A83="","",IF(ISNUMBER('Raw data'!AC83),'Raw data'!AC83,""))</f>
        <v>4</v>
      </c>
      <c r="Q83" s="43" t="n">
        <f aca="false">IF($A83="","",IF(ISNUMBER('Raw data'!AD83),'Raw data'!AD83,""))</f>
        <v>4</v>
      </c>
      <c r="R83" s="43" t="n">
        <f aca="false">IF($A83="","",IF(ISNUMBER('Raw data'!N83),'Raw data'!N83*100,""))</f>
        <v>63.4343436951553</v>
      </c>
      <c r="S83" s="42" t="n">
        <f aca="false">IF($A83="","",IF(ISNUMBER('Raw data'!O83),'Raw data'!O83*100,""))</f>
        <v>4.45764611895643</v>
      </c>
      <c r="T83" s="42" t="n">
        <f aca="false">IF($A83="","",IF(ISNUMBER('Raw data'!P83),'Raw data'!P83*100,""))</f>
        <v>1.64129049590125</v>
      </c>
      <c r="U83" s="42" t="n">
        <f aca="false">IF($A83="","",IF(ISNUMBER('Raw data'!Q83),'Raw data'!Q83*100,""))</f>
        <v>1.68941707468939</v>
      </c>
      <c r="V83" s="42" t="n">
        <f aca="false">IF($A83="","",IF(ISNUMBER('Raw data'!R83),'Raw data'!R83*100,""))</f>
        <v>-4.22906958929223</v>
      </c>
      <c r="W83" s="42" t="n">
        <f aca="false">IF($A83="","",IF(ISNUMBER('Raw data'!S83),'Raw data'!S83*100,""))</f>
        <v>0.00255974729705954</v>
      </c>
      <c r="X83" s="42" t="n">
        <f aca="false">IF($A83="","",IF(ISNUMBER('Raw data'!T83),'Raw data'!T83*100,""))</f>
        <v>0.359828535973383</v>
      </c>
      <c r="Y83" s="37" t="str">
        <f aca="false">IF($A83="","",IF('Raw data'!D83="","",'Raw data'!D83))</f>
        <v>Sanitary</v>
      </c>
      <c r="Z83" s="38" t="n">
        <f aca="false">IF($A83="","",IF(ISNUMBER('Raw data'!F83),'Raw data'!F83,""))</f>
        <v>92949.87</v>
      </c>
      <c r="AA83" s="38" t="n">
        <f aca="false">IF($A83="","",IF(ISNUMBER('Raw data'!G83),'Raw data'!G83,""))</f>
        <v>439</v>
      </c>
      <c r="AB83" s="42" t="n">
        <f aca="false">IF($A83="","",IF(ISNUMBER('Raw data'!H83),'Raw data'!H83*100,IF(ISNUMBER('Raw data'!K83),'Raw data'!K83*100,"")))</f>
        <v>0.737970337835248</v>
      </c>
      <c r="AC83" s="42" t="n">
        <f aca="false">IF($A83="","",IF(ISNUMBER('Raw data'!I83),'Raw data'!I83*100,IF(ISNUMBER('Raw data'!M83),'Raw data'!M83*100,"")))</f>
        <v>1.21628290255464</v>
      </c>
      <c r="AD83" s="44" t="n">
        <f aca="false">IF($A83="","",IF(AND(ISNUMBER('Raw data'!N83),ISNUMBER('Raw data'!L83),ISNUMBER('Raw data'!P83),ISNUMBER('Raw data'!S83)),ROUND(('Raw data'!N83*'Raw data'!P83+(1-'Raw data'!N83)*'Raw data'!S83-'Raw data'!L83)*100,1),""))</f>
        <v>-0</v>
      </c>
    </row>
    <row r="84" customFormat="false" ht="15" hidden="false" customHeight="false" outlineLevel="0" collapsed="false">
      <c r="A84" s="37" t="str">
        <f aca="false">IF(TRIM('Raw data'!A84)="","",TRIM('Raw data'!A84))</f>
        <v>Italy</v>
      </c>
      <c r="B84" s="37" t="str">
        <f aca="false">IF($A84="","",IF('Raw data'!B84="",UPPER(LEFT($A84,3)),'Raw data'!B84))</f>
        <v>IT</v>
      </c>
      <c r="C84" s="37" t="str">
        <f aca="false">IF($A84="","",'Raw data'!C84)</f>
        <v>Residential</v>
      </c>
      <c r="D84" s="38" t="n">
        <f aca="false">IF(OR($A84="",'Raw data'!J84=""),"",'Raw data'!J84)</f>
        <v>121</v>
      </c>
      <c r="E84" s="38" t="n">
        <f aca="false">IF(OR($A84="",'Raw data'!U84=""),"",'Raw data'!U84)</f>
        <v>16</v>
      </c>
      <c r="F84" s="42" t="n">
        <f aca="false">IF($A84="","",IF(ISNUMBER('Raw data'!K84),'Raw data'!K84*100,""))</f>
        <v>10.5067721311887</v>
      </c>
      <c r="G84" s="42" t="n">
        <f aca="false">IF($A84="","",IF(ISNUMBER('Raw data'!L84),'Raw data'!L84*100,""))</f>
        <v>-2.82235040706802</v>
      </c>
      <c r="H84" s="42" t="n">
        <f aca="false">IF($A84="","",IF(ISNUMBER('Raw data'!M84),'Raw data'!M84*100,""))</f>
        <v>-2.23924451401707</v>
      </c>
      <c r="I84" s="42" t="n">
        <f aca="false">IF($A84="","",IF(ISNUMBER('Raw data'!V84),'Raw data'!V84*100,""))</f>
        <v>3</v>
      </c>
      <c r="J84" s="42" t="n">
        <f aca="false">IF($A84="","",IF(ISNUMBER('Raw data'!W84),'Raw data'!W84*100,""))</f>
        <v>-3</v>
      </c>
      <c r="K84" s="42" t="n">
        <f aca="false">IF($A84="","",IF(ISNUMBER('Raw data'!X84),'Raw data'!X84*100,""))</f>
        <v>2</v>
      </c>
      <c r="L84" s="42" t="n">
        <f aca="false">IF($A84="","",IF('Raw data'!Z84&lt;&gt;"",'Raw data'!Z84*100,IF(AND(N('Raw data'!J84)&gt;0,'Raw data'!U84&lt;&gt;""),'Raw data'!U84*(1+N('Raw data'!W84))/('Raw data'!J84*(1+N('Raw data'!L84)))*100,"")))</f>
        <v>13.1989673908769</v>
      </c>
      <c r="M84" s="42" t="n">
        <f aca="false">IF($A84="","",IF('Raw data'!Y84&lt;&gt;"",'Raw data'!Y84*100,IF(AND(N('Raw data'!J84)&gt;0,'Raw data'!U84&lt;&gt;""),'Raw data'!U84/'Raw data'!J84*100,"")))</f>
        <v>13.2231404958678</v>
      </c>
      <c r="N84" s="43" t="n">
        <f aca="false">IF($A84="","",IF(ISNUMBER('Raw data'!AA84),'Raw data'!AA84,""))</f>
        <v>3</v>
      </c>
      <c r="O84" s="43" t="n">
        <f aca="false">IF($A84="","",IF(ISNUMBER('Raw data'!AB84),'Raw data'!AB84,""))</f>
        <v>3</v>
      </c>
      <c r="P84" s="43" t="n">
        <f aca="false">IF($A84="","",IF(ISNUMBER('Raw data'!AC84),'Raw data'!AC84,""))</f>
        <v>4</v>
      </c>
      <c r="Q84" s="43" t="n">
        <f aca="false">IF($A84="","",IF(ISNUMBER('Raw data'!AD84),'Raw data'!AD84,""))</f>
        <v>3</v>
      </c>
      <c r="R84" s="43" t="n">
        <f aca="false">IF($A84="","",IF(ISNUMBER('Raw data'!N84),'Raw data'!N84*100,""))</f>
        <v>79.1549048957687</v>
      </c>
      <c r="S84" s="42" t="n">
        <f aca="false">IF($A84="","",IF(ISNUMBER('Raw data'!O84),'Raw data'!O84*100,""))</f>
        <v>10.7577956686453</v>
      </c>
      <c r="T84" s="42" t="n">
        <f aca="false">IF($A84="","",IF(ISNUMBER('Raw data'!P84),'Raw data'!P84*100,""))</f>
        <v>-4.14001546031331</v>
      </c>
      <c r="U84" s="42" t="n">
        <f aca="false">IF($A84="","",IF(ISNUMBER('Raw data'!Q84),'Raw data'!Q84*100,""))</f>
        <v>-1.26639827652932</v>
      </c>
      <c r="V84" s="42" t="n">
        <f aca="false">IF($A84="","",IF(ISNUMBER('Raw data'!R84),'Raw data'!R84*100,""))</f>
        <v>9.58361832028132</v>
      </c>
      <c r="W84" s="42" t="n">
        <f aca="false">IF($A84="","",IF(ISNUMBER('Raw data'!S84),'Raw data'!S84*100,""))</f>
        <v>2.18120805369129</v>
      </c>
      <c r="X84" s="42" t="n">
        <f aca="false">IF($A84="","",IF(ISNUMBER('Raw data'!T84),'Raw data'!T84*100,""))</f>
        <v>-6.06206801980648</v>
      </c>
      <c r="Y84" s="37" t="str">
        <f aca="false">IF($A84="","",IF('Raw data'!D84="","",'Raw data'!D84))</f>
        <v>Heating</v>
      </c>
      <c r="Z84" s="38" t="n">
        <f aca="false">IF($A84="","",IF(ISNUMBER('Raw data'!F84),'Raw data'!F84,""))</f>
        <v>27391</v>
      </c>
      <c r="AA84" s="38" t="n">
        <f aca="false">IF($A84="","",IF(ISNUMBER('Raw data'!G84),'Raw data'!G84,""))</f>
        <v>200</v>
      </c>
      <c r="AB84" s="42" t="n">
        <f aca="false">IF($A84="","",IF(ISNUMBER('Raw data'!H84),'Raw data'!H84*100,IF(ISNUMBER('Raw data'!K84),'Raw data'!K84*100,"")))</f>
        <v>10.5067721311887</v>
      </c>
      <c r="AC84" s="42" t="n">
        <f aca="false">IF($A84="","",IF(ISNUMBER('Raw data'!I84),'Raw data'!I84*100,IF(ISNUMBER('Raw data'!M84),'Raw data'!M84*100,"")))</f>
        <v>-2.23924451401707</v>
      </c>
      <c r="AD84" s="44" t="n">
        <f aca="false">IF($A84="","",IF(AND(ISNUMBER('Raw data'!N84),ISNUMBER('Raw data'!L84),ISNUMBER('Raw data'!P84),ISNUMBER('Raw data'!S84)),ROUND(('Raw data'!N84*'Raw data'!P84+(1-'Raw data'!N84)*'Raw data'!S84-'Raw data'!L84)*100,1),""))</f>
        <v>0</v>
      </c>
    </row>
    <row r="85" customFormat="false" ht="15" hidden="false" customHeight="false" outlineLevel="0" collapsed="false">
      <c r="A85" s="37" t="str">
        <f aca="false">IF(TRIM('Raw data'!A85)="","",TRIM('Raw data'!A85))</f>
        <v>Italy</v>
      </c>
      <c r="B85" s="37" t="str">
        <f aca="false">IF($A85="","",IF('Raw data'!B85="",UPPER(LEFT($A85,3)),'Raw data'!B85))</f>
        <v>IT</v>
      </c>
      <c r="C85" s="37" t="str">
        <f aca="false">IF($A85="","",'Raw data'!C85)</f>
        <v>Residential</v>
      </c>
      <c r="D85" s="38" t="n">
        <f aca="false">IF(OR($A85="",'Raw data'!J85=""),"",'Raw data'!J85)</f>
        <v>106</v>
      </c>
      <c r="E85" s="38" t="n">
        <f aca="false">IF(OR($A85="",'Raw data'!U85=""),"",'Raw data'!U85)</f>
        <v>7</v>
      </c>
      <c r="F85" s="42" t="n">
        <f aca="false">IF($A85="","",IF(ISNUMBER('Raw data'!K85),'Raw data'!K85*100,""))</f>
        <v>10.5067721311887</v>
      </c>
      <c r="G85" s="42" t="n">
        <f aca="false">IF($A85="","",IF(ISNUMBER('Raw data'!L85),'Raw data'!L85*100,""))</f>
        <v>-2.82235040706802</v>
      </c>
      <c r="H85" s="42" t="n">
        <f aca="false">IF($A85="","",IF(ISNUMBER('Raw data'!M85),'Raw data'!M85*100,""))</f>
        <v>-2.23924451401707</v>
      </c>
      <c r="I85" s="42" t="n">
        <f aca="false">IF($A85="","",IF(ISNUMBER('Raw data'!V85),'Raw data'!V85*100,""))</f>
        <v>4.5</v>
      </c>
      <c r="J85" s="42" t="n">
        <f aca="false">IF($A85="","",IF(ISNUMBER('Raw data'!W85),'Raw data'!W85*100,""))</f>
        <v>-1.5</v>
      </c>
      <c r="K85" s="42" t="n">
        <f aca="false">IF($A85="","",IF(ISNUMBER('Raw data'!X85),'Raw data'!X85*100,""))</f>
        <v>3.5</v>
      </c>
      <c r="L85" s="42" t="n">
        <f aca="false">IF($A85="","",IF('Raw data'!Z85&lt;&gt;"",'Raw data'!Z85*100,IF(AND(N('Raw data'!J85)&gt;0,'Raw data'!U85&lt;&gt;""),'Raw data'!U85*(1+N('Raw data'!W85))/('Raw data'!J85*(1+N('Raw data'!L85)))*100,"")))</f>
        <v>6.69363481045253</v>
      </c>
      <c r="M85" s="42" t="n">
        <f aca="false">IF($A85="","",IF('Raw data'!Y85&lt;&gt;"",'Raw data'!Y85*100,IF(AND(N('Raw data'!J85)&gt;0,'Raw data'!U85&lt;&gt;""),'Raw data'!U85/'Raw data'!J85*100,"")))</f>
        <v>6.60377358490566</v>
      </c>
      <c r="N85" s="43" t="n">
        <f aca="false">IF($A85="","",IF(ISNUMBER('Raw data'!AA85),'Raw data'!AA85,""))</f>
        <v>3</v>
      </c>
      <c r="O85" s="43" t="n">
        <f aca="false">IF($A85="","",IF(ISNUMBER('Raw data'!AB85),'Raw data'!AB85,""))</f>
        <v>3</v>
      </c>
      <c r="P85" s="43" t="n">
        <f aca="false">IF($A85="","",IF(ISNUMBER('Raw data'!AC85),'Raw data'!AC85,""))</f>
        <v>4</v>
      </c>
      <c r="Q85" s="43" t="n">
        <f aca="false">IF($A85="","",IF(ISNUMBER('Raw data'!AD85),'Raw data'!AD85,""))</f>
        <v>3</v>
      </c>
      <c r="R85" s="43" t="n">
        <f aca="false">IF($A85="","",IF(ISNUMBER('Raw data'!N85),'Raw data'!N85*100,""))</f>
        <v>79.1549048957687</v>
      </c>
      <c r="S85" s="42" t="n">
        <f aca="false">IF($A85="","",IF(ISNUMBER('Raw data'!O85),'Raw data'!O85*100,""))</f>
        <v>10.7577956686453</v>
      </c>
      <c r="T85" s="42" t="n">
        <f aca="false">IF($A85="","",IF(ISNUMBER('Raw data'!P85),'Raw data'!P85*100,""))</f>
        <v>-4.14001546031331</v>
      </c>
      <c r="U85" s="42" t="n">
        <f aca="false">IF($A85="","",IF(ISNUMBER('Raw data'!Q85),'Raw data'!Q85*100,""))</f>
        <v>-1.26639827652932</v>
      </c>
      <c r="V85" s="42" t="n">
        <f aca="false">IF($A85="","",IF(ISNUMBER('Raw data'!R85),'Raw data'!R85*100,""))</f>
        <v>9.58361832028132</v>
      </c>
      <c r="W85" s="42" t="n">
        <f aca="false">IF($A85="","",IF(ISNUMBER('Raw data'!S85),'Raw data'!S85*100,""))</f>
        <v>2.18120805369129</v>
      </c>
      <c r="X85" s="42" t="n">
        <f aca="false">IF($A85="","",IF(ISNUMBER('Raw data'!T85),'Raw data'!T85*100,""))</f>
        <v>-6.06206801980648</v>
      </c>
      <c r="Y85" s="37" t="str">
        <f aca="false">IF($A85="","",IF('Raw data'!D85="","",'Raw data'!D85))</f>
        <v>Cooling</v>
      </c>
      <c r="Z85" s="38" t="n">
        <f aca="false">IF($A85="","",IF(ISNUMBER('Raw data'!F85),'Raw data'!F85,""))</f>
        <v>27391</v>
      </c>
      <c r="AA85" s="38" t="n">
        <f aca="false">IF($A85="","",IF(ISNUMBER('Raw data'!G85),'Raw data'!G85,""))</f>
        <v>275</v>
      </c>
      <c r="AB85" s="42" t="n">
        <f aca="false">IF($A85="","",IF(ISNUMBER('Raw data'!H85),'Raw data'!H85*100,IF(ISNUMBER('Raw data'!K85),'Raw data'!K85*100,"")))</f>
        <v>10.5067721311887</v>
      </c>
      <c r="AC85" s="42" t="n">
        <f aca="false">IF($A85="","",IF(ISNUMBER('Raw data'!I85),'Raw data'!I85*100,IF(ISNUMBER('Raw data'!M85),'Raw data'!M85*100,"")))</f>
        <v>-2.23924451401707</v>
      </c>
      <c r="AD85" s="44" t="n">
        <f aca="false">IF($A85="","",IF(AND(ISNUMBER('Raw data'!N85),ISNUMBER('Raw data'!L85),ISNUMBER('Raw data'!P85),ISNUMBER('Raw data'!S85)),ROUND(('Raw data'!N85*'Raw data'!P85+(1-'Raw data'!N85)*'Raw data'!S85-'Raw data'!L85)*100,1),""))</f>
        <v>0</v>
      </c>
    </row>
    <row r="86" customFormat="false" ht="15" hidden="false" customHeight="false" outlineLevel="0" collapsed="false">
      <c r="A86" s="37" t="str">
        <f aca="false">IF(TRIM('Raw data'!A86)="","",TRIM('Raw data'!A86))</f>
        <v>Italy</v>
      </c>
      <c r="B86" s="37" t="str">
        <f aca="false">IF($A86="","",IF('Raw data'!B86="",UPPER(LEFT($A86,3)),'Raw data'!B86))</f>
        <v>IT</v>
      </c>
      <c r="C86" s="37" t="str">
        <f aca="false">IF($A86="","",'Raw data'!C86)</f>
        <v>Residential</v>
      </c>
      <c r="D86" s="38" t="n">
        <f aca="false">IF(OR($A86="",'Raw data'!J86=""),"",'Raw data'!J86)</f>
        <v>75</v>
      </c>
      <c r="E86" s="38" t="n">
        <f aca="false">IF(OR($A86="",'Raw data'!U86=""),"",'Raw data'!U86)</f>
        <v>7.4</v>
      </c>
      <c r="F86" s="42" t="n">
        <f aca="false">IF($A86="","",IF(ISNUMBER('Raw data'!K86),'Raw data'!K86*100,""))</f>
        <v>10.5067721311887</v>
      </c>
      <c r="G86" s="42" t="n">
        <f aca="false">IF($A86="","",IF(ISNUMBER('Raw data'!L86),'Raw data'!L86*100,""))</f>
        <v>-2.82235040706802</v>
      </c>
      <c r="H86" s="42" t="n">
        <f aca="false">IF($A86="","",IF(ISNUMBER('Raw data'!M86),'Raw data'!M86*100,""))</f>
        <v>-2.23924451401707</v>
      </c>
      <c r="I86" s="42" t="n">
        <f aca="false">IF($A86="","",IF(ISNUMBER('Raw data'!V86),'Raw data'!V86*100,""))</f>
        <v>3.5</v>
      </c>
      <c r="J86" s="42" t="n">
        <f aca="false">IF($A86="","",IF(ISNUMBER('Raw data'!W86),'Raw data'!W86*100,""))</f>
        <v>-2.5</v>
      </c>
      <c r="K86" s="42" t="n">
        <f aca="false">IF($A86="","",IF(ISNUMBER('Raw data'!X86),'Raw data'!X86*100,""))</f>
        <v>2.5</v>
      </c>
      <c r="L86" s="42" t="n">
        <f aca="false">IF($A86="","",IF('Raw data'!Z86&lt;&gt;"",'Raw data'!Z86*100,IF(AND(N('Raw data'!J86)&gt;0,'Raw data'!U86&lt;&gt;""),'Raw data'!U86*(1+N('Raw data'!W86))/('Raw data'!J86*(1+N('Raw data'!L86)))*100,"")))</f>
        <v>9.89939563294366</v>
      </c>
      <c r="M86" s="42" t="n">
        <f aca="false">IF($A86="","",IF('Raw data'!Y86&lt;&gt;"",'Raw data'!Y86*100,IF(AND(N('Raw data'!J86)&gt;0,'Raw data'!U86&lt;&gt;""),'Raw data'!U86/'Raw data'!J86*100,"")))</f>
        <v>9.86666666666667</v>
      </c>
      <c r="N86" s="43" t="n">
        <f aca="false">IF($A86="","",IF(ISNUMBER('Raw data'!AA86),'Raw data'!AA86,""))</f>
        <v>3</v>
      </c>
      <c r="O86" s="43" t="n">
        <f aca="false">IF($A86="","",IF(ISNUMBER('Raw data'!AB86),'Raw data'!AB86,""))</f>
        <v>3</v>
      </c>
      <c r="P86" s="43" t="n">
        <f aca="false">IF($A86="","",IF(ISNUMBER('Raw data'!AC86),'Raw data'!AC86,""))</f>
        <v>4</v>
      </c>
      <c r="Q86" s="43" t="n">
        <f aca="false">IF($A86="","",IF(ISNUMBER('Raw data'!AD86),'Raw data'!AD86,""))</f>
        <v>3</v>
      </c>
      <c r="R86" s="43" t="n">
        <f aca="false">IF($A86="","",IF(ISNUMBER('Raw data'!N86),'Raw data'!N86*100,""))</f>
        <v>79.1549048957687</v>
      </c>
      <c r="S86" s="42" t="n">
        <f aca="false">IF($A86="","",IF(ISNUMBER('Raw data'!O86),'Raw data'!O86*100,""))</f>
        <v>10.7577956686453</v>
      </c>
      <c r="T86" s="42" t="n">
        <f aca="false">IF($A86="","",IF(ISNUMBER('Raw data'!P86),'Raw data'!P86*100,""))</f>
        <v>-4.14001546031331</v>
      </c>
      <c r="U86" s="42" t="n">
        <f aca="false">IF($A86="","",IF(ISNUMBER('Raw data'!Q86),'Raw data'!Q86*100,""))</f>
        <v>-1.26639827652932</v>
      </c>
      <c r="V86" s="42" t="n">
        <f aca="false">IF($A86="","",IF(ISNUMBER('Raw data'!R86),'Raw data'!R86*100,""))</f>
        <v>9.58361832028132</v>
      </c>
      <c r="W86" s="42" t="n">
        <f aca="false">IF($A86="","",IF(ISNUMBER('Raw data'!S86),'Raw data'!S86*100,""))</f>
        <v>2.18120805369129</v>
      </c>
      <c r="X86" s="42" t="n">
        <f aca="false">IF($A86="","",IF(ISNUMBER('Raw data'!T86),'Raw data'!T86*100,""))</f>
        <v>-6.06206801980648</v>
      </c>
      <c r="Y86" s="37" t="str">
        <f aca="false">IF($A86="","",IF('Raw data'!D86="","",'Raw data'!D86))</f>
        <v>Sanitary</v>
      </c>
      <c r="Z86" s="38" t="n">
        <f aca="false">IF($A86="","",IF(ISNUMBER('Raw data'!F86),'Raw data'!F86,""))</f>
        <v>27391</v>
      </c>
      <c r="AA86" s="38" t="n">
        <f aca="false">IF($A86="","",IF(ISNUMBER('Raw data'!G86),'Raw data'!G86,""))</f>
        <v>152</v>
      </c>
      <c r="AB86" s="42" t="n">
        <f aca="false">IF($A86="","",IF(ISNUMBER('Raw data'!H86),'Raw data'!H86*100,IF(ISNUMBER('Raw data'!K86),'Raw data'!K86*100,"")))</f>
        <v>10.5067721311887</v>
      </c>
      <c r="AC86" s="42" t="n">
        <f aca="false">IF($A86="","",IF(ISNUMBER('Raw data'!I86),'Raw data'!I86*100,IF(ISNUMBER('Raw data'!M86),'Raw data'!M86*100,"")))</f>
        <v>-2.23924451401707</v>
      </c>
      <c r="AD86" s="44" t="n">
        <f aca="false">IF($A86="","",IF(AND(ISNUMBER('Raw data'!N86),ISNUMBER('Raw data'!L86),ISNUMBER('Raw data'!P86),ISNUMBER('Raw data'!S86)),ROUND(('Raw data'!N86*'Raw data'!P86+(1-'Raw data'!N86)*'Raw data'!S86-'Raw data'!L86)*100,1),""))</f>
        <v>0</v>
      </c>
    </row>
    <row r="87" customFormat="false" ht="15" hidden="false" customHeight="false" outlineLevel="0" collapsed="false">
      <c r="A87" s="37" t="str">
        <f aca="false">IF(TRIM('Raw data'!A87)="","",TRIM('Raw data'!A87))</f>
        <v>Italy</v>
      </c>
      <c r="B87" s="37" t="str">
        <f aca="false">IF($A87="","",IF('Raw data'!B87="",UPPER(LEFT($A87,3)),'Raw data'!B87))</f>
        <v>IT</v>
      </c>
      <c r="C87" s="37" t="str">
        <f aca="false">IF($A87="","",'Raw data'!C87)</f>
        <v>Commercial</v>
      </c>
      <c r="D87" s="38" t="n">
        <f aca="false">IF(OR($A87="",'Raw data'!J87=""),"",'Raw data'!J87)</f>
        <v>412</v>
      </c>
      <c r="E87" s="38" t="n">
        <f aca="false">IF(OR($A87="",'Raw data'!U87=""),"",'Raw data'!U87)</f>
        <v>47</v>
      </c>
      <c r="F87" s="42" t="n">
        <f aca="false">IF($A87="","",IF(ISNUMBER('Raw data'!K87),'Raw data'!K87*100,""))</f>
        <v>9.57594627731746</v>
      </c>
      <c r="G87" s="42" t="n">
        <f aca="false">IF($A87="","",IF(ISNUMBER('Raw data'!L87),'Raw data'!L87*100,""))</f>
        <v>0.17024547594755</v>
      </c>
      <c r="H87" s="42" t="n">
        <f aca="false">IF($A87="","",IF(ISNUMBER('Raw data'!M87),'Raw data'!M87*100,""))</f>
        <v>1.4115777056698</v>
      </c>
      <c r="I87" s="42" t="n">
        <f aca="false">IF($A87="","",IF(ISNUMBER('Raw data'!V87),'Raw data'!V87*100,""))</f>
        <v>3.5</v>
      </c>
      <c r="J87" s="42" t="n">
        <f aca="false">IF($A87="","",IF(ISNUMBER('Raw data'!W87),'Raw data'!W87*100,""))</f>
        <v>-2.5</v>
      </c>
      <c r="K87" s="42" t="n">
        <f aca="false">IF($A87="","",IF(ISNUMBER('Raw data'!X87),'Raw data'!X87*100,""))</f>
        <v>2.5</v>
      </c>
      <c r="L87" s="42" t="n">
        <f aca="false">IF($A87="","",IF('Raw data'!Z87&lt;&gt;"",'Raw data'!Z87*100,IF(AND(N('Raw data'!J87)&gt;0,'Raw data'!U87&lt;&gt;""),'Raw data'!U87*(1+N('Raw data'!W87))/('Raw data'!J87*(1+N('Raw data'!L87)))*100,"")))</f>
        <v>11.1036693208511</v>
      </c>
      <c r="M87" s="42" t="n">
        <f aca="false">IF($A87="","",IF('Raw data'!Y87&lt;&gt;"",'Raw data'!Y87*100,IF(AND(N('Raw data'!J87)&gt;0,'Raw data'!U87&lt;&gt;""),'Raw data'!U87/'Raw data'!J87*100,"")))</f>
        <v>11.4077669902913</v>
      </c>
      <c r="N87" s="43" t="n">
        <f aca="false">IF($A87="","",IF(ISNUMBER('Raw data'!AA87),'Raw data'!AA87,""))</f>
        <v>3</v>
      </c>
      <c r="O87" s="43" t="n">
        <f aca="false">IF($A87="","",IF(ISNUMBER('Raw data'!AB87),'Raw data'!AB87,""))</f>
        <v>3</v>
      </c>
      <c r="P87" s="43" t="n">
        <f aca="false">IF($A87="","",IF(ISNUMBER('Raw data'!AC87),'Raw data'!AC87,""))</f>
        <v>4</v>
      </c>
      <c r="Q87" s="43" t="n">
        <f aca="false">IF($A87="","",IF(ISNUMBER('Raw data'!AD87),'Raw data'!AD87,""))</f>
        <v>3</v>
      </c>
      <c r="R87" s="43" t="n">
        <f aca="false">IF($A87="","",IF(ISNUMBER('Raw data'!N87),'Raw data'!N87*100,""))</f>
        <v>82.766365866114</v>
      </c>
      <c r="S87" s="42" t="n">
        <f aca="false">IF($A87="","",IF(ISNUMBER('Raw data'!O87),'Raw data'!O87*100,""))</f>
        <v>9.74080767571552</v>
      </c>
      <c r="T87" s="42" t="n">
        <f aca="false">IF($A87="","",IF(ISNUMBER('Raw data'!P87),'Raw data'!P87*100,""))</f>
        <v>-0.09399940498519</v>
      </c>
      <c r="U87" s="42" t="n">
        <f aca="false">IF($A87="","",IF(ISNUMBER('Raw data'!Q87),'Raw data'!Q87*100,""))</f>
        <v>1.22338287491848</v>
      </c>
      <c r="V87" s="42" t="n">
        <f aca="false">IF($A87="","",IF(ISNUMBER('Raw data'!R87),'Raw data'!R87*100,""))</f>
        <v>8.80431610028938</v>
      </c>
      <c r="W87" s="42" t="n">
        <f aca="false">IF($A87="","",IF(ISNUMBER('Raw data'!S87),'Raw data'!S87*100,""))</f>
        <v>1.43930969789967</v>
      </c>
      <c r="X87" s="42" t="n">
        <f aca="false">IF($A87="","",IF(ISNUMBER('Raw data'!T87),'Raw data'!T87*100,""))</f>
        <v>2.28332714927464</v>
      </c>
      <c r="Y87" s="37" t="str">
        <f aca="false">IF($A87="","",IF('Raw data'!D87="","",'Raw data'!D87))</f>
        <v>Heating</v>
      </c>
      <c r="Z87" s="38" t="n">
        <f aca="false">IF($A87="","",IF(ISNUMBER('Raw data'!F87),'Raw data'!F87,""))</f>
        <v>93406.3</v>
      </c>
      <c r="AA87" s="38" t="n">
        <f aca="false">IF($A87="","",IF(ISNUMBER('Raw data'!G87),'Raw data'!G87,""))</f>
        <v>681</v>
      </c>
      <c r="AB87" s="42" t="n">
        <f aca="false">IF($A87="","",IF(ISNUMBER('Raw data'!H87),'Raw data'!H87*100,IF(ISNUMBER('Raw data'!K87),'Raw data'!K87*100,"")))</f>
        <v>9.57594627731746</v>
      </c>
      <c r="AC87" s="42" t="n">
        <f aca="false">IF($A87="","",IF(ISNUMBER('Raw data'!I87),'Raw data'!I87*100,IF(ISNUMBER('Raw data'!M87),'Raw data'!M87*100,"")))</f>
        <v>1.4115777056698</v>
      </c>
      <c r="AD87" s="44" t="n">
        <f aca="false">IF($A87="","",IF(AND(ISNUMBER('Raw data'!N87),ISNUMBER('Raw data'!L87),ISNUMBER('Raw data'!P87),ISNUMBER('Raw data'!S87)),ROUND(('Raw data'!N87*'Raw data'!P87+(1-'Raw data'!N87)*'Raw data'!S87-'Raw data'!L87)*100,1),""))</f>
        <v>0</v>
      </c>
    </row>
    <row r="88" customFormat="false" ht="15" hidden="false" customHeight="false" outlineLevel="0" collapsed="false">
      <c r="A88" s="37" t="str">
        <f aca="false">IF(TRIM('Raw data'!A88)="","",TRIM('Raw data'!A88))</f>
        <v>Italy</v>
      </c>
      <c r="B88" s="37" t="str">
        <f aca="false">IF($A88="","",IF('Raw data'!B88="",UPPER(LEFT($A88,3)),'Raw data'!B88))</f>
        <v>IT</v>
      </c>
      <c r="C88" s="37" t="str">
        <f aca="false">IF($A88="","",'Raw data'!C88)</f>
        <v>Commercial</v>
      </c>
      <c r="D88" s="38" t="n">
        <f aca="false">IF(OR($A88="",'Raw data'!J88=""),"",'Raw data'!J88)</f>
        <v>361</v>
      </c>
      <c r="E88" s="38" t="n">
        <f aca="false">IF(OR($A88="",'Raw data'!U88=""),"",'Raw data'!U88)</f>
        <v>20.6</v>
      </c>
      <c r="F88" s="42" t="n">
        <f aca="false">IF($A88="","",IF(ISNUMBER('Raw data'!K88),'Raw data'!K88*100,""))</f>
        <v>9.57594627731746</v>
      </c>
      <c r="G88" s="42" t="n">
        <f aca="false">IF($A88="","",IF(ISNUMBER('Raw data'!L88),'Raw data'!L88*100,""))</f>
        <v>0.17024547594755</v>
      </c>
      <c r="H88" s="42" t="n">
        <f aca="false">IF($A88="","",IF(ISNUMBER('Raw data'!M88),'Raw data'!M88*100,""))</f>
        <v>1.4115777056698</v>
      </c>
      <c r="I88" s="42" t="n">
        <f aca="false">IF($A88="","",IF(ISNUMBER('Raw data'!V88),'Raw data'!V88*100,""))</f>
        <v>5</v>
      </c>
      <c r="J88" s="42" t="n">
        <f aca="false">IF($A88="","",IF(ISNUMBER('Raw data'!W88),'Raw data'!W88*100,""))</f>
        <v>-1</v>
      </c>
      <c r="K88" s="42" t="n">
        <f aca="false">IF($A88="","",IF(ISNUMBER('Raw data'!X88),'Raw data'!X88*100,""))</f>
        <v>4</v>
      </c>
      <c r="L88" s="42" t="n">
        <f aca="false">IF($A88="","",IF('Raw data'!Z88&lt;&gt;"",'Raw data'!Z88*100,IF(AND(N('Raw data'!J88)&gt;0,'Raw data'!U88&lt;&gt;""),'Raw data'!U88*(1+N('Raw data'!W88))/('Raw data'!J88*(1+N('Raw data'!L88)))*100,"")))</f>
        <v>5.63970613467336</v>
      </c>
      <c r="M88" s="42" t="n">
        <f aca="false">IF($A88="","",IF('Raw data'!Y88&lt;&gt;"",'Raw data'!Y88*100,IF(AND(N('Raw data'!J88)&gt;0,'Raw data'!U88&lt;&gt;""),'Raw data'!U88/'Raw data'!J88*100,"")))</f>
        <v>5.70637119113574</v>
      </c>
      <c r="N88" s="43" t="n">
        <f aca="false">IF($A88="","",IF(ISNUMBER('Raw data'!AA88),'Raw data'!AA88,""))</f>
        <v>3</v>
      </c>
      <c r="O88" s="43" t="n">
        <f aca="false">IF($A88="","",IF(ISNUMBER('Raw data'!AB88),'Raw data'!AB88,""))</f>
        <v>3</v>
      </c>
      <c r="P88" s="43" t="n">
        <f aca="false">IF($A88="","",IF(ISNUMBER('Raw data'!AC88),'Raw data'!AC88,""))</f>
        <v>4</v>
      </c>
      <c r="Q88" s="43" t="n">
        <f aca="false">IF($A88="","",IF(ISNUMBER('Raw data'!AD88),'Raw data'!AD88,""))</f>
        <v>3</v>
      </c>
      <c r="R88" s="43" t="n">
        <f aca="false">IF($A88="","",IF(ISNUMBER('Raw data'!N88),'Raw data'!N88*100,""))</f>
        <v>82.766365866114</v>
      </c>
      <c r="S88" s="42" t="n">
        <f aca="false">IF($A88="","",IF(ISNUMBER('Raw data'!O88),'Raw data'!O88*100,""))</f>
        <v>9.74080767571552</v>
      </c>
      <c r="T88" s="42" t="n">
        <f aca="false">IF($A88="","",IF(ISNUMBER('Raw data'!P88),'Raw data'!P88*100,""))</f>
        <v>-0.09399940498519</v>
      </c>
      <c r="U88" s="42" t="n">
        <f aca="false">IF($A88="","",IF(ISNUMBER('Raw data'!Q88),'Raw data'!Q88*100,""))</f>
        <v>1.22338287491848</v>
      </c>
      <c r="V88" s="42" t="n">
        <f aca="false">IF($A88="","",IF(ISNUMBER('Raw data'!R88),'Raw data'!R88*100,""))</f>
        <v>8.80431610028938</v>
      </c>
      <c r="W88" s="42" t="n">
        <f aca="false">IF($A88="","",IF(ISNUMBER('Raw data'!S88),'Raw data'!S88*100,""))</f>
        <v>1.43930969789967</v>
      </c>
      <c r="X88" s="42" t="n">
        <f aca="false">IF($A88="","",IF(ISNUMBER('Raw data'!T88),'Raw data'!T88*100,""))</f>
        <v>2.28332714927464</v>
      </c>
      <c r="Y88" s="37" t="str">
        <f aca="false">IF($A88="","",IF('Raw data'!D88="","",'Raw data'!D88))</f>
        <v>Cooling</v>
      </c>
      <c r="Z88" s="38" t="n">
        <f aca="false">IF($A88="","",IF(ISNUMBER('Raw data'!F88),'Raw data'!F88,""))</f>
        <v>93406.3</v>
      </c>
      <c r="AA88" s="38" t="n">
        <f aca="false">IF($A88="","",IF(ISNUMBER('Raw data'!G88),'Raw data'!G88,""))</f>
        <v>938</v>
      </c>
      <c r="AB88" s="42" t="n">
        <f aca="false">IF($A88="","",IF(ISNUMBER('Raw data'!H88),'Raw data'!H88*100,IF(ISNUMBER('Raw data'!K88),'Raw data'!K88*100,"")))</f>
        <v>9.57594627731746</v>
      </c>
      <c r="AC88" s="42" t="n">
        <f aca="false">IF($A88="","",IF(ISNUMBER('Raw data'!I88),'Raw data'!I88*100,IF(ISNUMBER('Raw data'!M88),'Raw data'!M88*100,"")))</f>
        <v>1.4115777056698</v>
      </c>
      <c r="AD88" s="44" t="n">
        <f aca="false">IF($A88="","",IF(AND(ISNUMBER('Raw data'!N88),ISNUMBER('Raw data'!L88),ISNUMBER('Raw data'!P88),ISNUMBER('Raw data'!S88)),ROUND(('Raw data'!N88*'Raw data'!P88+(1-'Raw data'!N88)*'Raw data'!S88-'Raw data'!L88)*100,1),""))</f>
        <v>0</v>
      </c>
    </row>
    <row r="89" customFormat="false" ht="15" hidden="false" customHeight="false" outlineLevel="0" collapsed="false">
      <c r="A89" s="37" t="str">
        <f aca="false">IF(TRIM('Raw data'!A89)="","",TRIM('Raw data'!A89))</f>
        <v>Italy</v>
      </c>
      <c r="B89" s="37" t="str">
        <f aca="false">IF($A89="","",IF('Raw data'!B89="",UPPER(LEFT($A89,3)),'Raw data'!B89))</f>
        <v>IT</v>
      </c>
      <c r="C89" s="37" t="str">
        <f aca="false">IF($A89="","",'Raw data'!C89)</f>
        <v>Commercial</v>
      </c>
      <c r="D89" s="38" t="n">
        <f aca="false">IF(OR($A89="",'Raw data'!J89=""),"",'Raw data'!J89)</f>
        <v>258</v>
      </c>
      <c r="E89" s="38" t="n">
        <f aca="false">IF(OR($A89="",'Raw data'!U89=""),"",'Raw data'!U89)</f>
        <v>22.1</v>
      </c>
      <c r="F89" s="42" t="n">
        <f aca="false">IF($A89="","",IF(ISNUMBER('Raw data'!K89),'Raw data'!K89*100,""))</f>
        <v>9.57594627731746</v>
      </c>
      <c r="G89" s="42" t="n">
        <f aca="false">IF($A89="","",IF(ISNUMBER('Raw data'!L89),'Raw data'!L89*100,""))</f>
        <v>0.17024547594755</v>
      </c>
      <c r="H89" s="42" t="n">
        <f aca="false">IF($A89="","",IF(ISNUMBER('Raw data'!M89),'Raw data'!M89*100,""))</f>
        <v>1.4115777056698</v>
      </c>
      <c r="I89" s="42" t="n">
        <f aca="false">IF($A89="","",IF(ISNUMBER('Raw data'!V89),'Raw data'!V89*100,""))</f>
        <v>4</v>
      </c>
      <c r="J89" s="42" t="n">
        <f aca="false">IF($A89="","",IF(ISNUMBER('Raw data'!W89),'Raw data'!W89*100,""))</f>
        <v>-2</v>
      </c>
      <c r="K89" s="42" t="n">
        <f aca="false">IF($A89="","",IF(ISNUMBER('Raw data'!X89),'Raw data'!X89*100,""))</f>
        <v>3</v>
      </c>
      <c r="L89" s="42" t="n">
        <f aca="false">IF($A89="","",IF('Raw data'!Z89&lt;&gt;"",'Raw data'!Z89*100,IF(AND(N('Raw data'!J89)&gt;0,'Raw data'!U89&lt;&gt;""),'Raw data'!U89*(1+N('Raw data'!W89))/('Raw data'!J89*(1+N('Raw data'!L89)))*100,"")))</f>
        <v>8.38030655063786</v>
      </c>
      <c r="M89" s="42" t="n">
        <f aca="false">IF($A89="","",IF('Raw data'!Y89&lt;&gt;"",'Raw data'!Y89*100,IF(AND(N('Raw data'!J89)&gt;0,'Raw data'!U89&lt;&gt;""),'Raw data'!U89/'Raw data'!J89*100,"")))</f>
        <v>8.56589147286822</v>
      </c>
      <c r="N89" s="43" t="n">
        <f aca="false">IF($A89="","",IF(ISNUMBER('Raw data'!AA89),'Raw data'!AA89,""))</f>
        <v>3</v>
      </c>
      <c r="O89" s="43" t="n">
        <f aca="false">IF($A89="","",IF(ISNUMBER('Raw data'!AB89),'Raw data'!AB89,""))</f>
        <v>3</v>
      </c>
      <c r="P89" s="43" t="n">
        <f aca="false">IF($A89="","",IF(ISNUMBER('Raw data'!AC89),'Raw data'!AC89,""))</f>
        <v>4</v>
      </c>
      <c r="Q89" s="43" t="n">
        <f aca="false">IF($A89="","",IF(ISNUMBER('Raw data'!AD89),'Raw data'!AD89,""))</f>
        <v>3</v>
      </c>
      <c r="R89" s="43" t="n">
        <f aca="false">IF($A89="","",IF(ISNUMBER('Raw data'!N89),'Raw data'!N89*100,""))</f>
        <v>82.766365866114</v>
      </c>
      <c r="S89" s="42" t="n">
        <f aca="false">IF($A89="","",IF(ISNUMBER('Raw data'!O89),'Raw data'!O89*100,""))</f>
        <v>9.74080767571552</v>
      </c>
      <c r="T89" s="42" t="n">
        <f aca="false">IF($A89="","",IF(ISNUMBER('Raw data'!P89),'Raw data'!P89*100,""))</f>
        <v>-0.09399940498519</v>
      </c>
      <c r="U89" s="42" t="n">
        <f aca="false">IF($A89="","",IF(ISNUMBER('Raw data'!Q89),'Raw data'!Q89*100,""))</f>
        <v>1.22338287491848</v>
      </c>
      <c r="V89" s="42" t="n">
        <f aca="false">IF($A89="","",IF(ISNUMBER('Raw data'!R89),'Raw data'!R89*100,""))</f>
        <v>8.80431610028938</v>
      </c>
      <c r="W89" s="42" t="n">
        <f aca="false">IF($A89="","",IF(ISNUMBER('Raw data'!S89),'Raw data'!S89*100,""))</f>
        <v>1.43930969789967</v>
      </c>
      <c r="X89" s="42" t="n">
        <f aca="false">IF($A89="","",IF(ISNUMBER('Raw data'!T89),'Raw data'!T89*100,""))</f>
        <v>2.28332714927464</v>
      </c>
      <c r="Y89" s="37" t="str">
        <f aca="false">IF($A89="","",IF('Raw data'!D89="","",'Raw data'!D89))</f>
        <v>Sanitary</v>
      </c>
      <c r="Z89" s="38" t="n">
        <f aca="false">IF($A89="","",IF(ISNUMBER('Raw data'!F89),'Raw data'!F89,""))</f>
        <v>93406.3</v>
      </c>
      <c r="AA89" s="38" t="n">
        <f aca="false">IF($A89="","",IF(ISNUMBER('Raw data'!G89),'Raw data'!G89,""))</f>
        <v>521</v>
      </c>
      <c r="AB89" s="42" t="n">
        <f aca="false">IF($A89="","",IF(ISNUMBER('Raw data'!H89),'Raw data'!H89*100,IF(ISNUMBER('Raw data'!K89),'Raw data'!K89*100,"")))</f>
        <v>9.57594627731746</v>
      </c>
      <c r="AC89" s="42" t="n">
        <f aca="false">IF($A89="","",IF(ISNUMBER('Raw data'!I89),'Raw data'!I89*100,IF(ISNUMBER('Raw data'!M89),'Raw data'!M89*100,"")))</f>
        <v>1.4115777056698</v>
      </c>
      <c r="AD89" s="44" t="n">
        <f aca="false">IF($A89="","",IF(AND(ISNUMBER('Raw data'!N89),ISNUMBER('Raw data'!L89),ISNUMBER('Raw data'!P89),ISNUMBER('Raw data'!S89)),ROUND(('Raw data'!N89*'Raw data'!P89+(1-'Raw data'!N89)*'Raw data'!S89-'Raw data'!L89)*100,1),""))</f>
        <v>0</v>
      </c>
    </row>
    <row r="90" customFormat="false" ht="15" hidden="false" customHeight="false" outlineLevel="0" collapsed="false">
      <c r="A90" s="37" t="str">
        <f aca="false">IF(TRIM('Raw data'!A90)="","",TRIM('Raw data'!A90))</f>
        <v>Belgium</v>
      </c>
      <c r="B90" s="37" t="str">
        <f aca="false">IF($A90="","",IF('Raw data'!B90="",UPPER(LEFT($A90,3)),'Raw data'!B90))</f>
        <v>BE</v>
      </c>
      <c r="C90" s="37" t="str">
        <f aca="false">IF($A90="","",'Raw data'!C90)</f>
        <v>Residential</v>
      </c>
      <c r="D90" s="38" t="n">
        <f aca="false">IF(OR($A90="",'Raw data'!J90=""),"",'Raw data'!J90)</f>
        <v>64</v>
      </c>
      <c r="E90" s="38" t="n">
        <f aca="false">IF(OR($A90="",'Raw data'!U90=""),"",'Raw data'!U90)</f>
        <v>11.5</v>
      </c>
      <c r="F90" s="42" t="n">
        <f aca="false">IF($A90="","",IF(ISNUMBER('Raw data'!K90),'Raw data'!K90*100,""))</f>
        <v>0.562908296750186</v>
      </c>
      <c r="G90" s="42" t="n">
        <f aca="false">IF($A90="","",IF(ISNUMBER('Raw data'!L90),'Raw data'!L90*100,""))</f>
        <v>-3.00651683909728</v>
      </c>
      <c r="H90" s="42" t="n">
        <f aca="false">IF($A90="","",IF(ISNUMBER('Raw data'!M90),'Raw data'!M90*100,""))</f>
        <v>2.28529477061796</v>
      </c>
      <c r="I90" s="42" t="n">
        <f aca="false">IF($A90="","",IF(ISNUMBER('Raw data'!V90),'Raw data'!V90*100,""))</f>
        <v>3</v>
      </c>
      <c r="J90" s="42" t="n">
        <f aca="false">IF($A90="","",IF(ISNUMBER('Raw data'!W90),'Raw data'!W90*100,""))</f>
        <v>2</v>
      </c>
      <c r="K90" s="42" t="n">
        <f aca="false">IF($A90="","",IF(ISNUMBER('Raw data'!X90),'Raw data'!X90*100,""))</f>
        <v>3.5</v>
      </c>
      <c r="L90" s="42" t="n">
        <f aca="false">IF($A90="","",IF('Raw data'!Z90&lt;&gt;"",'Raw data'!Z90*100,IF(AND(N('Raw data'!J90)&gt;0,'Raw data'!U90&lt;&gt;""),'Raw data'!U90*(1+N('Raw data'!W90))/('Raw data'!J90*(1+N('Raw data'!L90)))*100,"")))</f>
        <v>18.8962437503099</v>
      </c>
      <c r="M90" s="42" t="n">
        <f aca="false">IF($A90="","",IF('Raw data'!Y90&lt;&gt;"",'Raw data'!Y90*100,IF(AND(N('Raw data'!J90)&gt;0,'Raw data'!U90&lt;&gt;""),'Raw data'!U90/'Raw data'!J90*100,"")))</f>
        <v>17.96875</v>
      </c>
      <c r="N90" s="43" t="n">
        <f aca="false">IF($A90="","",IF(ISNUMBER('Raw data'!AA90),'Raw data'!AA90,""))</f>
        <v>4</v>
      </c>
      <c r="O90" s="43" t="n">
        <f aca="false">IF($A90="","",IF(ISNUMBER('Raw data'!AB90),'Raw data'!AB90,""))</f>
        <v>3</v>
      </c>
      <c r="P90" s="43" t="n">
        <f aca="false">IF($A90="","",IF(ISNUMBER('Raw data'!AC90),'Raw data'!AC90,""))</f>
        <v>4</v>
      </c>
      <c r="Q90" s="43" t="n">
        <f aca="false">IF($A90="","",IF(ISNUMBER('Raw data'!AD90),'Raw data'!AD90,""))</f>
        <v>4</v>
      </c>
      <c r="R90" s="43" t="n">
        <f aca="false">IF($A90="","",IF(ISNUMBER('Raw data'!N90),'Raw data'!N90*100,""))</f>
        <v>73.4945724444277</v>
      </c>
      <c r="S90" s="42" t="n">
        <f aca="false">IF($A90="","",IF(ISNUMBER('Raw data'!O90),'Raw data'!O90*100,""))</f>
        <v>3.08497612928871</v>
      </c>
      <c r="T90" s="42" t="n">
        <f aca="false">IF($A90="","",IF(ISNUMBER('Raw data'!P90),'Raw data'!P90*100,""))</f>
        <v>-1.1184611534933</v>
      </c>
      <c r="U90" s="42" t="n">
        <f aca="false">IF($A90="","",IF(ISNUMBER('Raw data'!Q90),'Raw data'!Q90*100,""))</f>
        <v>2.2191660573325</v>
      </c>
      <c r="V90" s="42" t="n">
        <f aca="false">IF($A90="","",IF(ISNUMBER('Raw data'!R90),'Raw data'!R90*100,""))</f>
        <v>-4.91197569657782</v>
      </c>
      <c r="W90" s="42" t="n">
        <f aca="false">IF($A90="","",IF(ISNUMBER('Raw data'!S90),'Raw data'!S90*100,""))</f>
        <v>-8.24174064651568</v>
      </c>
      <c r="X90" s="42" t="n">
        <f aca="false">IF($A90="","",IF(ISNUMBER('Raw data'!T90),'Raw data'!T90*100,""))</f>
        <v>2.48187944641731</v>
      </c>
      <c r="Y90" s="37" t="str">
        <f aca="false">IF($A90="","",IF('Raw data'!D90="","",'Raw data'!D90))</f>
        <v>Heating</v>
      </c>
      <c r="Z90" s="38" t="n">
        <f aca="false">IF($A90="","",IF(ISNUMBER('Raw data'!F90),'Raw data'!F90,""))</f>
        <v>10603.3</v>
      </c>
      <c r="AA90" s="38" t="n">
        <f aca="false">IF($A90="","",IF(ISNUMBER('Raw data'!G90),'Raw data'!G90,""))</f>
        <v>97</v>
      </c>
      <c r="AB90" s="42" t="n">
        <f aca="false">IF($A90="","",IF(ISNUMBER('Raw data'!H90),'Raw data'!H90*100,IF(ISNUMBER('Raw data'!K90),'Raw data'!K90*100,"")))</f>
        <v>0.562908296750186</v>
      </c>
      <c r="AC90" s="42" t="n">
        <f aca="false">IF($A90="","",IF(ISNUMBER('Raw data'!I90),'Raw data'!I90*100,IF(ISNUMBER('Raw data'!M90),'Raw data'!M90*100,"")))</f>
        <v>2.28529477061796</v>
      </c>
      <c r="AD90" s="44" t="n">
        <f aca="false">IF($A90="","",IF(AND(ISNUMBER('Raw data'!N90),ISNUMBER('Raw data'!L90),ISNUMBER('Raw data'!P90),ISNUMBER('Raw data'!S90)),ROUND(('Raw data'!N90*'Raw data'!P90+(1-'Raw data'!N90)*'Raw data'!S90-'Raw data'!L90)*100,1),""))</f>
        <v>0</v>
      </c>
    </row>
    <row r="91" customFormat="false" ht="15" hidden="false" customHeight="false" outlineLevel="0" collapsed="false">
      <c r="A91" s="37" t="str">
        <f aca="false">IF(TRIM('Raw data'!A91)="","",TRIM('Raw data'!A91))</f>
        <v>Belgium</v>
      </c>
      <c r="B91" s="37" t="str">
        <f aca="false">IF($A91="","",IF('Raw data'!B91="",UPPER(LEFT($A91,3)),'Raw data'!B91))</f>
        <v>BE</v>
      </c>
      <c r="C91" s="37" t="str">
        <f aca="false">IF($A91="","",'Raw data'!C91)</f>
        <v>Residential</v>
      </c>
      <c r="D91" s="38" t="n">
        <f aca="false">IF(OR($A91="",'Raw data'!J91=""),"",'Raw data'!J91)</f>
        <v>22</v>
      </c>
      <c r="E91" s="38" t="n">
        <f aca="false">IF(OR($A91="",'Raw data'!U91=""),"",'Raw data'!U91)</f>
        <v>2</v>
      </c>
      <c r="F91" s="42" t="n">
        <f aca="false">IF($A91="","",IF(ISNUMBER('Raw data'!K91),'Raw data'!K91*100,""))</f>
        <v>0.562908296750186</v>
      </c>
      <c r="G91" s="42" t="n">
        <f aca="false">IF($A91="","",IF(ISNUMBER('Raw data'!L91),'Raw data'!L91*100,""))</f>
        <v>-3.00651683909728</v>
      </c>
      <c r="H91" s="42" t="n">
        <f aca="false">IF($A91="","",IF(ISNUMBER('Raw data'!M91),'Raw data'!M91*100,""))</f>
        <v>2.28529477061796</v>
      </c>
      <c r="I91" s="42" t="n">
        <f aca="false">IF($A91="","",IF(ISNUMBER('Raw data'!V91),'Raw data'!V91*100,""))</f>
        <v>4.5</v>
      </c>
      <c r="J91" s="42" t="n">
        <f aca="false">IF($A91="","",IF(ISNUMBER('Raw data'!W91),'Raw data'!W91*100,""))</f>
        <v>3.5</v>
      </c>
      <c r="K91" s="42" t="n">
        <f aca="false">IF($A91="","",IF(ISNUMBER('Raw data'!X91),'Raw data'!X91*100,""))</f>
        <v>5</v>
      </c>
      <c r="L91" s="42" t="n">
        <f aca="false">IF($A91="","",IF('Raw data'!Z91&lt;&gt;"",'Raw data'!Z91*100,IF(AND(N('Raw data'!J91)&gt;0,'Raw data'!U91&lt;&gt;""),'Raw data'!U91*(1+N('Raw data'!W91))/('Raw data'!J91*(1+N('Raw data'!L91)))*100,"")))</f>
        <v>9.70074545470457</v>
      </c>
      <c r="M91" s="42" t="n">
        <f aca="false">IF($A91="","",IF('Raw data'!Y91&lt;&gt;"",'Raw data'!Y91*100,IF(AND(N('Raw data'!J91)&gt;0,'Raw data'!U91&lt;&gt;""),'Raw data'!U91/'Raw data'!J91*100,"")))</f>
        <v>9.09090909090909</v>
      </c>
      <c r="N91" s="43" t="n">
        <f aca="false">IF($A91="","",IF(ISNUMBER('Raw data'!AA91),'Raw data'!AA91,""))</f>
        <v>4</v>
      </c>
      <c r="O91" s="43" t="n">
        <f aca="false">IF($A91="","",IF(ISNUMBER('Raw data'!AB91),'Raw data'!AB91,""))</f>
        <v>3</v>
      </c>
      <c r="P91" s="43" t="n">
        <f aca="false">IF($A91="","",IF(ISNUMBER('Raw data'!AC91),'Raw data'!AC91,""))</f>
        <v>4</v>
      </c>
      <c r="Q91" s="43" t="n">
        <f aca="false">IF($A91="","",IF(ISNUMBER('Raw data'!AD91),'Raw data'!AD91,""))</f>
        <v>4</v>
      </c>
      <c r="R91" s="43" t="n">
        <f aca="false">IF($A91="","",IF(ISNUMBER('Raw data'!N91),'Raw data'!N91*100,""))</f>
        <v>73.4945724444277</v>
      </c>
      <c r="S91" s="42" t="n">
        <f aca="false">IF($A91="","",IF(ISNUMBER('Raw data'!O91),'Raw data'!O91*100,""))</f>
        <v>3.08497612928871</v>
      </c>
      <c r="T91" s="42" t="n">
        <f aca="false">IF($A91="","",IF(ISNUMBER('Raw data'!P91),'Raw data'!P91*100,""))</f>
        <v>-1.1184611534933</v>
      </c>
      <c r="U91" s="42" t="n">
        <f aca="false">IF($A91="","",IF(ISNUMBER('Raw data'!Q91),'Raw data'!Q91*100,""))</f>
        <v>2.2191660573325</v>
      </c>
      <c r="V91" s="42" t="n">
        <f aca="false">IF($A91="","",IF(ISNUMBER('Raw data'!R91),'Raw data'!R91*100,""))</f>
        <v>-4.91197569657782</v>
      </c>
      <c r="W91" s="42" t="n">
        <f aca="false">IF($A91="","",IF(ISNUMBER('Raw data'!S91),'Raw data'!S91*100,""))</f>
        <v>-8.24174064651568</v>
      </c>
      <c r="X91" s="42" t="n">
        <f aca="false">IF($A91="","",IF(ISNUMBER('Raw data'!T91),'Raw data'!T91*100,""))</f>
        <v>2.48187944641731</v>
      </c>
      <c r="Y91" s="37" t="str">
        <f aca="false">IF($A91="","",IF('Raw data'!D91="","",'Raw data'!D91))</f>
        <v>Cooling</v>
      </c>
      <c r="Z91" s="38" t="n">
        <f aca="false">IF($A91="","",IF(ISNUMBER('Raw data'!F91),'Raw data'!F91,""))</f>
        <v>10603.3</v>
      </c>
      <c r="AA91" s="38" t="n">
        <f aca="false">IF($A91="","",IF(ISNUMBER('Raw data'!G91),'Raw data'!G91,""))</f>
        <v>52</v>
      </c>
      <c r="AB91" s="42" t="n">
        <f aca="false">IF($A91="","",IF(ISNUMBER('Raw data'!H91),'Raw data'!H91*100,IF(ISNUMBER('Raw data'!K91),'Raw data'!K91*100,"")))</f>
        <v>0.562908296750186</v>
      </c>
      <c r="AC91" s="42" t="n">
        <f aca="false">IF($A91="","",IF(ISNUMBER('Raw data'!I91),'Raw data'!I91*100,IF(ISNUMBER('Raw data'!M91),'Raw data'!M91*100,"")))</f>
        <v>2.28529477061796</v>
      </c>
      <c r="AD91" s="44" t="n">
        <f aca="false">IF($A91="","",IF(AND(ISNUMBER('Raw data'!N91),ISNUMBER('Raw data'!L91),ISNUMBER('Raw data'!P91),ISNUMBER('Raw data'!S91)),ROUND(('Raw data'!N91*'Raw data'!P91+(1-'Raw data'!N91)*'Raw data'!S91-'Raw data'!L91)*100,1),""))</f>
        <v>0</v>
      </c>
    </row>
    <row r="92" customFormat="false" ht="15" hidden="false" customHeight="false" outlineLevel="0" collapsed="false">
      <c r="A92" s="37" t="str">
        <f aca="false">IF(TRIM('Raw data'!A92)="","",TRIM('Raw data'!A92))</f>
        <v>Belgium</v>
      </c>
      <c r="B92" s="37" t="str">
        <f aca="false">IF($A92="","",IF('Raw data'!B92="",UPPER(LEFT($A92,3)),'Raw data'!B92))</f>
        <v>BE</v>
      </c>
      <c r="C92" s="37" t="str">
        <f aca="false">IF($A92="","",'Raw data'!C92)</f>
        <v>Residential</v>
      </c>
      <c r="D92" s="38" t="n">
        <f aca="false">IF(OR($A92="",'Raw data'!J92=""),"",'Raw data'!J92)</f>
        <v>31</v>
      </c>
      <c r="E92" s="38" t="n">
        <f aca="false">IF(OR($A92="",'Raw data'!U92=""),"",'Raw data'!U92)</f>
        <v>4.2</v>
      </c>
      <c r="F92" s="42" t="n">
        <f aca="false">IF($A92="","",IF(ISNUMBER('Raw data'!K92),'Raw data'!K92*100,""))</f>
        <v>0.562908296750186</v>
      </c>
      <c r="G92" s="42" t="n">
        <f aca="false">IF($A92="","",IF(ISNUMBER('Raw data'!L92),'Raw data'!L92*100,""))</f>
        <v>-3.00651683909728</v>
      </c>
      <c r="H92" s="42" t="n">
        <f aca="false">IF($A92="","",IF(ISNUMBER('Raw data'!M92),'Raw data'!M92*100,""))</f>
        <v>2.28529477061796</v>
      </c>
      <c r="I92" s="42" t="n">
        <f aca="false">IF($A92="","",IF(ISNUMBER('Raw data'!V92),'Raw data'!V92*100,""))</f>
        <v>3.5</v>
      </c>
      <c r="J92" s="42" t="n">
        <f aca="false">IF($A92="","",IF(ISNUMBER('Raw data'!W92),'Raw data'!W92*100,""))</f>
        <v>2.5</v>
      </c>
      <c r="K92" s="42" t="n">
        <f aca="false">IF($A92="","",IF(ISNUMBER('Raw data'!X92),'Raw data'!X92*100,""))</f>
        <v>4</v>
      </c>
      <c r="L92" s="42" t="n">
        <f aca="false">IF($A92="","",IF('Raw data'!Z92&lt;&gt;"",'Raw data'!Z92*100,IF(AND(N('Raw data'!J92)&gt;0,'Raw data'!U92&lt;&gt;""),'Raw data'!U92*(1+N('Raw data'!W92))/('Raw data'!J92*(1+N('Raw data'!L92)))*100,"")))</f>
        <v>14.317556521974</v>
      </c>
      <c r="M92" s="42" t="n">
        <f aca="false">IF($A92="","",IF('Raw data'!Y92&lt;&gt;"",'Raw data'!Y92*100,IF(AND(N('Raw data'!J92)&gt;0,'Raw data'!U92&lt;&gt;""),'Raw data'!U92/'Raw data'!J92*100,"")))</f>
        <v>13.5483870967742</v>
      </c>
      <c r="N92" s="43" t="n">
        <f aca="false">IF($A92="","",IF(ISNUMBER('Raw data'!AA92),'Raw data'!AA92,""))</f>
        <v>4</v>
      </c>
      <c r="O92" s="43" t="n">
        <f aca="false">IF($A92="","",IF(ISNUMBER('Raw data'!AB92),'Raw data'!AB92,""))</f>
        <v>3</v>
      </c>
      <c r="P92" s="43" t="n">
        <f aca="false">IF($A92="","",IF(ISNUMBER('Raw data'!AC92),'Raw data'!AC92,""))</f>
        <v>4</v>
      </c>
      <c r="Q92" s="43" t="n">
        <f aca="false">IF($A92="","",IF(ISNUMBER('Raw data'!AD92),'Raw data'!AD92,""))</f>
        <v>4</v>
      </c>
      <c r="R92" s="43" t="n">
        <f aca="false">IF($A92="","",IF(ISNUMBER('Raw data'!N92),'Raw data'!N92*100,""))</f>
        <v>73.4945724444277</v>
      </c>
      <c r="S92" s="42" t="n">
        <f aca="false">IF($A92="","",IF(ISNUMBER('Raw data'!O92),'Raw data'!O92*100,""))</f>
        <v>3.08497612928871</v>
      </c>
      <c r="T92" s="42" t="n">
        <f aca="false">IF($A92="","",IF(ISNUMBER('Raw data'!P92),'Raw data'!P92*100,""))</f>
        <v>-1.1184611534933</v>
      </c>
      <c r="U92" s="42" t="n">
        <f aca="false">IF($A92="","",IF(ISNUMBER('Raw data'!Q92),'Raw data'!Q92*100,""))</f>
        <v>2.2191660573325</v>
      </c>
      <c r="V92" s="42" t="n">
        <f aca="false">IF($A92="","",IF(ISNUMBER('Raw data'!R92),'Raw data'!R92*100,""))</f>
        <v>-4.91197569657782</v>
      </c>
      <c r="W92" s="42" t="n">
        <f aca="false">IF($A92="","",IF(ISNUMBER('Raw data'!S92),'Raw data'!S92*100,""))</f>
        <v>-8.24174064651568</v>
      </c>
      <c r="X92" s="42" t="n">
        <f aca="false">IF($A92="","",IF(ISNUMBER('Raw data'!T92),'Raw data'!T92*100,""))</f>
        <v>2.48187944641731</v>
      </c>
      <c r="Y92" s="37" t="str">
        <f aca="false">IF($A92="","",IF('Raw data'!D92="","",'Raw data'!D92))</f>
        <v>Sanitary</v>
      </c>
      <c r="Z92" s="38" t="n">
        <f aca="false">IF($A92="","",IF(ISNUMBER('Raw data'!F92),'Raw data'!F92,""))</f>
        <v>10603.3</v>
      </c>
      <c r="AA92" s="38" t="n">
        <f aca="false">IF($A92="","",IF(ISNUMBER('Raw data'!G92),'Raw data'!G92,""))</f>
        <v>57</v>
      </c>
      <c r="AB92" s="42" t="n">
        <f aca="false">IF($A92="","",IF(ISNUMBER('Raw data'!H92),'Raw data'!H92*100,IF(ISNUMBER('Raw data'!K92),'Raw data'!K92*100,"")))</f>
        <v>0.562908296750186</v>
      </c>
      <c r="AC92" s="42" t="n">
        <f aca="false">IF($A92="","",IF(ISNUMBER('Raw data'!I92),'Raw data'!I92*100,IF(ISNUMBER('Raw data'!M92),'Raw data'!M92*100,"")))</f>
        <v>2.28529477061796</v>
      </c>
      <c r="AD92" s="44" t="n">
        <f aca="false">IF($A92="","",IF(AND(ISNUMBER('Raw data'!N92),ISNUMBER('Raw data'!L92),ISNUMBER('Raw data'!P92),ISNUMBER('Raw data'!S92)),ROUND(('Raw data'!N92*'Raw data'!P92+(1-'Raw data'!N92)*'Raw data'!S92-'Raw data'!L92)*100,1),""))</f>
        <v>0</v>
      </c>
    </row>
    <row r="93" customFormat="false" ht="15" hidden="false" customHeight="false" outlineLevel="0" collapsed="false">
      <c r="A93" s="37" t="str">
        <f aca="false">IF(TRIM('Raw data'!A93)="","",TRIM('Raw data'!A93))</f>
        <v>Belgium</v>
      </c>
      <c r="B93" s="37" t="str">
        <f aca="false">IF($A93="","",IF('Raw data'!B93="",UPPER(LEFT($A93,3)),'Raw data'!B93))</f>
        <v>BE</v>
      </c>
      <c r="C93" s="37" t="str">
        <f aca="false">IF($A93="","",'Raw data'!C93)</f>
        <v>Commercial</v>
      </c>
      <c r="D93" s="38" t="n">
        <f aca="false">IF(OR($A93="",'Raw data'!J93=""),"",'Raw data'!J93)</f>
        <v>119</v>
      </c>
      <c r="E93" s="38" t="n">
        <f aca="false">IF(OR($A93="",'Raw data'!U93=""),"",'Raw data'!U93)</f>
        <v>17.1</v>
      </c>
      <c r="F93" s="42" t="n">
        <f aca="false">IF($A93="","",IF(ISNUMBER('Raw data'!K93),'Raw data'!K93*100,""))</f>
        <v>2.59293584493279</v>
      </c>
      <c r="G93" s="42" t="n">
        <f aca="false">IF($A93="","",IF(ISNUMBER('Raw data'!L93),'Raw data'!L93*100,""))</f>
        <v>1.81236646664318</v>
      </c>
      <c r="H93" s="42" t="n">
        <f aca="false">IF($A93="","",IF(ISNUMBER('Raw data'!M93),'Raw data'!M93*100,""))</f>
        <v>3.06407394366455</v>
      </c>
      <c r="I93" s="42" t="n">
        <f aca="false">IF($A93="","",IF(ISNUMBER('Raw data'!V93),'Raw data'!V93*100,""))</f>
        <v>3.5</v>
      </c>
      <c r="J93" s="42" t="n">
        <f aca="false">IF($A93="","",IF(ISNUMBER('Raw data'!W93),'Raw data'!W93*100,""))</f>
        <v>2.5</v>
      </c>
      <c r="K93" s="42" t="n">
        <f aca="false">IF($A93="","",IF(ISNUMBER('Raw data'!X93),'Raw data'!X93*100,""))</f>
        <v>4</v>
      </c>
      <c r="L93" s="42" t="n">
        <f aca="false">IF($A93="","",IF('Raw data'!Z93&lt;&gt;"",'Raw data'!Z93*100,IF(AND(N('Raw data'!J93)&gt;0,'Raw data'!U93&lt;&gt;""),'Raw data'!U93*(1+N('Raw data'!W93))/('Raw data'!J93*(1+N('Raw data'!L93)))*100,"")))</f>
        <v>14.4668001617115</v>
      </c>
      <c r="M93" s="42" t="n">
        <f aca="false">IF($A93="","",IF('Raw data'!Y93&lt;&gt;"",'Raw data'!Y93*100,IF(AND(N('Raw data'!J93)&gt;0,'Raw data'!U93&lt;&gt;""),'Raw data'!U93/'Raw data'!J93*100,"")))</f>
        <v>14.3697478991597</v>
      </c>
      <c r="N93" s="43" t="n">
        <f aca="false">IF($A93="","",IF(ISNUMBER('Raw data'!AA93),'Raw data'!AA93,""))</f>
        <v>4</v>
      </c>
      <c r="O93" s="43" t="n">
        <f aca="false">IF($A93="","",IF(ISNUMBER('Raw data'!AB93),'Raw data'!AB93,""))</f>
        <v>3</v>
      </c>
      <c r="P93" s="43" t="n">
        <f aca="false">IF($A93="","",IF(ISNUMBER('Raw data'!AC93),'Raw data'!AC93,""))</f>
        <v>4</v>
      </c>
      <c r="Q93" s="43" t="n">
        <f aca="false">IF($A93="","",IF(ISNUMBER('Raw data'!AD93),'Raw data'!AD93,""))</f>
        <v>4</v>
      </c>
      <c r="R93" s="43" t="n">
        <f aca="false">IF($A93="","",IF(ISNUMBER('Raw data'!N93),'Raw data'!N93*100,""))</f>
        <v>58.6862733430675</v>
      </c>
      <c r="S93" s="42" t="n">
        <f aca="false">IF($A93="","",IF(ISNUMBER('Raw data'!O93),'Raw data'!O93*100,""))</f>
        <v>3.86848576517109</v>
      </c>
      <c r="T93" s="42" t="n">
        <f aca="false">IF($A93="","",IF(ISNUMBER('Raw data'!P93),'Raw data'!P93*100,""))</f>
        <v>1.87125735529885</v>
      </c>
      <c r="U93" s="42" t="n">
        <f aca="false">IF($A93="","",IF(ISNUMBER('Raw data'!Q93),'Raw data'!Q93*100,""))</f>
        <v>3.77712242046186</v>
      </c>
      <c r="V93" s="42" t="n">
        <f aca="false">IF($A93="","",IF(ISNUMBER('Raw data'!R93),'Raw data'!R93*100,""))</f>
        <v>0.930642174728846</v>
      </c>
      <c r="W93" s="42" t="n">
        <f aca="false">IF($A93="","",IF(ISNUMBER('Raw data'!S93),'Raw data'!S93*100,""))</f>
        <v>1.72871178165765</v>
      </c>
      <c r="X93" s="42" t="n">
        <f aca="false">IF($A93="","",IF(ISNUMBER('Raw data'!T93),'Raw data'!T93*100,""))</f>
        <v>2.0144731624145</v>
      </c>
      <c r="Y93" s="37" t="str">
        <f aca="false">IF($A93="","",IF('Raw data'!D93="","",'Raw data'!D93))</f>
        <v>Heating</v>
      </c>
      <c r="Z93" s="38" t="n">
        <f aca="false">IF($A93="","",IF(ISNUMBER('Raw data'!F93),'Raw data'!F93,""))</f>
        <v>19662.69</v>
      </c>
      <c r="AA93" s="38" t="n">
        <f aca="false">IF($A93="","",IF(ISNUMBER('Raw data'!G93),'Raw data'!G93,""))</f>
        <v>180</v>
      </c>
      <c r="AB93" s="42" t="n">
        <f aca="false">IF($A93="","",IF(ISNUMBER('Raw data'!H93),'Raw data'!H93*100,IF(ISNUMBER('Raw data'!K93),'Raw data'!K93*100,"")))</f>
        <v>2.59293584493279</v>
      </c>
      <c r="AC93" s="42" t="n">
        <f aca="false">IF($A93="","",IF(ISNUMBER('Raw data'!I93),'Raw data'!I93*100,IF(ISNUMBER('Raw data'!M93),'Raw data'!M93*100,"")))</f>
        <v>3.06407394366455</v>
      </c>
      <c r="AD93" s="44" t="n">
        <f aca="false">IF($A93="","",IF(AND(ISNUMBER('Raw data'!N93),ISNUMBER('Raw data'!L93),ISNUMBER('Raw data'!P93),ISNUMBER('Raw data'!S93)),ROUND(('Raw data'!N93*'Raw data'!P93+(1-'Raw data'!N93)*'Raw data'!S93-'Raw data'!L93)*100,1),""))</f>
        <v>-0</v>
      </c>
    </row>
    <row r="94" customFormat="false" ht="15" hidden="false" customHeight="false" outlineLevel="0" collapsed="false">
      <c r="A94" s="37" t="str">
        <f aca="false">IF(TRIM('Raw data'!A94)="","",TRIM('Raw data'!A94))</f>
        <v>Belgium</v>
      </c>
      <c r="B94" s="37" t="str">
        <f aca="false">IF($A94="","",IF('Raw data'!B94="",UPPER(LEFT($A94,3)),'Raw data'!B94))</f>
        <v>BE</v>
      </c>
      <c r="C94" s="37" t="str">
        <f aca="false">IF($A94="","",'Raw data'!C94)</f>
        <v>Commercial</v>
      </c>
      <c r="D94" s="38" t="n">
        <f aca="false">IF(OR($A94="",'Raw data'!J94=""),"",'Raw data'!J94)</f>
        <v>41</v>
      </c>
      <c r="E94" s="38" t="n">
        <f aca="false">IF(OR($A94="",'Raw data'!U94=""),"",'Raw data'!U94)</f>
        <v>3</v>
      </c>
      <c r="F94" s="42" t="n">
        <f aca="false">IF($A94="","",IF(ISNUMBER('Raw data'!K94),'Raw data'!K94*100,""))</f>
        <v>2.59293584493279</v>
      </c>
      <c r="G94" s="42" t="n">
        <f aca="false">IF($A94="","",IF(ISNUMBER('Raw data'!L94),'Raw data'!L94*100,""))</f>
        <v>1.81236646664318</v>
      </c>
      <c r="H94" s="42" t="n">
        <f aca="false">IF($A94="","",IF(ISNUMBER('Raw data'!M94),'Raw data'!M94*100,""))</f>
        <v>3.06407394366455</v>
      </c>
      <c r="I94" s="42" t="n">
        <f aca="false">IF($A94="","",IF(ISNUMBER('Raw data'!V94),'Raw data'!V94*100,""))</f>
        <v>5</v>
      </c>
      <c r="J94" s="42" t="n">
        <f aca="false">IF($A94="","",IF(ISNUMBER('Raw data'!W94),'Raw data'!W94*100,""))</f>
        <v>4</v>
      </c>
      <c r="K94" s="42" t="n">
        <f aca="false">IF($A94="","",IF(ISNUMBER('Raw data'!X94),'Raw data'!X94*100,""))</f>
        <v>5.5</v>
      </c>
      <c r="L94" s="42" t="n">
        <f aca="false">IF($A94="","",IF('Raw data'!Z94&lt;&gt;"",'Raw data'!Z94*100,IF(AND(N('Raw data'!J94)&gt;0,'Raw data'!U94&lt;&gt;""),'Raw data'!U94*(1+N('Raw data'!W94))/('Raw data'!J94*(1+N('Raw data'!L94)))*100,"")))</f>
        <v>7.47429449059527</v>
      </c>
      <c r="M94" s="42" t="n">
        <f aca="false">IF($A94="","",IF('Raw data'!Y94&lt;&gt;"",'Raw data'!Y94*100,IF(AND(N('Raw data'!J94)&gt;0,'Raw data'!U94&lt;&gt;""),'Raw data'!U94/'Raw data'!J94*100,"")))</f>
        <v>7.31707317073171</v>
      </c>
      <c r="N94" s="43" t="n">
        <f aca="false">IF($A94="","",IF(ISNUMBER('Raw data'!AA94),'Raw data'!AA94,""))</f>
        <v>4</v>
      </c>
      <c r="O94" s="43" t="n">
        <f aca="false">IF($A94="","",IF(ISNUMBER('Raw data'!AB94),'Raw data'!AB94,""))</f>
        <v>3</v>
      </c>
      <c r="P94" s="43" t="n">
        <f aca="false">IF($A94="","",IF(ISNUMBER('Raw data'!AC94),'Raw data'!AC94,""))</f>
        <v>4</v>
      </c>
      <c r="Q94" s="43" t="n">
        <f aca="false">IF($A94="","",IF(ISNUMBER('Raw data'!AD94),'Raw data'!AD94,""))</f>
        <v>4</v>
      </c>
      <c r="R94" s="43" t="n">
        <f aca="false">IF($A94="","",IF(ISNUMBER('Raw data'!N94),'Raw data'!N94*100,""))</f>
        <v>58.6862733430675</v>
      </c>
      <c r="S94" s="42" t="n">
        <f aca="false">IF($A94="","",IF(ISNUMBER('Raw data'!O94),'Raw data'!O94*100,""))</f>
        <v>3.86848576517109</v>
      </c>
      <c r="T94" s="42" t="n">
        <f aca="false">IF($A94="","",IF(ISNUMBER('Raw data'!P94),'Raw data'!P94*100,""))</f>
        <v>1.87125735529885</v>
      </c>
      <c r="U94" s="42" t="n">
        <f aca="false">IF($A94="","",IF(ISNUMBER('Raw data'!Q94),'Raw data'!Q94*100,""))</f>
        <v>3.77712242046186</v>
      </c>
      <c r="V94" s="42" t="n">
        <f aca="false">IF($A94="","",IF(ISNUMBER('Raw data'!R94),'Raw data'!R94*100,""))</f>
        <v>0.930642174728846</v>
      </c>
      <c r="W94" s="42" t="n">
        <f aca="false">IF($A94="","",IF(ISNUMBER('Raw data'!S94),'Raw data'!S94*100,""))</f>
        <v>1.72871178165765</v>
      </c>
      <c r="X94" s="42" t="n">
        <f aca="false">IF($A94="","",IF(ISNUMBER('Raw data'!T94),'Raw data'!T94*100,""))</f>
        <v>2.0144731624145</v>
      </c>
      <c r="Y94" s="37" t="str">
        <f aca="false">IF($A94="","",IF('Raw data'!D94="","",'Raw data'!D94))</f>
        <v>Cooling</v>
      </c>
      <c r="Z94" s="38" t="n">
        <f aca="false">IF($A94="","",IF(ISNUMBER('Raw data'!F94),'Raw data'!F94,""))</f>
        <v>19662.69</v>
      </c>
      <c r="AA94" s="38" t="n">
        <f aca="false">IF($A94="","",IF(ISNUMBER('Raw data'!G94),'Raw data'!G94,""))</f>
        <v>98</v>
      </c>
      <c r="AB94" s="42" t="n">
        <f aca="false">IF($A94="","",IF(ISNUMBER('Raw data'!H94),'Raw data'!H94*100,IF(ISNUMBER('Raw data'!K94),'Raw data'!K94*100,"")))</f>
        <v>2.59293584493279</v>
      </c>
      <c r="AC94" s="42" t="n">
        <f aca="false">IF($A94="","",IF(ISNUMBER('Raw data'!I94),'Raw data'!I94*100,IF(ISNUMBER('Raw data'!M94),'Raw data'!M94*100,"")))</f>
        <v>3.06407394366455</v>
      </c>
      <c r="AD94" s="44" t="n">
        <f aca="false">IF($A94="","",IF(AND(ISNUMBER('Raw data'!N94),ISNUMBER('Raw data'!L94),ISNUMBER('Raw data'!P94),ISNUMBER('Raw data'!S94)),ROUND(('Raw data'!N94*'Raw data'!P94+(1-'Raw data'!N94)*'Raw data'!S94-'Raw data'!L94)*100,1),""))</f>
        <v>-0</v>
      </c>
    </row>
    <row r="95" customFormat="false" ht="15" hidden="false" customHeight="false" outlineLevel="0" collapsed="false">
      <c r="A95" s="37" t="str">
        <f aca="false">IF(TRIM('Raw data'!A95)="","",TRIM('Raw data'!A95))</f>
        <v>Belgium</v>
      </c>
      <c r="B95" s="37" t="str">
        <f aca="false">IF($A95="","",IF('Raw data'!B95="",UPPER(LEFT($A95,3)),'Raw data'!B95))</f>
        <v>BE</v>
      </c>
      <c r="C95" s="37" t="str">
        <f aca="false">IF($A95="","",'Raw data'!C95)</f>
        <v>Commercial</v>
      </c>
      <c r="D95" s="38" t="n">
        <f aca="false">IF(OR($A95="",'Raw data'!J95=""),"",'Raw data'!J95)</f>
        <v>57</v>
      </c>
      <c r="E95" s="38" t="n">
        <f aca="false">IF(OR($A95="",'Raw data'!U95=""),"",'Raw data'!U95)</f>
        <v>6.2</v>
      </c>
      <c r="F95" s="42" t="n">
        <f aca="false">IF($A95="","",IF(ISNUMBER('Raw data'!K95),'Raw data'!K95*100,""))</f>
        <v>2.59293584493279</v>
      </c>
      <c r="G95" s="42" t="n">
        <f aca="false">IF($A95="","",IF(ISNUMBER('Raw data'!L95),'Raw data'!L95*100,""))</f>
        <v>1.81236646664318</v>
      </c>
      <c r="H95" s="42" t="n">
        <f aca="false">IF($A95="","",IF(ISNUMBER('Raw data'!M95),'Raw data'!M95*100,""))</f>
        <v>3.06407394366455</v>
      </c>
      <c r="I95" s="42" t="n">
        <f aca="false">IF($A95="","",IF(ISNUMBER('Raw data'!V95),'Raw data'!V95*100,""))</f>
        <v>4</v>
      </c>
      <c r="J95" s="42" t="n">
        <f aca="false">IF($A95="","",IF(ISNUMBER('Raw data'!W95),'Raw data'!W95*100,""))</f>
        <v>3</v>
      </c>
      <c r="K95" s="42" t="n">
        <f aca="false">IF($A95="","",IF(ISNUMBER('Raw data'!X95),'Raw data'!X95*100,""))</f>
        <v>4.5</v>
      </c>
      <c r="L95" s="42" t="n">
        <f aca="false">IF($A95="","",IF('Raw data'!Z95&lt;&gt;"",'Raw data'!Z95*100,IF(AND(N('Raw data'!J95)&gt;0,'Raw data'!U95&lt;&gt;""),'Raw data'!U95*(1+N('Raw data'!W95))/('Raw data'!J95*(1+N('Raw data'!L95)))*100,"")))</f>
        <v>11.0040746136673</v>
      </c>
      <c r="M95" s="42" t="n">
        <f aca="false">IF($A95="","",IF('Raw data'!Y95&lt;&gt;"",'Raw data'!Y95*100,IF(AND(N('Raw data'!J95)&gt;0,'Raw data'!U95&lt;&gt;""),'Raw data'!U95/'Raw data'!J95*100,"")))</f>
        <v>10.8771929824561</v>
      </c>
      <c r="N95" s="43" t="n">
        <f aca="false">IF($A95="","",IF(ISNUMBER('Raw data'!AA95),'Raw data'!AA95,""))</f>
        <v>4</v>
      </c>
      <c r="O95" s="43" t="n">
        <f aca="false">IF($A95="","",IF(ISNUMBER('Raw data'!AB95),'Raw data'!AB95,""))</f>
        <v>3</v>
      </c>
      <c r="P95" s="43" t="n">
        <f aca="false">IF($A95="","",IF(ISNUMBER('Raw data'!AC95),'Raw data'!AC95,""))</f>
        <v>4</v>
      </c>
      <c r="Q95" s="43" t="n">
        <f aca="false">IF($A95="","",IF(ISNUMBER('Raw data'!AD95),'Raw data'!AD95,""))</f>
        <v>4</v>
      </c>
      <c r="R95" s="43" t="n">
        <f aca="false">IF($A95="","",IF(ISNUMBER('Raw data'!N95),'Raw data'!N95*100,""))</f>
        <v>58.6862733430675</v>
      </c>
      <c r="S95" s="42" t="n">
        <f aca="false">IF($A95="","",IF(ISNUMBER('Raw data'!O95),'Raw data'!O95*100,""))</f>
        <v>3.86848576517109</v>
      </c>
      <c r="T95" s="42" t="n">
        <f aca="false">IF($A95="","",IF(ISNUMBER('Raw data'!P95),'Raw data'!P95*100,""))</f>
        <v>1.87125735529885</v>
      </c>
      <c r="U95" s="42" t="n">
        <f aca="false">IF($A95="","",IF(ISNUMBER('Raw data'!Q95),'Raw data'!Q95*100,""))</f>
        <v>3.77712242046186</v>
      </c>
      <c r="V95" s="42" t="n">
        <f aca="false">IF($A95="","",IF(ISNUMBER('Raw data'!R95),'Raw data'!R95*100,""))</f>
        <v>0.930642174728846</v>
      </c>
      <c r="W95" s="42" t="n">
        <f aca="false">IF($A95="","",IF(ISNUMBER('Raw data'!S95),'Raw data'!S95*100,""))</f>
        <v>1.72871178165765</v>
      </c>
      <c r="X95" s="42" t="n">
        <f aca="false">IF($A95="","",IF(ISNUMBER('Raw data'!T95),'Raw data'!T95*100,""))</f>
        <v>2.0144731624145</v>
      </c>
      <c r="Y95" s="37" t="str">
        <f aca="false">IF($A95="","",IF('Raw data'!D95="","",'Raw data'!D95))</f>
        <v>Sanitary</v>
      </c>
      <c r="Z95" s="38" t="n">
        <f aca="false">IF($A95="","",IF(ISNUMBER('Raw data'!F95),'Raw data'!F95,""))</f>
        <v>19662.69</v>
      </c>
      <c r="AA95" s="38" t="n">
        <f aca="false">IF($A95="","",IF(ISNUMBER('Raw data'!G95),'Raw data'!G95,""))</f>
        <v>106</v>
      </c>
      <c r="AB95" s="42" t="n">
        <f aca="false">IF($A95="","",IF(ISNUMBER('Raw data'!H95),'Raw data'!H95*100,IF(ISNUMBER('Raw data'!K95),'Raw data'!K95*100,"")))</f>
        <v>2.59293584493279</v>
      </c>
      <c r="AC95" s="42" t="n">
        <f aca="false">IF($A95="","",IF(ISNUMBER('Raw data'!I95),'Raw data'!I95*100,IF(ISNUMBER('Raw data'!M95),'Raw data'!M95*100,"")))</f>
        <v>3.06407394366455</v>
      </c>
      <c r="AD95" s="44" t="n">
        <f aca="false">IF($A95="","",IF(AND(ISNUMBER('Raw data'!N95),ISNUMBER('Raw data'!L95),ISNUMBER('Raw data'!P95),ISNUMBER('Raw data'!S95)),ROUND(('Raw data'!N95*'Raw data'!P95+(1-'Raw data'!N95)*'Raw data'!S95-'Raw data'!L95)*100,1),""))</f>
        <v>-0</v>
      </c>
    </row>
    <row r="96" customFormat="false" ht="15" hidden="false" customHeight="false" outlineLevel="0" collapsed="false">
      <c r="A96" s="37" t="str">
        <f aca="false">IF(TRIM('Raw data'!A96)="","",TRIM('Raw data'!A96))</f>
        <v>Spain</v>
      </c>
      <c r="B96" s="37" t="str">
        <f aca="false">IF($A96="","",IF('Raw data'!B96="",UPPER(LEFT($A96,3)),'Raw data'!B96))</f>
        <v>ES</v>
      </c>
      <c r="C96" s="37" t="str">
        <f aca="false">IF($A96="","",'Raw data'!C96)</f>
        <v>Residential</v>
      </c>
      <c r="D96" s="38" t="n">
        <f aca="false">IF(OR($A96="",'Raw data'!J96=""),"",'Raw data'!J96)</f>
        <v>65</v>
      </c>
      <c r="E96" s="38" t="n">
        <f aca="false">IF(OR($A96="",'Raw data'!U96=""),"",'Raw data'!U96)</f>
        <v>7.6</v>
      </c>
      <c r="F96" s="42" t="n">
        <f aca="false">IF($A96="","",IF(ISNUMBER('Raw data'!K96),'Raw data'!K96*100,""))</f>
        <v>3.26404738113613</v>
      </c>
      <c r="G96" s="42" t="n">
        <f aca="false">IF($A96="","",IF(ISNUMBER('Raw data'!L96),'Raw data'!L96*100,""))</f>
        <v>1.76740713200401</v>
      </c>
      <c r="H96" s="42" t="n">
        <f aca="false">IF($A96="","",IF(ISNUMBER('Raw data'!M96),'Raw data'!M96*100,""))</f>
        <v>2.324374871934</v>
      </c>
      <c r="I96" s="42" t="n">
        <f aca="false">IF($A96="","",IF(ISNUMBER('Raw data'!V96),'Raw data'!V96*100,""))</f>
        <v>7.5</v>
      </c>
      <c r="J96" s="42" t="n">
        <f aca="false">IF($A96="","",IF(ISNUMBER('Raw data'!W96),'Raw data'!W96*100,""))</f>
        <v>6</v>
      </c>
      <c r="K96" s="42" t="n">
        <f aca="false">IF($A96="","",IF(ISNUMBER('Raw data'!X96),'Raw data'!X96*100,""))</f>
        <v>8</v>
      </c>
      <c r="L96" s="42" t="n">
        <f aca="false">IF($A96="","",IF('Raw data'!Z96&lt;&gt;"",'Raw data'!Z96*100,IF(AND(N('Raw data'!J96)&gt;0,'Raw data'!U96&lt;&gt;""),'Raw data'!U96*(1+N('Raw data'!W96))/('Raw data'!J96*(1+N('Raw data'!L96)))*100,"")))</f>
        <v>12.1786006965569</v>
      </c>
      <c r="M96" s="42" t="n">
        <f aca="false">IF($A96="","",IF('Raw data'!Y96&lt;&gt;"",'Raw data'!Y96*100,IF(AND(N('Raw data'!J96)&gt;0,'Raw data'!U96&lt;&gt;""),'Raw data'!U96/'Raw data'!J96*100,"")))</f>
        <v>11.6923076923077</v>
      </c>
      <c r="N96" s="43" t="n">
        <f aca="false">IF($A96="","",IF(ISNUMBER('Raw data'!AA96),'Raw data'!AA96,""))</f>
        <v>3</v>
      </c>
      <c r="O96" s="43" t="n">
        <f aca="false">IF($A96="","",IF(ISNUMBER('Raw data'!AB96),'Raw data'!AB96,""))</f>
        <v>3</v>
      </c>
      <c r="P96" s="43" t="n">
        <f aca="false">IF($A96="","",IF(ISNUMBER('Raw data'!AC96),'Raw data'!AC96,""))</f>
        <v>3</v>
      </c>
      <c r="Q96" s="43" t="n">
        <f aca="false">IF($A96="","",IF(ISNUMBER('Raw data'!AD96),'Raw data'!AD96,""))</f>
        <v>4</v>
      </c>
      <c r="R96" s="43" t="n">
        <f aca="false">IF($A96="","",IF(ISNUMBER('Raw data'!N96),'Raw data'!N96*100,""))</f>
        <v>37.0363257678762</v>
      </c>
      <c r="S96" s="42" t="n">
        <f aca="false">IF($A96="","",IF(ISNUMBER('Raw data'!O96),'Raw data'!O96*100,""))</f>
        <v>1.74934729126028</v>
      </c>
      <c r="T96" s="42" t="n">
        <f aca="false">IF($A96="","",IF(ISNUMBER('Raw data'!P96),'Raw data'!P96*100,""))</f>
        <v>-3.01297695674121</v>
      </c>
      <c r="U96" s="42" t="n">
        <f aca="false">IF($A96="","",IF(ISNUMBER('Raw data'!Q96),'Raw data'!Q96*100,""))</f>
        <v>2.95128136891052</v>
      </c>
      <c r="V96" s="42" t="n">
        <f aca="false">IF($A96="","",IF(ISNUMBER('Raw data'!R96),'Raw data'!R96*100,""))</f>
        <v>4.22168609023979</v>
      </c>
      <c r="W96" s="42" t="n">
        <f aca="false">IF($A96="","",IF(ISNUMBER('Raw data'!S96),'Raw data'!S96*100,""))</f>
        <v>4.57931200517943</v>
      </c>
      <c r="X96" s="42" t="n">
        <f aca="false">IF($A96="","",IF(ISNUMBER('Raw data'!T96),'Raw data'!T96*100,""))</f>
        <v>1.97580582580648</v>
      </c>
      <c r="Y96" s="37" t="str">
        <f aca="false">IF($A96="","",IF('Raw data'!D96="","",'Raw data'!D96))</f>
        <v>Heating</v>
      </c>
      <c r="Z96" s="38" t="n">
        <f aca="false">IF($A96="","",IF(ISNUMBER('Raw data'!F96),'Raw data'!F96,""))</f>
        <v>19526.91</v>
      </c>
      <c r="AA96" s="38" t="n">
        <f aca="false">IF($A96="","",IF(ISNUMBER('Raw data'!G96),'Raw data'!G96,""))</f>
        <v>131</v>
      </c>
      <c r="AB96" s="42" t="n">
        <f aca="false">IF($A96="","",IF(ISNUMBER('Raw data'!H96),'Raw data'!H96*100,IF(ISNUMBER('Raw data'!K96),'Raw data'!K96*100,"")))</f>
        <v>3.26404738113613</v>
      </c>
      <c r="AC96" s="42" t="n">
        <f aca="false">IF($A96="","",IF(ISNUMBER('Raw data'!I96),'Raw data'!I96*100,IF(ISNUMBER('Raw data'!M96),'Raw data'!M96*100,"")))</f>
        <v>2.324374871934</v>
      </c>
      <c r="AD96" s="44" t="n">
        <f aca="false">IF($A96="","",IF(AND(ISNUMBER('Raw data'!N96),ISNUMBER('Raw data'!L96),ISNUMBER('Raw data'!P96),ISNUMBER('Raw data'!S96)),ROUND(('Raw data'!N96*'Raw data'!P96+(1-'Raw data'!N96)*'Raw data'!S96-'Raw data'!L96)*100,1),""))</f>
        <v>-0</v>
      </c>
    </row>
    <row r="97" customFormat="false" ht="15" hidden="false" customHeight="false" outlineLevel="0" collapsed="false">
      <c r="A97" s="37" t="str">
        <f aca="false">IF(TRIM('Raw data'!A97)="","",TRIM('Raw data'!A97))</f>
        <v>Spain</v>
      </c>
      <c r="B97" s="37" t="str">
        <f aca="false">IF($A97="","",IF('Raw data'!B97="",UPPER(LEFT($A97,3)),'Raw data'!B97))</f>
        <v>ES</v>
      </c>
      <c r="C97" s="37" t="str">
        <f aca="false">IF($A97="","",'Raw data'!C97)</f>
        <v>Residential</v>
      </c>
      <c r="D97" s="38" t="n">
        <f aca="false">IF(OR($A97="",'Raw data'!J97=""),"",'Raw data'!J97)</f>
        <v>97</v>
      </c>
      <c r="E97" s="38" t="n">
        <f aca="false">IF(OR($A97="",'Raw data'!U97=""),"",'Raw data'!U97)</f>
        <v>5.7</v>
      </c>
      <c r="F97" s="42" t="n">
        <f aca="false">IF($A97="","",IF(ISNUMBER('Raw data'!K97),'Raw data'!K97*100,""))</f>
        <v>3.26404738113613</v>
      </c>
      <c r="G97" s="42" t="n">
        <f aca="false">IF($A97="","",IF(ISNUMBER('Raw data'!L97),'Raw data'!L97*100,""))</f>
        <v>1.76740713200401</v>
      </c>
      <c r="H97" s="42" t="n">
        <f aca="false">IF($A97="","",IF(ISNUMBER('Raw data'!M97),'Raw data'!M97*100,""))</f>
        <v>2.324374871934</v>
      </c>
      <c r="I97" s="42" t="n">
        <f aca="false">IF($A97="","",IF(ISNUMBER('Raw data'!V97),'Raw data'!V97*100,""))</f>
        <v>9</v>
      </c>
      <c r="J97" s="42" t="n">
        <f aca="false">IF($A97="","",IF(ISNUMBER('Raw data'!W97),'Raw data'!W97*100,""))</f>
        <v>7.5</v>
      </c>
      <c r="K97" s="42" t="n">
        <f aca="false">IF($A97="","",IF(ISNUMBER('Raw data'!X97),'Raw data'!X97*100,""))</f>
        <v>9.5</v>
      </c>
      <c r="L97" s="42" t="n">
        <f aca="false">IF($A97="","",IF('Raw data'!Z97&lt;&gt;"",'Raw data'!Z97*100,IF(AND(N('Raw data'!J97)&gt;0,'Raw data'!U97&lt;&gt;""),'Raw data'!U97*(1+N('Raw data'!W97))/('Raw data'!J97*(1+N('Raw data'!L97)))*100,"")))</f>
        <v>6.20730201083384</v>
      </c>
      <c r="M97" s="42" t="n">
        <f aca="false">IF($A97="","",IF('Raw data'!Y97&lt;&gt;"",'Raw data'!Y97*100,IF(AND(N('Raw data'!J97)&gt;0,'Raw data'!U97&lt;&gt;""),'Raw data'!U97/'Raw data'!J97*100,"")))</f>
        <v>5.87628865979381</v>
      </c>
      <c r="N97" s="43" t="n">
        <f aca="false">IF($A97="","",IF(ISNUMBER('Raw data'!AA97),'Raw data'!AA97,""))</f>
        <v>3</v>
      </c>
      <c r="O97" s="43" t="n">
        <f aca="false">IF($A97="","",IF(ISNUMBER('Raw data'!AB97),'Raw data'!AB97,""))</f>
        <v>3</v>
      </c>
      <c r="P97" s="43" t="n">
        <f aca="false">IF($A97="","",IF(ISNUMBER('Raw data'!AC97),'Raw data'!AC97,""))</f>
        <v>3</v>
      </c>
      <c r="Q97" s="43" t="n">
        <f aca="false">IF($A97="","",IF(ISNUMBER('Raw data'!AD97),'Raw data'!AD97,""))</f>
        <v>4</v>
      </c>
      <c r="R97" s="43" t="n">
        <f aca="false">IF($A97="","",IF(ISNUMBER('Raw data'!N97),'Raw data'!N97*100,""))</f>
        <v>37.0363257678762</v>
      </c>
      <c r="S97" s="42" t="n">
        <f aca="false">IF($A97="","",IF(ISNUMBER('Raw data'!O97),'Raw data'!O97*100,""))</f>
        <v>1.74934729126028</v>
      </c>
      <c r="T97" s="42" t="n">
        <f aca="false">IF($A97="","",IF(ISNUMBER('Raw data'!P97),'Raw data'!P97*100,""))</f>
        <v>-3.01297695674121</v>
      </c>
      <c r="U97" s="42" t="n">
        <f aca="false">IF($A97="","",IF(ISNUMBER('Raw data'!Q97),'Raw data'!Q97*100,""))</f>
        <v>2.95128136891052</v>
      </c>
      <c r="V97" s="42" t="n">
        <f aca="false">IF($A97="","",IF(ISNUMBER('Raw data'!R97),'Raw data'!R97*100,""))</f>
        <v>4.22168609023979</v>
      </c>
      <c r="W97" s="42" t="n">
        <f aca="false">IF($A97="","",IF(ISNUMBER('Raw data'!S97),'Raw data'!S97*100,""))</f>
        <v>4.57931200517943</v>
      </c>
      <c r="X97" s="42" t="n">
        <f aca="false">IF($A97="","",IF(ISNUMBER('Raw data'!T97),'Raw data'!T97*100,""))</f>
        <v>1.97580582580648</v>
      </c>
      <c r="Y97" s="37" t="str">
        <f aca="false">IF($A97="","",IF('Raw data'!D97="","",'Raw data'!D97))</f>
        <v>Cooling</v>
      </c>
      <c r="Z97" s="38" t="n">
        <f aca="false">IF($A97="","",IF(ISNUMBER('Raw data'!F97),'Raw data'!F97,""))</f>
        <v>19526.91</v>
      </c>
      <c r="AA97" s="38" t="n">
        <f aca="false">IF($A97="","",IF(ISNUMBER('Raw data'!G97),'Raw data'!G97,""))</f>
        <v>308</v>
      </c>
      <c r="AB97" s="42" t="n">
        <f aca="false">IF($A97="","",IF(ISNUMBER('Raw data'!H97),'Raw data'!H97*100,IF(ISNUMBER('Raw data'!K97),'Raw data'!K97*100,"")))</f>
        <v>3.26404738113613</v>
      </c>
      <c r="AC97" s="42" t="n">
        <f aca="false">IF($A97="","",IF(ISNUMBER('Raw data'!I97),'Raw data'!I97*100,IF(ISNUMBER('Raw data'!M97),'Raw data'!M97*100,"")))</f>
        <v>2.324374871934</v>
      </c>
      <c r="AD97" s="44" t="n">
        <f aca="false">IF($A97="","",IF(AND(ISNUMBER('Raw data'!N97),ISNUMBER('Raw data'!L97),ISNUMBER('Raw data'!P97),ISNUMBER('Raw data'!S97)),ROUND(('Raw data'!N97*'Raw data'!P97+(1-'Raw data'!N97)*'Raw data'!S97-'Raw data'!L97)*100,1),""))</f>
        <v>-0</v>
      </c>
    </row>
    <row r="98" customFormat="false" ht="15" hidden="false" customHeight="false" outlineLevel="0" collapsed="false">
      <c r="A98" s="37" t="str">
        <f aca="false">IF(TRIM('Raw data'!A98)="","",TRIM('Raw data'!A98))</f>
        <v>Spain</v>
      </c>
      <c r="B98" s="37" t="str">
        <f aca="false">IF($A98="","",IF('Raw data'!B98="",UPPER(LEFT($A98,3)),'Raw data'!B98))</f>
        <v>ES</v>
      </c>
      <c r="C98" s="37" t="str">
        <f aca="false">IF($A98="","",'Raw data'!C98)</f>
        <v>Residential</v>
      </c>
      <c r="D98" s="38" t="n">
        <f aca="false">IF(OR($A98="",'Raw data'!J98=""),"",'Raw data'!J98)</f>
        <v>54</v>
      </c>
      <c r="E98" s="38" t="n">
        <f aca="false">IF(OR($A98="",'Raw data'!U98=""),"",'Raw data'!U98)</f>
        <v>4.8</v>
      </c>
      <c r="F98" s="42" t="n">
        <f aca="false">IF($A98="","",IF(ISNUMBER('Raw data'!K98),'Raw data'!K98*100,""))</f>
        <v>3.26404738113613</v>
      </c>
      <c r="G98" s="42" t="n">
        <f aca="false">IF($A98="","",IF(ISNUMBER('Raw data'!L98),'Raw data'!L98*100,""))</f>
        <v>1.76740713200401</v>
      </c>
      <c r="H98" s="42" t="n">
        <f aca="false">IF($A98="","",IF(ISNUMBER('Raw data'!M98),'Raw data'!M98*100,""))</f>
        <v>2.324374871934</v>
      </c>
      <c r="I98" s="42" t="n">
        <f aca="false">IF($A98="","",IF(ISNUMBER('Raw data'!V98),'Raw data'!V98*100,""))</f>
        <v>8</v>
      </c>
      <c r="J98" s="42" t="n">
        <f aca="false">IF($A98="","",IF(ISNUMBER('Raw data'!W98),'Raw data'!W98*100,""))</f>
        <v>6.5</v>
      </c>
      <c r="K98" s="42" t="n">
        <f aca="false">IF($A98="","",IF(ISNUMBER('Raw data'!X98),'Raw data'!X98*100,""))</f>
        <v>8.5</v>
      </c>
      <c r="L98" s="42" t="n">
        <f aca="false">IF($A98="","",IF('Raw data'!Z98&lt;&gt;"",'Raw data'!Z98*100,IF(AND(N('Raw data'!J98)&gt;0,'Raw data'!U98&lt;&gt;""),'Raw data'!U98*(1+N('Raw data'!W98))/('Raw data'!J98*(1+N('Raw data'!L98)))*100,"")))</f>
        <v>9.30225789715494</v>
      </c>
      <c r="M98" s="42" t="n">
        <f aca="false">IF($A98="","",IF('Raw data'!Y98&lt;&gt;"",'Raw data'!Y98*100,IF(AND(N('Raw data'!J98)&gt;0,'Raw data'!U98&lt;&gt;""),'Raw data'!U98/'Raw data'!J98*100,"")))</f>
        <v>8.88888888888889</v>
      </c>
      <c r="N98" s="43" t="n">
        <f aca="false">IF($A98="","",IF(ISNUMBER('Raw data'!AA98),'Raw data'!AA98,""))</f>
        <v>3</v>
      </c>
      <c r="O98" s="43" t="n">
        <f aca="false">IF($A98="","",IF(ISNUMBER('Raw data'!AB98),'Raw data'!AB98,""))</f>
        <v>3</v>
      </c>
      <c r="P98" s="43" t="n">
        <f aca="false">IF($A98="","",IF(ISNUMBER('Raw data'!AC98),'Raw data'!AC98,""))</f>
        <v>3</v>
      </c>
      <c r="Q98" s="43" t="n">
        <f aca="false">IF($A98="","",IF(ISNUMBER('Raw data'!AD98),'Raw data'!AD98,""))</f>
        <v>4</v>
      </c>
      <c r="R98" s="43" t="n">
        <f aca="false">IF($A98="","",IF(ISNUMBER('Raw data'!N98),'Raw data'!N98*100,""))</f>
        <v>37.0363257678762</v>
      </c>
      <c r="S98" s="42" t="n">
        <f aca="false">IF($A98="","",IF(ISNUMBER('Raw data'!O98),'Raw data'!O98*100,""))</f>
        <v>1.74934729126028</v>
      </c>
      <c r="T98" s="42" t="n">
        <f aca="false">IF($A98="","",IF(ISNUMBER('Raw data'!P98),'Raw data'!P98*100,""))</f>
        <v>-3.01297695674121</v>
      </c>
      <c r="U98" s="42" t="n">
        <f aca="false">IF($A98="","",IF(ISNUMBER('Raw data'!Q98),'Raw data'!Q98*100,""))</f>
        <v>2.95128136891052</v>
      </c>
      <c r="V98" s="42" t="n">
        <f aca="false">IF($A98="","",IF(ISNUMBER('Raw data'!R98),'Raw data'!R98*100,""))</f>
        <v>4.22168609023979</v>
      </c>
      <c r="W98" s="42" t="n">
        <f aca="false">IF($A98="","",IF(ISNUMBER('Raw data'!S98),'Raw data'!S98*100,""))</f>
        <v>4.57931200517943</v>
      </c>
      <c r="X98" s="42" t="n">
        <f aca="false">IF($A98="","",IF(ISNUMBER('Raw data'!T98),'Raw data'!T98*100,""))</f>
        <v>1.97580582580648</v>
      </c>
      <c r="Y98" s="37" t="str">
        <f aca="false">IF($A98="","",IF('Raw data'!D98="","",'Raw data'!D98))</f>
        <v>Sanitary</v>
      </c>
      <c r="Z98" s="38" t="n">
        <f aca="false">IF($A98="","",IF(ISNUMBER('Raw data'!F98),'Raw data'!F98,""))</f>
        <v>19526.91</v>
      </c>
      <c r="AA98" s="38" t="n">
        <f aca="false">IF($A98="","",IF(ISNUMBER('Raw data'!G98),'Raw data'!G98,""))</f>
        <v>133</v>
      </c>
      <c r="AB98" s="42" t="n">
        <f aca="false">IF($A98="","",IF(ISNUMBER('Raw data'!H98),'Raw data'!H98*100,IF(ISNUMBER('Raw data'!K98),'Raw data'!K98*100,"")))</f>
        <v>3.26404738113613</v>
      </c>
      <c r="AC98" s="42" t="n">
        <f aca="false">IF($A98="","",IF(ISNUMBER('Raw data'!I98),'Raw data'!I98*100,IF(ISNUMBER('Raw data'!M98),'Raw data'!M98*100,"")))</f>
        <v>2.324374871934</v>
      </c>
      <c r="AD98" s="44" t="n">
        <f aca="false">IF($A98="","",IF(AND(ISNUMBER('Raw data'!N98),ISNUMBER('Raw data'!L98),ISNUMBER('Raw data'!P98),ISNUMBER('Raw data'!S98)),ROUND(('Raw data'!N98*'Raw data'!P98+(1-'Raw data'!N98)*'Raw data'!S98-'Raw data'!L98)*100,1),""))</f>
        <v>-0</v>
      </c>
    </row>
    <row r="99" customFormat="false" ht="15" hidden="false" customHeight="false" outlineLevel="0" collapsed="false">
      <c r="A99" s="37" t="str">
        <f aca="false">IF(TRIM('Raw data'!A99)="","",TRIM('Raw data'!A99))</f>
        <v>Spain</v>
      </c>
      <c r="B99" s="37" t="str">
        <f aca="false">IF($A99="","",IF('Raw data'!B99="",UPPER(LEFT($A99,3)),'Raw data'!B99))</f>
        <v>ES</v>
      </c>
      <c r="C99" s="37" t="str">
        <f aca="false">IF($A99="","",'Raw data'!C99)</f>
        <v>Commercial</v>
      </c>
      <c r="D99" s="38" t="n">
        <f aca="false">IF(OR($A99="",'Raw data'!J99=""),"",'Raw data'!J99)</f>
        <v>283</v>
      </c>
      <c r="E99" s="38" t="n">
        <f aca="false">IF(OR($A99="",'Raw data'!U99=""),"",'Raw data'!U99)</f>
        <v>25.5</v>
      </c>
      <c r="F99" s="42" t="n">
        <f aca="false">IF($A99="","",IF(ISNUMBER('Raw data'!K99),'Raw data'!K99*100,""))</f>
        <v>4.67386273311994</v>
      </c>
      <c r="G99" s="42" t="n">
        <f aca="false">IF($A99="","",IF(ISNUMBER('Raw data'!L99),'Raw data'!L99*100,""))</f>
        <v>6.67727955719091</v>
      </c>
      <c r="H99" s="42" t="n">
        <f aca="false">IF($A99="","",IF(ISNUMBER('Raw data'!M99),'Raw data'!M99*100,""))</f>
        <v>3.65555194596321</v>
      </c>
      <c r="I99" s="42" t="n">
        <f aca="false">IF($A99="","",IF(ISNUMBER('Raw data'!V99),'Raw data'!V99*100,""))</f>
        <v>8</v>
      </c>
      <c r="J99" s="42" t="n">
        <f aca="false">IF($A99="","",IF(ISNUMBER('Raw data'!W99),'Raw data'!W99*100,""))</f>
        <v>6.5</v>
      </c>
      <c r="K99" s="42" t="n">
        <f aca="false">IF($A99="","",IF(ISNUMBER('Raw data'!X99),'Raw data'!X99*100,""))</f>
        <v>8.5</v>
      </c>
      <c r="L99" s="42" t="n">
        <f aca="false">IF($A99="","",IF('Raw data'!Z99&lt;&gt;"",'Raw data'!Z99*100,IF(AND(N('Raw data'!J99)&gt;0,'Raw data'!U99&lt;&gt;""),'Raw data'!U99*(1+N('Raw data'!W99))/('Raw data'!J99*(1+N('Raw data'!L99)))*100,"")))</f>
        <v>8.99562661560515</v>
      </c>
      <c r="M99" s="42" t="n">
        <f aca="false">IF($A99="","",IF('Raw data'!Y99&lt;&gt;"",'Raw data'!Y99*100,IF(AND(N('Raw data'!J99)&gt;0,'Raw data'!U99&lt;&gt;""),'Raw data'!U99/'Raw data'!J99*100,"")))</f>
        <v>9.01060070671378</v>
      </c>
      <c r="N99" s="43" t="n">
        <f aca="false">IF($A99="","",IF(ISNUMBER('Raw data'!AA99),'Raw data'!AA99,""))</f>
        <v>3</v>
      </c>
      <c r="O99" s="43" t="n">
        <f aca="false">IF($A99="","",IF(ISNUMBER('Raw data'!AB99),'Raw data'!AB99,""))</f>
        <v>3</v>
      </c>
      <c r="P99" s="43" t="n">
        <f aca="false">IF($A99="","",IF(ISNUMBER('Raw data'!AC99),'Raw data'!AC99,""))</f>
        <v>3</v>
      </c>
      <c r="Q99" s="43" t="n">
        <f aca="false">IF($A99="","",IF(ISNUMBER('Raw data'!AD99),'Raw data'!AD99,""))</f>
        <v>4</v>
      </c>
      <c r="R99" s="43" t="n">
        <f aca="false">IF($A99="","",IF(ISNUMBER('Raw data'!N99),'Raw data'!N99*100,""))</f>
        <v>35.8499952162361</v>
      </c>
      <c r="S99" s="42" t="n">
        <f aca="false">IF($A99="","",IF(ISNUMBER('Raw data'!O99),'Raw data'!O99*100,""))</f>
        <v>5.06196522202851</v>
      </c>
      <c r="T99" s="42" t="n">
        <f aca="false">IF($A99="","",IF(ISNUMBER('Raw data'!P99),'Raw data'!P99*100,""))</f>
        <v>-0.126513267560391</v>
      </c>
      <c r="U99" s="42" t="n">
        <f aca="false">IF($A99="","",IF(ISNUMBER('Raw data'!Q99),'Raw data'!Q99*100,""))</f>
        <v>4.06819560795881</v>
      </c>
      <c r="V99" s="42" t="n">
        <f aca="false">IF($A99="","",IF(ISNUMBER('Raw data'!R99),'Raw data'!R99*100,""))</f>
        <v>4.46067368696885</v>
      </c>
      <c r="W99" s="42" t="n">
        <f aca="false">IF($A99="","",IF(ISNUMBER('Raw data'!S99),'Raw data'!S99*100,""))</f>
        <v>10.479554257587</v>
      </c>
      <c r="X99" s="42" t="n">
        <f aca="false">IF($A99="","",IF(ISNUMBER('Raw data'!T99),'Raw data'!T99*100,""))</f>
        <v>3.44456205032071</v>
      </c>
      <c r="Y99" s="37" t="str">
        <f aca="false">IF($A99="","",IF('Raw data'!D99="","",'Raw data'!D99))</f>
        <v>Heating</v>
      </c>
      <c r="Z99" s="38" t="n">
        <f aca="false">IF($A99="","",IF(ISNUMBER('Raw data'!F99),'Raw data'!F99,""))</f>
        <v>85393.01</v>
      </c>
      <c r="AA99" s="38" t="n">
        <f aca="false">IF($A99="","",IF(ISNUMBER('Raw data'!G99),'Raw data'!G99,""))</f>
        <v>572</v>
      </c>
      <c r="AB99" s="42" t="n">
        <f aca="false">IF($A99="","",IF(ISNUMBER('Raw data'!H99),'Raw data'!H99*100,IF(ISNUMBER('Raw data'!K99),'Raw data'!K99*100,"")))</f>
        <v>4.67386273311994</v>
      </c>
      <c r="AC99" s="42" t="n">
        <f aca="false">IF($A99="","",IF(ISNUMBER('Raw data'!I99),'Raw data'!I99*100,IF(ISNUMBER('Raw data'!M99),'Raw data'!M99*100,"")))</f>
        <v>3.65555194596321</v>
      </c>
      <c r="AD99" s="44" t="n">
        <f aca="false">IF($A99="","",IF(AND(ISNUMBER('Raw data'!N99),ISNUMBER('Raw data'!L99),ISNUMBER('Raw data'!P99),ISNUMBER('Raw data'!S99)),ROUND(('Raw data'!N99*'Raw data'!P99+(1-'Raw data'!N99)*'Raw data'!S99-'Raw data'!L99)*100,1),""))</f>
        <v>0</v>
      </c>
    </row>
    <row r="100" customFormat="false" ht="15" hidden="false" customHeight="false" outlineLevel="0" collapsed="false">
      <c r="A100" s="37" t="str">
        <f aca="false">IF(TRIM('Raw data'!A100)="","",TRIM('Raw data'!A100))</f>
        <v>Spain</v>
      </c>
      <c r="B100" s="37" t="str">
        <f aca="false">IF($A100="","",IF('Raw data'!B100="",UPPER(LEFT($A100,3)),'Raw data'!B100))</f>
        <v>ES</v>
      </c>
      <c r="C100" s="37" t="str">
        <f aca="false">IF($A100="","",'Raw data'!C100)</f>
        <v>Commercial</v>
      </c>
      <c r="D100" s="38" t="n">
        <f aca="false">IF(OR($A100="",'Raw data'!J100=""),"",'Raw data'!J100)</f>
        <v>424</v>
      </c>
      <c r="E100" s="38" t="n">
        <f aca="false">IF(OR($A100="",'Raw data'!U100=""),"",'Raw data'!U100)</f>
        <v>19.1</v>
      </c>
      <c r="F100" s="42" t="n">
        <f aca="false">IF($A100="","",IF(ISNUMBER('Raw data'!K100),'Raw data'!K100*100,""))</f>
        <v>4.67386273311994</v>
      </c>
      <c r="G100" s="42" t="n">
        <f aca="false">IF($A100="","",IF(ISNUMBER('Raw data'!L100),'Raw data'!L100*100,""))</f>
        <v>6.67727955719091</v>
      </c>
      <c r="H100" s="42" t="n">
        <f aca="false">IF($A100="","",IF(ISNUMBER('Raw data'!M100),'Raw data'!M100*100,""))</f>
        <v>3.65555194596321</v>
      </c>
      <c r="I100" s="42" t="n">
        <f aca="false">IF($A100="","",IF(ISNUMBER('Raw data'!V100),'Raw data'!V100*100,""))</f>
        <v>9.5</v>
      </c>
      <c r="J100" s="42" t="n">
        <f aca="false">IF($A100="","",IF(ISNUMBER('Raw data'!W100),'Raw data'!W100*100,""))</f>
        <v>8</v>
      </c>
      <c r="K100" s="42" t="n">
        <f aca="false">IF($A100="","",IF(ISNUMBER('Raw data'!X100),'Raw data'!X100*100,""))</f>
        <v>10</v>
      </c>
      <c r="L100" s="42" t="n">
        <f aca="false">IF($A100="","",IF('Raw data'!Z100&lt;&gt;"",'Raw data'!Z100*100,IF(AND(N('Raw data'!J100)&gt;0,'Raw data'!U100&lt;&gt;""),'Raw data'!U100*(1+N('Raw data'!W100))/('Raw data'!J100*(1+N('Raw data'!L100)))*100,"")))</f>
        <v>4.56057218539625</v>
      </c>
      <c r="M100" s="42" t="n">
        <f aca="false">IF($A100="","",IF('Raw data'!Y100&lt;&gt;"",'Raw data'!Y100*100,IF(AND(N('Raw data'!J100)&gt;0,'Raw data'!U100&lt;&gt;""),'Raw data'!U100/'Raw data'!J100*100,"")))</f>
        <v>4.50471698113208</v>
      </c>
      <c r="N100" s="43" t="n">
        <f aca="false">IF($A100="","",IF(ISNUMBER('Raw data'!AA100),'Raw data'!AA100,""))</f>
        <v>3</v>
      </c>
      <c r="O100" s="43" t="n">
        <f aca="false">IF($A100="","",IF(ISNUMBER('Raw data'!AB100),'Raw data'!AB100,""))</f>
        <v>3</v>
      </c>
      <c r="P100" s="43" t="n">
        <f aca="false">IF($A100="","",IF(ISNUMBER('Raw data'!AC100),'Raw data'!AC100,""))</f>
        <v>3</v>
      </c>
      <c r="Q100" s="43" t="n">
        <f aca="false">IF($A100="","",IF(ISNUMBER('Raw data'!AD100),'Raw data'!AD100,""))</f>
        <v>4</v>
      </c>
      <c r="R100" s="43" t="n">
        <f aca="false">IF($A100="","",IF(ISNUMBER('Raw data'!N100),'Raw data'!N100*100,""))</f>
        <v>35.8499952162361</v>
      </c>
      <c r="S100" s="42" t="n">
        <f aca="false">IF($A100="","",IF(ISNUMBER('Raw data'!O100),'Raw data'!O100*100,""))</f>
        <v>5.06196522202851</v>
      </c>
      <c r="T100" s="42" t="n">
        <f aca="false">IF($A100="","",IF(ISNUMBER('Raw data'!P100),'Raw data'!P100*100,""))</f>
        <v>-0.126513267560391</v>
      </c>
      <c r="U100" s="42" t="n">
        <f aca="false">IF($A100="","",IF(ISNUMBER('Raw data'!Q100),'Raw data'!Q100*100,""))</f>
        <v>4.06819560795881</v>
      </c>
      <c r="V100" s="42" t="n">
        <f aca="false">IF($A100="","",IF(ISNUMBER('Raw data'!R100),'Raw data'!R100*100,""))</f>
        <v>4.46067368696885</v>
      </c>
      <c r="W100" s="42" t="n">
        <f aca="false">IF($A100="","",IF(ISNUMBER('Raw data'!S100),'Raw data'!S100*100,""))</f>
        <v>10.479554257587</v>
      </c>
      <c r="X100" s="42" t="n">
        <f aca="false">IF($A100="","",IF(ISNUMBER('Raw data'!T100),'Raw data'!T100*100,""))</f>
        <v>3.44456205032071</v>
      </c>
      <c r="Y100" s="37" t="str">
        <f aca="false">IF($A100="","",IF('Raw data'!D100="","",'Raw data'!D100))</f>
        <v>Cooling</v>
      </c>
      <c r="Z100" s="38" t="n">
        <f aca="false">IF($A100="","",IF(ISNUMBER('Raw data'!F100),'Raw data'!F100,""))</f>
        <v>85393.01</v>
      </c>
      <c r="AA100" s="38" t="n">
        <f aca="false">IF($A100="","",IF(ISNUMBER('Raw data'!G100),'Raw data'!G100,""))</f>
        <v>1346</v>
      </c>
      <c r="AB100" s="42" t="n">
        <f aca="false">IF($A100="","",IF(ISNUMBER('Raw data'!H100),'Raw data'!H100*100,IF(ISNUMBER('Raw data'!K100),'Raw data'!K100*100,"")))</f>
        <v>4.67386273311994</v>
      </c>
      <c r="AC100" s="42" t="n">
        <f aca="false">IF($A100="","",IF(ISNUMBER('Raw data'!I100),'Raw data'!I100*100,IF(ISNUMBER('Raw data'!M100),'Raw data'!M100*100,"")))</f>
        <v>3.65555194596321</v>
      </c>
      <c r="AD100" s="44" t="n">
        <f aca="false">IF($A100="","",IF(AND(ISNUMBER('Raw data'!N100),ISNUMBER('Raw data'!L100),ISNUMBER('Raw data'!P100),ISNUMBER('Raw data'!S100)),ROUND(('Raw data'!N100*'Raw data'!P100+(1-'Raw data'!N100)*'Raw data'!S100-'Raw data'!L100)*100,1),""))</f>
        <v>0</v>
      </c>
    </row>
    <row r="101" customFormat="false" ht="15" hidden="false" customHeight="false" outlineLevel="0" collapsed="false">
      <c r="A101" s="37" t="str">
        <f aca="false">IF(TRIM('Raw data'!A101)="","",TRIM('Raw data'!A101))</f>
        <v>Spain</v>
      </c>
      <c r="B101" s="37" t="str">
        <f aca="false">IF($A101="","",IF('Raw data'!B101="",UPPER(LEFT($A101,3)),'Raw data'!B101))</f>
        <v>ES</v>
      </c>
      <c r="C101" s="37" t="str">
        <f aca="false">IF($A101="","",'Raw data'!C101)</f>
        <v>Commercial</v>
      </c>
      <c r="D101" s="38" t="n">
        <f aca="false">IF(OR($A101="",'Raw data'!J101=""),"",'Raw data'!J101)</f>
        <v>236</v>
      </c>
      <c r="E101" s="38" t="n">
        <f aca="false">IF(OR($A101="",'Raw data'!U101=""),"",'Raw data'!U101)</f>
        <v>15.9</v>
      </c>
      <c r="F101" s="42" t="n">
        <f aca="false">IF($A101="","",IF(ISNUMBER('Raw data'!K101),'Raw data'!K101*100,""))</f>
        <v>4.67386273311994</v>
      </c>
      <c r="G101" s="42" t="n">
        <f aca="false">IF($A101="","",IF(ISNUMBER('Raw data'!L101),'Raw data'!L101*100,""))</f>
        <v>6.67727955719091</v>
      </c>
      <c r="H101" s="42" t="n">
        <f aca="false">IF($A101="","",IF(ISNUMBER('Raw data'!M101),'Raw data'!M101*100,""))</f>
        <v>3.65555194596321</v>
      </c>
      <c r="I101" s="42" t="n">
        <f aca="false">IF($A101="","",IF(ISNUMBER('Raw data'!V101),'Raw data'!V101*100,""))</f>
        <v>8.5</v>
      </c>
      <c r="J101" s="42" t="n">
        <f aca="false">IF($A101="","",IF(ISNUMBER('Raw data'!W101),'Raw data'!W101*100,""))</f>
        <v>7</v>
      </c>
      <c r="K101" s="42" t="n">
        <f aca="false">IF($A101="","",IF(ISNUMBER('Raw data'!X101),'Raw data'!X101*100,""))</f>
        <v>9</v>
      </c>
      <c r="L101" s="42" t="n">
        <f aca="false">IF($A101="","",IF('Raw data'!Z101&lt;&gt;"",'Raw data'!Z101*100,IF(AND(N('Raw data'!J101)&gt;0,'Raw data'!U101&lt;&gt;""),'Raw data'!U101*(1+N('Raw data'!W101))/('Raw data'!J101*(1+N('Raw data'!L101)))*100,"")))</f>
        <v>6.75766980092511</v>
      </c>
      <c r="M101" s="42" t="n">
        <f aca="false">IF($A101="","",IF('Raw data'!Y101&lt;&gt;"",'Raw data'!Y101*100,IF(AND(N('Raw data'!J101)&gt;0,'Raw data'!U101&lt;&gt;""),'Raw data'!U101/'Raw data'!J101*100,"")))</f>
        <v>6.73728813559322</v>
      </c>
      <c r="N101" s="43" t="n">
        <f aca="false">IF($A101="","",IF(ISNUMBER('Raw data'!AA101),'Raw data'!AA101,""))</f>
        <v>3</v>
      </c>
      <c r="O101" s="43" t="n">
        <f aca="false">IF($A101="","",IF(ISNUMBER('Raw data'!AB101),'Raw data'!AB101,""))</f>
        <v>3</v>
      </c>
      <c r="P101" s="43" t="n">
        <f aca="false">IF($A101="","",IF(ISNUMBER('Raw data'!AC101),'Raw data'!AC101,""))</f>
        <v>3</v>
      </c>
      <c r="Q101" s="43" t="n">
        <f aca="false">IF($A101="","",IF(ISNUMBER('Raw data'!AD101),'Raw data'!AD101,""))</f>
        <v>4</v>
      </c>
      <c r="R101" s="43" t="n">
        <f aca="false">IF($A101="","",IF(ISNUMBER('Raw data'!N101),'Raw data'!N101*100,""))</f>
        <v>35.8499952162361</v>
      </c>
      <c r="S101" s="42" t="n">
        <f aca="false">IF($A101="","",IF(ISNUMBER('Raw data'!O101),'Raw data'!O101*100,""))</f>
        <v>5.06196522202851</v>
      </c>
      <c r="T101" s="42" t="n">
        <f aca="false">IF($A101="","",IF(ISNUMBER('Raw data'!P101),'Raw data'!P101*100,""))</f>
        <v>-0.126513267560391</v>
      </c>
      <c r="U101" s="42" t="n">
        <f aca="false">IF($A101="","",IF(ISNUMBER('Raw data'!Q101),'Raw data'!Q101*100,""))</f>
        <v>4.06819560795881</v>
      </c>
      <c r="V101" s="42" t="n">
        <f aca="false">IF($A101="","",IF(ISNUMBER('Raw data'!R101),'Raw data'!R101*100,""))</f>
        <v>4.46067368696885</v>
      </c>
      <c r="W101" s="42" t="n">
        <f aca="false">IF($A101="","",IF(ISNUMBER('Raw data'!S101),'Raw data'!S101*100,""))</f>
        <v>10.479554257587</v>
      </c>
      <c r="X101" s="42" t="n">
        <f aca="false">IF($A101="","",IF(ISNUMBER('Raw data'!T101),'Raw data'!T101*100,""))</f>
        <v>3.44456205032071</v>
      </c>
      <c r="Y101" s="37" t="str">
        <f aca="false">IF($A101="","",IF('Raw data'!D101="","",'Raw data'!D101))</f>
        <v>Sanitary</v>
      </c>
      <c r="Z101" s="38" t="n">
        <f aca="false">IF($A101="","",IF(ISNUMBER('Raw data'!F101),'Raw data'!F101,""))</f>
        <v>85393.01</v>
      </c>
      <c r="AA101" s="38" t="n">
        <f aca="false">IF($A101="","",IF(ISNUMBER('Raw data'!G101),'Raw data'!G101,""))</f>
        <v>583</v>
      </c>
      <c r="AB101" s="42" t="n">
        <f aca="false">IF($A101="","",IF(ISNUMBER('Raw data'!H101),'Raw data'!H101*100,IF(ISNUMBER('Raw data'!K101),'Raw data'!K101*100,"")))</f>
        <v>4.67386273311994</v>
      </c>
      <c r="AC101" s="42" t="n">
        <f aca="false">IF($A101="","",IF(ISNUMBER('Raw data'!I101),'Raw data'!I101*100,IF(ISNUMBER('Raw data'!M101),'Raw data'!M101*100,"")))</f>
        <v>3.65555194596321</v>
      </c>
      <c r="AD101" s="44" t="n">
        <f aca="false">IF($A101="","",IF(AND(ISNUMBER('Raw data'!N101),ISNUMBER('Raw data'!L101),ISNUMBER('Raw data'!P101),ISNUMBER('Raw data'!S101)),ROUND(('Raw data'!N101*'Raw data'!P101+(1-'Raw data'!N101)*'Raw data'!S101-'Raw data'!L101)*100,1),""))</f>
        <v>0</v>
      </c>
    </row>
    <row r="102" customFormat="false" ht="15" hidden="false" customHeight="false" outlineLevel="0" collapsed="false">
      <c r="A102" s="37" t="str">
        <f aca="false">IF(TRIM('Raw data'!A102)="","",TRIM('Raw data'!A102))</f>
        <v>Portugal</v>
      </c>
      <c r="B102" s="37" t="str">
        <f aca="false">IF($A102="","",IF('Raw data'!B102="",UPPER(LEFT($A102,3)),'Raw data'!B102))</f>
        <v>PT</v>
      </c>
      <c r="C102" s="37" t="str">
        <f aca="false">IF($A102="","",'Raw data'!C102)</f>
        <v>Residential</v>
      </c>
      <c r="D102" s="38" t="n">
        <f aca="false">IF(OR($A102="",'Raw data'!J102=""),"",'Raw data'!J102)</f>
        <v>14</v>
      </c>
      <c r="E102" s="38" t="n">
        <f aca="false">IF(OR($A102="",'Raw data'!U102=""),"",'Raw data'!U102)</f>
        <v>1.3</v>
      </c>
      <c r="F102" s="42" t="n">
        <f aca="false">IF($A102="","",IF(ISNUMBER('Raw data'!K102),'Raw data'!K102*100,""))</f>
        <v>3.02065041126041</v>
      </c>
      <c r="G102" s="42" t="n">
        <f aca="false">IF($A102="","",IF(ISNUMBER('Raw data'!L102),'Raw data'!L102*100,""))</f>
        <v>4.22738065562294</v>
      </c>
      <c r="H102" s="42" t="n">
        <f aca="false">IF($A102="","",IF(ISNUMBER('Raw data'!M102),'Raw data'!M102*100,""))</f>
        <v>0.194248928808927</v>
      </c>
      <c r="I102" s="42" t="n">
        <f aca="false">IF($A102="","",IF(ISNUMBER('Raw data'!V102),'Raw data'!V102*100,""))</f>
        <v>6.5</v>
      </c>
      <c r="J102" s="42" t="n">
        <f aca="false">IF($A102="","",IF(ISNUMBER('Raw data'!W102),'Raw data'!W102*100,""))</f>
        <v>5</v>
      </c>
      <c r="K102" s="42" t="n">
        <f aca="false">IF($A102="","",IF(ISNUMBER('Raw data'!X102),'Raw data'!X102*100,""))</f>
        <v>5</v>
      </c>
      <c r="L102" s="42" t="n">
        <f aca="false">IF($A102="","",IF('Raw data'!Z102&lt;&gt;"",'Raw data'!Z102*100,IF(AND(N('Raw data'!J102)&gt;0,'Raw data'!U102&lt;&gt;""),'Raw data'!U102*(1+N('Raw data'!W102))/('Raw data'!J102*(1+N('Raw data'!L102)))*100,"")))</f>
        <v>9.35454766172712</v>
      </c>
      <c r="M102" s="42" t="n">
        <f aca="false">IF($A102="","",IF('Raw data'!Y102&lt;&gt;"",'Raw data'!Y102*100,IF(AND(N('Raw data'!J102)&gt;0,'Raw data'!U102&lt;&gt;""),'Raw data'!U102/'Raw data'!J102*100,"")))</f>
        <v>9.28571428571429</v>
      </c>
      <c r="N102" s="43" t="n">
        <f aca="false">IF($A102="","",IF(ISNUMBER('Raw data'!AA102),'Raw data'!AA102,""))</f>
        <v>3</v>
      </c>
      <c r="O102" s="43" t="n">
        <f aca="false">IF($A102="","",IF(ISNUMBER('Raw data'!AB102),'Raw data'!AB102,""))</f>
        <v>3</v>
      </c>
      <c r="P102" s="43" t="n">
        <f aca="false">IF($A102="","",IF(ISNUMBER('Raw data'!AC102),'Raw data'!AC102,""))</f>
        <v>3</v>
      </c>
      <c r="Q102" s="43" t="n">
        <f aca="false">IF($A102="","",IF(ISNUMBER('Raw data'!AD102),'Raw data'!AD102,""))</f>
        <v>4</v>
      </c>
      <c r="R102" s="43" t="n">
        <f aca="false">IF($A102="","",IF(ISNUMBER('Raw data'!N102),'Raw data'!N102*100,""))</f>
        <v>79.572654092041</v>
      </c>
      <c r="S102" s="42" t="n">
        <f aca="false">IF($A102="","",IF(ISNUMBER('Raw data'!O102),'Raw data'!O102*100,""))</f>
        <v>7.67251779377851</v>
      </c>
      <c r="T102" s="42" t="n">
        <f aca="false">IF($A102="","",IF(ISNUMBER('Raw data'!P102),'Raw data'!P102*100,""))</f>
        <v>3.11465657454226</v>
      </c>
      <c r="U102" s="42" t="n">
        <f aca="false">IF($A102="","",IF(ISNUMBER('Raw data'!Q102),'Raw data'!Q102*100,""))</f>
        <v>-0.232400479225148</v>
      </c>
      <c r="V102" s="42" t="n">
        <f aca="false">IF($A102="","",IF(ISNUMBER('Raw data'!R102),'Raw data'!R102*100,""))</f>
        <v>-8.11615626027069</v>
      </c>
      <c r="W102" s="42" t="n">
        <f aca="false">IF($A102="","",IF(ISNUMBER('Raw data'!S102),'Raw data'!S102*100,""))</f>
        <v>8.5618844527716</v>
      </c>
      <c r="X102" s="42" t="n">
        <f aca="false">IF($A102="","",IF(ISNUMBER('Raw data'!T102),'Raw data'!T102*100,""))</f>
        <v>1.71271224812015</v>
      </c>
      <c r="Y102" s="37" t="str">
        <f aca="false">IF($A102="","",IF('Raw data'!D102="","",'Raw data'!D102))</f>
        <v>Heating</v>
      </c>
      <c r="Z102" s="38" t="n">
        <f aca="false">IF($A102="","",IF(ISNUMBER('Raw data'!F102),'Raw data'!F102,""))</f>
        <v>3971.49</v>
      </c>
      <c r="AA102" s="38" t="n">
        <f aca="false">IF($A102="","",IF(ISNUMBER('Raw data'!G102),'Raw data'!G102,""))</f>
        <v>32</v>
      </c>
      <c r="AB102" s="42" t="n">
        <f aca="false">IF($A102="","",IF(ISNUMBER('Raw data'!H102),'Raw data'!H102*100,IF(ISNUMBER('Raw data'!K102),'Raw data'!K102*100,"")))</f>
        <v>3.02065041126041</v>
      </c>
      <c r="AC102" s="42" t="n">
        <f aca="false">IF($A102="","",IF(ISNUMBER('Raw data'!I102),'Raw data'!I102*100,IF(ISNUMBER('Raw data'!M102),'Raw data'!M102*100,"")))</f>
        <v>0.194248928808927</v>
      </c>
      <c r="AD102" s="44" t="n">
        <f aca="false">IF($A102="","",IF(AND(ISNUMBER('Raw data'!N102),ISNUMBER('Raw data'!L102),ISNUMBER('Raw data'!P102),ISNUMBER('Raw data'!S102)),ROUND(('Raw data'!N102*'Raw data'!P102+(1-'Raw data'!N102)*'Raw data'!S102-'Raw data'!L102)*100,1),""))</f>
        <v>0</v>
      </c>
    </row>
    <row r="103" customFormat="false" ht="15" hidden="false" customHeight="false" outlineLevel="0" collapsed="false">
      <c r="A103" s="37" t="str">
        <f aca="false">IF(TRIM('Raw data'!A103)="","",TRIM('Raw data'!A103))</f>
        <v>Portugal</v>
      </c>
      <c r="B103" s="37" t="str">
        <f aca="false">IF($A103="","",IF('Raw data'!B103="",UPPER(LEFT($A103,3)),'Raw data'!B103))</f>
        <v>PT</v>
      </c>
      <c r="C103" s="37" t="str">
        <f aca="false">IF($A103="","",'Raw data'!C103)</f>
        <v>Residential</v>
      </c>
      <c r="D103" s="38" t="n">
        <f aca="false">IF(OR($A103="",'Raw data'!J103=""),"",'Raw data'!J103)</f>
        <v>18</v>
      </c>
      <c r="E103" s="38" t="n">
        <f aca="false">IF(OR($A103="",'Raw data'!U103=""),"",'Raw data'!U103)</f>
        <v>0.9</v>
      </c>
      <c r="F103" s="42" t="n">
        <f aca="false">IF($A103="","",IF(ISNUMBER('Raw data'!K103),'Raw data'!K103*100,""))</f>
        <v>3.02065041126041</v>
      </c>
      <c r="G103" s="42" t="n">
        <f aca="false">IF($A103="","",IF(ISNUMBER('Raw data'!L103),'Raw data'!L103*100,""))</f>
        <v>4.22738065562294</v>
      </c>
      <c r="H103" s="42" t="n">
        <f aca="false">IF($A103="","",IF(ISNUMBER('Raw data'!M103),'Raw data'!M103*100,""))</f>
        <v>0.194248928808927</v>
      </c>
      <c r="I103" s="42" t="n">
        <f aca="false">IF($A103="","",IF(ISNUMBER('Raw data'!V103),'Raw data'!V103*100,""))</f>
        <v>8</v>
      </c>
      <c r="J103" s="42" t="n">
        <f aca="false">IF($A103="","",IF(ISNUMBER('Raw data'!W103),'Raw data'!W103*100,""))</f>
        <v>6.5</v>
      </c>
      <c r="K103" s="42" t="n">
        <f aca="false">IF($A103="","",IF(ISNUMBER('Raw data'!X103),'Raw data'!X103*100,""))</f>
        <v>6.5</v>
      </c>
      <c r="L103" s="42" t="n">
        <f aca="false">IF($A103="","",IF('Raw data'!Z103&lt;&gt;"",'Raw data'!Z103*100,IF(AND(N('Raw data'!J103)&gt;0,'Raw data'!U103&lt;&gt;""),'Raw data'!U103*(1+N('Raw data'!W103))/('Raw data'!J103*(1+N('Raw data'!L103)))*100,"")))</f>
        <v>5.10902218448173</v>
      </c>
      <c r="M103" s="42" t="n">
        <f aca="false">IF($A103="","",IF('Raw data'!Y103&lt;&gt;"",'Raw data'!Y103*100,IF(AND(N('Raw data'!J103)&gt;0,'Raw data'!U103&lt;&gt;""),'Raw data'!U103/'Raw data'!J103*100,"")))</f>
        <v>5</v>
      </c>
      <c r="N103" s="43" t="n">
        <f aca="false">IF($A103="","",IF(ISNUMBER('Raw data'!AA103),'Raw data'!AA103,""))</f>
        <v>3</v>
      </c>
      <c r="O103" s="43" t="n">
        <f aca="false">IF($A103="","",IF(ISNUMBER('Raw data'!AB103),'Raw data'!AB103,""))</f>
        <v>3</v>
      </c>
      <c r="P103" s="43" t="n">
        <f aca="false">IF($A103="","",IF(ISNUMBER('Raw data'!AC103),'Raw data'!AC103,""))</f>
        <v>3</v>
      </c>
      <c r="Q103" s="43" t="n">
        <f aca="false">IF($A103="","",IF(ISNUMBER('Raw data'!AD103),'Raw data'!AD103,""))</f>
        <v>4</v>
      </c>
      <c r="R103" s="43" t="n">
        <f aca="false">IF($A103="","",IF(ISNUMBER('Raw data'!N103),'Raw data'!N103*100,""))</f>
        <v>79.572654092041</v>
      </c>
      <c r="S103" s="42" t="n">
        <f aca="false">IF($A103="","",IF(ISNUMBER('Raw data'!O103),'Raw data'!O103*100,""))</f>
        <v>7.67251779377851</v>
      </c>
      <c r="T103" s="42" t="n">
        <f aca="false">IF($A103="","",IF(ISNUMBER('Raw data'!P103),'Raw data'!P103*100,""))</f>
        <v>3.11465657454226</v>
      </c>
      <c r="U103" s="42" t="n">
        <f aca="false">IF($A103="","",IF(ISNUMBER('Raw data'!Q103),'Raw data'!Q103*100,""))</f>
        <v>-0.232400479225148</v>
      </c>
      <c r="V103" s="42" t="n">
        <f aca="false">IF($A103="","",IF(ISNUMBER('Raw data'!R103),'Raw data'!R103*100,""))</f>
        <v>-8.11615626027069</v>
      </c>
      <c r="W103" s="42" t="n">
        <f aca="false">IF($A103="","",IF(ISNUMBER('Raw data'!S103),'Raw data'!S103*100,""))</f>
        <v>8.5618844527716</v>
      </c>
      <c r="X103" s="42" t="n">
        <f aca="false">IF($A103="","",IF(ISNUMBER('Raw data'!T103),'Raw data'!T103*100,""))</f>
        <v>1.71271224812015</v>
      </c>
      <c r="Y103" s="37" t="str">
        <f aca="false">IF($A103="","",IF('Raw data'!D103="","",'Raw data'!D103))</f>
        <v>Cooling</v>
      </c>
      <c r="Z103" s="38" t="n">
        <f aca="false">IF($A103="","",IF(ISNUMBER('Raw data'!F103),'Raw data'!F103,""))</f>
        <v>3971.49</v>
      </c>
      <c r="AA103" s="38" t="n">
        <f aca="false">IF($A103="","",IF(ISNUMBER('Raw data'!G103),'Raw data'!G103,""))</f>
        <v>64</v>
      </c>
      <c r="AB103" s="42" t="n">
        <f aca="false">IF($A103="","",IF(ISNUMBER('Raw data'!H103),'Raw data'!H103*100,IF(ISNUMBER('Raw data'!K103),'Raw data'!K103*100,"")))</f>
        <v>3.02065041126041</v>
      </c>
      <c r="AC103" s="42" t="n">
        <f aca="false">IF($A103="","",IF(ISNUMBER('Raw data'!I103),'Raw data'!I103*100,IF(ISNUMBER('Raw data'!M103),'Raw data'!M103*100,"")))</f>
        <v>0.194248928808927</v>
      </c>
      <c r="AD103" s="44" t="n">
        <f aca="false">IF($A103="","",IF(AND(ISNUMBER('Raw data'!N103),ISNUMBER('Raw data'!L103),ISNUMBER('Raw data'!P103),ISNUMBER('Raw data'!S103)),ROUND(('Raw data'!N103*'Raw data'!P103+(1-'Raw data'!N103)*'Raw data'!S103-'Raw data'!L103)*100,1),""))</f>
        <v>0</v>
      </c>
    </row>
    <row r="104" customFormat="false" ht="15" hidden="false" customHeight="false" outlineLevel="0" collapsed="false">
      <c r="A104" s="37" t="str">
        <f aca="false">IF(TRIM('Raw data'!A104)="","",TRIM('Raw data'!A104))</f>
        <v>Portugal</v>
      </c>
      <c r="B104" s="37" t="str">
        <f aca="false">IF($A104="","",IF('Raw data'!B104="",UPPER(LEFT($A104,3)),'Raw data'!B104))</f>
        <v>PT</v>
      </c>
      <c r="C104" s="37" t="str">
        <f aca="false">IF($A104="","",'Raw data'!C104)</f>
        <v>Residential</v>
      </c>
      <c r="D104" s="38" t="n">
        <f aca="false">IF(OR($A104="",'Raw data'!J104=""),"",'Raw data'!J104)</f>
        <v>12</v>
      </c>
      <c r="E104" s="38" t="n">
        <f aca="false">IF(OR($A104="",'Raw data'!U104=""),"",'Raw data'!U104)</f>
        <v>0.9</v>
      </c>
      <c r="F104" s="42" t="n">
        <f aca="false">IF($A104="","",IF(ISNUMBER('Raw data'!K104),'Raw data'!K104*100,""))</f>
        <v>3.02065041126041</v>
      </c>
      <c r="G104" s="42" t="n">
        <f aca="false">IF($A104="","",IF(ISNUMBER('Raw data'!L104),'Raw data'!L104*100,""))</f>
        <v>4.22738065562294</v>
      </c>
      <c r="H104" s="42" t="n">
        <f aca="false">IF($A104="","",IF(ISNUMBER('Raw data'!M104),'Raw data'!M104*100,""))</f>
        <v>0.194248928808927</v>
      </c>
      <c r="I104" s="42" t="n">
        <f aca="false">IF($A104="","",IF(ISNUMBER('Raw data'!V104),'Raw data'!V104*100,""))</f>
        <v>7</v>
      </c>
      <c r="J104" s="42" t="n">
        <f aca="false">IF($A104="","",IF(ISNUMBER('Raw data'!W104),'Raw data'!W104*100,""))</f>
        <v>5.5</v>
      </c>
      <c r="K104" s="42" t="n">
        <f aca="false">IF($A104="","",IF(ISNUMBER('Raw data'!X104),'Raw data'!X104*100,""))</f>
        <v>5.5</v>
      </c>
      <c r="L104" s="42" t="n">
        <f aca="false">IF($A104="","",IF('Raw data'!Z104&lt;&gt;"",'Raw data'!Z104*100,IF(AND(N('Raw data'!J104)&gt;0,'Raw data'!U104&lt;&gt;""),'Raw data'!U104*(1+N('Raw data'!W104))/('Raw data'!J104*(1+N('Raw data'!L104)))*100,"")))</f>
        <v>7.59157521778624</v>
      </c>
      <c r="M104" s="42" t="n">
        <f aca="false">IF($A104="","",IF('Raw data'!Y104&lt;&gt;"",'Raw data'!Y104*100,IF(AND(N('Raw data'!J104)&gt;0,'Raw data'!U104&lt;&gt;""),'Raw data'!U104/'Raw data'!J104*100,"")))</f>
        <v>7.5</v>
      </c>
      <c r="N104" s="43" t="n">
        <f aca="false">IF($A104="","",IF(ISNUMBER('Raw data'!AA104),'Raw data'!AA104,""))</f>
        <v>3</v>
      </c>
      <c r="O104" s="43" t="n">
        <f aca="false">IF($A104="","",IF(ISNUMBER('Raw data'!AB104),'Raw data'!AB104,""))</f>
        <v>3</v>
      </c>
      <c r="P104" s="43" t="n">
        <f aca="false">IF($A104="","",IF(ISNUMBER('Raw data'!AC104),'Raw data'!AC104,""))</f>
        <v>3</v>
      </c>
      <c r="Q104" s="43" t="n">
        <f aca="false">IF($A104="","",IF(ISNUMBER('Raw data'!AD104),'Raw data'!AD104,""))</f>
        <v>4</v>
      </c>
      <c r="R104" s="43" t="n">
        <f aca="false">IF($A104="","",IF(ISNUMBER('Raw data'!N104),'Raw data'!N104*100,""))</f>
        <v>79.572654092041</v>
      </c>
      <c r="S104" s="42" t="n">
        <f aca="false">IF($A104="","",IF(ISNUMBER('Raw data'!O104),'Raw data'!O104*100,""))</f>
        <v>7.67251779377851</v>
      </c>
      <c r="T104" s="42" t="n">
        <f aca="false">IF($A104="","",IF(ISNUMBER('Raw data'!P104),'Raw data'!P104*100,""))</f>
        <v>3.11465657454226</v>
      </c>
      <c r="U104" s="42" t="n">
        <f aca="false">IF($A104="","",IF(ISNUMBER('Raw data'!Q104),'Raw data'!Q104*100,""))</f>
        <v>-0.232400479225148</v>
      </c>
      <c r="V104" s="42" t="n">
        <f aca="false">IF($A104="","",IF(ISNUMBER('Raw data'!R104),'Raw data'!R104*100,""))</f>
        <v>-8.11615626027069</v>
      </c>
      <c r="W104" s="42" t="n">
        <f aca="false">IF($A104="","",IF(ISNUMBER('Raw data'!S104),'Raw data'!S104*100,""))</f>
        <v>8.5618844527716</v>
      </c>
      <c r="X104" s="42" t="n">
        <f aca="false">IF($A104="","",IF(ISNUMBER('Raw data'!T104),'Raw data'!T104*100,""))</f>
        <v>1.71271224812015</v>
      </c>
      <c r="Y104" s="37" t="str">
        <f aca="false">IF($A104="","",IF('Raw data'!D104="","",'Raw data'!D104))</f>
        <v>Sanitary</v>
      </c>
      <c r="Z104" s="38" t="n">
        <f aca="false">IF($A104="","",IF(ISNUMBER('Raw data'!F104),'Raw data'!F104,""))</f>
        <v>3971.49</v>
      </c>
      <c r="AA104" s="38" t="n">
        <f aca="false">IF($A104="","",IF(ISNUMBER('Raw data'!G104),'Raw data'!G104,""))</f>
        <v>33</v>
      </c>
      <c r="AB104" s="42" t="n">
        <f aca="false">IF($A104="","",IF(ISNUMBER('Raw data'!H104),'Raw data'!H104*100,IF(ISNUMBER('Raw data'!K104),'Raw data'!K104*100,"")))</f>
        <v>3.02065041126041</v>
      </c>
      <c r="AC104" s="42" t="n">
        <f aca="false">IF($A104="","",IF(ISNUMBER('Raw data'!I104),'Raw data'!I104*100,IF(ISNUMBER('Raw data'!M104),'Raw data'!M104*100,"")))</f>
        <v>0.194248928808927</v>
      </c>
      <c r="AD104" s="44" t="n">
        <f aca="false">IF($A104="","",IF(AND(ISNUMBER('Raw data'!N104),ISNUMBER('Raw data'!L104),ISNUMBER('Raw data'!P104),ISNUMBER('Raw data'!S104)),ROUND(('Raw data'!N104*'Raw data'!P104+(1-'Raw data'!N104)*'Raw data'!S104-'Raw data'!L104)*100,1),""))</f>
        <v>0</v>
      </c>
    </row>
    <row r="105" customFormat="false" ht="15" hidden="false" customHeight="false" outlineLevel="0" collapsed="false">
      <c r="A105" s="37" t="str">
        <f aca="false">IF(TRIM('Raw data'!A105)="","",TRIM('Raw data'!A105))</f>
        <v>Portugal</v>
      </c>
      <c r="B105" s="37" t="str">
        <f aca="false">IF($A105="","",IF('Raw data'!B105="",UPPER(LEFT($A105,3)),'Raw data'!B105))</f>
        <v>PT</v>
      </c>
      <c r="C105" s="37" t="str">
        <f aca="false">IF($A105="","",'Raw data'!C105)</f>
        <v>Commercial</v>
      </c>
      <c r="D105" s="38" t="n">
        <f aca="false">IF(OR($A105="",'Raw data'!J105=""),"",'Raw data'!J105)</f>
        <v>30</v>
      </c>
      <c r="E105" s="38" t="n">
        <f aca="false">IF(OR($A105="",'Raw data'!U105=""),"",'Raw data'!U105)</f>
        <v>2.2</v>
      </c>
      <c r="F105" s="42" t="n">
        <f aca="false">IF($A105="","",IF(ISNUMBER('Raw data'!K105),'Raw data'!K105*100,""))</f>
        <v>3.74424361121726</v>
      </c>
      <c r="G105" s="42" t="n">
        <f aca="false">IF($A105="","",IF(ISNUMBER('Raw data'!L105),'Raw data'!L105*100,""))</f>
        <v>8.45552053764742</v>
      </c>
      <c r="H105" s="42" t="n">
        <f aca="false">IF($A105="","",IF(ISNUMBER('Raw data'!M105),'Raw data'!M105*100,""))</f>
        <v>2.75274473643183</v>
      </c>
      <c r="I105" s="42" t="n">
        <f aca="false">IF($A105="","",IF(ISNUMBER('Raw data'!V105),'Raw data'!V105*100,""))</f>
        <v>7</v>
      </c>
      <c r="J105" s="42" t="n">
        <f aca="false">IF($A105="","",IF(ISNUMBER('Raw data'!W105),'Raw data'!W105*100,""))</f>
        <v>5.5</v>
      </c>
      <c r="K105" s="42" t="n">
        <f aca="false">IF($A105="","",IF(ISNUMBER('Raw data'!X105),'Raw data'!X105*100,""))</f>
        <v>5.5</v>
      </c>
      <c r="L105" s="42" t="n">
        <f aca="false">IF($A105="","",IF('Raw data'!Z105&lt;&gt;"",'Raw data'!Z105*100,IF(AND(N('Raw data'!J105)&gt;0,'Raw data'!U105&lt;&gt;""),'Raw data'!U105*(1+N('Raw data'!W105))/('Raw data'!J105*(1+N('Raw data'!L105)))*100,"")))</f>
        <v>7.13349272431097</v>
      </c>
      <c r="M105" s="42" t="n">
        <f aca="false">IF($A105="","",IF('Raw data'!Y105&lt;&gt;"",'Raw data'!Y105*100,IF(AND(N('Raw data'!J105)&gt;0,'Raw data'!U105&lt;&gt;""),'Raw data'!U105/'Raw data'!J105*100,"")))</f>
        <v>7.33333333333333</v>
      </c>
      <c r="N105" s="43" t="n">
        <f aca="false">IF($A105="","",IF(ISNUMBER('Raw data'!AA105),'Raw data'!AA105,""))</f>
        <v>3</v>
      </c>
      <c r="O105" s="43" t="n">
        <f aca="false">IF($A105="","",IF(ISNUMBER('Raw data'!AB105),'Raw data'!AB105,""))</f>
        <v>3</v>
      </c>
      <c r="P105" s="43" t="n">
        <f aca="false">IF($A105="","",IF(ISNUMBER('Raw data'!AC105),'Raw data'!AC105,""))</f>
        <v>3</v>
      </c>
      <c r="Q105" s="43" t="n">
        <f aca="false">IF($A105="","",IF(ISNUMBER('Raw data'!AD105),'Raw data'!AD105,""))</f>
        <v>4</v>
      </c>
      <c r="R105" s="43" t="n">
        <f aca="false">IF($A105="","",IF(ISNUMBER('Raw data'!N105),'Raw data'!N105*100,""))</f>
        <v>54.0378098551302</v>
      </c>
      <c r="S105" s="42" t="n">
        <f aca="false">IF($A105="","",IF(ISNUMBER('Raw data'!O105),'Raw data'!O105*100,""))</f>
        <v>1.61817401524029</v>
      </c>
      <c r="T105" s="42" t="n">
        <f aca="false">IF($A105="","",IF(ISNUMBER('Raw data'!P105),'Raw data'!P105*100,""))</f>
        <v>8.75866442271192</v>
      </c>
      <c r="U105" s="42" t="n">
        <f aca="false">IF($A105="","",IF(ISNUMBER('Raw data'!Q105),'Raw data'!Q105*100,""))</f>
        <v>3.11504606403505</v>
      </c>
      <c r="V105" s="42" t="n">
        <f aca="false">IF($A105="","",IF(ISNUMBER('Raw data'!R105),'Raw data'!R105*100,""))</f>
        <v>6.63143162899706</v>
      </c>
      <c r="W105" s="42" t="n">
        <f aca="false">IF($A105="","",IF(ISNUMBER('Raw data'!S105),'Raw data'!S105*100,""))</f>
        <v>8.09911385710784</v>
      </c>
      <c r="X105" s="42" t="n">
        <f aca="false">IF($A105="","",IF(ISNUMBER('Raw data'!T105),'Raw data'!T105*100,""))</f>
        <v>2.31748286927724</v>
      </c>
      <c r="Y105" s="37" t="str">
        <f aca="false">IF($A105="","",IF('Raw data'!D105="","",'Raw data'!D105))</f>
        <v>Heating</v>
      </c>
      <c r="Z105" s="38" t="n">
        <f aca="false">IF($A105="","",IF(ISNUMBER('Raw data'!F105),'Raw data'!F105,""))</f>
        <v>8433.78</v>
      </c>
      <c r="AA105" s="38" t="n">
        <f aca="false">IF($A105="","",IF(ISNUMBER('Raw data'!G105),'Raw data'!G105,""))</f>
        <v>68</v>
      </c>
      <c r="AB105" s="42" t="n">
        <f aca="false">IF($A105="","",IF(ISNUMBER('Raw data'!H105),'Raw data'!H105*100,IF(ISNUMBER('Raw data'!K105),'Raw data'!K105*100,"")))</f>
        <v>3.74424361121726</v>
      </c>
      <c r="AC105" s="42" t="n">
        <f aca="false">IF($A105="","",IF(ISNUMBER('Raw data'!I105),'Raw data'!I105*100,IF(ISNUMBER('Raw data'!M105),'Raw data'!M105*100,"")))</f>
        <v>2.75274473643183</v>
      </c>
      <c r="AD105" s="44" t="n">
        <f aca="false">IF($A105="","",IF(AND(ISNUMBER('Raw data'!N105),ISNUMBER('Raw data'!L105),ISNUMBER('Raw data'!P105),ISNUMBER('Raw data'!S105)),ROUND(('Raw data'!N105*'Raw data'!P105+(1-'Raw data'!N105)*'Raw data'!S105-'Raw data'!L105)*100,1),""))</f>
        <v>0</v>
      </c>
    </row>
    <row r="106" customFormat="false" ht="15" hidden="false" customHeight="false" outlineLevel="0" collapsed="false">
      <c r="A106" s="37" t="str">
        <f aca="false">IF(TRIM('Raw data'!A106)="","",TRIM('Raw data'!A106))</f>
        <v>Portugal</v>
      </c>
      <c r="B106" s="37" t="str">
        <f aca="false">IF($A106="","",IF('Raw data'!B106="",UPPER(LEFT($A106,3)),'Raw data'!B106))</f>
        <v>PT</v>
      </c>
      <c r="C106" s="37" t="str">
        <f aca="false">IF($A106="","",'Raw data'!C106)</f>
        <v>Commercial</v>
      </c>
      <c r="D106" s="38" t="n">
        <f aca="false">IF(OR($A106="",'Raw data'!J106=""),"",'Raw data'!J106)</f>
        <v>39</v>
      </c>
      <c r="E106" s="38" t="n">
        <f aca="false">IF(OR($A106="",'Raw data'!U106=""),"",'Raw data'!U106)</f>
        <v>1.4</v>
      </c>
      <c r="F106" s="42" t="n">
        <f aca="false">IF($A106="","",IF(ISNUMBER('Raw data'!K106),'Raw data'!K106*100,""))</f>
        <v>3.74424361121726</v>
      </c>
      <c r="G106" s="42" t="n">
        <f aca="false">IF($A106="","",IF(ISNUMBER('Raw data'!L106),'Raw data'!L106*100,""))</f>
        <v>8.45552053764742</v>
      </c>
      <c r="H106" s="42" t="n">
        <f aca="false">IF($A106="","",IF(ISNUMBER('Raw data'!M106),'Raw data'!M106*100,""))</f>
        <v>2.75274473643183</v>
      </c>
      <c r="I106" s="42" t="n">
        <f aca="false">IF($A106="","",IF(ISNUMBER('Raw data'!V106),'Raw data'!V106*100,""))</f>
        <v>8.5</v>
      </c>
      <c r="J106" s="42" t="n">
        <f aca="false">IF($A106="","",IF(ISNUMBER('Raw data'!W106),'Raw data'!W106*100,""))</f>
        <v>7</v>
      </c>
      <c r="K106" s="42" t="n">
        <f aca="false">IF($A106="","",IF(ISNUMBER('Raw data'!X106),'Raw data'!X106*100,""))</f>
        <v>7</v>
      </c>
      <c r="L106" s="42" t="n">
        <f aca="false">IF($A106="","",IF('Raw data'!Z106&lt;&gt;"",'Raw data'!Z106*100,IF(AND(N('Raw data'!J106)&gt;0,'Raw data'!U106&lt;&gt;""),'Raw data'!U106*(1+N('Raw data'!W106))/('Raw data'!J106*(1+N('Raw data'!L106)))*100,"")))</f>
        <v>3.54156766016566</v>
      </c>
      <c r="M106" s="42" t="n">
        <f aca="false">IF($A106="","",IF('Raw data'!Y106&lt;&gt;"",'Raw data'!Y106*100,IF(AND(N('Raw data'!J106)&gt;0,'Raw data'!U106&lt;&gt;""),'Raw data'!U106/'Raw data'!J106*100,"")))</f>
        <v>3.58974358974359</v>
      </c>
      <c r="N106" s="43" t="n">
        <f aca="false">IF($A106="","",IF(ISNUMBER('Raw data'!AA106),'Raw data'!AA106,""))</f>
        <v>3</v>
      </c>
      <c r="O106" s="43" t="n">
        <f aca="false">IF($A106="","",IF(ISNUMBER('Raw data'!AB106),'Raw data'!AB106,""))</f>
        <v>3</v>
      </c>
      <c r="P106" s="43" t="n">
        <f aca="false">IF($A106="","",IF(ISNUMBER('Raw data'!AC106),'Raw data'!AC106,""))</f>
        <v>3</v>
      </c>
      <c r="Q106" s="43" t="n">
        <f aca="false">IF($A106="","",IF(ISNUMBER('Raw data'!AD106),'Raw data'!AD106,""))</f>
        <v>4</v>
      </c>
      <c r="R106" s="43" t="n">
        <f aca="false">IF($A106="","",IF(ISNUMBER('Raw data'!N106),'Raw data'!N106*100,""))</f>
        <v>54.0378098551302</v>
      </c>
      <c r="S106" s="42" t="n">
        <f aca="false">IF($A106="","",IF(ISNUMBER('Raw data'!O106),'Raw data'!O106*100,""))</f>
        <v>1.61817401524029</v>
      </c>
      <c r="T106" s="42" t="n">
        <f aca="false">IF($A106="","",IF(ISNUMBER('Raw data'!P106),'Raw data'!P106*100,""))</f>
        <v>8.75866442271192</v>
      </c>
      <c r="U106" s="42" t="n">
        <f aca="false">IF($A106="","",IF(ISNUMBER('Raw data'!Q106),'Raw data'!Q106*100,""))</f>
        <v>3.11504606403505</v>
      </c>
      <c r="V106" s="42" t="n">
        <f aca="false">IF($A106="","",IF(ISNUMBER('Raw data'!R106),'Raw data'!R106*100,""))</f>
        <v>6.63143162899706</v>
      </c>
      <c r="W106" s="42" t="n">
        <f aca="false">IF($A106="","",IF(ISNUMBER('Raw data'!S106),'Raw data'!S106*100,""))</f>
        <v>8.09911385710784</v>
      </c>
      <c r="X106" s="42" t="n">
        <f aca="false">IF($A106="","",IF(ISNUMBER('Raw data'!T106),'Raw data'!T106*100,""))</f>
        <v>2.31748286927724</v>
      </c>
      <c r="Y106" s="37" t="str">
        <f aca="false">IF($A106="","",IF('Raw data'!D106="","",'Raw data'!D106))</f>
        <v>Cooling</v>
      </c>
      <c r="Z106" s="38" t="n">
        <f aca="false">IF($A106="","",IF(ISNUMBER('Raw data'!F106),'Raw data'!F106,""))</f>
        <v>8433.78</v>
      </c>
      <c r="AA106" s="38" t="n">
        <f aca="false">IF($A106="","",IF(ISNUMBER('Raw data'!G106),'Raw data'!G106,""))</f>
        <v>139</v>
      </c>
      <c r="AB106" s="42" t="n">
        <f aca="false">IF($A106="","",IF(ISNUMBER('Raw data'!H106),'Raw data'!H106*100,IF(ISNUMBER('Raw data'!K106),'Raw data'!K106*100,"")))</f>
        <v>3.74424361121726</v>
      </c>
      <c r="AC106" s="42" t="n">
        <f aca="false">IF($A106="","",IF(ISNUMBER('Raw data'!I106),'Raw data'!I106*100,IF(ISNUMBER('Raw data'!M106),'Raw data'!M106*100,"")))</f>
        <v>2.75274473643183</v>
      </c>
      <c r="AD106" s="44" t="n">
        <f aca="false">IF($A106="","",IF(AND(ISNUMBER('Raw data'!N106),ISNUMBER('Raw data'!L106),ISNUMBER('Raw data'!P106),ISNUMBER('Raw data'!S106)),ROUND(('Raw data'!N106*'Raw data'!P106+(1-'Raw data'!N106)*'Raw data'!S106-'Raw data'!L106)*100,1),""))</f>
        <v>0</v>
      </c>
    </row>
    <row r="107" customFormat="false" ht="15" hidden="false" customHeight="false" outlineLevel="0" collapsed="false">
      <c r="A107" s="37" t="str">
        <f aca="false">IF(TRIM('Raw data'!A107)="","",TRIM('Raw data'!A107))</f>
        <v>Portugal</v>
      </c>
      <c r="B107" s="37" t="str">
        <f aca="false">IF($A107="","",IF('Raw data'!B107="",UPPER(LEFT($A107,3)),'Raw data'!B107))</f>
        <v>PT</v>
      </c>
      <c r="C107" s="37" t="str">
        <f aca="false">IF($A107="","",'Raw data'!C107)</f>
        <v>Commercial</v>
      </c>
      <c r="D107" s="38" t="n">
        <f aca="false">IF(OR($A107="",'Raw data'!J107=""),"",'Raw data'!J107)</f>
        <v>24</v>
      </c>
      <c r="E107" s="38" t="n">
        <f aca="false">IF(OR($A107="",'Raw data'!U107=""),"",'Raw data'!U107)</f>
        <v>1.3</v>
      </c>
      <c r="F107" s="42" t="n">
        <f aca="false">IF($A107="","",IF(ISNUMBER('Raw data'!K107),'Raw data'!K107*100,""))</f>
        <v>3.74424361121726</v>
      </c>
      <c r="G107" s="42" t="n">
        <f aca="false">IF($A107="","",IF(ISNUMBER('Raw data'!L107),'Raw data'!L107*100,""))</f>
        <v>8.45552053764742</v>
      </c>
      <c r="H107" s="42" t="n">
        <f aca="false">IF($A107="","",IF(ISNUMBER('Raw data'!M107),'Raw data'!M107*100,""))</f>
        <v>2.75274473643183</v>
      </c>
      <c r="I107" s="42" t="n">
        <f aca="false">IF($A107="","",IF(ISNUMBER('Raw data'!V107),'Raw data'!V107*100,""))</f>
        <v>7.5</v>
      </c>
      <c r="J107" s="42" t="n">
        <f aca="false">IF($A107="","",IF(ISNUMBER('Raw data'!W107),'Raw data'!W107*100,""))</f>
        <v>6</v>
      </c>
      <c r="K107" s="42" t="n">
        <f aca="false">IF($A107="","",IF(ISNUMBER('Raw data'!X107),'Raw data'!X107*100,""))</f>
        <v>6</v>
      </c>
      <c r="L107" s="42" t="n">
        <f aca="false">IF($A107="","",IF('Raw data'!Z107&lt;&gt;"",'Raw data'!Z107*100,IF(AND(N('Raw data'!J107)&gt;0,'Raw data'!U107&lt;&gt;""),'Raw data'!U107*(1+N('Raw data'!W107))/('Raw data'!J107*(1+N('Raw data'!L107)))*100,"")))</f>
        <v>5.29402896063147</v>
      </c>
      <c r="M107" s="42" t="n">
        <f aca="false">IF($A107="","",IF('Raw data'!Y107&lt;&gt;"",'Raw data'!Y107*100,IF(AND(N('Raw data'!J107)&gt;0,'Raw data'!U107&lt;&gt;""),'Raw data'!U107/'Raw data'!J107*100,"")))</f>
        <v>5.41666666666667</v>
      </c>
      <c r="N107" s="43" t="n">
        <f aca="false">IF($A107="","",IF(ISNUMBER('Raw data'!AA107),'Raw data'!AA107,""))</f>
        <v>3</v>
      </c>
      <c r="O107" s="43" t="n">
        <f aca="false">IF($A107="","",IF(ISNUMBER('Raw data'!AB107),'Raw data'!AB107,""))</f>
        <v>3</v>
      </c>
      <c r="P107" s="43" t="n">
        <f aca="false">IF($A107="","",IF(ISNUMBER('Raw data'!AC107),'Raw data'!AC107,""))</f>
        <v>3</v>
      </c>
      <c r="Q107" s="43" t="n">
        <f aca="false">IF($A107="","",IF(ISNUMBER('Raw data'!AD107),'Raw data'!AD107,""))</f>
        <v>4</v>
      </c>
      <c r="R107" s="43" t="n">
        <f aca="false">IF($A107="","",IF(ISNUMBER('Raw data'!N107),'Raw data'!N107*100,""))</f>
        <v>54.0378098551302</v>
      </c>
      <c r="S107" s="42" t="n">
        <f aca="false">IF($A107="","",IF(ISNUMBER('Raw data'!O107),'Raw data'!O107*100,""))</f>
        <v>1.61817401524029</v>
      </c>
      <c r="T107" s="42" t="n">
        <f aca="false">IF($A107="","",IF(ISNUMBER('Raw data'!P107),'Raw data'!P107*100,""))</f>
        <v>8.75866442271192</v>
      </c>
      <c r="U107" s="42" t="n">
        <f aca="false">IF($A107="","",IF(ISNUMBER('Raw data'!Q107),'Raw data'!Q107*100,""))</f>
        <v>3.11504606403505</v>
      </c>
      <c r="V107" s="42" t="n">
        <f aca="false">IF($A107="","",IF(ISNUMBER('Raw data'!R107),'Raw data'!R107*100,""))</f>
        <v>6.63143162899706</v>
      </c>
      <c r="W107" s="42" t="n">
        <f aca="false">IF($A107="","",IF(ISNUMBER('Raw data'!S107),'Raw data'!S107*100,""))</f>
        <v>8.09911385710784</v>
      </c>
      <c r="X107" s="42" t="n">
        <f aca="false">IF($A107="","",IF(ISNUMBER('Raw data'!T107),'Raw data'!T107*100,""))</f>
        <v>2.31748286927724</v>
      </c>
      <c r="Y107" s="37" t="str">
        <f aca="false">IF($A107="","",IF('Raw data'!D107="","",'Raw data'!D107))</f>
        <v>Sanitary</v>
      </c>
      <c r="Z107" s="38" t="n">
        <f aca="false">IF($A107="","",IF(ISNUMBER('Raw data'!F107),'Raw data'!F107,""))</f>
        <v>8433.78</v>
      </c>
      <c r="AA107" s="38" t="n">
        <f aca="false">IF($A107="","",IF(ISNUMBER('Raw data'!G107),'Raw data'!G107,""))</f>
        <v>67</v>
      </c>
      <c r="AB107" s="42" t="n">
        <f aca="false">IF($A107="","",IF(ISNUMBER('Raw data'!H107),'Raw data'!H107*100,IF(ISNUMBER('Raw data'!K107),'Raw data'!K107*100,"")))</f>
        <v>3.74424361121726</v>
      </c>
      <c r="AC107" s="42" t="n">
        <f aca="false">IF($A107="","",IF(ISNUMBER('Raw data'!I107),'Raw data'!I107*100,IF(ISNUMBER('Raw data'!M107),'Raw data'!M107*100,"")))</f>
        <v>2.75274473643183</v>
      </c>
      <c r="AD107" s="44" t="n">
        <f aca="false">IF($A107="","",IF(AND(ISNUMBER('Raw data'!N107),ISNUMBER('Raw data'!L107),ISNUMBER('Raw data'!P107),ISNUMBER('Raw data'!S107)),ROUND(('Raw data'!N107*'Raw data'!P107+(1-'Raw data'!N107)*'Raw data'!S107-'Raw data'!L107)*100,1),""))</f>
        <v>0</v>
      </c>
    </row>
    <row r="108" customFormat="false" ht="15" hidden="false" customHeight="false" outlineLevel="0" collapsed="false">
      <c r="A108" s="37" t="str">
        <f aca="false">IF(TRIM('Raw data'!A108)="","",TRIM('Raw data'!A108))</f>
        <v/>
      </c>
      <c r="B108" s="37" t="str">
        <f aca="false">IF($A108="","",IF('Raw data'!B108="",UPPER(LEFT($A108,3)),'Raw data'!B108))</f>
        <v/>
      </c>
      <c r="C108" s="37" t="str">
        <f aca="false">IF($A108="","",'Raw data'!C108)</f>
        <v/>
      </c>
      <c r="D108" s="38" t="str">
        <f aca="false">IF(OR($A108="",'Raw data'!J108=""),"",'Raw data'!J108)</f>
        <v/>
      </c>
      <c r="E108" s="38" t="str">
        <f aca="false">IF(OR($A108="",'Raw data'!U108=""),"",'Raw data'!U108)</f>
        <v/>
      </c>
      <c r="F108" s="42" t="str">
        <f aca="false">IF($A108="","",IF(ISNUMBER('Raw data'!K108),'Raw data'!K108*100,""))</f>
        <v/>
      </c>
      <c r="G108" s="42" t="str">
        <f aca="false">IF($A108="","",IF(ISNUMBER('Raw data'!L108),'Raw data'!L108*100,""))</f>
        <v/>
      </c>
      <c r="H108" s="42" t="str">
        <f aca="false">IF($A108="","",IF(ISNUMBER('Raw data'!M108),'Raw data'!M108*100,""))</f>
        <v/>
      </c>
      <c r="I108" s="42" t="str">
        <f aca="false">IF($A108="","",IF(ISNUMBER('Raw data'!V108),'Raw data'!V108*100,""))</f>
        <v/>
      </c>
      <c r="J108" s="42" t="str">
        <f aca="false">IF($A108="","",IF(ISNUMBER('Raw data'!W108),'Raw data'!W108*100,""))</f>
        <v/>
      </c>
      <c r="K108" s="42" t="str">
        <f aca="false">IF($A108="","",IF(ISNUMBER('Raw data'!X108),'Raw data'!X108*100,""))</f>
        <v/>
      </c>
      <c r="L108" s="42" t="str">
        <f aca="false">IF($A108="","",IF('Raw data'!Z108&lt;&gt;"",'Raw data'!Z108*100,IF(AND(N('Raw data'!J108)&gt;0,'Raw data'!U108&lt;&gt;""),'Raw data'!U108*(1+N('Raw data'!W108))/('Raw data'!J108*(1+N('Raw data'!L108)))*100,"")))</f>
        <v/>
      </c>
      <c r="M108" s="42" t="str">
        <f aca="false">IF($A108="","",IF('Raw data'!Y108&lt;&gt;"",'Raw data'!Y108*100,IF(AND(N('Raw data'!J108)&gt;0,'Raw data'!U108&lt;&gt;""),'Raw data'!U108/'Raw data'!J108*100,"")))</f>
        <v/>
      </c>
      <c r="N108" s="43" t="str">
        <f aca="false">IF($A108="","",IF(ISNUMBER('Raw data'!AA108),'Raw data'!AA108,""))</f>
        <v/>
      </c>
      <c r="O108" s="43" t="str">
        <f aca="false">IF($A108="","",IF(ISNUMBER('Raw data'!AB108),'Raw data'!AB108,""))</f>
        <v/>
      </c>
      <c r="P108" s="43" t="str">
        <f aca="false">IF($A108="","",IF(ISNUMBER('Raw data'!AC108),'Raw data'!AC108,""))</f>
        <v/>
      </c>
      <c r="Q108" s="43" t="str">
        <f aca="false">IF($A108="","",IF(ISNUMBER('Raw data'!AD108),'Raw data'!AD108,""))</f>
        <v/>
      </c>
      <c r="R108" s="43" t="str">
        <f aca="false">IF($A108="","",IF(ISNUMBER('Raw data'!N108),'Raw data'!N108*100,""))</f>
        <v/>
      </c>
      <c r="S108" s="42" t="str">
        <f aca="false">IF($A108="","",IF(ISNUMBER('Raw data'!O108),'Raw data'!O108*100,""))</f>
        <v/>
      </c>
      <c r="T108" s="42" t="str">
        <f aca="false">IF($A108="","",IF(ISNUMBER('Raw data'!P108),'Raw data'!P108*100,""))</f>
        <v/>
      </c>
      <c r="U108" s="42" t="str">
        <f aca="false">IF($A108="","",IF(ISNUMBER('Raw data'!Q108),'Raw data'!Q108*100,""))</f>
        <v/>
      </c>
      <c r="V108" s="42" t="str">
        <f aca="false">IF($A108="","",IF(ISNUMBER('Raw data'!R108),'Raw data'!R108*100,""))</f>
        <v/>
      </c>
      <c r="W108" s="42" t="str">
        <f aca="false">IF($A108="","",IF(ISNUMBER('Raw data'!S108),'Raw data'!S108*100,""))</f>
        <v/>
      </c>
      <c r="X108" s="42" t="str">
        <f aca="false">IF($A108="","",IF(ISNUMBER('Raw data'!T108),'Raw data'!T108*100,""))</f>
        <v/>
      </c>
      <c r="Y108" s="37" t="str">
        <f aca="false">IF($A108="","",IF('Raw data'!D108="","",'Raw data'!D108))</f>
        <v/>
      </c>
      <c r="Z108" s="38" t="str">
        <f aca="false">IF($A108="","",IF(ISNUMBER('Raw data'!F108),'Raw data'!F108,""))</f>
        <v/>
      </c>
      <c r="AA108" s="38" t="str">
        <f aca="false">IF($A108="","",IF(ISNUMBER('Raw data'!G108),'Raw data'!G108,""))</f>
        <v/>
      </c>
      <c r="AB108" s="42" t="str">
        <f aca="false">IF($A108="","",IF(ISNUMBER('Raw data'!H108),'Raw data'!H108*100,IF(ISNUMBER('Raw data'!K108),'Raw data'!K108*100,"")))</f>
        <v/>
      </c>
      <c r="AC108" s="42" t="str">
        <f aca="false">IF($A108="","",IF(ISNUMBER('Raw data'!I108),'Raw data'!I108*100,IF(ISNUMBER('Raw data'!M108),'Raw data'!M108*100,"")))</f>
        <v/>
      </c>
      <c r="AD108" s="44" t="str">
        <f aca="false">IF($A108="","",IF(AND(ISNUMBER('Raw data'!N108),ISNUMBER('Raw data'!L108),ISNUMBER('Raw data'!P108),ISNUMBER('Raw data'!S108)),ROUND(('Raw data'!N108*'Raw data'!P108+(1-'Raw data'!N108)*'Raw data'!S108-'Raw data'!L108)*100,1),""))</f>
        <v/>
      </c>
    </row>
    <row r="109" customFormat="false" ht="15" hidden="false" customHeight="false" outlineLevel="0" collapsed="false">
      <c r="A109" s="37" t="str">
        <f aca="false">IF(TRIM('Raw data'!A109)="","",TRIM('Raw data'!A109))</f>
        <v/>
      </c>
      <c r="B109" s="37" t="str">
        <f aca="false">IF($A109="","",IF('Raw data'!B109="",UPPER(LEFT($A109,3)),'Raw data'!B109))</f>
        <v/>
      </c>
      <c r="C109" s="37" t="str">
        <f aca="false">IF($A109="","",'Raw data'!C109)</f>
        <v/>
      </c>
      <c r="D109" s="38" t="str">
        <f aca="false">IF(OR($A109="",'Raw data'!J109=""),"",'Raw data'!J109)</f>
        <v/>
      </c>
      <c r="E109" s="38" t="str">
        <f aca="false">IF(OR($A109="",'Raw data'!U109=""),"",'Raw data'!U109)</f>
        <v/>
      </c>
      <c r="F109" s="42" t="str">
        <f aca="false">IF($A109="","",IF(ISNUMBER('Raw data'!K109),'Raw data'!K109*100,""))</f>
        <v/>
      </c>
      <c r="G109" s="42" t="str">
        <f aca="false">IF($A109="","",IF(ISNUMBER('Raw data'!L109),'Raw data'!L109*100,""))</f>
        <v/>
      </c>
      <c r="H109" s="42" t="str">
        <f aca="false">IF($A109="","",IF(ISNUMBER('Raw data'!M109),'Raw data'!M109*100,""))</f>
        <v/>
      </c>
      <c r="I109" s="42" t="str">
        <f aca="false">IF($A109="","",IF(ISNUMBER('Raw data'!V109),'Raw data'!V109*100,""))</f>
        <v/>
      </c>
      <c r="J109" s="42" t="str">
        <f aca="false">IF($A109="","",IF(ISNUMBER('Raw data'!W109),'Raw data'!W109*100,""))</f>
        <v/>
      </c>
      <c r="K109" s="42" t="str">
        <f aca="false">IF($A109="","",IF(ISNUMBER('Raw data'!X109),'Raw data'!X109*100,""))</f>
        <v/>
      </c>
      <c r="L109" s="42" t="str">
        <f aca="false">IF($A109="","",IF('Raw data'!Z109&lt;&gt;"",'Raw data'!Z109*100,IF(AND(N('Raw data'!J109)&gt;0,'Raw data'!U109&lt;&gt;""),'Raw data'!U109*(1+N('Raw data'!W109))/('Raw data'!J109*(1+N('Raw data'!L109)))*100,"")))</f>
        <v/>
      </c>
      <c r="M109" s="42" t="str">
        <f aca="false">IF($A109="","",IF('Raw data'!Y109&lt;&gt;"",'Raw data'!Y109*100,IF(AND(N('Raw data'!J109)&gt;0,'Raw data'!U109&lt;&gt;""),'Raw data'!U109/'Raw data'!J109*100,"")))</f>
        <v/>
      </c>
      <c r="N109" s="43" t="str">
        <f aca="false">IF($A109="","",IF(ISNUMBER('Raw data'!AA109),'Raw data'!AA109,""))</f>
        <v/>
      </c>
      <c r="O109" s="43" t="str">
        <f aca="false">IF($A109="","",IF(ISNUMBER('Raw data'!AB109),'Raw data'!AB109,""))</f>
        <v/>
      </c>
      <c r="P109" s="43" t="str">
        <f aca="false">IF($A109="","",IF(ISNUMBER('Raw data'!AC109),'Raw data'!AC109,""))</f>
        <v/>
      </c>
      <c r="Q109" s="43" t="str">
        <f aca="false">IF($A109="","",IF(ISNUMBER('Raw data'!AD109),'Raw data'!AD109,""))</f>
        <v/>
      </c>
      <c r="R109" s="43" t="str">
        <f aca="false">IF($A109="","",IF(ISNUMBER('Raw data'!N109),'Raw data'!N109*100,""))</f>
        <v/>
      </c>
      <c r="S109" s="42" t="str">
        <f aca="false">IF($A109="","",IF(ISNUMBER('Raw data'!O109),'Raw data'!O109*100,""))</f>
        <v/>
      </c>
      <c r="T109" s="42" t="str">
        <f aca="false">IF($A109="","",IF(ISNUMBER('Raw data'!P109),'Raw data'!P109*100,""))</f>
        <v/>
      </c>
      <c r="U109" s="42" t="str">
        <f aca="false">IF($A109="","",IF(ISNUMBER('Raw data'!Q109),'Raw data'!Q109*100,""))</f>
        <v/>
      </c>
      <c r="V109" s="42" t="str">
        <f aca="false">IF($A109="","",IF(ISNUMBER('Raw data'!R109),'Raw data'!R109*100,""))</f>
        <v/>
      </c>
      <c r="W109" s="42" t="str">
        <f aca="false">IF($A109="","",IF(ISNUMBER('Raw data'!S109),'Raw data'!S109*100,""))</f>
        <v/>
      </c>
      <c r="X109" s="42" t="str">
        <f aca="false">IF($A109="","",IF(ISNUMBER('Raw data'!T109),'Raw data'!T109*100,""))</f>
        <v/>
      </c>
      <c r="Y109" s="37" t="str">
        <f aca="false">IF($A109="","",IF('Raw data'!D109="","",'Raw data'!D109))</f>
        <v/>
      </c>
      <c r="Z109" s="38" t="str">
        <f aca="false">IF($A109="","",IF(ISNUMBER('Raw data'!F109),'Raw data'!F109,""))</f>
        <v/>
      </c>
      <c r="AA109" s="38" t="str">
        <f aca="false">IF($A109="","",IF(ISNUMBER('Raw data'!G109),'Raw data'!G109,""))</f>
        <v/>
      </c>
      <c r="AB109" s="42" t="str">
        <f aca="false">IF($A109="","",IF(ISNUMBER('Raw data'!H109),'Raw data'!H109*100,IF(ISNUMBER('Raw data'!K109),'Raw data'!K109*100,"")))</f>
        <v/>
      </c>
      <c r="AC109" s="42" t="str">
        <f aca="false">IF($A109="","",IF(ISNUMBER('Raw data'!I109),'Raw data'!I109*100,IF(ISNUMBER('Raw data'!M109),'Raw data'!M109*100,"")))</f>
        <v/>
      </c>
      <c r="AD109" s="44" t="str">
        <f aca="false">IF($A109="","",IF(AND(ISNUMBER('Raw data'!N109),ISNUMBER('Raw data'!L109),ISNUMBER('Raw data'!P109),ISNUMBER('Raw data'!S109)),ROUND(('Raw data'!N109*'Raw data'!P109+(1-'Raw data'!N109)*'Raw data'!S109-'Raw data'!L109)*100,1),""))</f>
        <v/>
      </c>
    </row>
    <row r="110" customFormat="false" ht="15" hidden="false" customHeight="false" outlineLevel="0" collapsed="false">
      <c r="A110" s="37" t="str">
        <f aca="false">IF(TRIM('Raw data'!A110)="","",TRIM('Raw data'!A110))</f>
        <v/>
      </c>
      <c r="B110" s="37" t="str">
        <f aca="false">IF($A110="","",IF('Raw data'!B110="",UPPER(LEFT($A110,3)),'Raw data'!B110))</f>
        <v/>
      </c>
      <c r="C110" s="37" t="str">
        <f aca="false">IF($A110="","",'Raw data'!C110)</f>
        <v/>
      </c>
      <c r="D110" s="38" t="str">
        <f aca="false">IF(OR($A110="",'Raw data'!J110=""),"",'Raw data'!J110)</f>
        <v/>
      </c>
      <c r="E110" s="38" t="str">
        <f aca="false">IF(OR($A110="",'Raw data'!U110=""),"",'Raw data'!U110)</f>
        <v/>
      </c>
      <c r="F110" s="42" t="str">
        <f aca="false">IF($A110="","",IF(ISNUMBER('Raw data'!K110),'Raw data'!K110*100,""))</f>
        <v/>
      </c>
      <c r="G110" s="42" t="str">
        <f aca="false">IF($A110="","",IF(ISNUMBER('Raw data'!L110),'Raw data'!L110*100,""))</f>
        <v/>
      </c>
      <c r="H110" s="42" t="str">
        <f aca="false">IF($A110="","",IF(ISNUMBER('Raw data'!M110),'Raw data'!M110*100,""))</f>
        <v/>
      </c>
      <c r="I110" s="42" t="str">
        <f aca="false">IF($A110="","",IF(ISNUMBER('Raw data'!V110),'Raw data'!V110*100,""))</f>
        <v/>
      </c>
      <c r="J110" s="42" t="str">
        <f aca="false">IF($A110="","",IF(ISNUMBER('Raw data'!W110),'Raw data'!W110*100,""))</f>
        <v/>
      </c>
      <c r="K110" s="42" t="str">
        <f aca="false">IF($A110="","",IF(ISNUMBER('Raw data'!X110),'Raw data'!X110*100,""))</f>
        <v/>
      </c>
      <c r="L110" s="42" t="str">
        <f aca="false">IF($A110="","",IF('Raw data'!Z110&lt;&gt;"",'Raw data'!Z110*100,IF(AND(N('Raw data'!J110)&gt;0,'Raw data'!U110&lt;&gt;""),'Raw data'!U110*(1+N('Raw data'!W110))/('Raw data'!J110*(1+N('Raw data'!L110)))*100,"")))</f>
        <v/>
      </c>
      <c r="M110" s="42" t="str">
        <f aca="false">IF($A110="","",IF('Raw data'!Y110&lt;&gt;"",'Raw data'!Y110*100,IF(AND(N('Raw data'!J110)&gt;0,'Raw data'!U110&lt;&gt;""),'Raw data'!U110/'Raw data'!J110*100,"")))</f>
        <v/>
      </c>
      <c r="N110" s="43" t="str">
        <f aca="false">IF($A110="","",IF(ISNUMBER('Raw data'!AA110),'Raw data'!AA110,""))</f>
        <v/>
      </c>
      <c r="O110" s="43" t="str">
        <f aca="false">IF($A110="","",IF(ISNUMBER('Raw data'!AB110),'Raw data'!AB110,""))</f>
        <v/>
      </c>
      <c r="P110" s="43" t="str">
        <f aca="false">IF($A110="","",IF(ISNUMBER('Raw data'!AC110),'Raw data'!AC110,""))</f>
        <v/>
      </c>
      <c r="Q110" s="43" t="str">
        <f aca="false">IF($A110="","",IF(ISNUMBER('Raw data'!AD110),'Raw data'!AD110,""))</f>
        <v/>
      </c>
      <c r="R110" s="43" t="str">
        <f aca="false">IF($A110="","",IF(ISNUMBER('Raw data'!N110),'Raw data'!N110*100,""))</f>
        <v/>
      </c>
      <c r="S110" s="42" t="str">
        <f aca="false">IF($A110="","",IF(ISNUMBER('Raw data'!O110),'Raw data'!O110*100,""))</f>
        <v/>
      </c>
      <c r="T110" s="42" t="str">
        <f aca="false">IF($A110="","",IF(ISNUMBER('Raw data'!P110),'Raw data'!P110*100,""))</f>
        <v/>
      </c>
      <c r="U110" s="42" t="str">
        <f aca="false">IF($A110="","",IF(ISNUMBER('Raw data'!Q110),'Raw data'!Q110*100,""))</f>
        <v/>
      </c>
      <c r="V110" s="42" t="str">
        <f aca="false">IF($A110="","",IF(ISNUMBER('Raw data'!R110),'Raw data'!R110*100,""))</f>
        <v/>
      </c>
      <c r="W110" s="42" t="str">
        <f aca="false">IF($A110="","",IF(ISNUMBER('Raw data'!S110),'Raw data'!S110*100,""))</f>
        <v/>
      </c>
      <c r="X110" s="42" t="str">
        <f aca="false">IF($A110="","",IF(ISNUMBER('Raw data'!T110),'Raw data'!T110*100,""))</f>
        <v/>
      </c>
      <c r="Y110" s="37" t="str">
        <f aca="false">IF($A110="","",IF('Raw data'!D110="","",'Raw data'!D110))</f>
        <v/>
      </c>
      <c r="Z110" s="38" t="str">
        <f aca="false">IF($A110="","",IF(ISNUMBER('Raw data'!F110),'Raw data'!F110,""))</f>
        <v/>
      </c>
      <c r="AA110" s="38" t="str">
        <f aca="false">IF($A110="","",IF(ISNUMBER('Raw data'!G110),'Raw data'!G110,""))</f>
        <v/>
      </c>
      <c r="AB110" s="42" t="str">
        <f aca="false">IF($A110="","",IF(ISNUMBER('Raw data'!H110),'Raw data'!H110*100,IF(ISNUMBER('Raw data'!K110),'Raw data'!K110*100,"")))</f>
        <v/>
      </c>
      <c r="AC110" s="42" t="str">
        <f aca="false">IF($A110="","",IF(ISNUMBER('Raw data'!I110),'Raw data'!I110*100,IF(ISNUMBER('Raw data'!M110),'Raw data'!M110*100,"")))</f>
        <v/>
      </c>
      <c r="AD110" s="44" t="str">
        <f aca="false">IF($A110="","",IF(AND(ISNUMBER('Raw data'!N110),ISNUMBER('Raw data'!L110),ISNUMBER('Raw data'!P110),ISNUMBER('Raw data'!S110)),ROUND(('Raw data'!N110*'Raw data'!P110+(1-'Raw data'!N110)*'Raw data'!S110-'Raw data'!L110)*100,1),""))</f>
        <v/>
      </c>
    </row>
    <row r="111" customFormat="false" ht="15" hidden="false" customHeight="false" outlineLevel="0" collapsed="false">
      <c r="A111" s="37" t="str">
        <f aca="false">IF(TRIM('Raw data'!A111)="","",TRIM('Raw data'!A111))</f>
        <v/>
      </c>
      <c r="B111" s="37" t="str">
        <f aca="false">IF($A111="","",IF('Raw data'!B111="",UPPER(LEFT($A111,3)),'Raw data'!B111))</f>
        <v/>
      </c>
      <c r="C111" s="37" t="str">
        <f aca="false">IF($A111="","",'Raw data'!C111)</f>
        <v/>
      </c>
      <c r="D111" s="38" t="str">
        <f aca="false">IF(OR($A111="",'Raw data'!J111=""),"",'Raw data'!J111)</f>
        <v/>
      </c>
      <c r="E111" s="38" t="str">
        <f aca="false">IF(OR($A111="",'Raw data'!U111=""),"",'Raw data'!U111)</f>
        <v/>
      </c>
      <c r="F111" s="42" t="str">
        <f aca="false">IF($A111="","",IF(ISNUMBER('Raw data'!K111),'Raw data'!K111*100,""))</f>
        <v/>
      </c>
      <c r="G111" s="42" t="str">
        <f aca="false">IF($A111="","",IF(ISNUMBER('Raw data'!L111),'Raw data'!L111*100,""))</f>
        <v/>
      </c>
      <c r="H111" s="42" t="str">
        <f aca="false">IF($A111="","",IF(ISNUMBER('Raw data'!M111),'Raw data'!M111*100,""))</f>
        <v/>
      </c>
      <c r="I111" s="42" t="str">
        <f aca="false">IF($A111="","",IF(ISNUMBER('Raw data'!V111),'Raw data'!V111*100,""))</f>
        <v/>
      </c>
      <c r="J111" s="42" t="str">
        <f aca="false">IF($A111="","",IF(ISNUMBER('Raw data'!W111),'Raw data'!W111*100,""))</f>
        <v/>
      </c>
      <c r="K111" s="42" t="str">
        <f aca="false">IF($A111="","",IF(ISNUMBER('Raw data'!X111),'Raw data'!X111*100,""))</f>
        <v/>
      </c>
      <c r="L111" s="42" t="str">
        <f aca="false">IF($A111="","",IF('Raw data'!Z111&lt;&gt;"",'Raw data'!Z111*100,IF(AND(N('Raw data'!J111)&gt;0,'Raw data'!U111&lt;&gt;""),'Raw data'!U111*(1+N('Raw data'!W111))/('Raw data'!J111*(1+N('Raw data'!L111)))*100,"")))</f>
        <v/>
      </c>
      <c r="M111" s="42" t="str">
        <f aca="false">IF($A111="","",IF('Raw data'!Y111&lt;&gt;"",'Raw data'!Y111*100,IF(AND(N('Raw data'!J111)&gt;0,'Raw data'!U111&lt;&gt;""),'Raw data'!U111/'Raw data'!J111*100,"")))</f>
        <v/>
      </c>
      <c r="N111" s="43" t="str">
        <f aca="false">IF($A111="","",IF(ISNUMBER('Raw data'!AA111),'Raw data'!AA111,""))</f>
        <v/>
      </c>
      <c r="O111" s="43" t="str">
        <f aca="false">IF($A111="","",IF(ISNUMBER('Raw data'!AB111),'Raw data'!AB111,""))</f>
        <v/>
      </c>
      <c r="P111" s="43" t="str">
        <f aca="false">IF($A111="","",IF(ISNUMBER('Raw data'!AC111),'Raw data'!AC111,""))</f>
        <v/>
      </c>
      <c r="Q111" s="43" t="str">
        <f aca="false">IF($A111="","",IF(ISNUMBER('Raw data'!AD111),'Raw data'!AD111,""))</f>
        <v/>
      </c>
      <c r="R111" s="43" t="str">
        <f aca="false">IF($A111="","",IF(ISNUMBER('Raw data'!N111),'Raw data'!N111*100,""))</f>
        <v/>
      </c>
      <c r="S111" s="42" t="str">
        <f aca="false">IF($A111="","",IF(ISNUMBER('Raw data'!O111),'Raw data'!O111*100,""))</f>
        <v/>
      </c>
      <c r="T111" s="42" t="str">
        <f aca="false">IF($A111="","",IF(ISNUMBER('Raw data'!P111),'Raw data'!P111*100,""))</f>
        <v/>
      </c>
      <c r="U111" s="42" t="str">
        <f aca="false">IF($A111="","",IF(ISNUMBER('Raw data'!Q111),'Raw data'!Q111*100,""))</f>
        <v/>
      </c>
      <c r="V111" s="42" t="str">
        <f aca="false">IF($A111="","",IF(ISNUMBER('Raw data'!R111),'Raw data'!R111*100,""))</f>
        <v/>
      </c>
      <c r="W111" s="42" t="str">
        <f aca="false">IF($A111="","",IF(ISNUMBER('Raw data'!S111),'Raw data'!S111*100,""))</f>
        <v/>
      </c>
      <c r="X111" s="42" t="str">
        <f aca="false">IF($A111="","",IF(ISNUMBER('Raw data'!T111),'Raw data'!T111*100,""))</f>
        <v/>
      </c>
      <c r="Y111" s="37" t="str">
        <f aca="false">IF($A111="","",IF('Raw data'!D111="","",'Raw data'!D111))</f>
        <v/>
      </c>
      <c r="Z111" s="38" t="str">
        <f aca="false">IF($A111="","",IF(ISNUMBER('Raw data'!F111),'Raw data'!F111,""))</f>
        <v/>
      </c>
      <c r="AA111" s="38" t="str">
        <f aca="false">IF($A111="","",IF(ISNUMBER('Raw data'!G111),'Raw data'!G111,""))</f>
        <v/>
      </c>
      <c r="AB111" s="42" t="str">
        <f aca="false">IF($A111="","",IF(ISNUMBER('Raw data'!H111),'Raw data'!H111*100,IF(ISNUMBER('Raw data'!K111),'Raw data'!K111*100,"")))</f>
        <v/>
      </c>
      <c r="AC111" s="42" t="str">
        <f aca="false">IF($A111="","",IF(ISNUMBER('Raw data'!I111),'Raw data'!I111*100,IF(ISNUMBER('Raw data'!M111),'Raw data'!M111*100,"")))</f>
        <v/>
      </c>
      <c r="AD111" s="44" t="str">
        <f aca="false">IF($A111="","",IF(AND(ISNUMBER('Raw data'!N111),ISNUMBER('Raw data'!L111),ISNUMBER('Raw data'!P111),ISNUMBER('Raw data'!S111)),ROUND(('Raw data'!N111*'Raw data'!P111+(1-'Raw data'!N111)*'Raw data'!S111-'Raw data'!L111)*100,1),""))</f>
        <v/>
      </c>
    </row>
    <row r="112" customFormat="false" ht="15" hidden="false" customHeight="false" outlineLevel="0" collapsed="false">
      <c r="A112" s="37" t="str">
        <f aca="false">IF(TRIM('Raw data'!A112)="","",TRIM('Raw data'!A112))</f>
        <v/>
      </c>
      <c r="B112" s="37" t="str">
        <f aca="false">IF($A112="","",IF('Raw data'!B112="",UPPER(LEFT($A112,3)),'Raw data'!B112))</f>
        <v/>
      </c>
      <c r="C112" s="37" t="str">
        <f aca="false">IF($A112="","",'Raw data'!C112)</f>
        <v/>
      </c>
      <c r="D112" s="38" t="str">
        <f aca="false">IF(OR($A112="",'Raw data'!J112=""),"",'Raw data'!J112)</f>
        <v/>
      </c>
      <c r="E112" s="38" t="str">
        <f aca="false">IF(OR($A112="",'Raw data'!U112=""),"",'Raw data'!U112)</f>
        <v/>
      </c>
      <c r="F112" s="42" t="str">
        <f aca="false">IF($A112="","",IF(ISNUMBER('Raw data'!K112),'Raw data'!K112*100,""))</f>
        <v/>
      </c>
      <c r="G112" s="42" t="str">
        <f aca="false">IF($A112="","",IF(ISNUMBER('Raw data'!L112),'Raw data'!L112*100,""))</f>
        <v/>
      </c>
      <c r="H112" s="42" t="str">
        <f aca="false">IF($A112="","",IF(ISNUMBER('Raw data'!M112),'Raw data'!M112*100,""))</f>
        <v/>
      </c>
      <c r="I112" s="42" t="str">
        <f aca="false">IF($A112="","",IF(ISNUMBER('Raw data'!V112),'Raw data'!V112*100,""))</f>
        <v/>
      </c>
      <c r="J112" s="42" t="str">
        <f aca="false">IF($A112="","",IF(ISNUMBER('Raw data'!W112),'Raw data'!W112*100,""))</f>
        <v/>
      </c>
      <c r="K112" s="42" t="str">
        <f aca="false">IF($A112="","",IF(ISNUMBER('Raw data'!X112),'Raw data'!X112*100,""))</f>
        <v/>
      </c>
      <c r="L112" s="42" t="str">
        <f aca="false">IF($A112="","",IF('Raw data'!Z112&lt;&gt;"",'Raw data'!Z112*100,IF(AND(N('Raw data'!J112)&gt;0,'Raw data'!U112&lt;&gt;""),'Raw data'!U112*(1+N('Raw data'!W112))/('Raw data'!J112*(1+N('Raw data'!L112)))*100,"")))</f>
        <v/>
      </c>
      <c r="M112" s="42" t="str">
        <f aca="false">IF($A112="","",IF('Raw data'!Y112&lt;&gt;"",'Raw data'!Y112*100,IF(AND(N('Raw data'!J112)&gt;0,'Raw data'!U112&lt;&gt;""),'Raw data'!U112/'Raw data'!J112*100,"")))</f>
        <v/>
      </c>
      <c r="N112" s="43" t="str">
        <f aca="false">IF($A112="","",IF(ISNUMBER('Raw data'!AA112),'Raw data'!AA112,""))</f>
        <v/>
      </c>
      <c r="O112" s="43" t="str">
        <f aca="false">IF($A112="","",IF(ISNUMBER('Raw data'!AB112),'Raw data'!AB112,""))</f>
        <v/>
      </c>
      <c r="P112" s="43" t="str">
        <f aca="false">IF($A112="","",IF(ISNUMBER('Raw data'!AC112),'Raw data'!AC112,""))</f>
        <v/>
      </c>
      <c r="Q112" s="43" t="str">
        <f aca="false">IF($A112="","",IF(ISNUMBER('Raw data'!AD112),'Raw data'!AD112,""))</f>
        <v/>
      </c>
      <c r="R112" s="43" t="str">
        <f aca="false">IF($A112="","",IF(ISNUMBER('Raw data'!N112),'Raw data'!N112*100,""))</f>
        <v/>
      </c>
      <c r="S112" s="42" t="str">
        <f aca="false">IF($A112="","",IF(ISNUMBER('Raw data'!O112),'Raw data'!O112*100,""))</f>
        <v/>
      </c>
      <c r="T112" s="42" t="str">
        <f aca="false">IF($A112="","",IF(ISNUMBER('Raw data'!P112),'Raw data'!P112*100,""))</f>
        <v/>
      </c>
      <c r="U112" s="42" t="str">
        <f aca="false">IF($A112="","",IF(ISNUMBER('Raw data'!Q112),'Raw data'!Q112*100,""))</f>
        <v/>
      </c>
      <c r="V112" s="42" t="str">
        <f aca="false">IF($A112="","",IF(ISNUMBER('Raw data'!R112),'Raw data'!R112*100,""))</f>
        <v/>
      </c>
      <c r="W112" s="42" t="str">
        <f aca="false">IF($A112="","",IF(ISNUMBER('Raw data'!S112),'Raw data'!S112*100,""))</f>
        <v/>
      </c>
      <c r="X112" s="42" t="str">
        <f aca="false">IF($A112="","",IF(ISNUMBER('Raw data'!T112),'Raw data'!T112*100,""))</f>
        <v/>
      </c>
      <c r="Y112" s="37" t="str">
        <f aca="false">IF($A112="","",IF('Raw data'!D112="","",'Raw data'!D112))</f>
        <v/>
      </c>
      <c r="Z112" s="38" t="str">
        <f aca="false">IF($A112="","",IF(ISNUMBER('Raw data'!F112),'Raw data'!F112,""))</f>
        <v/>
      </c>
      <c r="AA112" s="38" t="str">
        <f aca="false">IF($A112="","",IF(ISNUMBER('Raw data'!G112),'Raw data'!G112,""))</f>
        <v/>
      </c>
      <c r="AB112" s="42" t="str">
        <f aca="false">IF($A112="","",IF(ISNUMBER('Raw data'!H112),'Raw data'!H112*100,IF(ISNUMBER('Raw data'!K112),'Raw data'!K112*100,"")))</f>
        <v/>
      </c>
      <c r="AC112" s="42" t="str">
        <f aca="false">IF($A112="","",IF(ISNUMBER('Raw data'!I112),'Raw data'!I112*100,IF(ISNUMBER('Raw data'!M112),'Raw data'!M112*100,"")))</f>
        <v/>
      </c>
      <c r="AD112" s="44" t="str">
        <f aca="false">IF($A112="","",IF(AND(ISNUMBER('Raw data'!N112),ISNUMBER('Raw data'!L112),ISNUMBER('Raw data'!P112),ISNUMBER('Raw data'!S112)),ROUND(('Raw data'!N112*'Raw data'!P112+(1-'Raw data'!N112)*'Raw data'!S112-'Raw data'!L112)*100,1),""))</f>
        <v/>
      </c>
    </row>
    <row r="113" customFormat="false" ht="15" hidden="false" customHeight="false" outlineLevel="0" collapsed="false">
      <c r="A113" s="37" t="str">
        <f aca="false">IF(TRIM('Raw data'!A113)="","",TRIM('Raw data'!A113))</f>
        <v/>
      </c>
      <c r="B113" s="37" t="str">
        <f aca="false">IF($A113="","",IF('Raw data'!B113="",UPPER(LEFT($A113,3)),'Raw data'!B113))</f>
        <v/>
      </c>
      <c r="C113" s="37" t="str">
        <f aca="false">IF($A113="","",'Raw data'!C113)</f>
        <v/>
      </c>
      <c r="D113" s="38" t="str">
        <f aca="false">IF(OR($A113="",'Raw data'!J113=""),"",'Raw data'!J113)</f>
        <v/>
      </c>
      <c r="E113" s="38" t="str">
        <f aca="false">IF(OR($A113="",'Raw data'!U113=""),"",'Raw data'!U113)</f>
        <v/>
      </c>
      <c r="F113" s="42" t="str">
        <f aca="false">IF($A113="","",IF(ISNUMBER('Raw data'!K113),'Raw data'!K113*100,""))</f>
        <v/>
      </c>
      <c r="G113" s="42" t="str">
        <f aca="false">IF($A113="","",IF(ISNUMBER('Raw data'!L113),'Raw data'!L113*100,""))</f>
        <v/>
      </c>
      <c r="H113" s="42" t="str">
        <f aca="false">IF($A113="","",IF(ISNUMBER('Raw data'!M113),'Raw data'!M113*100,""))</f>
        <v/>
      </c>
      <c r="I113" s="42" t="str">
        <f aca="false">IF($A113="","",IF(ISNUMBER('Raw data'!V113),'Raw data'!V113*100,""))</f>
        <v/>
      </c>
      <c r="J113" s="42" t="str">
        <f aca="false">IF($A113="","",IF(ISNUMBER('Raw data'!W113),'Raw data'!W113*100,""))</f>
        <v/>
      </c>
      <c r="K113" s="42" t="str">
        <f aca="false">IF($A113="","",IF(ISNUMBER('Raw data'!X113),'Raw data'!X113*100,""))</f>
        <v/>
      </c>
      <c r="L113" s="42" t="str">
        <f aca="false">IF($A113="","",IF('Raw data'!Z113&lt;&gt;"",'Raw data'!Z113*100,IF(AND(N('Raw data'!J113)&gt;0,'Raw data'!U113&lt;&gt;""),'Raw data'!U113*(1+N('Raw data'!W113))/('Raw data'!J113*(1+N('Raw data'!L113)))*100,"")))</f>
        <v/>
      </c>
      <c r="M113" s="42" t="str">
        <f aca="false">IF($A113="","",IF('Raw data'!Y113&lt;&gt;"",'Raw data'!Y113*100,IF(AND(N('Raw data'!J113)&gt;0,'Raw data'!U113&lt;&gt;""),'Raw data'!U113/'Raw data'!J113*100,"")))</f>
        <v/>
      </c>
      <c r="N113" s="43" t="str">
        <f aca="false">IF($A113="","",IF(ISNUMBER('Raw data'!AA113),'Raw data'!AA113,""))</f>
        <v/>
      </c>
      <c r="O113" s="43" t="str">
        <f aca="false">IF($A113="","",IF(ISNUMBER('Raw data'!AB113),'Raw data'!AB113,""))</f>
        <v/>
      </c>
      <c r="P113" s="43" t="str">
        <f aca="false">IF($A113="","",IF(ISNUMBER('Raw data'!AC113),'Raw data'!AC113,""))</f>
        <v/>
      </c>
      <c r="Q113" s="43" t="str">
        <f aca="false">IF($A113="","",IF(ISNUMBER('Raw data'!AD113),'Raw data'!AD113,""))</f>
        <v/>
      </c>
      <c r="R113" s="43" t="str">
        <f aca="false">IF($A113="","",IF(ISNUMBER('Raw data'!N113),'Raw data'!N113*100,""))</f>
        <v/>
      </c>
      <c r="S113" s="42" t="str">
        <f aca="false">IF($A113="","",IF(ISNUMBER('Raw data'!O113),'Raw data'!O113*100,""))</f>
        <v/>
      </c>
      <c r="T113" s="42" t="str">
        <f aca="false">IF($A113="","",IF(ISNUMBER('Raw data'!P113),'Raw data'!P113*100,""))</f>
        <v/>
      </c>
      <c r="U113" s="42" t="str">
        <f aca="false">IF($A113="","",IF(ISNUMBER('Raw data'!Q113),'Raw data'!Q113*100,""))</f>
        <v/>
      </c>
      <c r="V113" s="42" t="str">
        <f aca="false">IF($A113="","",IF(ISNUMBER('Raw data'!R113),'Raw data'!R113*100,""))</f>
        <v/>
      </c>
      <c r="W113" s="42" t="str">
        <f aca="false">IF($A113="","",IF(ISNUMBER('Raw data'!S113),'Raw data'!S113*100,""))</f>
        <v/>
      </c>
      <c r="X113" s="42" t="str">
        <f aca="false">IF($A113="","",IF(ISNUMBER('Raw data'!T113),'Raw data'!T113*100,""))</f>
        <v/>
      </c>
      <c r="Y113" s="37" t="str">
        <f aca="false">IF($A113="","",IF('Raw data'!D113="","",'Raw data'!D113))</f>
        <v/>
      </c>
      <c r="Z113" s="38" t="str">
        <f aca="false">IF($A113="","",IF(ISNUMBER('Raw data'!F113),'Raw data'!F113,""))</f>
        <v/>
      </c>
      <c r="AA113" s="38" t="str">
        <f aca="false">IF($A113="","",IF(ISNUMBER('Raw data'!G113),'Raw data'!G113,""))</f>
        <v/>
      </c>
      <c r="AB113" s="42" t="str">
        <f aca="false">IF($A113="","",IF(ISNUMBER('Raw data'!H113),'Raw data'!H113*100,IF(ISNUMBER('Raw data'!K113),'Raw data'!K113*100,"")))</f>
        <v/>
      </c>
      <c r="AC113" s="42" t="str">
        <f aca="false">IF($A113="","",IF(ISNUMBER('Raw data'!I113),'Raw data'!I113*100,IF(ISNUMBER('Raw data'!M113),'Raw data'!M113*100,"")))</f>
        <v/>
      </c>
      <c r="AD113" s="44" t="str">
        <f aca="false">IF($A113="","",IF(AND(ISNUMBER('Raw data'!N113),ISNUMBER('Raw data'!L113),ISNUMBER('Raw data'!P113),ISNUMBER('Raw data'!S113)),ROUND(('Raw data'!N113*'Raw data'!P113+(1-'Raw data'!N113)*'Raw data'!S113-'Raw data'!L113)*100,1),""))</f>
        <v/>
      </c>
    </row>
    <row r="114" customFormat="false" ht="15" hidden="false" customHeight="false" outlineLevel="0" collapsed="false">
      <c r="A114" s="37" t="str">
        <f aca="false">IF(TRIM('Raw data'!A114)="","",TRIM('Raw data'!A114))</f>
        <v/>
      </c>
      <c r="B114" s="37" t="str">
        <f aca="false">IF($A114="","",IF('Raw data'!B114="",UPPER(LEFT($A114,3)),'Raw data'!B114))</f>
        <v/>
      </c>
      <c r="C114" s="37" t="str">
        <f aca="false">IF($A114="","",'Raw data'!C114)</f>
        <v/>
      </c>
      <c r="D114" s="38" t="str">
        <f aca="false">IF(OR($A114="",'Raw data'!J114=""),"",'Raw data'!J114)</f>
        <v/>
      </c>
      <c r="E114" s="38" t="str">
        <f aca="false">IF(OR($A114="",'Raw data'!U114=""),"",'Raw data'!U114)</f>
        <v/>
      </c>
      <c r="F114" s="42" t="str">
        <f aca="false">IF($A114="","",IF(ISNUMBER('Raw data'!K114),'Raw data'!K114*100,""))</f>
        <v/>
      </c>
      <c r="G114" s="42" t="str">
        <f aca="false">IF($A114="","",IF(ISNUMBER('Raw data'!L114),'Raw data'!L114*100,""))</f>
        <v/>
      </c>
      <c r="H114" s="42" t="str">
        <f aca="false">IF($A114="","",IF(ISNUMBER('Raw data'!M114),'Raw data'!M114*100,""))</f>
        <v/>
      </c>
      <c r="I114" s="42" t="str">
        <f aca="false">IF($A114="","",IF(ISNUMBER('Raw data'!V114),'Raw data'!V114*100,""))</f>
        <v/>
      </c>
      <c r="J114" s="42" t="str">
        <f aca="false">IF($A114="","",IF(ISNUMBER('Raw data'!W114),'Raw data'!W114*100,""))</f>
        <v/>
      </c>
      <c r="K114" s="42" t="str">
        <f aca="false">IF($A114="","",IF(ISNUMBER('Raw data'!X114),'Raw data'!X114*100,""))</f>
        <v/>
      </c>
      <c r="L114" s="42" t="str">
        <f aca="false">IF($A114="","",IF('Raw data'!Z114&lt;&gt;"",'Raw data'!Z114*100,IF(AND(N('Raw data'!J114)&gt;0,'Raw data'!U114&lt;&gt;""),'Raw data'!U114*(1+N('Raw data'!W114))/('Raw data'!J114*(1+N('Raw data'!L114)))*100,"")))</f>
        <v/>
      </c>
      <c r="M114" s="42" t="str">
        <f aca="false">IF($A114="","",IF('Raw data'!Y114&lt;&gt;"",'Raw data'!Y114*100,IF(AND(N('Raw data'!J114)&gt;0,'Raw data'!U114&lt;&gt;""),'Raw data'!U114/'Raw data'!J114*100,"")))</f>
        <v/>
      </c>
      <c r="N114" s="43" t="str">
        <f aca="false">IF($A114="","",IF(ISNUMBER('Raw data'!AA114),'Raw data'!AA114,""))</f>
        <v/>
      </c>
      <c r="O114" s="43" t="str">
        <f aca="false">IF($A114="","",IF(ISNUMBER('Raw data'!AB114),'Raw data'!AB114,""))</f>
        <v/>
      </c>
      <c r="P114" s="43" t="str">
        <f aca="false">IF($A114="","",IF(ISNUMBER('Raw data'!AC114),'Raw data'!AC114,""))</f>
        <v/>
      </c>
      <c r="Q114" s="43" t="str">
        <f aca="false">IF($A114="","",IF(ISNUMBER('Raw data'!AD114),'Raw data'!AD114,""))</f>
        <v/>
      </c>
      <c r="R114" s="43" t="str">
        <f aca="false">IF($A114="","",IF(ISNUMBER('Raw data'!N114),'Raw data'!N114*100,""))</f>
        <v/>
      </c>
      <c r="S114" s="42" t="str">
        <f aca="false">IF($A114="","",IF(ISNUMBER('Raw data'!O114),'Raw data'!O114*100,""))</f>
        <v/>
      </c>
      <c r="T114" s="42" t="str">
        <f aca="false">IF($A114="","",IF(ISNUMBER('Raw data'!P114),'Raw data'!P114*100,""))</f>
        <v/>
      </c>
      <c r="U114" s="42" t="str">
        <f aca="false">IF($A114="","",IF(ISNUMBER('Raw data'!Q114),'Raw data'!Q114*100,""))</f>
        <v/>
      </c>
      <c r="V114" s="42" t="str">
        <f aca="false">IF($A114="","",IF(ISNUMBER('Raw data'!R114),'Raw data'!R114*100,""))</f>
        <v/>
      </c>
      <c r="W114" s="42" t="str">
        <f aca="false">IF($A114="","",IF(ISNUMBER('Raw data'!S114),'Raw data'!S114*100,""))</f>
        <v/>
      </c>
      <c r="X114" s="42" t="str">
        <f aca="false">IF($A114="","",IF(ISNUMBER('Raw data'!T114),'Raw data'!T114*100,""))</f>
        <v/>
      </c>
      <c r="Y114" s="37" t="str">
        <f aca="false">IF($A114="","",IF('Raw data'!D114="","",'Raw data'!D114))</f>
        <v/>
      </c>
      <c r="Z114" s="38" t="str">
        <f aca="false">IF($A114="","",IF(ISNUMBER('Raw data'!F114),'Raw data'!F114,""))</f>
        <v/>
      </c>
      <c r="AA114" s="38" t="str">
        <f aca="false">IF($A114="","",IF(ISNUMBER('Raw data'!G114),'Raw data'!G114,""))</f>
        <v/>
      </c>
      <c r="AB114" s="42" t="str">
        <f aca="false">IF($A114="","",IF(ISNUMBER('Raw data'!H114),'Raw data'!H114*100,IF(ISNUMBER('Raw data'!K114),'Raw data'!K114*100,"")))</f>
        <v/>
      </c>
      <c r="AC114" s="42" t="str">
        <f aca="false">IF($A114="","",IF(ISNUMBER('Raw data'!I114),'Raw data'!I114*100,IF(ISNUMBER('Raw data'!M114),'Raw data'!M114*100,"")))</f>
        <v/>
      </c>
      <c r="AD114" s="44" t="str">
        <f aca="false">IF($A114="","",IF(AND(ISNUMBER('Raw data'!N114),ISNUMBER('Raw data'!L114),ISNUMBER('Raw data'!P114),ISNUMBER('Raw data'!S114)),ROUND(('Raw data'!N114*'Raw data'!P114+(1-'Raw data'!N114)*'Raw data'!S114-'Raw data'!L114)*100,1),""))</f>
        <v/>
      </c>
    </row>
    <row r="115" customFormat="false" ht="15" hidden="false" customHeight="false" outlineLevel="0" collapsed="false">
      <c r="A115" s="37" t="str">
        <f aca="false">IF(TRIM('Raw data'!A115)="","",TRIM('Raw data'!A115))</f>
        <v/>
      </c>
      <c r="B115" s="37" t="str">
        <f aca="false">IF($A115="","",IF('Raw data'!B115="",UPPER(LEFT($A115,3)),'Raw data'!B115))</f>
        <v/>
      </c>
      <c r="C115" s="37" t="str">
        <f aca="false">IF($A115="","",'Raw data'!C115)</f>
        <v/>
      </c>
      <c r="D115" s="38" t="str">
        <f aca="false">IF(OR($A115="",'Raw data'!J115=""),"",'Raw data'!J115)</f>
        <v/>
      </c>
      <c r="E115" s="38" t="str">
        <f aca="false">IF(OR($A115="",'Raw data'!U115=""),"",'Raw data'!U115)</f>
        <v/>
      </c>
      <c r="F115" s="42" t="str">
        <f aca="false">IF($A115="","",IF(ISNUMBER('Raw data'!K115),'Raw data'!K115*100,""))</f>
        <v/>
      </c>
      <c r="G115" s="42" t="str">
        <f aca="false">IF($A115="","",IF(ISNUMBER('Raw data'!L115),'Raw data'!L115*100,""))</f>
        <v/>
      </c>
      <c r="H115" s="42" t="str">
        <f aca="false">IF($A115="","",IF(ISNUMBER('Raw data'!M115),'Raw data'!M115*100,""))</f>
        <v/>
      </c>
      <c r="I115" s="42" t="str">
        <f aca="false">IF($A115="","",IF(ISNUMBER('Raw data'!V115),'Raw data'!V115*100,""))</f>
        <v/>
      </c>
      <c r="J115" s="42" t="str">
        <f aca="false">IF($A115="","",IF(ISNUMBER('Raw data'!W115),'Raw data'!W115*100,""))</f>
        <v/>
      </c>
      <c r="K115" s="42" t="str">
        <f aca="false">IF($A115="","",IF(ISNUMBER('Raw data'!X115),'Raw data'!X115*100,""))</f>
        <v/>
      </c>
      <c r="L115" s="42" t="str">
        <f aca="false">IF($A115="","",IF('Raw data'!Z115&lt;&gt;"",'Raw data'!Z115*100,IF(AND(N('Raw data'!J115)&gt;0,'Raw data'!U115&lt;&gt;""),'Raw data'!U115*(1+N('Raw data'!W115))/('Raw data'!J115*(1+N('Raw data'!L115)))*100,"")))</f>
        <v/>
      </c>
      <c r="M115" s="42" t="str">
        <f aca="false">IF($A115="","",IF('Raw data'!Y115&lt;&gt;"",'Raw data'!Y115*100,IF(AND(N('Raw data'!J115)&gt;0,'Raw data'!U115&lt;&gt;""),'Raw data'!U115/'Raw data'!J115*100,"")))</f>
        <v/>
      </c>
      <c r="N115" s="43" t="str">
        <f aca="false">IF($A115="","",IF(ISNUMBER('Raw data'!AA115),'Raw data'!AA115,""))</f>
        <v/>
      </c>
      <c r="O115" s="43" t="str">
        <f aca="false">IF($A115="","",IF(ISNUMBER('Raw data'!AB115),'Raw data'!AB115,""))</f>
        <v/>
      </c>
      <c r="P115" s="43" t="str">
        <f aca="false">IF($A115="","",IF(ISNUMBER('Raw data'!AC115),'Raw data'!AC115,""))</f>
        <v/>
      </c>
      <c r="Q115" s="43" t="str">
        <f aca="false">IF($A115="","",IF(ISNUMBER('Raw data'!AD115),'Raw data'!AD115,""))</f>
        <v/>
      </c>
      <c r="R115" s="43" t="str">
        <f aca="false">IF($A115="","",IF(ISNUMBER('Raw data'!N115),'Raw data'!N115*100,""))</f>
        <v/>
      </c>
      <c r="S115" s="42" t="str">
        <f aca="false">IF($A115="","",IF(ISNUMBER('Raw data'!O115),'Raw data'!O115*100,""))</f>
        <v/>
      </c>
      <c r="T115" s="42" t="str">
        <f aca="false">IF($A115="","",IF(ISNUMBER('Raw data'!P115),'Raw data'!P115*100,""))</f>
        <v/>
      </c>
      <c r="U115" s="42" t="str">
        <f aca="false">IF($A115="","",IF(ISNUMBER('Raw data'!Q115),'Raw data'!Q115*100,""))</f>
        <v/>
      </c>
      <c r="V115" s="42" t="str">
        <f aca="false">IF($A115="","",IF(ISNUMBER('Raw data'!R115),'Raw data'!R115*100,""))</f>
        <v/>
      </c>
      <c r="W115" s="42" t="str">
        <f aca="false">IF($A115="","",IF(ISNUMBER('Raw data'!S115),'Raw data'!S115*100,""))</f>
        <v/>
      </c>
      <c r="X115" s="42" t="str">
        <f aca="false">IF($A115="","",IF(ISNUMBER('Raw data'!T115),'Raw data'!T115*100,""))</f>
        <v/>
      </c>
      <c r="Y115" s="37" t="str">
        <f aca="false">IF($A115="","",IF('Raw data'!D115="","",'Raw data'!D115))</f>
        <v/>
      </c>
      <c r="Z115" s="38" t="str">
        <f aca="false">IF($A115="","",IF(ISNUMBER('Raw data'!F115),'Raw data'!F115,""))</f>
        <v/>
      </c>
      <c r="AA115" s="38" t="str">
        <f aca="false">IF($A115="","",IF(ISNUMBER('Raw data'!G115),'Raw data'!G115,""))</f>
        <v/>
      </c>
      <c r="AB115" s="42" t="str">
        <f aca="false">IF($A115="","",IF(ISNUMBER('Raw data'!H115),'Raw data'!H115*100,IF(ISNUMBER('Raw data'!K115),'Raw data'!K115*100,"")))</f>
        <v/>
      </c>
      <c r="AC115" s="42" t="str">
        <f aca="false">IF($A115="","",IF(ISNUMBER('Raw data'!I115),'Raw data'!I115*100,IF(ISNUMBER('Raw data'!M115),'Raw data'!M115*100,"")))</f>
        <v/>
      </c>
      <c r="AD115" s="44" t="str">
        <f aca="false">IF($A115="","",IF(AND(ISNUMBER('Raw data'!N115),ISNUMBER('Raw data'!L115),ISNUMBER('Raw data'!P115),ISNUMBER('Raw data'!S115)),ROUND(('Raw data'!N115*'Raw data'!P115+(1-'Raw data'!N115)*'Raw data'!S115-'Raw data'!L115)*100,1),""))</f>
        <v/>
      </c>
    </row>
    <row r="116" customFormat="false" ht="15" hidden="false" customHeight="false" outlineLevel="0" collapsed="false">
      <c r="A116" s="37" t="str">
        <f aca="false">IF(TRIM('Raw data'!A116)="","",TRIM('Raw data'!A116))</f>
        <v/>
      </c>
      <c r="B116" s="37" t="str">
        <f aca="false">IF($A116="","",IF('Raw data'!B116="",UPPER(LEFT($A116,3)),'Raw data'!B116))</f>
        <v/>
      </c>
      <c r="C116" s="37" t="str">
        <f aca="false">IF($A116="","",'Raw data'!C116)</f>
        <v/>
      </c>
      <c r="D116" s="38" t="str">
        <f aca="false">IF(OR($A116="",'Raw data'!J116=""),"",'Raw data'!J116)</f>
        <v/>
      </c>
      <c r="E116" s="38" t="str">
        <f aca="false">IF(OR($A116="",'Raw data'!U116=""),"",'Raw data'!U116)</f>
        <v/>
      </c>
      <c r="F116" s="42" t="str">
        <f aca="false">IF($A116="","",IF(ISNUMBER('Raw data'!K116),'Raw data'!K116*100,""))</f>
        <v/>
      </c>
      <c r="G116" s="42" t="str">
        <f aca="false">IF($A116="","",IF(ISNUMBER('Raw data'!L116),'Raw data'!L116*100,""))</f>
        <v/>
      </c>
      <c r="H116" s="42" t="str">
        <f aca="false">IF($A116="","",IF(ISNUMBER('Raw data'!M116),'Raw data'!M116*100,""))</f>
        <v/>
      </c>
      <c r="I116" s="42" t="str">
        <f aca="false">IF($A116="","",IF(ISNUMBER('Raw data'!V116),'Raw data'!V116*100,""))</f>
        <v/>
      </c>
      <c r="J116" s="42" t="str">
        <f aca="false">IF($A116="","",IF(ISNUMBER('Raw data'!W116),'Raw data'!W116*100,""))</f>
        <v/>
      </c>
      <c r="K116" s="42" t="str">
        <f aca="false">IF($A116="","",IF(ISNUMBER('Raw data'!X116),'Raw data'!X116*100,""))</f>
        <v/>
      </c>
      <c r="L116" s="42" t="str">
        <f aca="false">IF($A116="","",IF('Raw data'!Z116&lt;&gt;"",'Raw data'!Z116*100,IF(AND(N('Raw data'!J116)&gt;0,'Raw data'!U116&lt;&gt;""),'Raw data'!U116*(1+N('Raw data'!W116))/('Raw data'!J116*(1+N('Raw data'!L116)))*100,"")))</f>
        <v/>
      </c>
      <c r="M116" s="42" t="str">
        <f aca="false">IF($A116="","",IF('Raw data'!Y116&lt;&gt;"",'Raw data'!Y116*100,IF(AND(N('Raw data'!J116)&gt;0,'Raw data'!U116&lt;&gt;""),'Raw data'!U116/'Raw data'!J116*100,"")))</f>
        <v/>
      </c>
      <c r="N116" s="43" t="str">
        <f aca="false">IF($A116="","",IF(ISNUMBER('Raw data'!AA116),'Raw data'!AA116,""))</f>
        <v/>
      </c>
      <c r="O116" s="43" t="str">
        <f aca="false">IF($A116="","",IF(ISNUMBER('Raw data'!AB116),'Raw data'!AB116,""))</f>
        <v/>
      </c>
      <c r="P116" s="43" t="str">
        <f aca="false">IF($A116="","",IF(ISNUMBER('Raw data'!AC116),'Raw data'!AC116,""))</f>
        <v/>
      </c>
      <c r="Q116" s="43" t="str">
        <f aca="false">IF($A116="","",IF(ISNUMBER('Raw data'!AD116),'Raw data'!AD116,""))</f>
        <v/>
      </c>
      <c r="R116" s="43" t="str">
        <f aca="false">IF($A116="","",IF(ISNUMBER('Raw data'!N116),'Raw data'!N116*100,""))</f>
        <v/>
      </c>
      <c r="S116" s="42" t="str">
        <f aca="false">IF($A116="","",IF(ISNUMBER('Raw data'!O116),'Raw data'!O116*100,""))</f>
        <v/>
      </c>
      <c r="T116" s="42" t="str">
        <f aca="false">IF($A116="","",IF(ISNUMBER('Raw data'!P116),'Raw data'!P116*100,""))</f>
        <v/>
      </c>
      <c r="U116" s="42" t="str">
        <f aca="false">IF($A116="","",IF(ISNUMBER('Raw data'!Q116),'Raw data'!Q116*100,""))</f>
        <v/>
      </c>
      <c r="V116" s="42" t="str">
        <f aca="false">IF($A116="","",IF(ISNUMBER('Raw data'!R116),'Raw data'!R116*100,""))</f>
        <v/>
      </c>
      <c r="W116" s="42" t="str">
        <f aca="false">IF($A116="","",IF(ISNUMBER('Raw data'!S116),'Raw data'!S116*100,""))</f>
        <v/>
      </c>
      <c r="X116" s="42" t="str">
        <f aca="false">IF($A116="","",IF(ISNUMBER('Raw data'!T116),'Raw data'!T116*100,""))</f>
        <v/>
      </c>
      <c r="Y116" s="37" t="str">
        <f aca="false">IF($A116="","",IF('Raw data'!D116="","",'Raw data'!D116))</f>
        <v/>
      </c>
      <c r="Z116" s="38" t="str">
        <f aca="false">IF($A116="","",IF(ISNUMBER('Raw data'!F116),'Raw data'!F116,""))</f>
        <v/>
      </c>
      <c r="AA116" s="38" t="str">
        <f aca="false">IF($A116="","",IF(ISNUMBER('Raw data'!G116),'Raw data'!G116,""))</f>
        <v/>
      </c>
      <c r="AB116" s="42" t="str">
        <f aca="false">IF($A116="","",IF(ISNUMBER('Raw data'!H116),'Raw data'!H116*100,IF(ISNUMBER('Raw data'!K116),'Raw data'!K116*100,"")))</f>
        <v/>
      </c>
      <c r="AC116" s="42" t="str">
        <f aca="false">IF($A116="","",IF(ISNUMBER('Raw data'!I116),'Raw data'!I116*100,IF(ISNUMBER('Raw data'!M116),'Raw data'!M116*100,"")))</f>
        <v/>
      </c>
      <c r="AD116" s="44" t="str">
        <f aca="false">IF($A116="","",IF(AND(ISNUMBER('Raw data'!N116),ISNUMBER('Raw data'!L116),ISNUMBER('Raw data'!P116),ISNUMBER('Raw data'!S116)),ROUND(('Raw data'!N116*'Raw data'!P116+(1-'Raw data'!N116)*'Raw data'!S116-'Raw data'!L116)*100,1),""))</f>
        <v/>
      </c>
    </row>
    <row r="117" customFormat="false" ht="15" hidden="false" customHeight="false" outlineLevel="0" collapsed="false">
      <c r="A117" s="37" t="str">
        <f aca="false">IF(TRIM('Raw data'!A117)="","",TRIM('Raw data'!A117))</f>
        <v/>
      </c>
      <c r="B117" s="37" t="str">
        <f aca="false">IF($A117="","",IF('Raw data'!B117="",UPPER(LEFT($A117,3)),'Raw data'!B117))</f>
        <v/>
      </c>
      <c r="C117" s="37" t="str">
        <f aca="false">IF($A117="","",'Raw data'!C117)</f>
        <v/>
      </c>
      <c r="D117" s="38" t="str">
        <f aca="false">IF(OR($A117="",'Raw data'!J117=""),"",'Raw data'!J117)</f>
        <v/>
      </c>
      <c r="E117" s="38" t="str">
        <f aca="false">IF(OR($A117="",'Raw data'!U117=""),"",'Raw data'!U117)</f>
        <v/>
      </c>
      <c r="F117" s="42" t="str">
        <f aca="false">IF($A117="","",IF(ISNUMBER('Raw data'!K117),'Raw data'!K117*100,""))</f>
        <v/>
      </c>
      <c r="G117" s="42" t="str">
        <f aca="false">IF($A117="","",IF(ISNUMBER('Raw data'!L117),'Raw data'!L117*100,""))</f>
        <v/>
      </c>
      <c r="H117" s="42" t="str">
        <f aca="false">IF($A117="","",IF(ISNUMBER('Raw data'!M117),'Raw data'!M117*100,""))</f>
        <v/>
      </c>
      <c r="I117" s="42" t="str">
        <f aca="false">IF($A117="","",IF(ISNUMBER('Raw data'!V117),'Raw data'!V117*100,""))</f>
        <v/>
      </c>
      <c r="J117" s="42" t="str">
        <f aca="false">IF($A117="","",IF(ISNUMBER('Raw data'!W117),'Raw data'!W117*100,""))</f>
        <v/>
      </c>
      <c r="K117" s="42" t="str">
        <f aca="false">IF($A117="","",IF(ISNUMBER('Raw data'!X117),'Raw data'!X117*100,""))</f>
        <v/>
      </c>
      <c r="L117" s="42" t="str">
        <f aca="false">IF($A117="","",IF('Raw data'!Z117&lt;&gt;"",'Raw data'!Z117*100,IF(AND(N('Raw data'!J117)&gt;0,'Raw data'!U117&lt;&gt;""),'Raw data'!U117*(1+N('Raw data'!W117))/('Raw data'!J117*(1+N('Raw data'!L117)))*100,"")))</f>
        <v/>
      </c>
      <c r="M117" s="42" t="str">
        <f aca="false">IF($A117="","",IF('Raw data'!Y117&lt;&gt;"",'Raw data'!Y117*100,IF(AND(N('Raw data'!J117)&gt;0,'Raw data'!U117&lt;&gt;""),'Raw data'!U117/'Raw data'!J117*100,"")))</f>
        <v/>
      </c>
      <c r="N117" s="43" t="str">
        <f aca="false">IF($A117="","",IF(ISNUMBER('Raw data'!AA117),'Raw data'!AA117,""))</f>
        <v/>
      </c>
      <c r="O117" s="43" t="str">
        <f aca="false">IF($A117="","",IF(ISNUMBER('Raw data'!AB117),'Raw data'!AB117,""))</f>
        <v/>
      </c>
      <c r="P117" s="43" t="str">
        <f aca="false">IF($A117="","",IF(ISNUMBER('Raw data'!AC117),'Raw data'!AC117,""))</f>
        <v/>
      </c>
      <c r="Q117" s="43" t="str">
        <f aca="false">IF($A117="","",IF(ISNUMBER('Raw data'!AD117),'Raw data'!AD117,""))</f>
        <v/>
      </c>
      <c r="R117" s="43" t="str">
        <f aca="false">IF($A117="","",IF(ISNUMBER('Raw data'!N117),'Raw data'!N117*100,""))</f>
        <v/>
      </c>
      <c r="S117" s="42" t="str">
        <f aca="false">IF($A117="","",IF(ISNUMBER('Raw data'!O117),'Raw data'!O117*100,""))</f>
        <v/>
      </c>
      <c r="T117" s="42" t="str">
        <f aca="false">IF($A117="","",IF(ISNUMBER('Raw data'!P117),'Raw data'!P117*100,""))</f>
        <v/>
      </c>
      <c r="U117" s="42" t="str">
        <f aca="false">IF($A117="","",IF(ISNUMBER('Raw data'!Q117),'Raw data'!Q117*100,""))</f>
        <v/>
      </c>
      <c r="V117" s="42" t="str">
        <f aca="false">IF($A117="","",IF(ISNUMBER('Raw data'!R117),'Raw data'!R117*100,""))</f>
        <v/>
      </c>
      <c r="W117" s="42" t="str">
        <f aca="false">IF($A117="","",IF(ISNUMBER('Raw data'!S117),'Raw data'!S117*100,""))</f>
        <v/>
      </c>
      <c r="X117" s="42" t="str">
        <f aca="false">IF($A117="","",IF(ISNUMBER('Raw data'!T117),'Raw data'!T117*100,""))</f>
        <v/>
      </c>
      <c r="Y117" s="37" t="str">
        <f aca="false">IF($A117="","",IF('Raw data'!D117="","",'Raw data'!D117))</f>
        <v/>
      </c>
      <c r="Z117" s="38" t="str">
        <f aca="false">IF($A117="","",IF(ISNUMBER('Raw data'!F117),'Raw data'!F117,""))</f>
        <v/>
      </c>
      <c r="AA117" s="38" t="str">
        <f aca="false">IF($A117="","",IF(ISNUMBER('Raw data'!G117),'Raw data'!G117,""))</f>
        <v/>
      </c>
      <c r="AB117" s="42" t="str">
        <f aca="false">IF($A117="","",IF(ISNUMBER('Raw data'!H117),'Raw data'!H117*100,IF(ISNUMBER('Raw data'!K117),'Raw data'!K117*100,"")))</f>
        <v/>
      </c>
      <c r="AC117" s="42" t="str">
        <f aca="false">IF($A117="","",IF(ISNUMBER('Raw data'!I117),'Raw data'!I117*100,IF(ISNUMBER('Raw data'!M117),'Raw data'!M117*100,"")))</f>
        <v/>
      </c>
      <c r="AD117" s="44" t="str">
        <f aca="false">IF($A117="","",IF(AND(ISNUMBER('Raw data'!N117),ISNUMBER('Raw data'!L117),ISNUMBER('Raw data'!P117),ISNUMBER('Raw data'!S117)),ROUND(('Raw data'!N117*'Raw data'!P117+(1-'Raw data'!N117)*'Raw data'!S117-'Raw data'!L117)*100,1),""))</f>
        <v/>
      </c>
    </row>
    <row r="118" customFormat="false" ht="15" hidden="false" customHeight="false" outlineLevel="0" collapsed="false">
      <c r="A118" s="37" t="str">
        <f aca="false">IF(TRIM('Raw data'!A118)="","",TRIM('Raw data'!A118))</f>
        <v/>
      </c>
      <c r="B118" s="37" t="str">
        <f aca="false">IF($A118="","",IF('Raw data'!B118="",UPPER(LEFT($A118,3)),'Raw data'!B118))</f>
        <v/>
      </c>
      <c r="C118" s="37" t="str">
        <f aca="false">IF($A118="","",'Raw data'!C118)</f>
        <v/>
      </c>
      <c r="D118" s="38" t="str">
        <f aca="false">IF(OR($A118="",'Raw data'!J118=""),"",'Raw data'!J118)</f>
        <v/>
      </c>
      <c r="E118" s="38" t="str">
        <f aca="false">IF(OR($A118="",'Raw data'!U118=""),"",'Raw data'!U118)</f>
        <v/>
      </c>
      <c r="F118" s="42" t="str">
        <f aca="false">IF($A118="","",IF(ISNUMBER('Raw data'!K118),'Raw data'!K118*100,""))</f>
        <v/>
      </c>
      <c r="G118" s="42" t="str">
        <f aca="false">IF($A118="","",IF(ISNUMBER('Raw data'!L118),'Raw data'!L118*100,""))</f>
        <v/>
      </c>
      <c r="H118" s="42" t="str">
        <f aca="false">IF($A118="","",IF(ISNUMBER('Raw data'!M118),'Raw data'!M118*100,""))</f>
        <v/>
      </c>
      <c r="I118" s="42" t="str">
        <f aca="false">IF($A118="","",IF(ISNUMBER('Raw data'!V118),'Raw data'!V118*100,""))</f>
        <v/>
      </c>
      <c r="J118" s="42" t="str">
        <f aca="false">IF($A118="","",IF(ISNUMBER('Raw data'!W118),'Raw data'!W118*100,""))</f>
        <v/>
      </c>
      <c r="K118" s="42" t="str">
        <f aca="false">IF($A118="","",IF(ISNUMBER('Raw data'!X118),'Raw data'!X118*100,""))</f>
        <v/>
      </c>
      <c r="L118" s="42" t="str">
        <f aca="false">IF($A118="","",IF('Raw data'!Z118&lt;&gt;"",'Raw data'!Z118*100,IF(AND(N('Raw data'!J118)&gt;0,'Raw data'!U118&lt;&gt;""),'Raw data'!U118*(1+N('Raw data'!W118))/('Raw data'!J118*(1+N('Raw data'!L118)))*100,"")))</f>
        <v/>
      </c>
      <c r="M118" s="42" t="str">
        <f aca="false">IF($A118="","",IF('Raw data'!Y118&lt;&gt;"",'Raw data'!Y118*100,IF(AND(N('Raw data'!J118)&gt;0,'Raw data'!U118&lt;&gt;""),'Raw data'!U118/'Raw data'!J118*100,"")))</f>
        <v/>
      </c>
      <c r="N118" s="43" t="str">
        <f aca="false">IF($A118="","",IF(ISNUMBER('Raw data'!AA118),'Raw data'!AA118,""))</f>
        <v/>
      </c>
      <c r="O118" s="43" t="str">
        <f aca="false">IF($A118="","",IF(ISNUMBER('Raw data'!AB118),'Raw data'!AB118,""))</f>
        <v/>
      </c>
      <c r="P118" s="43" t="str">
        <f aca="false">IF($A118="","",IF(ISNUMBER('Raw data'!AC118),'Raw data'!AC118,""))</f>
        <v/>
      </c>
      <c r="Q118" s="43" t="str">
        <f aca="false">IF($A118="","",IF(ISNUMBER('Raw data'!AD118),'Raw data'!AD118,""))</f>
        <v/>
      </c>
      <c r="R118" s="43" t="str">
        <f aca="false">IF($A118="","",IF(ISNUMBER('Raw data'!N118),'Raw data'!N118*100,""))</f>
        <v/>
      </c>
      <c r="S118" s="42" t="str">
        <f aca="false">IF($A118="","",IF(ISNUMBER('Raw data'!O118),'Raw data'!O118*100,""))</f>
        <v/>
      </c>
      <c r="T118" s="42" t="str">
        <f aca="false">IF($A118="","",IF(ISNUMBER('Raw data'!P118),'Raw data'!P118*100,""))</f>
        <v/>
      </c>
      <c r="U118" s="42" t="str">
        <f aca="false">IF($A118="","",IF(ISNUMBER('Raw data'!Q118),'Raw data'!Q118*100,""))</f>
        <v/>
      </c>
      <c r="V118" s="42" t="str">
        <f aca="false">IF($A118="","",IF(ISNUMBER('Raw data'!R118),'Raw data'!R118*100,""))</f>
        <v/>
      </c>
      <c r="W118" s="42" t="str">
        <f aca="false">IF($A118="","",IF(ISNUMBER('Raw data'!S118),'Raw data'!S118*100,""))</f>
        <v/>
      </c>
      <c r="X118" s="42" t="str">
        <f aca="false">IF($A118="","",IF(ISNUMBER('Raw data'!T118),'Raw data'!T118*100,""))</f>
        <v/>
      </c>
      <c r="Y118" s="37" t="str">
        <f aca="false">IF($A118="","",IF('Raw data'!D118="","",'Raw data'!D118))</f>
        <v/>
      </c>
      <c r="Z118" s="38" t="str">
        <f aca="false">IF($A118="","",IF(ISNUMBER('Raw data'!F118),'Raw data'!F118,""))</f>
        <v/>
      </c>
      <c r="AA118" s="38" t="str">
        <f aca="false">IF($A118="","",IF(ISNUMBER('Raw data'!G118),'Raw data'!G118,""))</f>
        <v/>
      </c>
      <c r="AB118" s="42" t="str">
        <f aca="false">IF($A118="","",IF(ISNUMBER('Raw data'!H118),'Raw data'!H118*100,IF(ISNUMBER('Raw data'!K118),'Raw data'!K118*100,"")))</f>
        <v/>
      </c>
      <c r="AC118" s="42" t="str">
        <f aca="false">IF($A118="","",IF(ISNUMBER('Raw data'!I118),'Raw data'!I118*100,IF(ISNUMBER('Raw data'!M118),'Raw data'!M118*100,"")))</f>
        <v/>
      </c>
      <c r="AD118" s="44" t="str">
        <f aca="false">IF($A118="","",IF(AND(ISNUMBER('Raw data'!N118),ISNUMBER('Raw data'!L118),ISNUMBER('Raw data'!P118),ISNUMBER('Raw data'!S118)),ROUND(('Raw data'!N118*'Raw data'!P118+(1-'Raw data'!N118)*'Raw data'!S118-'Raw data'!L118)*100,1),""))</f>
        <v/>
      </c>
    </row>
    <row r="119" customFormat="false" ht="15" hidden="false" customHeight="false" outlineLevel="0" collapsed="false">
      <c r="A119" s="37" t="str">
        <f aca="false">IF(TRIM('Raw data'!A119)="","",TRIM('Raw data'!A119))</f>
        <v/>
      </c>
      <c r="B119" s="37" t="str">
        <f aca="false">IF($A119="","",IF('Raw data'!B119="",UPPER(LEFT($A119,3)),'Raw data'!B119))</f>
        <v/>
      </c>
      <c r="C119" s="37" t="str">
        <f aca="false">IF($A119="","",'Raw data'!C119)</f>
        <v/>
      </c>
      <c r="D119" s="38" t="str">
        <f aca="false">IF(OR($A119="",'Raw data'!J119=""),"",'Raw data'!J119)</f>
        <v/>
      </c>
      <c r="E119" s="38" t="str">
        <f aca="false">IF(OR($A119="",'Raw data'!U119=""),"",'Raw data'!U119)</f>
        <v/>
      </c>
      <c r="F119" s="42" t="str">
        <f aca="false">IF($A119="","",IF(ISNUMBER('Raw data'!K119),'Raw data'!K119*100,""))</f>
        <v/>
      </c>
      <c r="G119" s="42" t="str">
        <f aca="false">IF($A119="","",IF(ISNUMBER('Raw data'!L119),'Raw data'!L119*100,""))</f>
        <v/>
      </c>
      <c r="H119" s="42" t="str">
        <f aca="false">IF($A119="","",IF(ISNUMBER('Raw data'!M119),'Raw data'!M119*100,""))</f>
        <v/>
      </c>
      <c r="I119" s="42" t="str">
        <f aca="false">IF($A119="","",IF(ISNUMBER('Raw data'!V119),'Raw data'!V119*100,""))</f>
        <v/>
      </c>
      <c r="J119" s="42" t="str">
        <f aca="false">IF($A119="","",IF(ISNUMBER('Raw data'!W119),'Raw data'!W119*100,""))</f>
        <v/>
      </c>
      <c r="K119" s="42" t="str">
        <f aca="false">IF($A119="","",IF(ISNUMBER('Raw data'!X119),'Raw data'!X119*100,""))</f>
        <v/>
      </c>
      <c r="L119" s="42" t="str">
        <f aca="false">IF($A119="","",IF('Raw data'!Z119&lt;&gt;"",'Raw data'!Z119*100,IF(AND(N('Raw data'!J119)&gt;0,'Raw data'!U119&lt;&gt;""),'Raw data'!U119*(1+N('Raw data'!W119))/('Raw data'!J119*(1+N('Raw data'!L119)))*100,"")))</f>
        <v/>
      </c>
      <c r="M119" s="42" t="str">
        <f aca="false">IF($A119="","",IF('Raw data'!Y119&lt;&gt;"",'Raw data'!Y119*100,IF(AND(N('Raw data'!J119)&gt;0,'Raw data'!U119&lt;&gt;""),'Raw data'!U119/'Raw data'!J119*100,"")))</f>
        <v/>
      </c>
      <c r="N119" s="43" t="str">
        <f aca="false">IF($A119="","",IF(ISNUMBER('Raw data'!AA119),'Raw data'!AA119,""))</f>
        <v/>
      </c>
      <c r="O119" s="43" t="str">
        <f aca="false">IF($A119="","",IF(ISNUMBER('Raw data'!AB119),'Raw data'!AB119,""))</f>
        <v/>
      </c>
      <c r="P119" s="43" t="str">
        <f aca="false">IF($A119="","",IF(ISNUMBER('Raw data'!AC119),'Raw data'!AC119,""))</f>
        <v/>
      </c>
      <c r="Q119" s="43" t="str">
        <f aca="false">IF($A119="","",IF(ISNUMBER('Raw data'!AD119),'Raw data'!AD119,""))</f>
        <v/>
      </c>
      <c r="R119" s="43" t="str">
        <f aca="false">IF($A119="","",IF(ISNUMBER('Raw data'!N119),'Raw data'!N119*100,""))</f>
        <v/>
      </c>
      <c r="S119" s="42" t="str">
        <f aca="false">IF($A119="","",IF(ISNUMBER('Raw data'!O119),'Raw data'!O119*100,""))</f>
        <v/>
      </c>
      <c r="T119" s="42" t="str">
        <f aca="false">IF($A119="","",IF(ISNUMBER('Raw data'!P119),'Raw data'!P119*100,""))</f>
        <v/>
      </c>
      <c r="U119" s="42" t="str">
        <f aca="false">IF($A119="","",IF(ISNUMBER('Raw data'!Q119),'Raw data'!Q119*100,""))</f>
        <v/>
      </c>
      <c r="V119" s="42" t="str">
        <f aca="false">IF($A119="","",IF(ISNUMBER('Raw data'!R119),'Raw data'!R119*100,""))</f>
        <v/>
      </c>
      <c r="W119" s="42" t="str">
        <f aca="false">IF($A119="","",IF(ISNUMBER('Raw data'!S119),'Raw data'!S119*100,""))</f>
        <v/>
      </c>
      <c r="X119" s="42" t="str">
        <f aca="false">IF($A119="","",IF(ISNUMBER('Raw data'!T119),'Raw data'!T119*100,""))</f>
        <v/>
      </c>
      <c r="Y119" s="37" t="str">
        <f aca="false">IF($A119="","",IF('Raw data'!D119="","",'Raw data'!D119))</f>
        <v/>
      </c>
      <c r="Z119" s="38" t="str">
        <f aca="false">IF($A119="","",IF(ISNUMBER('Raw data'!F119),'Raw data'!F119,""))</f>
        <v/>
      </c>
      <c r="AA119" s="38" t="str">
        <f aca="false">IF($A119="","",IF(ISNUMBER('Raw data'!G119),'Raw data'!G119,""))</f>
        <v/>
      </c>
      <c r="AB119" s="42" t="str">
        <f aca="false">IF($A119="","",IF(ISNUMBER('Raw data'!H119),'Raw data'!H119*100,IF(ISNUMBER('Raw data'!K119),'Raw data'!K119*100,"")))</f>
        <v/>
      </c>
      <c r="AC119" s="42" t="str">
        <f aca="false">IF($A119="","",IF(ISNUMBER('Raw data'!I119),'Raw data'!I119*100,IF(ISNUMBER('Raw data'!M119),'Raw data'!M119*100,"")))</f>
        <v/>
      </c>
      <c r="AD119" s="44" t="str">
        <f aca="false">IF($A119="","",IF(AND(ISNUMBER('Raw data'!N119),ISNUMBER('Raw data'!L119),ISNUMBER('Raw data'!P119),ISNUMBER('Raw data'!S119)),ROUND(('Raw data'!N119*'Raw data'!P119+(1-'Raw data'!N119)*'Raw data'!S119-'Raw data'!L119)*100,1),""))</f>
        <v/>
      </c>
    </row>
    <row r="120" customFormat="false" ht="15" hidden="false" customHeight="false" outlineLevel="0" collapsed="false">
      <c r="A120" s="37" t="str">
        <f aca="false">IF(TRIM('Raw data'!A120)="","",TRIM('Raw data'!A120))</f>
        <v/>
      </c>
      <c r="B120" s="37" t="str">
        <f aca="false">IF($A120="","",IF('Raw data'!B120="",UPPER(LEFT($A120,3)),'Raw data'!B120))</f>
        <v/>
      </c>
      <c r="C120" s="37" t="str">
        <f aca="false">IF($A120="","",'Raw data'!C120)</f>
        <v/>
      </c>
      <c r="D120" s="38" t="str">
        <f aca="false">IF(OR($A120="",'Raw data'!J120=""),"",'Raw data'!J120)</f>
        <v/>
      </c>
      <c r="E120" s="38" t="str">
        <f aca="false">IF(OR($A120="",'Raw data'!U120=""),"",'Raw data'!U120)</f>
        <v/>
      </c>
      <c r="F120" s="42" t="str">
        <f aca="false">IF($A120="","",IF(ISNUMBER('Raw data'!K120),'Raw data'!K120*100,""))</f>
        <v/>
      </c>
      <c r="G120" s="42" t="str">
        <f aca="false">IF($A120="","",IF(ISNUMBER('Raw data'!L120),'Raw data'!L120*100,""))</f>
        <v/>
      </c>
      <c r="H120" s="42" t="str">
        <f aca="false">IF($A120="","",IF(ISNUMBER('Raw data'!M120),'Raw data'!M120*100,""))</f>
        <v/>
      </c>
      <c r="I120" s="42" t="str">
        <f aca="false">IF($A120="","",IF(ISNUMBER('Raw data'!V120),'Raw data'!V120*100,""))</f>
        <v/>
      </c>
      <c r="J120" s="42" t="str">
        <f aca="false">IF($A120="","",IF(ISNUMBER('Raw data'!W120),'Raw data'!W120*100,""))</f>
        <v/>
      </c>
      <c r="K120" s="42" t="str">
        <f aca="false">IF($A120="","",IF(ISNUMBER('Raw data'!X120),'Raw data'!X120*100,""))</f>
        <v/>
      </c>
      <c r="L120" s="42" t="str">
        <f aca="false">IF($A120="","",IF('Raw data'!Z120&lt;&gt;"",'Raw data'!Z120*100,IF(AND(N('Raw data'!J120)&gt;0,'Raw data'!U120&lt;&gt;""),'Raw data'!U120*(1+N('Raw data'!W120))/('Raw data'!J120*(1+N('Raw data'!L120)))*100,"")))</f>
        <v/>
      </c>
      <c r="M120" s="42" t="str">
        <f aca="false">IF($A120="","",IF('Raw data'!Y120&lt;&gt;"",'Raw data'!Y120*100,IF(AND(N('Raw data'!J120)&gt;0,'Raw data'!U120&lt;&gt;""),'Raw data'!U120/'Raw data'!J120*100,"")))</f>
        <v/>
      </c>
      <c r="N120" s="43" t="str">
        <f aca="false">IF($A120="","",IF(ISNUMBER('Raw data'!AA120),'Raw data'!AA120,""))</f>
        <v/>
      </c>
      <c r="O120" s="43" t="str">
        <f aca="false">IF($A120="","",IF(ISNUMBER('Raw data'!AB120),'Raw data'!AB120,""))</f>
        <v/>
      </c>
      <c r="P120" s="43" t="str">
        <f aca="false">IF($A120="","",IF(ISNUMBER('Raw data'!AC120),'Raw data'!AC120,""))</f>
        <v/>
      </c>
      <c r="Q120" s="43" t="str">
        <f aca="false">IF($A120="","",IF(ISNUMBER('Raw data'!AD120),'Raw data'!AD120,""))</f>
        <v/>
      </c>
      <c r="R120" s="43" t="str">
        <f aca="false">IF($A120="","",IF(ISNUMBER('Raw data'!N120),'Raw data'!N120*100,""))</f>
        <v/>
      </c>
      <c r="S120" s="42" t="str">
        <f aca="false">IF($A120="","",IF(ISNUMBER('Raw data'!O120),'Raw data'!O120*100,""))</f>
        <v/>
      </c>
      <c r="T120" s="42" t="str">
        <f aca="false">IF($A120="","",IF(ISNUMBER('Raw data'!P120),'Raw data'!P120*100,""))</f>
        <v/>
      </c>
      <c r="U120" s="42" t="str">
        <f aca="false">IF($A120="","",IF(ISNUMBER('Raw data'!Q120),'Raw data'!Q120*100,""))</f>
        <v/>
      </c>
      <c r="V120" s="42" t="str">
        <f aca="false">IF($A120="","",IF(ISNUMBER('Raw data'!R120),'Raw data'!R120*100,""))</f>
        <v/>
      </c>
      <c r="W120" s="42" t="str">
        <f aca="false">IF($A120="","",IF(ISNUMBER('Raw data'!S120),'Raw data'!S120*100,""))</f>
        <v/>
      </c>
      <c r="X120" s="42" t="str">
        <f aca="false">IF($A120="","",IF(ISNUMBER('Raw data'!T120),'Raw data'!T120*100,""))</f>
        <v/>
      </c>
      <c r="Y120" s="37" t="str">
        <f aca="false">IF($A120="","",IF('Raw data'!D120="","",'Raw data'!D120))</f>
        <v/>
      </c>
      <c r="Z120" s="38" t="str">
        <f aca="false">IF($A120="","",IF(ISNUMBER('Raw data'!F120),'Raw data'!F120,""))</f>
        <v/>
      </c>
      <c r="AA120" s="38" t="str">
        <f aca="false">IF($A120="","",IF(ISNUMBER('Raw data'!G120),'Raw data'!G120,""))</f>
        <v/>
      </c>
      <c r="AB120" s="42" t="str">
        <f aca="false">IF($A120="","",IF(ISNUMBER('Raw data'!H120),'Raw data'!H120*100,IF(ISNUMBER('Raw data'!K120),'Raw data'!K120*100,"")))</f>
        <v/>
      </c>
      <c r="AC120" s="42" t="str">
        <f aca="false">IF($A120="","",IF(ISNUMBER('Raw data'!I120),'Raw data'!I120*100,IF(ISNUMBER('Raw data'!M120),'Raw data'!M120*100,"")))</f>
        <v/>
      </c>
      <c r="AD120" s="44" t="str">
        <f aca="false">IF($A120="","",IF(AND(ISNUMBER('Raw data'!N120),ISNUMBER('Raw data'!L120),ISNUMBER('Raw data'!P120),ISNUMBER('Raw data'!S120)),ROUND(('Raw data'!N120*'Raw data'!P120+(1-'Raw data'!N120)*'Raw data'!S120-'Raw data'!L120)*100,1),""))</f>
        <v/>
      </c>
    </row>
    <row r="121" customFormat="false" ht="15" hidden="false" customHeight="false" outlineLevel="0" collapsed="false">
      <c r="A121" s="37" t="str">
        <f aca="false">IF(TRIM('Raw data'!A121)="","",TRIM('Raw data'!A121))</f>
        <v/>
      </c>
      <c r="B121" s="37" t="str">
        <f aca="false">IF($A121="","",IF('Raw data'!B121="",UPPER(LEFT($A121,3)),'Raw data'!B121))</f>
        <v/>
      </c>
      <c r="C121" s="37" t="str">
        <f aca="false">IF($A121="","",'Raw data'!C121)</f>
        <v/>
      </c>
      <c r="D121" s="38" t="str">
        <f aca="false">IF(OR($A121="",'Raw data'!J121=""),"",'Raw data'!J121)</f>
        <v/>
      </c>
      <c r="E121" s="38" t="str">
        <f aca="false">IF(OR($A121="",'Raw data'!U121=""),"",'Raw data'!U121)</f>
        <v/>
      </c>
      <c r="F121" s="42" t="str">
        <f aca="false">IF($A121="","",IF(ISNUMBER('Raw data'!K121),'Raw data'!K121*100,""))</f>
        <v/>
      </c>
      <c r="G121" s="42" t="str">
        <f aca="false">IF($A121="","",IF(ISNUMBER('Raw data'!L121),'Raw data'!L121*100,""))</f>
        <v/>
      </c>
      <c r="H121" s="42" t="str">
        <f aca="false">IF($A121="","",IF(ISNUMBER('Raw data'!M121),'Raw data'!M121*100,""))</f>
        <v/>
      </c>
      <c r="I121" s="42" t="str">
        <f aca="false">IF($A121="","",IF(ISNUMBER('Raw data'!V121),'Raw data'!V121*100,""))</f>
        <v/>
      </c>
      <c r="J121" s="42" t="str">
        <f aca="false">IF($A121="","",IF(ISNUMBER('Raw data'!W121),'Raw data'!W121*100,""))</f>
        <v/>
      </c>
      <c r="K121" s="42" t="str">
        <f aca="false">IF($A121="","",IF(ISNUMBER('Raw data'!X121),'Raw data'!X121*100,""))</f>
        <v/>
      </c>
      <c r="L121" s="42" t="str">
        <f aca="false">IF($A121="","",IF('Raw data'!Z121&lt;&gt;"",'Raw data'!Z121*100,IF(AND(N('Raw data'!J121)&gt;0,'Raw data'!U121&lt;&gt;""),'Raw data'!U121*(1+N('Raw data'!W121))/('Raw data'!J121*(1+N('Raw data'!L121)))*100,"")))</f>
        <v/>
      </c>
      <c r="M121" s="42" t="str">
        <f aca="false">IF($A121="","",IF('Raw data'!Y121&lt;&gt;"",'Raw data'!Y121*100,IF(AND(N('Raw data'!J121)&gt;0,'Raw data'!U121&lt;&gt;""),'Raw data'!U121/'Raw data'!J121*100,"")))</f>
        <v/>
      </c>
      <c r="N121" s="43" t="str">
        <f aca="false">IF($A121="","",IF(ISNUMBER('Raw data'!AA121),'Raw data'!AA121,""))</f>
        <v/>
      </c>
      <c r="O121" s="43" t="str">
        <f aca="false">IF($A121="","",IF(ISNUMBER('Raw data'!AB121),'Raw data'!AB121,""))</f>
        <v/>
      </c>
      <c r="P121" s="43" t="str">
        <f aca="false">IF($A121="","",IF(ISNUMBER('Raw data'!AC121),'Raw data'!AC121,""))</f>
        <v/>
      </c>
      <c r="Q121" s="43" t="str">
        <f aca="false">IF($A121="","",IF(ISNUMBER('Raw data'!AD121),'Raw data'!AD121,""))</f>
        <v/>
      </c>
      <c r="R121" s="43" t="str">
        <f aca="false">IF($A121="","",IF(ISNUMBER('Raw data'!N121),'Raw data'!N121*100,""))</f>
        <v/>
      </c>
      <c r="S121" s="42" t="str">
        <f aca="false">IF($A121="","",IF(ISNUMBER('Raw data'!O121),'Raw data'!O121*100,""))</f>
        <v/>
      </c>
      <c r="T121" s="42" t="str">
        <f aca="false">IF($A121="","",IF(ISNUMBER('Raw data'!P121),'Raw data'!P121*100,""))</f>
        <v/>
      </c>
      <c r="U121" s="42" t="str">
        <f aca="false">IF($A121="","",IF(ISNUMBER('Raw data'!Q121),'Raw data'!Q121*100,""))</f>
        <v/>
      </c>
      <c r="V121" s="42" t="str">
        <f aca="false">IF($A121="","",IF(ISNUMBER('Raw data'!R121),'Raw data'!R121*100,""))</f>
        <v/>
      </c>
      <c r="W121" s="42" t="str">
        <f aca="false">IF($A121="","",IF(ISNUMBER('Raw data'!S121),'Raw data'!S121*100,""))</f>
        <v/>
      </c>
      <c r="X121" s="42" t="str">
        <f aca="false">IF($A121="","",IF(ISNUMBER('Raw data'!T121),'Raw data'!T121*100,""))</f>
        <v/>
      </c>
      <c r="Y121" s="37" t="str">
        <f aca="false">IF($A121="","",IF('Raw data'!D121="","",'Raw data'!D121))</f>
        <v/>
      </c>
      <c r="Z121" s="38" t="str">
        <f aca="false">IF($A121="","",IF(ISNUMBER('Raw data'!F121),'Raw data'!F121,""))</f>
        <v/>
      </c>
      <c r="AA121" s="38" t="str">
        <f aca="false">IF($A121="","",IF(ISNUMBER('Raw data'!G121),'Raw data'!G121,""))</f>
        <v/>
      </c>
      <c r="AB121" s="42" t="str">
        <f aca="false">IF($A121="","",IF(ISNUMBER('Raw data'!H121),'Raw data'!H121*100,IF(ISNUMBER('Raw data'!K121),'Raw data'!K121*100,"")))</f>
        <v/>
      </c>
      <c r="AC121" s="42" t="str">
        <f aca="false">IF($A121="","",IF(ISNUMBER('Raw data'!I121),'Raw data'!I121*100,IF(ISNUMBER('Raw data'!M121),'Raw data'!M121*100,"")))</f>
        <v/>
      </c>
      <c r="AD121" s="44" t="str">
        <f aca="false">IF($A121="","",IF(AND(ISNUMBER('Raw data'!N121),ISNUMBER('Raw data'!L121),ISNUMBER('Raw data'!P121),ISNUMBER('Raw data'!S121)),ROUND(('Raw data'!N121*'Raw data'!P121+(1-'Raw data'!N121)*'Raw data'!S121-'Raw data'!L121)*100,1),""))</f>
        <v/>
      </c>
    </row>
    <row r="122" customFormat="false" ht="15" hidden="false" customHeight="false" outlineLevel="0" collapsed="false">
      <c r="A122" s="37" t="str">
        <f aca="false">IF(TRIM('Raw data'!A122)="","",TRIM('Raw data'!A122))</f>
        <v/>
      </c>
      <c r="B122" s="37" t="str">
        <f aca="false">IF($A122="","",IF('Raw data'!B122="",UPPER(LEFT($A122,3)),'Raw data'!B122))</f>
        <v/>
      </c>
      <c r="C122" s="37" t="str">
        <f aca="false">IF($A122="","",'Raw data'!C122)</f>
        <v/>
      </c>
      <c r="D122" s="38" t="str">
        <f aca="false">IF(OR($A122="",'Raw data'!J122=""),"",'Raw data'!J122)</f>
        <v/>
      </c>
      <c r="E122" s="38" t="str">
        <f aca="false">IF(OR($A122="",'Raw data'!U122=""),"",'Raw data'!U122)</f>
        <v/>
      </c>
      <c r="F122" s="42" t="str">
        <f aca="false">IF($A122="","",IF(ISNUMBER('Raw data'!K122),'Raw data'!K122*100,""))</f>
        <v/>
      </c>
      <c r="G122" s="42" t="str">
        <f aca="false">IF($A122="","",IF(ISNUMBER('Raw data'!L122),'Raw data'!L122*100,""))</f>
        <v/>
      </c>
      <c r="H122" s="42" t="str">
        <f aca="false">IF($A122="","",IF(ISNUMBER('Raw data'!M122),'Raw data'!M122*100,""))</f>
        <v/>
      </c>
      <c r="I122" s="42" t="str">
        <f aca="false">IF($A122="","",IF(ISNUMBER('Raw data'!V122),'Raw data'!V122*100,""))</f>
        <v/>
      </c>
      <c r="J122" s="42" t="str">
        <f aca="false">IF($A122="","",IF(ISNUMBER('Raw data'!W122),'Raw data'!W122*100,""))</f>
        <v/>
      </c>
      <c r="K122" s="42" t="str">
        <f aca="false">IF($A122="","",IF(ISNUMBER('Raw data'!X122),'Raw data'!X122*100,""))</f>
        <v/>
      </c>
      <c r="L122" s="42" t="str">
        <f aca="false">IF($A122="","",IF('Raw data'!Z122&lt;&gt;"",'Raw data'!Z122*100,IF(AND(N('Raw data'!J122)&gt;0,'Raw data'!U122&lt;&gt;""),'Raw data'!U122*(1+N('Raw data'!W122))/('Raw data'!J122*(1+N('Raw data'!L122)))*100,"")))</f>
        <v/>
      </c>
      <c r="M122" s="42" t="str">
        <f aca="false">IF($A122="","",IF('Raw data'!Y122&lt;&gt;"",'Raw data'!Y122*100,IF(AND(N('Raw data'!J122)&gt;0,'Raw data'!U122&lt;&gt;""),'Raw data'!U122/'Raw data'!J122*100,"")))</f>
        <v/>
      </c>
      <c r="N122" s="43" t="str">
        <f aca="false">IF($A122="","",IF(ISNUMBER('Raw data'!AA122),'Raw data'!AA122,""))</f>
        <v/>
      </c>
      <c r="O122" s="43" t="str">
        <f aca="false">IF($A122="","",IF(ISNUMBER('Raw data'!AB122),'Raw data'!AB122,""))</f>
        <v/>
      </c>
      <c r="P122" s="43" t="str">
        <f aca="false">IF($A122="","",IF(ISNUMBER('Raw data'!AC122),'Raw data'!AC122,""))</f>
        <v/>
      </c>
      <c r="Q122" s="43" t="str">
        <f aca="false">IF($A122="","",IF(ISNUMBER('Raw data'!AD122),'Raw data'!AD122,""))</f>
        <v/>
      </c>
      <c r="R122" s="43" t="str">
        <f aca="false">IF($A122="","",IF(ISNUMBER('Raw data'!N122),'Raw data'!N122*100,""))</f>
        <v/>
      </c>
      <c r="S122" s="42" t="str">
        <f aca="false">IF($A122="","",IF(ISNUMBER('Raw data'!O122),'Raw data'!O122*100,""))</f>
        <v/>
      </c>
      <c r="T122" s="42" t="str">
        <f aca="false">IF($A122="","",IF(ISNUMBER('Raw data'!P122),'Raw data'!P122*100,""))</f>
        <v/>
      </c>
      <c r="U122" s="42" t="str">
        <f aca="false">IF($A122="","",IF(ISNUMBER('Raw data'!Q122),'Raw data'!Q122*100,""))</f>
        <v/>
      </c>
      <c r="V122" s="42" t="str">
        <f aca="false">IF($A122="","",IF(ISNUMBER('Raw data'!R122),'Raw data'!R122*100,""))</f>
        <v/>
      </c>
      <c r="W122" s="42" t="str">
        <f aca="false">IF($A122="","",IF(ISNUMBER('Raw data'!S122),'Raw data'!S122*100,""))</f>
        <v/>
      </c>
      <c r="X122" s="42" t="str">
        <f aca="false">IF($A122="","",IF(ISNUMBER('Raw data'!T122),'Raw data'!T122*100,""))</f>
        <v/>
      </c>
      <c r="Y122" s="37" t="str">
        <f aca="false">IF($A122="","",IF('Raw data'!D122="","",'Raw data'!D122))</f>
        <v/>
      </c>
      <c r="Z122" s="38" t="str">
        <f aca="false">IF($A122="","",IF(ISNUMBER('Raw data'!F122),'Raw data'!F122,""))</f>
        <v/>
      </c>
      <c r="AA122" s="38" t="str">
        <f aca="false">IF($A122="","",IF(ISNUMBER('Raw data'!G122),'Raw data'!G122,""))</f>
        <v/>
      </c>
      <c r="AB122" s="42" t="str">
        <f aca="false">IF($A122="","",IF(ISNUMBER('Raw data'!H122),'Raw data'!H122*100,IF(ISNUMBER('Raw data'!K122),'Raw data'!K122*100,"")))</f>
        <v/>
      </c>
      <c r="AC122" s="42" t="str">
        <f aca="false">IF($A122="","",IF(ISNUMBER('Raw data'!I122),'Raw data'!I122*100,IF(ISNUMBER('Raw data'!M122),'Raw data'!M122*100,"")))</f>
        <v/>
      </c>
      <c r="AD122" s="44" t="str">
        <f aca="false">IF($A122="","",IF(AND(ISNUMBER('Raw data'!N122),ISNUMBER('Raw data'!L122),ISNUMBER('Raw data'!P122),ISNUMBER('Raw data'!S122)),ROUND(('Raw data'!N122*'Raw data'!P122+(1-'Raw data'!N122)*'Raw data'!S122-'Raw data'!L122)*100,1),""))</f>
        <v/>
      </c>
    </row>
    <row r="123" customFormat="false" ht="15" hidden="false" customHeight="false" outlineLevel="0" collapsed="false">
      <c r="A123" s="37" t="str">
        <f aca="false">IF(TRIM('Raw data'!A123)="","",TRIM('Raw data'!A123))</f>
        <v/>
      </c>
      <c r="B123" s="37" t="str">
        <f aca="false">IF($A123="","",IF('Raw data'!B123="",UPPER(LEFT($A123,3)),'Raw data'!B123))</f>
        <v/>
      </c>
      <c r="C123" s="37" t="str">
        <f aca="false">IF($A123="","",'Raw data'!C123)</f>
        <v/>
      </c>
      <c r="D123" s="38" t="str">
        <f aca="false">IF(OR($A123="",'Raw data'!J123=""),"",'Raw data'!J123)</f>
        <v/>
      </c>
      <c r="E123" s="38" t="str">
        <f aca="false">IF(OR($A123="",'Raw data'!U123=""),"",'Raw data'!U123)</f>
        <v/>
      </c>
      <c r="F123" s="42" t="str">
        <f aca="false">IF($A123="","",IF(ISNUMBER('Raw data'!K123),'Raw data'!K123*100,""))</f>
        <v/>
      </c>
      <c r="G123" s="42" t="str">
        <f aca="false">IF($A123="","",IF(ISNUMBER('Raw data'!L123),'Raw data'!L123*100,""))</f>
        <v/>
      </c>
      <c r="H123" s="42" t="str">
        <f aca="false">IF($A123="","",IF(ISNUMBER('Raw data'!M123),'Raw data'!M123*100,""))</f>
        <v/>
      </c>
      <c r="I123" s="42" t="str">
        <f aca="false">IF($A123="","",IF(ISNUMBER('Raw data'!V123),'Raw data'!V123*100,""))</f>
        <v/>
      </c>
      <c r="J123" s="42" t="str">
        <f aca="false">IF($A123="","",IF(ISNUMBER('Raw data'!W123),'Raw data'!W123*100,""))</f>
        <v/>
      </c>
      <c r="K123" s="42" t="str">
        <f aca="false">IF($A123="","",IF(ISNUMBER('Raw data'!X123),'Raw data'!X123*100,""))</f>
        <v/>
      </c>
      <c r="L123" s="42" t="str">
        <f aca="false">IF($A123="","",IF('Raw data'!Z123&lt;&gt;"",'Raw data'!Z123*100,IF(AND(N('Raw data'!J123)&gt;0,'Raw data'!U123&lt;&gt;""),'Raw data'!U123*(1+N('Raw data'!W123))/('Raw data'!J123*(1+N('Raw data'!L123)))*100,"")))</f>
        <v/>
      </c>
      <c r="M123" s="42" t="str">
        <f aca="false">IF($A123="","",IF('Raw data'!Y123&lt;&gt;"",'Raw data'!Y123*100,IF(AND(N('Raw data'!J123)&gt;0,'Raw data'!U123&lt;&gt;""),'Raw data'!U123/'Raw data'!J123*100,"")))</f>
        <v/>
      </c>
      <c r="N123" s="43" t="str">
        <f aca="false">IF($A123="","",IF(ISNUMBER('Raw data'!AA123),'Raw data'!AA123,""))</f>
        <v/>
      </c>
      <c r="O123" s="43" t="str">
        <f aca="false">IF($A123="","",IF(ISNUMBER('Raw data'!AB123),'Raw data'!AB123,""))</f>
        <v/>
      </c>
      <c r="P123" s="43" t="str">
        <f aca="false">IF($A123="","",IF(ISNUMBER('Raw data'!AC123),'Raw data'!AC123,""))</f>
        <v/>
      </c>
      <c r="Q123" s="43" t="str">
        <f aca="false">IF($A123="","",IF(ISNUMBER('Raw data'!AD123),'Raw data'!AD123,""))</f>
        <v/>
      </c>
      <c r="R123" s="43" t="str">
        <f aca="false">IF($A123="","",IF(ISNUMBER('Raw data'!N123),'Raw data'!N123*100,""))</f>
        <v/>
      </c>
      <c r="S123" s="42" t="str">
        <f aca="false">IF($A123="","",IF(ISNUMBER('Raw data'!O123),'Raw data'!O123*100,""))</f>
        <v/>
      </c>
      <c r="T123" s="42" t="str">
        <f aca="false">IF($A123="","",IF(ISNUMBER('Raw data'!P123),'Raw data'!P123*100,""))</f>
        <v/>
      </c>
      <c r="U123" s="42" t="str">
        <f aca="false">IF($A123="","",IF(ISNUMBER('Raw data'!Q123),'Raw data'!Q123*100,""))</f>
        <v/>
      </c>
      <c r="V123" s="42" t="str">
        <f aca="false">IF($A123="","",IF(ISNUMBER('Raw data'!R123),'Raw data'!R123*100,""))</f>
        <v/>
      </c>
      <c r="W123" s="42" t="str">
        <f aca="false">IF($A123="","",IF(ISNUMBER('Raw data'!S123),'Raw data'!S123*100,""))</f>
        <v/>
      </c>
      <c r="X123" s="42" t="str">
        <f aca="false">IF($A123="","",IF(ISNUMBER('Raw data'!T123),'Raw data'!T123*100,""))</f>
        <v/>
      </c>
      <c r="Y123" s="37" t="str">
        <f aca="false">IF($A123="","",IF('Raw data'!D123="","",'Raw data'!D123))</f>
        <v/>
      </c>
      <c r="Z123" s="38" t="str">
        <f aca="false">IF($A123="","",IF(ISNUMBER('Raw data'!F123),'Raw data'!F123,""))</f>
        <v/>
      </c>
      <c r="AA123" s="38" t="str">
        <f aca="false">IF($A123="","",IF(ISNUMBER('Raw data'!G123),'Raw data'!G123,""))</f>
        <v/>
      </c>
      <c r="AB123" s="42" t="str">
        <f aca="false">IF($A123="","",IF(ISNUMBER('Raw data'!H123),'Raw data'!H123*100,IF(ISNUMBER('Raw data'!K123),'Raw data'!K123*100,"")))</f>
        <v/>
      </c>
      <c r="AC123" s="42" t="str">
        <f aca="false">IF($A123="","",IF(ISNUMBER('Raw data'!I123),'Raw data'!I123*100,IF(ISNUMBER('Raw data'!M123),'Raw data'!M123*100,"")))</f>
        <v/>
      </c>
      <c r="AD123" s="44" t="str">
        <f aca="false">IF($A123="","",IF(AND(ISNUMBER('Raw data'!N123),ISNUMBER('Raw data'!L123),ISNUMBER('Raw data'!P123),ISNUMBER('Raw data'!S123)),ROUND(('Raw data'!N123*'Raw data'!P123+(1-'Raw data'!N123)*'Raw data'!S123-'Raw data'!L123)*100,1),""))</f>
        <v/>
      </c>
    </row>
    <row r="124" customFormat="false" ht="15" hidden="false" customHeight="false" outlineLevel="0" collapsed="false">
      <c r="A124" s="37" t="str">
        <f aca="false">IF(TRIM('Raw data'!A124)="","",TRIM('Raw data'!A124))</f>
        <v/>
      </c>
      <c r="B124" s="37" t="str">
        <f aca="false">IF($A124="","",IF('Raw data'!B124="",UPPER(LEFT($A124,3)),'Raw data'!B124))</f>
        <v/>
      </c>
      <c r="C124" s="37" t="str">
        <f aca="false">IF($A124="","",'Raw data'!C124)</f>
        <v/>
      </c>
      <c r="D124" s="38" t="str">
        <f aca="false">IF(OR($A124="",'Raw data'!J124=""),"",'Raw data'!J124)</f>
        <v/>
      </c>
      <c r="E124" s="38" t="str">
        <f aca="false">IF(OR($A124="",'Raw data'!U124=""),"",'Raw data'!U124)</f>
        <v/>
      </c>
      <c r="F124" s="42" t="str">
        <f aca="false">IF($A124="","",IF(ISNUMBER('Raw data'!K124),'Raw data'!K124*100,""))</f>
        <v/>
      </c>
      <c r="G124" s="42" t="str">
        <f aca="false">IF($A124="","",IF(ISNUMBER('Raw data'!L124),'Raw data'!L124*100,""))</f>
        <v/>
      </c>
      <c r="H124" s="42" t="str">
        <f aca="false">IF($A124="","",IF(ISNUMBER('Raw data'!M124),'Raw data'!M124*100,""))</f>
        <v/>
      </c>
      <c r="I124" s="42" t="str">
        <f aca="false">IF($A124="","",IF(ISNUMBER('Raw data'!V124),'Raw data'!V124*100,""))</f>
        <v/>
      </c>
      <c r="J124" s="42" t="str">
        <f aca="false">IF($A124="","",IF(ISNUMBER('Raw data'!W124),'Raw data'!W124*100,""))</f>
        <v/>
      </c>
      <c r="K124" s="42" t="str">
        <f aca="false">IF($A124="","",IF(ISNUMBER('Raw data'!X124),'Raw data'!X124*100,""))</f>
        <v/>
      </c>
      <c r="L124" s="42" t="str">
        <f aca="false">IF($A124="","",IF('Raw data'!Z124&lt;&gt;"",'Raw data'!Z124*100,IF(AND(N('Raw data'!J124)&gt;0,'Raw data'!U124&lt;&gt;""),'Raw data'!U124*(1+N('Raw data'!W124))/('Raw data'!J124*(1+N('Raw data'!L124)))*100,"")))</f>
        <v/>
      </c>
      <c r="M124" s="42" t="str">
        <f aca="false">IF($A124="","",IF('Raw data'!Y124&lt;&gt;"",'Raw data'!Y124*100,IF(AND(N('Raw data'!J124)&gt;0,'Raw data'!U124&lt;&gt;""),'Raw data'!U124/'Raw data'!J124*100,"")))</f>
        <v/>
      </c>
      <c r="N124" s="43" t="str">
        <f aca="false">IF($A124="","",IF(ISNUMBER('Raw data'!AA124),'Raw data'!AA124,""))</f>
        <v/>
      </c>
      <c r="O124" s="43" t="str">
        <f aca="false">IF($A124="","",IF(ISNUMBER('Raw data'!AB124),'Raw data'!AB124,""))</f>
        <v/>
      </c>
      <c r="P124" s="43" t="str">
        <f aca="false">IF($A124="","",IF(ISNUMBER('Raw data'!AC124),'Raw data'!AC124,""))</f>
        <v/>
      </c>
      <c r="Q124" s="43" t="str">
        <f aca="false">IF($A124="","",IF(ISNUMBER('Raw data'!AD124),'Raw data'!AD124,""))</f>
        <v/>
      </c>
      <c r="R124" s="43" t="str">
        <f aca="false">IF($A124="","",IF(ISNUMBER('Raw data'!N124),'Raw data'!N124*100,""))</f>
        <v/>
      </c>
      <c r="S124" s="42" t="str">
        <f aca="false">IF($A124="","",IF(ISNUMBER('Raw data'!O124),'Raw data'!O124*100,""))</f>
        <v/>
      </c>
      <c r="T124" s="42" t="str">
        <f aca="false">IF($A124="","",IF(ISNUMBER('Raw data'!P124),'Raw data'!P124*100,""))</f>
        <v/>
      </c>
      <c r="U124" s="42" t="str">
        <f aca="false">IF($A124="","",IF(ISNUMBER('Raw data'!Q124),'Raw data'!Q124*100,""))</f>
        <v/>
      </c>
      <c r="V124" s="42" t="str">
        <f aca="false">IF($A124="","",IF(ISNUMBER('Raw data'!R124),'Raw data'!R124*100,""))</f>
        <v/>
      </c>
      <c r="W124" s="42" t="str">
        <f aca="false">IF($A124="","",IF(ISNUMBER('Raw data'!S124),'Raw data'!S124*100,""))</f>
        <v/>
      </c>
      <c r="X124" s="42" t="str">
        <f aca="false">IF($A124="","",IF(ISNUMBER('Raw data'!T124),'Raw data'!T124*100,""))</f>
        <v/>
      </c>
      <c r="Y124" s="37" t="str">
        <f aca="false">IF($A124="","",IF('Raw data'!D124="","",'Raw data'!D124))</f>
        <v/>
      </c>
      <c r="Z124" s="38" t="str">
        <f aca="false">IF($A124="","",IF(ISNUMBER('Raw data'!F124),'Raw data'!F124,""))</f>
        <v/>
      </c>
      <c r="AA124" s="38" t="str">
        <f aca="false">IF($A124="","",IF(ISNUMBER('Raw data'!G124),'Raw data'!G124,""))</f>
        <v/>
      </c>
      <c r="AB124" s="42" t="str">
        <f aca="false">IF($A124="","",IF(ISNUMBER('Raw data'!H124),'Raw data'!H124*100,IF(ISNUMBER('Raw data'!K124),'Raw data'!K124*100,"")))</f>
        <v/>
      </c>
      <c r="AC124" s="42" t="str">
        <f aca="false">IF($A124="","",IF(ISNUMBER('Raw data'!I124),'Raw data'!I124*100,IF(ISNUMBER('Raw data'!M124),'Raw data'!M124*100,"")))</f>
        <v/>
      </c>
      <c r="AD124" s="44" t="str">
        <f aca="false">IF($A124="","",IF(AND(ISNUMBER('Raw data'!N124),ISNUMBER('Raw data'!L124),ISNUMBER('Raw data'!P124),ISNUMBER('Raw data'!S124)),ROUND(('Raw data'!N124*'Raw data'!P124+(1-'Raw data'!N124)*'Raw data'!S124-'Raw data'!L124)*100,1),""))</f>
        <v/>
      </c>
    </row>
    <row r="125" customFormat="false" ht="15" hidden="false" customHeight="false" outlineLevel="0" collapsed="false">
      <c r="A125" s="37" t="str">
        <f aca="false">IF(TRIM('Raw data'!A125)="","",TRIM('Raw data'!A125))</f>
        <v/>
      </c>
      <c r="B125" s="37" t="str">
        <f aca="false">IF($A125="","",IF('Raw data'!B125="",UPPER(LEFT($A125,3)),'Raw data'!B125))</f>
        <v/>
      </c>
      <c r="C125" s="37" t="str">
        <f aca="false">IF($A125="","",'Raw data'!C125)</f>
        <v/>
      </c>
      <c r="D125" s="38" t="str">
        <f aca="false">IF(OR($A125="",'Raw data'!J125=""),"",'Raw data'!J125)</f>
        <v/>
      </c>
      <c r="E125" s="38" t="str">
        <f aca="false">IF(OR($A125="",'Raw data'!U125=""),"",'Raw data'!U125)</f>
        <v/>
      </c>
      <c r="F125" s="42" t="str">
        <f aca="false">IF($A125="","",IF(ISNUMBER('Raw data'!K125),'Raw data'!K125*100,""))</f>
        <v/>
      </c>
      <c r="G125" s="42" t="str">
        <f aca="false">IF($A125="","",IF(ISNUMBER('Raw data'!L125),'Raw data'!L125*100,""))</f>
        <v/>
      </c>
      <c r="H125" s="42" t="str">
        <f aca="false">IF($A125="","",IF(ISNUMBER('Raw data'!M125),'Raw data'!M125*100,""))</f>
        <v/>
      </c>
      <c r="I125" s="42" t="str">
        <f aca="false">IF($A125="","",IF(ISNUMBER('Raw data'!V125),'Raw data'!V125*100,""))</f>
        <v/>
      </c>
      <c r="J125" s="42" t="str">
        <f aca="false">IF($A125="","",IF(ISNUMBER('Raw data'!W125),'Raw data'!W125*100,""))</f>
        <v/>
      </c>
      <c r="K125" s="42" t="str">
        <f aca="false">IF($A125="","",IF(ISNUMBER('Raw data'!X125),'Raw data'!X125*100,""))</f>
        <v/>
      </c>
      <c r="L125" s="42" t="str">
        <f aca="false">IF($A125="","",IF('Raw data'!Z125&lt;&gt;"",'Raw data'!Z125*100,IF(AND(N('Raw data'!J125)&gt;0,'Raw data'!U125&lt;&gt;""),'Raw data'!U125*(1+N('Raw data'!W125))/('Raw data'!J125*(1+N('Raw data'!L125)))*100,"")))</f>
        <v/>
      </c>
      <c r="M125" s="42" t="str">
        <f aca="false">IF($A125="","",IF('Raw data'!Y125&lt;&gt;"",'Raw data'!Y125*100,IF(AND(N('Raw data'!J125)&gt;0,'Raw data'!U125&lt;&gt;""),'Raw data'!U125/'Raw data'!J125*100,"")))</f>
        <v/>
      </c>
      <c r="N125" s="43" t="str">
        <f aca="false">IF($A125="","",IF(ISNUMBER('Raw data'!AA125),'Raw data'!AA125,""))</f>
        <v/>
      </c>
      <c r="O125" s="43" t="str">
        <f aca="false">IF($A125="","",IF(ISNUMBER('Raw data'!AB125),'Raw data'!AB125,""))</f>
        <v/>
      </c>
      <c r="P125" s="43" t="str">
        <f aca="false">IF($A125="","",IF(ISNUMBER('Raw data'!AC125),'Raw data'!AC125,""))</f>
        <v/>
      </c>
      <c r="Q125" s="43" t="str">
        <f aca="false">IF($A125="","",IF(ISNUMBER('Raw data'!AD125),'Raw data'!AD125,""))</f>
        <v/>
      </c>
      <c r="R125" s="43" t="str">
        <f aca="false">IF($A125="","",IF(ISNUMBER('Raw data'!N125),'Raw data'!N125*100,""))</f>
        <v/>
      </c>
      <c r="S125" s="42" t="str">
        <f aca="false">IF($A125="","",IF(ISNUMBER('Raw data'!O125),'Raw data'!O125*100,""))</f>
        <v/>
      </c>
      <c r="T125" s="42" t="str">
        <f aca="false">IF($A125="","",IF(ISNUMBER('Raw data'!P125),'Raw data'!P125*100,""))</f>
        <v/>
      </c>
      <c r="U125" s="42" t="str">
        <f aca="false">IF($A125="","",IF(ISNUMBER('Raw data'!Q125),'Raw data'!Q125*100,""))</f>
        <v/>
      </c>
      <c r="V125" s="42" t="str">
        <f aca="false">IF($A125="","",IF(ISNUMBER('Raw data'!R125),'Raw data'!R125*100,""))</f>
        <v/>
      </c>
      <c r="W125" s="42" t="str">
        <f aca="false">IF($A125="","",IF(ISNUMBER('Raw data'!S125),'Raw data'!S125*100,""))</f>
        <v/>
      </c>
      <c r="X125" s="42" t="str">
        <f aca="false">IF($A125="","",IF(ISNUMBER('Raw data'!T125),'Raw data'!T125*100,""))</f>
        <v/>
      </c>
      <c r="Y125" s="37" t="str">
        <f aca="false">IF($A125="","",IF('Raw data'!D125="","",'Raw data'!D125))</f>
        <v/>
      </c>
      <c r="Z125" s="38" t="str">
        <f aca="false">IF($A125="","",IF(ISNUMBER('Raw data'!F125),'Raw data'!F125,""))</f>
        <v/>
      </c>
      <c r="AA125" s="38" t="str">
        <f aca="false">IF($A125="","",IF(ISNUMBER('Raw data'!G125),'Raw data'!G125,""))</f>
        <v/>
      </c>
      <c r="AB125" s="42" t="str">
        <f aca="false">IF($A125="","",IF(ISNUMBER('Raw data'!H125),'Raw data'!H125*100,IF(ISNUMBER('Raw data'!K125),'Raw data'!K125*100,"")))</f>
        <v/>
      </c>
      <c r="AC125" s="42" t="str">
        <f aca="false">IF($A125="","",IF(ISNUMBER('Raw data'!I125),'Raw data'!I125*100,IF(ISNUMBER('Raw data'!M125),'Raw data'!M125*100,"")))</f>
        <v/>
      </c>
      <c r="AD125" s="44" t="str">
        <f aca="false">IF($A125="","",IF(AND(ISNUMBER('Raw data'!N125),ISNUMBER('Raw data'!L125),ISNUMBER('Raw data'!P125),ISNUMBER('Raw data'!S125)),ROUND(('Raw data'!N125*'Raw data'!P125+(1-'Raw data'!N125)*'Raw data'!S125-'Raw data'!L125)*100,1),""))</f>
        <v/>
      </c>
    </row>
  </sheetData>
  <conditionalFormatting sqref="AD6:AD125">
    <cfRule type="expression" priority="2" aboveAverage="0" equalAverage="0" bottom="0" percent="0" rank="0" text="" dxfId="0">
      <formula>AND(ISNUMBER(AD6),ABS(AD6)&gt;0.5)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2026-10-23T12:36:43Z</dcterms:created>
  <dc:creator>openpyxl</dc:creator>
  <dc:description/>
  <dc:language>en-US</dc:language>
  <cp:lastModifiedBy/>
  <dcterms:modified xsi:type="dcterms:W3CDTF">2026-10-23T12:36:44Z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