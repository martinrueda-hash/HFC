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Scoring rules" sheetId="6" state="visible" r:id="rId8"/>
    <sheet name="Dashboard dat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Non-residential (multi family + commercial)</t>
        </r>
      </text>
    </comment>
    <comment ref="D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E5" authorId="0">
      <text>
        <r>
          <rPr>
            <sz val="10"/>
            <rFont val="Arial"/>
            <family val="2"/>
          </rPr>
          <t xml:space="preserve">HFC addressable market in the base year (your estimate, not total construction output)</t>
        </r>
      </text>
    </comment>
    <comment ref="F5" authorId="0">
      <text>
        <r>
          <rPr>
            <sz val="10"/>
            <rFont val="Arial"/>
            <family val="2"/>
          </rPr>
          <t xml:space="preserve">From Market levels (Oxford Economics, 2023 prices)</t>
        </r>
      </text>
    </comment>
    <comment ref="G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H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I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J5" authorId="0">
      <text>
        <r>
          <rPr>
            <sz val="10"/>
            <rFont val="Arial"/>
            <family val="2"/>
          </rPr>
          <t xml:space="preserve">Optional. Renovation as % of the market; new build is the rest</t>
        </r>
      </text>
    </comment>
    <comment ref="K5" authorId="0">
      <text>
        <r>
          <rPr>
            <sz val="10"/>
            <rFont val="Arial"/>
            <family val="2"/>
          </rPr>
          <t xml:space="preserve">Optional</t>
        </r>
      </text>
    </comment>
    <comment ref="L5" authorId="0">
      <text>
        <r>
          <rPr>
            <sz val="10"/>
            <rFont val="Arial"/>
            <family val="2"/>
          </rPr>
          <t xml:space="preserve">Optional</t>
        </r>
      </text>
    </comment>
    <comment ref="M5" authorId="0">
      <text>
        <r>
          <rPr>
            <sz val="10"/>
            <rFont val="Arial"/>
            <family val="2"/>
          </rPr>
          <t xml:space="preserve">Optional</t>
        </r>
      </text>
    </comment>
    <comment ref="N5" authorId="0">
      <text>
        <r>
          <rPr>
            <sz val="10"/>
            <rFont val="Arial"/>
            <family val="2"/>
          </rPr>
          <t xml:space="preserve">Optional</t>
        </r>
      </text>
    </comment>
    <comment ref="O5" authorId="0">
      <text>
        <r>
          <rPr>
            <sz val="10"/>
            <rFont val="Arial"/>
            <family val="2"/>
          </rPr>
          <t xml:space="preserve">Optional</t>
        </r>
      </text>
    </comment>
    <comment ref="P5" authorId="0">
      <text>
        <r>
          <rPr>
            <sz val="10"/>
            <rFont val="Arial"/>
            <family val="2"/>
          </rPr>
          <t xml:space="preserve">Optional</t>
        </r>
      </text>
    </comment>
    <comment ref="Q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T5" authorId="0">
      <text>
        <r>
          <rPr>
            <sz val="10"/>
            <rFont val="Arial"/>
            <family val="2"/>
          </rPr>
          <t xml:space="preserve">Business plan</t>
        </r>
      </text>
    </comment>
    <comment ref="U5" authorId="0">
      <text>
        <r>
          <rPr>
            <sz val="10"/>
            <rFont val="Arial"/>
            <family val="2"/>
          </rPr>
          <t xml:space="preserve">Leave empty to use HFC sales / addressable market</t>
        </r>
      </text>
    </comment>
    <comment ref="V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W5" authorId="0">
      <text>
        <r>
          <rPr>
            <sz val="10"/>
            <rFont val="Arial"/>
            <family val="2"/>
          </rPr>
          <t xml:space="preserve">Raw KPI for profitability (see Scoring rules)</t>
        </r>
      </text>
    </comment>
    <comment ref="X5" authorId="0">
      <text>
        <r>
          <rPr>
            <sz val="10"/>
            <rFont val="Arial"/>
            <family val="2"/>
          </rPr>
          <t xml:space="preserve">Raw KPI for competitive intensity (see Scoring rules)</t>
        </r>
      </text>
    </comment>
    <comment ref="Y5" authorId="0">
      <text>
        <r>
          <rPr>
            <sz val="10"/>
            <rFont val="Arial"/>
            <family val="2"/>
          </rPr>
          <t xml:space="preserve">Raw KPI for channel access (see Scoring rules)</t>
        </r>
      </text>
    </comment>
    <comment ref="Z5" authorId="0">
      <text>
        <r>
          <rPr>
            <sz val="10"/>
            <rFont val="Arial"/>
            <family val="2"/>
          </rPr>
          <t xml:space="preserve">Raw KPI for product fit (see Scoring rules)</t>
        </r>
      </text>
    </comment>
    <comment ref="AA5" authorId="0">
      <text>
        <r>
          <rPr>
            <sz val="10"/>
            <rFont val="Arial"/>
            <family val="2"/>
          </rPr>
          <t xml:space="preserve">Optional 1-5 score; replaces the score from the KPI</t>
        </r>
      </text>
    </comment>
    <comment ref="AB5" authorId="0">
      <text>
        <r>
          <rPr>
            <sz val="10"/>
            <rFont val="Arial"/>
            <family val="2"/>
          </rPr>
          <t xml:space="preserve">Optional 1-5 score; replaces the score from the KPI</t>
        </r>
      </text>
    </comment>
    <comment ref="AC5" authorId="0">
      <text>
        <r>
          <rPr>
            <sz val="10"/>
            <rFont val="Arial"/>
            <family val="2"/>
          </rPr>
          <t xml:space="preserve">Optional 1-5 score; replaces the score from the KPI</t>
        </r>
      </text>
    </comment>
    <comment ref="AD5" authorId="0">
      <text>
        <r>
          <rPr>
            <sz val="10"/>
            <rFont val="Arial"/>
            <family val="2"/>
          </rPr>
          <t xml:space="preserve">Optional 1-5 score; replaces the score from the KPI</t>
        </r>
      </text>
    </comment>
  </commentList>
</comments>
</file>

<file path=xl/sharedStrings.xml><?xml version="1.0" encoding="utf-8"?>
<sst xmlns="http://schemas.openxmlformats.org/spreadsheetml/2006/main" count="1656" uniqueCount="303">
  <si>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</si>
  <si>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</si>
  <si>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</si>
  <si>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</si>
  <si>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</si>
  <si>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</si>
  <si>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 and end market. Update the blue cells: addressable market, HFC sales and growth, qualitative KPIs.</t>
  </si>
  <si>
    <t xml:space="preserve">3</t>
  </si>
  <si>
    <t xml:space="preserve">Settings and Scoring rules: check the current year, weights, zone lines and score cut-offs.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</si>
  <si>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</si>
  <si>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</si>
  <si>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</si>
  <si>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</si>
  <si>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</si>
  <si>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</si>
  <si>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Non-residential = 'Multi Family' plus 'Non-Residential Building - Commercial'.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</si>
  <si>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</si>
  <si>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</si>
  <si>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</si>
  <si>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</si>
  <si>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</si>
  <si>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</si>
  <si>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Addressable market</t>
  </si>
  <si>
    <t xml:space="preserve">Your estimate of the HFC addressable market in EUR m (not total construction output). Used for market size and market share.</t>
  </si>
  <si>
    <t xml:space="preserve">Renovation / new build</t>
  </si>
  <si>
    <t xml:space="preserve">Optional inputs. When empty, the dashboard uses total market growth in the matrix and hides the split.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</si>
  <si>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</si>
  <si>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</si>
  <si>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</si>
  <si>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</si>
  <si>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</si>
  <si>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</si>
  <si>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</si>
  <si>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</si>
  <si>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60 rows in Raw data (for example 30 countries x 2 end markets). Empty rows are ignored.</t>
  </si>
  <si>
    <t xml:space="preserve">Market growth is real Oxford Economics data. Addressable market, HFC figures and qualitative KPIs in the sample rows are illustrative, not HFC data.</t>
  </si>
  <si>
    <t xml:space="preserve">Settings</t>
  </si>
  <si>
    <t xml:space="preserve">Company, year, matrix parameters and Oxford Economics series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</si>
  <si>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</si>
  <si>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</si>
  <si>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</si>
  <si>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</si>
  <si>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</si>
  <si>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</si>
  <si>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</si>
  <si>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</si>
  <si>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</si>
  <si>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</si>
  <si>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</si>
  <si>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</si>
  <si>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</si>
  <si>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</si>
  <si>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</si>
  <si>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addressable market size and HFC sales</t>
  </si>
  <si>
    <t xml:space="preserve">Market attractiveness weights</t>
  </si>
  <si>
    <t xml:space="preserve">Market size</t>
  </si>
  <si>
    <t xml:space="preserve">weights.attractiveness.market_size</t>
  </si>
  <si>
    <t xml:space="preserve">Scored 1-5 relative to the countries in view (log scale)</t>
  </si>
  <si>
    <t xml:space="preserve">Renovation market growth, next 5 yrs</t>
  </si>
  <si>
    <t xml:space="preserve">weights.attractiveness.reno_growth</t>
  </si>
  <si>
    <t xml:space="preserve">If no renovation / new build split is given, these two weights apply to total market growth</t>
  </si>
  <si>
    <t xml:space="preserve">New build market growth, next 5 yrs</t>
  </si>
  <si>
    <t xml:space="preserve">weights.attractiveness.nb_growth</t>
  </si>
  <si>
    <t xml:space="preserve">Profitability</t>
  </si>
  <si>
    <t xml:space="preserve">weights.attractiveness.profitability</t>
  </si>
  <si>
    <t xml:space="preserve">Score from Scoring rules (or override in Raw data)</t>
  </si>
  <si>
    <t xml:space="preserve">Competitive intensity</t>
  </si>
  <si>
    <t xml:space="preserve">weights.attractiveness.competitive_intensity</t>
  </si>
  <si>
    <t xml:space="preserve">Total</t>
  </si>
  <si>
    <t xml:space="preserve">Weights are normalised, so the total does not need to be 100</t>
  </si>
  <si>
    <t xml:space="preserve">Ability to win weights</t>
  </si>
  <si>
    <t xml:space="preserve">HFC market share</t>
  </si>
  <si>
    <t xml:space="preserve">weights.ability.market_share</t>
  </si>
  <si>
    <t xml:space="preserve">Scored 1-5 relative to the countries in view</t>
  </si>
  <si>
    <t xml:space="preserve">Channel access</t>
  </si>
  <si>
    <t xml:space="preserve">weights.ability.channel_access</t>
  </si>
  <si>
    <t xml:space="preserve">Product fit</t>
  </si>
  <si>
    <t xml:space="preserve">weights.ability.product_fit</t>
  </si>
  <si>
    <t xml:space="preserve">Matrix zones (attractiveness + ability to win, 2-10)</t>
  </si>
  <si>
    <t xml:space="preserve">Leadership position from</t>
  </si>
  <si>
    <t xml:space="preserve">weights.zones.leadership</t>
  </si>
  <si>
    <t xml:space="preserve">Countries at or above this sum are in leadership position</t>
  </si>
  <si>
    <t xml:space="preserve">Priority growth from</t>
  </si>
  <si>
    <t xml:space="preserve">weights.zones.priority_growth</t>
  </si>
  <si>
    <t xml:space="preserve">Between this and the leadership line: priority growth; below: selective investment</t>
  </si>
  <si>
    <t xml:space="preserve">Oxford Economics series (Indicator column of the export)</t>
  </si>
  <si>
    <t xml:space="preserve">Residential - total</t>
  </si>
  <si>
    <t xml:space="preserve">Work Done - Residential - Total</t>
  </si>
  <si>
    <t xml:space="preserve">oe.res_total</t>
  </si>
  <si>
    <t xml:space="preserve">Residential end market = Residential total - Multi family</t>
  </si>
  <si>
    <t xml:space="preserve">Residential - multi family</t>
  </si>
  <si>
    <t xml:space="preserve">Work Done - Residential - Multi Family</t>
  </si>
  <si>
    <t xml:space="preserve">oe.res_mf</t>
  </si>
  <si>
    <t xml:space="preserve">Counted in Non-residential, as agreed</t>
  </si>
  <si>
    <t xml:space="preserve">Non-residential - commercial</t>
  </si>
  <si>
    <t xml:space="preserve">Work Done - Non-Residential Building - Commercial</t>
  </si>
  <si>
    <t xml:space="preserve">oe.nonres_com</t>
  </si>
  <si>
    <t xml:space="preserve">Non-residential end market = Multi family + Commercial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</si>
  <si>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</si>
  <si>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</si>
  <si>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</si>
  <si>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Oxecon_download_-_9_October_2026.csv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</si>
  <si>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</si>
  <si>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</si>
  <si>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</si>
  <si>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</si>
  <si>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</si>
  <si>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</si>
  <si>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</si>
  <si>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</si>
  <si>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</si>
  <si>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</si>
  <si>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</si>
  <si>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</si>
  <si>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</si>
  <si>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</si>
  <si>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</si>
  <si>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</si>
  <si>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</si>
  <si>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US$</t>
  </si>
  <si>
    <t xml:space="preserve">Millions: 2023 prices</t>
  </si>
  <si>
    <t xml:space="preserve">Level values</t>
  </si>
  <si>
    <t xml:space="preserve">False</t>
  </si>
  <si>
    <t xml:space="preserve">2023</t>
  </si>
  <si>
    <t xml:space="preserve">2024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</si>
  <si>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</si>
  <si>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</si>
  <si>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</si>
  <si>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</si>
  <si>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</si>
  <si>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NRB_CM</t>
  </si>
  <si>
    <t xml:space="preserve">RES_TT</t>
  </si>
  <si>
    <t xml:space="preserve">RES_MF</t>
  </si>
  <si>
    <t xml:space="preserve">Belgium</t>
  </si>
  <si>
    <t xml:space="preserve">BEL</t>
  </si>
  <si>
    <t xml:space="preserve">Bulgaria</t>
  </si>
  <si>
    <t xml:space="preserve">Eurostat / Oxford Economics</t>
  </si>
  <si>
    <t xml:space="preserve">BGR</t>
  </si>
  <si>
    <t xml:space="preserve">Bosnia and Herzegovina</t>
  </si>
  <si>
    <t xml:space="preserve">BIH</t>
  </si>
  <si>
    <t xml:space="preserve">Switzerland</t>
  </si>
  <si>
    <t xml:space="preserve">CHE</t>
  </si>
  <si>
    <t xml:space="preserve">Cyprus</t>
  </si>
  <si>
    <t xml:space="preserve">CYP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</si>
  <si>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</si>
  <si>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</si>
  <si>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</si>
  <si>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</si>
  <si>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</si>
  <si>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</si>
  <si>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</si>
  <si>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</si>
  <si>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Estonia</t>
  </si>
  <si>
    <t xml:space="preserve">EST</t>
  </si>
  <si>
    <t xml:space="preserve">Finland</t>
  </si>
  <si>
    <t xml:space="preserve">FIN</t>
  </si>
  <si>
    <t xml:space="preserve">France</t>
  </si>
  <si>
    <t xml:space="preserve">FRA</t>
  </si>
  <si>
    <t xml:space="preserve">Greece</t>
  </si>
  <si>
    <t xml:space="preserve">GRC</t>
  </si>
  <si>
    <t xml:space="preserve">Croatia</t>
  </si>
  <si>
    <t xml:space="preserve">HRV</t>
  </si>
  <si>
    <t xml:space="preserve">Hungary</t>
  </si>
  <si>
    <t xml:space="preserve">HUN</t>
  </si>
  <si>
    <t xml:space="preserve">Ireland</t>
  </si>
  <si>
    <t xml:space="preserve">IRL</t>
  </si>
  <si>
    <t xml:space="preserve">Iceland</t>
  </si>
  <si>
    <t xml:space="preserve">ISL</t>
  </si>
  <si>
    <t xml:space="preserve">Italy</t>
  </si>
  <si>
    <t xml:space="preserve">ITA</t>
  </si>
  <si>
    <t xml:space="preserve">Lithuania</t>
  </si>
  <si>
    <t xml:space="preserve">LTU</t>
  </si>
  <si>
    <t xml:space="preserve">Luxembourg</t>
  </si>
  <si>
    <t xml:space="preserve">LUX</t>
  </si>
  <si>
    <t xml:space="preserve">Latvia</t>
  </si>
  <si>
    <t xml:space="preserve">LVA</t>
  </si>
  <si>
    <t xml:space="preserve">North Macedonia</t>
  </si>
  <si>
    <t xml:space="preserve">MKD</t>
  </si>
  <si>
    <t xml:space="preserve">Malta</t>
  </si>
  <si>
    <t xml:space="preserve">MLT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</si>
  <si>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</si>
  <si>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</si>
  <si>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</si>
  <si>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</si>
  <si>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</si>
  <si>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</si>
  <si>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</si>
  <si>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</si>
  <si>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Romania</t>
  </si>
  <si>
    <t xml:space="preserve">ROM</t>
  </si>
  <si>
    <t xml:space="preserve">Russia</t>
  </si>
  <si>
    <t xml:space="preserve">Russian Federal State Statistics Service / Oxford Economics</t>
  </si>
  <si>
    <t xml:space="preserve">RUS</t>
  </si>
  <si>
    <t xml:space="preserve">Slovak Republic</t>
  </si>
  <si>
    <t xml:space="preserve">SVK</t>
  </si>
  <si>
    <t xml:space="preserve">Slovenia</t>
  </si>
  <si>
    <t xml:space="preserve">SVN</t>
  </si>
  <si>
    <t xml:space="preserve">Sweden</t>
  </si>
  <si>
    <t xml:space="preserve">SWE</t>
  </si>
  <si>
    <t xml:space="preserve">Turkey</t>
  </si>
  <si>
    <t xml:space="preserve">TUR</t>
  </si>
  <si>
    <t xml:space="preserve">Ukraine</t>
  </si>
  <si>
    <t xml:space="preserve">State Statistics Service of Ukraine / Oxford Economics</t>
  </si>
  <si>
    <t xml:space="preserve">UKR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</si>
  <si>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</si>
  <si>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</si>
  <si>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</si>
  <si>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</si>
  <si>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Addressable market, HFC figures and KPIs in the sample rows are ILLUSTRATIVE: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</si>
  <si>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</si>
  <si>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</si>
  <si>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(optional)</t>
  </si>
  <si>
    <t xml:space="preserve">Qualitative KPIs (raw, see Scoring rules)</t>
  </si>
  <si>
    <t xml:space="preserve">Score overrides (optional, 1-5)</t>
  </si>
  <si>
    <t xml:space="preserve">Country</t>
  </si>
  <si>
    <t xml:space="preserve">Code</t>
  </si>
  <si>
    <t xml:space="preserve">End market</t>
  </si>
  <si>
    <t xml:space="preserve">Oxford Economics
location</t>
  </si>
  <si>
    <t xml:space="preserve">Renovation share
of market</t>
  </si>
  <si>
    <t xml:space="preserve">Market gross
margin</t>
  </si>
  <si>
    <t xml:space="preserve">Top-3 competitors'
share</t>
  </si>
  <si>
    <t xml:space="preserve">Distributor
coverage</t>
  </si>
  <si>
    <t xml:space="preserve">Range coverage
of demand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</si>
  <si>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</si>
  <si>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</si>
  <si>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</si>
  <si>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</si>
  <si>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</si>
  <si>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Non-residential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</si>
  <si>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</si>
  <si>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</si>
  <si>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</si>
  <si>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</si>
  <si>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</si>
  <si>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</si>
  <si>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</si>
  <si>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</si>
  <si>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</si>
  <si>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</si>
  <si>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</si>
  <si>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</si>
  <si>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</si>
  <si>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</si>
  <si>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</si>
  <si>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</si>
  <si>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Construction work done per country and end market (US$ m, 2023 prices), calculated from the Oxford Economics sheet. Do not type here.</t>
  </si>
  <si>
    <t xml:space="preserve">Residential = Residential total - Multi family. Non-residential = Multi family + Commercial. Empty = year or series not in the export.</t>
  </si>
  <si>
    <t xml:space="preserve">Oxford Economics location</t>
  </si>
  <si>
    <t xml:space="preserve">Scoring rules</t>
  </si>
  <si>
    <t xml:space="preserve">How each qualitative KPI in Raw data becomes a 1-5 score</t>
  </si>
  <si>
    <t xml:space="preserve">Criterion</t>
  </si>
  <si>
    <t xml:space="preserve">Raw KPI (enter in Raw data)</t>
  </si>
  <si>
    <t xml:space="preserve">Direction</t>
  </si>
  <si>
    <t xml:space="preserve">Cut-off 1</t>
  </si>
  <si>
    <t xml:space="preserve">Cut-off 2</t>
  </si>
  <si>
    <t xml:space="preserve">Cut-off 3</t>
  </si>
  <si>
    <t xml:space="preserve">Cut-off 4</t>
  </si>
  <si>
    <t xml:space="preserve">How the score is set</t>
  </si>
  <si>
    <t xml:space="preserve">Market gross margin, % (price level and margin potential)</t>
  </si>
  <si>
    <t xml:space="preserve">Higher is better</t>
  </si>
  <si>
    <t xml:space="preserve">Score = 1 + number of cut-offs at or below the KPI</t>
  </si>
  <si>
    <t xml:space="preserve">Combined market share of the top-3 competitors, %</t>
  </si>
  <si>
    <t xml:space="preserve">Lower is better</t>
  </si>
  <si>
    <t xml:space="preserve">Score = 5 - number of cut-offs at or below the KPI</t>
  </si>
  <si>
    <t xml:space="preserve">Share of the top-20 distributors / wholesalers listing HFC, %</t>
  </si>
  <si>
    <t xml:space="preserve">Share of local demand covered by approved HFC products, %</t>
  </si>
  <si>
    <t xml:space="preserve">Example</t>
  </si>
  <si>
    <t xml:space="preserve">Channel access with cut-offs 20% / 40% / 60% / 80%: a KPI of 65% passes three cut-offs, so the score is 1 + 3 = 4. Leave the KPI empty and type a score in the override columns of Raw data to set a score directly.</t>
  </si>
  <si>
    <t xml:space="preserve">Market size, market growth and HFC market share are not scored here: the dashboard scores them 1-5 relative to the countries in view.</t>
  </si>
  <si>
    <t xml:space="preserve">Dashboard data</t>
  </si>
  <si>
    <t xml:space="preserve">Calculated from Raw data, Scoring rules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</si>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</sst>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0"/>
    <numFmt numFmtId="167" formatCode="0.00"/>
    <numFmt numFmtId="168" formatCode="#,##0.0"/>
    <numFmt numFmtId="169" formatCode="#,##0"/>
    <numFmt numFmtId="170" formatCode="0.0%"/>
    <numFmt numFmtId="171" formatCode="0%"/>
    <numFmt numFmtId="172" formatCode="0.0"/>
    <numFmt numFmtId="173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20" customFormat="false" ht="15" hidden="false" customHeight="false" outlineLevel="0" collapsed="false">
      <c r="B20" s="4" t="s">
        <v>26</v>
      </c>
    </row>
    <row r="21" customFormat="false" ht="31.5" hidden="false" customHeight="true" outlineLevel="0" collapsed="false">
      <c r="B21" s="8" t="s">
        <v>27</v>
      </c>
      <c r="C21" s="6" t="s">
        <v>28</v>
      </c>
      <c r="D21" s="6"/>
      <c r="E21" s="6"/>
      <c r="F21" s="6"/>
      <c r="G21" s="6"/>
      <c r="H21" s="6"/>
    </row>
    <row r="22" customFormat="false" ht="31.5" hidden="false" customHeight="true" outlineLevel="0" collapsed="false">
      <c r="B22" s="9" t="s">
        <v>29</v>
      </c>
      <c r="C22" s="6" t="s">
        <v>30</v>
      </c>
      <c r="D22" s="6"/>
      <c r="E22" s="6"/>
      <c r="F22" s="6"/>
      <c r="G22" s="6"/>
      <c r="H22" s="6"/>
    </row>
    <row r="23" customFormat="false" ht="31.5" hidden="false" customHeight="true" outlineLevel="0" collapsed="false">
      <c r="B23" s="7" t="s">
        <v>31</v>
      </c>
      <c r="C23" s="6" t="s">
        <v>32</v>
      </c>
      <c r="D23" s="6"/>
      <c r="E23" s="6"/>
      <c r="F23" s="6"/>
      <c r="G23" s="6"/>
      <c r="H23" s="6"/>
    </row>
    <row r="24" customFormat="false" ht="31.5" hidden="false" customHeight="true" outlineLevel="0" collapsed="false">
      <c r="B24" s="7" t="s">
        <v>33</v>
      </c>
      <c r="C24" s="6" t="s">
        <v>34</v>
      </c>
      <c r="D24" s="6"/>
      <c r="E24" s="6"/>
      <c r="F24" s="6"/>
      <c r="G24" s="6"/>
      <c r="H24" s="6"/>
    </row>
    <row r="26" customFormat="false" ht="15" hidden="false" customHeight="false" outlineLevel="0" collapsed="false">
      <c r="B26" s="10" t="s">
        <v>35</v>
      </c>
    </row>
  </sheetData>
  <mergeCells count="15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21:H21"/>
    <mergeCell ref="C22:H22"/>
    <mergeCell ref="C23:H23"/>
    <mergeCell ref="C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36</v>
      </c>
      <c r="B1" s="2"/>
      <c r="C1" s="2"/>
      <c r="D1" s="2"/>
    </row>
    <row r="2" customFormat="false" ht="18" hidden="false" customHeight="true" outlineLevel="0" collapsed="false">
      <c r="A2" s="3" t="s">
        <v>37</v>
      </c>
      <c r="B2" s="2"/>
      <c r="C2" s="2"/>
      <c r="D2" s="2"/>
    </row>
    <row r="4" customFormat="false" ht="15" hidden="false" customHeight="false" outlineLevel="0" collapsed="false">
      <c r="A4" s="11" t="s">
        <v>38</v>
      </c>
      <c r="B4" s="11" t="s">
        <v>39</v>
      </c>
      <c r="C4" s="11" t="s">
        <v>40</v>
      </c>
      <c r="D4" s="11" t="s">
        <v>41</v>
      </c>
    </row>
    <row r="5" customFormat="false" ht="15" hidden="false" customHeight="false" outlineLevel="0" collapsed="false">
      <c r="A5" s="12" t="s">
        <v>42</v>
      </c>
    </row>
    <row r="6" customFormat="false" ht="15" hidden="false" customHeight="false" outlineLevel="0" collapsed="false">
      <c r="A6" s="13" t="s">
        <v>43</v>
      </c>
      <c r="B6" s="14" t="s">
        <v>44</v>
      </c>
      <c r="C6" s="15" t="s">
        <v>45</v>
      </c>
      <c r="D6" s="16" t="s">
        <v>46</v>
      </c>
    </row>
    <row r="7" customFormat="false" ht="22.35" hidden="false" customHeight="false" outlineLevel="0" collapsed="false">
      <c r="A7" s="13" t="s">
        <v>47</v>
      </c>
      <c r="B7" s="17" t="n">
        <v>2026</v>
      </c>
      <c r="C7" s="15" t="s">
        <v>48</v>
      </c>
      <c r="D7" s="16" t="s">
        <v>49</v>
      </c>
    </row>
    <row r="8" customFormat="false" ht="15" hidden="false" customHeight="false" outlineLevel="0" collapsed="false">
      <c r="A8" s="13" t="s">
        <v>50</v>
      </c>
      <c r="B8" s="14" t="s">
        <v>51</v>
      </c>
      <c r="C8" s="15" t="s">
        <v>52</v>
      </c>
      <c r="D8" s="16" t="s">
        <v>53</v>
      </c>
    </row>
    <row r="10" customFormat="false" ht="15" hidden="false" customHeight="false" outlineLevel="0" collapsed="false">
      <c r="A10" s="12" t="s">
        <v>54</v>
      </c>
    </row>
    <row r="11" customFormat="false" ht="15" hidden="false" customHeight="false" outlineLevel="0" collapsed="false">
      <c r="A11" s="13" t="s">
        <v>55</v>
      </c>
      <c r="B11" s="17" t="n">
        <v>30</v>
      </c>
      <c r="C11" s="15" t="s">
        <v>56</v>
      </c>
      <c r="D11" s="16" t="s">
        <v>57</v>
      </c>
    </row>
    <row r="12" customFormat="false" ht="22.35" hidden="false" customHeight="false" outlineLevel="0" collapsed="false">
      <c r="A12" s="13" t="s">
        <v>58</v>
      </c>
      <c r="B12" s="17" t="n">
        <v>15</v>
      </c>
      <c r="C12" s="15" t="s">
        <v>59</v>
      </c>
      <c r="D12" s="16" t="s">
        <v>60</v>
      </c>
    </row>
    <row r="13" customFormat="false" ht="22.35" hidden="false" customHeight="false" outlineLevel="0" collapsed="false">
      <c r="A13" s="13" t="s">
        <v>61</v>
      </c>
      <c r="B13" s="17" t="n">
        <v>15</v>
      </c>
      <c r="C13" s="15" t="s">
        <v>62</v>
      </c>
      <c r="D13" s="16" t="s">
        <v>60</v>
      </c>
    </row>
    <row r="14" customFormat="false" ht="15" hidden="false" customHeight="false" outlineLevel="0" collapsed="false">
      <c r="A14" s="13" t="s">
        <v>63</v>
      </c>
      <c r="B14" s="17" t="n">
        <v>20</v>
      </c>
      <c r="C14" s="15" t="s">
        <v>64</v>
      </c>
      <c r="D14" s="16" t="s">
        <v>65</v>
      </c>
    </row>
    <row r="15" customFormat="false" ht="15" hidden="false" customHeight="false" outlineLevel="0" collapsed="false">
      <c r="A15" s="13" t="s">
        <v>66</v>
      </c>
      <c r="B15" s="17" t="n">
        <v>20</v>
      </c>
      <c r="C15" s="15" t="s">
        <v>67</v>
      </c>
      <c r="D15" s="16" t="s">
        <v>65</v>
      </c>
    </row>
    <row r="16" customFormat="false" ht="15" hidden="false" customHeight="false" outlineLevel="0" collapsed="false">
      <c r="A16" s="18" t="s">
        <v>68</v>
      </c>
      <c r="B16" s="19" t="n">
        <f aca="false">SUM(B11:B15)</f>
        <v>100</v>
      </c>
      <c r="D16" s="16" t="s">
        <v>69</v>
      </c>
    </row>
    <row r="18" customFormat="false" ht="15" hidden="false" customHeight="false" outlineLevel="0" collapsed="false">
      <c r="A18" s="12" t="s">
        <v>70</v>
      </c>
    </row>
    <row r="19" customFormat="false" ht="15" hidden="false" customHeight="false" outlineLevel="0" collapsed="false">
      <c r="A19" s="13" t="s">
        <v>71</v>
      </c>
      <c r="B19" s="17" t="n">
        <v>45</v>
      </c>
      <c r="C19" s="15" t="s">
        <v>72</v>
      </c>
      <c r="D19" s="16" t="s">
        <v>73</v>
      </c>
    </row>
    <row r="20" customFormat="false" ht="15" hidden="false" customHeight="false" outlineLevel="0" collapsed="false">
      <c r="A20" s="13" t="s">
        <v>74</v>
      </c>
      <c r="B20" s="17" t="n">
        <v>30</v>
      </c>
      <c r="C20" s="15" t="s">
        <v>75</v>
      </c>
      <c r="D20" s="16" t="s">
        <v>65</v>
      </c>
    </row>
    <row r="21" customFormat="false" ht="15" hidden="false" customHeight="false" outlineLevel="0" collapsed="false">
      <c r="A21" s="13" t="s">
        <v>76</v>
      </c>
      <c r="B21" s="17" t="n">
        <v>25</v>
      </c>
      <c r="C21" s="15" t="s">
        <v>77</v>
      </c>
      <c r="D21" s="16" t="s">
        <v>65</v>
      </c>
    </row>
    <row r="22" customFormat="false" ht="15" hidden="false" customHeight="false" outlineLevel="0" collapsed="false">
      <c r="A22" s="18" t="s">
        <v>68</v>
      </c>
      <c r="B22" s="19" t="n">
        <f aca="false">SUM(B19:B21)</f>
        <v>100</v>
      </c>
      <c r="D22" s="16" t="s">
        <v>69</v>
      </c>
    </row>
    <row r="24" customFormat="false" ht="15" hidden="false" customHeight="false" outlineLevel="0" collapsed="false">
      <c r="A24" s="12" t="s">
        <v>78</v>
      </c>
    </row>
    <row r="25" customFormat="false" ht="15" hidden="false" customHeight="false" outlineLevel="0" collapsed="false">
      <c r="A25" s="13" t="s">
        <v>79</v>
      </c>
      <c r="B25" s="20" t="n">
        <v>7</v>
      </c>
      <c r="C25" s="15" t="s">
        <v>80</v>
      </c>
      <c r="D25" s="16" t="s">
        <v>81</v>
      </c>
    </row>
    <row r="26" customFormat="false" ht="15" hidden="false" customHeight="false" outlineLevel="0" collapsed="false">
      <c r="A26" s="13" t="s">
        <v>82</v>
      </c>
      <c r="B26" s="20" t="n">
        <v>5.5</v>
      </c>
      <c r="C26" s="15" t="s">
        <v>83</v>
      </c>
      <c r="D26" s="16" t="s">
        <v>84</v>
      </c>
    </row>
    <row r="28" customFormat="false" ht="15" hidden="false" customHeight="false" outlineLevel="0" collapsed="false">
      <c r="A28" s="12" t="s">
        <v>85</v>
      </c>
    </row>
    <row r="29" customFormat="false" ht="15" hidden="false" customHeight="false" outlineLevel="0" collapsed="false">
      <c r="A29" s="13" t="s">
        <v>86</v>
      </c>
      <c r="B29" s="14" t="s">
        <v>87</v>
      </c>
      <c r="C29" s="15" t="s">
        <v>88</v>
      </c>
      <c r="D29" s="16" t="s">
        <v>89</v>
      </c>
    </row>
    <row r="30" customFormat="false" ht="15" hidden="false" customHeight="false" outlineLevel="0" collapsed="false">
      <c r="A30" s="13" t="s">
        <v>90</v>
      </c>
      <c r="B30" s="14" t="s">
        <v>91</v>
      </c>
      <c r="C30" s="15" t="s">
        <v>92</v>
      </c>
      <c r="D30" s="16" t="s">
        <v>93</v>
      </c>
    </row>
    <row r="31" customFormat="false" ht="15" hidden="false" customHeight="false" outlineLevel="0" collapsed="false">
      <c r="A31" s="13" t="s">
        <v>94</v>
      </c>
      <c r="B31" s="14" t="s">
        <v>95</v>
      </c>
      <c r="C31" s="15" t="s">
        <v>96</v>
      </c>
      <c r="D31" s="16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A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27" min="3" style="0" width="11"/>
  </cols>
  <sheetData>
    <row r="1" customFormat="false" ht="27.75" hidden="false" customHeight="true" outlineLevel="0" collapsed="false">
      <c r="A1" s="1" t="s">
        <v>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100</v>
      </c>
    </row>
    <row r="4" customFormat="false" ht="15" hidden="false" customHeight="false" outlineLevel="0" collapsed="false">
      <c r="A4" s="21" t="s">
        <v>101</v>
      </c>
    </row>
    <row r="6" customFormat="false" ht="32.8" hidden="false" customHeight="false" outlineLevel="0" collapsed="false">
      <c r="A6" s="22" t="s">
        <v>102</v>
      </c>
      <c r="B6" s="22" t="s">
        <v>103</v>
      </c>
      <c r="C6" s="22" t="s">
        <v>104</v>
      </c>
      <c r="D6" s="22" t="s">
        <v>105</v>
      </c>
      <c r="E6" s="22" t="s">
        <v>106</v>
      </c>
      <c r="F6" s="22" t="n">
        <v>2024</v>
      </c>
      <c r="G6" s="22" t="n">
        <v>2025</v>
      </c>
      <c r="H6" s="22" t="n">
        <v>2026</v>
      </c>
      <c r="I6" s="22" t="n">
        <v>2027</v>
      </c>
      <c r="J6" s="22" t="n">
        <v>2028</v>
      </c>
      <c r="K6" s="22" t="n">
        <v>2029</v>
      </c>
      <c r="L6" s="22" t="n">
        <v>2030</v>
      </c>
      <c r="M6" s="22" t="n">
        <v>2031</v>
      </c>
      <c r="N6" s="22" t="n">
        <v>2032</v>
      </c>
      <c r="O6" s="22" t="n">
        <v>2033</v>
      </c>
      <c r="P6" s="22" t="n">
        <v>2034</v>
      </c>
      <c r="Q6" s="22" t="s">
        <v>107</v>
      </c>
      <c r="R6" s="22" t="s">
        <v>108</v>
      </c>
      <c r="S6" s="22" t="s">
        <v>109</v>
      </c>
      <c r="T6" s="22" t="s">
        <v>110</v>
      </c>
      <c r="U6" s="22" t="s">
        <v>111</v>
      </c>
      <c r="V6" s="22" t="s">
        <v>112</v>
      </c>
      <c r="W6" s="22" t="s">
        <v>113</v>
      </c>
      <c r="X6" s="22" t="s">
        <v>114</v>
      </c>
      <c r="Y6" s="22" t="s">
        <v>115</v>
      </c>
      <c r="Z6" s="22" t="s">
        <v>116</v>
      </c>
      <c r="AA6" s="22" t="s">
        <v>117</v>
      </c>
    </row>
    <row r="7" customFormat="false" ht="15" hidden="false" customHeight="false" outlineLevel="0" collapsed="false">
      <c r="A7" s="23" t="s">
        <v>118</v>
      </c>
      <c r="B7" s="23" t="s">
        <v>95</v>
      </c>
      <c r="C7" s="23" t="s">
        <v>119</v>
      </c>
      <c r="D7" s="23" t="s">
        <v>120</v>
      </c>
      <c r="E7" s="23" t="s">
        <v>121</v>
      </c>
      <c r="F7" s="24" t="n">
        <v>8102.06</v>
      </c>
      <c r="G7" s="24" t="n">
        <v>7570.51</v>
      </c>
      <c r="H7" s="24" t="n">
        <v>8028.29</v>
      </c>
      <c r="I7" s="24" t="n">
        <v>8368.9</v>
      </c>
      <c r="J7" s="24" t="n">
        <v>8745.48</v>
      </c>
      <c r="K7" s="24" t="n">
        <v>9034.61</v>
      </c>
      <c r="L7" s="24" t="n">
        <v>9259.86</v>
      </c>
      <c r="M7" s="24" t="n">
        <v>9450.29</v>
      </c>
      <c r="N7" s="24" t="n">
        <v>9620.72</v>
      </c>
      <c r="O7" s="24" t="n">
        <v>9769.64</v>
      </c>
      <c r="P7" s="24" t="n">
        <v>9927.15</v>
      </c>
      <c r="Q7" s="23"/>
      <c r="R7" s="23" t="s">
        <v>122</v>
      </c>
      <c r="S7" s="23" t="s">
        <v>123</v>
      </c>
      <c r="T7" s="23"/>
      <c r="U7" s="23" t="s">
        <v>124</v>
      </c>
      <c r="V7" s="23" t="s">
        <v>125</v>
      </c>
      <c r="W7" s="23" t="s">
        <v>126</v>
      </c>
      <c r="X7" s="23" t="s">
        <v>127</v>
      </c>
      <c r="Y7" s="23" t="s">
        <v>128</v>
      </c>
      <c r="Z7" s="23" t="s">
        <v>129</v>
      </c>
      <c r="AA7" s="23" t="s">
        <v>130</v>
      </c>
    </row>
    <row r="8" customFormat="false" ht="15" hidden="false" customHeight="false" outlineLevel="0" collapsed="false">
      <c r="A8" s="23" t="s">
        <v>118</v>
      </c>
      <c r="B8" s="23" t="s">
        <v>87</v>
      </c>
      <c r="C8" s="23" t="s">
        <v>119</v>
      </c>
      <c r="D8" s="23" t="s">
        <v>120</v>
      </c>
      <c r="E8" s="23" t="s">
        <v>121</v>
      </c>
      <c r="F8" s="24" t="n">
        <v>22828.7</v>
      </c>
      <c r="G8" s="24" t="n">
        <v>22112.73</v>
      </c>
      <c r="H8" s="24" t="n">
        <v>22548.51</v>
      </c>
      <c r="I8" s="24" t="n">
        <v>23240.97</v>
      </c>
      <c r="J8" s="24" t="n">
        <v>24026.93</v>
      </c>
      <c r="K8" s="24" t="n">
        <v>24722.02</v>
      </c>
      <c r="L8" s="24" t="n">
        <v>25303.59</v>
      </c>
      <c r="M8" s="24" t="n">
        <v>25790.13</v>
      </c>
      <c r="N8" s="24" t="n">
        <v>26192.13</v>
      </c>
      <c r="O8" s="24" t="n">
        <v>26555.58</v>
      </c>
      <c r="P8" s="24" t="n">
        <v>26940.53</v>
      </c>
      <c r="Q8" s="23"/>
      <c r="R8" s="23" t="s">
        <v>122</v>
      </c>
      <c r="S8" s="23" t="s">
        <v>123</v>
      </c>
      <c r="T8" s="23"/>
      <c r="U8" s="23" t="s">
        <v>124</v>
      </c>
      <c r="V8" s="23" t="s">
        <v>125</v>
      </c>
      <c r="W8" s="23" t="s">
        <v>126</v>
      </c>
      <c r="X8" s="23" t="s">
        <v>127</v>
      </c>
      <c r="Y8" s="23" t="s">
        <v>128</v>
      </c>
      <c r="Z8" s="23" t="s">
        <v>129</v>
      </c>
      <c r="AA8" s="23" t="s">
        <v>131</v>
      </c>
    </row>
    <row r="9" customFormat="false" ht="15" hidden="false" customHeight="false" outlineLevel="0" collapsed="false">
      <c r="A9" s="23" t="s">
        <v>118</v>
      </c>
      <c r="B9" s="23" t="s">
        <v>91</v>
      </c>
      <c r="C9" s="23" t="s">
        <v>119</v>
      </c>
      <c r="D9" s="23" t="s">
        <v>120</v>
      </c>
      <c r="E9" s="23" t="s">
        <v>121</v>
      </c>
      <c r="F9" s="24" t="n">
        <v>14865.48</v>
      </c>
      <c r="G9" s="24" t="n">
        <v>14388.14</v>
      </c>
      <c r="H9" s="24" t="n">
        <v>14630.94</v>
      </c>
      <c r="I9" s="24" t="n">
        <v>14898.27</v>
      </c>
      <c r="J9" s="24" t="n">
        <v>15243.37</v>
      </c>
      <c r="K9" s="24" t="n">
        <v>15606.29</v>
      </c>
      <c r="L9" s="24" t="n">
        <v>15956.16</v>
      </c>
      <c r="M9" s="24" t="n">
        <v>16278.13</v>
      </c>
      <c r="N9" s="24" t="n">
        <v>16561.24</v>
      </c>
      <c r="O9" s="24" t="n">
        <v>16827.52</v>
      </c>
      <c r="P9" s="24" t="n">
        <v>17111.28</v>
      </c>
      <c r="Q9" s="23"/>
      <c r="R9" s="23" t="s">
        <v>122</v>
      </c>
      <c r="S9" s="23" t="s">
        <v>123</v>
      </c>
      <c r="T9" s="23"/>
      <c r="U9" s="23" t="s">
        <v>124</v>
      </c>
      <c r="V9" s="23" t="s">
        <v>125</v>
      </c>
      <c r="W9" s="23" t="s">
        <v>126</v>
      </c>
      <c r="X9" s="23" t="s">
        <v>127</v>
      </c>
      <c r="Y9" s="23" t="s">
        <v>128</v>
      </c>
      <c r="Z9" s="23" t="s">
        <v>129</v>
      </c>
      <c r="AA9" s="23" t="s">
        <v>132</v>
      </c>
    </row>
    <row r="10" customFormat="false" ht="15" hidden="false" customHeight="false" outlineLevel="0" collapsed="false">
      <c r="A10" s="23" t="s">
        <v>133</v>
      </c>
      <c r="B10" s="23" t="s">
        <v>95</v>
      </c>
      <c r="C10" s="23" t="s">
        <v>119</v>
      </c>
      <c r="D10" s="23" t="s">
        <v>120</v>
      </c>
      <c r="E10" s="23" t="s">
        <v>121</v>
      </c>
      <c r="F10" s="24" t="n">
        <v>8602.32</v>
      </c>
      <c r="G10" s="24" t="n">
        <v>8928.01</v>
      </c>
      <c r="H10" s="24" t="n">
        <v>9354.2</v>
      </c>
      <c r="I10" s="24" t="n">
        <v>9718.64</v>
      </c>
      <c r="J10" s="24" t="n">
        <v>9841.42</v>
      </c>
      <c r="K10" s="24" t="n">
        <v>10057.65</v>
      </c>
      <c r="L10" s="24" t="n">
        <v>10277.27</v>
      </c>
      <c r="M10" s="24" t="n">
        <v>10545.15</v>
      </c>
      <c r="N10" s="24" t="n">
        <v>10846.02</v>
      </c>
      <c r="O10" s="24" t="n">
        <v>11215.49</v>
      </c>
      <c r="P10" s="24" t="n">
        <v>11458.98</v>
      </c>
      <c r="Q10" s="23"/>
      <c r="R10" s="23" t="s">
        <v>122</v>
      </c>
      <c r="S10" s="23" t="s">
        <v>123</v>
      </c>
      <c r="T10" s="23"/>
      <c r="U10" s="23" t="s">
        <v>124</v>
      </c>
      <c r="V10" s="23" t="s">
        <v>125</v>
      </c>
      <c r="W10" s="23" t="s">
        <v>126</v>
      </c>
      <c r="X10" s="23" t="s">
        <v>127</v>
      </c>
      <c r="Y10" s="23" t="s">
        <v>128</v>
      </c>
      <c r="Z10" s="23" t="s">
        <v>134</v>
      </c>
      <c r="AA10" s="23" t="s">
        <v>130</v>
      </c>
    </row>
    <row r="11" customFormat="false" ht="15" hidden="false" customHeight="false" outlineLevel="0" collapsed="false">
      <c r="A11" s="23" t="s">
        <v>133</v>
      </c>
      <c r="B11" s="23" t="s">
        <v>87</v>
      </c>
      <c r="C11" s="23" t="s">
        <v>119</v>
      </c>
      <c r="D11" s="23" t="s">
        <v>120</v>
      </c>
      <c r="E11" s="23" t="s">
        <v>121</v>
      </c>
      <c r="F11" s="24" t="n">
        <v>21749.92</v>
      </c>
      <c r="G11" s="24" t="n">
        <v>21337.99</v>
      </c>
      <c r="H11" s="24" t="n">
        <v>20949.36</v>
      </c>
      <c r="I11" s="24" t="n">
        <v>21246.9</v>
      </c>
      <c r="J11" s="24" t="n">
        <v>22034.04</v>
      </c>
      <c r="K11" s="24" t="n">
        <v>22771.64</v>
      </c>
      <c r="L11" s="24" t="n">
        <v>23578.94</v>
      </c>
      <c r="M11" s="24" t="n">
        <v>24249.29</v>
      </c>
      <c r="N11" s="24" t="n">
        <v>24967.49</v>
      </c>
      <c r="O11" s="24" t="n">
        <v>25608.45</v>
      </c>
      <c r="P11" s="24" t="n">
        <v>26188.23</v>
      </c>
      <c r="Q11" s="23"/>
      <c r="R11" s="23" t="s">
        <v>122</v>
      </c>
      <c r="S11" s="23" t="s">
        <v>123</v>
      </c>
      <c r="T11" s="23"/>
      <c r="U11" s="23" t="s">
        <v>124</v>
      </c>
      <c r="V11" s="23" t="s">
        <v>125</v>
      </c>
      <c r="W11" s="23" t="s">
        <v>126</v>
      </c>
      <c r="X11" s="23" t="s">
        <v>127</v>
      </c>
      <c r="Y11" s="23" t="s">
        <v>128</v>
      </c>
      <c r="Z11" s="23" t="s">
        <v>134</v>
      </c>
      <c r="AA11" s="23" t="s">
        <v>131</v>
      </c>
    </row>
    <row r="12" customFormat="false" ht="15" hidden="false" customHeight="false" outlineLevel="0" collapsed="false">
      <c r="A12" s="23" t="s">
        <v>133</v>
      </c>
      <c r="B12" s="23" t="s">
        <v>91</v>
      </c>
      <c r="C12" s="23" t="s">
        <v>119</v>
      </c>
      <c r="D12" s="23" t="s">
        <v>120</v>
      </c>
      <c r="E12" s="23" t="s">
        <v>121</v>
      </c>
      <c r="F12" s="24" t="n">
        <v>10766.84</v>
      </c>
      <c r="G12" s="24" t="n">
        <v>10734.68</v>
      </c>
      <c r="H12" s="24" t="n">
        <v>10664.85</v>
      </c>
      <c r="I12" s="24" t="n">
        <v>10885.37</v>
      </c>
      <c r="J12" s="24" t="n">
        <v>11359.51</v>
      </c>
      <c r="K12" s="24" t="n">
        <v>11828.95</v>
      </c>
      <c r="L12" s="24" t="n">
        <v>12314.8</v>
      </c>
      <c r="M12" s="24" t="n">
        <v>12734.68</v>
      </c>
      <c r="N12" s="24" t="n">
        <v>13229.21</v>
      </c>
      <c r="O12" s="24" t="n">
        <v>13712.34</v>
      </c>
      <c r="P12" s="24" t="n">
        <v>14156.13</v>
      </c>
      <c r="Q12" s="23"/>
      <c r="R12" s="23" t="s">
        <v>122</v>
      </c>
      <c r="S12" s="23" t="s">
        <v>123</v>
      </c>
      <c r="T12" s="23"/>
      <c r="U12" s="23" t="s">
        <v>124</v>
      </c>
      <c r="V12" s="23" t="s">
        <v>125</v>
      </c>
      <c r="W12" s="23" t="s">
        <v>126</v>
      </c>
      <c r="X12" s="23" t="s">
        <v>127</v>
      </c>
      <c r="Y12" s="23" t="s">
        <v>128</v>
      </c>
      <c r="Z12" s="23" t="s">
        <v>134</v>
      </c>
      <c r="AA12" s="23" t="s">
        <v>132</v>
      </c>
    </row>
    <row r="13" customFormat="false" ht="15" hidden="false" customHeight="false" outlineLevel="0" collapsed="false">
      <c r="A13" s="23" t="s">
        <v>135</v>
      </c>
      <c r="B13" s="23" t="s">
        <v>95</v>
      </c>
      <c r="C13" s="23" t="s">
        <v>119</v>
      </c>
      <c r="D13" s="23" t="s">
        <v>120</v>
      </c>
      <c r="E13" s="23" t="s">
        <v>121</v>
      </c>
      <c r="F13" s="24" t="n">
        <v>1985.52</v>
      </c>
      <c r="G13" s="24" t="n">
        <v>2373.8</v>
      </c>
      <c r="H13" s="24" t="n">
        <v>2430.38</v>
      </c>
      <c r="I13" s="24" t="n">
        <v>2440.69</v>
      </c>
      <c r="J13" s="24" t="n">
        <v>2565.28</v>
      </c>
      <c r="K13" s="24" t="n">
        <v>2706.25</v>
      </c>
      <c r="L13" s="24" t="n">
        <v>2847.05</v>
      </c>
      <c r="M13" s="24" t="n">
        <v>2983.37</v>
      </c>
      <c r="N13" s="24" t="n">
        <v>3098.52</v>
      </c>
      <c r="O13" s="24" t="n">
        <v>3188.65</v>
      </c>
      <c r="P13" s="24" t="n">
        <v>3316.41</v>
      </c>
      <c r="Q13" s="23"/>
      <c r="R13" s="23" t="s">
        <v>122</v>
      </c>
      <c r="S13" s="23" t="s">
        <v>123</v>
      </c>
      <c r="T13" s="23"/>
      <c r="U13" s="23" t="s">
        <v>124</v>
      </c>
      <c r="V13" s="23" t="s">
        <v>125</v>
      </c>
      <c r="W13" s="23" t="s">
        <v>136</v>
      </c>
      <c r="X13" s="23" t="s">
        <v>127</v>
      </c>
      <c r="Y13" s="23" t="s">
        <v>128</v>
      </c>
      <c r="Z13" s="23" t="s">
        <v>137</v>
      </c>
      <c r="AA13" s="23" t="s">
        <v>130</v>
      </c>
    </row>
    <row r="14" customFormat="false" ht="15" hidden="false" customHeight="false" outlineLevel="0" collapsed="false">
      <c r="A14" s="23" t="s">
        <v>135</v>
      </c>
      <c r="B14" s="23" t="s">
        <v>87</v>
      </c>
      <c r="C14" s="23" t="s">
        <v>119</v>
      </c>
      <c r="D14" s="23" t="s">
        <v>120</v>
      </c>
      <c r="E14" s="23" t="s">
        <v>121</v>
      </c>
      <c r="F14" s="24" t="n">
        <v>9859.56</v>
      </c>
      <c r="G14" s="24" t="n">
        <v>10415.08</v>
      </c>
      <c r="H14" s="24" t="n">
        <v>9812.26</v>
      </c>
      <c r="I14" s="24" t="n">
        <v>9642.05</v>
      </c>
      <c r="J14" s="24" t="n">
        <v>9408.52</v>
      </c>
      <c r="K14" s="24" t="n">
        <v>9206.58</v>
      </c>
      <c r="L14" s="24" t="n">
        <v>8987.81</v>
      </c>
      <c r="M14" s="24" t="n">
        <v>8878.48</v>
      </c>
      <c r="N14" s="24" t="n">
        <v>8817.48</v>
      </c>
      <c r="O14" s="24" t="n">
        <v>8736.83</v>
      </c>
      <c r="P14" s="24" t="n">
        <v>8704.12</v>
      </c>
      <c r="Q14" s="23"/>
      <c r="R14" s="23" t="s">
        <v>122</v>
      </c>
      <c r="S14" s="23" t="s">
        <v>123</v>
      </c>
      <c r="T14" s="23"/>
      <c r="U14" s="23" t="s">
        <v>124</v>
      </c>
      <c r="V14" s="23" t="s">
        <v>125</v>
      </c>
      <c r="W14" s="23" t="s">
        <v>136</v>
      </c>
      <c r="X14" s="23" t="s">
        <v>127</v>
      </c>
      <c r="Y14" s="23" t="s">
        <v>128</v>
      </c>
      <c r="Z14" s="23" t="s">
        <v>137</v>
      </c>
      <c r="AA14" s="23" t="s">
        <v>131</v>
      </c>
    </row>
    <row r="15" customFormat="false" ht="15" hidden="false" customHeight="false" outlineLevel="0" collapsed="false">
      <c r="A15" s="23" t="s">
        <v>138</v>
      </c>
      <c r="B15" s="23" t="s">
        <v>95</v>
      </c>
      <c r="C15" s="23" t="s">
        <v>119</v>
      </c>
      <c r="D15" s="23" t="s">
        <v>120</v>
      </c>
      <c r="E15" s="23" t="s">
        <v>121</v>
      </c>
      <c r="F15" s="24" t="n">
        <v>395.22</v>
      </c>
      <c r="G15" s="24" t="n">
        <v>401.69</v>
      </c>
      <c r="H15" s="24" t="n">
        <v>402.88</v>
      </c>
      <c r="I15" s="24" t="n">
        <v>408.64</v>
      </c>
      <c r="J15" s="24" t="n">
        <v>414.77</v>
      </c>
      <c r="K15" s="24" t="n">
        <v>420.02</v>
      </c>
      <c r="L15" s="24" t="n">
        <v>425.03</v>
      </c>
      <c r="M15" s="24" t="n">
        <v>430.68</v>
      </c>
      <c r="N15" s="24" t="n">
        <v>436.02</v>
      </c>
      <c r="O15" s="24" t="n">
        <v>440.87</v>
      </c>
      <c r="P15" s="24" t="n">
        <v>446.07</v>
      </c>
      <c r="Q15" s="23"/>
      <c r="R15" s="23" t="s">
        <v>122</v>
      </c>
      <c r="S15" s="23" t="s">
        <v>123</v>
      </c>
      <c r="T15" s="23"/>
      <c r="U15" s="23" t="s">
        <v>124</v>
      </c>
      <c r="V15" s="23" t="s">
        <v>125</v>
      </c>
      <c r="W15" s="23" t="s">
        <v>136</v>
      </c>
      <c r="X15" s="23" t="s">
        <v>127</v>
      </c>
      <c r="Y15" s="23" t="s">
        <v>128</v>
      </c>
      <c r="Z15" s="23" t="s">
        <v>139</v>
      </c>
      <c r="AA15" s="23" t="s">
        <v>130</v>
      </c>
    </row>
    <row r="16" customFormat="false" ht="15" hidden="false" customHeight="false" outlineLevel="0" collapsed="false">
      <c r="A16" s="23" t="s">
        <v>138</v>
      </c>
      <c r="B16" s="23" t="s">
        <v>87</v>
      </c>
      <c r="C16" s="23" t="s">
        <v>119</v>
      </c>
      <c r="D16" s="23" t="s">
        <v>120</v>
      </c>
      <c r="E16" s="23" t="s">
        <v>121</v>
      </c>
      <c r="F16" s="24" t="n">
        <v>2281.74</v>
      </c>
      <c r="G16" s="24" t="n">
        <v>2282.15</v>
      </c>
      <c r="H16" s="24" t="n">
        <v>2312.21</v>
      </c>
      <c r="I16" s="24" t="n">
        <v>2343.99</v>
      </c>
      <c r="J16" s="24" t="n">
        <v>2374.47</v>
      </c>
      <c r="K16" s="24" t="n">
        <v>2405.46</v>
      </c>
      <c r="L16" s="24" t="n">
        <v>2437.08</v>
      </c>
      <c r="M16" s="24" t="n">
        <v>2469.1</v>
      </c>
      <c r="N16" s="24" t="n">
        <v>2501.55</v>
      </c>
      <c r="O16" s="24" t="n">
        <v>2534.41</v>
      </c>
      <c r="P16" s="24" t="n">
        <v>2567.72</v>
      </c>
      <c r="Q16" s="23"/>
      <c r="R16" s="23" t="s">
        <v>122</v>
      </c>
      <c r="S16" s="23" t="s">
        <v>123</v>
      </c>
      <c r="T16" s="23"/>
      <c r="U16" s="23" t="s">
        <v>124</v>
      </c>
      <c r="V16" s="23" t="s">
        <v>125</v>
      </c>
      <c r="W16" s="23" t="s">
        <v>136</v>
      </c>
      <c r="X16" s="23" t="s">
        <v>127</v>
      </c>
      <c r="Y16" s="23" t="s">
        <v>128</v>
      </c>
      <c r="Z16" s="23" t="s">
        <v>139</v>
      </c>
      <c r="AA16" s="23" t="s">
        <v>131</v>
      </c>
    </row>
    <row r="17" customFormat="false" ht="15" hidden="false" customHeight="false" outlineLevel="0" collapsed="false">
      <c r="A17" s="23" t="s">
        <v>140</v>
      </c>
      <c r="B17" s="23" t="s">
        <v>95</v>
      </c>
      <c r="C17" s="23" t="s">
        <v>119</v>
      </c>
      <c r="D17" s="23" t="s">
        <v>120</v>
      </c>
      <c r="E17" s="23" t="s">
        <v>121</v>
      </c>
      <c r="F17" s="24" t="n">
        <v>6345.52</v>
      </c>
      <c r="G17" s="24" t="n">
        <v>6352.36</v>
      </c>
      <c r="H17" s="24" t="n">
        <v>6403.14</v>
      </c>
      <c r="I17" s="24" t="n">
        <v>6579.23</v>
      </c>
      <c r="J17" s="24" t="n">
        <v>6756.37</v>
      </c>
      <c r="K17" s="24" t="n">
        <v>6943.09</v>
      </c>
      <c r="L17" s="24" t="n">
        <v>7084.53</v>
      </c>
      <c r="M17" s="24" t="n">
        <v>7214.77</v>
      </c>
      <c r="N17" s="24" t="n">
        <v>7340.15</v>
      </c>
      <c r="O17" s="24" t="n">
        <v>7460.78</v>
      </c>
      <c r="P17" s="24" t="n">
        <v>7580.36</v>
      </c>
      <c r="Q17" s="23"/>
      <c r="R17" s="23" t="s">
        <v>122</v>
      </c>
      <c r="S17" s="23" t="s">
        <v>123</v>
      </c>
      <c r="T17" s="23"/>
      <c r="U17" s="23" t="s">
        <v>124</v>
      </c>
      <c r="V17" s="23" t="s">
        <v>125</v>
      </c>
      <c r="W17" s="23" t="s">
        <v>126</v>
      </c>
      <c r="X17" s="23" t="s">
        <v>127</v>
      </c>
      <c r="Y17" s="23" t="s">
        <v>128</v>
      </c>
      <c r="Z17" s="23" t="s">
        <v>141</v>
      </c>
      <c r="AA17" s="23" t="s">
        <v>130</v>
      </c>
    </row>
    <row r="18" customFormat="false" ht="15" hidden="false" customHeight="false" outlineLevel="0" collapsed="false">
      <c r="A18" s="23" t="s">
        <v>140</v>
      </c>
      <c r="B18" s="23" t="s">
        <v>87</v>
      </c>
      <c r="C18" s="23" t="s">
        <v>119</v>
      </c>
      <c r="D18" s="23" t="s">
        <v>120</v>
      </c>
      <c r="E18" s="23" t="s">
        <v>121</v>
      </c>
      <c r="F18" s="24" t="n">
        <v>33294.14</v>
      </c>
      <c r="G18" s="24" t="n">
        <v>34040.07</v>
      </c>
      <c r="H18" s="24" t="n">
        <v>34688.48</v>
      </c>
      <c r="I18" s="24" t="n">
        <v>35862.84</v>
      </c>
      <c r="J18" s="24" t="n">
        <v>37493.44</v>
      </c>
      <c r="K18" s="24" t="n">
        <v>38018.73</v>
      </c>
      <c r="L18" s="24" t="n">
        <v>38546.54</v>
      </c>
      <c r="M18" s="24" t="n">
        <v>39596.41</v>
      </c>
      <c r="N18" s="24" t="n">
        <v>40454.85</v>
      </c>
      <c r="O18" s="24" t="n">
        <v>41286.07</v>
      </c>
      <c r="P18" s="24" t="n">
        <v>42066.21</v>
      </c>
      <c r="Q18" s="23"/>
      <c r="R18" s="23" t="s">
        <v>122</v>
      </c>
      <c r="S18" s="23" t="s">
        <v>123</v>
      </c>
      <c r="T18" s="23"/>
      <c r="U18" s="23" t="s">
        <v>124</v>
      </c>
      <c r="V18" s="23" t="s">
        <v>125</v>
      </c>
      <c r="W18" s="23" t="s">
        <v>126</v>
      </c>
      <c r="X18" s="23" t="s">
        <v>127</v>
      </c>
      <c r="Y18" s="23" t="s">
        <v>128</v>
      </c>
      <c r="Z18" s="23" t="s">
        <v>141</v>
      </c>
      <c r="AA18" s="23" t="s">
        <v>131</v>
      </c>
    </row>
    <row r="19" customFormat="false" ht="15" hidden="false" customHeight="false" outlineLevel="0" collapsed="false">
      <c r="A19" s="23" t="s">
        <v>140</v>
      </c>
      <c r="B19" s="23" t="s">
        <v>91</v>
      </c>
      <c r="C19" s="23" t="s">
        <v>119</v>
      </c>
      <c r="D19" s="23" t="s">
        <v>120</v>
      </c>
      <c r="E19" s="23" t="s">
        <v>121</v>
      </c>
      <c r="F19" s="24" t="n">
        <v>26481.49</v>
      </c>
      <c r="G19" s="24" t="n">
        <v>27249.86</v>
      </c>
      <c r="H19" s="24" t="n">
        <v>27951.55</v>
      </c>
      <c r="I19" s="24" t="n">
        <v>28984.19</v>
      </c>
      <c r="J19" s="24" t="n">
        <v>30354.18</v>
      </c>
      <c r="K19" s="24" t="n">
        <v>30977.68</v>
      </c>
      <c r="L19" s="24" t="n">
        <v>31480.28</v>
      </c>
      <c r="M19" s="24" t="n">
        <v>32361.38</v>
      </c>
      <c r="N19" s="24" t="n">
        <v>33147.03</v>
      </c>
      <c r="O19" s="24" t="n">
        <v>33915.57</v>
      </c>
      <c r="P19" s="24" t="n">
        <v>34661.06</v>
      </c>
      <c r="Q19" s="23"/>
      <c r="R19" s="23" t="s">
        <v>122</v>
      </c>
      <c r="S19" s="23" t="s">
        <v>123</v>
      </c>
      <c r="T19" s="23"/>
      <c r="U19" s="23" t="s">
        <v>124</v>
      </c>
      <c r="V19" s="23" t="s">
        <v>125</v>
      </c>
      <c r="W19" s="23" t="s">
        <v>126</v>
      </c>
      <c r="X19" s="23" t="s">
        <v>127</v>
      </c>
      <c r="Y19" s="23" t="s">
        <v>128</v>
      </c>
      <c r="Z19" s="23" t="s">
        <v>141</v>
      </c>
      <c r="AA19" s="23" t="s">
        <v>132</v>
      </c>
    </row>
    <row r="20" customFormat="false" ht="15" hidden="false" customHeight="false" outlineLevel="0" collapsed="false">
      <c r="A20" s="23" t="s">
        <v>142</v>
      </c>
      <c r="B20" s="23" t="s">
        <v>87</v>
      </c>
      <c r="C20" s="23" t="s">
        <v>119</v>
      </c>
      <c r="D20" s="23" t="s">
        <v>120</v>
      </c>
      <c r="E20" s="23" t="s">
        <v>121</v>
      </c>
      <c r="F20" s="24" t="n">
        <v>2846.15</v>
      </c>
      <c r="G20" s="24" t="n">
        <v>2946.32</v>
      </c>
      <c r="H20" s="24" t="n">
        <v>3045.58</v>
      </c>
      <c r="I20" s="24" t="n">
        <v>3078.85</v>
      </c>
      <c r="J20" s="24" t="n">
        <v>3109.46</v>
      </c>
      <c r="K20" s="24" t="n">
        <v>3140.19</v>
      </c>
      <c r="L20" s="24" t="n">
        <v>3171.04</v>
      </c>
      <c r="M20" s="24" t="n">
        <v>3202.02</v>
      </c>
      <c r="N20" s="24" t="n">
        <v>3233.11</v>
      </c>
      <c r="O20" s="24" t="n">
        <v>3264.31</v>
      </c>
      <c r="P20" s="24" t="n">
        <v>3295.63</v>
      </c>
      <c r="Q20" s="23"/>
      <c r="R20" s="23" t="s">
        <v>122</v>
      </c>
      <c r="S20" s="23" t="s">
        <v>123</v>
      </c>
      <c r="T20" s="23"/>
      <c r="U20" s="23" t="s">
        <v>124</v>
      </c>
      <c r="V20" s="23" t="s">
        <v>125</v>
      </c>
      <c r="W20" s="23" t="s">
        <v>136</v>
      </c>
      <c r="X20" s="23" t="s">
        <v>127</v>
      </c>
      <c r="Y20" s="23" t="s">
        <v>128</v>
      </c>
      <c r="Z20" s="23" t="s">
        <v>143</v>
      </c>
      <c r="AA20" s="23" t="s">
        <v>131</v>
      </c>
    </row>
    <row r="21" customFormat="false" ht="15" hidden="false" customHeight="false" outlineLevel="0" collapsed="false">
      <c r="A21" s="23" t="s">
        <v>142</v>
      </c>
      <c r="B21" s="23" t="s">
        <v>91</v>
      </c>
      <c r="C21" s="23" t="s">
        <v>119</v>
      </c>
      <c r="D21" s="23" t="s">
        <v>120</v>
      </c>
      <c r="E21" s="23" t="s">
        <v>121</v>
      </c>
      <c r="F21" s="24" t="n">
        <v>721.83</v>
      </c>
      <c r="G21" s="24" t="n">
        <v>730.55</v>
      </c>
      <c r="H21" s="24" t="n">
        <v>741.55</v>
      </c>
      <c r="I21" s="24" t="n">
        <v>748.82</v>
      </c>
      <c r="J21" s="24" t="n">
        <v>756.1</v>
      </c>
      <c r="K21" s="24" t="n">
        <v>763.89</v>
      </c>
      <c r="L21" s="24" t="n">
        <v>772.17</v>
      </c>
      <c r="M21" s="24" t="n">
        <v>780.98</v>
      </c>
      <c r="N21" s="24" t="n">
        <v>790.4</v>
      </c>
      <c r="O21" s="24" t="n">
        <v>800.57</v>
      </c>
      <c r="P21" s="24" t="n">
        <v>811.37</v>
      </c>
      <c r="Q21" s="23"/>
      <c r="R21" s="23" t="s">
        <v>122</v>
      </c>
      <c r="S21" s="23" t="s">
        <v>123</v>
      </c>
      <c r="T21" s="23"/>
      <c r="U21" s="23" t="s">
        <v>124</v>
      </c>
      <c r="V21" s="23" t="s">
        <v>125</v>
      </c>
      <c r="W21" s="23" t="s">
        <v>136</v>
      </c>
      <c r="X21" s="23" t="s">
        <v>127</v>
      </c>
      <c r="Y21" s="23" t="s">
        <v>128</v>
      </c>
      <c r="Z21" s="23" t="s">
        <v>143</v>
      </c>
      <c r="AA21" s="23" t="s">
        <v>132</v>
      </c>
    </row>
    <row r="22" customFormat="false" ht="15" hidden="false" customHeight="false" outlineLevel="0" collapsed="false">
      <c r="A22" s="23" t="s">
        <v>144</v>
      </c>
      <c r="B22" s="23" t="s">
        <v>95</v>
      </c>
      <c r="C22" s="23" t="s">
        <v>119</v>
      </c>
      <c r="D22" s="23" t="s">
        <v>120</v>
      </c>
      <c r="E22" s="23" t="s">
        <v>121</v>
      </c>
      <c r="F22" s="24" t="n">
        <v>3189.57</v>
      </c>
      <c r="G22" s="24" t="n">
        <v>3090.2</v>
      </c>
      <c r="H22" s="24" t="n">
        <v>3242.51</v>
      </c>
      <c r="I22" s="24" t="n">
        <v>3415.89</v>
      </c>
      <c r="J22" s="24" t="n">
        <v>3612.35</v>
      </c>
      <c r="K22" s="24" t="n">
        <v>3857.38</v>
      </c>
      <c r="L22" s="24" t="n">
        <v>4056.03</v>
      </c>
      <c r="M22" s="24" t="n">
        <v>4140.13</v>
      </c>
      <c r="N22" s="24" t="n">
        <v>4209.81</v>
      </c>
      <c r="O22" s="24" t="n">
        <v>4316.56</v>
      </c>
      <c r="P22" s="24" t="n">
        <v>4411.75</v>
      </c>
      <c r="Q22" s="23"/>
      <c r="R22" s="23" t="s">
        <v>122</v>
      </c>
      <c r="S22" s="23" t="s">
        <v>123</v>
      </c>
      <c r="T22" s="23"/>
      <c r="U22" s="23" t="s">
        <v>124</v>
      </c>
      <c r="V22" s="23" t="s">
        <v>125</v>
      </c>
      <c r="W22" s="23" t="s">
        <v>126</v>
      </c>
      <c r="X22" s="23" t="s">
        <v>127</v>
      </c>
      <c r="Y22" s="23" t="s">
        <v>128</v>
      </c>
      <c r="Z22" s="23" t="s">
        <v>145</v>
      </c>
      <c r="AA22" s="23" t="s">
        <v>130</v>
      </c>
    </row>
    <row r="23" customFormat="false" ht="15" hidden="false" customHeight="false" outlineLevel="0" collapsed="false">
      <c r="A23" s="23" t="s">
        <v>144</v>
      </c>
      <c r="B23" s="23" t="s">
        <v>87</v>
      </c>
      <c r="C23" s="23" t="s">
        <v>119</v>
      </c>
      <c r="D23" s="23" t="s">
        <v>120</v>
      </c>
      <c r="E23" s="23" t="s">
        <v>121</v>
      </c>
      <c r="F23" s="24" t="n">
        <v>10464.2</v>
      </c>
      <c r="G23" s="24" t="n">
        <v>10510.31</v>
      </c>
      <c r="H23" s="24" t="n">
        <v>10656.98</v>
      </c>
      <c r="I23" s="24" t="n">
        <v>11011.46</v>
      </c>
      <c r="J23" s="24" t="n">
        <v>11304.67</v>
      </c>
      <c r="K23" s="24" t="n">
        <v>11597.88</v>
      </c>
      <c r="L23" s="24" t="n">
        <v>11891.08</v>
      </c>
      <c r="M23" s="24" t="n">
        <v>12184.29</v>
      </c>
      <c r="N23" s="24" t="n">
        <v>12477.5</v>
      </c>
      <c r="O23" s="24" t="n">
        <v>12707.65</v>
      </c>
      <c r="P23" s="24" t="n">
        <v>12898.78</v>
      </c>
      <c r="Q23" s="23"/>
      <c r="R23" s="23" t="s">
        <v>122</v>
      </c>
      <c r="S23" s="23" t="s">
        <v>123</v>
      </c>
      <c r="T23" s="23"/>
      <c r="U23" s="23" t="s">
        <v>124</v>
      </c>
      <c r="V23" s="23" t="s">
        <v>125</v>
      </c>
      <c r="W23" s="23" t="s">
        <v>126</v>
      </c>
      <c r="X23" s="23" t="s">
        <v>127</v>
      </c>
      <c r="Y23" s="23" t="s">
        <v>128</v>
      </c>
      <c r="Z23" s="23" t="s">
        <v>145</v>
      </c>
      <c r="AA23" s="23" t="s">
        <v>131</v>
      </c>
    </row>
    <row r="24" customFormat="false" ht="15" hidden="false" customHeight="false" outlineLevel="0" collapsed="false">
      <c r="A24" s="23" t="s">
        <v>144</v>
      </c>
      <c r="B24" s="23" t="s">
        <v>91</v>
      </c>
      <c r="C24" s="23" t="s">
        <v>119</v>
      </c>
      <c r="D24" s="23" t="s">
        <v>120</v>
      </c>
      <c r="E24" s="23" t="s">
        <v>121</v>
      </c>
      <c r="F24" s="24" t="n">
        <v>4421.89</v>
      </c>
      <c r="G24" s="24" t="n">
        <v>4673.79</v>
      </c>
      <c r="H24" s="24" t="n">
        <v>4918.6</v>
      </c>
      <c r="I24" s="24" t="n">
        <v>5167.5</v>
      </c>
      <c r="J24" s="24" t="n">
        <v>5342.79</v>
      </c>
      <c r="K24" s="24" t="n">
        <v>5537.91</v>
      </c>
      <c r="L24" s="24" t="n">
        <v>5673.55</v>
      </c>
      <c r="M24" s="24" t="n">
        <v>5789.29</v>
      </c>
      <c r="N24" s="24" t="n">
        <v>5905.36</v>
      </c>
      <c r="O24" s="24" t="n">
        <v>6025.83</v>
      </c>
      <c r="P24" s="24" t="n">
        <v>6145.71</v>
      </c>
      <c r="Q24" s="23"/>
      <c r="R24" s="23" t="s">
        <v>122</v>
      </c>
      <c r="S24" s="23" t="s">
        <v>123</v>
      </c>
      <c r="T24" s="23"/>
      <c r="U24" s="23" t="s">
        <v>124</v>
      </c>
      <c r="V24" s="23" t="s">
        <v>125</v>
      </c>
      <c r="W24" s="23" t="s">
        <v>126</v>
      </c>
      <c r="X24" s="23" t="s">
        <v>127</v>
      </c>
      <c r="Y24" s="23" t="s">
        <v>128</v>
      </c>
      <c r="Z24" s="23" t="s">
        <v>145</v>
      </c>
      <c r="AA24" s="23" t="s">
        <v>132</v>
      </c>
    </row>
    <row r="25" customFormat="false" ht="15" hidden="false" customHeight="false" outlineLevel="0" collapsed="false">
      <c r="A25" s="23" t="s">
        <v>146</v>
      </c>
      <c r="B25" s="23" t="s">
        <v>95</v>
      </c>
      <c r="C25" s="23" t="s">
        <v>119</v>
      </c>
      <c r="D25" s="23" t="s">
        <v>120</v>
      </c>
      <c r="E25" s="23" t="s">
        <v>121</v>
      </c>
      <c r="F25" s="24" t="n">
        <v>22959.41</v>
      </c>
      <c r="G25" s="24" t="n">
        <v>22419.7</v>
      </c>
      <c r="H25" s="24" t="n">
        <v>22916.7</v>
      </c>
      <c r="I25" s="24" t="n">
        <v>23884.9</v>
      </c>
      <c r="J25" s="24" t="n">
        <v>24744.23</v>
      </c>
      <c r="K25" s="24" t="n">
        <v>25491.67</v>
      </c>
      <c r="L25" s="24" t="n">
        <v>26520</v>
      </c>
      <c r="M25" s="24" t="n">
        <v>27263.49</v>
      </c>
      <c r="N25" s="24" t="n">
        <v>27664.23</v>
      </c>
      <c r="O25" s="24" t="n">
        <v>28060.84</v>
      </c>
      <c r="P25" s="24" t="n">
        <v>28289.89</v>
      </c>
      <c r="Q25" s="23"/>
      <c r="R25" s="23" t="s">
        <v>122</v>
      </c>
      <c r="S25" s="23" t="s">
        <v>123</v>
      </c>
      <c r="T25" s="23"/>
      <c r="U25" s="23" t="s">
        <v>124</v>
      </c>
      <c r="V25" s="23" t="s">
        <v>125</v>
      </c>
      <c r="W25" s="23" t="s">
        <v>126</v>
      </c>
      <c r="X25" s="23" t="s">
        <v>127</v>
      </c>
      <c r="Y25" s="23" t="s">
        <v>128</v>
      </c>
      <c r="Z25" s="23" t="s">
        <v>147</v>
      </c>
      <c r="AA25" s="23" t="s">
        <v>130</v>
      </c>
    </row>
    <row r="26" customFormat="false" ht="15" hidden="false" customHeight="false" outlineLevel="0" collapsed="false">
      <c r="A26" s="23" t="s">
        <v>146</v>
      </c>
      <c r="B26" s="23" t="s">
        <v>87</v>
      </c>
      <c r="C26" s="23" t="s">
        <v>119</v>
      </c>
      <c r="D26" s="23" t="s">
        <v>120</v>
      </c>
      <c r="E26" s="23" t="s">
        <v>121</v>
      </c>
      <c r="F26" s="24" t="n">
        <v>190067.2</v>
      </c>
      <c r="G26" s="24" t="n">
        <v>182001.5</v>
      </c>
      <c r="H26" s="24" t="n">
        <v>183526.3</v>
      </c>
      <c r="I26" s="24" t="n">
        <v>187313.7</v>
      </c>
      <c r="J26" s="24" t="n">
        <v>195224.7</v>
      </c>
      <c r="K26" s="24" t="n">
        <v>203697.8</v>
      </c>
      <c r="L26" s="24" t="n">
        <v>212110.6</v>
      </c>
      <c r="M26" s="24" t="n">
        <v>215979.4</v>
      </c>
      <c r="N26" s="24" t="n">
        <v>218118.5</v>
      </c>
      <c r="O26" s="24" t="n">
        <v>220210.1</v>
      </c>
      <c r="P26" s="24" t="n">
        <v>222360.4</v>
      </c>
      <c r="Q26" s="23"/>
      <c r="R26" s="23" t="s">
        <v>122</v>
      </c>
      <c r="S26" s="23" t="s">
        <v>123</v>
      </c>
      <c r="T26" s="23"/>
      <c r="U26" s="23" t="s">
        <v>124</v>
      </c>
      <c r="V26" s="23" t="s">
        <v>125</v>
      </c>
      <c r="W26" s="23" t="s">
        <v>126</v>
      </c>
      <c r="X26" s="23" t="s">
        <v>127</v>
      </c>
      <c r="Y26" s="23" t="s">
        <v>128</v>
      </c>
      <c r="Z26" s="23" t="s">
        <v>147</v>
      </c>
      <c r="AA26" s="23" t="s">
        <v>131</v>
      </c>
    </row>
    <row r="27" customFormat="false" ht="15" hidden="false" customHeight="false" outlineLevel="0" collapsed="false">
      <c r="A27" s="23" t="s">
        <v>146</v>
      </c>
      <c r="B27" s="23" t="s">
        <v>91</v>
      </c>
      <c r="C27" s="23" t="s">
        <v>119</v>
      </c>
      <c r="D27" s="23" t="s">
        <v>120</v>
      </c>
      <c r="E27" s="23" t="s">
        <v>121</v>
      </c>
      <c r="F27" s="24" t="n">
        <v>89258.51</v>
      </c>
      <c r="G27" s="24" t="n">
        <v>85995.15</v>
      </c>
      <c r="H27" s="24" t="n">
        <v>88063.52</v>
      </c>
      <c r="I27" s="24" t="n">
        <v>90734.09</v>
      </c>
      <c r="J27" s="24" t="n">
        <v>95146.65</v>
      </c>
      <c r="K27" s="24" t="n">
        <v>99791.89</v>
      </c>
      <c r="L27" s="24" t="n">
        <v>103956.3</v>
      </c>
      <c r="M27" s="24" t="n">
        <v>105993.8</v>
      </c>
      <c r="N27" s="24" t="n">
        <v>107169.7</v>
      </c>
      <c r="O27" s="24" t="n">
        <v>108010.6</v>
      </c>
      <c r="P27" s="24" t="n">
        <v>108933</v>
      </c>
      <c r="Q27" s="23"/>
      <c r="R27" s="23" t="s">
        <v>122</v>
      </c>
      <c r="S27" s="23" t="s">
        <v>123</v>
      </c>
      <c r="T27" s="23"/>
      <c r="U27" s="23" t="s">
        <v>124</v>
      </c>
      <c r="V27" s="23" t="s">
        <v>125</v>
      </c>
      <c r="W27" s="23" t="s">
        <v>126</v>
      </c>
      <c r="X27" s="23" t="s">
        <v>127</v>
      </c>
      <c r="Y27" s="23" t="s">
        <v>128</v>
      </c>
      <c r="Z27" s="23" t="s">
        <v>147</v>
      </c>
      <c r="AA27" s="23" t="s">
        <v>132</v>
      </c>
    </row>
    <row r="28" customFormat="false" ht="15" hidden="false" customHeight="false" outlineLevel="0" collapsed="false">
      <c r="A28" s="23" t="s">
        <v>148</v>
      </c>
      <c r="B28" s="23" t="s">
        <v>95</v>
      </c>
      <c r="C28" s="23" t="s">
        <v>119</v>
      </c>
      <c r="D28" s="23" t="s">
        <v>120</v>
      </c>
      <c r="E28" s="23" t="s">
        <v>121</v>
      </c>
      <c r="F28" s="24" t="n">
        <v>5614.43</v>
      </c>
      <c r="G28" s="24" t="n">
        <v>5517.91</v>
      </c>
      <c r="H28" s="24" t="n">
        <v>5278.57</v>
      </c>
      <c r="I28" s="24" t="n">
        <v>5252.41</v>
      </c>
      <c r="J28" s="24" t="n">
        <v>5624.94</v>
      </c>
      <c r="K28" s="24" t="n">
        <v>5744.01</v>
      </c>
      <c r="L28" s="24" t="n">
        <v>5824.13</v>
      </c>
      <c r="M28" s="24" t="n">
        <v>5891.54</v>
      </c>
      <c r="N28" s="24" t="n">
        <v>5979.02</v>
      </c>
      <c r="O28" s="24" t="n">
        <v>6085.5</v>
      </c>
      <c r="P28" s="24" t="n">
        <v>6182.11</v>
      </c>
      <c r="Q28" s="23"/>
      <c r="R28" s="23" t="s">
        <v>122</v>
      </c>
      <c r="S28" s="23" t="s">
        <v>123</v>
      </c>
      <c r="T28" s="23"/>
      <c r="U28" s="23" t="s">
        <v>124</v>
      </c>
      <c r="V28" s="23" t="s">
        <v>125</v>
      </c>
      <c r="W28" s="23" t="s">
        <v>126</v>
      </c>
      <c r="X28" s="23" t="s">
        <v>127</v>
      </c>
      <c r="Y28" s="23" t="s">
        <v>128</v>
      </c>
      <c r="Z28" s="23" t="s">
        <v>149</v>
      </c>
      <c r="AA28" s="23" t="s">
        <v>130</v>
      </c>
    </row>
    <row r="29" customFormat="false" ht="15" hidden="false" customHeight="false" outlineLevel="0" collapsed="false">
      <c r="A29" s="23" t="s">
        <v>148</v>
      </c>
      <c r="B29" s="23" t="s">
        <v>87</v>
      </c>
      <c r="C29" s="23" t="s">
        <v>119</v>
      </c>
      <c r="D29" s="23" t="s">
        <v>120</v>
      </c>
      <c r="E29" s="23" t="s">
        <v>121</v>
      </c>
      <c r="F29" s="24" t="n">
        <v>14858.89</v>
      </c>
      <c r="G29" s="24" t="n">
        <v>14569.75</v>
      </c>
      <c r="H29" s="24" t="n">
        <v>13842.5</v>
      </c>
      <c r="I29" s="24" t="n">
        <v>14193.25</v>
      </c>
      <c r="J29" s="24" t="n">
        <v>14516.94</v>
      </c>
      <c r="K29" s="24" t="n">
        <v>14827.35</v>
      </c>
      <c r="L29" s="24" t="n">
        <v>15043.33</v>
      </c>
      <c r="M29" s="24" t="n">
        <v>15171.65</v>
      </c>
      <c r="N29" s="24" t="n">
        <v>15262.54</v>
      </c>
      <c r="O29" s="24" t="n">
        <v>15442.63</v>
      </c>
      <c r="P29" s="24" t="n">
        <v>15639.84</v>
      </c>
      <c r="Q29" s="23"/>
      <c r="R29" s="23" t="s">
        <v>122</v>
      </c>
      <c r="S29" s="23" t="s">
        <v>123</v>
      </c>
      <c r="T29" s="23"/>
      <c r="U29" s="23" t="s">
        <v>124</v>
      </c>
      <c r="V29" s="23" t="s">
        <v>125</v>
      </c>
      <c r="W29" s="23" t="s">
        <v>126</v>
      </c>
      <c r="X29" s="23" t="s">
        <v>127</v>
      </c>
      <c r="Y29" s="23" t="s">
        <v>128</v>
      </c>
      <c r="Z29" s="23" t="s">
        <v>149</v>
      </c>
      <c r="AA29" s="23" t="s">
        <v>131</v>
      </c>
    </row>
    <row r="30" customFormat="false" ht="15" hidden="false" customHeight="false" outlineLevel="0" collapsed="false">
      <c r="A30" s="23" t="s">
        <v>148</v>
      </c>
      <c r="B30" s="23" t="s">
        <v>91</v>
      </c>
      <c r="C30" s="23" t="s">
        <v>119</v>
      </c>
      <c r="D30" s="23" t="s">
        <v>120</v>
      </c>
      <c r="E30" s="23" t="s">
        <v>121</v>
      </c>
      <c r="F30" s="24" t="n">
        <v>2548.39</v>
      </c>
      <c r="G30" s="24" t="n">
        <v>2524.56</v>
      </c>
      <c r="H30" s="24" t="n">
        <v>2435.92</v>
      </c>
      <c r="I30" s="24" t="n">
        <v>2435.91</v>
      </c>
      <c r="J30" s="24" t="n">
        <v>2500.49</v>
      </c>
      <c r="K30" s="24" t="n">
        <v>2588.04</v>
      </c>
      <c r="L30" s="24" t="n">
        <v>2655.17</v>
      </c>
      <c r="M30" s="24" t="n">
        <v>2691.63</v>
      </c>
      <c r="N30" s="24" t="n">
        <v>2717.81</v>
      </c>
      <c r="O30" s="24" t="n">
        <v>2769.64</v>
      </c>
      <c r="P30" s="24" t="n">
        <v>2824.7</v>
      </c>
      <c r="Q30" s="23"/>
      <c r="R30" s="23" t="s">
        <v>122</v>
      </c>
      <c r="S30" s="23" t="s">
        <v>123</v>
      </c>
      <c r="T30" s="23"/>
      <c r="U30" s="23" t="s">
        <v>124</v>
      </c>
      <c r="V30" s="23" t="s">
        <v>125</v>
      </c>
      <c r="W30" s="23" t="s">
        <v>126</v>
      </c>
      <c r="X30" s="23" t="s">
        <v>127</v>
      </c>
      <c r="Y30" s="23" t="s">
        <v>128</v>
      </c>
      <c r="Z30" s="23" t="s">
        <v>149</v>
      </c>
      <c r="AA30" s="23" t="s">
        <v>132</v>
      </c>
    </row>
    <row r="31" customFormat="false" ht="15" hidden="false" customHeight="false" outlineLevel="0" collapsed="false">
      <c r="A31" s="23" t="s">
        <v>150</v>
      </c>
      <c r="B31" s="23" t="s">
        <v>95</v>
      </c>
      <c r="C31" s="23" t="s">
        <v>119</v>
      </c>
      <c r="D31" s="23" t="s">
        <v>120</v>
      </c>
      <c r="E31" s="23" t="s">
        <v>121</v>
      </c>
      <c r="F31" s="24" t="n">
        <v>15706.07</v>
      </c>
      <c r="G31" s="24" t="n">
        <v>17065.48</v>
      </c>
      <c r="H31" s="24" t="n">
        <v>17917.56</v>
      </c>
      <c r="I31" s="24" t="n">
        <v>19074.77</v>
      </c>
      <c r="J31" s="24" t="n">
        <v>19791.37</v>
      </c>
      <c r="K31" s="24" t="n">
        <v>20539.33</v>
      </c>
      <c r="L31" s="24" t="n">
        <v>21225.81</v>
      </c>
      <c r="M31" s="24" t="n">
        <v>21696.52</v>
      </c>
      <c r="N31" s="24" t="n">
        <v>22320.69</v>
      </c>
      <c r="O31" s="24" t="n">
        <v>23088.63</v>
      </c>
      <c r="P31" s="24" t="n">
        <v>23701.84</v>
      </c>
      <c r="Q31" s="23"/>
      <c r="R31" s="23" t="s">
        <v>122</v>
      </c>
      <c r="S31" s="23" t="s">
        <v>123</v>
      </c>
      <c r="T31" s="23"/>
      <c r="U31" s="23" t="s">
        <v>124</v>
      </c>
      <c r="V31" s="23" t="s">
        <v>125</v>
      </c>
      <c r="W31" s="23" t="s">
        <v>126</v>
      </c>
      <c r="X31" s="23" t="s">
        <v>127</v>
      </c>
      <c r="Y31" s="23" t="s">
        <v>128</v>
      </c>
      <c r="Z31" s="23" t="s">
        <v>151</v>
      </c>
      <c r="AA31" s="23" t="s">
        <v>130</v>
      </c>
    </row>
    <row r="32" customFormat="false" ht="15" hidden="false" customHeight="false" outlineLevel="0" collapsed="false">
      <c r="A32" s="23" t="s">
        <v>150</v>
      </c>
      <c r="B32" s="23" t="s">
        <v>87</v>
      </c>
      <c r="C32" s="23" t="s">
        <v>119</v>
      </c>
      <c r="D32" s="23" t="s">
        <v>120</v>
      </c>
      <c r="E32" s="23" t="s">
        <v>121</v>
      </c>
      <c r="F32" s="24" t="n">
        <v>80940.94</v>
      </c>
      <c r="G32" s="24" t="n">
        <v>87854.44</v>
      </c>
      <c r="H32" s="24" t="n">
        <v>93049.41</v>
      </c>
      <c r="I32" s="24" t="n">
        <v>96495.18</v>
      </c>
      <c r="J32" s="24" t="n">
        <v>100419.4</v>
      </c>
      <c r="K32" s="24" t="n">
        <v>104186.5</v>
      </c>
      <c r="L32" s="24" t="n">
        <v>107534.4</v>
      </c>
      <c r="M32" s="24" t="n">
        <v>109602.6</v>
      </c>
      <c r="N32" s="24" t="n">
        <v>111653.9</v>
      </c>
      <c r="O32" s="24" t="n">
        <v>114070.8</v>
      </c>
      <c r="P32" s="24" t="n">
        <v>116890.8</v>
      </c>
      <c r="Q32" s="23"/>
      <c r="R32" s="23" t="s">
        <v>122</v>
      </c>
      <c r="S32" s="23" t="s">
        <v>123</v>
      </c>
      <c r="T32" s="23"/>
      <c r="U32" s="23" t="s">
        <v>124</v>
      </c>
      <c r="V32" s="23" t="s">
        <v>125</v>
      </c>
      <c r="W32" s="23" t="s">
        <v>126</v>
      </c>
      <c r="X32" s="23" t="s">
        <v>127</v>
      </c>
      <c r="Y32" s="23" t="s">
        <v>128</v>
      </c>
      <c r="Z32" s="23" t="s">
        <v>151</v>
      </c>
      <c r="AA32" s="23" t="s">
        <v>131</v>
      </c>
    </row>
    <row r="33" customFormat="false" ht="15" hidden="false" customHeight="false" outlineLevel="0" collapsed="false">
      <c r="A33" s="23" t="s">
        <v>150</v>
      </c>
      <c r="B33" s="23" t="s">
        <v>91</v>
      </c>
      <c r="C33" s="23" t="s">
        <v>119</v>
      </c>
      <c r="D33" s="23" t="s">
        <v>120</v>
      </c>
      <c r="E33" s="23" t="s">
        <v>121</v>
      </c>
      <c r="F33" s="24" t="n">
        <v>62406.76</v>
      </c>
      <c r="G33" s="24" t="n">
        <v>68327.52</v>
      </c>
      <c r="H33" s="24" t="n">
        <v>73177.38</v>
      </c>
      <c r="I33" s="24" t="n">
        <v>76093.66</v>
      </c>
      <c r="J33" s="24" t="n">
        <v>79415.24</v>
      </c>
      <c r="K33" s="24" t="n">
        <v>82670.3</v>
      </c>
      <c r="L33" s="24" t="n">
        <v>85568.74</v>
      </c>
      <c r="M33" s="24" t="n">
        <v>87311.15</v>
      </c>
      <c r="N33" s="24" t="n">
        <v>89045.77</v>
      </c>
      <c r="O33" s="24" t="n">
        <v>91083.85</v>
      </c>
      <c r="P33" s="24" t="n">
        <v>93528.82</v>
      </c>
      <c r="Q33" s="23"/>
      <c r="R33" s="23" t="s">
        <v>122</v>
      </c>
      <c r="S33" s="23" t="s">
        <v>123</v>
      </c>
      <c r="T33" s="23"/>
      <c r="U33" s="23" t="s">
        <v>124</v>
      </c>
      <c r="V33" s="23" t="s">
        <v>125</v>
      </c>
      <c r="W33" s="23" t="s">
        <v>126</v>
      </c>
      <c r="X33" s="23" t="s">
        <v>127</v>
      </c>
      <c r="Y33" s="23" t="s">
        <v>128</v>
      </c>
      <c r="Z33" s="23" t="s">
        <v>151</v>
      </c>
      <c r="AA33" s="23" t="s">
        <v>132</v>
      </c>
    </row>
    <row r="34" customFormat="false" ht="15" hidden="false" customHeight="false" outlineLevel="0" collapsed="false">
      <c r="A34" s="23" t="s">
        <v>152</v>
      </c>
      <c r="B34" s="23" t="s">
        <v>87</v>
      </c>
      <c r="C34" s="23" t="s">
        <v>119</v>
      </c>
      <c r="D34" s="23" t="s">
        <v>120</v>
      </c>
      <c r="E34" s="23" t="s">
        <v>121</v>
      </c>
      <c r="F34" s="24" t="n">
        <v>1590.82</v>
      </c>
      <c r="G34" s="24" t="n">
        <v>1477.86</v>
      </c>
      <c r="H34" s="24" t="n">
        <v>1542.17</v>
      </c>
      <c r="I34" s="24" t="n">
        <v>1602.57</v>
      </c>
      <c r="J34" s="24" t="n">
        <v>1633.15</v>
      </c>
      <c r="K34" s="24" t="n">
        <v>1668.78</v>
      </c>
      <c r="L34" s="24" t="n">
        <v>1706.27</v>
      </c>
      <c r="M34" s="24" t="n">
        <v>1745.67</v>
      </c>
      <c r="N34" s="24" t="n">
        <v>1788.46</v>
      </c>
      <c r="O34" s="24" t="n">
        <v>1832.96</v>
      </c>
      <c r="P34" s="24" t="n">
        <v>1881.34</v>
      </c>
      <c r="Q34" s="23"/>
      <c r="R34" s="23" t="s">
        <v>122</v>
      </c>
      <c r="S34" s="23" t="s">
        <v>123</v>
      </c>
      <c r="T34" s="23"/>
      <c r="U34" s="23" t="s">
        <v>124</v>
      </c>
      <c r="V34" s="23" t="s">
        <v>125</v>
      </c>
      <c r="W34" s="23" t="s">
        <v>136</v>
      </c>
      <c r="X34" s="23" t="s">
        <v>127</v>
      </c>
      <c r="Y34" s="23" t="s">
        <v>128</v>
      </c>
      <c r="Z34" s="23" t="s">
        <v>153</v>
      </c>
      <c r="AA34" s="23" t="s">
        <v>131</v>
      </c>
    </row>
    <row r="35" customFormat="false" ht="15" hidden="false" customHeight="false" outlineLevel="0" collapsed="false">
      <c r="A35" s="23" t="s">
        <v>152</v>
      </c>
      <c r="B35" s="23" t="s">
        <v>91</v>
      </c>
      <c r="C35" s="23" t="s">
        <v>119</v>
      </c>
      <c r="D35" s="23" t="s">
        <v>120</v>
      </c>
      <c r="E35" s="23" t="s">
        <v>121</v>
      </c>
      <c r="F35" s="24" t="n">
        <v>983.07</v>
      </c>
      <c r="G35" s="24" t="n">
        <v>933.79</v>
      </c>
      <c r="H35" s="24" t="n">
        <v>990.07</v>
      </c>
      <c r="I35" s="24" t="n">
        <v>1038.01</v>
      </c>
      <c r="J35" s="24" t="n">
        <v>1061.47</v>
      </c>
      <c r="K35" s="24" t="n">
        <v>1086.06</v>
      </c>
      <c r="L35" s="24" t="n">
        <v>1111.37</v>
      </c>
      <c r="M35" s="24" t="n">
        <v>1137.59</v>
      </c>
      <c r="N35" s="24" t="n">
        <v>1166.01</v>
      </c>
      <c r="O35" s="24" t="n">
        <v>1195.57</v>
      </c>
      <c r="P35" s="24" t="n">
        <v>1227.71</v>
      </c>
      <c r="Q35" s="23"/>
      <c r="R35" s="23" t="s">
        <v>122</v>
      </c>
      <c r="S35" s="23" t="s">
        <v>123</v>
      </c>
      <c r="T35" s="23"/>
      <c r="U35" s="23" t="s">
        <v>124</v>
      </c>
      <c r="V35" s="23" t="s">
        <v>125</v>
      </c>
      <c r="W35" s="23" t="s">
        <v>136</v>
      </c>
      <c r="X35" s="23" t="s">
        <v>127</v>
      </c>
      <c r="Y35" s="23" t="s">
        <v>128</v>
      </c>
      <c r="Z35" s="23" t="s">
        <v>153</v>
      </c>
      <c r="AA35" s="23" t="s">
        <v>132</v>
      </c>
    </row>
    <row r="36" customFormat="false" ht="15" hidden="false" customHeight="false" outlineLevel="0" collapsed="false">
      <c r="A36" s="23" t="s">
        <v>154</v>
      </c>
      <c r="B36" s="23" t="s">
        <v>95</v>
      </c>
      <c r="C36" s="23" t="s">
        <v>119</v>
      </c>
      <c r="D36" s="23" t="s">
        <v>120</v>
      </c>
      <c r="E36" s="23" t="s">
        <v>121</v>
      </c>
      <c r="F36" s="24" t="n">
        <v>960.65</v>
      </c>
      <c r="G36" s="24" t="n">
        <v>928.06</v>
      </c>
      <c r="H36" s="24" t="n">
        <v>979.78</v>
      </c>
      <c r="I36" s="24" t="n">
        <v>999.95</v>
      </c>
      <c r="J36" s="24" t="n">
        <v>1004.17</v>
      </c>
      <c r="K36" s="24" t="n">
        <v>1005.64</v>
      </c>
      <c r="L36" s="24" t="n">
        <v>1010.23</v>
      </c>
      <c r="M36" s="24" t="n">
        <v>1017.4</v>
      </c>
      <c r="N36" s="24" t="n">
        <v>1024.65</v>
      </c>
      <c r="O36" s="24" t="n">
        <v>1030.83</v>
      </c>
      <c r="P36" s="24" t="n">
        <v>1036.32</v>
      </c>
      <c r="Q36" s="23"/>
      <c r="R36" s="23" t="s">
        <v>122</v>
      </c>
      <c r="S36" s="23" t="s">
        <v>123</v>
      </c>
      <c r="T36" s="23"/>
      <c r="U36" s="23" t="s">
        <v>124</v>
      </c>
      <c r="V36" s="23" t="s">
        <v>125</v>
      </c>
      <c r="W36" s="23" t="s">
        <v>126</v>
      </c>
      <c r="X36" s="23" t="s">
        <v>127</v>
      </c>
      <c r="Y36" s="23" t="s">
        <v>128</v>
      </c>
      <c r="Z36" s="23" t="s">
        <v>155</v>
      </c>
      <c r="AA36" s="23" t="s">
        <v>130</v>
      </c>
    </row>
    <row r="37" customFormat="false" ht="15" hidden="false" customHeight="false" outlineLevel="0" collapsed="false">
      <c r="A37" s="23" t="s">
        <v>154</v>
      </c>
      <c r="B37" s="23" t="s">
        <v>87</v>
      </c>
      <c r="C37" s="23" t="s">
        <v>119</v>
      </c>
      <c r="D37" s="23" t="s">
        <v>120</v>
      </c>
      <c r="E37" s="23" t="s">
        <v>121</v>
      </c>
      <c r="F37" s="24" t="n">
        <v>5609.36</v>
      </c>
      <c r="G37" s="24" t="n">
        <v>5459.43</v>
      </c>
      <c r="H37" s="24" t="n">
        <v>5317.42</v>
      </c>
      <c r="I37" s="24" t="n">
        <v>5597.06</v>
      </c>
      <c r="J37" s="24" t="n">
        <v>5902.31</v>
      </c>
      <c r="K37" s="24" t="n">
        <v>6106.22</v>
      </c>
      <c r="L37" s="24" t="n">
        <v>6279.31</v>
      </c>
      <c r="M37" s="24" t="n">
        <v>6467.6</v>
      </c>
      <c r="N37" s="24" t="n">
        <v>6646.28</v>
      </c>
      <c r="O37" s="24" t="n">
        <v>6795.25</v>
      </c>
      <c r="P37" s="24" t="n">
        <v>6893.83</v>
      </c>
      <c r="Q37" s="23"/>
      <c r="R37" s="23" t="s">
        <v>122</v>
      </c>
      <c r="S37" s="23" t="s">
        <v>123</v>
      </c>
      <c r="T37" s="23"/>
      <c r="U37" s="23" t="s">
        <v>124</v>
      </c>
      <c r="V37" s="23" t="s">
        <v>125</v>
      </c>
      <c r="W37" s="23" t="s">
        <v>126</v>
      </c>
      <c r="X37" s="23" t="s">
        <v>127</v>
      </c>
      <c r="Y37" s="23" t="s">
        <v>128</v>
      </c>
      <c r="Z37" s="23" t="s">
        <v>155</v>
      </c>
      <c r="AA37" s="23" t="s">
        <v>131</v>
      </c>
    </row>
    <row r="38" customFormat="false" ht="15" hidden="false" customHeight="false" outlineLevel="0" collapsed="false">
      <c r="A38" s="23" t="s">
        <v>154</v>
      </c>
      <c r="B38" s="23" t="s">
        <v>91</v>
      </c>
      <c r="C38" s="23" t="s">
        <v>119</v>
      </c>
      <c r="D38" s="23" t="s">
        <v>120</v>
      </c>
      <c r="E38" s="23" t="s">
        <v>121</v>
      </c>
      <c r="F38" s="24" t="n">
        <v>3861.15</v>
      </c>
      <c r="G38" s="24" t="n">
        <v>3766.95</v>
      </c>
      <c r="H38" s="24" t="n">
        <v>3675.2</v>
      </c>
      <c r="I38" s="24" t="n">
        <v>3861.86</v>
      </c>
      <c r="J38" s="24" t="n">
        <v>4067.2</v>
      </c>
      <c r="K38" s="24" t="n">
        <v>4209.65</v>
      </c>
      <c r="L38" s="24" t="n">
        <v>4332.64</v>
      </c>
      <c r="M38" s="24" t="n">
        <v>4459.47</v>
      </c>
      <c r="N38" s="24" t="n">
        <v>4579.45</v>
      </c>
      <c r="O38" s="24" t="n">
        <v>4682.66</v>
      </c>
      <c r="P38" s="24" t="n">
        <v>4757.16</v>
      </c>
      <c r="Q38" s="23"/>
      <c r="R38" s="23" t="s">
        <v>122</v>
      </c>
      <c r="S38" s="23" t="s">
        <v>123</v>
      </c>
      <c r="T38" s="23"/>
      <c r="U38" s="23" t="s">
        <v>124</v>
      </c>
      <c r="V38" s="23" t="s">
        <v>125</v>
      </c>
      <c r="W38" s="23" t="s">
        <v>126</v>
      </c>
      <c r="X38" s="23" t="s">
        <v>127</v>
      </c>
      <c r="Y38" s="23" t="s">
        <v>128</v>
      </c>
      <c r="Z38" s="23" t="s">
        <v>155</v>
      </c>
      <c r="AA38" s="23" t="s">
        <v>132</v>
      </c>
    </row>
    <row r="39" customFormat="false" ht="15" hidden="false" customHeight="false" outlineLevel="0" collapsed="false">
      <c r="A39" s="23" t="s">
        <v>156</v>
      </c>
      <c r="B39" s="23" t="s">
        <v>95</v>
      </c>
      <c r="C39" s="23" t="s">
        <v>119</v>
      </c>
      <c r="D39" s="23" t="s">
        <v>120</v>
      </c>
      <c r="E39" s="23" t="s">
        <v>121</v>
      </c>
      <c r="F39" s="24" t="n">
        <v>35029.08</v>
      </c>
      <c r="G39" s="24" t="n">
        <v>33693.13</v>
      </c>
      <c r="H39" s="24" t="n">
        <v>34081.88</v>
      </c>
      <c r="I39" s="24" t="n">
        <v>34420.54</v>
      </c>
      <c r="J39" s="24" t="n">
        <v>35059.23</v>
      </c>
      <c r="K39" s="24" t="n">
        <v>35447.04</v>
      </c>
      <c r="L39" s="24" t="n">
        <v>35957.84</v>
      </c>
      <c r="M39" s="24" t="n">
        <v>36274.11</v>
      </c>
      <c r="N39" s="24" t="n">
        <v>36630.63</v>
      </c>
      <c r="O39" s="24" t="n">
        <v>37210.07</v>
      </c>
      <c r="P39" s="24" t="n">
        <v>37516.79</v>
      </c>
      <c r="Q39" s="23"/>
      <c r="R39" s="23" t="s">
        <v>122</v>
      </c>
      <c r="S39" s="23" t="s">
        <v>123</v>
      </c>
      <c r="T39" s="23"/>
      <c r="U39" s="23" t="s">
        <v>124</v>
      </c>
      <c r="V39" s="23" t="s">
        <v>125</v>
      </c>
      <c r="W39" s="23" t="s">
        <v>126</v>
      </c>
      <c r="X39" s="23" t="s">
        <v>127</v>
      </c>
      <c r="Y39" s="23" t="s">
        <v>128</v>
      </c>
      <c r="Z39" s="23" t="s">
        <v>157</v>
      </c>
      <c r="AA39" s="23" t="s">
        <v>130</v>
      </c>
    </row>
    <row r="40" customFormat="false" ht="15" hidden="false" customHeight="false" outlineLevel="0" collapsed="false">
      <c r="A40" s="23" t="s">
        <v>156</v>
      </c>
      <c r="B40" s="23" t="s">
        <v>87</v>
      </c>
      <c r="C40" s="23" t="s">
        <v>119</v>
      </c>
      <c r="D40" s="23" t="s">
        <v>120</v>
      </c>
      <c r="E40" s="23" t="s">
        <v>121</v>
      </c>
      <c r="F40" s="24" t="n">
        <v>107136.1</v>
      </c>
      <c r="G40" s="24" t="n">
        <v>106761</v>
      </c>
      <c r="H40" s="24" t="n">
        <v>107535.2</v>
      </c>
      <c r="I40" s="24" t="n">
        <v>108173.5</v>
      </c>
      <c r="J40" s="24" t="n">
        <v>108756.1</v>
      </c>
      <c r="K40" s="24" t="n">
        <v>110871.1</v>
      </c>
      <c r="L40" s="24" t="n">
        <v>113271.8</v>
      </c>
      <c r="M40" s="24" t="n">
        <v>115947.1</v>
      </c>
      <c r="N40" s="24" t="n">
        <v>118018.5</v>
      </c>
      <c r="O40" s="24" t="n">
        <v>119272.8</v>
      </c>
      <c r="P40" s="24" t="n">
        <v>120676.4</v>
      </c>
      <c r="Q40" s="23"/>
      <c r="R40" s="23" t="s">
        <v>122</v>
      </c>
      <c r="S40" s="23" t="s">
        <v>123</v>
      </c>
      <c r="T40" s="23"/>
      <c r="U40" s="23" t="s">
        <v>124</v>
      </c>
      <c r="V40" s="23" t="s">
        <v>125</v>
      </c>
      <c r="W40" s="23" t="s">
        <v>126</v>
      </c>
      <c r="X40" s="23" t="s">
        <v>127</v>
      </c>
      <c r="Y40" s="23" t="s">
        <v>128</v>
      </c>
      <c r="Z40" s="23" t="s">
        <v>157</v>
      </c>
      <c r="AA40" s="23" t="s">
        <v>131</v>
      </c>
    </row>
    <row r="41" customFormat="false" ht="15" hidden="false" customHeight="false" outlineLevel="0" collapsed="false">
      <c r="A41" s="23" t="s">
        <v>156</v>
      </c>
      <c r="B41" s="23" t="s">
        <v>91</v>
      </c>
      <c r="C41" s="23" t="s">
        <v>119</v>
      </c>
      <c r="D41" s="23" t="s">
        <v>120</v>
      </c>
      <c r="E41" s="23" t="s">
        <v>121</v>
      </c>
      <c r="F41" s="24" t="n">
        <v>59554.52</v>
      </c>
      <c r="G41" s="24" t="n">
        <v>59256.74</v>
      </c>
      <c r="H41" s="24" t="n">
        <v>59836.59</v>
      </c>
      <c r="I41" s="24" t="n">
        <v>60071.47</v>
      </c>
      <c r="J41" s="24" t="n">
        <v>59757.65</v>
      </c>
      <c r="K41" s="24" t="n">
        <v>60656.44</v>
      </c>
      <c r="L41" s="24" t="n">
        <v>62145.19</v>
      </c>
      <c r="M41" s="24" t="n">
        <v>63496.57</v>
      </c>
      <c r="N41" s="24" t="n">
        <v>64568.94</v>
      </c>
      <c r="O41" s="24" t="n">
        <v>65281.73</v>
      </c>
      <c r="P41" s="24" t="n">
        <v>66038.84</v>
      </c>
      <c r="Q41" s="23"/>
      <c r="R41" s="23" t="s">
        <v>122</v>
      </c>
      <c r="S41" s="23" t="s">
        <v>123</v>
      </c>
      <c r="T41" s="23"/>
      <c r="U41" s="23" t="s">
        <v>124</v>
      </c>
      <c r="V41" s="23" t="s">
        <v>125</v>
      </c>
      <c r="W41" s="23" t="s">
        <v>126</v>
      </c>
      <c r="X41" s="23" t="s">
        <v>127</v>
      </c>
      <c r="Y41" s="23" t="s">
        <v>128</v>
      </c>
      <c r="Z41" s="23" t="s">
        <v>157</v>
      </c>
      <c r="AA41" s="23" t="s">
        <v>132</v>
      </c>
    </row>
    <row r="42" customFormat="false" ht="15" hidden="false" customHeight="false" outlineLevel="0" collapsed="false">
      <c r="A42" s="23" t="s">
        <v>158</v>
      </c>
      <c r="B42" s="23" t="s">
        <v>95</v>
      </c>
      <c r="C42" s="23" t="s">
        <v>119</v>
      </c>
      <c r="D42" s="23" t="s">
        <v>120</v>
      </c>
      <c r="E42" s="23" t="s">
        <v>121</v>
      </c>
      <c r="F42" s="24" t="n">
        <v>1366.76</v>
      </c>
      <c r="G42" s="24" t="n">
        <v>1422.19</v>
      </c>
      <c r="H42" s="24" t="n">
        <v>1447.36</v>
      </c>
      <c r="I42" s="24" t="n">
        <v>1478.14</v>
      </c>
      <c r="J42" s="24" t="n">
        <v>1528.47</v>
      </c>
      <c r="K42" s="24" t="n">
        <v>1537.99</v>
      </c>
      <c r="L42" s="24" t="n">
        <v>1536.08</v>
      </c>
      <c r="M42" s="24" t="n">
        <v>1564.75</v>
      </c>
      <c r="N42" s="24" t="n">
        <v>1608.59</v>
      </c>
      <c r="O42" s="24" t="n">
        <v>1648.73</v>
      </c>
      <c r="P42" s="24" t="n">
        <v>1688.04</v>
      </c>
      <c r="Q42" s="23"/>
      <c r="R42" s="23" t="s">
        <v>122</v>
      </c>
      <c r="S42" s="23" t="s">
        <v>123</v>
      </c>
      <c r="T42" s="23"/>
      <c r="U42" s="23" t="s">
        <v>124</v>
      </c>
      <c r="V42" s="23" t="s">
        <v>125</v>
      </c>
      <c r="W42" s="23" t="s">
        <v>136</v>
      </c>
      <c r="X42" s="23" t="s">
        <v>127</v>
      </c>
      <c r="Y42" s="23" t="s">
        <v>128</v>
      </c>
      <c r="Z42" s="23" t="s">
        <v>159</v>
      </c>
      <c r="AA42" s="23" t="s">
        <v>130</v>
      </c>
    </row>
    <row r="43" customFormat="false" ht="15" hidden="false" customHeight="false" outlineLevel="0" collapsed="false">
      <c r="A43" s="23" t="s">
        <v>158</v>
      </c>
      <c r="B43" s="23" t="s">
        <v>87</v>
      </c>
      <c r="C43" s="23" t="s">
        <v>119</v>
      </c>
      <c r="D43" s="23" t="s">
        <v>120</v>
      </c>
      <c r="E43" s="23" t="s">
        <v>121</v>
      </c>
      <c r="F43" s="24" t="n">
        <v>3029.7</v>
      </c>
      <c r="G43" s="24" t="n">
        <v>3212.84</v>
      </c>
      <c r="H43" s="24" t="n">
        <v>3483.48</v>
      </c>
      <c r="I43" s="24" t="n">
        <v>3719.34</v>
      </c>
      <c r="J43" s="24" t="n">
        <v>3978.59</v>
      </c>
      <c r="K43" s="24" t="n">
        <v>4146.92</v>
      </c>
      <c r="L43" s="24" t="n">
        <v>4201.75</v>
      </c>
      <c r="M43" s="24" t="n">
        <v>4220.7</v>
      </c>
      <c r="N43" s="24" t="n">
        <v>4239.84</v>
      </c>
      <c r="O43" s="24" t="n">
        <v>4269.01</v>
      </c>
      <c r="P43" s="24" t="n">
        <v>4302.24</v>
      </c>
      <c r="Q43" s="23"/>
      <c r="R43" s="23" t="s">
        <v>122</v>
      </c>
      <c r="S43" s="23" t="s">
        <v>123</v>
      </c>
      <c r="T43" s="23"/>
      <c r="U43" s="23" t="s">
        <v>124</v>
      </c>
      <c r="V43" s="23" t="s">
        <v>125</v>
      </c>
      <c r="W43" s="23" t="s">
        <v>136</v>
      </c>
      <c r="X43" s="23" t="s">
        <v>127</v>
      </c>
      <c r="Y43" s="23" t="s">
        <v>128</v>
      </c>
      <c r="Z43" s="23" t="s">
        <v>159</v>
      </c>
      <c r="AA43" s="23" t="s">
        <v>131</v>
      </c>
    </row>
    <row r="44" customFormat="false" ht="15" hidden="false" customHeight="false" outlineLevel="0" collapsed="false">
      <c r="A44" s="23" t="s">
        <v>158</v>
      </c>
      <c r="B44" s="23" t="s">
        <v>91</v>
      </c>
      <c r="C44" s="23" t="s">
        <v>119</v>
      </c>
      <c r="D44" s="23" t="s">
        <v>120</v>
      </c>
      <c r="E44" s="23" t="s">
        <v>121</v>
      </c>
      <c r="F44" s="24" t="n">
        <v>1375.26</v>
      </c>
      <c r="G44" s="24" t="n">
        <v>1453.98</v>
      </c>
      <c r="H44" s="24" t="n">
        <v>1537.51</v>
      </c>
      <c r="I44" s="24" t="n">
        <v>1574.97</v>
      </c>
      <c r="J44" s="24" t="n">
        <v>1616.11</v>
      </c>
      <c r="K44" s="24" t="n">
        <v>1649.62</v>
      </c>
      <c r="L44" s="24" t="n">
        <v>1666.96</v>
      </c>
      <c r="M44" s="24" t="n">
        <v>1682.86</v>
      </c>
      <c r="N44" s="24" t="n">
        <v>1698.8</v>
      </c>
      <c r="O44" s="24" t="n">
        <v>1715.78</v>
      </c>
      <c r="P44" s="24" t="n">
        <v>1733.81</v>
      </c>
      <c r="Q44" s="23"/>
      <c r="R44" s="23" t="s">
        <v>122</v>
      </c>
      <c r="S44" s="23" t="s">
        <v>123</v>
      </c>
      <c r="T44" s="23"/>
      <c r="U44" s="23" t="s">
        <v>124</v>
      </c>
      <c r="V44" s="23" t="s">
        <v>125</v>
      </c>
      <c r="W44" s="23" t="s">
        <v>136</v>
      </c>
      <c r="X44" s="23" t="s">
        <v>127</v>
      </c>
      <c r="Y44" s="23" t="s">
        <v>128</v>
      </c>
      <c r="Z44" s="23" t="s">
        <v>159</v>
      </c>
      <c r="AA44" s="23" t="s">
        <v>132</v>
      </c>
    </row>
    <row r="45" customFormat="false" ht="15" hidden="false" customHeight="false" outlineLevel="0" collapsed="false">
      <c r="A45" s="23" t="s">
        <v>160</v>
      </c>
      <c r="B45" s="23" t="s">
        <v>87</v>
      </c>
      <c r="C45" s="23" t="s">
        <v>119</v>
      </c>
      <c r="D45" s="23" t="s">
        <v>120</v>
      </c>
      <c r="E45" s="23" t="s">
        <v>121</v>
      </c>
      <c r="F45" s="24" t="n">
        <v>4080.66</v>
      </c>
      <c r="G45" s="24" t="n">
        <v>4240.93</v>
      </c>
      <c r="H45" s="24" t="n">
        <v>4304.62</v>
      </c>
      <c r="I45" s="24" t="n">
        <v>4360.99</v>
      </c>
      <c r="J45" s="24" t="n">
        <v>4418.66</v>
      </c>
      <c r="K45" s="24" t="n">
        <v>4477.66</v>
      </c>
      <c r="L45" s="24" t="n">
        <v>4538.03</v>
      </c>
      <c r="M45" s="24" t="n">
        <v>4599.78</v>
      </c>
      <c r="N45" s="24" t="n">
        <v>4662.97</v>
      </c>
      <c r="O45" s="24" t="n">
        <v>4727.63</v>
      </c>
      <c r="P45" s="24" t="n">
        <v>4793.78</v>
      </c>
      <c r="Q45" s="23"/>
      <c r="R45" s="23" t="s">
        <v>122</v>
      </c>
      <c r="S45" s="23" t="s">
        <v>123</v>
      </c>
      <c r="T45" s="23"/>
      <c r="U45" s="23" t="s">
        <v>124</v>
      </c>
      <c r="V45" s="23" t="s">
        <v>125</v>
      </c>
      <c r="W45" s="23" t="s">
        <v>136</v>
      </c>
      <c r="X45" s="23" t="s">
        <v>127</v>
      </c>
      <c r="Y45" s="23" t="s">
        <v>128</v>
      </c>
      <c r="Z45" s="23" t="s">
        <v>161</v>
      </c>
      <c r="AA45" s="23" t="s">
        <v>131</v>
      </c>
    </row>
    <row r="46" customFormat="false" ht="15" hidden="false" customHeight="false" outlineLevel="0" collapsed="false">
      <c r="A46" s="23" t="s">
        <v>160</v>
      </c>
      <c r="B46" s="23" t="s">
        <v>91</v>
      </c>
      <c r="C46" s="23" t="s">
        <v>119</v>
      </c>
      <c r="D46" s="23" t="s">
        <v>120</v>
      </c>
      <c r="E46" s="23" t="s">
        <v>121</v>
      </c>
      <c r="F46" s="24" t="n">
        <v>1634.37</v>
      </c>
      <c r="G46" s="24" t="n">
        <v>1725.73</v>
      </c>
      <c r="H46" s="24" t="n">
        <v>1770.27</v>
      </c>
      <c r="I46" s="24" t="n">
        <v>1812.34</v>
      </c>
      <c r="J46" s="24" t="n">
        <v>1852.74</v>
      </c>
      <c r="K46" s="24" t="n">
        <v>1889.19</v>
      </c>
      <c r="L46" s="24" t="n">
        <v>1923.9</v>
      </c>
      <c r="M46" s="24" t="n">
        <v>1958.9</v>
      </c>
      <c r="N46" s="24" t="n">
        <v>1991.29</v>
      </c>
      <c r="O46" s="24" t="n">
        <v>2022.18</v>
      </c>
      <c r="P46" s="24" t="n">
        <v>2052.75</v>
      </c>
      <c r="Q46" s="23"/>
      <c r="R46" s="23" t="s">
        <v>122</v>
      </c>
      <c r="S46" s="23" t="s">
        <v>123</v>
      </c>
      <c r="T46" s="23"/>
      <c r="U46" s="23" t="s">
        <v>124</v>
      </c>
      <c r="V46" s="23" t="s">
        <v>125</v>
      </c>
      <c r="W46" s="23" t="s">
        <v>136</v>
      </c>
      <c r="X46" s="23" t="s">
        <v>127</v>
      </c>
      <c r="Y46" s="23" t="s">
        <v>128</v>
      </c>
      <c r="Z46" s="23" t="s">
        <v>161</v>
      </c>
      <c r="AA46" s="23" t="s">
        <v>132</v>
      </c>
    </row>
    <row r="47" customFormat="false" ht="15" hidden="false" customHeight="false" outlineLevel="0" collapsed="false">
      <c r="A47" s="23" t="s">
        <v>162</v>
      </c>
      <c r="B47" s="23" t="s">
        <v>95</v>
      </c>
      <c r="C47" s="23" t="s">
        <v>119</v>
      </c>
      <c r="D47" s="23" t="s">
        <v>120</v>
      </c>
      <c r="E47" s="23" t="s">
        <v>121</v>
      </c>
      <c r="F47" s="24" t="n">
        <v>1530.02</v>
      </c>
      <c r="G47" s="24" t="n">
        <v>1479.14</v>
      </c>
      <c r="H47" s="24" t="n">
        <v>1594.32</v>
      </c>
      <c r="I47" s="24" t="n">
        <v>1706.43</v>
      </c>
      <c r="J47" s="24" t="n">
        <v>1778.76</v>
      </c>
      <c r="K47" s="24" t="n">
        <v>1843.88</v>
      </c>
      <c r="L47" s="24" t="n">
        <v>1855.65</v>
      </c>
      <c r="M47" s="24" t="n">
        <v>1848.46</v>
      </c>
      <c r="N47" s="24" t="n">
        <v>1856.88</v>
      </c>
      <c r="O47" s="24" t="n">
        <v>1875.58</v>
      </c>
      <c r="P47" s="24" t="n">
        <v>1896.95</v>
      </c>
      <c r="Q47" s="23"/>
      <c r="R47" s="23" t="s">
        <v>122</v>
      </c>
      <c r="S47" s="23" t="s">
        <v>123</v>
      </c>
      <c r="T47" s="23"/>
      <c r="U47" s="23" t="s">
        <v>124</v>
      </c>
      <c r="V47" s="23" t="s">
        <v>125</v>
      </c>
      <c r="W47" s="23" t="s">
        <v>126</v>
      </c>
      <c r="X47" s="23" t="s">
        <v>127</v>
      </c>
      <c r="Y47" s="23" t="s">
        <v>128</v>
      </c>
      <c r="Z47" s="23" t="s">
        <v>163</v>
      </c>
      <c r="AA47" s="23" t="s">
        <v>130</v>
      </c>
    </row>
    <row r="48" customFormat="false" ht="15" hidden="false" customHeight="false" outlineLevel="0" collapsed="false">
      <c r="A48" s="23" t="s">
        <v>162</v>
      </c>
      <c r="B48" s="23" t="s">
        <v>87</v>
      </c>
      <c r="C48" s="23" t="s">
        <v>119</v>
      </c>
      <c r="D48" s="23" t="s">
        <v>120</v>
      </c>
      <c r="E48" s="23" t="s">
        <v>121</v>
      </c>
      <c r="F48" s="24" t="n">
        <v>4507.89</v>
      </c>
      <c r="G48" s="24" t="n">
        <v>4328.52</v>
      </c>
      <c r="H48" s="24" t="n">
        <v>4832.53</v>
      </c>
      <c r="I48" s="24" t="n">
        <v>4675.92</v>
      </c>
      <c r="J48" s="24" t="n">
        <v>4888.51</v>
      </c>
      <c r="K48" s="24" t="n">
        <v>5049.5</v>
      </c>
      <c r="L48" s="24" t="n">
        <v>5179.76</v>
      </c>
      <c r="M48" s="24" t="n">
        <v>5256.86</v>
      </c>
      <c r="N48" s="24" t="n">
        <v>5346.01</v>
      </c>
      <c r="O48" s="24" t="n">
        <v>5461.78</v>
      </c>
      <c r="P48" s="24" t="n">
        <v>5581.47</v>
      </c>
      <c r="Q48" s="23"/>
      <c r="R48" s="23" t="s">
        <v>122</v>
      </c>
      <c r="S48" s="23" t="s">
        <v>123</v>
      </c>
      <c r="T48" s="23"/>
      <c r="U48" s="23" t="s">
        <v>124</v>
      </c>
      <c r="V48" s="23" t="s">
        <v>125</v>
      </c>
      <c r="W48" s="23" t="s">
        <v>126</v>
      </c>
      <c r="X48" s="23" t="s">
        <v>127</v>
      </c>
      <c r="Y48" s="23" t="s">
        <v>128</v>
      </c>
      <c r="Z48" s="23" t="s">
        <v>163</v>
      </c>
      <c r="AA48" s="23" t="s">
        <v>131</v>
      </c>
    </row>
    <row r="49" customFormat="false" ht="15" hidden="false" customHeight="false" outlineLevel="0" collapsed="false">
      <c r="A49" s="23" t="s">
        <v>162</v>
      </c>
      <c r="B49" s="23" t="s">
        <v>91</v>
      </c>
      <c r="C49" s="23" t="s">
        <v>119</v>
      </c>
      <c r="D49" s="23" t="s">
        <v>120</v>
      </c>
      <c r="E49" s="23" t="s">
        <v>121</v>
      </c>
      <c r="F49" s="24" t="n">
        <v>2434.84</v>
      </c>
      <c r="G49" s="24" t="n">
        <v>2364.13</v>
      </c>
      <c r="H49" s="24" t="n">
        <v>2697.41</v>
      </c>
      <c r="I49" s="24" t="n">
        <v>2653.3</v>
      </c>
      <c r="J49" s="24" t="n">
        <v>2804.53</v>
      </c>
      <c r="K49" s="24" t="n">
        <v>2915.7</v>
      </c>
      <c r="L49" s="24" t="n">
        <v>3003.32</v>
      </c>
      <c r="M49" s="24" t="n">
        <v>3051.83</v>
      </c>
      <c r="N49" s="24" t="n">
        <v>3107.4</v>
      </c>
      <c r="O49" s="24" t="n">
        <v>3180.92</v>
      </c>
      <c r="P49" s="24" t="n">
        <v>3258.6</v>
      </c>
      <c r="Q49" s="23"/>
      <c r="R49" s="23" t="s">
        <v>122</v>
      </c>
      <c r="S49" s="23" t="s">
        <v>123</v>
      </c>
      <c r="T49" s="23"/>
      <c r="U49" s="23" t="s">
        <v>124</v>
      </c>
      <c r="V49" s="23" t="s">
        <v>125</v>
      </c>
      <c r="W49" s="23" t="s">
        <v>126</v>
      </c>
      <c r="X49" s="23" t="s">
        <v>127</v>
      </c>
      <c r="Y49" s="23" t="s">
        <v>128</v>
      </c>
      <c r="Z49" s="23" t="s">
        <v>163</v>
      </c>
      <c r="AA49" s="23" t="s">
        <v>132</v>
      </c>
    </row>
    <row r="50" customFormat="false" ht="15" hidden="false" customHeight="false" outlineLevel="0" collapsed="false">
      <c r="A50" s="23" t="s">
        <v>164</v>
      </c>
      <c r="B50" s="23" t="s">
        <v>95</v>
      </c>
      <c r="C50" s="23" t="s">
        <v>119</v>
      </c>
      <c r="D50" s="23" t="s">
        <v>120</v>
      </c>
      <c r="E50" s="23" t="s">
        <v>121</v>
      </c>
      <c r="F50" s="24" t="n">
        <v>3613.37</v>
      </c>
      <c r="G50" s="24" t="n">
        <v>3682.22</v>
      </c>
      <c r="H50" s="24" t="n">
        <v>3785.11</v>
      </c>
      <c r="I50" s="24" t="n">
        <v>3855.43</v>
      </c>
      <c r="J50" s="24" t="n">
        <v>3914.12</v>
      </c>
      <c r="K50" s="24" t="n">
        <v>3956.51</v>
      </c>
      <c r="L50" s="24" t="n">
        <v>4041.04</v>
      </c>
      <c r="M50" s="24" t="n">
        <v>4097.23</v>
      </c>
      <c r="N50" s="24" t="n">
        <v>4208.12</v>
      </c>
      <c r="O50" s="24" t="n">
        <v>4363.55</v>
      </c>
      <c r="P50" s="24" t="n">
        <v>4474.33</v>
      </c>
      <c r="Q50" s="23"/>
      <c r="R50" s="23" t="s">
        <v>122</v>
      </c>
      <c r="S50" s="23" t="s">
        <v>123</v>
      </c>
      <c r="T50" s="23"/>
      <c r="U50" s="23" t="s">
        <v>124</v>
      </c>
      <c r="V50" s="23" t="s">
        <v>125</v>
      </c>
      <c r="W50" s="23" t="s">
        <v>126</v>
      </c>
      <c r="X50" s="23" t="s">
        <v>127</v>
      </c>
      <c r="Y50" s="23" t="s">
        <v>128</v>
      </c>
      <c r="Z50" s="23" t="s">
        <v>165</v>
      </c>
      <c r="AA50" s="23" t="s">
        <v>130</v>
      </c>
    </row>
    <row r="51" customFormat="false" ht="15" hidden="false" customHeight="false" outlineLevel="0" collapsed="false">
      <c r="A51" s="23" t="s">
        <v>164</v>
      </c>
      <c r="B51" s="23" t="s">
        <v>87</v>
      </c>
      <c r="C51" s="23" t="s">
        <v>119</v>
      </c>
      <c r="D51" s="23" t="s">
        <v>120</v>
      </c>
      <c r="E51" s="23" t="s">
        <v>121</v>
      </c>
      <c r="F51" s="24" t="n">
        <v>6569.71</v>
      </c>
      <c r="G51" s="24" t="n">
        <v>6202.62</v>
      </c>
      <c r="H51" s="24" t="n">
        <v>6683.51</v>
      </c>
      <c r="I51" s="24" t="n">
        <v>7401.59</v>
      </c>
      <c r="J51" s="24" t="n">
        <v>8250.83</v>
      </c>
      <c r="K51" s="24" t="n">
        <v>9020.66</v>
      </c>
      <c r="L51" s="24" t="n">
        <v>9704.56</v>
      </c>
      <c r="M51" s="24" t="n">
        <v>10232.33</v>
      </c>
      <c r="N51" s="24" t="n">
        <v>10527.22</v>
      </c>
      <c r="O51" s="24" t="n">
        <v>10809.26</v>
      </c>
      <c r="P51" s="24" t="n">
        <v>11114.43</v>
      </c>
      <c r="Q51" s="23"/>
      <c r="R51" s="23" t="s">
        <v>122</v>
      </c>
      <c r="S51" s="23" t="s">
        <v>123</v>
      </c>
      <c r="T51" s="23"/>
      <c r="U51" s="23" t="s">
        <v>124</v>
      </c>
      <c r="V51" s="23" t="s">
        <v>125</v>
      </c>
      <c r="W51" s="23" t="s">
        <v>126</v>
      </c>
      <c r="X51" s="23" t="s">
        <v>127</v>
      </c>
      <c r="Y51" s="23" t="s">
        <v>128</v>
      </c>
      <c r="Z51" s="23" t="s">
        <v>165</v>
      </c>
      <c r="AA51" s="23" t="s">
        <v>131</v>
      </c>
    </row>
    <row r="52" customFormat="false" ht="15" hidden="false" customHeight="false" outlineLevel="0" collapsed="false">
      <c r="A52" s="23" t="s">
        <v>164</v>
      </c>
      <c r="B52" s="23" t="s">
        <v>91</v>
      </c>
      <c r="C52" s="23" t="s">
        <v>119</v>
      </c>
      <c r="D52" s="23" t="s">
        <v>120</v>
      </c>
      <c r="E52" s="23" t="s">
        <v>121</v>
      </c>
      <c r="F52" s="24" t="n">
        <v>2712.09</v>
      </c>
      <c r="G52" s="24" t="n">
        <v>2416.48</v>
      </c>
      <c r="H52" s="24" t="n">
        <v>2527.41</v>
      </c>
      <c r="I52" s="24" t="n">
        <v>2798.92</v>
      </c>
      <c r="J52" s="24" t="n">
        <v>3090.54</v>
      </c>
      <c r="K52" s="24" t="n">
        <v>3376.36</v>
      </c>
      <c r="L52" s="24" t="n">
        <v>3648.14</v>
      </c>
      <c r="M52" s="24" t="n">
        <v>3871.8</v>
      </c>
      <c r="N52" s="24" t="n">
        <v>4013.51</v>
      </c>
      <c r="O52" s="24" t="n">
        <v>4154.08</v>
      </c>
      <c r="P52" s="24" t="n">
        <v>4306.53</v>
      </c>
      <c r="Q52" s="23"/>
      <c r="R52" s="23" t="s">
        <v>122</v>
      </c>
      <c r="S52" s="23" t="s">
        <v>123</v>
      </c>
      <c r="T52" s="23"/>
      <c r="U52" s="23" t="s">
        <v>124</v>
      </c>
      <c r="V52" s="23" t="s">
        <v>125</v>
      </c>
      <c r="W52" s="23" t="s">
        <v>126</v>
      </c>
      <c r="X52" s="23" t="s">
        <v>127</v>
      </c>
      <c r="Y52" s="23" t="s">
        <v>128</v>
      </c>
      <c r="Z52" s="23" t="s">
        <v>165</v>
      </c>
      <c r="AA52" s="23" t="s">
        <v>132</v>
      </c>
    </row>
    <row r="53" customFormat="false" ht="15" hidden="false" customHeight="false" outlineLevel="0" collapsed="false">
      <c r="A53" s="23" t="s">
        <v>166</v>
      </c>
      <c r="B53" s="23" t="s">
        <v>87</v>
      </c>
      <c r="C53" s="23" t="s">
        <v>119</v>
      </c>
      <c r="D53" s="23" t="s">
        <v>120</v>
      </c>
      <c r="E53" s="23" t="s">
        <v>121</v>
      </c>
      <c r="F53" s="24" t="n">
        <v>927.69</v>
      </c>
      <c r="G53" s="24" t="n">
        <v>938.77</v>
      </c>
      <c r="H53" s="24" t="n">
        <v>953.93</v>
      </c>
      <c r="I53" s="24" t="n">
        <v>985.93</v>
      </c>
      <c r="J53" s="24" t="n">
        <v>1019.75</v>
      </c>
      <c r="K53" s="24" t="n">
        <v>1049.06</v>
      </c>
      <c r="L53" s="24" t="n">
        <v>1076.9</v>
      </c>
      <c r="M53" s="24" t="n">
        <v>1097.69</v>
      </c>
      <c r="N53" s="24" t="n">
        <v>1109.27</v>
      </c>
      <c r="O53" s="24" t="n">
        <v>1114.4</v>
      </c>
      <c r="P53" s="24" t="n">
        <v>1118.79</v>
      </c>
      <c r="Q53" s="23"/>
      <c r="R53" s="23" t="s">
        <v>122</v>
      </c>
      <c r="S53" s="23" t="s">
        <v>123</v>
      </c>
      <c r="T53" s="23"/>
      <c r="U53" s="23" t="s">
        <v>124</v>
      </c>
      <c r="V53" s="23" t="s">
        <v>125</v>
      </c>
      <c r="W53" s="23" t="s">
        <v>136</v>
      </c>
      <c r="X53" s="23" t="s">
        <v>127</v>
      </c>
      <c r="Y53" s="23" t="s">
        <v>128</v>
      </c>
      <c r="Z53" s="23" t="s">
        <v>167</v>
      </c>
      <c r="AA53" s="23" t="s">
        <v>131</v>
      </c>
    </row>
    <row r="54" customFormat="false" ht="15" hidden="false" customHeight="false" outlineLevel="0" collapsed="false">
      <c r="A54" s="23" t="s">
        <v>168</v>
      </c>
      <c r="B54" s="23" t="s">
        <v>95</v>
      </c>
      <c r="C54" s="23" t="s">
        <v>119</v>
      </c>
      <c r="D54" s="23" t="s">
        <v>120</v>
      </c>
      <c r="E54" s="23" t="s">
        <v>121</v>
      </c>
      <c r="F54" s="24" t="n">
        <v>20916.98</v>
      </c>
      <c r="G54" s="24" t="n">
        <v>21790.29</v>
      </c>
      <c r="H54" s="24" t="n">
        <v>22419.91</v>
      </c>
      <c r="I54" s="24" t="n">
        <v>23015.38</v>
      </c>
      <c r="J54" s="24" t="n">
        <v>23331.43</v>
      </c>
      <c r="K54" s="24" t="n">
        <v>23858.52</v>
      </c>
      <c r="L54" s="24" t="n">
        <v>24852.97</v>
      </c>
      <c r="M54" s="24" t="n">
        <v>25581.51</v>
      </c>
      <c r="N54" s="24" t="n">
        <v>26021.43</v>
      </c>
      <c r="O54" s="24" t="n">
        <v>26666.38</v>
      </c>
      <c r="P54" s="24" t="n">
        <v>27135.97</v>
      </c>
      <c r="Q54" s="23"/>
      <c r="R54" s="23" t="s">
        <v>122</v>
      </c>
      <c r="S54" s="23" t="s">
        <v>123</v>
      </c>
      <c r="T54" s="23"/>
      <c r="U54" s="23" t="s">
        <v>124</v>
      </c>
      <c r="V54" s="23" t="s">
        <v>125</v>
      </c>
      <c r="W54" s="23" t="s">
        <v>126</v>
      </c>
      <c r="X54" s="23" t="s">
        <v>127</v>
      </c>
      <c r="Y54" s="23" t="s">
        <v>128</v>
      </c>
      <c r="Z54" s="23" t="s">
        <v>169</v>
      </c>
      <c r="AA54" s="23" t="s">
        <v>130</v>
      </c>
    </row>
    <row r="55" customFormat="false" ht="15" hidden="false" customHeight="false" outlineLevel="0" collapsed="false">
      <c r="A55" s="23" t="s">
        <v>168</v>
      </c>
      <c r="B55" s="23" t="s">
        <v>87</v>
      </c>
      <c r="C55" s="23" t="s">
        <v>119</v>
      </c>
      <c r="D55" s="23" t="s">
        <v>120</v>
      </c>
      <c r="E55" s="23" t="s">
        <v>121</v>
      </c>
      <c r="F55" s="24" t="n">
        <v>103399.3</v>
      </c>
      <c r="G55" s="24" t="n">
        <v>99007.02</v>
      </c>
      <c r="H55" s="24" t="n">
        <v>97763.34</v>
      </c>
      <c r="I55" s="24" t="n">
        <v>96142.51</v>
      </c>
      <c r="J55" s="24" t="n">
        <v>95813.13</v>
      </c>
      <c r="K55" s="24" t="n">
        <v>97231.77</v>
      </c>
      <c r="L55" s="24" t="n">
        <v>98881.41</v>
      </c>
      <c r="M55" s="24" t="n">
        <v>98544.88</v>
      </c>
      <c r="N55" s="24" t="n">
        <v>99023.77</v>
      </c>
      <c r="O55" s="24" t="n">
        <v>100537.6</v>
      </c>
      <c r="P55" s="24" t="n">
        <v>102297.8</v>
      </c>
      <c r="Q55" s="23"/>
      <c r="R55" s="23" t="s">
        <v>122</v>
      </c>
      <c r="S55" s="23" t="s">
        <v>123</v>
      </c>
      <c r="T55" s="23"/>
      <c r="U55" s="23" t="s">
        <v>124</v>
      </c>
      <c r="V55" s="23" t="s">
        <v>125</v>
      </c>
      <c r="W55" s="23" t="s">
        <v>126</v>
      </c>
      <c r="X55" s="23" t="s">
        <v>127</v>
      </c>
      <c r="Y55" s="23" t="s">
        <v>128</v>
      </c>
      <c r="Z55" s="23" t="s">
        <v>169</v>
      </c>
      <c r="AA55" s="23" t="s">
        <v>131</v>
      </c>
    </row>
    <row r="56" customFormat="false" ht="15" hidden="false" customHeight="false" outlineLevel="0" collapsed="false">
      <c r="A56" s="23" t="s">
        <v>168</v>
      </c>
      <c r="B56" s="23" t="s">
        <v>91</v>
      </c>
      <c r="C56" s="23" t="s">
        <v>119</v>
      </c>
      <c r="D56" s="23" t="s">
        <v>120</v>
      </c>
      <c r="E56" s="23" t="s">
        <v>121</v>
      </c>
      <c r="F56" s="24" t="n">
        <v>74270.19</v>
      </c>
      <c r="G56" s="24" t="n">
        <v>71616.01</v>
      </c>
      <c r="H56" s="24" t="n">
        <v>71145.41</v>
      </c>
      <c r="I56" s="24" t="n">
        <v>70924.26</v>
      </c>
      <c r="J56" s="24" t="n">
        <v>71723.33</v>
      </c>
      <c r="K56" s="24" t="n">
        <v>73302.02</v>
      </c>
      <c r="L56" s="24" t="n">
        <v>74790.61</v>
      </c>
      <c r="M56" s="24" t="n">
        <v>74776.63</v>
      </c>
      <c r="N56" s="24" t="n">
        <v>75403.52</v>
      </c>
      <c r="O56" s="24" t="n">
        <v>76798.55</v>
      </c>
      <c r="P56" s="24" t="n">
        <v>78352.86</v>
      </c>
      <c r="Q56" s="23"/>
      <c r="R56" s="23" t="s">
        <v>122</v>
      </c>
      <c r="S56" s="23" t="s">
        <v>123</v>
      </c>
      <c r="T56" s="23"/>
      <c r="U56" s="23" t="s">
        <v>124</v>
      </c>
      <c r="V56" s="23" t="s">
        <v>125</v>
      </c>
      <c r="W56" s="23" t="s">
        <v>126</v>
      </c>
      <c r="X56" s="23" t="s">
        <v>127</v>
      </c>
      <c r="Y56" s="23" t="s">
        <v>128</v>
      </c>
      <c r="Z56" s="23" t="s">
        <v>169</v>
      </c>
      <c r="AA56" s="23" t="s">
        <v>132</v>
      </c>
    </row>
    <row r="57" customFormat="false" ht="15" hidden="false" customHeight="false" outlineLevel="0" collapsed="false">
      <c r="A57" s="23" t="s">
        <v>170</v>
      </c>
      <c r="B57" s="23" t="s">
        <v>87</v>
      </c>
      <c r="C57" s="23" t="s">
        <v>119</v>
      </c>
      <c r="D57" s="23" t="s">
        <v>120</v>
      </c>
      <c r="E57" s="23" t="s">
        <v>121</v>
      </c>
      <c r="F57" s="24" t="n">
        <v>9584.53</v>
      </c>
      <c r="G57" s="24" t="n">
        <v>9577.48</v>
      </c>
      <c r="H57" s="24" t="n">
        <v>9848.22</v>
      </c>
      <c r="I57" s="24" t="n">
        <v>9956.57</v>
      </c>
      <c r="J57" s="24" t="n">
        <v>10133.13</v>
      </c>
      <c r="K57" s="24" t="n">
        <v>10345.9</v>
      </c>
      <c r="L57" s="24" t="n">
        <v>10606.05</v>
      </c>
      <c r="M57" s="24" t="n">
        <v>10841.54</v>
      </c>
      <c r="N57" s="24" t="n">
        <v>10984.67</v>
      </c>
      <c r="O57" s="24" t="n">
        <v>11106.13</v>
      </c>
      <c r="P57" s="24" t="n">
        <v>11224.2</v>
      </c>
      <c r="Q57" s="23"/>
      <c r="R57" s="23" t="s">
        <v>122</v>
      </c>
      <c r="S57" s="23" t="s">
        <v>123</v>
      </c>
      <c r="T57" s="23"/>
      <c r="U57" s="23" t="s">
        <v>124</v>
      </c>
      <c r="V57" s="23" t="s">
        <v>125</v>
      </c>
      <c r="W57" s="23" t="s">
        <v>136</v>
      </c>
      <c r="X57" s="23" t="s">
        <v>127</v>
      </c>
      <c r="Y57" s="23" t="s">
        <v>128</v>
      </c>
      <c r="Z57" s="23" t="s">
        <v>171</v>
      </c>
      <c r="AA57" s="23" t="s">
        <v>131</v>
      </c>
    </row>
    <row r="58" customFormat="false" ht="15" hidden="false" customHeight="false" outlineLevel="0" collapsed="false">
      <c r="A58" s="23" t="s">
        <v>170</v>
      </c>
      <c r="B58" s="23" t="s">
        <v>91</v>
      </c>
      <c r="C58" s="23" t="s">
        <v>119</v>
      </c>
      <c r="D58" s="23" t="s">
        <v>120</v>
      </c>
      <c r="E58" s="23" t="s">
        <v>121</v>
      </c>
      <c r="F58" s="24" t="n">
        <v>4329.6</v>
      </c>
      <c r="G58" s="24" t="n">
        <v>4363.16</v>
      </c>
      <c r="H58" s="24" t="n">
        <v>4549.09</v>
      </c>
      <c r="I58" s="24" t="n">
        <v>4624.69</v>
      </c>
      <c r="J58" s="24" t="n">
        <v>4699.62</v>
      </c>
      <c r="K58" s="24" t="n">
        <v>4784.86</v>
      </c>
      <c r="L58" s="24" t="n">
        <v>4890.9</v>
      </c>
      <c r="M58" s="24" t="n">
        <v>4973.28</v>
      </c>
      <c r="N58" s="24" t="n">
        <v>5017.97</v>
      </c>
      <c r="O58" s="24" t="n">
        <v>5060.22</v>
      </c>
      <c r="P58" s="24" t="n">
        <v>5107.35</v>
      </c>
      <c r="Q58" s="23"/>
      <c r="R58" s="23" t="s">
        <v>122</v>
      </c>
      <c r="S58" s="23" t="s">
        <v>123</v>
      </c>
      <c r="T58" s="23"/>
      <c r="U58" s="23" t="s">
        <v>124</v>
      </c>
      <c r="V58" s="23" t="s">
        <v>125</v>
      </c>
      <c r="W58" s="23" t="s">
        <v>136</v>
      </c>
      <c r="X58" s="23" t="s">
        <v>127</v>
      </c>
      <c r="Y58" s="23" t="s">
        <v>128</v>
      </c>
      <c r="Z58" s="23" t="s">
        <v>171</v>
      </c>
      <c r="AA58" s="23" t="s">
        <v>132</v>
      </c>
    </row>
    <row r="59" customFormat="false" ht="15" hidden="false" customHeight="false" outlineLevel="0" collapsed="false">
      <c r="A59" s="23" t="s">
        <v>172</v>
      </c>
      <c r="B59" s="23" t="s">
        <v>87</v>
      </c>
      <c r="C59" s="23" t="s">
        <v>119</v>
      </c>
      <c r="D59" s="23" t="s">
        <v>120</v>
      </c>
      <c r="E59" s="23" t="s">
        <v>121</v>
      </c>
      <c r="F59" s="24" t="n">
        <v>2859.56</v>
      </c>
      <c r="G59" s="24" t="n">
        <v>2875.55</v>
      </c>
      <c r="H59" s="24" t="n">
        <v>2781.68</v>
      </c>
      <c r="I59" s="24" t="n">
        <v>2791.91</v>
      </c>
      <c r="J59" s="24" t="n">
        <v>2812.91</v>
      </c>
      <c r="K59" s="24" t="n">
        <v>2840.56</v>
      </c>
      <c r="L59" s="24" t="n">
        <v>2874.17</v>
      </c>
      <c r="M59" s="24" t="n">
        <v>2915.96</v>
      </c>
      <c r="N59" s="24" t="n">
        <v>2952.93</v>
      </c>
      <c r="O59" s="24" t="n">
        <v>2990.49</v>
      </c>
      <c r="P59" s="24" t="n">
        <v>3028.78</v>
      </c>
      <c r="Q59" s="23"/>
      <c r="R59" s="23" t="s">
        <v>122</v>
      </c>
      <c r="S59" s="23" t="s">
        <v>123</v>
      </c>
      <c r="T59" s="23"/>
      <c r="U59" s="23" t="s">
        <v>124</v>
      </c>
      <c r="V59" s="23" t="s">
        <v>125</v>
      </c>
      <c r="W59" s="23" t="s">
        <v>136</v>
      </c>
      <c r="X59" s="23" t="s">
        <v>127</v>
      </c>
      <c r="Y59" s="23" t="s">
        <v>128</v>
      </c>
      <c r="Z59" s="23" t="s">
        <v>173</v>
      </c>
      <c r="AA59" s="23" t="s">
        <v>131</v>
      </c>
    </row>
    <row r="60" customFormat="false" ht="15" hidden="false" customHeight="false" outlineLevel="0" collapsed="false">
      <c r="A60" s="23" t="s">
        <v>172</v>
      </c>
      <c r="B60" s="23" t="s">
        <v>91</v>
      </c>
      <c r="C60" s="23" t="s">
        <v>119</v>
      </c>
      <c r="D60" s="23" t="s">
        <v>120</v>
      </c>
      <c r="E60" s="23" t="s">
        <v>121</v>
      </c>
      <c r="F60" s="24" t="n">
        <v>1083.52</v>
      </c>
      <c r="G60" s="24" t="n">
        <v>1110.61</v>
      </c>
      <c r="H60" s="24" t="n">
        <v>1142.88</v>
      </c>
      <c r="I60" s="24" t="n">
        <v>1123.91</v>
      </c>
      <c r="J60" s="24" t="n">
        <v>1136.41</v>
      </c>
      <c r="K60" s="24" t="n">
        <v>1151.3</v>
      </c>
      <c r="L60" s="24" t="n">
        <v>1169.5</v>
      </c>
      <c r="M60" s="24" t="n">
        <v>1191.97</v>
      </c>
      <c r="N60" s="24" t="n">
        <v>1213.43</v>
      </c>
      <c r="O60" s="24" t="n">
        <v>1236.08</v>
      </c>
      <c r="P60" s="24" t="n">
        <v>1259.98</v>
      </c>
      <c r="Q60" s="23"/>
      <c r="R60" s="23" t="s">
        <v>122</v>
      </c>
      <c r="S60" s="23" t="s">
        <v>123</v>
      </c>
      <c r="T60" s="23"/>
      <c r="U60" s="23" t="s">
        <v>124</v>
      </c>
      <c r="V60" s="23" t="s">
        <v>125</v>
      </c>
      <c r="W60" s="23" t="s">
        <v>136</v>
      </c>
      <c r="X60" s="23" t="s">
        <v>127</v>
      </c>
      <c r="Y60" s="23" t="s">
        <v>128</v>
      </c>
      <c r="Z60" s="23" t="s">
        <v>173</v>
      </c>
      <c r="AA60" s="23" t="s">
        <v>132</v>
      </c>
    </row>
    <row r="61" customFormat="false" ht="15" hidden="false" customHeight="false" outlineLevel="0" collapsed="false">
      <c r="A61" s="23" t="s">
        <v>174</v>
      </c>
      <c r="B61" s="23" t="s">
        <v>87</v>
      </c>
      <c r="C61" s="23" t="s">
        <v>119</v>
      </c>
      <c r="D61" s="23" t="s">
        <v>120</v>
      </c>
      <c r="E61" s="23" t="s">
        <v>121</v>
      </c>
      <c r="F61" s="24" t="n">
        <v>2742.2</v>
      </c>
      <c r="G61" s="24" t="n">
        <v>2932.61</v>
      </c>
      <c r="H61" s="24" t="n">
        <v>3141.2</v>
      </c>
      <c r="I61" s="24" t="n">
        <v>3229.98</v>
      </c>
      <c r="J61" s="24" t="n">
        <v>3409.86</v>
      </c>
      <c r="K61" s="24" t="n">
        <v>3553.25</v>
      </c>
      <c r="L61" s="24" t="n">
        <v>3642.68</v>
      </c>
      <c r="M61" s="24" t="n">
        <v>3713.19</v>
      </c>
      <c r="N61" s="24" t="n">
        <v>3769.55</v>
      </c>
      <c r="O61" s="24" t="n">
        <v>3815.22</v>
      </c>
      <c r="P61" s="24" t="n">
        <v>3853.86</v>
      </c>
      <c r="Q61" s="23"/>
      <c r="R61" s="23" t="s">
        <v>122</v>
      </c>
      <c r="S61" s="23" t="s">
        <v>123</v>
      </c>
      <c r="T61" s="23"/>
      <c r="U61" s="23" t="s">
        <v>124</v>
      </c>
      <c r="V61" s="23" t="s">
        <v>125</v>
      </c>
      <c r="W61" s="23" t="s">
        <v>136</v>
      </c>
      <c r="X61" s="23" t="s">
        <v>127</v>
      </c>
      <c r="Y61" s="23" t="s">
        <v>128</v>
      </c>
      <c r="Z61" s="23" t="s">
        <v>175</v>
      </c>
      <c r="AA61" s="23" t="s">
        <v>131</v>
      </c>
    </row>
    <row r="62" customFormat="false" ht="15" hidden="false" customHeight="false" outlineLevel="0" collapsed="false">
      <c r="A62" s="23" t="s">
        <v>174</v>
      </c>
      <c r="B62" s="23" t="s">
        <v>91</v>
      </c>
      <c r="C62" s="23" t="s">
        <v>119</v>
      </c>
      <c r="D62" s="23" t="s">
        <v>120</v>
      </c>
      <c r="E62" s="23" t="s">
        <v>121</v>
      </c>
      <c r="F62" s="24" t="n">
        <v>2143.68</v>
      </c>
      <c r="G62" s="24" t="n">
        <v>2179.66</v>
      </c>
      <c r="H62" s="24" t="n">
        <v>2235.37</v>
      </c>
      <c r="I62" s="24" t="n">
        <v>2274.1</v>
      </c>
      <c r="J62" s="24" t="n">
        <v>2332.88</v>
      </c>
      <c r="K62" s="24" t="n">
        <v>2391.98</v>
      </c>
      <c r="L62" s="24" t="n">
        <v>2445.7</v>
      </c>
      <c r="M62" s="24" t="n">
        <v>2498</v>
      </c>
      <c r="N62" s="24" t="n">
        <v>2548.63</v>
      </c>
      <c r="O62" s="24" t="n">
        <v>2591.18</v>
      </c>
      <c r="P62" s="24" t="n">
        <v>2625.68</v>
      </c>
      <c r="Q62" s="23"/>
      <c r="R62" s="23" t="s">
        <v>122</v>
      </c>
      <c r="S62" s="23" t="s">
        <v>123</v>
      </c>
      <c r="T62" s="23"/>
      <c r="U62" s="23" t="s">
        <v>124</v>
      </c>
      <c r="V62" s="23" t="s">
        <v>125</v>
      </c>
      <c r="W62" s="23" t="s">
        <v>136</v>
      </c>
      <c r="X62" s="23" t="s">
        <v>127</v>
      </c>
      <c r="Y62" s="23" t="s">
        <v>128</v>
      </c>
      <c r="Z62" s="23" t="s">
        <v>175</v>
      </c>
      <c r="AA62" s="23" t="s">
        <v>132</v>
      </c>
    </row>
    <row r="63" customFormat="false" ht="15" hidden="false" customHeight="false" outlineLevel="0" collapsed="false">
      <c r="A63" s="23" t="s">
        <v>176</v>
      </c>
      <c r="B63" s="23" t="s">
        <v>87</v>
      </c>
      <c r="C63" s="23" t="s">
        <v>119</v>
      </c>
      <c r="D63" s="23" t="s">
        <v>120</v>
      </c>
      <c r="E63" s="23" t="s">
        <v>121</v>
      </c>
      <c r="F63" s="24" t="n">
        <v>564.79</v>
      </c>
      <c r="G63" s="24" t="n">
        <v>621.35</v>
      </c>
      <c r="H63" s="24" t="n">
        <v>681.7</v>
      </c>
      <c r="I63" s="24" t="n">
        <v>745.72</v>
      </c>
      <c r="J63" s="24" t="n">
        <v>777.77</v>
      </c>
      <c r="K63" s="24" t="n">
        <v>797.41</v>
      </c>
      <c r="L63" s="24" t="n">
        <v>795.36</v>
      </c>
      <c r="M63" s="24" t="n">
        <v>781.52</v>
      </c>
      <c r="N63" s="24" t="n">
        <v>765.93</v>
      </c>
      <c r="O63" s="24" t="n">
        <v>748.59</v>
      </c>
      <c r="P63" s="24" t="n">
        <v>736.1</v>
      </c>
      <c r="Q63" s="23"/>
      <c r="R63" s="23" t="s">
        <v>122</v>
      </c>
      <c r="S63" s="23" t="s">
        <v>123</v>
      </c>
      <c r="T63" s="23"/>
      <c r="U63" s="23" t="s">
        <v>124</v>
      </c>
      <c r="V63" s="23" t="s">
        <v>125</v>
      </c>
      <c r="W63" s="23" t="s">
        <v>136</v>
      </c>
      <c r="X63" s="23" t="s">
        <v>127</v>
      </c>
      <c r="Y63" s="23" t="s">
        <v>128</v>
      </c>
      <c r="Z63" s="23" t="s">
        <v>177</v>
      </c>
      <c r="AA63" s="23" t="s">
        <v>131</v>
      </c>
    </row>
    <row r="64" customFormat="false" ht="15" hidden="false" customHeight="false" outlineLevel="0" collapsed="false">
      <c r="A64" s="23" t="s">
        <v>176</v>
      </c>
      <c r="B64" s="23" t="s">
        <v>91</v>
      </c>
      <c r="C64" s="23" t="s">
        <v>119</v>
      </c>
      <c r="D64" s="23" t="s">
        <v>120</v>
      </c>
      <c r="E64" s="23" t="s">
        <v>121</v>
      </c>
      <c r="F64" s="24" t="n">
        <v>285.56</v>
      </c>
      <c r="G64" s="24" t="n">
        <v>319.23</v>
      </c>
      <c r="H64" s="24" t="n">
        <v>346.85</v>
      </c>
      <c r="I64" s="24" t="n">
        <v>360.07</v>
      </c>
      <c r="J64" s="24" t="n">
        <v>364.07</v>
      </c>
      <c r="K64" s="24" t="n">
        <v>369.31</v>
      </c>
      <c r="L64" s="24" t="n">
        <v>373.16</v>
      </c>
      <c r="M64" s="24" t="n">
        <v>375.76</v>
      </c>
      <c r="N64" s="24" t="n">
        <v>378.35</v>
      </c>
      <c r="O64" s="24" t="n">
        <v>380.82</v>
      </c>
      <c r="P64" s="24" t="n">
        <v>384.12</v>
      </c>
      <c r="Q64" s="23"/>
      <c r="R64" s="23" t="s">
        <v>122</v>
      </c>
      <c r="S64" s="23" t="s">
        <v>123</v>
      </c>
      <c r="T64" s="23"/>
      <c r="U64" s="23" t="s">
        <v>124</v>
      </c>
      <c r="V64" s="23" t="s">
        <v>125</v>
      </c>
      <c r="W64" s="23" t="s">
        <v>136</v>
      </c>
      <c r="X64" s="23" t="s">
        <v>127</v>
      </c>
      <c r="Y64" s="23" t="s">
        <v>128</v>
      </c>
      <c r="Z64" s="23" t="s">
        <v>177</v>
      </c>
      <c r="AA64" s="23" t="s">
        <v>132</v>
      </c>
    </row>
    <row r="65" customFormat="false" ht="15" hidden="false" customHeight="false" outlineLevel="0" collapsed="false">
      <c r="A65" s="23" t="s">
        <v>178</v>
      </c>
      <c r="B65" s="23" t="s">
        <v>87</v>
      </c>
      <c r="C65" s="23" t="s">
        <v>119</v>
      </c>
      <c r="D65" s="23" t="s">
        <v>120</v>
      </c>
      <c r="E65" s="23" t="s">
        <v>121</v>
      </c>
      <c r="F65" s="24" t="n">
        <v>769.28</v>
      </c>
      <c r="G65" s="24" t="n">
        <v>793.5</v>
      </c>
      <c r="H65" s="24" t="n">
        <v>816.1</v>
      </c>
      <c r="I65" s="24" t="n">
        <v>865.43</v>
      </c>
      <c r="J65" s="24" t="n">
        <v>898.9</v>
      </c>
      <c r="K65" s="24" t="n">
        <v>920.17</v>
      </c>
      <c r="L65" s="24" t="n">
        <v>937.72</v>
      </c>
      <c r="M65" s="24" t="n">
        <v>954.8</v>
      </c>
      <c r="N65" s="24" t="n">
        <v>971.37</v>
      </c>
      <c r="O65" s="24" t="n">
        <v>987.33</v>
      </c>
      <c r="P65" s="24" t="n">
        <v>1002.66</v>
      </c>
      <c r="Q65" s="23"/>
      <c r="R65" s="23" t="s">
        <v>122</v>
      </c>
      <c r="S65" s="23" t="s">
        <v>123</v>
      </c>
      <c r="T65" s="23"/>
      <c r="U65" s="23" t="s">
        <v>124</v>
      </c>
      <c r="V65" s="23" t="s">
        <v>125</v>
      </c>
      <c r="W65" s="23" t="s">
        <v>136</v>
      </c>
      <c r="X65" s="23" t="s">
        <v>127</v>
      </c>
      <c r="Y65" s="23" t="s">
        <v>128</v>
      </c>
      <c r="Z65" s="23" t="s">
        <v>179</v>
      </c>
      <c r="AA65" s="23" t="s">
        <v>131</v>
      </c>
    </row>
    <row r="66" customFormat="false" ht="15" hidden="false" customHeight="false" outlineLevel="0" collapsed="false">
      <c r="A66" s="23" t="s">
        <v>178</v>
      </c>
      <c r="B66" s="23" t="s">
        <v>91</v>
      </c>
      <c r="C66" s="23" t="s">
        <v>119</v>
      </c>
      <c r="D66" s="23" t="s">
        <v>120</v>
      </c>
      <c r="E66" s="23" t="s">
        <v>121</v>
      </c>
      <c r="F66" s="24" t="n">
        <v>453.19</v>
      </c>
      <c r="G66" s="24" t="n">
        <v>468.97</v>
      </c>
      <c r="H66" s="24" t="n">
        <v>501.85</v>
      </c>
      <c r="I66" s="24" t="n">
        <v>542.7</v>
      </c>
      <c r="J66" s="24" t="n">
        <v>569.73</v>
      </c>
      <c r="K66" s="24" t="n">
        <v>582.68</v>
      </c>
      <c r="L66" s="24" t="n">
        <v>593.02</v>
      </c>
      <c r="M66" s="24" t="n">
        <v>601.75</v>
      </c>
      <c r="N66" s="24" t="n">
        <v>610.39</v>
      </c>
      <c r="O66" s="24" t="n">
        <v>619.21</v>
      </c>
      <c r="P66" s="24" t="n">
        <v>628.12</v>
      </c>
      <c r="Q66" s="23"/>
      <c r="R66" s="23" t="s">
        <v>122</v>
      </c>
      <c r="S66" s="23" t="s">
        <v>123</v>
      </c>
      <c r="T66" s="23"/>
      <c r="U66" s="23" t="s">
        <v>124</v>
      </c>
      <c r="V66" s="23" t="s">
        <v>125</v>
      </c>
      <c r="W66" s="23" t="s">
        <v>136</v>
      </c>
      <c r="X66" s="23" t="s">
        <v>127</v>
      </c>
      <c r="Y66" s="23" t="s">
        <v>128</v>
      </c>
      <c r="Z66" s="23" t="s">
        <v>179</v>
      </c>
      <c r="AA66" s="23" t="s">
        <v>132</v>
      </c>
    </row>
    <row r="67" customFormat="false" ht="15" hidden="false" customHeight="false" outlineLevel="0" collapsed="false">
      <c r="A67" s="23" t="s">
        <v>180</v>
      </c>
      <c r="B67" s="23" t="s">
        <v>95</v>
      </c>
      <c r="C67" s="23" t="s">
        <v>119</v>
      </c>
      <c r="D67" s="23" t="s">
        <v>120</v>
      </c>
      <c r="E67" s="23" t="s">
        <v>121</v>
      </c>
      <c r="F67" s="24" t="n">
        <v>8183.15</v>
      </c>
      <c r="G67" s="24" t="n">
        <v>8213.64</v>
      </c>
      <c r="H67" s="24" t="n">
        <v>8332.41</v>
      </c>
      <c r="I67" s="24" t="n">
        <v>8523.19</v>
      </c>
      <c r="J67" s="24" t="n">
        <v>8742.57</v>
      </c>
      <c r="K67" s="24" t="n">
        <v>9008.41</v>
      </c>
      <c r="L67" s="24" t="n">
        <v>9306.07</v>
      </c>
      <c r="M67" s="24" t="n">
        <v>9552.72</v>
      </c>
      <c r="N67" s="24" t="n">
        <v>9787.18</v>
      </c>
      <c r="O67" s="24" t="n">
        <v>10040.24</v>
      </c>
      <c r="P67" s="24" t="n">
        <v>10192.71</v>
      </c>
      <c r="Q67" s="23"/>
      <c r="R67" s="23" t="s">
        <v>122</v>
      </c>
      <c r="S67" s="23" t="s">
        <v>123</v>
      </c>
      <c r="T67" s="23"/>
      <c r="U67" s="23" t="s">
        <v>124</v>
      </c>
      <c r="V67" s="23" t="s">
        <v>125</v>
      </c>
      <c r="W67" s="23" t="s">
        <v>126</v>
      </c>
      <c r="X67" s="23" t="s">
        <v>127</v>
      </c>
      <c r="Y67" s="23" t="s">
        <v>128</v>
      </c>
      <c r="Z67" s="23" t="s">
        <v>181</v>
      </c>
      <c r="AA67" s="23" t="s">
        <v>130</v>
      </c>
    </row>
    <row r="68" customFormat="false" ht="15" hidden="false" customHeight="false" outlineLevel="0" collapsed="false">
      <c r="A68" s="23" t="s">
        <v>180</v>
      </c>
      <c r="B68" s="23" t="s">
        <v>87</v>
      </c>
      <c r="C68" s="23" t="s">
        <v>119</v>
      </c>
      <c r="D68" s="23" t="s">
        <v>120</v>
      </c>
      <c r="E68" s="23" t="s">
        <v>121</v>
      </c>
      <c r="F68" s="24" t="n">
        <v>45172.39</v>
      </c>
      <c r="G68" s="24" t="n">
        <v>45465.34</v>
      </c>
      <c r="H68" s="24" t="n">
        <v>46386.78</v>
      </c>
      <c r="I68" s="24" t="n">
        <v>47105.57</v>
      </c>
      <c r="J68" s="24" t="n">
        <v>49039.72</v>
      </c>
      <c r="K68" s="24" t="n">
        <v>50922.63</v>
      </c>
      <c r="L68" s="24" t="n">
        <v>52502.48</v>
      </c>
      <c r="M68" s="24" t="n">
        <v>53560.29</v>
      </c>
      <c r="N68" s="24" t="n">
        <v>54361.25</v>
      </c>
      <c r="O68" s="24" t="n">
        <v>55072.99</v>
      </c>
      <c r="P68" s="24" t="n">
        <v>55653.18</v>
      </c>
      <c r="Q68" s="23"/>
      <c r="R68" s="23" t="s">
        <v>122</v>
      </c>
      <c r="S68" s="23" t="s">
        <v>123</v>
      </c>
      <c r="T68" s="23"/>
      <c r="U68" s="23" t="s">
        <v>124</v>
      </c>
      <c r="V68" s="23" t="s">
        <v>125</v>
      </c>
      <c r="W68" s="23" t="s">
        <v>126</v>
      </c>
      <c r="X68" s="23" t="s">
        <v>127</v>
      </c>
      <c r="Y68" s="23" t="s">
        <v>128</v>
      </c>
      <c r="Z68" s="23" t="s">
        <v>181</v>
      </c>
      <c r="AA68" s="23" t="s">
        <v>131</v>
      </c>
    </row>
    <row r="69" customFormat="false" ht="15" hidden="false" customHeight="false" outlineLevel="0" collapsed="false">
      <c r="A69" s="23" t="s">
        <v>180</v>
      </c>
      <c r="B69" s="23" t="s">
        <v>91</v>
      </c>
      <c r="C69" s="23" t="s">
        <v>119</v>
      </c>
      <c r="D69" s="23" t="s">
        <v>120</v>
      </c>
      <c r="E69" s="23" t="s">
        <v>121</v>
      </c>
      <c r="F69" s="24" t="n">
        <v>16174.35</v>
      </c>
      <c r="G69" s="24" t="n">
        <v>16336.08</v>
      </c>
      <c r="H69" s="24" t="n">
        <v>16874.37</v>
      </c>
      <c r="I69" s="24" t="n">
        <v>17204.14</v>
      </c>
      <c r="J69" s="24" t="n">
        <v>17826.69</v>
      </c>
      <c r="K69" s="24" t="n">
        <v>18545.85</v>
      </c>
      <c r="L69" s="24" t="n">
        <v>19109.87</v>
      </c>
      <c r="M69" s="24" t="n">
        <v>19515.23</v>
      </c>
      <c r="N69" s="24" t="n">
        <v>19836.92</v>
      </c>
      <c r="O69" s="24" t="n">
        <v>20116.45</v>
      </c>
      <c r="P69" s="24" t="n">
        <v>20364.84</v>
      </c>
      <c r="Q69" s="23"/>
      <c r="R69" s="23" t="s">
        <v>122</v>
      </c>
      <c r="S69" s="23" t="s">
        <v>123</v>
      </c>
      <c r="T69" s="23"/>
      <c r="U69" s="23" t="s">
        <v>124</v>
      </c>
      <c r="V69" s="23" t="s">
        <v>125</v>
      </c>
      <c r="W69" s="23" t="s">
        <v>126</v>
      </c>
      <c r="X69" s="23" t="s">
        <v>127</v>
      </c>
      <c r="Y69" s="23" t="s">
        <v>128</v>
      </c>
      <c r="Z69" s="23" t="s">
        <v>181</v>
      </c>
      <c r="AA69" s="23" t="s">
        <v>132</v>
      </c>
    </row>
    <row r="70" customFormat="false" ht="15" hidden="false" customHeight="false" outlineLevel="0" collapsed="false">
      <c r="A70" s="23" t="s">
        <v>182</v>
      </c>
      <c r="B70" s="23" t="s">
        <v>95</v>
      </c>
      <c r="C70" s="23" t="s">
        <v>119</v>
      </c>
      <c r="D70" s="23" t="s">
        <v>120</v>
      </c>
      <c r="E70" s="23" t="s">
        <v>121</v>
      </c>
      <c r="F70" s="24" t="n">
        <v>6067.71</v>
      </c>
      <c r="G70" s="24" t="n">
        <v>5976.74</v>
      </c>
      <c r="H70" s="24" t="n">
        <v>6040.32</v>
      </c>
      <c r="I70" s="24" t="n">
        <v>6187.06</v>
      </c>
      <c r="J70" s="24" t="n">
        <v>6354.32</v>
      </c>
      <c r="K70" s="24" t="n">
        <v>6581.32</v>
      </c>
      <c r="L70" s="24" t="n">
        <v>6879.53</v>
      </c>
      <c r="M70" s="24" t="n">
        <v>6983.97</v>
      </c>
      <c r="N70" s="24" t="n">
        <v>7076.88</v>
      </c>
      <c r="O70" s="24" t="n">
        <v>7256.01</v>
      </c>
      <c r="P70" s="24" t="n">
        <v>7338.74</v>
      </c>
      <c r="Q70" s="23"/>
      <c r="R70" s="23" t="s">
        <v>122</v>
      </c>
      <c r="S70" s="23" t="s">
        <v>123</v>
      </c>
      <c r="T70" s="23"/>
      <c r="U70" s="23" t="s">
        <v>124</v>
      </c>
      <c r="V70" s="23" t="s">
        <v>125</v>
      </c>
      <c r="W70" s="23" t="s">
        <v>126</v>
      </c>
      <c r="X70" s="23" t="s">
        <v>127</v>
      </c>
      <c r="Y70" s="23" t="s">
        <v>128</v>
      </c>
      <c r="Z70" s="23" t="s">
        <v>183</v>
      </c>
      <c r="AA70" s="23" t="s">
        <v>130</v>
      </c>
    </row>
    <row r="71" customFormat="false" ht="15" hidden="false" customHeight="false" outlineLevel="0" collapsed="false">
      <c r="A71" s="23" t="s">
        <v>182</v>
      </c>
      <c r="B71" s="23" t="s">
        <v>87</v>
      </c>
      <c r="C71" s="23" t="s">
        <v>119</v>
      </c>
      <c r="D71" s="23" t="s">
        <v>120</v>
      </c>
      <c r="E71" s="23" t="s">
        <v>121</v>
      </c>
      <c r="F71" s="24" t="n">
        <v>10666.8</v>
      </c>
      <c r="G71" s="24" t="n">
        <v>10118.98</v>
      </c>
      <c r="H71" s="24" t="n">
        <v>10101.43</v>
      </c>
      <c r="I71" s="24" t="n">
        <v>9932.42</v>
      </c>
      <c r="J71" s="24" t="n">
        <v>10179.66</v>
      </c>
      <c r="K71" s="24" t="n">
        <v>10554.89</v>
      </c>
      <c r="L71" s="24" t="n">
        <v>10988.14</v>
      </c>
      <c r="M71" s="24" t="n">
        <v>11185.51</v>
      </c>
      <c r="N71" s="24" t="n">
        <v>11355.45</v>
      </c>
      <c r="O71" s="24" t="n">
        <v>11641.74</v>
      </c>
      <c r="P71" s="24" t="n">
        <v>11965.92</v>
      </c>
      <c r="Q71" s="23"/>
      <c r="R71" s="23" t="s">
        <v>122</v>
      </c>
      <c r="S71" s="23" t="s">
        <v>123</v>
      </c>
      <c r="T71" s="23"/>
      <c r="U71" s="23" t="s">
        <v>124</v>
      </c>
      <c r="V71" s="23" t="s">
        <v>125</v>
      </c>
      <c r="W71" s="23" t="s">
        <v>126</v>
      </c>
      <c r="X71" s="23" t="s">
        <v>127</v>
      </c>
      <c r="Y71" s="23" t="s">
        <v>128</v>
      </c>
      <c r="Z71" s="23" t="s">
        <v>183</v>
      </c>
      <c r="AA71" s="23" t="s">
        <v>131</v>
      </c>
    </row>
    <row r="72" customFormat="false" ht="15" hidden="false" customHeight="false" outlineLevel="0" collapsed="false">
      <c r="A72" s="23" t="s">
        <v>182</v>
      </c>
      <c r="B72" s="23" t="s">
        <v>91</v>
      </c>
      <c r="C72" s="23" t="s">
        <v>119</v>
      </c>
      <c r="D72" s="23" t="s">
        <v>120</v>
      </c>
      <c r="E72" s="23" t="s">
        <v>121</v>
      </c>
      <c r="F72" s="24" t="n">
        <v>6154.69</v>
      </c>
      <c r="G72" s="24" t="n">
        <v>5794.06</v>
      </c>
      <c r="H72" s="24" t="n">
        <v>6017.03</v>
      </c>
      <c r="I72" s="24" t="n">
        <v>5825.04</v>
      </c>
      <c r="J72" s="24" t="n">
        <v>5857.41</v>
      </c>
      <c r="K72" s="24" t="n">
        <v>6075.42</v>
      </c>
      <c r="L72" s="24" t="n">
        <v>6348.09</v>
      </c>
      <c r="M72" s="24" t="n">
        <v>6482</v>
      </c>
      <c r="N72" s="24" t="n">
        <v>6612.9</v>
      </c>
      <c r="O72" s="24" t="n">
        <v>6799.65</v>
      </c>
      <c r="P72" s="24" t="n">
        <v>7003.3</v>
      </c>
      <c r="Q72" s="23"/>
      <c r="R72" s="23" t="s">
        <v>122</v>
      </c>
      <c r="S72" s="23" t="s">
        <v>123</v>
      </c>
      <c r="T72" s="23"/>
      <c r="U72" s="23" t="s">
        <v>124</v>
      </c>
      <c r="V72" s="23" t="s">
        <v>125</v>
      </c>
      <c r="W72" s="23" t="s">
        <v>126</v>
      </c>
      <c r="X72" s="23" t="s">
        <v>127</v>
      </c>
      <c r="Y72" s="23" t="s">
        <v>128</v>
      </c>
      <c r="Z72" s="23" t="s">
        <v>183</v>
      </c>
      <c r="AA72" s="23" t="s">
        <v>132</v>
      </c>
    </row>
    <row r="73" customFormat="false" ht="15" hidden="false" customHeight="false" outlineLevel="0" collapsed="false">
      <c r="A73" s="23" t="s">
        <v>184</v>
      </c>
      <c r="B73" s="23" t="s">
        <v>95</v>
      </c>
      <c r="C73" s="23" t="s">
        <v>119</v>
      </c>
      <c r="D73" s="23" t="s">
        <v>120</v>
      </c>
      <c r="E73" s="23" t="s">
        <v>121</v>
      </c>
      <c r="F73" s="24" t="n">
        <v>7386.16</v>
      </c>
      <c r="G73" s="24" t="n">
        <v>7311</v>
      </c>
      <c r="H73" s="24" t="n">
        <v>7796.86</v>
      </c>
      <c r="I73" s="24" t="n">
        <v>8026.15</v>
      </c>
      <c r="J73" s="24" t="n">
        <v>8220.87</v>
      </c>
      <c r="K73" s="24" t="n">
        <v>8497.02</v>
      </c>
      <c r="L73" s="24" t="n">
        <v>8709.7</v>
      </c>
      <c r="M73" s="24" t="n">
        <v>8889.4</v>
      </c>
      <c r="N73" s="24" t="n">
        <v>9065.27</v>
      </c>
      <c r="O73" s="24" t="n">
        <v>9244.86</v>
      </c>
      <c r="P73" s="24" t="n">
        <v>9425.67</v>
      </c>
      <c r="Q73" s="23"/>
      <c r="R73" s="23" t="s">
        <v>122</v>
      </c>
      <c r="S73" s="23" t="s">
        <v>123</v>
      </c>
      <c r="T73" s="23"/>
      <c r="U73" s="23" t="s">
        <v>124</v>
      </c>
      <c r="V73" s="23" t="s">
        <v>125</v>
      </c>
      <c r="W73" s="23" t="s">
        <v>126</v>
      </c>
      <c r="X73" s="23" t="s">
        <v>127</v>
      </c>
      <c r="Y73" s="23" t="s">
        <v>128</v>
      </c>
      <c r="Z73" s="23" t="s">
        <v>185</v>
      </c>
      <c r="AA73" s="23" t="s">
        <v>130</v>
      </c>
    </row>
    <row r="74" customFormat="false" ht="15" hidden="false" customHeight="false" outlineLevel="0" collapsed="false">
      <c r="A74" s="23" t="s">
        <v>184</v>
      </c>
      <c r="B74" s="23" t="s">
        <v>87</v>
      </c>
      <c r="C74" s="23" t="s">
        <v>119</v>
      </c>
      <c r="D74" s="23" t="s">
        <v>120</v>
      </c>
      <c r="E74" s="23" t="s">
        <v>121</v>
      </c>
      <c r="F74" s="24" t="n">
        <v>26866.19</v>
      </c>
      <c r="G74" s="24" t="n">
        <v>26436.5</v>
      </c>
      <c r="H74" s="24" t="n">
        <v>28023.6</v>
      </c>
      <c r="I74" s="24" t="n">
        <v>29442.47</v>
      </c>
      <c r="J74" s="24" t="n">
        <v>30011.49</v>
      </c>
      <c r="K74" s="24" t="n">
        <v>30454.57</v>
      </c>
      <c r="L74" s="24" t="n">
        <v>30918.31</v>
      </c>
      <c r="M74" s="24" t="n">
        <v>31275.63</v>
      </c>
      <c r="N74" s="24" t="n">
        <v>31803.5</v>
      </c>
      <c r="O74" s="24" t="n">
        <v>32381.9</v>
      </c>
      <c r="P74" s="24" t="n">
        <v>32964.54</v>
      </c>
      <c r="Q74" s="23"/>
      <c r="R74" s="23" t="s">
        <v>122</v>
      </c>
      <c r="S74" s="23" t="s">
        <v>123</v>
      </c>
      <c r="T74" s="23"/>
      <c r="U74" s="23" t="s">
        <v>124</v>
      </c>
      <c r="V74" s="23" t="s">
        <v>125</v>
      </c>
      <c r="W74" s="23" t="s">
        <v>126</v>
      </c>
      <c r="X74" s="23" t="s">
        <v>127</v>
      </c>
      <c r="Y74" s="23" t="s">
        <v>128</v>
      </c>
      <c r="Z74" s="23" t="s">
        <v>185</v>
      </c>
      <c r="AA74" s="23" t="s">
        <v>131</v>
      </c>
    </row>
    <row r="75" customFormat="false" ht="15" hidden="false" customHeight="false" outlineLevel="0" collapsed="false">
      <c r="A75" s="23" t="s">
        <v>184</v>
      </c>
      <c r="B75" s="23" t="s">
        <v>91</v>
      </c>
      <c r="C75" s="23" t="s">
        <v>119</v>
      </c>
      <c r="D75" s="23" t="s">
        <v>120</v>
      </c>
      <c r="E75" s="23" t="s">
        <v>121</v>
      </c>
      <c r="F75" s="24" t="n">
        <v>16160.44</v>
      </c>
      <c r="G75" s="24" t="n">
        <v>16107.22</v>
      </c>
      <c r="H75" s="24" t="n">
        <v>17018.47</v>
      </c>
      <c r="I75" s="24" t="n">
        <v>17906.46</v>
      </c>
      <c r="J75" s="24" t="n">
        <v>18261.49</v>
      </c>
      <c r="K75" s="24" t="n">
        <v>18448.23</v>
      </c>
      <c r="L75" s="24" t="n">
        <v>18745.27</v>
      </c>
      <c r="M75" s="24" t="n">
        <v>18975.35</v>
      </c>
      <c r="N75" s="24" t="n">
        <v>19285.93</v>
      </c>
      <c r="O75" s="24" t="n">
        <v>19634.01</v>
      </c>
      <c r="P75" s="24" t="n">
        <v>19986.95</v>
      </c>
      <c r="Q75" s="23"/>
      <c r="R75" s="23" t="s">
        <v>122</v>
      </c>
      <c r="S75" s="23" t="s">
        <v>123</v>
      </c>
      <c r="T75" s="23"/>
      <c r="U75" s="23" t="s">
        <v>124</v>
      </c>
      <c r="V75" s="23" t="s">
        <v>125</v>
      </c>
      <c r="W75" s="23" t="s">
        <v>126</v>
      </c>
      <c r="X75" s="23" t="s">
        <v>127</v>
      </c>
      <c r="Y75" s="23" t="s">
        <v>128</v>
      </c>
      <c r="Z75" s="23" t="s">
        <v>185</v>
      </c>
      <c r="AA75" s="23" t="s">
        <v>132</v>
      </c>
    </row>
    <row r="76" customFormat="false" ht="15" hidden="false" customHeight="false" outlineLevel="0" collapsed="false">
      <c r="A76" s="23" t="s">
        <v>186</v>
      </c>
      <c r="B76" s="23" t="s">
        <v>95</v>
      </c>
      <c r="C76" s="23" t="s">
        <v>119</v>
      </c>
      <c r="D76" s="23" t="s">
        <v>120</v>
      </c>
      <c r="E76" s="23" t="s">
        <v>121</v>
      </c>
      <c r="F76" s="24" t="n">
        <v>2196.76</v>
      </c>
      <c r="G76" s="24" t="n">
        <v>2020.88</v>
      </c>
      <c r="H76" s="24" t="n">
        <v>2031.73</v>
      </c>
      <c r="I76" s="24" t="n">
        <v>2033.82</v>
      </c>
      <c r="J76" s="24" t="n">
        <v>2043.78</v>
      </c>
      <c r="K76" s="24" t="n">
        <v>2057.22</v>
      </c>
      <c r="L76" s="24" t="n">
        <v>2105.14</v>
      </c>
      <c r="M76" s="24" t="n">
        <v>2145.05</v>
      </c>
      <c r="N76" s="24" t="n">
        <v>2191.95</v>
      </c>
      <c r="O76" s="24" t="n">
        <v>2243.85</v>
      </c>
      <c r="P76" s="24" t="n">
        <v>2299.7</v>
      </c>
      <c r="Q76" s="23"/>
      <c r="R76" s="23" t="s">
        <v>122</v>
      </c>
      <c r="S76" s="23" t="s">
        <v>123</v>
      </c>
      <c r="T76" s="23"/>
      <c r="U76" s="23" t="s">
        <v>124</v>
      </c>
      <c r="V76" s="23" t="s">
        <v>125</v>
      </c>
      <c r="W76" s="23" t="s">
        <v>126</v>
      </c>
      <c r="X76" s="23" t="s">
        <v>127</v>
      </c>
      <c r="Y76" s="23" t="s">
        <v>128</v>
      </c>
      <c r="Z76" s="23" t="s">
        <v>187</v>
      </c>
      <c r="AA76" s="23" t="s">
        <v>130</v>
      </c>
    </row>
    <row r="77" customFormat="false" ht="15" hidden="false" customHeight="false" outlineLevel="0" collapsed="false">
      <c r="A77" s="23" t="s">
        <v>186</v>
      </c>
      <c r="B77" s="23" t="s">
        <v>87</v>
      </c>
      <c r="C77" s="23" t="s">
        <v>119</v>
      </c>
      <c r="D77" s="23" t="s">
        <v>120</v>
      </c>
      <c r="E77" s="23" t="s">
        <v>121</v>
      </c>
      <c r="F77" s="24" t="n">
        <v>9381.25</v>
      </c>
      <c r="G77" s="24" t="n">
        <v>10384.4</v>
      </c>
      <c r="H77" s="24" t="n">
        <v>11254.55</v>
      </c>
      <c r="I77" s="24" t="n">
        <v>11696.53</v>
      </c>
      <c r="J77" s="24" t="n">
        <v>11892.66</v>
      </c>
      <c r="K77" s="24" t="n">
        <v>12064.71</v>
      </c>
      <c r="L77" s="24" t="n">
        <v>12282.63</v>
      </c>
      <c r="M77" s="24" t="n">
        <v>12511.79</v>
      </c>
      <c r="N77" s="24" t="n">
        <v>12683.94</v>
      </c>
      <c r="O77" s="24" t="n">
        <v>12850.78</v>
      </c>
      <c r="P77" s="24" t="n">
        <v>13037.55</v>
      </c>
      <c r="Q77" s="23"/>
      <c r="R77" s="23" t="s">
        <v>122</v>
      </c>
      <c r="S77" s="23" t="s">
        <v>123</v>
      </c>
      <c r="T77" s="23"/>
      <c r="U77" s="23" t="s">
        <v>124</v>
      </c>
      <c r="V77" s="23" t="s">
        <v>125</v>
      </c>
      <c r="W77" s="23" t="s">
        <v>126</v>
      </c>
      <c r="X77" s="23" t="s">
        <v>127</v>
      </c>
      <c r="Y77" s="23" t="s">
        <v>128</v>
      </c>
      <c r="Z77" s="23" t="s">
        <v>187</v>
      </c>
      <c r="AA77" s="23" t="s">
        <v>131</v>
      </c>
    </row>
    <row r="78" customFormat="false" ht="15" hidden="false" customHeight="false" outlineLevel="0" collapsed="false">
      <c r="A78" s="23" t="s">
        <v>186</v>
      </c>
      <c r="B78" s="23" t="s">
        <v>91</v>
      </c>
      <c r="C78" s="23" t="s">
        <v>119</v>
      </c>
      <c r="D78" s="23" t="s">
        <v>120</v>
      </c>
      <c r="E78" s="23" t="s">
        <v>121</v>
      </c>
      <c r="F78" s="24" t="n">
        <v>5722.24</v>
      </c>
      <c r="G78" s="24" t="n">
        <v>6412.91</v>
      </c>
      <c r="H78" s="24" t="n">
        <v>7115.17</v>
      </c>
      <c r="I78" s="24" t="n">
        <v>7551.92</v>
      </c>
      <c r="J78" s="24" t="n">
        <v>7780.48</v>
      </c>
      <c r="K78" s="24" t="n">
        <v>7957.4</v>
      </c>
      <c r="L78" s="24" t="n">
        <v>8143.3</v>
      </c>
      <c r="M78" s="24" t="n">
        <v>8332.05</v>
      </c>
      <c r="N78" s="24" t="n">
        <v>8484.25</v>
      </c>
      <c r="O78" s="24" t="n">
        <v>8634.97</v>
      </c>
      <c r="P78" s="24" t="n">
        <v>8800.3</v>
      </c>
      <c r="Q78" s="23"/>
      <c r="R78" s="23" t="s">
        <v>122</v>
      </c>
      <c r="S78" s="23" t="s">
        <v>123</v>
      </c>
      <c r="T78" s="23"/>
      <c r="U78" s="23" t="s">
        <v>124</v>
      </c>
      <c r="V78" s="23" t="s">
        <v>125</v>
      </c>
      <c r="W78" s="23" t="s">
        <v>126</v>
      </c>
      <c r="X78" s="23" t="s">
        <v>127</v>
      </c>
      <c r="Y78" s="23" t="s">
        <v>128</v>
      </c>
      <c r="Z78" s="23" t="s">
        <v>187</v>
      </c>
      <c r="AA78" s="23" t="s">
        <v>132</v>
      </c>
    </row>
    <row r="79" customFormat="false" ht="15" hidden="false" customHeight="false" outlineLevel="0" collapsed="false">
      <c r="A79" s="23" t="s">
        <v>188</v>
      </c>
      <c r="B79" s="23" t="s">
        <v>87</v>
      </c>
      <c r="C79" s="23" t="s">
        <v>119</v>
      </c>
      <c r="D79" s="23" t="s">
        <v>120</v>
      </c>
      <c r="E79" s="23" t="s">
        <v>121</v>
      </c>
      <c r="F79" s="24" t="n">
        <v>11588.27</v>
      </c>
      <c r="G79" s="24" t="n">
        <v>12813.39</v>
      </c>
      <c r="H79" s="24" t="n">
        <v>13245.77</v>
      </c>
      <c r="I79" s="24" t="n">
        <v>13276.61</v>
      </c>
      <c r="J79" s="24" t="n">
        <v>13313.23</v>
      </c>
      <c r="K79" s="24" t="n">
        <v>13331.49</v>
      </c>
      <c r="L79" s="24" t="n">
        <v>13304.99</v>
      </c>
      <c r="M79" s="24" t="n">
        <v>13261.67</v>
      </c>
      <c r="N79" s="24" t="n">
        <v>13406.17</v>
      </c>
      <c r="O79" s="24" t="n">
        <v>13601.04</v>
      </c>
      <c r="P79" s="24" t="n">
        <v>13796.97</v>
      </c>
      <c r="Q79" s="23"/>
      <c r="R79" s="23" t="s">
        <v>122</v>
      </c>
      <c r="S79" s="23" t="s">
        <v>123</v>
      </c>
      <c r="T79" s="23"/>
      <c r="U79" s="23" t="s">
        <v>124</v>
      </c>
      <c r="V79" s="23" t="s">
        <v>125</v>
      </c>
      <c r="W79" s="23" t="s">
        <v>136</v>
      </c>
      <c r="X79" s="23" t="s">
        <v>127</v>
      </c>
      <c r="Y79" s="23" t="s">
        <v>128</v>
      </c>
      <c r="Z79" s="23" t="s">
        <v>189</v>
      </c>
      <c r="AA79" s="23" t="s">
        <v>131</v>
      </c>
    </row>
    <row r="80" customFormat="false" ht="15" hidden="false" customHeight="false" outlineLevel="0" collapsed="false">
      <c r="A80" s="23" t="s">
        <v>190</v>
      </c>
      <c r="B80" s="23" t="s">
        <v>95</v>
      </c>
      <c r="C80" s="23" t="s">
        <v>119</v>
      </c>
      <c r="D80" s="23" t="s">
        <v>120</v>
      </c>
      <c r="E80" s="23" t="s">
        <v>121</v>
      </c>
      <c r="F80" s="24" t="n">
        <v>5580.9</v>
      </c>
      <c r="G80" s="24" t="n">
        <v>7772.93</v>
      </c>
      <c r="H80" s="24" t="n">
        <v>7784.72</v>
      </c>
      <c r="I80" s="24" t="n">
        <v>7639.14</v>
      </c>
      <c r="J80" s="24" t="n">
        <v>7769.08</v>
      </c>
      <c r="K80" s="24" t="n">
        <v>7888.44</v>
      </c>
      <c r="L80" s="24" t="n">
        <v>8003.2</v>
      </c>
      <c r="M80" s="24" t="n">
        <v>8096.31</v>
      </c>
      <c r="N80" s="24" t="n">
        <v>8176.43</v>
      </c>
      <c r="O80" s="24" t="n">
        <v>8256.55</v>
      </c>
      <c r="P80" s="24" t="n">
        <v>8336.67</v>
      </c>
      <c r="Q80" s="23"/>
      <c r="R80" s="23" t="s">
        <v>122</v>
      </c>
      <c r="S80" s="23" t="s">
        <v>123</v>
      </c>
      <c r="T80" s="23"/>
      <c r="U80" s="23" t="s">
        <v>124</v>
      </c>
      <c r="V80" s="23" t="s">
        <v>125</v>
      </c>
      <c r="W80" s="23" t="s">
        <v>191</v>
      </c>
      <c r="X80" s="23" t="s">
        <v>127</v>
      </c>
      <c r="Y80" s="23" t="s">
        <v>128</v>
      </c>
      <c r="Z80" s="23" t="s">
        <v>192</v>
      </c>
      <c r="AA80" s="23" t="s">
        <v>130</v>
      </c>
    </row>
    <row r="81" customFormat="false" ht="15" hidden="false" customHeight="false" outlineLevel="0" collapsed="false">
      <c r="A81" s="23" t="s">
        <v>190</v>
      </c>
      <c r="B81" s="23" t="s">
        <v>87</v>
      </c>
      <c r="C81" s="23" t="s">
        <v>119</v>
      </c>
      <c r="D81" s="23" t="s">
        <v>120</v>
      </c>
      <c r="E81" s="23" t="s">
        <v>121</v>
      </c>
      <c r="F81" s="24" t="n">
        <v>68809.21</v>
      </c>
      <c r="G81" s="24" t="n">
        <v>72109.36</v>
      </c>
      <c r="H81" s="24" t="n">
        <v>73607.23</v>
      </c>
      <c r="I81" s="24" t="n">
        <v>74792.13</v>
      </c>
      <c r="J81" s="24" t="n">
        <v>75595.51</v>
      </c>
      <c r="K81" s="24" t="n">
        <v>76406.28</v>
      </c>
      <c r="L81" s="24" t="n">
        <v>77223.84</v>
      </c>
      <c r="M81" s="24" t="n">
        <v>78041.38</v>
      </c>
      <c r="N81" s="24" t="n">
        <v>78858.89</v>
      </c>
      <c r="O81" s="24" t="n">
        <v>79676.49</v>
      </c>
      <c r="P81" s="24" t="n">
        <v>80494.07</v>
      </c>
      <c r="Q81" s="23"/>
      <c r="R81" s="23" t="s">
        <v>122</v>
      </c>
      <c r="S81" s="23" t="s">
        <v>123</v>
      </c>
      <c r="T81" s="23"/>
      <c r="U81" s="23" t="s">
        <v>124</v>
      </c>
      <c r="V81" s="23" t="s">
        <v>125</v>
      </c>
      <c r="W81" s="23" t="s">
        <v>191</v>
      </c>
      <c r="X81" s="23" t="s">
        <v>127</v>
      </c>
      <c r="Y81" s="23" t="s">
        <v>128</v>
      </c>
      <c r="Z81" s="23" t="s">
        <v>192</v>
      </c>
      <c r="AA81" s="23" t="s">
        <v>131</v>
      </c>
    </row>
    <row r="82" customFormat="false" ht="15" hidden="false" customHeight="false" outlineLevel="0" collapsed="false">
      <c r="A82" s="23" t="s">
        <v>190</v>
      </c>
      <c r="B82" s="23" t="s">
        <v>91</v>
      </c>
      <c r="C82" s="23" t="s">
        <v>119</v>
      </c>
      <c r="D82" s="23" t="s">
        <v>120</v>
      </c>
      <c r="E82" s="23" t="s">
        <v>121</v>
      </c>
      <c r="F82" s="24" t="n">
        <v>29046.8</v>
      </c>
      <c r="G82" s="24" t="n">
        <v>29709.06</v>
      </c>
      <c r="H82" s="24" t="n">
        <v>30042.43</v>
      </c>
      <c r="I82" s="24" t="n">
        <v>30587.42</v>
      </c>
      <c r="J82" s="24" t="n">
        <v>30974.21</v>
      </c>
      <c r="K82" s="24" t="n">
        <v>31318.92</v>
      </c>
      <c r="L82" s="24" t="n">
        <v>31671.26</v>
      </c>
      <c r="M82" s="24" t="n">
        <v>32047.73</v>
      </c>
      <c r="N82" s="24" t="n">
        <v>32439.86</v>
      </c>
      <c r="O82" s="24" t="n">
        <v>32838.41</v>
      </c>
      <c r="P82" s="24" t="n">
        <v>33234.3</v>
      </c>
      <c r="Q82" s="23"/>
      <c r="R82" s="23" t="s">
        <v>122</v>
      </c>
      <c r="S82" s="23" t="s">
        <v>123</v>
      </c>
      <c r="T82" s="23"/>
      <c r="U82" s="23" t="s">
        <v>124</v>
      </c>
      <c r="V82" s="23" t="s">
        <v>125</v>
      </c>
      <c r="W82" s="23" t="s">
        <v>191</v>
      </c>
      <c r="X82" s="23" t="s">
        <v>127</v>
      </c>
      <c r="Y82" s="23" t="s">
        <v>128</v>
      </c>
      <c r="Z82" s="23" t="s">
        <v>192</v>
      </c>
      <c r="AA82" s="23" t="s">
        <v>132</v>
      </c>
    </row>
    <row r="83" customFormat="false" ht="15" hidden="false" customHeight="false" outlineLevel="0" collapsed="false">
      <c r="A83" s="23" t="s">
        <v>193</v>
      </c>
      <c r="B83" s="23" t="s">
        <v>95</v>
      </c>
      <c r="C83" s="23" t="s">
        <v>119</v>
      </c>
      <c r="D83" s="23" t="s">
        <v>120</v>
      </c>
      <c r="E83" s="23" t="s">
        <v>121</v>
      </c>
      <c r="F83" s="24" t="n">
        <v>1710.38</v>
      </c>
      <c r="G83" s="24" t="n">
        <v>1794</v>
      </c>
      <c r="H83" s="24" t="n">
        <v>1804.5</v>
      </c>
      <c r="I83" s="24" t="n">
        <v>1972.11</v>
      </c>
      <c r="J83" s="24" t="n">
        <v>2031.91</v>
      </c>
      <c r="K83" s="24" t="n">
        <v>2137.59</v>
      </c>
      <c r="L83" s="24" t="n">
        <v>2236.77</v>
      </c>
      <c r="M83" s="24" t="n">
        <v>2264.1</v>
      </c>
      <c r="N83" s="24" t="n">
        <v>2290.02</v>
      </c>
      <c r="O83" s="24" t="n">
        <v>2320.44</v>
      </c>
      <c r="P83" s="24" t="n">
        <v>2356</v>
      </c>
      <c r="Q83" s="23"/>
      <c r="R83" s="23" t="s">
        <v>122</v>
      </c>
      <c r="S83" s="23" t="s">
        <v>123</v>
      </c>
      <c r="T83" s="23"/>
      <c r="U83" s="23" t="s">
        <v>124</v>
      </c>
      <c r="V83" s="23" t="s">
        <v>125</v>
      </c>
      <c r="W83" s="23" t="s">
        <v>126</v>
      </c>
      <c r="X83" s="23" t="s">
        <v>127</v>
      </c>
      <c r="Y83" s="23" t="s">
        <v>128</v>
      </c>
      <c r="Z83" s="23" t="s">
        <v>194</v>
      </c>
      <c r="AA83" s="23" t="s">
        <v>130</v>
      </c>
    </row>
    <row r="84" customFormat="false" ht="15" hidden="false" customHeight="false" outlineLevel="0" collapsed="false">
      <c r="A84" s="23" t="s">
        <v>193</v>
      </c>
      <c r="B84" s="23" t="s">
        <v>87</v>
      </c>
      <c r="C84" s="23" t="s">
        <v>119</v>
      </c>
      <c r="D84" s="23" t="s">
        <v>120</v>
      </c>
      <c r="E84" s="23" t="s">
        <v>121</v>
      </c>
      <c r="F84" s="24" t="n">
        <v>5661.27</v>
      </c>
      <c r="G84" s="24" t="n">
        <v>5506.77</v>
      </c>
      <c r="H84" s="24" t="n">
        <v>4173.69</v>
      </c>
      <c r="I84" s="24" t="n">
        <v>3971.29</v>
      </c>
      <c r="J84" s="24" t="n">
        <v>4316.6</v>
      </c>
      <c r="K84" s="24" t="n">
        <v>4235.82</v>
      </c>
      <c r="L84" s="24" t="n">
        <v>4469.99</v>
      </c>
      <c r="M84" s="24" t="n">
        <v>4700.93</v>
      </c>
      <c r="N84" s="24" t="n">
        <v>4870.87</v>
      </c>
      <c r="O84" s="24" t="n">
        <v>4971.53</v>
      </c>
      <c r="P84" s="24" t="n">
        <v>5013.87</v>
      </c>
      <c r="Q84" s="23"/>
      <c r="R84" s="23" t="s">
        <v>122</v>
      </c>
      <c r="S84" s="23" t="s">
        <v>123</v>
      </c>
      <c r="T84" s="23"/>
      <c r="U84" s="23" t="s">
        <v>124</v>
      </c>
      <c r="V84" s="23" t="s">
        <v>125</v>
      </c>
      <c r="W84" s="23" t="s">
        <v>126</v>
      </c>
      <c r="X84" s="23" t="s">
        <v>127</v>
      </c>
      <c r="Y84" s="23" t="s">
        <v>128</v>
      </c>
      <c r="Z84" s="23" t="s">
        <v>194</v>
      </c>
      <c r="AA84" s="23" t="s">
        <v>131</v>
      </c>
    </row>
    <row r="85" customFormat="false" ht="15" hidden="false" customHeight="false" outlineLevel="0" collapsed="false">
      <c r="A85" s="23" t="s">
        <v>193</v>
      </c>
      <c r="B85" s="23" t="s">
        <v>91</v>
      </c>
      <c r="C85" s="23" t="s">
        <v>119</v>
      </c>
      <c r="D85" s="23" t="s">
        <v>120</v>
      </c>
      <c r="E85" s="23" t="s">
        <v>121</v>
      </c>
      <c r="F85" s="24" t="n">
        <v>1473.41</v>
      </c>
      <c r="G85" s="24" t="n">
        <v>1417.14</v>
      </c>
      <c r="H85" s="24" t="n">
        <v>1075.62</v>
      </c>
      <c r="I85" s="24" t="n">
        <v>1041.79</v>
      </c>
      <c r="J85" s="24" t="n">
        <v>1143.79</v>
      </c>
      <c r="K85" s="24" t="n">
        <v>1129.95</v>
      </c>
      <c r="L85" s="24" t="n">
        <v>1198.18</v>
      </c>
      <c r="M85" s="24" t="n">
        <v>1264.67</v>
      </c>
      <c r="N85" s="24" t="n">
        <v>1313.97</v>
      </c>
      <c r="O85" s="24" t="n">
        <v>1344.5</v>
      </c>
      <c r="P85" s="24" t="n">
        <v>1359.46</v>
      </c>
      <c r="Q85" s="23"/>
      <c r="R85" s="23" t="s">
        <v>122</v>
      </c>
      <c r="S85" s="23" t="s">
        <v>123</v>
      </c>
      <c r="T85" s="23"/>
      <c r="U85" s="23" t="s">
        <v>124</v>
      </c>
      <c r="V85" s="23" t="s">
        <v>125</v>
      </c>
      <c r="W85" s="23" t="s">
        <v>126</v>
      </c>
      <c r="X85" s="23" t="s">
        <v>127</v>
      </c>
      <c r="Y85" s="23" t="s">
        <v>128</v>
      </c>
      <c r="Z85" s="23" t="s">
        <v>194</v>
      </c>
      <c r="AA85" s="23" t="s">
        <v>132</v>
      </c>
    </row>
    <row r="86" customFormat="false" ht="15" hidden="false" customHeight="false" outlineLevel="0" collapsed="false">
      <c r="A86" s="23" t="s">
        <v>195</v>
      </c>
      <c r="B86" s="23" t="s">
        <v>87</v>
      </c>
      <c r="C86" s="23" t="s">
        <v>119</v>
      </c>
      <c r="D86" s="23" t="s">
        <v>120</v>
      </c>
      <c r="E86" s="23" t="s">
        <v>121</v>
      </c>
      <c r="F86" s="24" t="n">
        <v>1776.9</v>
      </c>
      <c r="G86" s="24" t="n">
        <v>1757.56</v>
      </c>
      <c r="H86" s="24" t="n">
        <v>1818.27</v>
      </c>
      <c r="I86" s="24" t="n">
        <v>1850.33</v>
      </c>
      <c r="J86" s="24" t="n">
        <v>1879.87</v>
      </c>
      <c r="K86" s="24" t="n">
        <v>1903.21</v>
      </c>
      <c r="L86" s="24" t="n">
        <v>1937.4</v>
      </c>
      <c r="M86" s="24" t="n">
        <v>1970.09</v>
      </c>
      <c r="N86" s="24" t="n">
        <v>2003.48</v>
      </c>
      <c r="O86" s="24" t="n">
        <v>2037.49</v>
      </c>
      <c r="P86" s="24" t="n">
        <v>2072.08</v>
      </c>
      <c r="Q86" s="23"/>
      <c r="R86" s="23" t="s">
        <v>122</v>
      </c>
      <c r="S86" s="23" t="s">
        <v>123</v>
      </c>
      <c r="T86" s="23"/>
      <c r="U86" s="23" t="s">
        <v>124</v>
      </c>
      <c r="V86" s="23" t="s">
        <v>125</v>
      </c>
      <c r="W86" s="23" t="s">
        <v>136</v>
      </c>
      <c r="X86" s="23" t="s">
        <v>127</v>
      </c>
      <c r="Y86" s="23" t="s">
        <v>128</v>
      </c>
      <c r="Z86" s="23" t="s">
        <v>196</v>
      </c>
      <c r="AA86" s="23" t="s">
        <v>131</v>
      </c>
    </row>
    <row r="87" customFormat="false" ht="15" hidden="false" customHeight="false" outlineLevel="0" collapsed="false">
      <c r="A87" s="23" t="s">
        <v>195</v>
      </c>
      <c r="B87" s="23" t="s">
        <v>91</v>
      </c>
      <c r="C87" s="23" t="s">
        <v>119</v>
      </c>
      <c r="D87" s="23" t="s">
        <v>120</v>
      </c>
      <c r="E87" s="23" t="s">
        <v>121</v>
      </c>
      <c r="F87" s="24" t="n">
        <v>672.77</v>
      </c>
      <c r="G87" s="24" t="n">
        <v>657.73</v>
      </c>
      <c r="H87" s="24" t="n">
        <v>683.3</v>
      </c>
      <c r="I87" s="24" t="n">
        <v>698.69</v>
      </c>
      <c r="J87" s="24" t="n">
        <v>715.34</v>
      </c>
      <c r="K87" s="24" t="n">
        <v>728.41</v>
      </c>
      <c r="L87" s="24" t="n">
        <v>745.39</v>
      </c>
      <c r="M87" s="24" t="n">
        <v>760.38</v>
      </c>
      <c r="N87" s="24" t="n">
        <v>774.06</v>
      </c>
      <c r="O87" s="24" t="n">
        <v>787.84</v>
      </c>
      <c r="P87" s="24" t="n">
        <v>801.54</v>
      </c>
      <c r="Q87" s="23"/>
      <c r="R87" s="23" t="s">
        <v>122</v>
      </c>
      <c r="S87" s="23" t="s">
        <v>123</v>
      </c>
      <c r="T87" s="23"/>
      <c r="U87" s="23" t="s">
        <v>124</v>
      </c>
      <c r="V87" s="23" t="s">
        <v>125</v>
      </c>
      <c r="W87" s="23" t="s">
        <v>136</v>
      </c>
      <c r="X87" s="23" t="s">
        <v>127</v>
      </c>
      <c r="Y87" s="23" t="s">
        <v>128</v>
      </c>
      <c r="Z87" s="23" t="s">
        <v>196</v>
      </c>
      <c r="AA87" s="23" t="s">
        <v>132</v>
      </c>
    </row>
    <row r="88" customFormat="false" ht="15" hidden="false" customHeight="false" outlineLevel="0" collapsed="false">
      <c r="A88" s="23" t="s">
        <v>197</v>
      </c>
      <c r="B88" s="23" t="s">
        <v>95</v>
      </c>
      <c r="C88" s="23" t="s">
        <v>119</v>
      </c>
      <c r="D88" s="23" t="s">
        <v>120</v>
      </c>
      <c r="E88" s="23" t="s">
        <v>121</v>
      </c>
      <c r="F88" s="24" t="n">
        <v>4673.89</v>
      </c>
      <c r="G88" s="24" t="n">
        <v>4236.83</v>
      </c>
      <c r="H88" s="24" t="n">
        <v>4136.72</v>
      </c>
      <c r="I88" s="24" t="n">
        <v>4192.91</v>
      </c>
      <c r="J88" s="24" t="n">
        <v>4305.92</v>
      </c>
      <c r="K88" s="24" t="n">
        <v>4456.92</v>
      </c>
      <c r="L88" s="24" t="n">
        <v>4632.98</v>
      </c>
      <c r="M88" s="24" t="n">
        <v>4684.57</v>
      </c>
      <c r="N88" s="24" t="n">
        <v>4733.48</v>
      </c>
      <c r="O88" s="24" t="n">
        <v>4835.97</v>
      </c>
      <c r="P88" s="24" t="n">
        <v>4885.74</v>
      </c>
      <c r="Q88" s="23"/>
      <c r="R88" s="23" t="s">
        <v>122</v>
      </c>
      <c r="S88" s="23" t="s">
        <v>123</v>
      </c>
      <c r="T88" s="23"/>
      <c r="U88" s="23" t="s">
        <v>124</v>
      </c>
      <c r="V88" s="23" t="s">
        <v>125</v>
      </c>
      <c r="W88" s="23" t="s">
        <v>126</v>
      </c>
      <c r="X88" s="23" t="s">
        <v>127</v>
      </c>
      <c r="Y88" s="23" t="s">
        <v>128</v>
      </c>
      <c r="Z88" s="23" t="s">
        <v>198</v>
      </c>
      <c r="AA88" s="23" t="s">
        <v>130</v>
      </c>
    </row>
    <row r="89" customFormat="false" ht="15" hidden="false" customHeight="false" outlineLevel="0" collapsed="false">
      <c r="A89" s="23" t="s">
        <v>197</v>
      </c>
      <c r="B89" s="23" t="s">
        <v>87</v>
      </c>
      <c r="C89" s="23" t="s">
        <v>119</v>
      </c>
      <c r="D89" s="23" t="s">
        <v>120</v>
      </c>
      <c r="E89" s="23" t="s">
        <v>121</v>
      </c>
      <c r="F89" s="24" t="n">
        <v>21612.63</v>
      </c>
      <c r="G89" s="24" t="n">
        <v>21060.15</v>
      </c>
      <c r="H89" s="24" t="n">
        <v>21221.43</v>
      </c>
      <c r="I89" s="24" t="n">
        <v>21809.69</v>
      </c>
      <c r="J89" s="24" t="n">
        <v>22291.65</v>
      </c>
      <c r="K89" s="24" t="n">
        <v>22715.42</v>
      </c>
      <c r="L89" s="24" t="n">
        <v>23364.1</v>
      </c>
      <c r="M89" s="24" t="n">
        <v>23826.34</v>
      </c>
      <c r="N89" s="24" t="n">
        <v>24260.56</v>
      </c>
      <c r="O89" s="24" t="n">
        <v>24704.03</v>
      </c>
      <c r="P89" s="24" t="n">
        <v>25105.06</v>
      </c>
      <c r="Q89" s="23"/>
      <c r="R89" s="23" t="s">
        <v>122</v>
      </c>
      <c r="S89" s="23" t="s">
        <v>123</v>
      </c>
      <c r="T89" s="23"/>
      <c r="U89" s="23" t="s">
        <v>124</v>
      </c>
      <c r="V89" s="23" t="s">
        <v>125</v>
      </c>
      <c r="W89" s="23" t="s">
        <v>126</v>
      </c>
      <c r="X89" s="23" t="s">
        <v>127</v>
      </c>
      <c r="Y89" s="23" t="s">
        <v>128</v>
      </c>
      <c r="Z89" s="23" t="s">
        <v>198</v>
      </c>
      <c r="AA89" s="23" t="s">
        <v>131</v>
      </c>
    </row>
    <row r="90" customFormat="false" ht="15" hidden="false" customHeight="false" outlineLevel="0" collapsed="false">
      <c r="A90" s="23" t="s">
        <v>197</v>
      </c>
      <c r="B90" s="23" t="s">
        <v>91</v>
      </c>
      <c r="C90" s="23" t="s">
        <v>119</v>
      </c>
      <c r="D90" s="23" t="s">
        <v>120</v>
      </c>
      <c r="E90" s="23" t="s">
        <v>121</v>
      </c>
      <c r="F90" s="24" t="n">
        <v>12978.18</v>
      </c>
      <c r="G90" s="24" t="n">
        <v>12696.28</v>
      </c>
      <c r="H90" s="24" t="n">
        <v>12685.81</v>
      </c>
      <c r="I90" s="24" t="n">
        <v>12913.57</v>
      </c>
      <c r="J90" s="24" t="n">
        <v>13191.69</v>
      </c>
      <c r="K90" s="24" t="n">
        <v>13459.45</v>
      </c>
      <c r="L90" s="24" t="n">
        <v>13842.23</v>
      </c>
      <c r="M90" s="24" t="n">
        <v>14135.91</v>
      </c>
      <c r="N90" s="24" t="n">
        <v>14395.95</v>
      </c>
      <c r="O90" s="24" t="n">
        <v>14667.04</v>
      </c>
      <c r="P90" s="24" t="n">
        <v>14917.43</v>
      </c>
      <c r="Q90" s="23"/>
      <c r="R90" s="23" t="s">
        <v>122</v>
      </c>
      <c r="S90" s="23" t="s">
        <v>123</v>
      </c>
      <c r="T90" s="23"/>
      <c r="U90" s="23" t="s">
        <v>124</v>
      </c>
      <c r="V90" s="23" t="s">
        <v>125</v>
      </c>
      <c r="W90" s="23" t="s">
        <v>126</v>
      </c>
      <c r="X90" s="23" t="s">
        <v>127</v>
      </c>
      <c r="Y90" s="23" t="s">
        <v>128</v>
      </c>
      <c r="Z90" s="23" t="s">
        <v>198</v>
      </c>
      <c r="AA90" s="23" t="s">
        <v>132</v>
      </c>
    </row>
    <row r="91" customFormat="false" ht="15" hidden="false" customHeight="false" outlineLevel="0" collapsed="false">
      <c r="A91" s="23" t="s">
        <v>199</v>
      </c>
      <c r="B91" s="23" t="s">
        <v>95</v>
      </c>
      <c r="C91" s="23" t="s">
        <v>119</v>
      </c>
      <c r="D91" s="23" t="s">
        <v>120</v>
      </c>
      <c r="E91" s="23" t="s">
        <v>121</v>
      </c>
      <c r="F91" s="24" t="n">
        <v>2245.04</v>
      </c>
      <c r="G91" s="24" t="n">
        <v>2233.83</v>
      </c>
      <c r="H91" s="24" t="n">
        <v>2324.62</v>
      </c>
      <c r="I91" s="24" t="n">
        <v>2399.72</v>
      </c>
      <c r="J91" s="24" t="n">
        <v>2466.17</v>
      </c>
      <c r="K91" s="24" t="n">
        <v>2538.56</v>
      </c>
      <c r="L91" s="24" t="n">
        <v>2619.05</v>
      </c>
      <c r="M91" s="24" t="n">
        <v>2684.24</v>
      </c>
      <c r="N91" s="24" t="n">
        <v>2758.69</v>
      </c>
      <c r="O91" s="24" t="n">
        <v>2830.04</v>
      </c>
      <c r="P91" s="24" t="n">
        <v>2899.45</v>
      </c>
      <c r="Q91" s="23"/>
      <c r="R91" s="23" t="s">
        <v>122</v>
      </c>
      <c r="S91" s="23" t="s">
        <v>123</v>
      </c>
      <c r="T91" s="23"/>
      <c r="U91" s="23" t="s">
        <v>124</v>
      </c>
      <c r="V91" s="23" t="s">
        <v>125</v>
      </c>
      <c r="W91" s="23" t="s">
        <v>136</v>
      </c>
      <c r="X91" s="23" t="s">
        <v>127</v>
      </c>
      <c r="Y91" s="23" t="s">
        <v>128</v>
      </c>
      <c r="Z91" s="23" t="s">
        <v>200</v>
      </c>
      <c r="AA91" s="23" t="s">
        <v>130</v>
      </c>
    </row>
    <row r="92" customFormat="false" ht="15" hidden="false" customHeight="false" outlineLevel="0" collapsed="false">
      <c r="A92" s="23" t="s">
        <v>199</v>
      </c>
      <c r="B92" s="23" t="s">
        <v>87</v>
      </c>
      <c r="C92" s="23" t="s">
        <v>119</v>
      </c>
      <c r="D92" s="23" t="s">
        <v>120</v>
      </c>
      <c r="E92" s="23" t="s">
        <v>121</v>
      </c>
      <c r="F92" s="24" t="n">
        <v>33822.8</v>
      </c>
      <c r="G92" s="24" t="n">
        <v>33979.09</v>
      </c>
      <c r="H92" s="24" t="n">
        <v>34543.98</v>
      </c>
      <c r="I92" s="24" t="n">
        <v>35350.31</v>
      </c>
      <c r="J92" s="24" t="n">
        <v>36446.85</v>
      </c>
      <c r="K92" s="24" t="n">
        <v>37595.44</v>
      </c>
      <c r="L92" s="24" t="n">
        <v>38802.07</v>
      </c>
      <c r="M92" s="24" t="n">
        <v>40071.41</v>
      </c>
      <c r="N92" s="24" t="n">
        <v>41340.71</v>
      </c>
      <c r="O92" s="24" t="n">
        <v>42610.03</v>
      </c>
      <c r="P92" s="24" t="n">
        <v>43879.38</v>
      </c>
      <c r="Q92" s="23"/>
      <c r="R92" s="23" t="s">
        <v>122</v>
      </c>
      <c r="S92" s="23" t="s">
        <v>123</v>
      </c>
      <c r="T92" s="23"/>
      <c r="U92" s="23" t="s">
        <v>124</v>
      </c>
      <c r="V92" s="23" t="s">
        <v>125</v>
      </c>
      <c r="W92" s="23" t="s">
        <v>136</v>
      </c>
      <c r="X92" s="23" t="s">
        <v>127</v>
      </c>
      <c r="Y92" s="23" t="s">
        <v>128</v>
      </c>
      <c r="Z92" s="23" t="s">
        <v>200</v>
      </c>
      <c r="AA92" s="23" t="s">
        <v>131</v>
      </c>
    </row>
    <row r="93" customFormat="false" ht="15" hidden="false" customHeight="false" outlineLevel="0" collapsed="false">
      <c r="A93" s="23" t="s">
        <v>199</v>
      </c>
      <c r="B93" s="23" t="s">
        <v>91</v>
      </c>
      <c r="C93" s="23" t="s">
        <v>119</v>
      </c>
      <c r="D93" s="23" t="s">
        <v>120</v>
      </c>
      <c r="E93" s="23" t="s">
        <v>121</v>
      </c>
      <c r="F93" s="24" t="n">
        <v>11061.7</v>
      </c>
      <c r="G93" s="24" t="n">
        <v>11191.31</v>
      </c>
      <c r="H93" s="24" t="n">
        <v>11496.57</v>
      </c>
      <c r="I93" s="24" t="n">
        <v>11860.1</v>
      </c>
      <c r="J93" s="24" t="n">
        <v>12226.04</v>
      </c>
      <c r="K93" s="24" t="n">
        <v>12620.28</v>
      </c>
      <c r="L93" s="24" t="n">
        <v>13035.44</v>
      </c>
      <c r="M93" s="24" t="n">
        <v>13493.68</v>
      </c>
      <c r="N93" s="24" t="n">
        <v>13953.22</v>
      </c>
      <c r="O93" s="24" t="n">
        <v>14413.18</v>
      </c>
      <c r="P93" s="24" t="n">
        <v>14872.82</v>
      </c>
      <c r="Q93" s="23"/>
      <c r="R93" s="23" t="s">
        <v>122</v>
      </c>
      <c r="S93" s="23" t="s">
        <v>123</v>
      </c>
      <c r="T93" s="23"/>
      <c r="U93" s="23" t="s">
        <v>124</v>
      </c>
      <c r="V93" s="23" t="s">
        <v>125</v>
      </c>
      <c r="W93" s="23" t="s">
        <v>136</v>
      </c>
      <c r="X93" s="23" t="s">
        <v>127</v>
      </c>
      <c r="Y93" s="23" t="s">
        <v>128</v>
      </c>
      <c r="Z93" s="23" t="s">
        <v>200</v>
      </c>
      <c r="AA93" s="23" t="s">
        <v>132</v>
      </c>
    </row>
    <row r="94" customFormat="false" ht="15" hidden="false" customHeight="false" outlineLevel="0" collapsed="false">
      <c r="A94" s="23" t="s">
        <v>201</v>
      </c>
      <c r="B94" s="23" t="s">
        <v>95</v>
      </c>
      <c r="C94" s="23" t="s">
        <v>119</v>
      </c>
      <c r="D94" s="23" t="s">
        <v>120</v>
      </c>
      <c r="E94" s="23" t="s">
        <v>121</v>
      </c>
      <c r="F94" s="24" t="n">
        <v>435.23</v>
      </c>
      <c r="G94" s="24" t="n">
        <v>451.92</v>
      </c>
      <c r="H94" s="24" t="n">
        <v>478.68</v>
      </c>
      <c r="I94" s="24" t="n">
        <v>515.75</v>
      </c>
      <c r="J94" s="24" t="n">
        <v>537.13</v>
      </c>
      <c r="K94" s="24" t="n">
        <v>558.51</v>
      </c>
      <c r="L94" s="24" t="n">
        <v>579.89</v>
      </c>
      <c r="M94" s="24" t="n">
        <v>601.27</v>
      </c>
      <c r="N94" s="24" t="n">
        <v>622.66</v>
      </c>
      <c r="O94" s="24" t="n">
        <v>644.04</v>
      </c>
      <c r="P94" s="24" t="n">
        <v>665.42</v>
      </c>
      <c r="Q94" s="23"/>
      <c r="R94" s="23" t="s">
        <v>122</v>
      </c>
      <c r="S94" s="23" t="s">
        <v>123</v>
      </c>
      <c r="T94" s="23"/>
      <c r="U94" s="23" t="s">
        <v>124</v>
      </c>
      <c r="V94" s="23" t="s">
        <v>125</v>
      </c>
      <c r="W94" s="23" t="s">
        <v>202</v>
      </c>
      <c r="X94" s="23" t="s">
        <v>127</v>
      </c>
      <c r="Y94" s="23" t="s">
        <v>128</v>
      </c>
      <c r="Z94" s="23" t="s">
        <v>203</v>
      </c>
      <c r="AA94" s="23" t="s">
        <v>130</v>
      </c>
    </row>
    <row r="95" customFormat="false" ht="15" hidden="false" customHeight="false" outlineLevel="0" collapsed="false">
      <c r="A95" s="23" t="s">
        <v>201</v>
      </c>
      <c r="B95" s="23" t="s">
        <v>87</v>
      </c>
      <c r="C95" s="23" t="s">
        <v>119</v>
      </c>
      <c r="D95" s="23" t="s">
        <v>120</v>
      </c>
      <c r="E95" s="23" t="s">
        <v>121</v>
      </c>
      <c r="F95" s="24" t="n">
        <v>682.82</v>
      </c>
      <c r="G95" s="24" t="n">
        <v>829.18</v>
      </c>
      <c r="H95" s="24" t="n">
        <v>974.87</v>
      </c>
      <c r="I95" s="24" t="n">
        <v>1228.9</v>
      </c>
      <c r="J95" s="24" t="n">
        <v>1479.89</v>
      </c>
      <c r="K95" s="24" t="n">
        <v>1731.58</v>
      </c>
      <c r="L95" s="24" t="n">
        <v>1991.66</v>
      </c>
      <c r="M95" s="24" t="n">
        <v>2253.84</v>
      </c>
      <c r="N95" s="24" t="n">
        <v>2516.02</v>
      </c>
      <c r="O95" s="24" t="n">
        <v>2778.2</v>
      </c>
      <c r="P95" s="24" t="n">
        <v>3040.38</v>
      </c>
      <c r="Q95" s="23"/>
      <c r="R95" s="23" t="s">
        <v>122</v>
      </c>
      <c r="S95" s="23" t="s">
        <v>123</v>
      </c>
      <c r="T95" s="23"/>
      <c r="U95" s="23" t="s">
        <v>124</v>
      </c>
      <c r="V95" s="23" t="s">
        <v>125</v>
      </c>
      <c r="W95" s="23" t="s">
        <v>202</v>
      </c>
      <c r="X95" s="23" t="s">
        <v>127</v>
      </c>
      <c r="Y95" s="23" t="s">
        <v>128</v>
      </c>
      <c r="Z95" s="23" t="s">
        <v>203</v>
      </c>
      <c r="AA95" s="23" t="s">
        <v>131</v>
      </c>
    </row>
    <row r="96" customFormat="false" ht="15" hidden="false" customHeight="false" outlineLevel="0" collapsed="false">
      <c r="A96" s="23" t="s">
        <v>201</v>
      </c>
      <c r="B96" s="23" t="s">
        <v>91</v>
      </c>
      <c r="C96" s="23" t="s">
        <v>119</v>
      </c>
      <c r="D96" s="23" t="s">
        <v>120</v>
      </c>
      <c r="E96" s="23" t="s">
        <v>121</v>
      </c>
      <c r="F96" s="24" t="n">
        <v>488.25</v>
      </c>
      <c r="G96" s="24" t="n">
        <v>593.62</v>
      </c>
      <c r="H96" s="24" t="n">
        <v>697.74</v>
      </c>
      <c r="I96" s="24" t="n">
        <v>879.26</v>
      </c>
      <c r="J96" s="24" t="n">
        <v>1029.47</v>
      </c>
      <c r="K96" s="24" t="n">
        <v>1164.45</v>
      </c>
      <c r="L96" s="24" t="n">
        <v>1327.73</v>
      </c>
      <c r="M96" s="24" t="n">
        <v>1526.27</v>
      </c>
      <c r="N96" s="24" t="n">
        <v>1724.8</v>
      </c>
      <c r="O96" s="24" t="n">
        <v>1923.34</v>
      </c>
      <c r="P96" s="24" t="n">
        <v>2121.19</v>
      </c>
      <c r="Q96" s="23"/>
      <c r="R96" s="23" t="s">
        <v>122</v>
      </c>
      <c r="S96" s="23" t="s">
        <v>123</v>
      </c>
      <c r="T96" s="23"/>
      <c r="U96" s="23" t="s">
        <v>124</v>
      </c>
      <c r="V96" s="23" t="s">
        <v>125</v>
      </c>
      <c r="W96" s="23" t="s">
        <v>202</v>
      </c>
      <c r="X96" s="23" t="s">
        <v>127</v>
      </c>
      <c r="Y96" s="23" t="s">
        <v>128</v>
      </c>
      <c r="Z96" s="23" t="s">
        <v>203</v>
      </c>
      <c r="AA96" s="23" t="s">
        <v>132</v>
      </c>
    </row>
    <row r="97" customFormat="false" ht="15" hidden="false" customHeight="false" outlineLevel="0" collapsed="false">
      <c r="A97" s="23" t="s">
        <v>204</v>
      </c>
      <c r="B97" s="23" t="s">
        <v>95</v>
      </c>
      <c r="C97" s="23" t="s">
        <v>119</v>
      </c>
      <c r="D97" s="23" t="s">
        <v>120</v>
      </c>
      <c r="E97" s="23" t="s">
        <v>121</v>
      </c>
      <c r="F97" s="24" t="n">
        <v>43128.41</v>
      </c>
      <c r="G97" s="24" t="n">
        <v>38987.46</v>
      </c>
      <c r="H97" s="24" t="n">
        <v>37654.73</v>
      </c>
      <c r="I97" s="24" t="n">
        <v>38088.28</v>
      </c>
      <c r="J97" s="24" t="n">
        <v>39843</v>
      </c>
      <c r="K97" s="24" t="n">
        <v>42156.43</v>
      </c>
      <c r="L97" s="24" t="n">
        <v>44140.87</v>
      </c>
      <c r="M97" s="24" t="n">
        <v>45548.36</v>
      </c>
      <c r="N97" s="24" t="n">
        <v>46744.58</v>
      </c>
      <c r="O97" s="24" t="n">
        <v>47878.78</v>
      </c>
      <c r="P97" s="24" t="n">
        <v>49009.75</v>
      </c>
      <c r="Q97" s="23"/>
      <c r="R97" s="23" t="s">
        <v>122</v>
      </c>
      <c r="S97" s="23" t="s">
        <v>123</v>
      </c>
      <c r="T97" s="23"/>
      <c r="U97" s="23" t="s">
        <v>124</v>
      </c>
      <c r="V97" s="23" t="s">
        <v>125</v>
      </c>
      <c r="W97" s="23" t="s">
        <v>126</v>
      </c>
      <c r="X97" s="23" t="s">
        <v>127</v>
      </c>
      <c r="Y97" s="23" t="s">
        <v>128</v>
      </c>
      <c r="Z97" s="23" t="s">
        <v>205</v>
      </c>
      <c r="AA97" s="23" t="s">
        <v>130</v>
      </c>
    </row>
    <row r="98" customFormat="false" ht="15" hidden="false" customHeight="false" outlineLevel="0" collapsed="false">
      <c r="A98" s="23" t="s">
        <v>204</v>
      </c>
      <c r="B98" s="23" t="s">
        <v>87</v>
      </c>
      <c r="C98" s="23" t="s">
        <v>119</v>
      </c>
      <c r="D98" s="23" t="s">
        <v>120</v>
      </c>
      <c r="E98" s="23" t="s">
        <v>121</v>
      </c>
      <c r="F98" s="24" t="n">
        <v>119495.8</v>
      </c>
      <c r="G98" s="24" t="n">
        <v>120733.2</v>
      </c>
      <c r="H98" s="24" t="n">
        <v>122577.2</v>
      </c>
      <c r="I98" s="24" t="n">
        <v>127217.4</v>
      </c>
      <c r="J98" s="24" t="n">
        <v>134054</v>
      </c>
      <c r="K98" s="24" t="n">
        <v>140458.5</v>
      </c>
      <c r="L98" s="24" t="n">
        <v>146491.6</v>
      </c>
      <c r="M98" s="24" t="n">
        <v>150795.3</v>
      </c>
      <c r="N98" s="24" t="n">
        <v>153181.5</v>
      </c>
      <c r="O98" s="24" t="n">
        <v>154892.2</v>
      </c>
      <c r="P98" s="24" t="n">
        <v>156919.5</v>
      </c>
      <c r="Q98" s="23"/>
      <c r="R98" s="23" t="s">
        <v>122</v>
      </c>
      <c r="S98" s="23" t="s">
        <v>123</v>
      </c>
      <c r="T98" s="23"/>
      <c r="U98" s="23" t="s">
        <v>124</v>
      </c>
      <c r="V98" s="23" t="s">
        <v>125</v>
      </c>
      <c r="W98" s="23" t="s">
        <v>126</v>
      </c>
      <c r="X98" s="23" t="s">
        <v>127</v>
      </c>
      <c r="Y98" s="23" t="s">
        <v>128</v>
      </c>
      <c r="Z98" s="23" t="s">
        <v>205</v>
      </c>
      <c r="AA98" s="23" t="s">
        <v>131</v>
      </c>
    </row>
    <row r="99" customFormat="false" ht="15" hidden="false" customHeight="false" outlineLevel="0" collapsed="false">
      <c r="A99" s="23" t="s">
        <v>204</v>
      </c>
      <c r="B99" s="23" t="s">
        <v>91</v>
      </c>
      <c r="C99" s="23" t="s">
        <v>119</v>
      </c>
      <c r="D99" s="23" t="s">
        <v>120</v>
      </c>
      <c r="E99" s="23" t="s">
        <v>121</v>
      </c>
      <c r="F99" s="24" t="n">
        <v>29269.27</v>
      </c>
      <c r="G99" s="24" t="n">
        <v>29680.24</v>
      </c>
      <c r="H99" s="24" t="n">
        <v>30645.3</v>
      </c>
      <c r="I99" s="24" t="n">
        <v>32284.96</v>
      </c>
      <c r="J99" s="24" t="n">
        <v>33868.75</v>
      </c>
      <c r="K99" s="24" t="n">
        <v>35386.47</v>
      </c>
      <c r="L99" s="24" t="n">
        <v>36660.07</v>
      </c>
      <c r="M99" s="24" t="n">
        <v>37687.74</v>
      </c>
      <c r="N99" s="24" t="n">
        <v>38633.56</v>
      </c>
      <c r="O99" s="24" t="n">
        <v>39378.3</v>
      </c>
      <c r="P99" s="24" t="n">
        <v>40072.83</v>
      </c>
      <c r="Q99" s="23"/>
      <c r="R99" s="23" t="s">
        <v>122</v>
      </c>
      <c r="S99" s="23" t="s">
        <v>123</v>
      </c>
      <c r="T99" s="23"/>
      <c r="U99" s="23" t="s">
        <v>124</v>
      </c>
      <c r="V99" s="23" t="s">
        <v>125</v>
      </c>
      <c r="W99" s="23" t="s">
        <v>126</v>
      </c>
      <c r="X99" s="23" t="s">
        <v>127</v>
      </c>
      <c r="Y99" s="23" t="s">
        <v>128</v>
      </c>
      <c r="Z99" s="23" t="s">
        <v>205</v>
      </c>
      <c r="AA99" s="23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AD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false" outlineLevel="0" max="24" min="24" style="0" width="13"/>
    <col collapsed="false" customWidth="true" hidden="false" outlineLevel="0" max="26" min="25" style="0" width="12"/>
    <col collapsed="false" customWidth="true" hidden="false" outlineLevel="0" max="30" min="27" style="0" width="11"/>
  </cols>
  <sheetData>
    <row r="1" customFormat="false" ht="27.75" hidden="false" customHeight="true" outlineLevel="0" collapsed="false">
      <c r="A1" s="1" t="s">
        <v>206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8" hidden="false" customHeight="true" outlineLevel="0" collapsed="false">
      <c r="A2" s="3" t="s">
        <v>207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10" t="s">
        <v>208</v>
      </c>
    </row>
    <row r="4" customFormat="false" ht="19.5" hidden="false" customHeight="true" outlineLevel="0" collapsed="false">
      <c r="A4" s="25" t="s">
        <v>209</v>
      </c>
      <c r="B4" s="25"/>
      <c r="C4" s="25"/>
      <c r="D4" s="25"/>
      <c r="E4" s="26" t="s">
        <v>210</v>
      </c>
      <c r="F4" s="26"/>
      <c r="G4" s="26"/>
      <c r="H4" s="26"/>
      <c r="I4" s="26"/>
      <c r="J4" s="27" t="s">
        <v>211</v>
      </c>
      <c r="K4" s="27"/>
      <c r="L4" s="27"/>
      <c r="M4" s="27"/>
      <c r="N4" s="27"/>
      <c r="O4" s="27"/>
      <c r="P4" s="27"/>
      <c r="Q4" s="28" t="s">
        <v>44</v>
      </c>
      <c r="R4" s="28"/>
      <c r="S4" s="28"/>
      <c r="T4" s="28"/>
      <c r="U4" s="28"/>
      <c r="V4" s="28"/>
      <c r="W4" s="29" t="s">
        <v>212</v>
      </c>
      <c r="X4" s="29"/>
      <c r="Y4" s="29"/>
      <c r="Z4" s="29"/>
      <c r="AA4" s="30" t="s">
        <v>213</v>
      </c>
      <c r="AB4" s="30"/>
      <c r="AC4" s="30"/>
      <c r="AD4" s="30"/>
    </row>
    <row r="5" customFormat="false" ht="42" hidden="false" customHeight="true" outlineLevel="0" collapsed="false">
      <c r="A5" s="31" t="s">
        <v>214</v>
      </c>
      <c r="B5" s="31" t="s">
        <v>215</v>
      </c>
      <c r="C5" s="31" t="s">
        <v>216</v>
      </c>
      <c r="D5" s="31" t="s">
        <v>217</v>
      </c>
      <c r="E5" s="32" t="str">
        <f aca="false">"Addressable market "&amp;(Settings!$B$7-1)&amp;" (EUR m)"</f>
        <v>Addressable market 2025 (EUR m)</v>
      </c>
      <c r="F5" s="32" t="str">
        <f aca="false">"Construction work done "&amp;(Settings!$B$7-1)&amp;" (US$ m)"</f>
        <v>Construction work done 2025 (US$ m)</v>
      </c>
      <c r="G5" s="32" t="str">
        <f aca="false">"Market CAGR "&amp;(Settings!$B$7-6)&amp;"-"&amp;(Settings!$B$7-1)</f>
        <v>Market CAGR 2020-2025</v>
      </c>
      <c r="H5" s="32" t="str">
        <f aca="false">"Market growth "&amp;Settings!$B$7&amp;"E"</f>
        <v>Market growth 2026E</v>
      </c>
      <c r="I5" s="32" t="str">
        <f aca="false">"Market CAGR "&amp;Settings!$B$7&amp;"-"&amp;(Settings!$B$7+5)</f>
        <v>Market CAGR 2026-2031</v>
      </c>
      <c r="J5" s="32" t="s">
        <v>218</v>
      </c>
      <c r="K5" s="32" t="str">
        <f aca="false">"Renovation CAGR "&amp;(Settings!$B$7-6)&amp;"-"&amp;(Settings!$B$7-1)</f>
        <v>Renovation CAGR 2020-2025</v>
      </c>
      <c r="L5" s="32" t="str">
        <f aca="false">"Renovation growth "&amp;Settings!$B$7&amp;"E"</f>
        <v>Renovation growth 2026E</v>
      </c>
      <c r="M5" s="32" t="str">
        <f aca="false">"Renovation CAGR "&amp;Settings!$B$7&amp;"-"&amp;(Settings!$B$7+5)</f>
        <v>Renovation CAGR 2026-2031</v>
      </c>
      <c r="N5" s="32" t="str">
        <f aca="false">"New build CAGR "&amp;(Settings!$B$7-6)&amp;"-"&amp;(Settings!$B$7-1)</f>
        <v>New build CAGR 2020-2025</v>
      </c>
      <c r="O5" s="32" t="str">
        <f aca="false">"New build growth "&amp;Settings!$B$7&amp;"E"</f>
        <v>New build growth 2026E</v>
      </c>
      <c r="P5" s="32" t="str">
        <f aca="false">"New build CAGR "&amp;Settings!$B$7&amp;"-"&amp;(Settings!$B$7+5)</f>
        <v>New build CAGR 2026-2031</v>
      </c>
      <c r="Q5" s="31" t="str">
        <f aca="false">"HFC sales "&amp;(Settings!$B$7-1)&amp;" (EUR m)"</f>
        <v>HFC sales 2025 (EUR m)</v>
      </c>
      <c r="R5" s="31" t="str">
        <f aca="false">"HFC sales CAGR "&amp;(Settings!$B$7-6)&amp;"-"&amp;(Settings!$B$7-1)</f>
        <v>HFC sales CAGR 2020-2025</v>
      </c>
      <c r="S5" s="31" t="str">
        <f aca="false">"HFC growth "&amp;Settings!$B$7&amp;" forecast"</f>
        <v>HFC growth 2026 forecast</v>
      </c>
      <c r="T5" s="31" t="str">
        <f aca="false">"HFC BP CAGR "&amp;Settings!$B$7&amp;"-"&amp;(Settings!$B$7+5)</f>
        <v>HFC BP CAGR 2026-2031</v>
      </c>
      <c r="U5" s="31" t="str">
        <f aca="false">"Market share "&amp;(Settings!$B$7-1)&amp;" (optional)"</f>
        <v>Market share 2025 (optional)</v>
      </c>
      <c r="V5" s="31" t="str">
        <f aca="false">"Market share "&amp;Settings!$B$7&amp;" (optional)"</f>
        <v>Market share 2026 (optional)</v>
      </c>
      <c r="W5" s="31" t="s">
        <v>219</v>
      </c>
      <c r="X5" s="31" t="s">
        <v>220</v>
      </c>
      <c r="Y5" s="31" t="s">
        <v>221</v>
      </c>
      <c r="Z5" s="31" t="s">
        <v>222</v>
      </c>
      <c r="AA5" s="31" t="s">
        <v>63</v>
      </c>
      <c r="AB5" s="31" t="s">
        <v>223</v>
      </c>
      <c r="AC5" s="31" t="s">
        <v>224</v>
      </c>
      <c r="AD5" s="31" t="s">
        <v>225</v>
      </c>
    </row>
    <row r="6" customFormat="false" ht="15" hidden="false" customHeight="false" outlineLevel="0" collapsed="false">
      <c r="A6" s="14" t="s">
        <v>184</v>
      </c>
      <c r="B6" s="14" t="s">
        <v>226</v>
      </c>
      <c r="C6" s="14" t="s">
        <v>227</v>
      </c>
      <c r="D6" s="14" t="s">
        <v>184</v>
      </c>
      <c r="E6" s="33" t="n">
        <v>115</v>
      </c>
      <c r="F6" s="34" t="n">
        <f aca="false">IF($A6="","",'Market levels'!I6)</f>
        <v>10329.28</v>
      </c>
      <c r="G6" s="35" t="str">
        <f aca="false">IF($A6="","",IFERROR(('Market levels'!I6/'Market levels'!D6)^(1/5)-1,""))</f>
        <v/>
      </c>
      <c r="H6" s="35" t="n">
        <f aca="false">IF($A6="","",IFERROR('Market levels'!J6/'Market levels'!I6-1,""))</f>
        <v>0.0654305043526748</v>
      </c>
      <c r="I6" s="35" t="n">
        <f aca="false">IF($A6="","",IFERROR(('Market levels'!O6/'Market levels'!J6)^(1/5)-1,""))</f>
        <v>0.0225015243342799</v>
      </c>
      <c r="J6" s="36"/>
      <c r="K6" s="37"/>
      <c r="L6" s="37"/>
      <c r="M6" s="37"/>
      <c r="N6" s="37"/>
      <c r="O6" s="37"/>
      <c r="P6" s="37"/>
      <c r="Q6" s="33" t="n">
        <v>5.8</v>
      </c>
      <c r="R6" s="37" t="n">
        <v>0.09</v>
      </c>
      <c r="S6" s="37" t="n">
        <v>0.085</v>
      </c>
      <c r="T6" s="37" t="n">
        <v>0.1</v>
      </c>
      <c r="U6" s="37"/>
      <c r="V6" s="37"/>
      <c r="W6" s="36" t="n">
        <v>0.32</v>
      </c>
      <c r="X6" s="36" t="n">
        <v>0.55</v>
      </c>
      <c r="Y6" s="36" t="n">
        <v>0.3</v>
      </c>
      <c r="Z6" s="36" t="n">
        <v>0.7</v>
      </c>
      <c r="AA6" s="17"/>
      <c r="AB6" s="17"/>
      <c r="AC6" s="17"/>
      <c r="AD6" s="17"/>
    </row>
    <row r="7" customFormat="false" ht="15" hidden="false" customHeight="false" outlineLevel="0" collapsed="false">
      <c r="A7" s="14" t="s">
        <v>184</v>
      </c>
      <c r="B7" s="14" t="s">
        <v>226</v>
      </c>
      <c r="C7" s="14" t="s">
        <v>228</v>
      </c>
      <c r="D7" s="14" t="s">
        <v>184</v>
      </c>
      <c r="E7" s="33" t="n">
        <v>260</v>
      </c>
      <c r="F7" s="34" t="n">
        <f aca="false">IF($A7="","",'Market levels'!I7)</f>
        <v>23418.22</v>
      </c>
      <c r="G7" s="35" t="str">
        <f aca="false">IF($A7="","",IFERROR(('Market levels'!I7/'Market levels'!D7)^(1/5)-1,""))</f>
        <v/>
      </c>
      <c r="H7" s="35" t="n">
        <f aca="false">IF($A7="","",IFERROR('Market levels'!J7/'Market levels'!I7-1,""))</f>
        <v>0.0596591030402824</v>
      </c>
      <c r="I7" s="35" t="n">
        <f aca="false">IF($A7="","",IFERROR(('Market levels'!O7/'Market levels'!J7)^(1/5)-1,""))</f>
        <v>0.0234509164091186</v>
      </c>
      <c r="J7" s="36"/>
      <c r="K7" s="37"/>
      <c r="L7" s="37"/>
      <c r="M7" s="37"/>
      <c r="N7" s="37"/>
      <c r="O7" s="37"/>
      <c r="P7" s="37"/>
      <c r="Q7" s="33" t="n">
        <v>9.9</v>
      </c>
      <c r="R7" s="37" t="n">
        <v>0.095</v>
      </c>
      <c r="S7" s="37" t="n">
        <v>0.09</v>
      </c>
      <c r="T7" s="37" t="n">
        <v>0.105</v>
      </c>
      <c r="U7" s="37"/>
      <c r="V7" s="37"/>
      <c r="W7" s="36" t="n">
        <v>0.32</v>
      </c>
      <c r="X7" s="36" t="n">
        <v>0.55</v>
      </c>
      <c r="Y7" s="36" t="n">
        <v>0.3</v>
      </c>
      <c r="Z7" s="36" t="n">
        <v>0.7</v>
      </c>
      <c r="AA7" s="17"/>
      <c r="AB7" s="17"/>
      <c r="AC7" s="17"/>
      <c r="AD7" s="17"/>
    </row>
    <row r="8" customFormat="false" ht="15" hidden="false" customHeight="false" outlineLevel="0" collapsed="false">
      <c r="A8" s="14" t="s">
        <v>144</v>
      </c>
      <c r="B8" s="14" t="s">
        <v>229</v>
      </c>
      <c r="C8" s="14" t="s">
        <v>227</v>
      </c>
      <c r="D8" s="14" t="s">
        <v>144</v>
      </c>
      <c r="E8" s="33" t="n">
        <v>65</v>
      </c>
      <c r="F8" s="34" t="n">
        <f aca="false">IF($A8="","",'Market levels'!I8)</f>
        <v>5836.52</v>
      </c>
      <c r="G8" s="35" t="str">
        <f aca="false">IF($A8="","",IFERROR(('Market levels'!I8/'Market levels'!D8)^(1/5)-1,""))</f>
        <v/>
      </c>
      <c r="H8" s="35" t="n">
        <f aca="false">IF($A8="","",IFERROR('Market levels'!J8/'Market levels'!I8-1,""))</f>
        <v>-0.0168148143071557</v>
      </c>
      <c r="I8" s="35" t="n">
        <f aca="false">IF($A8="","",IFERROR(('Market levels'!O8/'Market levels'!J8)^(1/5)-1,""))</f>
        <v>0.0219043525508911</v>
      </c>
      <c r="J8" s="36"/>
      <c r="K8" s="37"/>
      <c r="L8" s="37"/>
      <c r="M8" s="37"/>
      <c r="N8" s="37"/>
      <c r="O8" s="37"/>
      <c r="P8" s="37"/>
      <c r="Q8" s="33" t="n">
        <v>3.9</v>
      </c>
      <c r="R8" s="37" t="n">
        <v>0.06</v>
      </c>
      <c r="S8" s="37" t="n">
        <v>0.05</v>
      </c>
      <c r="T8" s="37" t="n">
        <v>0.07</v>
      </c>
      <c r="U8" s="37"/>
      <c r="V8" s="37"/>
      <c r="W8" s="36" t="n">
        <v>0.32</v>
      </c>
      <c r="X8" s="36" t="n">
        <v>0.55</v>
      </c>
      <c r="Y8" s="36" t="n">
        <v>0.5</v>
      </c>
      <c r="Z8" s="36" t="n">
        <v>0.5</v>
      </c>
      <c r="AA8" s="17"/>
      <c r="AB8" s="17"/>
      <c r="AC8" s="17"/>
      <c r="AD8" s="17"/>
    </row>
    <row r="9" customFormat="false" ht="15" hidden="false" customHeight="false" outlineLevel="0" collapsed="false">
      <c r="A9" s="14" t="s">
        <v>144</v>
      </c>
      <c r="B9" s="14" t="s">
        <v>229</v>
      </c>
      <c r="C9" s="14" t="s">
        <v>228</v>
      </c>
      <c r="D9" s="14" t="s">
        <v>144</v>
      </c>
      <c r="E9" s="33" t="n">
        <v>85</v>
      </c>
      <c r="F9" s="34" t="n">
        <f aca="false">IF($A9="","",'Market levels'!I9)</f>
        <v>7763.99</v>
      </c>
      <c r="G9" s="35" t="str">
        <f aca="false">IF($A9="","",IFERROR(('Market levels'!I9/'Market levels'!D9)^(1/5)-1,""))</f>
        <v/>
      </c>
      <c r="H9" s="35" t="n">
        <f aca="false">IF($A9="","",IFERROR('Market levels'!J9/'Market levels'!I9-1,""))</f>
        <v>0.0511489582031921</v>
      </c>
      <c r="I9" s="35" t="n">
        <f aca="false">IF($A9="","",IFERROR(('Market levels'!O9/'Market levels'!J9)^(1/5)-1,""))</f>
        <v>0.040003809024896</v>
      </c>
      <c r="J9" s="36"/>
      <c r="K9" s="37"/>
      <c r="L9" s="37"/>
      <c r="M9" s="37"/>
      <c r="N9" s="37"/>
      <c r="O9" s="37"/>
      <c r="P9" s="37"/>
      <c r="Q9" s="33" t="n">
        <v>3.4</v>
      </c>
      <c r="R9" s="37" t="n">
        <v>0.065</v>
      </c>
      <c r="S9" s="37" t="n">
        <v>0.055</v>
      </c>
      <c r="T9" s="37" t="n">
        <v>0.075</v>
      </c>
      <c r="U9" s="37"/>
      <c r="V9" s="37"/>
      <c r="W9" s="36" t="n">
        <v>0.32</v>
      </c>
      <c r="X9" s="36" t="n">
        <v>0.55</v>
      </c>
      <c r="Y9" s="36" t="n">
        <v>0.5</v>
      </c>
      <c r="Z9" s="36" t="n">
        <v>0.5</v>
      </c>
      <c r="AA9" s="17"/>
      <c r="AB9" s="17"/>
      <c r="AC9" s="17"/>
      <c r="AD9" s="17"/>
    </row>
    <row r="10" customFormat="false" ht="15" hidden="false" customHeight="false" outlineLevel="0" collapsed="false">
      <c r="A10" s="14" t="s">
        <v>162</v>
      </c>
      <c r="B10" s="14" t="s">
        <v>230</v>
      </c>
      <c r="C10" s="14" t="s">
        <v>227</v>
      </c>
      <c r="D10" s="14" t="s">
        <v>162</v>
      </c>
      <c r="E10" s="33" t="n">
        <v>20</v>
      </c>
      <c r="F10" s="34" t="n">
        <f aca="false">IF($A10="","",'Market levels'!I10)</f>
        <v>1964.39</v>
      </c>
      <c r="G10" s="35" t="str">
        <f aca="false">IF($A10="","",IFERROR(('Market levels'!I10/'Market levels'!D10)^(1/5)-1,""))</f>
        <v/>
      </c>
      <c r="H10" s="35" t="n">
        <f aca="false">IF($A10="","",IFERROR('Market levels'!J10/'Market levels'!I10-1,""))</f>
        <v>0.0869124766466942</v>
      </c>
      <c r="I10" s="35" t="n">
        <f aca="false">IF($A10="","",IFERROR(('Market levels'!O10/'Market levels'!J10)^(1/5)-1,""))</f>
        <v>0.00646445760386927</v>
      </c>
      <c r="J10" s="36"/>
      <c r="K10" s="37"/>
      <c r="L10" s="37"/>
      <c r="M10" s="37"/>
      <c r="N10" s="37"/>
      <c r="O10" s="37"/>
      <c r="P10" s="37"/>
      <c r="Q10" s="33" t="n">
        <v>0.8</v>
      </c>
      <c r="R10" s="37" t="n">
        <v>0.05</v>
      </c>
      <c r="S10" s="37" t="n">
        <v>0.03</v>
      </c>
      <c r="T10" s="37" t="n">
        <v>0.06</v>
      </c>
      <c r="U10" s="37"/>
      <c r="V10" s="37"/>
      <c r="W10" s="36" t="n">
        <v>0.27</v>
      </c>
      <c r="X10" s="36" t="n">
        <v>0.55</v>
      </c>
      <c r="Y10" s="36" t="n">
        <v>0.3</v>
      </c>
      <c r="Z10" s="36" t="n">
        <v>0.5</v>
      </c>
      <c r="AA10" s="17"/>
      <c r="AB10" s="17"/>
      <c r="AC10" s="17"/>
      <c r="AD10" s="17"/>
    </row>
    <row r="11" customFormat="false" ht="15" hidden="false" customHeight="false" outlineLevel="0" collapsed="false">
      <c r="A11" s="14" t="s">
        <v>162</v>
      </c>
      <c r="B11" s="14" t="s">
        <v>230</v>
      </c>
      <c r="C11" s="14" t="s">
        <v>228</v>
      </c>
      <c r="D11" s="14" t="s">
        <v>162</v>
      </c>
      <c r="E11" s="33" t="n">
        <v>40</v>
      </c>
      <c r="F11" s="34" t="n">
        <f aca="false">IF($A11="","",'Market levels'!I11)</f>
        <v>3843.27</v>
      </c>
      <c r="G11" s="35" t="str">
        <f aca="false">IF($A11="","",IFERROR(('Market levels'!I11/'Market levels'!D11)^(1/5)-1,""))</f>
        <v/>
      </c>
      <c r="H11" s="35" t="n">
        <f aca="false">IF($A11="","",IFERROR('Market levels'!J11/'Market levels'!I11-1,""))</f>
        <v>0.116687091981567</v>
      </c>
      <c r="I11" s="35" t="n">
        <f aca="false">IF($A11="","",IFERROR(('Market levels'!O11/'Market levels'!J11)^(1/5)-1,""))</f>
        <v>0.0268757029860158</v>
      </c>
      <c r="J11" s="36"/>
      <c r="K11" s="37"/>
      <c r="L11" s="37"/>
      <c r="M11" s="37"/>
      <c r="N11" s="37"/>
      <c r="O11" s="37"/>
      <c r="P11" s="37"/>
      <c r="Q11" s="33" t="n">
        <v>1.2</v>
      </c>
      <c r="R11" s="37" t="n">
        <v>0.055</v>
      </c>
      <c r="S11" s="37" t="n">
        <v>0.035</v>
      </c>
      <c r="T11" s="37" t="n">
        <v>0.065</v>
      </c>
      <c r="U11" s="37"/>
      <c r="V11" s="37"/>
      <c r="W11" s="36" t="n">
        <v>0.27</v>
      </c>
      <c r="X11" s="36" t="n">
        <v>0.55</v>
      </c>
      <c r="Y11" s="36" t="n">
        <v>0.3</v>
      </c>
      <c r="Z11" s="36" t="n">
        <v>0.5</v>
      </c>
      <c r="AA11" s="17"/>
      <c r="AB11" s="17"/>
      <c r="AC11" s="17"/>
      <c r="AD11" s="17"/>
    </row>
    <row r="12" customFormat="false" ht="15" hidden="false" customHeight="false" outlineLevel="0" collapsed="false">
      <c r="A12" s="14" t="s">
        <v>180</v>
      </c>
      <c r="B12" s="14" t="s">
        <v>231</v>
      </c>
      <c r="C12" s="14" t="s">
        <v>227</v>
      </c>
      <c r="D12" s="14" t="s">
        <v>180</v>
      </c>
      <c r="E12" s="33" t="n">
        <v>320</v>
      </c>
      <c r="F12" s="34" t="n">
        <f aca="false">IF($A12="","",'Market levels'!I12)</f>
        <v>29129.26</v>
      </c>
      <c r="G12" s="35" t="str">
        <f aca="false">IF($A12="","",IFERROR(('Market levels'!I12/'Market levels'!D12)^(1/5)-1,""))</f>
        <v/>
      </c>
      <c r="H12" s="35" t="n">
        <f aca="false">IF($A12="","",IFERROR('Market levels'!J12/'Market levels'!I12-1,""))</f>
        <v>0.0131534409044378</v>
      </c>
      <c r="I12" s="35" t="n">
        <f aca="false">IF($A12="","",IFERROR(('Market levels'!O12/'Market levels'!J12)^(1/5)-1,""))</f>
        <v>0.0289869943856107</v>
      </c>
      <c r="J12" s="36"/>
      <c r="K12" s="37"/>
      <c r="L12" s="37"/>
      <c r="M12" s="37"/>
      <c r="N12" s="37"/>
      <c r="O12" s="37"/>
      <c r="P12" s="37"/>
      <c r="Q12" s="33" t="n">
        <v>51.2</v>
      </c>
      <c r="R12" s="37" t="n">
        <v>0.035</v>
      </c>
      <c r="S12" s="37" t="n">
        <v>0.02</v>
      </c>
      <c r="T12" s="37" t="n">
        <v>0.03</v>
      </c>
      <c r="U12" s="37"/>
      <c r="V12" s="37"/>
      <c r="W12" s="36" t="n">
        <v>0.37</v>
      </c>
      <c r="X12" s="36" t="n">
        <v>0.55</v>
      </c>
      <c r="Y12" s="36" t="n">
        <v>0.88</v>
      </c>
      <c r="Z12" s="36" t="n">
        <v>0.7</v>
      </c>
      <c r="AA12" s="17"/>
      <c r="AB12" s="17"/>
      <c r="AC12" s="17"/>
      <c r="AD12" s="17"/>
    </row>
    <row r="13" customFormat="false" ht="15" hidden="false" customHeight="false" outlineLevel="0" collapsed="false">
      <c r="A13" s="14" t="s">
        <v>180</v>
      </c>
      <c r="B13" s="14" t="s">
        <v>231</v>
      </c>
      <c r="C13" s="14" t="s">
        <v>228</v>
      </c>
      <c r="D13" s="14" t="s">
        <v>180</v>
      </c>
      <c r="E13" s="33" t="n">
        <v>270</v>
      </c>
      <c r="F13" s="34" t="n">
        <f aca="false">IF($A13="","",'Market levels'!I13)</f>
        <v>24549.72</v>
      </c>
      <c r="G13" s="35" t="str">
        <f aca="false">IF($A13="","",IFERROR(('Market levels'!I13/'Market levels'!D13)^(1/5)-1,""))</f>
        <v/>
      </c>
      <c r="H13" s="35" t="n">
        <f aca="false">IF($A13="","",IFERROR('Market levels'!J13/'Market levels'!I13-1,""))</f>
        <v>0.0267644600427213</v>
      </c>
      <c r="I13" s="35" t="n">
        <f aca="false">IF($A13="","",IFERROR(('Market levels'!O13/'Market levels'!J13)^(1/5)-1,""))</f>
        <v>0.028914782250874</v>
      </c>
      <c r="J13" s="36"/>
      <c r="K13" s="37"/>
      <c r="L13" s="37"/>
      <c r="M13" s="37"/>
      <c r="N13" s="37"/>
      <c r="O13" s="37"/>
      <c r="P13" s="37"/>
      <c r="Q13" s="33" t="n">
        <v>36.5</v>
      </c>
      <c r="R13" s="37" t="n">
        <v>0.04</v>
      </c>
      <c r="S13" s="37" t="n">
        <v>0.025</v>
      </c>
      <c r="T13" s="37" t="n">
        <v>0.035</v>
      </c>
      <c r="U13" s="37"/>
      <c r="V13" s="37"/>
      <c r="W13" s="36" t="n">
        <v>0.37</v>
      </c>
      <c r="X13" s="36" t="n">
        <v>0.55</v>
      </c>
      <c r="Y13" s="36" t="n">
        <v>0.88</v>
      </c>
      <c r="Z13" s="36" t="n">
        <v>0.7</v>
      </c>
      <c r="AA13" s="17"/>
      <c r="AB13" s="17"/>
      <c r="AC13" s="17"/>
      <c r="AD13" s="17"/>
    </row>
    <row r="14" customFormat="false" ht="15" hidden="false" customHeight="false" outlineLevel="0" collapsed="false">
      <c r="A14" s="14" t="s">
        <v>197</v>
      </c>
      <c r="B14" s="14" t="s">
        <v>232</v>
      </c>
      <c r="C14" s="14" t="s">
        <v>227</v>
      </c>
      <c r="D14" s="14" t="s">
        <v>197</v>
      </c>
      <c r="E14" s="33" t="n">
        <v>90</v>
      </c>
      <c r="F14" s="34" t="n">
        <f aca="false">IF($A14="","",'Market levels'!I14)</f>
        <v>8363.87</v>
      </c>
      <c r="G14" s="35" t="str">
        <f aca="false">IF($A14="","",IFERROR(('Market levels'!I14/'Market levels'!D14)^(1/5)-1,""))</f>
        <v/>
      </c>
      <c r="H14" s="35" t="n">
        <f aca="false">IF($A14="","",IFERROR('Market levels'!J14/'Market levels'!I14-1,""))</f>
        <v>0.0205347524531108</v>
      </c>
      <c r="I14" s="35" t="n">
        <f aca="false">IF($A14="","",IFERROR(('Market levels'!O14/'Market levels'!J14)^(1/5)-1,""))</f>
        <v>0.0257029280159691</v>
      </c>
      <c r="J14" s="36"/>
      <c r="K14" s="37"/>
      <c r="L14" s="37"/>
      <c r="M14" s="37"/>
      <c r="N14" s="37"/>
      <c r="O14" s="37"/>
      <c r="P14" s="37"/>
      <c r="Q14" s="33" t="n">
        <v>6.3</v>
      </c>
      <c r="R14" s="37" t="n">
        <v>0.01</v>
      </c>
      <c r="S14" s="37" t="n">
        <v>0</v>
      </c>
      <c r="T14" s="37" t="n">
        <v>0.035</v>
      </c>
      <c r="U14" s="37"/>
      <c r="V14" s="37"/>
      <c r="W14" s="36" t="n">
        <v>0.37</v>
      </c>
      <c r="X14" s="36" t="n">
        <v>0.55</v>
      </c>
      <c r="Y14" s="36" t="n">
        <v>0.5</v>
      </c>
      <c r="Z14" s="36" t="n">
        <v>0.5</v>
      </c>
      <c r="AA14" s="17"/>
      <c r="AB14" s="17"/>
      <c r="AC14" s="17"/>
      <c r="AD14" s="17"/>
    </row>
    <row r="15" customFormat="false" ht="15" hidden="false" customHeight="false" outlineLevel="0" collapsed="false">
      <c r="A15" s="14" t="s">
        <v>197</v>
      </c>
      <c r="B15" s="14" t="s">
        <v>232</v>
      </c>
      <c r="C15" s="14" t="s">
        <v>228</v>
      </c>
      <c r="D15" s="14" t="s">
        <v>197</v>
      </c>
      <c r="E15" s="33" t="n">
        <v>185</v>
      </c>
      <c r="F15" s="34" t="n">
        <f aca="false">IF($A15="","",'Market levels'!I15)</f>
        <v>16933.11</v>
      </c>
      <c r="G15" s="35" t="str">
        <f aca="false">IF($A15="","",IFERROR(('Market levels'!I15/'Market levels'!D15)^(1/5)-1,""))</f>
        <v/>
      </c>
      <c r="H15" s="35" t="n">
        <f aca="false">IF($A15="","",IFERROR('Market levels'!J15/'Market levels'!I15-1,""))</f>
        <v>-0.00653040108993574</v>
      </c>
      <c r="I15" s="35" t="n">
        <f aca="false">IF($A15="","",IFERROR(('Market levels'!O15/'Market levels'!J15)^(1/5)-1,""))</f>
        <v>0.0226991071956315</v>
      </c>
      <c r="J15" s="36"/>
      <c r="K15" s="37"/>
      <c r="L15" s="37"/>
      <c r="M15" s="37"/>
      <c r="N15" s="37"/>
      <c r="O15" s="37"/>
      <c r="P15" s="37"/>
      <c r="Q15" s="33" t="n">
        <v>10.2</v>
      </c>
      <c r="R15" s="37" t="n">
        <v>0.015</v>
      </c>
      <c r="S15" s="37" t="n">
        <v>0.005</v>
      </c>
      <c r="T15" s="37" t="n">
        <v>0.04</v>
      </c>
      <c r="U15" s="37"/>
      <c r="V15" s="37"/>
      <c r="W15" s="36" t="n">
        <v>0.37</v>
      </c>
      <c r="X15" s="36" t="n">
        <v>0.55</v>
      </c>
      <c r="Y15" s="36" t="n">
        <v>0.5</v>
      </c>
      <c r="Z15" s="36" t="n">
        <v>0.5</v>
      </c>
      <c r="AA15" s="17"/>
      <c r="AB15" s="17"/>
      <c r="AC15" s="17"/>
      <c r="AD15" s="17"/>
    </row>
    <row r="16" customFormat="false" ht="15" hidden="false" customHeight="false" outlineLevel="0" collapsed="false">
      <c r="A16" s="14" t="s">
        <v>182</v>
      </c>
      <c r="B16" s="14" t="s">
        <v>233</v>
      </c>
      <c r="C16" s="14" t="s">
        <v>227</v>
      </c>
      <c r="D16" s="14" t="s">
        <v>182</v>
      </c>
      <c r="E16" s="33" t="n">
        <v>50</v>
      </c>
      <c r="F16" s="34" t="n">
        <f aca="false">IF($A16="","",'Market levels'!I16)</f>
        <v>4324.92</v>
      </c>
      <c r="G16" s="35" t="str">
        <f aca="false">IF($A16="","",IFERROR(('Market levels'!I16/'Market levels'!D16)^(1/5)-1,""))</f>
        <v/>
      </c>
      <c r="H16" s="35" t="n">
        <f aca="false">IF($A16="","",IFERROR('Market levels'!J16/'Market levels'!I16-1,""))</f>
        <v>-0.0556125893658147</v>
      </c>
      <c r="I16" s="35" t="n">
        <f aca="false">IF($A16="","",IFERROR(('Market levels'!O16/'Market levels'!J16)^(1/5)-1,""))</f>
        <v>0.0286289921190619</v>
      </c>
      <c r="J16" s="36"/>
      <c r="K16" s="37"/>
      <c r="L16" s="37"/>
      <c r="M16" s="37"/>
      <c r="N16" s="37"/>
      <c r="O16" s="37"/>
      <c r="P16" s="37"/>
      <c r="Q16" s="33" t="n">
        <v>3.8</v>
      </c>
      <c r="R16" s="37" t="n">
        <v>0.015</v>
      </c>
      <c r="S16" s="37" t="n">
        <v>0.005</v>
      </c>
      <c r="T16" s="37" t="n">
        <v>0.03</v>
      </c>
      <c r="U16" s="37"/>
      <c r="V16" s="37"/>
      <c r="W16" s="36" t="n">
        <v>0.37</v>
      </c>
      <c r="X16" s="36" t="n">
        <v>0.55</v>
      </c>
      <c r="Y16" s="36" t="n">
        <v>0.5</v>
      </c>
      <c r="Z16" s="36" t="n">
        <v>0.5</v>
      </c>
      <c r="AA16" s="17"/>
      <c r="AB16" s="17"/>
      <c r="AC16" s="17"/>
      <c r="AD16" s="17"/>
    </row>
    <row r="17" customFormat="false" ht="15" hidden="false" customHeight="false" outlineLevel="0" collapsed="false">
      <c r="A17" s="14" t="s">
        <v>182</v>
      </c>
      <c r="B17" s="14" t="s">
        <v>233</v>
      </c>
      <c r="C17" s="14" t="s">
        <v>228</v>
      </c>
      <c r="D17" s="14" t="s">
        <v>182</v>
      </c>
      <c r="E17" s="33" t="n">
        <v>130</v>
      </c>
      <c r="F17" s="34" t="n">
        <f aca="false">IF($A17="","",'Market levels'!I17)</f>
        <v>11770.8</v>
      </c>
      <c r="G17" s="35" t="str">
        <f aca="false">IF($A17="","",IFERROR(('Market levels'!I17/'Market levels'!D17)^(1/5)-1,""))</f>
        <v/>
      </c>
      <c r="H17" s="35" t="n">
        <f aca="false">IF($A17="","",IFERROR('Market levels'!J17/'Market levels'!I17-1,""))</f>
        <v>0.024344139735617</v>
      </c>
      <c r="I17" s="35" t="n">
        <f aca="false">IF($A17="","",IFERROR(('Market levels'!O17/'Market levels'!J17)^(1/5)-1,""))</f>
        <v>0.0223442411716492</v>
      </c>
      <c r="J17" s="36"/>
      <c r="K17" s="37"/>
      <c r="L17" s="37"/>
      <c r="M17" s="37"/>
      <c r="N17" s="37"/>
      <c r="O17" s="37"/>
      <c r="P17" s="37"/>
      <c r="Q17" s="33" t="n">
        <v>7.2</v>
      </c>
      <c r="R17" s="37" t="n">
        <v>0.02</v>
      </c>
      <c r="S17" s="37" t="n">
        <v>0.01</v>
      </c>
      <c r="T17" s="37" t="n">
        <v>0.035</v>
      </c>
      <c r="U17" s="37"/>
      <c r="V17" s="37"/>
      <c r="W17" s="36" t="n">
        <v>0.37</v>
      </c>
      <c r="X17" s="36" t="n">
        <v>0.55</v>
      </c>
      <c r="Y17" s="36" t="n">
        <v>0.5</v>
      </c>
      <c r="Z17" s="36" t="n">
        <v>0.5</v>
      </c>
      <c r="AA17" s="17"/>
      <c r="AB17" s="17"/>
      <c r="AC17" s="17"/>
      <c r="AD17" s="17"/>
    </row>
    <row r="18" customFormat="false" ht="15" hidden="false" customHeight="false" outlineLevel="0" collapsed="false">
      <c r="A18" s="14" t="s">
        <v>154</v>
      </c>
      <c r="B18" s="14" t="s">
        <v>234</v>
      </c>
      <c r="C18" s="14" t="s">
        <v>227</v>
      </c>
      <c r="D18" s="14" t="s">
        <v>154</v>
      </c>
      <c r="E18" s="33" t="n">
        <v>20</v>
      </c>
      <c r="F18" s="34" t="n">
        <f aca="false">IF($A18="","",'Market levels'!I18)</f>
        <v>1692.48</v>
      </c>
      <c r="G18" s="35" t="str">
        <f aca="false">IF($A18="","",IFERROR(('Market levels'!I18/'Market levels'!D18)^(1/5)-1,""))</f>
        <v/>
      </c>
      <c r="H18" s="35" t="n">
        <f aca="false">IF($A18="","",IFERROR('Market levels'!J18/'Market levels'!I18-1,""))</f>
        <v>-0.0296960673095102</v>
      </c>
      <c r="I18" s="35" t="n">
        <f aca="false">IF($A18="","",IFERROR(('Market levels'!O18/'Market levels'!J18)^(1/5)-1,""))</f>
        <v>0.0410512200429074</v>
      </c>
      <c r="J18" s="36"/>
      <c r="K18" s="37"/>
      <c r="L18" s="37"/>
      <c r="M18" s="37"/>
      <c r="N18" s="37"/>
      <c r="O18" s="37"/>
      <c r="P18" s="37"/>
      <c r="Q18" s="33" t="n">
        <v>1.3</v>
      </c>
      <c r="R18" s="37" t="n">
        <v>0.005</v>
      </c>
      <c r="S18" s="37" t="n">
        <v>-0.005</v>
      </c>
      <c r="T18" s="37" t="n">
        <v>0.03</v>
      </c>
      <c r="U18" s="37"/>
      <c r="V18" s="37"/>
      <c r="W18" s="36" t="n">
        <v>0.37</v>
      </c>
      <c r="X18" s="36" t="n">
        <v>0.55</v>
      </c>
      <c r="Y18" s="36" t="n">
        <v>0.5</v>
      </c>
      <c r="Z18" s="36" t="n">
        <v>0.5</v>
      </c>
      <c r="AA18" s="17"/>
      <c r="AB18" s="17"/>
      <c r="AC18" s="17"/>
      <c r="AD18" s="17"/>
    </row>
    <row r="19" customFormat="false" ht="15" hidden="false" customHeight="false" outlineLevel="0" collapsed="false">
      <c r="A19" s="14" t="s">
        <v>154</v>
      </c>
      <c r="B19" s="14" t="s">
        <v>234</v>
      </c>
      <c r="C19" s="14" t="s">
        <v>228</v>
      </c>
      <c r="D19" s="14" t="s">
        <v>154</v>
      </c>
      <c r="E19" s="33" t="n">
        <v>50</v>
      </c>
      <c r="F19" s="34" t="n">
        <f aca="false">IF($A19="","",'Market levels'!I19)</f>
        <v>4695.01</v>
      </c>
      <c r="G19" s="35" t="str">
        <f aca="false">IF($A19="","",IFERROR(('Market levels'!I19/'Market levels'!D19)^(1/5)-1,""))</f>
        <v/>
      </c>
      <c r="H19" s="35" t="n">
        <f aca="false">IF($A19="","",IFERROR('Market levels'!J19/'Market levels'!I19-1,""))</f>
        <v>-0.00852607342689382</v>
      </c>
      <c r="I19" s="35" t="n">
        <f aca="false">IF($A19="","",IFERROR(('Market levels'!O19/'Market levels'!J19)^(1/5)-1,""))</f>
        <v>0.0330537597407516</v>
      </c>
      <c r="J19" s="36"/>
      <c r="K19" s="37"/>
      <c r="L19" s="37"/>
      <c r="M19" s="37"/>
      <c r="N19" s="37"/>
      <c r="O19" s="37"/>
      <c r="P19" s="37"/>
      <c r="Q19" s="33" t="n">
        <v>2.5</v>
      </c>
      <c r="R19" s="37" t="n">
        <v>0.01</v>
      </c>
      <c r="S19" s="37" t="n">
        <v>0</v>
      </c>
      <c r="T19" s="37" t="n">
        <v>0.035</v>
      </c>
      <c r="U19" s="37"/>
      <c r="V19" s="37"/>
      <c r="W19" s="36" t="n">
        <v>0.37</v>
      </c>
      <c r="X19" s="36" t="n">
        <v>0.55</v>
      </c>
      <c r="Y19" s="36" t="n">
        <v>0.5</v>
      </c>
      <c r="Z19" s="36" t="n">
        <v>0.5</v>
      </c>
      <c r="AA19" s="17"/>
      <c r="AB19" s="17"/>
      <c r="AC19" s="17"/>
      <c r="AD19" s="17"/>
    </row>
    <row r="20" customFormat="false" ht="15" hidden="false" customHeight="false" outlineLevel="0" collapsed="false">
      <c r="A20" s="14" t="s">
        <v>148</v>
      </c>
      <c r="B20" s="14" t="s">
        <v>235</v>
      </c>
      <c r="C20" s="14" t="s">
        <v>227</v>
      </c>
      <c r="D20" s="14" t="s">
        <v>148</v>
      </c>
      <c r="E20" s="33" t="n">
        <v>135</v>
      </c>
      <c r="F20" s="34" t="n">
        <f aca="false">IF($A20="","",'Market levels'!I20)</f>
        <v>12045.19</v>
      </c>
      <c r="G20" s="35" t="str">
        <f aca="false">IF($A20="","",IFERROR(('Market levels'!I20/'Market levels'!D20)^(1/5)-1,""))</f>
        <v/>
      </c>
      <c r="H20" s="35" t="n">
        <f aca="false">IF($A20="","",IFERROR('Market levels'!J20/'Market levels'!I20-1,""))</f>
        <v>-0.0530178436371698</v>
      </c>
      <c r="I20" s="35" t="n">
        <f aca="false">IF($A20="","",IFERROR(('Market levels'!O20/'Market levels'!J20)^(1/5)-1,""))</f>
        <v>0.0181504700923971</v>
      </c>
      <c r="J20" s="36"/>
      <c r="K20" s="37"/>
      <c r="L20" s="37"/>
      <c r="M20" s="37"/>
      <c r="N20" s="37"/>
      <c r="O20" s="37"/>
      <c r="P20" s="37"/>
      <c r="Q20" s="33" t="n">
        <v>10.8</v>
      </c>
      <c r="R20" s="37" t="n">
        <v>0.02</v>
      </c>
      <c r="S20" s="37" t="n">
        <v>0.01</v>
      </c>
      <c r="T20" s="37" t="n">
        <v>0.03</v>
      </c>
      <c r="U20" s="37"/>
      <c r="V20" s="37"/>
      <c r="W20" s="36" t="n">
        <v>0.37</v>
      </c>
      <c r="X20" s="36" t="n">
        <v>0.55</v>
      </c>
      <c r="Y20" s="36" t="n">
        <v>0.5</v>
      </c>
      <c r="Z20" s="36" t="n">
        <v>0.5</v>
      </c>
      <c r="AA20" s="17"/>
      <c r="AB20" s="17"/>
      <c r="AC20" s="17"/>
      <c r="AD20" s="17"/>
    </row>
    <row r="21" customFormat="false" ht="15" hidden="false" customHeight="false" outlineLevel="0" collapsed="false">
      <c r="A21" s="14" t="s">
        <v>148</v>
      </c>
      <c r="B21" s="14" t="s">
        <v>235</v>
      </c>
      <c r="C21" s="14" t="s">
        <v>228</v>
      </c>
      <c r="D21" s="14" t="s">
        <v>148</v>
      </c>
      <c r="E21" s="33" t="n">
        <v>90</v>
      </c>
      <c r="F21" s="34" t="n">
        <f aca="false">IF($A21="","",'Market levels'!I21)</f>
        <v>8042.47</v>
      </c>
      <c r="G21" s="35" t="str">
        <f aca="false">IF($A21="","",IFERROR(('Market levels'!I21/'Market levels'!D21)^(1/5)-1,""))</f>
        <v/>
      </c>
      <c r="H21" s="35" t="n">
        <f aca="false">IF($A21="","",IFERROR('Market levels'!J21/'Market levels'!I21-1,""))</f>
        <v>-0.0407810038458334</v>
      </c>
      <c r="I21" s="35" t="n">
        <f aca="false">IF($A21="","",IFERROR(('Market levels'!O21/'Market levels'!J21)^(1/5)-1,""))</f>
        <v>0.0215699249092545</v>
      </c>
      <c r="J21" s="36"/>
      <c r="K21" s="37"/>
      <c r="L21" s="37"/>
      <c r="M21" s="37"/>
      <c r="N21" s="37"/>
      <c r="O21" s="37"/>
      <c r="P21" s="37"/>
      <c r="Q21" s="33" t="n">
        <v>5.4</v>
      </c>
      <c r="R21" s="37" t="n">
        <v>0.025</v>
      </c>
      <c r="S21" s="37" t="n">
        <v>0.015</v>
      </c>
      <c r="T21" s="37" t="n">
        <v>0.035</v>
      </c>
      <c r="U21" s="37"/>
      <c r="V21" s="37"/>
      <c r="W21" s="36" t="n">
        <v>0.37</v>
      </c>
      <c r="X21" s="36" t="n">
        <v>0.55</v>
      </c>
      <c r="Y21" s="36" t="n">
        <v>0.5</v>
      </c>
      <c r="Z21" s="36" t="n">
        <v>0.5</v>
      </c>
      <c r="AA21" s="17"/>
      <c r="AB21" s="17"/>
      <c r="AC21" s="17"/>
      <c r="AD21" s="17"/>
    </row>
    <row r="22" customFormat="false" ht="15" hidden="false" customHeight="false" outlineLevel="0" collapsed="false">
      <c r="A22" s="14" t="s">
        <v>146</v>
      </c>
      <c r="B22" s="14" t="s">
        <v>236</v>
      </c>
      <c r="C22" s="14" t="s">
        <v>227</v>
      </c>
      <c r="D22" s="14" t="s">
        <v>146</v>
      </c>
      <c r="E22" s="33" t="n">
        <v>1060</v>
      </c>
      <c r="F22" s="34" t="n">
        <f aca="false">IF($A22="","",'Market levels'!I22)</f>
        <v>96006.35</v>
      </c>
      <c r="G22" s="35" t="str">
        <f aca="false">IF($A22="","",IFERROR(('Market levels'!I22/'Market levels'!D22)^(1/5)-1,""))</f>
        <v/>
      </c>
      <c r="H22" s="35" t="n">
        <f aca="false">IF($A22="","",IFERROR('Market levels'!J22/'Market levels'!I22-1,""))</f>
        <v>-0.00566181299466151</v>
      </c>
      <c r="I22" s="35" t="n">
        <f aca="false">IF($A22="","",IFERROR(('Market levels'!O22/'Market levels'!J22)^(1/5)-1,""))</f>
        <v>0.0287275014397685</v>
      </c>
      <c r="J22" s="36"/>
      <c r="K22" s="37"/>
      <c r="L22" s="37"/>
      <c r="M22" s="37"/>
      <c r="N22" s="37"/>
      <c r="O22" s="37"/>
      <c r="P22" s="37"/>
      <c r="Q22" s="33" t="n">
        <v>63.6</v>
      </c>
      <c r="R22" s="37" t="n">
        <v>0.02</v>
      </c>
      <c r="S22" s="37" t="n">
        <v>-0.02</v>
      </c>
      <c r="T22" s="37" t="n">
        <v>0.03</v>
      </c>
      <c r="U22" s="37"/>
      <c r="V22" s="37"/>
      <c r="W22" s="36" t="n">
        <v>0.32</v>
      </c>
      <c r="X22" s="36" t="n">
        <v>0.65</v>
      </c>
      <c r="Y22" s="36" t="n">
        <v>0.5</v>
      </c>
      <c r="Z22" s="36" t="n">
        <v>0.5</v>
      </c>
      <c r="AA22" s="17"/>
      <c r="AB22" s="17"/>
      <c r="AC22" s="17"/>
      <c r="AD22" s="17"/>
    </row>
    <row r="23" customFormat="false" ht="15" hidden="false" customHeight="false" outlineLevel="0" collapsed="false">
      <c r="A23" s="14" t="s">
        <v>146</v>
      </c>
      <c r="B23" s="14" t="s">
        <v>236</v>
      </c>
      <c r="C23" s="14" t="s">
        <v>228</v>
      </c>
      <c r="D23" s="14" t="s">
        <v>146</v>
      </c>
      <c r="E23" s="33" t="n">
        <v>1195</v>
      </c>
      <c r="F23" s="34" t="n">
        <f aca="false">IF($A23="","",'Market levels'!I23)</f>
        <v>108414.85</v>
      </c>
      <c r="G23" s="35" t="str">
        <f aca="false">IF($A23="","",IFERROR(('Market levels'!I23/'Market levels'!D23)^(1/5)-1,""))</f>
        <v/>
      </c>
      <c r="H23" s="35" t="n">
        <f aca="false">IF($A23="","",IFERROR('Market levels'!J23/'Market levels'!I23-1,""))</f>
        <v>0.0236625333153164</v>
      </c>
      <c r="I23" s="35" t="n">
        <f aca="false">IF($A23="","",IFERROR(('Market levels'!O23/'Market levels'!J23)^(1/5)-1,""))</f>
        <v>0.037263459931576</v>
      </c>
      <c r="J23" s="36"/>
      <c r="K23" s="37"/>
      <c r="L23" s="37"/>
      <c r="M23" s="37"/>
      <c r="N23" s="37"/>
      <c r="O23" s="37"/>
      <c r="P23" s="37"/>
      <c r="Q23" s="33" t="n">
        <v>53.8</v>
      </c>
      <c r="R23" s="37" t="n">
        <v>0.025</v>
      </c>
      <c r="S23" s="37" t="n">
        <v>-0.015</v>
      </c>
      <c r="T23" s="37" t="n">
        <v>0.035</v>
      </c>
      <c r="U23" s="37"/>
      <c r="V23" s="37"/>
      <c r="W23" s="36" t="n">
        <v>0.32</v>
      </c>
      <c r="X23" s="36" t="n">
        <v>0.65</v>
      </c>
      <c r="Y23" s="36" t="n">
        <v>0.5</v>
      </c>
      <c r="Z23" s="36" t="n">
        <v>0.5</v>
      </c>
      <c r="AA23" s="17"/>
      <c r="AB23" s="17"/>
      <c r="AC23" s="17"/>
      <c r="AD23" s="17"/>
    </row>
    <row r="24" customFormat="false" ht="15" hidden="false" customHeight="false" outlineLevel="0" collapsed="false">
      <c r="A24" s="14" t="s">
        <v>118</v>
      </c>
      <c r="B24" s="14" t="s">
        <v>237</v>
      </c>
      <c r="C24" s="14" t="s">
        <v>227</v>
      </c>
      <c r="D24" s="14" t="s">
        <v>118</v>
      </c>
      <c r="E24" s="33" t="n">
        <v>85</v>
      </c>
      <c r="F24" s="34" t="n">
        <f aca="false">IF($A24="","",'Market levels'!I24)</f>
        <v>7724.59</v>
      </c>
      <c r="G24" s="35" t="str">
        <f aca="false">IF($A24="","",IFERROR(('Market levels'!I24/'Market levels'!D24)^(1/5)-1,""))</f>
        <v/>
      </c>
      <c r="H24" s="35" t="n">
        <f aca="false">IF($A24="","",IFERROR('Market levels'!J24/'Market levels'!I24-1,""))</f>
        <v>0.024982555708458</v>
      </c>
      <c r="I24" s="35" t="n">
        <f aca="false">IF($A24="","",IFERROR(('Market levels'!O24/'Market levels'!J24)^(1/5)-1,""))</f>
        <v>0.0373754977616738</v>
      </c>
      <c r="J24" s="36"/>
      <c r="K24" s="37"/>
      <c r="L24" s="37"/>
      <c r="M24" s="37"/>
      <c r="N24" s="37"/>
      <c r="O24" s="37"/>
      <c r="P24" s="37"/>
      <c r="Q24" s="33" t="n">
        <v>6</v>
      </c>
      <c r="R24" s="37" t="n">
        <v>0.02</v>
      </c>
      <c r="S24" s="37" t="n">
        <v>-0.01</v>
      </c>
      <c r="T24" s="37" t="n">
        <v>0.025</v>
      </c>
      <c r="U24" s="37"/>
      <c r="V24" s="37"/>
      <c r="W24" s="36" t="n">
        <v>0.37</v>
      </c>
      <c r="X24" s="36" t="n">
        <v>0.55</v>
      </c>
      <c r="Y24" s="36" t="n">
        <v>0.5</v>
      </c>
      <c r="Z24" s="36" t="n">
        <v>0.7</v>
      </c>
      <c r="AA24" s="17"/>
      <c r="AB24" s="17"/>
      <c r="AC24" s="17"/>
      <c r="AD24" s="17"/>
    </row>
    <row r="25" customFormat="false" ht="15" hidden="false" customHeight="false" outlineLevel="0" collapsed="false">
      <c r="A25" s="14" t="s">
        <v>118</v>
      </c>
      <c r="B25" s="14" t="s">
        <v>237</v>
      </c>
      <c r="C25" s="14" t="s">
        <v>228</v>
      </c>
      <c r="D25" s="14" t="s">
        <v>118</v>
      </c>
      <c r="E25" s="33" t="n">
        <v>240</v>
      </c>
      <c r="F25" s="34" t="n">
        <f aca="false">IF($A25="","",'Market levels'!I25)</f>
        <v>21958.65</v>
      </c>
      <c r="G25" s="35" t="str">
        <f aca="false">IF($A25="","",IFERROR(('Market levels'!I25/'Market levels'!D25)^(1/5)-1,""))</f>
        <v/>
      </c>
      <c r="H25" s="35" t="n">
        <f aca="false">IF($A25="","",IFERROR('Market levels'!J25/'Market levels'!I25-1,""))</f>
        <v>0.0319045114339906</v>
      </c>
      <c r="I25" s="35" t="n">
        <f aca="false">IF($A25="","",IFERROR(('Market levels'!O25/'Market levels'!J25)^(1/5)-1,""))</f>
        <v>0.0257312661499052</v>
      </c>
      <c r="J25" s="36"/>
      <c r="K25" s="37"/>
      <c r="L25" s="37"/>
      <c r="M25" s="37"/>
      <c r="N25" s="37"/>
      <c r="O25" s="37"/>
      <c r="P25" s="37"/>
      <c r="Q25" s="33" t="n">
        <v>12</v>
      </c>
      <c r="R25" s="37" t="n">
        <v>0.025</v>
      </c>
      <c r="S25" s="37" t="n">
        <v>-0.005</v>
      </c>
      <c r="T25" s="37" t="n">
        <v>0.03</v>
      </c>
      <c r="U25" s="37"/>
      <c r="V25" s="37"/>
      <c r="W25" s="36" t="n">
        <v>0.37</v>
      </c>
      <c r="X25" s="36" t="n">
        <v>0.55</v>
      </c>
      <c r="Y25" s="36" t="n">
        <v>0.5</v>
      </c>
      <c r="Z25" s="36" t="n">
        <v>0.7</v>
      </c>
      <c r="AA25" s="17"/>
      <c r="AB25" s="17"/>
      <c r="AC25" s="17"/>
      <c r="AD25" s="17"/>
    </row>
    <row r="26" customFormat="false" ht="15" hidden="false" customHeight="false" outlineLevel="0" collapsed="false">
      <c r="A26" s="14" t="s">
        <v>140</v>
      </c>
      <c r="B26" s="14" t="s">
        <v>238</v>
      </c>
      <c r="C26" s="14" t="s">
        <v>227</v>
      </c>
      <c r="D26" s="14" t="s">
        <v>140</v>
      </c>
      <c r="E26" s="33" t="n">
        <v>75</v>
      </c>
      <c r="F26" s="34" t="n">
        <f aca="false">IF($A26="","",'Market levels'!I26)</f>
        <v>6790.21</v>
      </c>
      <c r="G26" s="35" t="str">
        <f aca="false">IF($A26="","",IFERROR(('Market levels'!I26/'Market levels'!D26)^(1/5)-1,""))</f>
        <v/>
      </c>
      <c r="H26" s="35" t="n">
        <f aca="false">IF($A26="","",IFERROR('Market levels'!J26/'Market levels'!I26-1,""))</f>
        <v>-0.00784659090072259</v>
      </c>
      <c r="I26" s="35" t="n">
        <f aca="false">IF($A26="","",IFERROR(('Market levels'!O26/'Market levels'!J26)^(1/5)-1,""))</f>
        <v>0.0143682805198966</v>
      </c>
      <c r="J26" s="36"/>
      <c r="K26" s="37"/>
      <c r="L26" s="37"/>
      <c r="M26" s="37"/>
      <c r="N26" s="37"/>
      <c r="O26" s="37"/>
      <c r="P26" s="37"/>
      <c r="Q26" s="33" t="n">
        <v>9</v>
      </c>
      <c r="R26" s="37" t="n">
        <v>0.025</v>
      </c>
      <c r="S26" s="37" t="n">
        <v>0.015</v>
      </c>
      <c r="T26" s="37" t="n">
        <v>0.02</v>
      </c>
      <c r="U26" s="37"/>
      <c r="V26" s="37"/>
      <c r="W26" s="36" t="n">
        <v>0.43</v>
      </c>
      <c r="X26" s="36" t="n">
        <v>0.45</v>
      </c>
      <c r="Y26" s="36" t="n">
        <v>0.7</v>
      </c>
      <c r="Z26" s="36" t="n">
        <v>0.7</v>
      </c>
      <c r="AA26" s="17"/>
      <c r="AB26" s="17"/>
      <c r="AC26" s="17"/>
      <c r="AD26" s="17"/>
    </row>
    <row r="27" customFormat="false" ht="15" hidden="false" customHeight="false" outlineLevel="0" collapsed="false">
      <c r="A27" s="14" t="s">
        <v>140</v>
      </c>
      <c r="B27" s="14" t="s">
        <v>238</v>
      </c>
      <c r="C27" s="14" t="s">
        <v>228</v>
      </c>
      <c r="D27" s="14" t="s">
        <v>140</v>
      </c>
      <c r="E27" s="33" t="n">
        <v>370</v>
      </c>
      <c r="F27" s="34" t="n">
        <f aca="false">IF($A27="","",'Market levels'!I27)</f>
        <v>33602.22</v>
      </c>
      <c r="G27" s="35" t="str">
        <f aca="false">IF($A27="","",IFERROR(('Market levels'!I27/'Market levels'!D27)^(1/5)-1,""))</f>
        <v/>
      </c>
      <c r="H27" s="35" t="n">
        <f aca="false">IF($A27="","",IFERROR('Market levels'!J27/'Market levels'!I27-1,""))</f>
        <v>0.0223934609082377</v>
      </c>
      <c r="I27" s="35" t="n">
        <f aca="false">IF($A27="","",IFERROR(('Market levels'!O27/'Market levels'!J27)^(1/5)-1,""))</f>
        <v>0.0287018050222472</v>
      </c>
      <c r="J27" s="36"/>
      <c r="K27" s="37"/>
      <c r="L27" s="37"/>
      <c r="M27" s="37"/>
      <c r="N27" s="37"/>
      <c r="O27" s="37"/>
      <c r="P27" s="37"/>
      <c r="Q27" s="33" t="n">
        <v>37</v>
      </c>
      <c r="R27" s="37" t="n">
        <v>0.03</v>
      </c>
      <c r="S27" s="37" t="n">
        <v>0.02</v>
      </c>
      <c r="T27" s="37" t="n">
        <v>0.025</v>
      </c>
      <c r="U27" s="37"/>
      <c r="V27" s="37"/>
      <c r="W27" s="36" t="n">
        <v>0.43</v>
      </c>
      <c r="X27" s="36" t="n">
        <v>0.45</v>
      </c>
      <c r="Y27" s="36" t="n">
        <v>0.7</v>
      </c>
      <c r="Z27" s="36" t="n">
        <v>0.7</v>
      </c>
      <c r="AA27" s="17"/>
      <c r="AB27" s="17"/>
      <c r="AC27" s="17"/>
      <c r="AD27" s="17"/>
    </row>
    <row r="28" customFormat="false" ht="15" hidden="false" customHeight="false" outlineLevel="0" collapsed="false">
      <c r="A28" s="14" t="s">
        <v>204</v>
      </c>
      <c r="B28" s="14" t="s">
        <v>239</v>
      </c>
      <c r="C28" s="14" t="s">
        <v>227</v>
      </c>
      <c r="D28" s="14" t="s">
        <v>204</v>
      </c>
      <c r="E28" s="33" t="n">
        <v>1005</v>
      </c>
      <c r="F28" s="34" t="n">
        <f aca="false">IF($A28="","",'Market levels'!I28)</f>
        <v>91052.96</v>
      </c>
      <c r="G28" s="35" t="str">
        <f aca="false">IF($A28="","",IFERROR(('Market levels'!I28/'Market levels'!D28)^(1/5)-1,""))</f>
        <v/>
      </c>
      <c r="H28" s="35" t="n">
        <f aca="false">IF($A28="","",IFERROR('Market levels'!J28/'Market levels'!I28-1,""))</f>
        <v>0.00965306344790995</v>
      </c>
      <c r="I28" s="35" t="n">
        <f aca="false">IF($A28="","",IFERROR(('Market levels'!O28/'Market levels'!J28)^(1/5)-1,""))</f>
        <v>0.0423296205048194</v>
      </c>
      <c r="J28" s="36"/>
      <c r="K28" s="37"/>
      <c r="L28" s="37"/>
      <c r="M28" s="37"/>
      <c r="N28" s="37"/>
      <c r="O28" s="37"/>
      <c r="P28" s="37"/>
      <c r="Q28" s="33" t="n">
        <v>32.2</v>
      </c>
      <c r="R28" s="37" t="n">
        <v>-0.01</v>
      </c>
      <c r="S28" s="37" t="n">
        <v>0.015</v>
      </c>
      <c r="T28" s="37" t="n">
        <v>0.025</v>
      </c>
      <c r="U28" s="37"/>
      <c r="V28" s="37"/>
      <c r="W28" s="36" t="n">
        <v>0.32</v>
      </c>
      <c r="X28" s="36" t="n">
        <v>0.65</v>
      </c>
      <c r="Y28" s="36" t="n">
        <v>0.3</v>
      </c>
      <c r="Z28" s="36" t="n">
        <v>0.5</v>
      </c>
      <c r="AA28" s="17"/>
      <c r="AB28" s="17"/>
      <c r="AC28" s="17"/>
      <c r="AD28" s="17"/>
    </row>
    <row r="29" customFormat="false" ht="15" hidden="false" customHeight="false" outlineLevel="0" collapsed="false">
      <c r="A29" s="14" t="s">
        <v>204</v>
      </c>
      <c r="B29" s="14" t="s">
        <v>239</v>
      </c>
      <c r="C29" s="14" t="s">
        <v>228</v>
      </c>
      <c r="D29" s="14" t="s">
        <v>204</v>
      </c>
      <c r="E29" s="33" t="n">
        <v>760</v>
      </c>
      <c r="F29" s="34" t="n">
        <f aca="false">IF($A29="","",'Market levels'!I29)</f>
        <v>68667.7</v>
      </c>
      <c r="G29" s="35" t="str">
        <f aca="false">IF($A29="","",IFERROR(('Market levels'!I29/'Market levels'!D29)^(1/5)-1,""))</f>
        <v/>
      </c>
      <c r="H29" s="35" t="n">
        <f aca="false">IF($A29="","",IFERROR('Market levels'!J29/'Market levels'!I29-1,""))</f>
        <v>-0.00535433690075537</v>
      </c>
      <c r="I29" s="35" t="n">
        <f aca="false">IF($A29="","",IFERROR(('Market levels'!O29/'Market levels'!J29)^(1/5)-1,""))</f>
        <v>0.0403468721186624</v>
      </c>
      <c r="J29" s="36"/>
      <c r="K29" s="37"/>
      <c r="L29" s="37"/>
      <c r="M29" s="37"/>
      <c r="N29" s="37"/>
      <c r="O29" s="37"/>
      <c r="P29" s="37"/>
      <c r="Q29" s="33" t="n">
        <v>21.3</v>
      </c>
      <c r="R29" s="37" t="n">
        <v>-0.005</v>
      </c>
      <c r="S29" s="37" t="n">
        <v>0.02</v>
      </c>
      <c r="T29" s="37" t="n">
        <v>0.03</v>
      </c>
      <c r="U29" s="37"/>
      <c r="V29" s="37"/>
      <c r="W29" s="36" t="n">
        <v>0.32</v>
      </c>
      <c r="X29" s="36" t="n">
        <v>0.65</v>
      </c>
      <c r="Y29" s="36" t="n">
        <v>0.3</v>
      </c>
      <c r="Z29" s="36" t="n">
        <v>0.5</v>
      </c>
      <c r="AA29" s="17"/>
      <c r="AB29" s="17"/>
      <c r="AC29" s="17"/>
      <c r="AD29" s="17"/>
    </row>
    <row r="30" customFormat="false" ht="15" hidden="false" customHeight="false" outlineLevel="0" collapsed="false">
      <c r="A30" s="14" t="s">
        <v>156</v>
      </c>
      <c r="B30" s="14" t="s">
        <v>240</v>
      </c>
      <c r="C30" s="14" t="s">
        <v>227</v>
      </c>
      <c r="D30" s="14" t="s">
        <v>156</v>
      </c>
      <c r="E30" s="33" t="n">
        <v>525</v>
      </c>
      <c r="F30" s="34" t="n">
        <f aca="false">IF($A30="","",'Market levels'!I30)</f>
        <v>47504.26</v>
      </c>
      <c r="G30" s="35" t="str">
        <f aca="false">IF($A30="","",IFERROR(('Market levels'!I30/'Market levels'!D30)^(1/5)-1,""))</f>
        <v/>
      </c>
      <c r="H30" s="35" t="n">
        <f aca="false">IF($A30="","",IFERROR('Market levels'!J30/'Market levels'!I30-1,""))</f>
        <v>0.00409121203024743</v>
      </c>
      <c r="I30" s="35" t="n">
        <f aca="false">IF($A30="","",IFERROR(('Market levels'!O30/'Market levels'!J30)^(1/5)-1,""))</f>
        <v>0.0191751631050843</v>
      </c>
      <c r="J30" s="36"/>
      <c r="K30" s="37"/>
      <c r="L30" s="37"/>
      <c r="M30" s="37"/>
      <c r="N30" s="37"/>
      <c r="O30" s="37"/>
      <c r="P30" s="37"/>
      <c r="Q30" s="33" t="n">
        <v>94.5</v>
      </c>
      <c r="R30" s="37" t="n">
        <v>0.04</v>
      </c>
      <c r="S30" s="37" t="n">
        <v>0.01</v>
      </c>
      <c r="T30" s="37" t="n">
        <v>0.035</v>
      </c>
      <c r="U30" s="37"/>
      <c r="V30" s="37"/>
      <c r="W30" s="36" t="n">
        <v>0.37</v>
      </c>
      <c r="X30" s="36" t="n">
        <v>0.55</v>
      </c>
      <c r="Y30" s="36" t="n">
        <v>0.7</v>
      </c>
      <c r="Z30" s="36" t="n">
        <v>0.7</v>
      </c>
      <c r="AA30" s="17"/>
      <c r="AB30" s="17"/>
      <c r="AC30" s="17"/>
      <c r="AD30" s="17"/>
    </row>
    <row r="31" customFormat="false" ht="15" hidden="false" customHeight="false" outlineLevel="0" collapsed="false">
      <c r="A31" s="14" t="s">
        <v>156</v>
      </c>
      <c r="B31" s="14" t="s">
        <v>240</v>
      </c>
      <c r="C31" s="14" t="s">
        <v>228</v>
      </c>
      <c r="D31" s="14" t="s">
        <v>156</v>
      </c>
      <c r="E31" s="33" t="n">
        <v>1025</v>
      </c>
      <c r="F31" s="34" t="n">
        <f aca="false">IF($A31="","",'Market levels'!I31)</f>
        <v>92949.87</v>
      </c>
      <c r="G31" s="35" t="str">
        <f aca="false">IF($A31="","",IFERROR(('Market levels'!I31/'Market levels'!D31)^(1/5)-1,""))</f>
        <v/>
      </c>
      <c r="H31" s="35" t="n">
        <f aca="false">IF($A31="","",IFERROR('Market levels'!J31/'Market levels'!I31-1,""))</f>
        <v>0.0104206708411749</v>
      </c>
      <c r="I31" s="35" t="n">
        <f aca="false">IF($A31="","",IFERROR(('Market levels'!O31/'Market levels'!J31)^(1/5)-1,""))</f>
        <v>0.0121628302898353</v>
      </c>
      <c r="J31" s="36"/>
      <c r="K31" s="37"/>
      <c r="L31" s="37"/>
      <c r="M31" s="37"/>
      <c r="N31" s="37"/>
      <c r="O31" s="37"/>
      <c r="P31" s="37"/>
      <c r="Q31" s="33" t="n">
        <v>143.5</v>
      </c>
      <c r="R31" s="37" t="n">
        <v>0.045</v>
      </c>
      <c r="S31" s="37" t="n">
        <v>0.015</v>
      </c>
      <c r="T31" s="37" t="n">
        <v>0.04</v>
      </c>
      <c r="U31" s="37"/>
      <c r="V31" s="37"/>
      <c r="W31" s="36" t="n">
        <v>0.37</v>
      </c>
      <c r="X31" s="36" t="n">
        <v>0.55</v>
      </c>
      <c r="Y31" s="36" t="n">
        <v>0.7</v>
      </c>
      <c r="Z31" s="36" t="n">
        <v>0.7</v>
      </c>
      <c r="AA31" s="17"/>
      <c r="AB31" s="17"/>
      <c r="AC31" s="17"/>
      <c r="AD31" s="17"/>
    </row>
    <row r="32" customFormat="false" ht="15" hidden="false" customHeight="false" outlineLevel="0" collapsed="false">
      <c r="A32" s="14" t="s">
        <v>168</v>
      </c>
      <c r="B32" s="14" t="s">
        <v>241</v>
      </c>
      <c r="C32" s="14" t="s">
        <v>227</v>
      </c>
      <c r="D32" s="14" t="s">
        <v>168</v>
      </c>
      <c r="E32" s="33" t="n">
        <v>300</v>
      </c>
      <c r="F32" s="34" t="n">
        <f aca="false">IF($A32="","",'Market levels'!I32)</f>
        <v>27391.01</v>
      </c>
      <c r="G32" s="35" t="str">
        <f aca="false">IF($A32="","",IFERROR(('Market levels'!I32/'Market levels'!D32)^(1/5)-1,""))</f>
        <v/>
      </c>
      <c r="H32" s="35" t="n">
        <f aca="false">IF($A32="","",IFERROR('Market levels'!J32/'Market levels'!I32-1,""))</f>
        <v>-0.0282238588500393</v>
      </c>
      <c r="I32" s="35" t="n">
        <f aca="false">IF($A32="","",IFERROR(('Market levels'!O32/'Market levels'!J32)^(1/5)-1,""))</f>
        <v>-0.0223923628785147</v>
      </c>
      <c r="J32" s="36"/>
      <c r="K32" s="37"/>
      <c r="L32" s="37"/>
      <c r="M32" s="37"/>
      <c r="N32" s="37"/>
      <c r="O32" s="37"/>
      <c r="P32" s="37"/>
      <c r="Q32" s="33" t="n">
        <v>33</v>
      </c>
      <c r="R32" s="37" t="n">
        <v>0.03</v>
      </c>
      <c r="S32" s="37" t="n">
        <v>-0.03</v>
      </c>
      <c r="T32" s="37" t="n">
        <v>0.02</v>
      </c>
      <c r="U32" s="37"/>
      <c r="V32" s="37"/>
      <c r="W32" s="36" t="n">
        <v>0.32</v>
      </c>
      <c r="X32" s="36" t="n">
        <v>0.55</v>
      </c>
      <c r="Y32" s="36" t="n">
        <v>0.7</v>
      </c>
      <c r="Z32" s="36" t="n">
        <v>0.5</v>
      </c>
      <c r="AA32" s="17"/>
      <c r="AB32" s="17"/>
      <c r="AC32" s="17"/>
      <c r="AD32" s="17"/>
    </row>
    <row r="33" customFormat="false" ht="15" hidden="false" customHeight="false" outlineLevel="0" collapsed="false">
      <c r="A33" s="14" t="s">
        <v>168</v>
      </c>
      <c r="B33" s="14" t="s">
        <v>241</v>
      </c>
      <c r="C33" s="14" t="s">
        <v>228</v>
      </c>
      <c r="D33" s="14" t="s">
        <v>168</v>
      </c>
      <c r="E33" s="33" t="n">
        <v>1030</v>
      </c>
      <c r="F33" s="34" t="n">
        <f aca="false">IF($A33="","",'Market levels'!I33)</f>
        <v>93406.3</v>
      </c>
      <c r="G33" s="35" t="str">
        <f aca="false">IF($A33="","",IFERROR(('Market levels'!I33/'Market levels'!D33)^(1/5)-1,""))</f>
        <v/>
      </c>
      <c r="H33" s="35" t="n">
        <f aca="false">IF($A33="","",IFERROR('Market levels'!J33/'Market levels'!I33-1,""))</f>
        <v>0.00170245475947572</v>
      </c>
      <c r="I33" s="35" t="n">
        <f aca="false">IF($A33="","",IFERROR(('Market levels'!O33/'Market levels'!J33)^(1/5)-1,""))</f>
        <v>0.014115777056698</v>
      </c>
      <c r="J33" s="36"/>
      <c r="K33" s="37"/>
      <c r="L33" s="37"/>
      <c r="M33" s="37"/>
      <c r="N33" s="37"/>
      <c r="O33" s="37"/>
      <c r="P33" s="37"/>
      <c r="Q33" s="33" t="n">
        <v>97.8</v>
      </c>
      <c r="R33" s="37" t="n">
        <v>0.035</v>
      </c>
      <c r="S33" s="37" t="n">
        <v>-0.025</v>
      </c>
      <c r="T33" s="37" t="n">
        <v>0.025</v>
      </c>
      <c r="U33" s="37"/>
      <c r="V33" s="37"/>
      <c r="W33" s="36" t="n">
        <v>0.32</v>
      </c>
      <c r="X33" s="36" t="n">
        <v>0.55</v>
      </c>
      <c r="Y33" s="36" t="n">
        <v>0.7</v>
      </c>
      <c r="Z33" s="36" t="n">
        <v>0.5</v>
      </c>
      <c r="AA33" s="17"/>
      <c r="AB33" s="17"/>
      <c r="AC33" s="17"/>
      <c r="AD33" s="17"/>
    </row>
    <row r="34" customFormat="false" ht="15" hidden="false" customHeight="false" outlineLevel="0" collapsed="false">
      <c r="A34" s="14" t="s">
        <v>133</v>
      </c>
      <c r="B34" s="14" t="s">
        <v>242</v>
      </c>
      <c r="C34" s="14" t="s">
        <v>227</v>
      </c>
      <c r="D34" s="14" t="s">
        <v>133</v>
      </c>
      <c r="E34" s="33" t="n">
        <v>115</v>
      </c>
      <c r="F34" s="34" t="n">
        <f aca="false">IF($A34="","",'Market levels'!I34)</f>
        <v>10603.31</v>
      </c>
      <c r="G34" s="35" t="str">
        <f aca="false">IF($A34="","",IFERROR(('Market levels'!I34/'Market levels'!D34)^(1/5)-1,""))</f>
        <v/>
      </c>
      <c r="H34" s="35" t="n">
        <f aca="false">IF($A34="","",IFERROR('Market levels'!J34/'Market levels'!I34-1,""))</f>
        <v>-0.0300660831381899</v>
      </c>
      <c r="I34" s="35" t="n">
        <f aca="false">IF($A34="","",IFERROR(('Market levels'!O34/'Market levels'!J34)^(1/5)-1,""))</f>
        <v>0.0228527700445107</v>
      </c>
      <c r="J34" s="36"/>
      <c r="K34" s="37"/>
      <c r="L34" s="37"/>
      <c r="M34" s="37"/>
      <c r="N34" s="37"/>
      <c r="O34" s="37"/>
      <c r="P34" s="37"/>
      <c r="Q34" s="33" t="n">
        <v>17.2</v>
      </c>
      <c r="R34" s="37" t="n">
        <v>0.03</v>
      </c>
      <c r="S34" s="37" t="n">
        <v>0.02</v>
      </c>
      <c r="T34" s="37" t="n">
        <v>0.035</v>
      </c>
      <c r="U34" s="37"/>
      <c r="V34" s="37"/>
      <c r="W34" s="36" t="n">
        <v>0.37</v>
      </c>
      <c r="X34" s="36" t="n">
        <v>0.55</v>
      </c>
      <c r="Y34" s="36" t="n">
        <v>0.7</v>
      </c>
      <c r="Z34" s="36" t="n">
        <v>0.7</v>
      </c>
      <c r="AA34" s="17"/>
      <c r="AB34" s="17"/>
      <c r="AC34" s="17"/>
      <c r="AD34" s="17"/>
    </row>
    <row r="35" customFormat="false" ht="15" hidden="false" customHeight="false" outlineLevel="0" collapsed="false">
      <c r="A35" s="14" t="s">
        <v>133</v>
      </c>
      <c r="B35" s="14" t="s">
        <v>242</v>
      </c>
      <c r="C35" s="14" t="s">
        <v>228</v>
      </c>
      <c r="D35" s="14" t="s">
        <v>133</v>
      </c>
      <c r="E35" s="33" t="n">
        <v>215</v>
      </c>
      <c r="F35" s="34" t="n">
        <f aca="false">IF($A35="","",'Market levels'!I35)</f>
        <v>19662.69</v>
      </c>
      <c r="G35" s="35" t="str">
        <f aca="false">IF($A35="","",IFERROR(('Market levels'!I35/'Market levels'!D35)^(1/5)-1,""))</f>
        <v/>
      </c>
      <c r="H35" s="35" t="n">
        <f aca="false">IF($A35="","",IFERROR('Market levels'!J35/'Market levels'!I35-1,""))</f>
        <v>0.0181236646664318</v>
      </c>
      <c r="I35" s="35" t="n">
        <f aca="false">IF($A35="","",IFERROR(('Market levels'!O35/'Market levels'!J35)^(1/5)-1,""))</f>
        <v>0.0306406508930031</v>
      </c>
      <c r="J35" s="36"/>
      <c r="K35" s="37"/>
      <c r="L35" s="37"/>
      <c r="M35" s="37"/>
      <c r="N35" s="37"/>
      <c r="O35" s="37"/>
      <c r="P35" s="37"/>
      <c r="Q35" s="33" t="n">
        <v>25.8</v>
      </c>
      <c r="R35" s="37" t="n">
        <v>0.035</v>
      </c>
      <c r="S35" s="37" t="n">
        <v>0.025</v>
      </c>
      <c r="T35" s="37" t="n">
        <v>0.04</v>
      </c>
      <c r="U35" s="37"/>
      <c r="V35" s="37"/>
      <c r="W35" s="36" t="n">
        <v>0.37</v>
      </c>
      <c r="X35" s="36" t="n">
        <v>0.55</v>
      </c>
      <c r="Y35" s="36" t="n">
        <v>0.7</v>
      </c>
      <c r="Z35" s="36" t="n">
        <v>0.7</v>
      </c>
      <c r="AA35" s="17"/>
      <c r="AB35" s="17"/>
      <c r="AC35" s="17"/>
      <c r="AD35" s="17"/>
    </row>
    <row r="36" customFormat="false" ht="15" hidden="false" customHeight="false" outlineLevel="0" collapsed="false">
      <c r="A36" s="14" t="s">
        <v>150</v>
      </c>
      <c r="B36" s="14" t="s">
        <v>243</v>
      </c>
      <c r="C36" s="14" t="s">
        <v>227</v>
      </c>
      <c r="D36" s="14" t="s">
        <v>150</v>
      </c>
      <c r="E36" s="33" t="n">
        <v>215</v>
      </c>
      <c r="F36" s="34" t="n">
        <f aca="false">IF($A36="","",'Market levels'!I36)</f>
        <v>19526.92</v>
      </c>
      <c r="G36" s="35" t="str">
        <f aca="false">IF($A36="","",IFERROR(('Market levels'!I36/'Market levels'!D36)^(1/5)-1,""))</f>
        <v/>
      </c>
      <c r="H36" s="35" t="n">
        <f aca="false">IF($A36="","",IFERROR('Market levels'!J36/'Market levels'!I36-1,""))</f>
        <v>0.0176735501553753</v>
      </c>
      <c r="I36" s="35" t="n">
        <f aca="false">IF($A36="","",IFERROR(('Market levels'!O36/'Market levels'!J36)^(1/5)-1,""))</f>
        <v>0.0232440241373793</v>
      </c>
      <c r="J36" s="36"/>
      <c r="K36" s="37"/>
      <c r="L36" s="37"/>
      <c r="M36" s="37"/>
      <c r="N36" s="37"/>
      <c r="O36" s="37"/>
      <c r="P36" s="37"/>
      <c r="Q36" s="33" t="n">
        <v>21.1</v>
      </c>
      <c r="R36" s="37" t="n">
        <v>0.075</v>
      </c>
      <c r="S36" s="37" t="n">
        <v>0.06</v>
      </c>
      <c r="T36" s="37" t="n">
        <v>0.08</v>
      </c>
      <c r="U36" s="37"/>
      <c r="V36" s="37"/>
      <c r="W36" s="36" t="n">
        <v>0.32</v>
      </c>
      <c r="X36" s="36" t="n">
        <v>0.55</v>
      </c>
      <c r="Y36" s="36" t="n">
        <v>0.5</v>
      </c>
      <c r="Z36" s="36" t="n">
        <v>0.7</v>
      </c>
      <c r="AA36" s="17"/>
      <c r="AB36" s="17"/>
      <c r="AC36" s="17"/>
      <c r="AD36" s="17"/>
    </row>
    <row r="37" customFormat="false" ht="15" hidden="false" customHeight="false" outlineLevel="0" collapsed="false">
      <c r="A37" s="14" t="s">
        <v>150</v>
      </c>
      <c r="B37" s="14" t="s">
        <v>243</v>
      </c>
      <c r="C37" s="14" t="s">
        <v>228</v>
      </c>
      <c r="D37" s="14" t="s">
        <v>150</v>
      </c>
      <c r="E37" s="33" t="n">
        <v>945</v>
      </c>
      <c r="F37" s="34" t="n">
        <f aca="false">IF($A37="","",'Market levels'!I37)</f>
        <v>85393</v>
      </c>
      <c r="G37" s="35" t="str">
        <f aca="false">IF($A37="","",IFERROR(('Market levels'!I37/'Market levels'!D37)^(1/5)-1,""))</f>
        <v/>
      </c>
      <c r="H37" s="35" t="n">
        <f aca="false">IF($A37="","",IFERROR('Market levels'!J37/'Market levels'!I37-1,""))</f>
        <v>0.0667729204969962</v>
      </c>
      <c r="I37" s="35" t="n">
        <f aca="false">IF($A37="","",IFERROR(('Market levels'!O37/'Market levels'!J37)^(1/5)-1,""))</f>
        <v>0.0365555004416041</v>
      </c>
      <c r="J37" s="36"/>
      <c r="K37" s="37"/>
      <c r="L37" s="37"/>
      <c r="M37" s="37"/>
      <c r="N37" s="37"/>
      <c r="O37" s="37"/>
      <c r="P37" s="37"/>
      <c r="Q37" s="33" t="n">
        <v>70.9</v>
      </c>
      <c r="R37" s="37" t="n">
        <v>0.08</v>
      </c>
      <c r="S37" s="37" t="n">
        <v>0.065</v>
      </c>
      <c r="T37" s="37" t="n">
        <v>0.085</v>
      </c>
      <c r="U37" s="37"/>
      <c r="V37" s="37"/>
      <c r="W37" s="36" t="n">
        <v>0.32</v>
      </c>
      <c r="X37" s="36" t="n">
        <v>0.55</v>
      </c>
      <c r="Y37" s="36" t="n">
        <v>0.5</v>
      </c>
      <c r="Z37" s="36" t="n">
        <v>0.7</v>
      </c>
      <c r="AA37" s="17"/>
      <c r="AB37" s="17"/>
      <c r="AC37" s="17"/>
      <c r="AD37" s="17"/>
    </row>
    <row r="38" customFormat="false" ht="15" hidden="false" customHeight="false" outlineLevel="0" collapsed="false">
      <c r="A38" s="14" t="s">
        <v>186</v>
      </c>
      <c r="B38" s="14" t="s">
        <v>244</v>
      </c>
      <c r="C38" s="14" t="s">
        <v>227</v>
      </c>
      <c r="D38" s="14" t="s">
        <v>186</v>
      </c>
      <c r="E38" s="33" t="n">
        <v>45</v>
      </c>
      <c r="F38" s="34" t="n">
        <f aca="false">IF($A38="","",'Market levels'!I38)</f>
        <v>3971.49</v>
      </c>
      <c r="G38" s="35" t="str">
        <f aca="false">IF($A38="","",IFERROR(('Market levels'!I38/'Market levels'!D38)^(1/5)-1,""))</f>
        <v/>
      </c>
      <c r="H38" s="35" t="n">
        <f aca="false">IF($A38="","",IFERROR('Market levels'!J38/'Market levels'!I38-1,""))</f>
        <v>0.0422738065562294</v>
      </c>
      <c r="I38" s="35" t="n">
        <f aca="false">IF($A38="","",IFERROR(('Market levels'!O38/'Market levels'!J38)^(1/5)-1,""))</f>
        <v>0.00194248928808927</v>
      </c>
      <c r="J38" s="36"/>
      <c r="K38" s="37"/>
      <c r="L38" s="37"/>
      <c r="M38" s="37"/>
      <c r="N38" s="37"/>
      <c r="O38" s="37"/>
      <c r="P38" s="37"/>
      <c r="Q38" s="33" t="n">
        <v>3.6</v>
      </c>
      <c r="R38" s="37" t="n">
        <v>0.065</v>
      </c>
      <c r="S38" s="37" t="n">
        <v>0.05</v>
      </c>
      <c r="T38" s="37" t="n">
        <v>0.05</v>
      </c>
      <c r="U38" s="37"/>
      <c r="V38" s="37"/>
      <c r="W38" s="36" t="n">
        <v>0.32</v>
      </c>
      <c r="X38" s="36" t="n">
        <v>0.55</v>
      </c>
      <c r="Y38" s="36" t="n">
        <v>0.5</v>
      </c>
      <c r="Z38" s="36" t="n">
        <v>0.7</v>
      </c>
      <c r="AA38" s="17"/>
      <c r="AB38" s="17"/>
      <c r="AC38" s="17"/>
      <c r="AD38" s="17"/>
    </row>
    <row r="39" customFormat="false" ht="15" hidden="false" customHeight="false" outlineLevel="0" collapsed="false">
      <c r="A39" s="14" t="s">
        <v>186</v>
      </c>
      <c r="B39" s="14" t="s">
        <v>244</v>
      </c>
      <c r="C39" s="14" t="s">
        <v>228</v>
      </c>
      <c r="D39" s="14" t="s">
        <v>186</v>
      </c>
      <c r="E39" s="33" t="n">
        <v>95</v>
      </c>
      <c r="F39" s="34" t="n">
        <f aca="false">IF($A39="","",'Market levels'!I39)</f>
        <v>8433.79</v>
      </c>
      <c r="G39" s="35" t="str">
        <f aca="false">IF($A39="","",IFERROR(('Market levels'!I39/'Market levels'!D39)^(1/5)-1,""))</f>
        <v/>
      </c>
      <c r="H39" s="35" t="n">
        <f aca="false">IF($A39="","",IFERROR('Market levels'!J39/'Market levels'!I39-1,""))</f>
        <v>0.0845539194122689</v>
      </c>
      <c r="I39" s="35" t="n">
        <f aca="false">IF($A39="","",IFERROR(('Market levels'!O39/'Market levels'!J39)^(1/5)-1,""))</f>
        <v>0.0275274473643183</v>
      </c>
      <c r="J39" s="36"/>
      <c r="K39" s="37"/>
      <c r="L39" s="37"/>
      <c r="M39" s="37"/>
      <c r="N39" s="37"/>
      <c r="O39" s="37"/>
      <c r="P39" s="37"/>
      <c r="Q39" s="33" t="n">
        <v>5.7</v>
      </c>
      <c r="R39" s="37" t="n">
        <v>0.07</v>
      </c>
      <c r="S39" s="37" t="n">
        <v>0.055</v>
      </c>
      <c r="T39" s="37" t="n">
        <v>0.055</v>
      </c>
      <c r="U39" s="37"/>
      <c r="V39" s="37"/>
      <c r="W39" s="36" t="n">
        <v>0.32</v>
      </c>
      <c r="X39" s="36" t="n">
        <v>0.55</v>
      </c>
      <c r="Y39" s="36" t="n">
        <v>0.5</v>
      </c>
      <c r="Z39" s="36" t="n">
        <v>0.7</v>
      </c>
      <c r="AA39" s="17"/>
      <c r="AB39" s="17"/>
      <c r="AC39" s="17"/>
      <c r="AD39" s="17"/>
    </row>
    <row r="40" customFormat="false" ht="15" hidden="false" customHeight="false" outlineLevel="0" collapsed="false">
      <c r="A40" s="14"/>
      <c r="B40" s="14"/>
      <c r="C40" s="14"/>
      <c r="D40" s="14"/>
      <c r="E40" s="33"/>
      <c r="F40" s="34" t="str">
        <f aca="false">IF($A40="","",'Market levels'!I40)</f>
        <v/>
      </c>
      <c r="G40" s="35" t="str">
        <f aca="false">IF($A40="","",IFERROR(('Market levels'!I40/'Market levels'!D40)^(1/5)-1,""))</f>
        <v/>
      </c>
      <c r="H40" s="35" t="str">
        <f aca="false">IF($A40="","",IFERROR('Market levels'!J40/'Market levels'!I40-1,""))</f>
        <v/>
      </c>
      <c r="I40" s="35" t="str">
        <f aca="false">IF($A40="","",IFERROR(('Market levels'!O40/'Market levels'!J40)^(1/5)-1,""))</f>
        <v/>
      </c>
      <c r="J40" s="36"/>
      <c r="K40" s="37"/>
      <c r="L40" s="37"/>
      <c r="M40" s="37"/>
      <c r="N40" s="37"/>
      <c r="O40" s="37"/>
      <c r="P40" s="37"/>
      <c r="Q40" s="33"/>
      <c r="R40" s="37"/>
      <c r="S40" s="37"/>
      <c r="T40" s="37"/>
      <c r="U40" s="37"/>
      <c r="V40" s="37"/>
      <c r="W40" s="36"/>
      <c r="X40" s="36"/>
      <c r="Y40" s="36"/>
      <c r="Z40" s="36"/>
      <c r="AA40" s="17"/>
      <c r="AB40" s="17"/>
      <c r="AC40" s="17"/>
      <c r="AD40" s="17"/>
    </row>
    <row r="41" customFormat="false" ht="15" hidden="false" customHeight="false" outlineLevel="0" collapsed="false">
      <c r="A41" s="14"/>
      <c r="B41" s="14"/>
      <c r="C41" s="14"/>
      <c r="D41" s="14"/>
      <c r="E41" s="33"/>
      <c r="F41" s="34" t="str">
        <f aca="false">IF($A41="","",'Market levels'!I41)</f>
        <v/>
      </c>
      <c r="G41" s="35" t="str">
        <f aca="false">IF($A41="","",IFERROR(('Market levels'!I41/'Market levels'!D41)^(1/5)-1,""))</f>
        <v/>
      </c>
      <c r="H41" s="35" t="str">
        <f aca="false">IF($A41="","",IFERROR('Market levels'!J41/'Market levels'!I41-1,""))</f>
        <v/>
      </c>
      <c r="I41" s="35" t="str">
        <f aca="false">IF($A41="","",IFERROR(('Market levels'!O41/'Market levels'!J41)^(1/5)-1,""))</f>
        <v/>
      </c>
      <c r="J41" s="36"/>
      <c r="K41" s="37"/>
      <c r="L41" s="37"/>
      <c r="M41" s="37"/>
      <c r="N41" s="37"/>
      <c r="O41" s="37"/>
      <c r="P41" s="37"/>
      <c r="Q41" s="33"/>
      <c r="R41" s="37"/>
      <c r="S41" s="37"/>
      <c r="T41" s="37"/>
      <c r="U41" s="37"/>
      <c r="V41" s="37"/>
      <c r="W41" s="36"/>
      <c r="X41" s="36"/>
      <c r="Y41" s="36"/>
      <c r="Z41" s="36"/>
      <c r="AA41" s="17"/>
      <c r="AB41" s="17"/>
      <c r="AC41" s="17"/>
      <c r="AD41" s="17"/>
    </row>
    <row r="42" customFormat="false" ht="15" hidden="false" customHeight="false" outlineLevel="0" collapsed="false">
      <c r="A42" s="14"/>
      <c r="B42" s="14"/>
      <c r="C42" s="14"/>
      <c r="D42" s="14"/>
      <c r="E42" s="33"/>
      <c r="F42" s="34" t="str">
        <f aca="false">IF($A42="","",'Market levels'!I42)</f>
        <v/>
      </c>
      <c r="G42" s="35" t="str">
        <f aca="false">IF($A42="","",IFERROR(('Market levels'!I42/'Market levels'!D42)^(1/5)-1,""))</f>
        <v/>
      </c>
      <c r="H42" s="35" t="str">
        <f aca="false">IF($A42="","",IFERROR('Market levels'!J42/'Market levels'!I42-1,""))</f>
        <v/>
      </c>
      <c r="I42" s="35" t="str">
        <f aca="false">IF($A42="","",IFERROR(('Market levels'!O42/'Market levels'!J42)^(1/5)-1,""))</f>
        <v/>
      </c>
      <c r="J42" s="36"/>
      <c r="K42" s="37"/>
      <c r="L42" s="37"/>
      <c r="M42" s="37"/>
      <c r="N42" s="37"/>
      <c r="O42" s="37"/>
      <c r="P42" s="37"/>
      <c r="Q42" s="33"/>
      <c r="R42" s="37"/>
      <c r="S42" s="37"/>
      <c r="T42" s="37"/>
      <c r="U42" s="37"/>
      <c r="V42" s="37"/>
      <c r="W42" s="36"/>
      <c r="X42" s="36"/>
      <c r="Y42" s="36"/>
      <c r="Z42" s="36"/>
      <c r="AA42" s="17"/>
      <c r="AB42" s="17"/>
      <c r="AC42" s="17"/>
      <c r="AD42" s="17"/>
    </row>
    <row r="43" customFormat="false" ht="15" hidden="false" customHeight="false" outlineLevel="0" collapsed="false">
      <c r="A43" s="14"/>
      <c r="B43" s="14"/>
      <c r="C43" s="14"/>
      <c r="D43" s="14"/>
      <c r="E43" s="33"/>
      <c r="F43" s="34" t="str">
        <f aca="false">IF($A43="","",'Market levels'!I43)</f>
        <v/>
      </c>
      <c r="G43" s="35" t="str">
        <f aca="false">IF($A43="","",IFERROR(('Market levels'!I43/'Market levels'!D43)^(1/5)-1,""))</f>
        <v/>
      </c>
      <c r="H43" s="35" t="str">
        <f aca="false">IF($A43="","",IFERROR('Market levels'!J43/'Market levels'!I43-1,""))</f>
        <v/>
      </c>
      <c r="I43" s="35" t="str">
        <f aca="false">IF($A43="","",IFERROR(('Market levels'!O43/'Market levels'!J43)^(1/5)-1,""))</f>
        <v/>
      </c>
      <c r="J43" s="36"/>
      <c r="K43" s="37"/>
      <c r="L43" s="37"/>
      <c r="M43" s="37"/>
      <c r="N43" s="37"/>
      <c r="O43" s="37"/>
      <c r="P43" s="37"/>
      <c r="Q43" s="33"/>
      <c r="R43" s="37"/>
      <c r="S43" s="37"/>
      <c r="T43" s="37"/>
      <c r="U43" s="37"/>
      <c r="V43" s="37"/>
      <c r="W43" s="36"/>
      <c r="X43" s="36"/>
      <c r="Y43" s="36"/>
      <c r="Z43" s="36"/>
      <c r="AA43" s="17"/>
      <c r="AB43" s="17"/>
      <c r="AC43" s="17"/>
      <c r="AD43" s="17"/>
    </row>
    <row r="44" customFormat="false" ht="15" hidden="false" customHeight="false" outlineLevel="0" collapsed="false">
      <c r="A44" s="14"/>
      <c r="B44" s="14"/>
      <c r="C44" s="14"/>
      <c r="D44" s="14"/>
      <c r="E44" s="33"/>
      <c r="F44" s="34" t="str">
        <f aca="false">IF($A44="","",'Market levels'!I44)</f>
        <v/>
      </c>
      <c r="G44" s="35" t="str">
        <f aca="false">IF($A44="","",IFERROR(('Market levels'!I44/'Market levels'!D44)^(1/5)-1,""))</f>
        <v/>
      </c>
      <c r="H44" s="35" t="str">
        <f aca="false">IF($A44="","",IFERROR('Market levels'!J44/'Market levels'!I44-1,""))</f>
        <v/>
      </c>
      <c r="I44" s="35" t="str">
        <f aca="false">IF($A44="","",IFERROR(('Market levels'!O44/'Market levels'!J44)^(1/5)-1,""))</f>
        <v/>
      </c>
      <c r="J44" s="36"/>
      <c r="K44" s="37"/>
      <c r="L44" s="37"/>
      <c r="M44" s="37"/>
      <c r="N44" s="37"/>
      <c r="O44" s="37"/>
      <c r="P44" s="37"/>
      <c r="Q44" s="33"/>
      <c r="R44" s="37"/>
      <c r="S44" s="37"/>
      <c r="T44" s="37"/>
      <c r="U44" s="37"/>
      <c r="V44" s="37"/>
      <c r="W44" s="36"/>
      <c r="X44" s="36"/>
      <c r="Y44" s="36"/>
      <c r="Z44" s="36"/>
      <c r="AA44" s="17"/>
      <c r="AB44" s="17"/>
      <c r="AC44" s="17"/>
      <c r="AD44" s="17"/>
    </row>
    <row r="45" customFormat="false" ht="15" hidden="false" customHeight="false" outlineLevel="0" collapsed="false">
      <c r="A45" s="14"/>
      <c r="B45" s="14"/>
      <c r="C45" s="14"/>
      <c r="D45" s="14"/>
      <c r="E45" s="33"/>
      <c r="F45" s="34" t="str">
        <f aca="false">IF($A45="","",'Market levels'!I45)</f>
        <v/>
      </c>
      <c r="G45" s="35" t="str">
        <f aca="false">IF($A45="","",IFERROR(('Market levels'!I45/'Market levels'!D45)^(1/5)-1,""))</f>
        <v/>
      </c>
      <c r="H45" s="35" t="str">
        <f aca="false">IF($A45="","",IFERROR('Market levels'!J45/'Market levels'!I45-1,""))</f>
        <v/>
      </c>
      <c r="I45" s="35" t="str">
        <f aca="false">IF($A45="","",IFERROR(('Market levels'!O45/'Market levels'!J45)^(1/5)-1,""))</f>
        <v/>
      </c>
      <c r="J45" s="36"/>
      <c r="K45" s="37"/>
      <c r="L45" s="37"/>
      <c r="M45" s="37"/>
      <c r="N45" s="37"/>
      <c r="O45" s="37"/>
      <c r="P45" s="37"/>
      <c r="Q45" s="33"/>
      <c r="R45" s="37"/>
      <c r="S45" s="37"/>
      <c r="T45" s="37"/>
      <c r="U45" s="37"/>
      <c r="V45" s="37"/>
      <c r="W45" s="36"/>
      <c r="X45" s="36"/>
      <c r="Y45" s="36"/>
      <c r="Z45" s="36"/>
      <c r="AA45" s="17"/>
      <c r="AB45" s="17"/>
      <c r="AC45" s="17"/>
      <c r="AD45" s="17"/>
    </row>
    <row r="46" customFormat="false" ht="15" hidden="false" customHeight="false" outlineLevel="0" collapsed="false">
      <c r="A46" s="14"/>
      <c r="B46" s="14"/>
      <c r="C46" s="14"/>
      <c r="D46" s="14"/>
      <c r="E46" s="33"/>
      <c r="F46" s="34" t="str">
        <f aca="false">IF($A46="","",'Market levels'!I46)</f>
        <v/>
      </c>
      <c r="G46" s="35" t="str">
        <f aca="false">IF($A46="","",IFERROR(('Market levels'!I46/'Market levels'!D46)^(1/5)-1,""))</f>
        <v/>
      </c>
      <c r="H46" s="35" t="str">
        <f aca="false">IF($A46="","",IFERROR('Market levels'!J46/'Market levels'!I46-1,""))</f>
        <v/>
      </c>
      <c r="I46" s="35" t="str">
        <f aca="false">IF($A46="","",IFERROR(('Market levels'!O46/'Market levels'!J46)^(1/5)-1,""))</f>
        <v/>
      </c>
      <c r="J46" s="36"/>
      <c r="K46" s="37"/>
      <c r="L46" s="37"/>
      <c r="M46" s="37"/>
      <c r="N46" s="37"/>
      <c r="O46" s="37"/>
      <c r="P46" s="37"/>
      <c r="Q46" s="33"/>
      <c r="R46" s="37"/>
      <c r="S46" s="37"/>
      <c r="T46" s="37"/>
      <c r="U46" s="37"/>
      <c r="V46" s="37"/>
      <c r="W46" s="36"/>
      <c r="X46" s="36"/>
      <c r="Y46" s="36"/>
      <c r="Z46" s="36"/>
      <c r="AA46" s="17"/>
      <c r="AB46" s="17"/>
      <c r="AC46" s="17"/>
      <c r="AD46" s="17"/>
    </row>
    <row r="47" customFormat="false" ht="15" hidden="false" customHeight="false" outlineLevel="0" collapsed="false">
      <c r="A47" s="14"/>
      <c r="B47" s="14"/>
      <c r="C47" s="14"/>
      <c r="D47" s="14"/>
      <c r="E47" s="33"/>
      <c r="F47" s="34" t="str">
        <f aca="false">IF($A47="","",'Market levels'!I47)</f>
        <v/>
      </c>
      <c r="G47" s="35" t="str">
        <f aca="false">IF($A47="","",IFERROR(('Market levels'!I47/'Market levels'!D47)^(1/5)-1,""))</f>
        <v/>
      </c>
      <c r="H47" s="35" t="str">
        <f aca="false">IF($A47="","",IFERROR('Market levels'!J47/'Market levels'!I47-1,""))</f>
        <v/>
      </c>
      <c r="I47" s="35" t="str">
        <f aca="false">IF($A47="","",IFERROR(('Market levels'!O47/'Market levels'!J47)^(1/5)-1,""))</f>
        <v/>
      </c>
      <c r="J47" s="36"/>
      <c r="K47" s="37"/>
      <c r="L47" s="37"/>
      <c r="M47" s="37"/>
      <c r="N47" s="37"/>
      <c r="O47" s="37"/>
      <c r="P47" s="37"/>
      <c r="Q47" s="33"/>
      <c r="R47" s="37"/>
      <c r="S47" s="37"/>
      <c r="T47" s="37"/>
      <c r="U47" s="37"/>
      <c r="V47" s="37"/>
      <c r="W47" s="36"/>
      <c r="X47" s="36"/>
      <c r="Y47" s="36"/>
      <c r="Z47" s="36"/>
      <c r="AA47" s="17"/>
      <c r="AB47" s="17"/>
      <c r="AC47" s="17"/>
      <c r="AD47" s="17"/>
    </row>
    <row r="48" customFormat="false" ht="15" hidden="false" customHeight="false" outlineLevel="0" collapsed="false">
      <c r="A48" s="14"/>
      <c r="B48" s="14"/>
      <c r="C48" s="14"/>
      <c r="D48" s="14"/>
      <c r="E48" s="33"/>
      <c r="F48" s="34" t="str">
        <f aca="false">IF($A48="","",'Market levels'!I48)</f>
        <v/>
      </c>
      <c r="G48" s="35" t="str">
        <f aca="false">IF($A48="","",IFERROR(('Market levels'!I48/'Market levels'!D48)^(1/5)-1,""))</f>
        <v/>
      </c>
      <c r="H48" s="35" t="str">
        <f aca="false">IF($A48="","",IFERROR('Market levels'!J48/'Market levels'!I48-1,""))</f>
        <v/>
      </c>
      <c r="I48" s="35" t="str">
        <f aca="false">IF($A48="","",IFERROR(('Market levels'!O48/'Market levels'!J48)^(1/5)-1,""))</f>
        <v/>
      </c>
      <c r="J48" s="36"/>
      <c r="K48" s="37"/>
      <c r="L48" s="37"/>
      <c r="M48" s="37"/>
      <c r="N48" s="37"/>
      <c r="O48" s="37"/>
      <c r="P48" s="37"/>
      <c r="Q48" s="33"/>
      <c r="R48" s="37"/>
      <c r="S48" s="37"/>
      <c r="T48" s="37"/>
      <c r="U48" s="37"/>
      <c r="V48" s="37"/>
      <c r="W48" s="36"/>
      <c r="X48" s="36"/>
      <c r="Y48" s="36"/>
      <c r="Z48" s="36"/>
      <c r="AA48" s="17"/>
      <c r="AB48" s="17"/>
      <c r="AC48" s="17"/>
      <c r="AD48" s="17"/>
    </row>
    <row r="49" customFormat="false" ht="15" hidden="false" customHeight="false" outlineLevel="0" collapsed="false">
      <c r="A49" s="14"/>
      <c r="B49" s="14"/>
      <c r="C49" s="14"/>
      <c r="D49" s="14"/>
      <c r="E49" s="33"/>
      <c r="F49" s="34" t="str">
        <f aca="false">IF($A49="","",'Market levels'!I49)</f>
        <v/>
      </c>
      <c r="G49" s="35" t="str">
        <f aca="false">IF($A49="","",IFERROR(('Market levels'!I49/'Market levels'!D49)^(1/5)-1,""))</f>
        <v/>
      </c>
      <c r="H49" s="35" t="str">
        <f aca="false">IF($A49="","",IFERROR('Market levels'!J49/'Market levels'!I49-1,""))</f>
        <v/>
      </c>
      <c r="I49" s="35" t="str">
        <f aca="false">IF($A49="","",IFERROR(('Market levels'!O49/'Market levels'!J49)^(1/5)-1,""))</f>
        <v/>
      </c>
      <c r="J49" s="36"/>
      <c r="K49" s="37"/>
      <c r="L49" s="37"/>
      <c r="M49" s="37"/>
      <c r="N49" s="37"/>
      <c r="O49" s="37"/>
      <c r="P49" s="37"/>
      <c r="Q49" s="33"/>
      <c r="R49" s="37"/>
      <c r="S49" s="37"/>
      <c r="T49" s="37"/>
      <c r="U49" s="37"/>
      <c r="V49" s="37"/>
      <c r="W49" s="36"/>
      <c r="X49" s="36"/>
      <c r="Y49" s="36"/>
      <c r="Z49" s="36"/>
      <c r="AA49" s="17"/>
      <c r="AB49" s="17"/>
      <c r="AC49" s="17"/>
      <c r="AD49" s="17"/>
    </row>
    <row r="50" customFormat="false" ht="15" hidden="false" customHeight="false" outlineLevel="0" collapsed="false">
      <c r="A50" s="14"/>
      <c r="B50" s="14"/>
      <c r="C50" s="14"/>
      <c r="D50" s="14"/>
      <c r="E50" s="33"/>
      <c r="F50" s="34" t="str">
        <f aca="false">IF($A50="","",'Market levels'!I50)</f>
        <v/>
      </c>
      <c r="G50" s="35" t="str">
        <f aca="false">IF($A50="","",IFERROR(('Market levels'!I50/'Market levels'!D50)^(1/5)-1,""))</f>
        <v/>
      </c>
      <c r="H50" s="35" t="str">
        <f aca="false">IF($A50="","",IFERROR('Market levels'!J50/'Market levels'!I50-1,""))</f>
        <v/>
      </c>
      <c r="I50" s="35" t="str">
        <f aca="false">IF($A50="","",IFERROR(('Market levels'!O50/'Market levels'!J50)^(1/5)-1,""))</f>
        <v/>
      </c>
      <c r="J50" s="36"/>
      <c r="K50" s="37"/>
      <c r="L50" s="37"/>
      <c r="M50" s="37"/>
      <c r="N50" s="37"/>
      <c r="O50" s="37"/>
      <c r="P50" s="37"/>
      <c r="Q50" s="33"/>
      <c r="R50" s="37"/>
      <c r="S50" s="37"/>
      <c r="T50" s="37"/>
      <c r="U50" s="37"/>
      <c r="V50" s="37"/>
      <c r="W50" s="36"/>
      <c r="X50" s="36"/>
      <c r="Y50" s="36"/>
      <c r="Z50" s="36"/>
      <c r="AA50" s="17"/>
      <c r="AB50" s="17"/>
      <c r="AC50" s="17"/>
      <c r="AD50" s="17"/>
    </row>
    <row r="51" customFormat="false" ht="15" hidden="false" customHeight="false" outlineLevel="0" collapsed="false">
      <c r="A51" s="14"/>
      <c r="B51" s="14"/>
      <c r="C51" s="14"/>
      <c r="D51" s="14"/>
      <c r="E51" s="33"/>
      <c r="F51" s="34" t="str">
        <f aca="false">IF($A51="","",'Market levels'!I51)</f>
        <v/>
      </c>
      <c r="G51" s="35" t="str">
        <f aca="false">IF($A51="","",IFERROR(('Market levels'!I51/'Market levels'!D51)^(1/5)-1,""))</f>
        <v/>
      </c>
      <c r="H51" s="35" t="str">
        <f aca="false">IF($A51="","",IFERROR('Market levels'!J51/'Market levels'!I51-1,""))</f>
        <v/>
      </c>
      <c r="I51" s="35" t="str">
        <f aca="false">IF($A51="","",IFERROR(('Market levels'!O51/'Market levels'!J51)^(1/5)-1,""))</f>
        <v/>
      </c>
      <c r="J51" s="36"/>
      <c r="K51" s="37"/>
      <c r="L51" s="37"/>
      <c r="M51" s="37"/>
      <c r="N51" s="37"/>
      <c r="O51" s="37"/>
      <c r="P51" s="37"/>
      <c r="Q51" s="33"/>
      <c r="R51" s="37"/>
      <c r="S51" s="37"/>
      <c r="T51" s="37"/>
      <c r="U51" s="37"/>
      <c r="V51" s="37"/>
      <c r="W51" s="36"/>
      <c r="X51" s="36"/>
      <c r="Y51" s="36"/>
      <c r="Z51" s="36"/>
      <c r="AA51" s="17"/>
      <c r="AB51" s="17"/>
      <c r="AC51" s="17"/>
      <c r="AD51" s="17"/>
    </row>
    <row r="52" customFormat="false" ht="15" hidden="false" customHeight="false" outlineLevel="0" collapsed="false">
      <c r="A52" s="14"/>
      <c r="B52" s="14"/>
      <c r="C52" s="14"/>
      <c r="D52" s="14"/>
      <c r="E52" s="33"/>
      <c r="F52" s="34" t="str">
        <f aca="false">IF($A52="","",'Market levels'!I52)</f>
        <v/>
      </c>
      <c r="G52" s="35" t="str">
        <f aca="false">IF($A52="","",IFERROR(('Market levels'!I52/'Market levels'!D52)^(1/5)-1,""))</f>
        <v/>
      </c>
      <c r="H52" s="35" t="str">
        <f aca="false">IF($A52="","",IFERROR('Market levels'!J52/'Market levels'!I52-1,""))</f>
        <v/>
      </c>
      <c r="I52" s="35" t="str">
        <f aca="false">IF($A52="","",IFERROR(('Market levels'!O52/'Market levels'!J52)^(1/5)-1,""))</f>
        <v/>
      </c>
      <c r="J52" s="36"/>
      <c r="K52" s="37"/>
      <c r="L52" s="37"/>
      <c r="M52" s="37"/>
      <c r="N52" s="37"/>
      <c r="O52" s="37"/>
      <c r="P52" s="37"/>
      <c r="Q52" s="33"/>
      <c r="R52" s="37"/>
      <c r="S52" s="37"/>
      <c r="T52" s="37"/>
      <c r="U52" s="37"/>
      <c r="V52" s="37"/>
      <c r="W52" s="36"/>
      <c r="X52" s="36"/>
      <c r="Y52" s="36"/>
      <c r="Z52" s="36"/>
      <c r="AA52" s="17"/>
      <c r="AB52" s="17"/>
      <c r="AC52" s="17"/>
      <c r="AD52" s="17"/>
    </row>
    <row r="53" customFormat="false" ht="15" hidden="false" customHeight="false" outlineLevel="0" collapsed="false">
      <c r="A53" s="14"/>
      <c r="B53" s="14"/>
      <c r="C53" s="14"/>
      <c r="D53" s="14"/>
      <c r="E53" s="33"/>
      <c r="F53" s="34" t="str">
        <f aca="false">IF($A53="","",'Market levels'!I53)</f>
        <v/>
      </c>
      <c r="G53" s="35" t="str">
        <f aca="false">IF($A53="","",IFERROR(('Market levels'!I53/'Market levels'!D53)^(1/5)-1,""))</f>
        <v/>
      </c>
      <c r="H53" s="35" t="str">
        <f aca="false">IF($A53="","",IFERROR('Market levels'!J53/'Market levels'!I53-1,""))</f>
        <v/>
      </c>
      <c r="I53" s="35" t="str">
        <f aca="false">IF($A53="","",IFERROR(('Market levels'!O53/'Market levels'!J53)^(1/5)-1,""))</f>
        <v/>
      </c>
      <c r="J53" s="36"/>
      <c r="K53" s="37"/>
      <c r="L53" s="37"/>
      <c r="M53" s="37"/>
      <c r="N53" s="37"/>
      <c r="O53" s="37"/>
      <c r="P53" s="37"/>
      <c r="Q53" s="33"/>
      <c r="R53" s="37"/>
      <c r="S53" s="37"/>
      <c r="T53" s="37"/>
      <c r="U53" s="37"/>
      <c r="V53" s="37"/>
      <c r="W53" s="36"/>
      <c r="X53" s="36"/>
      <c r="Y53" s="36"/>
      <c r="Z53" s="36"/>
      <c r="AA53" s="17"/>
      <c r="AB53" s="17"/>
      <c r="AC53" s="17"/>
      <c r="AD53" s="17"/>
    </row>
    <row r="54" customFormat="false" ht="15" hidden="false" customHeight="false" outlineLevel="0" collapsed="false">
      <c r="A54" s="14"/>
      <c r="B54" s="14"/>
      <c r="C54" s="14"/>
      <c r="D54" s="14"/>
      <c r="E54" s="33"/>
      <c r="F54" s="34" t="str">
        <f aca="false">IF($A54="","",'Market levels'!I54)</f>
        <v/>
      </c>
      <c r="G54" s="35" t="str">
        <f aca="false">IF($A54="","",IFERROR(('Market levels'!I54/'Market levels'!D54)^(1/5)-1,""))</f>
        <v/>
      </c>
      <c r="H54" s="35" t="str">
        <f aca="false">IF($A54="","",IFERROR('Market levels'!J54/'Market levels'!I54-1,""))</f>
        <v/>
      </c>
      <c r="I54" s="35" t="str">
        <f aca="false">IF($A54="","",IFERROR(('Market levels'!O54/'Market levels'!J54)^(1/5)-1,""))</f>
        <v/>
      </c>
      <c r="J54" s="36"/>
      <c r="K54" s="37"/>
      <c r="L54" s="37"/>
      <c r="M54" s="37"/>
      <c r="N54" s="37"/>
      <c r="O54" s="37"/>
      <c r="P54" s="37"/>
      <c r="Q54" s="33"/>
      <c r="R54" s="37"/>
      <c r="S54" s="37"/>
      <c r="T54" s="37"/>
      <c r="U54" s="37"/>
      <c r="V54" s="37"/>
      <c r="W54" s="36"/>
      <c r="X54" s="36"/>
      <c r="Y54" s="36"/>
      <c r="Z54" s="36"/>
      <c r="AA54" s="17"/>
      <c r="AB54" s="17"/>
      <c r="AC54" s="17"/>
      <c r="AD54" s="17"/>
    </row>
    <row r="55" customFormat="false" ht="15" hidden="false" customHeight="false" outlineLevel="0" collapsed="false">
      <c r="A55" s="14"/>
      <c r="B55" s="14"/>
      <c r="C55" s="14"/>
      <c r="D55" s="14"/>
      <c r="E55" s="33"/>
      <c r="F55" s="34" t="str">
        <f aca="false">IF($A55="","",'Market levels'!I55)</f>
        <v/>
      </c>
      <c r="G55" s="35" t="str">
        <f aca="false">IF($A55="","",IFERROR(('Market levels'!I55/'Market levels'!D55)^(1/5)-1,""))</f>
        <v/>
      </c>
      <c r="H55" s="35" t="str">
        <f aca="false">IF($A55="","",IFERROR('Market levels'!J55/'Market levels'!I55-1,""))</f>
        <v/>
      </c>
      <c r="I55" s="35" t="str">
        <f aca="false">IF($A55="","",IFERROR(('Market levels'!O55/'Market levels'!J55)^(1/5)-1,""))</f>
        <v/>
      </c>
      <c r="J55" s="36"/>
      <c r="K55" s="37"/>
      <c r="L55" s="37"/>
      <c r="M55" s="37"/>
      <c r="N55" s="37"/>
      <c r="O55" s="37"/>
      <c r="P55" s="37"/>
      <c r="Q55" s="33"/>
      <c r="R55" s="37"/>
      <c r="S55" s="37"/>
      <c r="T55" s="37"/>
      <c r="U55" s="37"/>
      <c r="V55" s="37"/>
      <c r="W55" s="36"/>
      <c r="X55" s="36"/>
      <c r="Y55" s="36"/>
      <c r="Z55" s="36"/>
      <c r="AA55" s="17"/>
      <c r="AB55" s="17"/>
      <c r="AC55" s="17"/>
      <c r="AD55" s="17"/>
    </row>
    <row r="56" customFormat="false" ht="15" hidden="false" customHeight="false" outlineLevel="0" collapsed="false">
      <c r="A56" s="14"/>
      <c r="B56" s="14"/>
      <c r="C56" s="14"/>
      <c r="D56" s="14"/>
      <c r="E56" s="33"/>
      <c r="F56" s="34" t="str">
        <f aca="false">IF($A56="","",'Market levels'!I56)</f>
        <v/>
      </c>
      <c r="G56" s="35" t="str">
        <f aca="false">IF($A56="","",IFERROR(('Market levels'!I56/'Market levels'!D56)^(1/5)-1,""))</f>
        <v/>
      </c>
      <c r="H56" s="35" t="str">
        <f aca="false">IF($A56="","",IFERROR('Market levels'!J56/'Market levels'!I56-1,""))</f>
        <v/>
      </c>
      <c r="I56" s="35" t="str">
        <f aca="false">IF($A56="","",IFERROR(('Market levels'!O56/'Market levels'!J56)^(1/5)-1,""))</f>
        <v/>
      </c>
      <c r="J56" s="36"/>
      <c r="K56" s="37"/>
      <c r="L56" s="37"/>
      <c r="M56" s="37"/>
      <c r="N56" s="37"/>
      <c r="O56" s="37"/>
      <c r="P56" s="37"/>
      <c r="Q56" s="33"/>
      <c r="R56" s="37"/>
      <c r="S56" s="37"/>
      <c r="T56" s="37"/>
      <c r="U56" s="37"/>
      <c r="V56" s="37"/>
      <c r="W56" s="36"/>
      <c r="X56" s="36"/>
      <c r="Y56" s="36"/>
      <c r="Z56" s="36"/>
      <c r="AA56" s="17"/>
      <c r="AB56" s="17"/>
      <c r="AC56" s="17"/>
      <c r="AD56" s="17"/>
    </row>
    <row r="57" customFormat="false" ht="15" hidden="false" customHeight="false" outlineLevel="0" collapsed="false">
      <c r="A57" s="14"/>
      <c r="B57" s="14"/>
      <c r="C57" s="14"/>
      <c r="D57" s="14"/>
      <c r="E57" s="33"/>
      <c r="F57" s="34" t="str">
        <f aca="false">IF($A57="","",'Market levels'!I57)</f>
        <v/>
      </c>
      <c r="G57" s="35" t="str">
        <f aca="false">IF($A57="","",IFERROR(('Market levels'!I57/'Market levels'!D57)^(1/5)-1,""))</f>
        <v/>
      </c>
      <c r="H57" s="35" t="str">
        <f aca="false">IF($A57="","",IFERROR('Market levels'!J57/'Market levels'!I57-1,""))</f>
        <v/>
      </c>
      <c r="I57" s="35" t="str">
        <f aca="false">IF($A57="","",IFERROR(('Market levels'!O57/'Market levels'!J57)^(1/5)-1,""))</f>
        <v/>
      </c>
      <c r="J57" s="36"/>
      <c r="K57" s="37"/>
      <c r="L57" s="37"/>
      <c r="M57" s="37"/>
      <c r="N57" s="37"/>
      <c r="O57" s="37"/>
      <c r="P57" s="37"/>
      <c r="Q57" s="33"/>
      <c r="R57" s="37"/>
      <c r="S57" s="37"/>
      <c r="T57" s="37"/>
      <c r="U57" s="37"/>
      <c r="V57" s="37"/>
      <c r="W57" s="36"/>
      <c r="X57" s="36"/>
      <c r="Y57" s="36"/>
      <c r="Z57" s="36"/>
      <c r="AA57" s="17"/>
      <c r="AB57" s="17"/>
      <c r="AC57" s="17"/>
      <c r="AD57" s="17"/>
    </row>
    <row r="58" customFormat="false" ht="15" hidden="false" customHeight="false" outlineLevel="0" collapsed="false">
      <c r="A58" s="14"/>
      <c r="B58" s="14"/>
      <c r="C58" s="14"/>
      <c r="D58" s="14"/>
      <c r="E58" s="33"/>
      <c r="F58" s="34" t="str">
        <f aca="false">IF($A58="","",'Market levels'!I58)</f>
        <v/>
      </c>
      <c r="G58" s="35" t="str">
        <f aca="false">IF($A58="","",IFERROR(('Market levels'!I58/'Market levels'!D58)^(1/5)-1,""))</f>
        <v/>
      </c>
      <c r="H58" s="35" t="str">
        <f aca="false">IF($A58="","",IFERROR('Market levels'!J58/'Market levels'!I58-1,""))</f>
        <v/>
      </c>
      <c r="I58" s="35" t="str">
        <f aca="false">IF($A58="","",IFERROR(('Market levels'!O58/'Market levels'!J58)^(1/5)-1,""))</f>
        <v/>
      </c>
      <c r="J58" s="36"/>
      <c r="K58" s="37"/>
      <c r="L58" s="37"/>
      <c r="M58" s="37"/>
      <c r="N58" s="37"/>
      <c r="O58" s="37"/>
      <c r="P58" s="37"/>
      <c r="Q58" s="33"/>
      <c r="R58" s="37"/>
      <c r="S58" s="37"/>
      <c r="T58" s="37"/>
      <c r="U58" s="37"/>
      <c r="V58" s="37"/>
      <c r="W58" s="36"/>
      <c r="X58" s="36"/>
      <c r="Y58" s="36"/>
      <c r="Z58" s="36"/>
      <c r="AA58" s="17"/>
      <c r="AB58" s="17"/>
      <c r="AC58" s="17"/>
      <c r="AD58" s="17"/>
    </row>
    <row r="59" customFormat="false" ht="15" hidden="false" customHeight="false" outlineLevel="0" collapsed="false">
      <c r="A59" s="14"/>
      <c r="B59" s="14"/>
      <c r="C59" s="14"/>
      <c r="D59" s="14"/>
      <c r="E59" s="33"/>
      <c r="F59" s="34" t="str">
        <f aca="false">IF($A59="","",'Market levels'!I59)</f>
        <v/>
      </c>
      <c r="G59" s="35" t="str">
        <f aca="false">IF($A59="","",IFERROR(('Market levels'!I59/'Market levels'!D59)^(1/5)-1,""))</f>
        <v/>
      </c>
      <c r="H59" s="35" t="str">
        <f aca="false">IF($A59="","",IFERROR('Market levels'!J59/'Market levels'!I59-1,""))</f>
        <v/>
      </c>
      <c r="I59" s="35" t="str">
        <f aca="false">IF($A59="","",IFERROR(('Market levels'!O59/'Market levels'!J59)^(1/5)-1,""))</f>
        <v/>
      </c>
      <c r="J59" s="36"/>
      <c r="K59" s="37"/>
      <c r="L59" s="37"/>
      <c r="M59" s="37"/>
      <c r="N59" s="37"/>
      <c r="O59" s="37"/>
      <c r="P59" s="37"/>
      <c r="Q59" s="33"/>
      <c r="R59" s="37"/>
      <c r="S59" s="37"/>
      <c r="T59" s="37"/>
      <c r="U59" s="37"/>
      <c r="V59" s="37"/>
      <c r="W59" s="36"/>
      <c r="X59" s="36"/>
      <c r="Y59" s="36"/>
      <c r="Z59" s="36"/>
      <c r="AA59" s="17"/>
      <c r="AB59" s="17"/>
      <c r="AC59" s="17"/>
      <c r="AD59" s="17"/>
    </row>
    <row r="60" customFormat="false" ht="15" hidden="false" customHeight="false" outlineLevel="0" collapsed="false">
      <c r="A60" s="14"/>
      <c r="B60" s="14"/>
      <c r="C60" s="14"/>
      <c r="D60" s="14"/>
      <c r="E60" s="33"/>
      <c r="F60" s="34" t="str">
        <f aca="false">IF($A60="","",'Market levels'!I60)</f>
        <v/>
      </c>
      <c r="G60" s="35" t="str">
        <f aca="false">IF($A60="","",IFERROR(('Market levels'!I60/'Market levels'!D60)^(1/5)-1,""))</f>
        <v/>
      </c>
      <c r="H60" s="35" t="str">
        <f aca="false">IF($A60="","",IFERROR('Market levels'!J60/'Market levels'!I60-1,""))</f>
        <v/>
      </c>
      <c r="I60" s="35" t="str">
        <f aca="false">IF($A60="","",IFERROR(('Market levels'!O60/'Market levels'!J60)^(1/5)-1,""))</f>
        <v/>
      </c>
      <c r="J60" s="36"/>
      <c r="K60" s="37"/>
      <c r="L60" s="37"/>
      <c r="M60" s="37"/>
      <c r="N60" s="37"/>
      <c r="O60" s="37"/>
      <c r="P60" s="37"/>
      <c r="Q60" s="33"/>
      <c r="R60" s="37"/>
      <c r="S60" s="37"/>
      <c r="T60" s="37"/>
      <c r="U60" s="37"/>
      <c r="V60" s="37"/>
      <c r="W60" s="36"/>
      <c r="X60" s="36"/>
      <c r="Y60" s="36"/>
      <c r="Z60" s="36"/>
      <c r="AA60" s="17"/>
      <c r="AB60" s="17"/>
      <c r="AC60" s="17"/>
      <c r="AD60" s="17"/>
    </row>
    <row r="61" customFormat="false" ht="15" hidden="false" customHeight="false" outlineLevel="0" collapsed="false">
      <c r="A61" s="14"/>
      <c r="B61" s="14"/>
      <c r="C61" s="14"/>
      <c r="D61" s="14"/>
      <c r="E61" s="33"/>
      <c r="F61" s="34" t="str">
        <f aca="false">IF($A61="","",'Market levels'!I61)</f>
        <v/>
      </c>
      <c r="G61" s="35" t="str">
        <f aca="false">IF($A61="","",IFERROR(('Market levels'!I61/'Market levels'!D61)^(1/5)-1,""))</f>
        <v/>
      </c>
      <c r="H61" s="35" t="str">
        <f aca="false">IF($A61="","",IFERROR('Market levels'!J61/'Market levels'!I61-1,""))</f>
        <v/>
      </c>
      <c r="I61" s="35" t="str">
        <f aca="false">IF($A61="","",IFERROR(('Market levels'!O61/'Market levels'!J61)^(1/5)-1,""))</f>
        <v/>
      </c>
      <c r="J61" s="36"/>
      <c r="K61" s="37"/>
      <c r="L61" s="37"/>
      <c r="M61" s="37"/>
      <c r="N61" s="37"/>
      <c r="O61" s="37"/>
      <c r="P61" s="37"/>
      <c r="Q61" s="33"/>
      <c r="R61" s="37"/>
      <c r="S61" s="37"/>
      <c r="T61" s="37"/>
      <c r="U61" s="37"/>
      <c r="V61" s="37"/>
      <c r="W61" s="36"/>
      <c r="X61" s="36"/>
      <c r="Y61" s="36"/>
      <c r="Z61" s="36"/>
      <c r="AA61" s="17"/>
      <c r="AB61" s="17"/>
      <c r="AC61" s="17"/>
      <c r="AD61" s="17"/>
    </row>
    <row r="62" customFormat="false" ht="15" hidden="false" customHeight="false" outlineLevel="0" collapsed="false">
      <c r="A62" s="14"/>
      <c r="B62" s="14"/>
      <c r="C62" s="14"/>
      <c r="D62" s="14"/>
      <c r="E62" s="33"/>
      <c r="F62" s="34" t="str">
        <f aca="false">IF($A62="","",'Market levels'!I62)</f>
        <v/>
      </c>
      <c r="G62" s="35" t="str">
        <f aca="false">IF($A62="","",IFERROR(('Market levels'!I62/'Market levels'!D62)^(1/5)-1,""))</f>
        <v/>
      </c>
      <c r="H62" s="35" t="str">
        <f aca="false">IF($A62="","",IFERROR('Market levels'!J62/'Market levels'!I62-1,""))</f>
        <v/>
      </c>
      <c r="I62" s="35" t="str">
        <f aca="false">IF($A62="","",IFERROR(('Market levels'!O62/'Market levels'!J62)^(1/5)-1,""))</f>
        <v/>
      </c>
      <c r="J62" s="36"/>
      <c r="K62" s="37"/>
      <c r="L62" s="37"/>
      <c r="M62" s="37"/>
      <c r="N62" s="37"/>
      <c r="O62" s="37"/>
      <c r="P62" s="37"/>
      <c r="Q62" s="33"/>
      <c r="R62" s="37"/>
      <c r="S62" s="37"/>
      <c r="T62" s="37"/>
      <c r="U62" s="37"/>
      <c r="V62" s="37"/>
      <c r="W62" s="36"/>
      <c r="X62" s="36"/>
      <c r="Y62" s="36"/>
      <c r="Z62" s="36"/>
      <c r="AA62" s="17"/>
      <c r="AB62" s="17"/>
      <c r="AC62" s="17"/>
      <c r="AD62" s="17"/>
    </row>
    <row r="63" customFormat="false" ht="15" hidden="false" customHeight="false" outlineLevel="0" collapsed="false">
      <c r="A63" s="14"/>
      <c r="B63" s="14"/>
      <c r="C63" s="14"/>
      <c r="D63" s="14"/>
      <c r="E63" s="33"/>
      <c r="F63" s="34" t="str">
        <f aca="false">IF($A63="","",'Market levels'!I63)</f>
        <v/>
      </c>
      <c r="G63" s="35" t="str">
        <f aca="false">IF($A63="","",IFERROR(('Market levels'!I63/'Market levels'!D63)^(1/5)-1,""))</f>
        <v/>
      </c>
      <c r="H63" s="35" t="str">
        <f aca="false">IF($A63="","",IFERROR('Market levels'!J63/'Market levels'!I63-1,""))</f>
        <v/>
      </c>
      <c r="I63" s="35" t="str">
        <f aca="false">IF($A63="","",IFERROR(('Market levels'!O63/'Market levels'!J63)^(1/5)-1,""))</f>
        <v/>
      </c>
      <c r="J63" s="36"/>
      <c r="K63" s="37"/>
      <c r="L63" s="37"/>
      <c r="M63" s="37"/>
      <c r="N63" s="37"/>
      <c r="O63" s="37"/>
      <c r="P63" s="37"/>
      <c r="Q63" s="33"/>
      <c r="R63" s="37"/>
      <c r="S63" s="37"/>
      <c r="T63" s="37"/>
      <c r="U63" s="37"/>
      <c r="V63" s="37"/>
      <c r="W63" s="36"/>
      <c r="X63" s="36"/>
      <c r="Y63" s="36"/>
      <c r="Z63" s="36"/>
      <c r="AA63" s="17"/>
      <c r="AB63" s="17"/>
      <c r="AC63" s="17"/>
      <c r="AD63" s="17"/>
    </row>
    <row r="64" customFormat="false" ht="15" hidden="false" customHeight="false" outlineLevel="0" collapsed="false">
      <c r="A64" s="14"/>
      <c r="B64" s="14"/>
      <c r="C64" s="14"/>
      <c r="D64" s="14"/>
      <c r="E64" s="33"/>
      <c r="F64" s="34" t="str">
        <f aca="false">IF($A64="","",'Market levels'!I64)</f>
        <v/>
      </c>
      <c r="G64" s="35" t="str">
        <f aca="false">IF($A64="","",IFERROR(('Market levels'!I64/'Market levels'!D64)^(1/5)-1,""))</f>
        <v/>
      </c>
      <c r="H64" s="35" t="str">
        <f aca="false">IF($A64="","",IFERROR('Market levels'!J64/'Market levels'!I64-1,""))</f>
        <v/>
      </c>
      <c r="I64" s="35" t="str">
        <f aca="false">IF($A64="","",IFERROR(('Market levels'!O64/'Market levels'!J64)^(1/5)-1,""))</f>
        <v/>
      </c>
      <c r="J64" s="36"/>
      <c r="K64" s="37"/>
      <c r="L64" s="37"/>
      <c r="M64" s="37"/>
      <c r="N64" s="37"/>
      <c r="O64" s="37"/>
      <c r="P64" s="37"/>
      <c r="Q64" s="33"/>
      <c r="R64" s="37"/>
      <c r="S64" s="37"/>
      <c r="T64" s="37"/>
      <c r="U64" s="37"/>
      <c r="V64" s="37"/>
      <c r="W64" s="36"/>
      <c r="X64" s="36"/>
      <c r="Y64" s="36"/>
      <c r="Z64" s="36"/>
      <c r="AA64" s="17"/>
      <c r="AB64" s="17"/>
      <c r="AC64" s="17"/>
      <c r="AD64" s="17"/>
    </row>
    <row r="65" customFormat="false" ht="15" hidden="false" customHeight="false" outlineLevel="0" collapsed="false">
      <c r="A65" s="14"/>
      <c r="B65" s="14"/>
      <c r="C65" s="14"/>
      <c r="D65" s="14"/>
      <c r="E65" s="33"/>
      <c r="F65" s="34" t="str">
        <f aca="false">IF($A65="","",'Market levels'!I65)</f>
        <v/>
      </c>
      <c r="G65" s="35" t="str">
        <f aca="false">IF($A65="","",IFERROR(('Market levels'!I65/'Market levels'!D65)^(1/5)-1,""))</f>
        <v/>
      </c>
      <c r="H65" s="35" t="str">
        <f aca="false">IF($A65="","",IFERROR('Market levels'!J65/'Market levels'!I65-1,""))</f>
        <v/>
      </c>
      <c r="I65" s="35" t="str">
        <f aca="false">IF($A65="","",IFERROR(('Market levels'!O65/'Market levels'!J65)^(1/5)-1,""))</f>
        <v/>
      </c>
      <c r="J65" s="36"/>
      <c r="K65" s="37"/>
      <c r="L65" s="37"/>
      <c r="M65" s="37"/>
      <c r="N65" s="37"/>
      <c r="O65" s="37"/>
      <c r="P65" s="37"/>
      <c r="Q65" s="33"/>
      <c r="R65" s="37"/>
      <c r="S65" s="37"/>
      <c r="T65" s="37"/>
      <c r="U65" s="37"/>
      <c r="V65" s="37"/>
      <c r="W65" s="36"/>
      <c r="X65" s="36"/>
      <c r="Y65" s="36"/>
      <c r="Z65" s="36"/>
      <c r="AA65" s="17"/>
      <c r="AB65" s="17"/>
      <c r="AC65" s="17"/>
      <c r="AD65" s="17"/>
    </row>
  </sheetData>
  <mergeCells count="6">
    <mergeCell ref="A4:D4"/>
    <mergeCell ref="E4:I4"/>
    <mergeCell ref="J4:P4"/>
    <mergeCell ref="Q4:V4"/>
    <mergeCell ref="W4:Z4"/>
    <mergeCell ref="AA4:AD4"/>
  </mergeCells>
  <dataValidations count="3">
    <dataValidation allowBlank="true" errorStyle="stop" operator="between" showDropDown="false" showErrorMessage="false" showInputMessage="false" sqref="C6:C65" type="list">
      <formula1>"Residential,Non-residential"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AA6:AD6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J6:J65 U6:Z6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P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15" min="4" style="0" width="11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245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1" t="s">
        <v>246</v>
      </c>
    </row>
    <row r="5" customFormat="false" ht="22.35" hidden="false" customHeight="false" outlineLevel="0" collapsed="false">
      <c r="A5" s="22" t="s">
        <v>214</v>
      </c>
      <c r="B5" s="22" t="s">
        <v>216</v>
      </c>
      <c r="C5" s="22" t="s">
        <v>247</v>
      </c>
      <c r="D5" s="38" t="n">
        <f aca="false">Settings!$B$7-6</f>
        <v>2020</v>
      </c>
      <c r="E5" s="38" t="n">
        <f aca="false">Settings!$B$7-5</f>
        <v>2021</v>
      </c>
      <c r="F5" s="38" t="n">
        <f aca="false">Settings!$B$7-4</f>
        <v>2022</v>
      </c>
      <c r="G5" s="38" t="n">
        <f aca="false">Settings!$B$7-3</f>
        <v>2023</v>
      </c>
      <c r="H5" s="38" t="n">
        <f aca="false">Settings!$B$7-2</f>
        <v>2024</v>
      </c>
      <c r="I5" s="38" t="n">
        <f aca="false">Settings!$B$7-1</f>
        <v>2025</v>
      </c>
      <c r="J5" s="39" t="n">
        <f aca="false">Settings!$B$7</f>
        <v>2026</v>
      </c>
      <c r="K5" s="39" t="n">
        <f aca="false">Settings!$B$7+1</f>
        <v>2027</v>
      </c>
      <c r="L5" s="39" t="n">
        <f aca="false">Settings!$B$7+2</f>
        <v>2028</v>
      </c>
      <c r="M5" s="39" t="n">
        <f aca="false">Settings!$B$7+3</f>
        <v>2029</v>
      </c>
      <c r="N5" s="39" t="n">
        <f aca="false">Settings!$B$7+4</f>
        <v>2030</v>
      </c>
      <c r="O5" s="39" t="n">
        <f aca="false">Settings!$B$7+5</f>
        <v>2031</v>
      </c>
    </row>
    <row r="6" customFormat="false" ht="15" hidden="false" customHeight="false" outlineLevel="0" collapsed="false">
      <c r="A6" s="40" t="str">
        <f aca="false">IF('Raw data'!$A6="","",'Raw data'!$A6)</f>
        <v>Poland</v>
      </c>
      <c r="B6" s="40" t="str">
        <f aca="false">IF($A6="","",'Raw data'!$C6)</f>
        <v>Residential</v>
      </c>
      <c r="C6" s="40" t="str">
        <f aca="false">IF($A6="","",IF('Raw data'!$D6="",$A6,'Raw data'!$D6))</f>
        <v>Poland</v>
      </c>
      <c r="D6" s="41" t="str">
        <f aca="false">IF($A6="","",IFERROR(1/(1/IF($B6="Residential",(SUMIFS(INDEX('Oxford Economics'!$A$7:$AZ$1000,0,IFERROR(MATCH(D$5,'Oxford Economics'!$A$6:$AZ$6,0),MATCH(D$5&amp;"",'Oxford Economics'!$A$6:$AZ$6,0))),'Oxford Economics'!$A$7:$A$1000,$C6,'Oxford Economics'!$B$7:$B$1000,Settings!$B$29)-SUMIFS(INDEX('Oxford Economics'!$A$7:$AZ$1000,0,IFERROR(MATCH(D$5,'Oxford Economics'!$A$6:$AZ$6,0),MATCH(D$5&amp;"",'Oxford Economics'!$A$6:$AZ$6,0))),'Oxford Economics'!$A$7:$A$1000,$C6,'Oxford Economics'!$B$7:$B$1000,Settings!$B$30)),(SUMIFS(INDEX('Oxford Economics'!$A$7:$AZ$1000,0,IFERROR(MATCH(D$5,'Oxford Economics'!$A$6:$AZ$6,0),MATCH(D$5&amp;"",'Oxford Economics'!$A$6:$AZ$6,0))),'Oxford Economics'!$A$7:$A$1000,$C6,'Oxford Economics'!$B$7:$B$1000,Settings!$B$30)+SUMIFS(INDEX('Oxford Economics'!$A$7:$AZ$1000,0,IFERROR(MATCH(D$5,'Oxford Economics'!$A$6:$AZ$6,0),MATCH(D$5&amp;"",'Oxford Economics'!$A$6:$AZ$6,0))),'Oxford Economics'!$A$7:$A$1000,$C6,'Oxford Economics'!$B$7:$B$1000,Settings!$B$31)))),""))</f>
        <v/>
      </c>
      <c r="E6" s="41" t="str">
        <f aca="false">IF($A6="","",IFERROR(1/(1/IF($B6="Residential",(SUMIFS(INDEX('Oxford Economics'!$A$7:$AZ$1000,0,IFERROR(MATCH(E$5,'Oxford Economics'!$A$6:$AZ$6,0),MATCH(E$5&amp;"",'Oxford Economics'!$A$6:$AZ$6,0))),'Oxford Economics'!$A$7:$A$1000,$C6,'Oxford Economics'!$B$7:$B$1000,Settings!$B$29)-SUMIFS(INDEX('Oxford Economics'!$A$7:$AZ$1000,0,IFERROR(MATCH(E$5,'Oxford Economics'!$A$6:$AZ$6,0),MATCH(E$5&amp;"",'Oxford Economics'!$A$6:$AZ$6,0))),'Oxford Economics'!$A$7:$A$1000,$C6,'Oxford Economics'!$B$7:$B$1000,Settings!$B$30)),(SUMIFS(INDEX('Oxford Economics'!$A$7:$AZ$1000,0,IFERROR(MATCH(E$5,'Oxford Economics'!$A$6:$AZ$6,0),MATCH(E$5&amp;"",'Oxford Economics'!$A$6:$AZ$6,0))),'Oxford Economics'!$A$7:$A$1000,$C6,'Oxford Economics'!$B$7:$B$1000,Settings!$B$30)+SUMIFS(INDEX('Oxford Economics'!$A$7:$AZ$1000,0,IFERROR(MATCH(E$5,'Oxford Economics'!$A$6:$AZ$6,0),MATCH(E$5&amp;"",'Oxford Economics'!$A$6:$AZ$6,0))),'Oxford Economics'!$A$7:$A$1000,$C6,'Oxford Economics'!$B$7:$B$1000,Settings!$B$31)))),""))</f>
        <v/>
      </c>
      <c r="F6" s="41" t="str">
        <f aca="false">IF($A6="","",IFERROR(1/(1/IF($B6="Residential",(SUMIFS(INDEX('Oxford Economics'!$A$7:$AZ$1000,0,IFERROR(MATCH(F$5,'Oxford Economics'!$A$6:$AZ$6,0),MATCH(F$5&amp;"",'Oxford Economics'!$A$6:$AZ$6,0))),'Oxford Economics'!$A$7:$A$1000,$C6,'Oxford Economics'!$B$7:$B$1000,Settings!$B$29)-SUMIFS(INDEX('Oxford Economics'!$A$7:$AZ$1000,0,IFERROR(MATCH(F$5,'Oxford Economics'!$A$6:$AZ$6,0),MATCH(F$5&amp;"",'Oxford Economics'!$A$6:$AZ$6,0))),'Oxford Economics'!$A$7:$A$1000,$C6,'Oxford Economics'!$B$7:$B$1000,Settings!$B$30)),(SUMIFS(INDEX('Oxford Economics'!$A$7:$AZ$1000,0,IFERROR(MATCH(F$5,'Oxford Economics'!$A$6:$AZ$6,0),MATCH(F$5&amp;"",'Oxford Economics'!$A$6:$AZ$6,0))),'Oxford Economics'!$A$7:$A$1000,$C6,'Oxford Economics'!$B$7:$B$1000,Settings!$B$30)+SUMIFS(INDEX('Oxford Economics'!$A$7:$AZ$1000,0,IFERROR(MATCH(F$5,'Oxford Economics'!$A$6:$AZ$6,0),MATCH(F$5&amp;"",'Oxford Economics'!$A$6:$AZ$6,0))),'Oxford Economics'!$A$7:$A$1000,$C6,'Oxford Economics'!$B$7:$B$1000,Settings!$B$31)))),""))</f>
        <v/>
      </c>
      <c r="G6" s="41" t="str">
        <f aca="false">IF($A6="","",IFERROR(1/(1/IF($B6="Residential",(SUMIFS(INDEX('Oxford Economics'!$A$7:$AZ$1000,0,IFERROR(MATCH(G$5,'Oxford Economics'!$A$6:$AZ$6,0),MATCH(G$5&amp;"",'Oxford Economics'!$A$6:$AZ$6,0))),'Oxford Economics'!$A$7:$A$1000,$C6,'Oxford Economics'!$B$7:$B$1000,Settings!$B$29)-SUMIFS(INDEX('Oxford Economics'!$A$7:$AZ$1000,0,IFERROR(MATCH(G$5,'Oxford Economics'!$A$6:$AZ$6,0),MATCH(G$5&amp;"",'Oxford Economics'!$A$6:$AZ$6,0))),'Oxford Economics'!$A$7:$A$1000,$C6,'Oxford Economics'!$B$7:$B$1000,Settings!$B$30)),(SUMIFS(INDEX('Oxford Economics'!$A$7:$AZ$1000,0,IFERROR(MATCH(G$5,'Oxford Economics'!$A$6:$AZ$6,0),MATCH(G$5&amp;"",'Oxford Economics'!$A$6:$AZ$6,0))),'Oxford Economics'!$A$7:$A$1000,$C6,'Oxford Economics'!$B$7:$B$1000,Settings!$B$30)+SUMIFS(INDEX('Oxford Economics'!$A$7:$AZ$1000,0,IFERROR(MATCH(G$5,'Oxford Economics'!$A$6:$AZ$6,0),MATCH(G$5&amp;"",'Oxford Economics'!$A$6:$AZ$6,0))),'Oxford Economics'!$A$7:$A$1000,$C6,'Oxford Economics'!$B$7:$B$1000,Settings!$B$31)))),""))</f>
        <v/>
      </c>
      <c r="H6" s="41" t="n">
        <f aca="false">IF($A6="","",IFERROR(1/(1/IF($B6="Residential",(SUMIFS(INDEX('Oxford Economics'!$A$7:$AZ$1000,0,IFERROR(MATCH(H$5,'Oxford Economics'!$A$6:$AZ$6,0),MATCH(H$5&amp;"",'Oxford Economics'!$A$6:$AZ$6,0))),'Oxford Economics'!$A$7:$A$1000,$C6,'Oxford Economics'!$B$7:$B$1000,Settings!$B$29)-SUMIFS(INDEX('Oxford Economics'!$A$7:$AZ$1000,0,IFERROR(MATCH(H$5,'Oxford Economics'!$A$6:$AZ$6,0),MATCH(H$5&amp;"",'Oxford Economics'!$A$6:$AZ$6,0))),'Oxford Economics'!$A$7:$A$1000,$C6,'Oxford Economics'!$B$7:$B$1000,Settings!$B$30)),(SUMIFS(INDEX('Oxford Economics'!$A$7:$AZ$1000,0,IFERROR(MATCH(H$5,'Oxford Economics'!$A$6:$AZ$6,0),MATCH(H$5&amp;"",'Oxford Economics'!$A$6:$AZ$6,0))),'Oxford Economics'!$A$7:$A$1000,$C6,'Oxford Economics'!$B$7:$B$1000,Settings!$B$30)+SUMIFS(INDEX('Oxford Economics'!$A$7:$AZ$1000,0,IFERROR(MATCH(H$5,'Oxford Economics'!$A$6:$AZ$6,0),MATCH(H$5&amp;"",'Oxford Economics'!$A$6:$AZ$6,0))),'Oxford Economics'!$A$7:$A$1000,$C6,'Oxford Economics'!$B$7:$B$1000,Settings!$B$31)))),""))</f>
        <v>10705.75</v>
      </c>
      <c r="I6" s="41" t="n">
        <f aca="false">IF($A6="","",IFERROR(1/(1/IF($B6="Residential",(SUMIFS(INDEX('Oxford Economics'!$A$7:$AZ$1000,0,IFERROR(MATCH(I$5,'Oxford Economics'!$A$6:$AZ$6,0),MATCH(I$5&amp;"",'Oxford Economics'!$A$6:$AZ$6,0))),'Oxford Economics'!$A$7:$A$1000,$C6,'Oxford Economics'!$B$7:$B$1000,Settings!$B$29)-SUMIFS(INDEX('Oxford Economics'!$A$7:$AZ$1000,0,IFERROR(MATCH(I$5,'Oxford Economics'!$A$6:$AZ$6,0),MATCH(I$5&amp;"",'Oxford Economics'!$A$6:$AZ$6,0))),'Oxford Economics'!$A$7:$A$1000,$C6,'Oxford Economics'!$B$7:$B$1000,Settings!$B$30)),(SUMIFS(INDEX('Oxford Economics'!$A$7:$AZ$1000,0,IFERROR(MATCH(I$5,'Oxford Economics'!$A$6:$AZ$6,0),MATCH(I$5&amp;"",'Oxford Economics'!$A$6:$AZ$6,0))),'Oxford Economics'!$A$7:$A$1000,$C6,'Oxford Economics'!$B$7:$B$1000,Settings!$B$30)+SUMIFS(INDEX('Oxford Economics'!$A$7:$AZ$1000,0,IFERROR(MATCH(I$5,'Oxford Economics'!$A$6:$AZ$6,0),MATCH(I$5&amp;"",'Oxford Economics'!$A$6:$AZ$6,0))),'Oxford Economics'!$A$7:$A$1000,$C6,'Oxford Economics'!$B$7:$B$1000,Settings!$B$31)))),""))</f>
        <v>10329.28</v>
      </c>
      <c r="J6" s="41" t="n">
        <f aca="false">IF($A6="","",IFERROR(1/(1/IF($B6="Residential",(SUMIFS(INDEX('Oxford Economics'!$A$7:$AZ$1000,0,IFERROR(MATCH(J$5,'Oxford Economics'!$A$6:$AZ$6,0),MATCH(J$5&amp;"",'Oxford Economics'!$A$6:$AZ$6,0))),'Oxford Economics'!$A$7:$A$1000,$C6,'Oxford Economics'!$B$7:$B$1000,Settings!$B$29)-SUMIFS(INDEX('Oxford Economics'!$A$7:$AZ$1000,0,IFERROR(MATCH(J$5,'Oxford Economics'!$A$6:$AZ$6,0),MATCH(J$5&amp;"",'Oxford Economics'!$A$6:$AZ$6,0))),'Oxford Economics'!$A$7:$A$1000,$C6,'Oxford Economics'!$B$7:$B$1000,Settings!$B$30)),(SUMIFS(INDEX('Oxford Economics'!$A$7:$AZ$1000,0,IFERROR(MATCH(J$5,'Oxford Economics'!$A$6:$AZ$6,0),MATCH(J$5&amp;"",'Oxford Economics'!$A$6:$AZ$6,0))),'Oxford Economics'!$A$7:$A$1000,$C6,'Oxford Economics'!$B$7:$B$1000,Settings!$B$30)+SUMIFS(INDEX('Oxford Economics'!$A$7:$AZ$1000,0,IFERROR(MATCH(J$5,'Oxford Economics'!$A$6:$AZ$6,0),MATCH(J$5&amp;"",'Oxford Economics'!$A$6:$AZ$6,0))),'Oxford Economics'!$A$7:$A$1000,$C6,'Oxford Economics'!$B$7:$B$1000,Settings!$B$31)))),""))</f>
        <v>11005.13</v>
      </c>
      <c r="K6" s="41" t="n">
        <f aca="false">IF($A6="","",IFERROR(1/(1/IF($B6="Residential",(SUMIFS(INDEX('Oxford Economics'!$A$7:$AZ$1000,0,IFERROR(MATCH(K$5,'Oxford Economics'!$A$6:$AZ$6,0),MATCH(K$5&amp;"",'Oxford Economics'!$A$6:$AZ$6,0))),'Oxford Economics'!$A$7:$A$1000,$C6,'Oxford Economics'!$B$7:$B$1000,Settings!$B$29)-SUMIFS(INDEX('Oxford Economics'!$A$7:$AZ$1000,0,IFERROR(MATCH(K$5,'Oxford Economics'!$A$6:$AZ$6,0),MATCH(K$5&amp;"",'Oxford Economics'!$A$6:$AZ$6,0))),'Oxford Economics'!$A$7:$A$1000,$C6,'Oxford Economics'!$B$7:$B$1000,Settings!$B$30)),(SUMIFS(INDEX('Oxford Economics'!$A$7:$AZ$1000,0,IFERROR(MATCH(K$5,'Oxford Economics'!$A$6:$AZ$6,0),MATCH(K$5&amp;"",'Oxford Economics'!$A$6:$AZ$6,0))),'Oxford Economics'!$A$7:$A$1000,$C6,'Oxford Economics'!$B$7:$B$1000,Settings!$B$30)+SUMIFS(INDEX('Oxford Economics'!$A$7:$AZ$1000,0,IFERROR(MATCH(K$5,'Oxford Economics'!$A$6:$AZ$6,0),MATCH(K$5&amp;"",'Oxford Economics'!$A$6:$AZ$6,0))),'Oxford Economics'!$A$7:$A$1000,$C6,'Oxford Economics'!$B$7:$B$1000,Settings!$B$31)))),""))</f>
        <v>11536.01</v>
      </c>
      <c r="L6" s="41" t="n">
        <f aca="false">IF($A6="","",IFERROR(1/(1/IF($B6="Residential",(SUMIFS(INDEX('Oxford Economics'!$A$7:$AZ$1000,0,IFERROR(MATCH(L$5,'Oxford Economics'!$A$6:$AZ$6,0),MATCH(L$5&amp;"",'Oxford Economics'!$A$6:$AZ$6,0))),'Oxford Economics'!$A$7:$A$1000,$C6,'Oxford Economics'!$B$7:$B$1000,Settings!$B$29)-SUMIFS(INDEX('Oxford Economics'!$A$7:$AZ$1000,0,IFERROR(MATCH(L$5,'Oxford Economics'!$A$6:$AZ$6,0),MATCH(L$5&amp;"",'Oxford Economics'!$A$6:$AZ$6,0))),'Oxford Economics'!$A$7:$A$1000,$C6,'Oxford Economics'!$B$7:$B$1000,Settings!$B$30)),(SUMIFS(INDEX('Oxford Economics'!$A$7:$AZ$1000,0,IFERROR(MATCH(L$5,'Oxford Economics'!$A$6:$AZ$6,0),MATCH(L$5&amp;"",'Oxford Economics'!$A$6:$AZ$6,0))),'Oxford Economics'!$A$7:$A$1000,$C6,'Oxford Economics'!$B$7:$B$1000,Settings!$B$30)+SUMIFS(INDEX('Oxford Economics'!$A$7:$AZ$1000,0,IFERROR(MATCH(L$5,'Oxford Economics'!$A$6:$AZ$6,0),MATCH(L$5&amp;"",'Oxford Economics'!$A$6:$AZ$6,0))),'Oxford Economics'!$A$7:$A$1000,$C6,'Oxford Economics'!$B$7:$B$1000,Settings!$B$31)))),""))</f>
        <v>11750</v>
      </c>
      <c r="M6" s="41" t="n">
        <f aca="false">IF($A6="","",IFERROR(1/(1/IF($B6="Residential",(SUMIFS(INDEX('Oxford Economics'!$A$7:$AZ$1000,0,IFERROR(MATCH(M$5,'Oxford Economics'!$A$6:$AZ$6,0),MATCH(M$5&amp;"",'Oxford Economics'!$A$6:$AZ$6,0))),'Oxford Economics'!$A$7:$A$1000,$C6,'Oxford Economics'!$B$7:$B$1000,Settings!$B$29)-SUMIFS(INDEX('Oxford Economics'!$A$7:$AZ$1000,0,IFERROR(MATCH(M$5,'Oxford Economics'!$A$6:$AZ$6,0),MATCH(M$5&amp;"",'Oxford Economics'!$A$6:$AZ$6,0))),'Oxford Economics'!$A$7:$A$1000,$C6,'Oxford Economics'!$B$7:$B$1000,Settings!$B$30)),(SUMIFS(INDEX('Oxford Economics'!$A$7:$AZ$1000,0,IFERROR(MATCH(M$5,'Oxford Economics'!$A$6:$AZ$6,0),MATCH(M$5&amp;"",'Oxford Economics'!$A$6:$AZ$6,0))),'Oxford Economics'!$A$7:$A$1000,$C6,'Oxford Economics'!$B$7:$B$1000,Settings!$B$30)+SUMIFS(INDEX('Oxford Economics'!$A$7:$AZ$1000,0,IFERROR(MATCH(M$5,'Oxford Economics'!$A$6:$AZ$6,0),MATCH(M$5&amp;"",'Oxford Economics'!$A$6:$AZ$6,0))),'Oxford Economics'!$A$7:$A$1000,$C6,'Oxford Economics'!$B$7:$B$1000,Settings!$B$31)))),""))</f>
        <v>12006.34</v>
      </c>
      <c r="N6" s="41" t="n">
        <f aca="false">IF($A6="","",IFERROR(1/(1/IF($B6="Residential",(SUMIFS(INDEX('Oxford Economics'!$A$7:$AZ$1000,0,IFERROR(MATCH(N$5,'Oxford Economics'!$A$6:$AZ$6,0),MATCH(N$5&amp;"",'Oxford Economics'!$A$6:$AZ$6,0))),'Oxford Economics'!$A$7:$A$1000,$C6,'Oxford Economics'!$B$7:$B$1000,Settings!$B$29)-SUMIFS(INDEX('Oxford Economics'!$A$7:$AZ$1000,0,IFERROR(MATCH(N$5,'Oxford Economics'!$A$6:$AZ$6,0),MATCH(N$5&amp;"",'Oxford Economics'!$A$6:$AZ$6,0))),'Oxford Economics'!$A$7:$A$1000,$C6,'Oxford Economics'!$B$7:$B$1000,Settings!$B$30)),(SUMIFS(INDEX('Oxford Economics'!$A$7:$AZ$1000,0,IFERROR(MATCH(N$5,'Oxford Economics'!$A$6:$AZ$6,0),MATCH(N$5&amp;"",'Oxford Economics'!$A$6:$AZ$6,0))),'Oxford Economics'!$A$7:$A$1000,$C6,'Oxford Economics'!$B$7:$B$1000,Settings!$B$30)+SUMIFS(INDEX('Oxford Economics'!$A$7:$AZ$1000,0,IFERROR(MATCH(N$5,'Oxford Economics'!$A$6:$AZ$6,0),MATCH(N$5&amp;"",'Oxford Economics'!$A$6:$AZ$6,0))),'Oxford Economics'!$A$7:$A$1000,$C6,'Oxford Economics'!$B$7:$B$1000,Settings!$B$31)))),""))</f>
        <v>12173.04</v>
      </c>
      <c r="O6" s="41" t="n">
        <f aca="false">IF($A6="","",IFERROR(1/(1/IF($B6="Residential",(SUMIFS(INDEX('Oxford Economics'!$A$7:$AZ$1000,0,IFERROR(MATCH(O$5,'Oxford Economics'!$A$6:$AZ$6,0),MATCH(O$5&amp;"",'Oxford Economics'!$A$6:$AZ$6,0))),'Oxford Economics'!$A$7:$A$1000,$C6,'Oxford Economics'!$B$7:$B$1000,Settings!$B$29)-SUMIFS(INDEX('Oxford Economics'!$A$7:$AZ$1000,0,IFERROR(MATCH(O$5,'Oxford Economics'!$A$6:$AZ$6,0),MATCH(O$5&amp;"",'Oxford Economics'!$A$6:$AZ$6,0))),'Oxford Economics'!$A$7:$A$1000,$C6,'Oxford Economics'!$B$7:$B$1000,Settings!$B$30)),(SUMIFS(INDEX('Oxford Economics'!$A$7:$AZ$1000,0,IFERROR(MATCH(O$5,'Oxford Economics'!$A$6:$AZ$6,0),MATCH(O$5&amp;"",'Oxford Economics'!$A$6:$AZ$6,0))),'Oxford Economics'!$A$7:$A$1000,$C6,'Oxford Economics'!$B$7:$B$1000,Settings!$B$30)+SUMIFS(INDEX('Oxford Economics'!$A$7:$AZ$1000,0,IFERROR(MATCH(O$5,'Oxford Economics'!$A$6:$AZ$6,0),MATCH(O$5&amp;"",'Oxford Economics'!$A$6:$AZ$6,0))),'Oxford Economics'!$A$7:$A$1000,$C6,'Oxford Economics'!$B$7:$B$1000,Settings!$B$31)))),""))</f>
        <v>12300.28</v>
      </c>
    </row>
    <row r="7" customFormat="false" ht="15" hidden="false" customHeight="false" outlineLevel="0" collapsed="false">
      <c r="A7" s="40" t="str">
        <f aca="false">IF('Raw data'!$A7="","",'Raw data'!$A7)</f>
        <v>Poland</v>
      </c>
      <c r="B7" s="40" t="str">
        <f aca="false">IF($A7="","",'Raw data'!$C7)</f>
        <v>Non-residential</v>
      </c>
      <c r="C7" s="40" t="str">
        <f aca="false">IF($A7="","",IF('Raw data'!$D7="",$A7,'Raw data'!$D7))</f>
        <v>Poland</v>
      </c>
      <c r="D7" s="41" t="str">
        <f aca="false">IF($A7="","",IFERROR(1/(1/IF($B7="Residential",(SUMIFS(INDEX('Oxford Economics'!$A$7:$AZ$1000,0,IFERROR(MATCH(D$5,'Oxford Economics'!$A$6:$AZ$6,0),MATCH(D$5&amp;"",'Oxford Economics'!$A$6:$AZ$6,0))),'Oxford Economics'!$A$7:$A$1000,$C7,'Oxford Economics'!$B$7:$B$1000,Settings!$B$29)-SUMIFS(INDEX('Oxford Economics'!$A$7:$AZ$1000,0,IFERROR(MATCH(D$5,'Oxford Economics'!$A$6:$AZ$6,0),MATCH(D$5&amp;"",'Oxford Economics'!$A$6:$AZ$6,0))),'Oxford Economics'!$A$7:$A$1000,$C7,'Oxford Economics'!$B$7:$B$1000,Settings!$B$30)),(SUMIFS(INDEX('Oxford Economics'!$A$7:$AZ$1000,0,IFERROR(MATCH(D$5,'Oxford Economics'!$A$6:$AZ$6,0),MATCH(D$5&amp;"",'Oxford Economics'!$A$6:$AZ$6,0))),'Oxford Economics'!$A$7:$A$1000,$C7,'Oxford Economics'!$B$7:$B$1000,Settings!$B$30)+SUMIFS(INDEX('Oxford Economics'!$A$7:$AZ$1000,0,IFERROR(MATCH(D$5,'Oxford Economics'!$A$6:$AZ$6,0),MATCH(D$5&amp;"",'Oxford Economics'!$A$6:$AZ$6,0))),'Oxford Economics'!$A$7:$A$1000,$C7,'Oxford Economics'!$B$7:$B$1000,Settings!$B$31)))),""))</f>
        <v/>
      </c>
      <c r="E7" s="41" t="str">
        <f aca="false">IF($A7="","",IFERROR(1/(1/IF($B7="Residential",(SUMIFS(INDEX('Oxford Economics'!$A$7:$AZ$1000,0,IFERROR(MATCH(E$5,'Oxford Economics'!$A$6:$AZ$6,0),MATCH(E$5&amp;"",'Oxford Economics'!$A$6:$AZ$6,0))),'Oxford Economics'!$A$7:$A$1000,$C7,'Oxford Economics'!$B$7:$B$1000,Settings!$B$29)-SUMIFS(INDEX('Oxford Economics'!$A$7:$AZ$1000,0,IFERROR(MATCH(E$5,'Oxford Economics'!$A$6:$AZ$6,0),MATCH(E$5&amp;"",'Oxford Economics'!$A$6:$AZ$6,0))),'Oxford Economics'!$A$7:$A$1000,$C7,'Oxford Economics'!$B$7:$B$1000,Settings!$B$30)),(SUMIFS(INDEX('Oxford Economics'!$A$7:$AZ$1000,0,IFERROR(MATCH(E$5,'Oxford Economics'!$A$6:$AZ$6,0),MATCH(E$5&amp;"",'Oxford Economics'!$A$6:$AZ$6,0))),'Oxford Economics'!$A$7:$A$1000,$C7,'Oxford Economics'!$B$7:$B$1000,Settings!$B$30)+SUMIFS(INDEX('Oxford Economics'!$A$7:$AZ$1000,0,IFERROR(MATCH(E$5,'Oxford Economics'!$A$6:$AZ$6,0),MATCH(E$5&amp;"",'Oxford Economics'!$A$6:$AZ$6,0))),'Oxford Economics'!$A$7:$A$1000,$C7,'Oxford Economics'!$B$7:$B$1000,Settings!$B$31)))),""))</f>
        <v/>
      </c>
      <c r="F7" s="41" t="str">
        <f aca="false">IF($A7="","",IFERROR(1/(1/IF($B7="Residential",(SUMIFS(INDEX('Oxford Economics'!$A$7:$AZ$1000,0,IFERROR(MATCH(F$5,'Oxford Economics'!$A$6:$AZ$6,0),MATCH(F$5&amp;"",'Oxford Economics'!$A$6:$AZ$6,0))),'Oxford Economics'!$A$7:$A$1000,$C7,'Oxford Economics'!$B$7:$B$1000,Settings!$B$29)-SUMIFS(INDEX('Oxford Economics'!$A$7:$AZ$1000,0,IFERROR(MATCH(F$5,'Oxford Economics'!$A$6:$AZ$6,0),MATCH(F$5&amp;"",'Oxford Economics'!$A$6:$AZ$6,0))),'Oxford Economics'!$A$7:$A$1000,$C7,'Oxford Economics'!$B$7:$B$1000,Settings!$B$30)),(SUMIFS(INDEX('Oxford Economics'!$A$7:$AZ$1000,0,IFERROR(MATCH(F$5,'Oxford Economics'!$A$6:$AZ$6,0),MATCH(F$5&amp;"",'Oxford Economics'!$A$6:$AZ$6,0))),'Oxford Economics'!$A$7:$A$1000,$C7,'Oxford Economics'!$B$7:$B$1000,Settings!$B$30)+SUMIFS(INDEX('Oxford Economics'!$A$7:$AZ$1000,0,IFERROR(MATCH(F$5,'Oxford Economics'!$A$6:$AZ$6,0),MATCH(F$5&amp;"",'Oxford Economics'!$A$6:$AZ$6,0))),'Oxford Economics'!$A$7:$A$1000,$C7,'Oxford Economics'!$B$7:$B$1000,Settings!$B$31)))),""))</f>
        <v/>
      </c>
      <c r="G7" s="41" t="str">
        <f aca="false">IF($A7="","",IFERROR(1/(1/IF($B7="Residential",(SUMIFS(INDEX('Oxford Economics'!$A$7:$AZ$1000,0,IFERROR(MATCH(G$5,'Oxford Economics'!$A$6:$AZ$6,0),MATCH(G$5&amp;"",'Oxford Economics'!$A$6:$AZ$6,0))),'Oxford Economics'!$A$7:$A$1000,$C7,'Oxford Economics'!$B$7:$B$1000,Settings!$B$29)-SUMIFS(INDEX('Oxford Economics'!$A$7:$AZ$1000,0,IFERROR(MATCH(G$5,'Oxford Economics'!$A$6:$AZ$6,0),MATCH(G$5&amp;"",'Oxford Economics'!$A$6:$AZ$6,0))),'Oxford Economics'!$A$7:$A$1000,$C7,'Oxford Economics'!$B$7:$B$1000,Settings!$B$30)),(SUMIFS(INDEX('Oxford Economics'!$A$7:$AZ$1000,0,IFERROR(MATCH(G$5,'Oxford Economics'!$A$6:$AZ$6,0),MATCH(G$5&amp;"",'Oxford Economics'!$A$6:$AZ$6,0))),'Oxford Economics'!$A$7:$A$1000,$C7,'Oxford Economics'!$B$7:$B$1000,Settings!$B$30)+SUMIFS(INDEX('Oxford Economics'!$A$7:$AZ$1000,0,IFERROR(MATCH(G$5,'Oxford Economics'!$A$6:$AZ$6,0),MATCH(G$5&amp;"",'Oxford Economics'!$A$6:$AZ$6,0))),'Oxford Economics'!$A$7:$A$1000,$C7,'Oxford Economics'!$B$7:$B$1000,Settings!$B$31)))),""))</f>
        <v/>
      </c>
      <c r="H7" s="41" t="n">
        <f aca="false">IF($A7="","",IFERROR(1/(1/IF($B7="Residential",(SUMIFS(INDEX('Oxford Economics'!$A$7:$AZ$1000,0,IFERROR(MATCH(H$5,'Oxford Economics'!$A$6:$AZ$6,0),MATCH(H$5&amp;"",'Oxford Economics'!$A$6:$AZ$6,0))),'Oxford Economics'!$A$7:$A$1000,$C7,'Oxford Economics'!$B$7:$B$1000,Settings!$B$29)-SUMIFS(INDEX('Oxford Economics'!$A$7:$AZ$1000,0,IFERROR(MATCH(H$5,'Oxford Economics'!$A$6:$AZ$6,0),MATCH(H$5&amp;"",'Oxford Economics'!$A$6:$AZ$6,0))),'Oxford Economics'!$A$7:$A$1000,$C7,'Oxford Economics'!$B$7:$B$1000,Settings!$B$30)),(SUMIFS(INDEX('Oxford Economics'!$A$7:$AZ$1000,0,IFERROR(MATCH(H$5,'Oxford Economics'!$A$6:$AZ$6,0),MATCH(H$5&amp;"",'Oxford Economics'!$A$6:$AZ$6,0))),'Oxford Economics'!$A$7:$A$1000,$C7,'Oxford Economics'!$B$7:$B$1000,Settings!$B$30)+SUMIFS(INDEX('Oxford Economics'!$A$7:$AZ$1000,0,IFERROR(MATCH(H$5,'Oxford Economics'!$A$6:$AZ$6,0),MATCH(H$5&amp;"",'Oxford Economics'!$A$6:$AZ$6,0))),'Oxford Economics'!$A$7:$A$1000,$C7,'Oxford Economics'!$B$7:$B$1000,Settings!$B$31)))),""))</f>
        <v>23546.6</v>
      </c>
      <c r="I7" s="41" t="n">
        <f aca="false">IF($A7="","",IFERROR(1/(1/IF($B7="Residential",(SUMIFS(INDEX('Oxford Economics'!$A$7:$AZ$1000,0,IFERROR(MATCH(I$5,'Oxford Economics'!$A$6:$AZ$6,0),MATCH(I$5&amp;"",'Oxford Economics'!$A$6:$AZ$6,0))),'Oxford Economics'!$A$7:$A$1000,$C7,'Oxford Economics'!$B$7:$B$1000,Settings!$B$29)-SUMIFS(INDEX('Oxford Economics'!$A$7:$AZ$1000,0,IFERROR(MATCH(I$5,'Oxford Economics'!$A$6:$AZ$6,0),MATCH(I$5&amp;"",'Oxford Economics'!$A$6:$AZ$6,0))),'Oxford Economics'!$A$7:$A$1000,$C7,'Oxford Economics'!$B$7:$B$1000,Settings!$B$30)),(SUMIFS(INDEX('Oxford Economics'!$A$7:$AZ$1000,0,IFERROR(MATCH(I$5,'Oxford Economics'!$A$6:$AZ$6,0),MATCH(I$5&amp;"",'Oxford Economics'!$A$6:$AZ$6,0))),'Oxford Economics'!$A$7:$A$1000,$C7,'Oxford Economics'!$B$7:$B$1000,Settings!$B$30)+SUMIFS(INDEX('Oxford Economics'!$A$7:$AZ$1000,0,IFERROR(MATCH(I$5,'Oxford Economics'!$A$6:$AZ$6,0),MATCH(I$5&amp;"",'Oxford Economics'!$A$6:$AZ$6,0))),'Oxford Economics'!$A$7:$A$1000,$C7,'Oxford Economics'!$B$7:$B$1000,Settings!$B$31)))),""))</f>
        <v>23418.22</v>
      </c>
      <c r="J7" s="41" t="n">
        <f aca="false">IF($A7="","",IFERROR(1/(1/IF($B7="Residential",(SUMIFS(INDEX('Oxford Economics'!$A$7:$AZ$1000,0,IFERROR(MATCH(J$5,'Oxford Economics'!$A$6:$AZ$6,0),MATCH(J$5&amp;"",'Oxford Economics'!$A$6:$AZ$6,0))),'Oxford Economics'!$A$7:$A$1000,$C7,'Oxford Economics'!$B$7:$B$1000,Settings!$B$29)-SUMIFS(INDEX('Oxford Economics'!$A$7:$AZ$1000,0,IFERROR(MATCH(J$5,'Oxford Economics'!$A$6:$AZ$6,0),MATCH(J$5&amp;"",'Oxford Economics'!$A$6:$AZ$6,0))),'Oxford Economics'!$A$7:$A$1000,$C7,'Oxford Economics'!$B$7:$B$1000,Settings!$B$30)),(SUMIFS(INDEX('Oxford Economics'!$A$7:$AZ$1000,0,IFERROR(MATCH(J$5,'Oxford Economics'!$A$6:$AZ$6,0),MATCH(J$5&amp;"",'Oxford Economics'!$A$6:$AZ$6,0))),'Oxford Economics'!$A$7:$A$1000,$C7,'Oxford Economics'!$B$7:$B$1000,Settings!$B$30)+SUMIFS(INDEX('Oxford Economics'!$A$7:$AZ$1000,0,IFERROR(MATCH(J$5,'Oxford Economics'!$A$6:$AZ$6,0),MATCH(J$5&amp;"",'Oxford Economics'!$A$6:$AZ$6,0))),'Oxford Economics'!$A$7:$A$1000,$C7,'Oxford Economics'!$B$7:$B$1000,Settings!$B$31)))),""))</f>
        <v>24815.33</v>
      </c>
      <c r="K7" s="41" t="n">
        <f aca="false">IF($A7="","",IFERROR(1/(1/IF($B7="Residential",(SUMIFS(INDEX('Oxford Economics'!$A$7:$AZ$1000,0,IFERROR(MATCH(K$5,'Oxford Economics'!$A$6:$AZ$6,0),MATCH(K$5&amp;"",'Oxford Economics'!$A$6:$AZ$6,0))),'Oxford Economics'!$A$7:$A$1000,$C7,'Oxford Economics'!$B$7:$B$1000,Settings!$B$29)-SUMIFS(INDEX('Oxford Economics'!$A$7:$AZ$1000,0,IFERROR(MATCH(K$5,'Oxford Economics'!$A$6:$AZ$6,0),MATCH(K$5&amp;"",'Oxford Economics'!$A$6:$AZ$6,0))),'Oxford Economics'!$A$7:$A$1000,$C7,'Oxford Economics'!$B$7:$B$1000,Settings!$B$30)),(SUMIFS(INDEX('Oxford Economics'!$A$7:$AZ$1000,0,IFERROR(MATCH(K$5,'Oxford Economics'!$A$6:$AZ$6,0),MATCH(K$5&amp;"",'Oxford Economics'!$A$6:$AZ$6,0))),'Oxford Economics'!$A$7:$A$1000,$C7,'Oxford Economics'!$B$7:$B$1000,Settings!$B$30)+SUMIFS(INDEX('Oxford Economics'!$A$7:$AZ$1000,0,IFERROR(MATCH(K$5,'Oxford Economics'!$A$6:$AZ$6,0),MATCH(K$5&amp;"",'Oxford Economics'!$A$6:$AZ$6,0))),'Oxford Economics'!$A$7:$A$1000,$C7,'Oxford Economics'!$B$7:$B$1000,Settings!$B$31)))),""))</f>
        <v>25932.61</v>
      </c>
      <c r="L7" s="41" t="n">
        <f aca="false">IF($A7="","",IFERROR(1/(1/IF($B7="Residential",(SUMIFS(INDEX('Oxford Economics'!$A$7:$AZ$1000,0,IFERROR(MATCH(L$5,'Oxford Economics'!$A$6:$AZ$6,0),MATCH(L$5&amp;"",'Oxford Economics'!$A$6:$AZ$6,0))),'Oxford Economics'!$A$7:$A$1000,$C7,'Oxford Economics'!$B$7:$B$1000,Settings!$B$29)-SUMIFS(INDEX('Oxford Economics'!$A$7:$AZ$1000,0,IFERROR(MATCH(L$5,'Oxford Economics'!$A$6:$AZ$6,0),MATCH(L$5&amp;"",'Oxford Economics'!$A$6:$AZ$6,0))),'Oxford Economics'!$A$7:$A$1000,$C7,'Oxford Economics'!$B$7:$B$1000,Settings!$B$30)),(SUMIFS(INDEX('Oxford Economics'!$A$7:$AZ$1000,0,IFERROR(MATCH(L$5,'Oxford Economics'!$A$6:$AZ$6,0),MATCH(L$5&amp;"",'Oxford Economics'!$A$6:$AZ$6,0))),'Oxford Economics'!$A$7:$A$1000,$C7,'Oxford Economics'!$B$7:$B$1000,Settings!$B$30)+SUMIFS(INDEX('Oxford Economics'!$A$7:$AZ$1000,0,IFERROR(MATCH(L$5,'Oxford Economics'!$A$6:$AZ$6,0),MATCH(L$5&amp;"",'Oxford Economics'!$A$6:$AZ$6,0))),'Oxford Economics'!$A$7:$A$1000,$C7,'Oxford Economics'!$B$7:$B$1000,Settings!$B$31)))),""))</f>
        <v>26482.36</v>
      </c>
      <c r="M7" s="41" t="n">
        <f aca="false">IF($A7="","",IFERROR(1/(1/IF($B7="Residential",(SUMIFS(INDEX('Oxford Economics'!$A$7:$AZ$1000,0,IFERROR(MATCH(M$5,'Oxford Economics'!$A$6:$AZ$6,0),MATCH(M$5&amp;"",'Oxford Economics'!$A$6:$AZ$6,0))),'Oxford Economics'!$A$7:$A$1000,$C7,'Oxford Economics'!$B$7:$B$1000,Settings!$B$29)-SUMIFS(INDEX('Oxford Economics'!$A$7:$AZ$1000,0,IFERROR(MATCH(M$5,'Oxford Economics'!$A$6:$AZ$6,0),MATCH(M$5&amp;"",'Oxford Economics'!$A$6:$AZ$6,0))),'Oxford Economics'!$A$7:$A$1000,$C7,'Oxford Economics'!$B$7:$B$1000,Settings!$B$30)),(SUMIFS(INDEX('Oxford Economics'!$A$7:$AZ$1000,0,IFERROR(MATCH(M$5,'Oxford Economics'!$A$6:$AZ$6,0),MATCH(M$5&amp;"",'Oxford Economics'!$A$6:$AZ$6,0))),'Oxford Economics'!$A$7:$A$1000,$C7,'Oxford Economics'!$B$7:$B$1000,Settings!$B$30)+SUMIFS(INDEX('Oxford Economics'!$A$7:$AZ$1000,0,IFERROR(MATCH(M$5,'Oxford Economics'!$A$6:$AZ$6,0),MATCH(M$5&amp;"",'Oxford Economics'!$A$6:$AZ$6,0))),'Oxford Economics'!$A$7:$A$1000,$C7,'Oxford Economics'!$B$7:$B$1000,Settings!$B$31)))),""))</f>
        <v>26945.25</v>
      </c>
      <c r="N7" s="41" t="n">
        <f aca="false">IF($A7="","",IFERROR(1/(1/IF($B7="Residential",(SUMIFS(INDEX('Oxford Economics'!$A$7:$AZ$1000,0,IFERROR(MATCH(N$5,'Oxford Economics'!$A$6:$AZ$6,0),MATCH(N$5&amp;"",'Oxford Economics'!$A$6:$AZ$6,0))),'Oxford Economics'!$A$7:$A$1000,$C7,'Oxford Economics'!$B$7:$B$1000,Settings!$B$29)-SUMIFS(INDEX('Oxford Economics'!$A$7:$AZ$1000,0,IFERROR(MATCH(N$5,'Oxford Economics'!$A$6:$AZ$6,0),MATCH(N$5&amp;"",'Oxford Economics'!$A$6:$AZ$6,0))),'Oxford Economics'!$A$7:$A$1000,$C7,'Oxford Economics'!$B$7:$B$1000,Settings!$B$30)),(SUMIFS(INDEX('Oxford Economics'!$A$7:$AZ$1000,0,IFERROR(MATCH(N$5,'Oxford Economics'!$A$6:$AZ$6,0),MATCH(N$5&amp;"",'Oxford Economics'!$A$6:$AZ$6,0))),'Oxford Economics'!$A$7:$A$1000,$C7,'Oxford Economics'!$B$7:$B$1000,Settings!$B$30)+SUMIFS(INDEX('Oxford Economics'!$A$7:$AZ$1000,0,IFERROR(MATCH(N$5,'Oxford Economics'!$A$6:$AZ$6,0),MATCH(N$5&amp;"",'Oxford Economics'!$A$6:$AZ$6,0))),'Oxford Economics'!$A$7:$A$1000,$C7,'Oxford Economics'!$B$7:$B$1000,Settings!$B$31)))),""))</f>
        <v>27454.97</v>
      </c>
      <c r="O7" s="41" t="n">
        <f aca="false">IF($A7="","",IFERROR(1/(1/IF($B7="Residential",(SUMIFS(INDEX('Oxford Economics'!$A$7:$AZ$1000,0,IFERROR(MATCH(O$5,'Oxford Economics'!$A$6:$AZ$6,0),MATCH(O$5&amp;"",'Oxford Economics'!$A$6:$AZ$6,0))),'Oxford Economics'!$A$7:$A$1000,$C7,'Oxford Economics'!$B$7:$B$1000,Settings!$B$29)-SUMIFS(INDEX('Oxford Economics'!$A$7:$AZ$1000,0,IFERROR(MATCH(O$5,'Oxford Economics'!$A$6:$AZ$6,0),MATCH(O$5&amp;"",'Oxford Economics'!$A$6:$AZ$6,0))),'Oxford Economics'!$A$7:$A$1000,$C7,'Oxford Economics'!$B$7:$B$1000,Settings!$B$30)),(SUMIFS(INDEX('Oxford Economics'!$A$7:$AZ$1000,0,IFERROR(MATCH(O$5,'Oxford Economics'!$A$6:$AZ$6,0),MATCH(O$5&amp;"",'Oxford Economics'!$A$6:$AZ$6,0))),'Oxford Economics'!$A$7:$A$1000,$C7,'Oxford Economics'!$B$7:$B$1000,Settings!$B$30)+SUMIFS(INDEX('Oxford Economics'!$A$7:$AZ$1000,0,IFERROR(MATCH(O$5,'Oxford Economics'!$A$6:$AZ$6,0),MATCH(O$5&amp;"",'Oxford Economics'!$A$6:$AZ$6,0))),'Oxford Economics'!$A$7:$A$1000,$C7,'Oxford Economics'!$B$7:$B$1000,Settings!$B$31)))),""))</f>
        <v>27864.75</v>
      </c>
    </row>
    <row r="8" customFormat="false" ht="15" hidden="false" customHeight="false" outlineLevel="0" collapsed="false">
      <c r="A8" s="40" t="str">
        <f aca="false">IF('Raw data'!$A8="","",'Raw data'!$A8)</f>
        <v>Czech Republic</v>
      </c>
      <c r="B8" s="40" t="str">
        <f aca="false">IF($A8="","",'Raw data'!$C8)</f>
        <v>Residential</v>
      </c>
      <c r="C8" s="40" t="str">
        <f aca="false">IF($A8="","",IF('Raw data'!$D8="",$A8,'Raw data'!$D8))</f>
        <v>Czech Republic</v>
      </c>
      <c r="D8" s="41" t="str">
        <f aca="false">IF($A8="","",IFERROR(1/(1/IF($B8="Residential",(SUMIFS(INDEX('Oxford Economics'!$A$7:$AZ$1000,0,IFERROR(MATCH(D$5,'Oxford Economics'!$A$6:$AZ$6,0),MATCH(D$5&amp;"",'Oxford Economics'!$A$6:$AZ$6,0))),'Oxford Economics'!$A$7:$A$1000,$C8,'Oxford Economics'!$B$7:$B$1000,Settings!$B$29)-SUMIFS(INDEX('Oxford Economics'!$A$7:$AZ$1000,0,IFERROR(MATCH(D$5,'Oxford Economics'!$A$6:$AZ$6,0),MATCH(D$5&amp;"",'Oxford Economics'!$A$6:$AZ$6,0))),'Oxford Economics'!$A$7:$A$1000,$C8,'Oxford Economics'!$B$7:$B$1000,Settings!$B$30)),(SUMIFS(INDEX('Oxford Economics'!$A$7:$AZ$1000,0,IFERROR(MATCH(D$5,'Oxford Economics'!$A$6:$AZ$6,0),MATCH(D$5&amp;"",'Oxford Economics'!$A$6:$AZ$6,0))),'Oxford Economics'!$A$7:$A$1000,$C8,'Oxford Economics'!$B$7:$B$1000,Settings!$B$30)+SUMIFS(INDEX('Oxford Economics'!$A$7:$AZ$1000,0,IFERROR(MATCH(D$5,'Oxford Economics'!$A$6:$AZ$6,0),MATCH(D$5&amp;"",'Oxford Economics'!$A$6:$AZ$6,0))),'Oxford Economics'!$A$7:$A$1000,$C8,'Oxford Economics'!$B$7:$B$1000,Settings!$B$31)))),""))</f>
        <v/>
      </c>
      <c r="E8" s="41" t="str">
        <f aca="false">IF($A8="","",IFERROR(1/(1/IF($B8="Residential",(SUMIFS(INDEX('Oxford Economics'!$A$7:$AZ$1000,0,IFERROR(MATCH(E$5,'Oxford Economics'!$A$6:$AZ$6,0),MATCH(E$5&amp;"",'Oxford Economics'!$A$6:$AZ$6,0))),'Oxford Economics'!$A$7:$A$1000,$C8,'Oxford Economics'!$B$7:$B$1000,Settings!$B$29)-SUMIFS(INDEX('Oxford Economics'!$A$7:$AZ$1000,0,IFERROR(MATCH(E$5,'Oxford Economics'!$A$6:$AZ$6,0),MATCH(E$5&amp;"",'Oxford Economics'!$A$6:$AZ$6,0))),'Oxford Economics'!$A$7:$A$1000,$C8,'Oxford Economics'!$B$7:$B$1000,Settings!$B$30)),(SUMIFS(INDEX('Oxford Economics'!$A$7:$AZ$1000,0,IFERROR(MATCH(E$5,'Oxford Economics'!$A$6:$AZ$6,0),MATCH(E$5&amp;"",'Oxford Economics'!$A$6:$AZ$6,0))),'Oxford Economics'!$A$7:$A$1000,$C8,'Oxford Economics'!$B$7:$B$1000,Settings!$B$30)+SUMIFS(INDEX('Oxford Economics'!$A$7:$AZ$1000,0,IFERROR(MATCH(E$5,'Oxford Economics'!$A$6:$AZ$6,0),MATCH(E$5&amp;"",'Oxford Economics'!$A$6:$AZ$6,0))),'Oxford Economics'!$A$7:$A$1000,$C8,'Oxford Economics'!$B$7:$B$1000,Settings!$B$31)))),""))</f>
        <v/>
      </c>
      <c r="F8" s="41" t="str">
        <f aca="false">IF($A8="","",IFERROR(1/(1/IF($B8="Residential",(SUMIFS(INDEX('Oxford Economics'!$A$7:$AZ$1000,0,IFERROR(MATCH(F$5,'Oxford Economics'!$A$6:$AZ$6,0),MATCH(F$5&amp;"",'Oxford Economics'!$A$6:$AZ$6,0))),'Oxford Economics'!$A$7:$A$1000,$C8,'Oxford Economics'!$B$7:$B$1000,Settings!$B$29)-SUMIFS(INDEX('Oxford Economics'!$A$7:$AZ$1000,0,IFERROR(MATCH(F$5,'Oxford Economics'!$A$6:$AZ$6,0),MATCH(F$5&amp;"",'Oxford Economics'!$A$6:$AZ$6,0))),'Oxford Economics'!$A$7:$A$1000,$C8,'Oxford Economics'!$B$7:$B$1000,Settings!$B$30)),(SUMIFS(INDEX('Oxford Economics'!$A$7:$AZ$1000,0,IFERROR(MATCH(F$5,'Oxford Economics'!$A$6:$AZ$6,0),MATCH(F$5&amp;"",'Oxford Economics'!$A$6:$AZ$6,0))),'Oxford Economics'!$A$7:$A$1000,$C8,'Oxford Economics'!$B$7:$B$1000,Settings!$B$30)+SUMIFS(INDEX('Oxford Economics'!$A$7:$AZ$1000,0,IFERROR(MATCH(F$5,'Oxford Economics'!$A$6:$AZ$6,0),MATCH(F$5&amp;"",'Oxford Economics'!$A$6:$AZ$6,0))),'Oxford Economics'!$A$7:$A$1000,$C8,'Oxford Economics'!$B$7:$B$1000,Settings!$B$31)))),""))</f>
        <v/>
      </c>
      <c r="G8" s="41" t="str">
        <f aca="false">IF($A8="","",IFERROR(1/(1/IF($B8="Residential",(SUMIFS(INDEX('Oxford Economics'!$A$7:$AZ$1000,0,IFERROR(MATCH(G$5,'Oxford Economics'!$A$6:$AZ$6,0),MATCH(G$5&amp;"",'Oxford Economics'!$A$6:$AZ$6,0))),'Oxford Economics'!$A$7:$A$1000,$C8,'Oxford Economics'!$B$7:$B$1000,Settings!$B$29)-SUMIFS(INDEX('Oxford Economics'!$A$7:$AZ$1000,0,IFERROR(MATCH(G$5,'Oxford Economics'!$A$6:$AZ$6,0),MATCH(G$5&amp;"",'Oxford Economics'!$A$6:$AZ$6,0))),'Oxford Economics'!$A$7:$A$1000,$C8,'Oxford Economics'!$B$7:$B$1000,Settings!$B$30)),(SUMIFS(INDEX('Oxford Economics'!$A$7:$AZ$1000,0,IFERROR(MATCH(G$5,'Oxford Economics'!$A$6:$AZ$6,0),MATCH(G$5&amp;"",'Oxford Economics'!$A$6:$AZ$6,0))),'Oxford Economics'!$A$7:$A$1000,$C8,'Oxford Economics'!$B$7:$B$1000,Settings!$B$30)+SUMIFS(INDEX('Oxford Economics'!$A$7:$AZ$1000,0,IFERROR(MATCH(G$5,'Oxford Economics'!$A$6:$AZ$6,0),MATCH(G$5&amp;"",'Oxford Economics'!$A$6:$AZ$6,0))),'Oxford Economics'!$A$7:$A$1000,$C8,'Oxford Economics'!$B$7:$B$1000,Settings!$B$31)))),""))</f>
        <v/>
      </c>
      <c r="H8" s="41" t="n">
        <f aca="false">IF($A8="","",IFERROR(1/(1/IF($B8="Residential",(SUMIFS(INDEX('Oxford Economics'!$A$7:$AZ$1000,0,IFERROR(MATCH(H$5,'Oxford Economics'!$A$6:$AZ$6,0),MATCH(H$5&amp;"",'Oxford Economics'!$A$6:$AZ$6,0))),'Oxford Economics'!$A$7:$A$1000,$C8,'Oxford Economics'!$B$7:$B$1000,Settings!$B$29)-SUMIFS(INDEX('Oxford Economics'!$A$7:$AZ$1000,0,IFERROR(MATCH(H$5,'Oxford Economics'!$A$6:$AZ$6,0),MATCH(H$5&amp;"",'Oxford Economics'!$A$6:$AZ$6,0))),'Oxford Economics'!$A$7:$A$1000,$C8,'Oxford Economics'!$B$7:$B$1000,Settings!$B$30)),(SUMIFS(INDEX('Oxford Economics'!$A$7:$AZ$1000,0,IFERROR(MATCH(H$5,'Oxford Economics'!$A$6:$AZ$6,0),MATCH(H$5&amp;"",'Oxford Economics'!$A$6:$AZ$6,0))),'Oxford Economics'!$A$7:$A$1000,$C8,'Oxford Economics'!$B$7:$B$1000,Settings!$B$30)+SUMIFS(INDEX('Oxford Economics'!$A$7:$AZ$1000,0,IFERROR(MATCH(H$5,'Oxford Economics'!$A$6:$AZ$6,0),MATCH(H$5&amp;"",'Oxford Economics'!$A$6:$AZ$6,0))),'Oxford Economics'!$A$7:$A$1000,$C8,'Oxford Economics'!$B$7:$B$1000,Settings!$B$31)))),""))</f>
        <v>6042.31</v>
      </c>
      <c r="I8" s="41" t="n">
        <f aca="false">IF($A8="","",IFERROR(1/(1/IF($B8="Residential",(SUMIFS(INDEX('Oxford Economics'!$A$7:$AZ$1000,0,IFERROR(MATCH(I$5,'Oxford Economics'!$A$6:$AZ$6,0),MATCH(I$5&amp;"",'Oxford Economics'!$A$6:$AZ$6,0))),'Oxford Economics'!$A$7:$A$1000,$C8,'Oxford Economics'!$B$7:$B$1000,Settings!$B$29)-SUMIFS(INDEX('Oxford Economics'!$A$7:$AZ$1000,0,IFERROR(MATCH(I$5,'Oxford Economics'!$A$6:$AZ$6,0),MATCH(I$5&amp;"",'Oxford Economics'!$A$6:$AZ$6,0))),'Oxford Economics'!$A$7:$A$1000,$C8,'Oxford Economics'!$B$7:$B$1000,Settings!$B$30)),(SUMIFS(INDEX('Oxford Economics'!$A$7:$AZ$1000,0,IFERROR(MATCH(I$5,'Oxford Economics'!$A$6:$AZ$6,0),MATCH(I$5&amp;"",'Oxford Economics'!$A$6:$AZ$6,0))),'Oxford Economics'!$A$7:$A$1000,$C8,'Oxford Economics'!$B$7:$B$1000,Settings!$B$30)+SUMIFS(INDEX('Oxford Economics'!$A$7:$AZ$1000,0,IFERROR(MATCH(I$5,'Oxford Economics'!$A$6:$AZ$6,0),MATCH(I$5&amp;"",'Oxford Economics'!$A$6:$AZ$6,0))),'Oxford Economics'!$A$7:$A$1000,$C8,'Oxford Economics'!$B$7:$B$1000,Settings!$B$31)))),""))</f>
        <v>5836.52</v>
      </c>
      <c r="J8" s="41" t="n">
        <f aca="false">IF($A8="","",IFERROR(1/(1/IF($B8="Residential",(SUMIFS(INDEX('Oxford Economics'!$A$7:$AZ$1000,0,IFERROR(MATCH(J$5,'Oxford Economics'!$A$6:$AZ$6,0),MATCH(J$5&amp;"",'Oxford Economics'!$A$6:$AZ$6,0))),'Oxford Economics'!$A$7:$A$1000,$C8,'Oxford Economics'!$B$7:$B$1000,Settings!$B$29)-SUMIFS(INDEX('Oxford Economics'!$A$7:$AZ$1000,0,IFERROR(MATCH(J$5,'Oxford Economics'!$A$6:$AZ$6,0),MATCH(J$5&amp;"",'Oxford Economics'!$A$6:$AZ$6,0))),'Oxford Economics'!$A$7:$A$1000,$C8,'Oxford Economics'!$B$7:$B$1000,Settings!$B$30)),(SUMIFS(INDEX('Oxford Economics'!$A$7:$AZ$1000,0,IFERROR(MATCH(J$5,'Oxford Economics'!$A$6:$AZ$6,0),MATCH(J$5&amp;"",'Oxford Economics'!$A$6:$AZ$6,0))),'Oxford Economics'!$A$7:$A$1000,$C8,'Oxford Economics'!$B$7:$B$1000,Settings!$B$30)+SUMIFS(INDEX('Oxford Economics'!$A$7:$AZ$1000,0,IFERROR(MATCH(J$5,'Oxford Economics'!$A$6:$AZ$6,0),MATCH(J$5&amp;"",'Oxford Economics'!$A$6:$AZ$6,0))),'Oxford Economics'!$A$7:$A$1000,$C8,'Oxford Economics'!$B$7:$B$1000,Settings!$B$31)))),""))</f>
        <v>5738.38</v>
      </c>
      <c r="K8" s="41" t="n">
        <f aca="false">IF($A8="","",IFERROR(1/(1/IF($B8="Residential",(SUMIFS(INDEX('Oxford Economics'!$A$7:$AZ$1000,0,IFERROR(MATCH(K$5,'Oxford Economics'!$A$6:$AZ$6,0),MATCH(K$5&amp;"",'Oxford Economics'!$A$6:$AZ$6,0))),'Oxford Economics'!$A$7:$A$1000,$C8,'Oxford Economics'!$B$7:$B$1000,Settings!$B$29)-SUMIFS(INDEX('Oxford Economics'!$A$7:$AZ$1000,0,IFERROR(MATCH(K$5,'Oxford Economics'!$A$6:$AZ$6,0),MATCH(K$5&amp;"",'Oxford Economics'!$A$6:$AZ$6,0))),'Oxford Economics'!$A$7:$A$1000,$C8,'Oxford Economics'!$B$7:$B$1000,Settings!$B$30)),(SUMIFS(INDEX('Oxford Economics'!$A$7:$AZ$1000,0,IFERROR(MATCH(K$5,'Oxford Economics'!$A$6:$AZ$6,0),MATCH(K$5&amp;"",'Oxford Economics'!$A$6:$AZ$6,0))),'Oxford Economics'!$A$7:$A$1000,$C8,'Oxford Economics'!$B$7:$B$1000,Settings!$B$30)+SUMIFS(INDEX('Oxford Economics'!$A$7:$AZ$1000,0,IFERROR(MATCH(K$5,'Oxford Economics'!$A$6:$AZ$6,0),MATCH(K$5&amp;"",'Oxford Economics'!$A$6:$AZ$6,0))),'Oxford Economics'!$A$7:$A$1000,$C8,'Oxford Economics'!$B$7:$B$1000,Settings!$B$31)))),""))</f>
        <v>5843.96</v>
      </c>
      <c r="L8" s="41" t="n">
        <f aca="false">IF($A8="","",IFERROR(1/(1/IF($B8="Residential",(SUMIFS(INDEX('Oxford Economics'!$A$7:$AZ$1000,0,IFERROR(MATCH(L$5,'Oxford Economics'!$A$6:$AZ$6,0),MATCH(L$5&amp;"",'Oxford Economics'!$A$6:$AZ$6,0))),'Oxford Economics'!$A$7:$A$1000,$C8,'Oxford Economics'!$B$7:$B$1000,Settings!$B$29)-SUMIFS(INDEX('Oxford Economics'!$A$7:$AZ$1000,0,IFERROR(MATCH(L$5,'Oxford Economics'!$A$6:$AZ$6,0),MATCH(L$5&amp;"",'Oxford Economics'!$A$6:$AZ$6,0))),'Oxford Economics'!$A$7:$A$1000,$C8,'Oxford Economics'!$B$7:$B$1000,Settings!$B$30)),(SUMIFS(INDEX('Oxford Economics'!$A$7:$AZ$1000,0,IFERROR(MATCH(L$5,'Oxford Economics'!$A$6:$AZ$6,0),MATCH(L$5&amp;"",'Oxford Economics'!$A$6:$AZ$6,0))),'Oxford Economics'!$A$7:$A$1000,$C8,'Oxford Economics'!$B$7:$B$1000,Settings!$B$30)+SUMIFS(INDEX('Oxford Economics'!$A$7:$AZ$1000,0,IFERROR(MATCH(L$5,'Oxford Economics'!$A$6:$AZ$6,0),MATCH(L$5&amp;"",'Oxford Economics'!$A$6:$AZ$6,0))),'Oxford Economics'!$A$7:$A$1000,$C8,'Oxford Economics'!$B$7:$B$1000,Settings!$B$31)))),""))</f>
        <v>5961.88</v>
      </c>
      <c r="M8" s="41" t="n">
        <f aca="false">IF($A8="","",IFERROR(1/(1/IF($B8="Residential",(SUMIFS(INDEX('Oxford Economics'!$A$7:$AZ$1000,0,IFERROR(MATCH(M$5,'Oxford Economics'!$A$6:$AZ$6,0),MATCH(M$5&amp;"",'Oxford Economics'!$A$6:$AZ$6,0))),'Oxford Economics'!$A$7:$A$1000,$C8,'Oxford Economics'!$B$7:$B$1000,Settings!$B$29)-SUMIFS(INDEX('Oxford Economics'!$A$7:$AZ$1000,0,IFERROR(MATCH(M$5,'Oxford Economics'!$A$6:$AZ$6,0),MATCH(M$5&amp;"",'Oxford Economics'!$A$6:$AZ$6,0))),'Oxford Economics'!$A$7:$A$1000,$C8,'Oxford Economics'!$B$7:$B$1000,Settings!$B$30)),(SUMIFS(INDEX('Oxford Economics'!$A$7:$AZ$1000,0,IFERROR(MATCH(M$5,'Oxford Economics'!$A$6:$AZ$6,0),MATCH(M$5&amp;"",'Oxford Economics'!$A$6:$AZ$6,0))),'Oxford Economics'!$A$7:$A$1000,$C8,'Oxford Economics'!$B$7:$B$1000,Settings!$B$30)+SUMIFS(INDEX('Oxford Economics'!$A$7:$AZ$1000,0,IFERROR(MATCH(M$5,'Oxford Economics'!$A$6:$AZ$6,0),MATCH(M$5&amp;"",'Oxford Economics'!$A$6:$AZ$6,0))),'Oxford Economics'!$A$7:$A$1000,$C8,'Oxford Economics'!$B$7:$B$1000,Settings!$B$31)))),""))</f>
        <v>6059.97</v>
      </c>
      <c r="N8" s="41" t="n">
        <f aca="false">IF($A8="","",IFERROR(1/(1/IF($B8="Residential",(SUMIFS(INDEX('Oxford Economics'!$A$7:$AZ$1000,0,IFERROR(MATCH(N$5,'Oxford Economics'!$A$6:$AZ$6,0),MATCH(N$5&amp;"",'Oxford Economics'!$A$6:$AZ$6,0))),'Oxford Economics'!$A$7:$A$1000,$C8,'Oxford Economics'!$B$7:$B$1000,Settings!$B$29)-SUMIFS(INDEX('Oxford Economics'!$A$7:$AZ$1000,0,IFERROR(MATCH(N$5,'Oxford Economics'!$A$6:$AZ$6,0),MATCH(N$5&amp;"",'Oxford Economics'!$A$6:$AZ$6,0))),'Oxford Economics'!$A$7:$A$1000,$C8,'Oxford Economics'!$B$7:$B$1000,Settings!$B$30)),(SUMIFS(INDEX('Oxford Economics'!$A$7:$AZ$1000,0,IFERROR(MATCH(N$5,'Oxford Economics'!$A$6:$AZ$6,0),MATCH(N$5&amp;"",'Oxford Economics'!$A$6:$AZ$6,0))),'Oxford Economics'!$A$7:$A$1000,$C8,'Oxford Economics'!$B$7:$B$1000,Settings!$B$30)+SUMIFS(INDEX('Oxford Economics'!$A$7:$AZ$1000,0,IFERROR(MATCH(N$5,'Oxford Economics'!$A$6:$AZ$6,0),MATCH(N$5&amp;"",'Oxford Economics'!$A$6:$AZ$6,0))),'Oxford Economics'!$A$7:$A$1000,$C8,'Oxford Economics'!$B$7:$B$1000,Settings!$B$31)))),""))</f>
        <v>6217.53</v>
      </c>
      <c r="O8" s="41" t="n">
        <f aca="false">IF($A8="","",IFERROR(1/(1/IF($B8="Residential",(SUMIFS(INDEX('Oxford Economics'!$A$7:$AZ$1000,0,IFERROR(MATCH(O$5,'Oxford Economics'!$A$6:$AZ$6,0),MATCH(O$5&amp;"",'Oxford Economics'!$A$6:$AZ$6,0))),'Oxford Economics'!$A$7:$A$1000,$C8,'Oxford Economics'!$B$7:$B$1000,Settings!$B$29)-SUMIFS(INDEX('Oxford Economics'!$A$7:$AZ$1000,0,IFERROR(MATCH(O$5,'Oxford Economics'!$A$6:$AZ$6,0),MATCH(O$5&amp;"",'Oxford Economics'!$A$6:$AZ$6,0))),'Oxford Economics'!$A$7:$A$1000,$C8,'Oxford Economics'!$B$7:$B$1000,Settings!$B$30)),(SUMIFS(INDEX('Oxford Economics'!$A$7:$AZ$1000,0,IFERROR(MATCH(O$5,'Oxford Economics'!$A$6:$AZ$6,0),MATCH(O$5&amp;"",'Oxford Economics'!$A$6:$AZ$6,0))),'Oxford Economics'!$A$7:$A$1000,$C8,'Oxford Economics'!$B$7:$B$1000,Settings!$B$30)+SUMIFS(INDEX('Oxford Economics'!$A$7:$AZ$1000,0,IFERROR(MATCH(O$5,'Oxford Economics'!$A$6:$AZ$6,0),MATCH(O$5&amp;"",'Oxford Economics'!$A$6:$AZ$6,0))),'Oxford Economics'!$A$7:$A$1000,$C8,'Oxford Economics'!$B$7:$B$1000,Settings!$B$31)))),""))</f>
        <v>6395</v>
      </c>
    </row>
    <row r="9" customFormat="false" ht="15" hidden="false" customHeight="false" outlineLevel="0" collapsed="false">
      <c r="A9" s="40" t="str">
        <f aca="false">IF('Raw data'!$A9="","",'Raw data'!$A9)</f>
        <v>Czech Republic</v>
      </c>
      <c r="B9" s="40" t="str">
        <f aca="false">IF($A9="","",'Raw data'!$C9)</f>
        <v>Non-residential</v>
      </c>
      <c r="C9" s="40" t="str">
        <f aca="false">IF($A9="","",IF('Raw data'!$D9="",$A9,'Raw data'!$D9))</f>
        <v>Czech Republic</v>
      </c>
      <c r="D9" s="41" t="str">
        <f aca="false">IF($A9="","",IFERROR(1/(1/IF($B9="Residential",(SUMIFS(INDEX('Oxford Economics'!$A$7:$AZ$1000,0,IFERROR(MATCH(D$5,'Oxford Economics'!$A$6:$AZ$6,0),MATCH(D$5&amp;"",'Oxford Economics'!$A$6:$AZ$6,0))),'Oxford Economics'!$A$7:$A$1000,$C9,'Oxford Economics'!$B$7:$B$1000,Settings!$B$29)-SUMIFS(INDEX('Oxford Economics'!$A$7:$AZ$1000,0,IFERROR(MATCH(D$5,'Oxford Economics'!$A$6:$AZ$6,0),MATCH(D$5&amp;"",'Oxford Economics'!$A$6:$AZ$6,0))),'Oxford Economics'!$A$7:$A$1000,$C9,'Oxford Economics'!$B$7:$B$1000,Settings!$B$30)),(SUMIFS(INDEX('Oxford Economics'!$A$7:$AZ$1000,0,IFERROR(MATCH(D$5,'Oxford Economics'!$A$6:$AZ$6,0),MATCH(D$5&amp;"",'Oxford Economics'!$A$6:$AZ$6,0))),'Oxford Economics'!$A$7:$A$1000,$C9,'Oxford Economics'!$B$7:$B$1000,Settings!$B$30)+SUMIFS(INDEX('Oxford Economics'!$A$7:$AZ$1000,0,IFERROR(MATCH(D$5,'Oxford Economics'!$A$6:$AZ$6,0),MATCH(D$5&amp;"",'Oxford Economics'!$A$6:$AZ$6,0))),'Oxford Economics'!$A$7:$A$1000,$C9,'Oxford Economics'!$B$7:$B$1000,Settings!$B$31)))),""))</f>
        <v/>
      </c>
      <c r="E9" s="41" t="str">
        <f aca="false">IF($A9="","",IFERROR(1/(1/IF($B9="Residential",(SUMIFS(INDEX('Oxford Economics'!$A$7:$AZ$1000,0,IFERROR(MATCH(E$5,'Oxford Economics'!$A$6:$AZ$6,0),MATCH(E$5&amp;"",'Oxford Economics'!$A$6:$AZ$6,0))),'Oxford Economics'!$A$7:$A$1000,$C9,'Oxford Economics'!$B$7:$B$1000,Settings!$B$29)-SUMIFS(INDEX('Oxford Economics'!$A$7:$AZ$1000,0,IFERROR(MATCH(E$5,'Oxford Economics'!$A$6:$AZ$6,0),MATCH(E$5&amp;"",'Oxford Economics'!$A$6:$AZ$6,0))),'Oxford Economics'!$A$7:$A$1000,$C9,'Oxford Economics'!$B$7:$B$1000,Settings!$B$30)),(SUMIFS(INDEX('Oxford Economics'!$A$7:$AZ$1000,0,IFERROR(MATCH(E$5,'Oxford Economics'!$A$6:$AZ$6,0),MATCH(E$5&amp;"",'Oxford Economics'!$A$6:$AZ$6,0))),'Oxford Economics'!$A$7:$A$1000,$C9,'Oxford Economics'!$B$7:$B$1000,Settings!$B$30)+SUMIFS(INDEX('Oxford Economics'!$A$7:$AZ$1000,0,IFERROR(MATCH(E$5,'Oxford Economics'!$A$6:$AZ$6,0),MATCH(E$5&amp;"",'Oxford Economics'!$A$6:$AZ$6,0))),'Oxford Economics'!$A$7:$A$1000,$C9,'Oxford Economics'!$B$7:$B$1000,Settings!$B$31)))),""))</f>
        <v/>
      </c>
      <c r="F9" s="41" t="str">
        <f aca="false">IF($A9="","",IFERROR(1/(1/IF($B9="Residential",(SUMIFS(INDEX('Oxford Economics'!$A$7:$AZ$1000,0,IFERROR(MATCH(F$5,'Oxford Economics'!$A$6:$AZ$6,0),MATCH(F$5&amp;"",'Oxford Economics'!$A$6:$AZ$6,0))),'Oxford Economics'!$A$7:$A$1000,$C9,'Oxford Economics'!$B$7:$B$1000,Settings!$B$29)-SUMIFS(INDEX('Oxford Economics'!$A$7:$AZ$1000,0,IFERROR(MATCH(F$5,'Oxford Economics'!$A$6:$AZ$6,0),MATCH(F$5&amp;"",'Oxford Economics'!$A$6:$AZ$6,0))),'Oxford Economics'!$A$7:$A$1000,$C9,'Oxford Economics'!$B$7:$B$1000,Settings!$B$30)),(SUMIFS(INDEX('Oxford Economics'!$A$7:$AZ$1000,0,IFERROR(MATCH(F$5,'Oxford Economics'!$A$6:$AZ$6,0),MATCH(F$5&amp;"",'Oxford Economics'!$A$6:$AZ$6,0))),'Oxford Economics'!$A$7:$A$1000,$C9,'Oxford Economics'!$B$7:$B$1000,Settings!$B$30)+SUMIFS(INDEX('Oxford Economics'!$A$7:$AZ$1000,0,IFERROR(MATCH(F$5,'Oxford Economics'!$A$6:$AZ$6,0),MATCH(F$5&amp;"",'Oxford Economics'!$A$6:$AZ$6,0))),'Oxford Economics'!$A$7:$A$1000,$C9,'Oxford Economics'!$B$7:$B$1000,Settings!$B$31)))),""))</f>
        <v/>
      </c>
      <c r="G9" s="41" t="str">
        <f aca="false">IF($A9="","",IFERROR(1/(1/IF($B9="Residential",(SUMIFS(INDEX('Oxford Economics'!$A$7:$AZ$1000,0,IFERROR(MATCH(G$5,'Oxford Economics'!$A$6:$AZ$6,0),MATCH(G$5&amp;"",'Oxford Economics'!$A$6:$AZ$6,0))),'Oxford Economics'!$A$7:$A$1000,$C9,'Oxford Economics'!$B$7:$B$1000,Settings!$B$29)-SUMIFS(INDEX('Oxford Economics'!$A$7:$AZ$1000,0,IFERROR(MATCH(G$5,'Oxford Economics'!$A$6:$AZ$6,0),MATCH(G$5&amp;"",'Oxford Economics'!$A$6:$AZ$6,0))),'Oxford Economics'!$A$7:$A$1000,$C9,'Oxford Economics'!$B$7:$B$1000,Settings!$B$30)),(SUMIFS(INDEX('Oxford Economics'!$A$7:$AZ$1000,0,IFERROR(MATCH(G$5,'Oxford Economics'!$A$6:$AZ$6,0),MATCH(G$5&amp;"",'Oxford Economics'!$A$6:$AZ$6,0))),'Oxford Economics'!$A$7:$A$1000,$C9,'Oxford Economics'!$B$7:$B$1000,Settings!$B$30)+SUMIFS(INDEX('Oxford Economics'!$A$7:$AZ$1000,0,IFERROR(MATCH(G$5,'Oxford Economics'!$A$6:$AZ$6,0),MATCH(G$5&amp;"",'Oxford Economics'!$A$6:$AZ$6,0))),'Oxford Economics'!$A$7:$A$1000,$C9,'Oxford Economics'!$B$7:$B$1000,Settings!$B$31)))),""))</f>
        <v/>
      </c>
      <c r="H9" s="41" t="n">
        <f aca="false">IF($A9="","",IFERROR(1/(1/IF($B9="Residential",(SUMIFS(INDEX('Oxford Economics'!$A$7:$AZ$1000,0,IFERROR(MATCH(H$5,'Oxford Economics'!$A$6:$AZ$6,0),MATCH(H$5&amp;"",'Oxford Economics'!$A$6:$AZ$6,0))),'Oxford Economics'!$A$7:$A$1000,$C9,'Oxford Economics'!$B$7:$B$1000,Settings!$B$29)-SUMIFS(INDEX('Oxford Economics'!$A$7:$AZ$1000,0,IFERROR(MATCH(H$5,'Oxford Economics'!$A$6:$AZ$6,0),MATCH(H$5&amp;"",'Oxford Economics'!$A$6:$AZ$6,0))),'Oxford Economics'!$A$7:$A$1000,$C9,'Oxford Economics'!$B$7:$B$1000,Settings!$B$30)),(SUMIFS(INDEX('Oxford Economics'!$A$7:$AZ$1000,0,IFERROR(MATCH(H$5,'Oxford Economics'!$A$6:$AZ$6,0),MATCH(H$5&amp;"",'Oxford Economics'!$A$6:$AZ$6,0))),'Oxford Economics'!$A$7:$A$1000,$C9,'Oxford Economics'!$B$7:$B$1000,Settings!$B$30)+SUMIFS(INDEX('Oxford Economics'!$A$7:$AZ$1000,0,IFERROR(MATCH(H$5,'Oxford Economics'!$A$6:$AZ$6,0),MATCH(H$5&amp;"",'Oxford Economics'!$A$6:$AZ$6,0))),'Oxford Economics'!$A$7:$A$1000,$C9,'Oxford Economics'!$B$7:$B$1000,Settings!$B$31)))),""))</f>
        <v>7611.46</v>
      </c>
      <c r="I9" s="41" t="n">
        <f aca="false">IF($A9="","",IFERROR(1/(1/IF($B9="Residential",(SUMIFS(INDEX('Oxford Economics'!$A$7:$AZ$1000,0,IFERROR(MATCH(I$5,'Oxford Economics'!$A$6:$AZ$6,0),MATCH(I$5&amp;"",'Oxford Economics'!$A$6:$AZ$6,0))),'Oxford Economics'!$A$7:$A$1000,$C9,'Oxford Economics'!$B$7:$B$1000,Settings!$B$29)-SUMIFS(INDEX('Oxford Economics'!$A$7:$AZ$1000,0,IFERROR(MATCH(I$5,'Oxford Economics'!$A$6:$AZ$6,0),MATCH(I$5&amp;"",'Oxford Economics'!$A$6:$AZ$6,0))),'Oxford Economics'!$A$7:$A$1000,$C9,'Oxford Economics'!$B$7:$B$1000,Settings!$B$30)),(SUMIFS(INDEX('Oxford Economics'!$A$7:$AZ$1000,0,IFERROR(MATCH(I$5,'Oxford Economics'!$A$6:$AZ$6,0),MATCH(I$5&amp;"",'Oxford Economics'!$A$6:$AZ$6,0))),'Oxford Economics'!$A$7:$A$1000,$C9,'Oxford Economics'!$B$7:$B$1000,Settings!$B$30)+SUMIFS(INDEX('Oxford Economics'!$A$7:$AZ$1000,0,IFERROR(MATCH(I$5,'Oxford Economics'!$A$6:$AZ$6,0),MATCH(I$5&amp;"",'Oxford Economics'!$A$6:$AZ$6,0))),'Oxford Economics'!$A$7:$A$1000,$C9,'Oxford Economics'!$B$7:$B$1000,Settings!$B$31)))),""))</f>
        <v>7763.99</v>
      </c>
      <c r="J9" s="41" t="n">
        <f aca="false">IF($A9="","",IFERROR(1/(1/IF($B9="Residential",(SUMIFS(INDEX('Oxford Economics'!$A$7:$AZ$1000,0,IFERROR(MATCH(J$5,'Oxford Economics'!$A$6:$AZ$6,0),MATCH(J$5&amp;"",'Oxford Economics'!$A$6:$AZ$6,0))),'Oxford Economics'!$A$7:$A$1000,$C9,'Oxford Economics'!$B$7:$B$1000,Settings!$B$29)-SUMIFS(INDEX('Oxford Economics'!$A$7:$AZ$1000,0,IFERROR(MATCH(J$5,'Oxford Economics'!$A$6:$AZ$6,0),MATCH(J$5&amp;"",'Oxford Economics'!$A$6:$AZ$6,0))),'Oxford Economics'!$A$7:$A$1000,$C9,'Oxford Economics'!$B$7:$B$1000,Settings!$B$30)),(SUMIFS(INDEX('Oxford Economics'!$A$7:$AZ$1000,0,IFERROR(MATCH(J$5,'Oxford Economics'!$A$6:$AZ$6,0),MATCH(J$5&amp;"",'Oxford Economics'!$A$6:$AZ$6,0))),'Oxford Economics'!$A$7:$A$1000,$C9,'Oxford Economics'!$B$7:$B$1000,Settings!$B$30)+SUMIFS(INDEX('Oxford Economics'!$A$7:$AZ$1000,0,IFERROR(MATCH(J$5,'Oxford Economics'!$A$6:$AZ$6,0),MATCH(J$5&amp;"",'Oxford Economics'!$A$6:$AZ$6,0))),'Oxford Economics'!$A$7:$A$1000,$C9,'Oxford Economics'!$B$7:$B$1000,Settings!$B$31)))),""))</f>
        <v>8161.11</v>
      </c>
      <c r="K9" s="41" t="n">
        <f aca="false">IF($A9="","",IFERROR(1/(1/IF($B9="Residential",(SUMIFS(INDEX('Oxford Economics'!$A$7:$AZ$1000,0,IFERROR(MATCH(K$5,'Oxford Economics'!$A$6:$AZ$6,0),MATCH(K$5&amp;"",'Oxford Economics'!$A$6:$AZ$6,0))),'Oxford Economics'!$A$7:$A$1000,$C9,'Oxford Economics'!$B$7:$B$1000,Settings!$B$29)-SUMIFS(INDEX('Oxford Economics'!$A$7:$AZ$1000,0,IFERROR(MATCH(K$5,'Oxford Economics'!$A$6:$AZ$6,0),MATCH(K$5&amp;"",'Oxford Economics'!$A$6:$AZ$6,0))),'Oxford Economics'!$A$7:$A$1000,$C9,'Oxford Economics'!$B$7:$B$1000,Settings!$B$30)),(SUMIFS(INDEX('Oxford Economics'!$A$7:$AZ$1000,0,IFERROR(MATCH(K$5,'Oxford Economics'!$A$6:$AZ$6,0),MATCH(K$5&amp;"",'Oxford Economics'!$A$6:$AZ$6,0))),'Oxford Economics'!$A$7:$A$1000,$C9,'Oxford Economics'!$B$7:$B$1000,Settings!$B$30)+SUMIFS(INDEX('Oxford Economics'!$A$7:$AZ$1000,0,IFERROR(MATCH(K$5,'Oxford Economics'!$A$6:$AZ$6,0),MATCH(K$5&amp;"",'Oxford Economics'!$A$6:$AZ$6,0))),'Oxford Economics'!$A$7:$A$1000,$C9,'Oxford Economics'!$B$7:$B$1000,Settings!$B$31)))),""))</f>
        <v>8583.39</v>
      </c>
      <c r="L9" s="41" t="n">
        <f aca="false">IF($A9="","",IFERROR(1/(1/IF($B9="Residential",(SUMIFS(INDEX('Oxford Economics'!$A$7:$AZ$1000,0,IFERROR(MATCH(L$5,'Oxford Economics'!$A$6:$AZ$6,0),MATCH(L$5&amp;"",'Oxford Economics'!$A$6:$AZ$6,0))),'Oxford Economics'!$A$7:$A$1000,$C9,'Oxford Economics'!$B$7:$B$1000,Settings!$B$29)-SUMIFS(INDEX('Oxford Economics'!$A$7:$AZ$1000,0,IFERROR(MATCH(L$5,'Oxford Economics'!$A$6:$AZ$6,0),MATCH(L$5&amp;"",'Oxford Economics'!$A$6:$AZ$6,0))),'Oxford Economics'!$A$7:$A$1000,$C9,'Oxford Economics'!$B$7:$B$1000,Settings!$B$30)),(SUMIFS(INDEX('Oxford Economics'!$A$7:$AZ$1000,0,IFERROR(MATCH(L$5,'Oxford Economics'!$A$6:$AZ$6,0),MATCH(L$5&amp;"",'Oxford Economics'!$A$6:$AZ$6,0))),'Oxford Economics'!$A$7:$A$1000,$C9,'Oxford Economics'!$B$7:$B$1000,Settings!$B$30)+SUMIFS(INDEX('Oxford Economics'!$A$7:$AZ$1000,0,IFERROR(MATCH(L$5,'Oxford Economics'!$A$6:$AZ$6,0),MATCH(L$5&amp;"",'Oxford Economics'!$A$6:$AZ$6,0))),'Oxford Economics'!$A$7:$A$1000,$C9,'Oxford Economics'!$B$7:$B$1000,Settings!$B$31)))),""))</f>
        <v>8955.14</v>
      </c>
      <c r="M9" s="41" t="n">
        <f aca="false">IF($A9="","",IFERROR(1/(1/IF($B9="Residential",(SUMIFS(INDEX('Oxford Economics'!$A$7:$AZ$1000,0,IFERROR(MATCH(M$5,'Oxford Economics'!$A$6:$AZ$6,0),MATCH(M$5&amp;"",'Oxford Economics'!$A$6:$AZ$6,0))),'Oxford Economics'!$A$7:$A$1000,$C9,'Oxford Economics'!$B$7:$B$1000,Settings!$B$29)-SUMIFS(INDEX('Oxford Economics'!$A$7:$AZ$1000,0,IFERROR(MATCH(M$5,'Oxford Economics'!$A$6:$AZ$6,0),MATCH(M$5&amp;"",'Oxford Economics'!$A$6:$AZ$6,0))),'Oxford Economics'!$A$7:$A$1000,$C9,'Oxford Economics'!$B$7:$B$1000,Settings!$B$30)),(SUMIFS(INDEX('Oxford Economics'!$A$7:$AZ$1000,0,IFERROR(MATCH(M$5,'Oxford Economics'!$A$6:$AZ$6,0),MATCH(M$5&amp;"",'Oxford Economics'!$A$6:$AZ$6,0))),'Oxford Economics'!$A$7:$A$1000,$C9,'Oxford Economics'!$B$7:$B$1000,Settings!$B$30)+SUMIFS(INDEX('Oxford Economics'!$A$7:$AZ$1000,0,IFERROR(MATCH(M$5,'Oxford Economics'!$A$6:$AZ$6,0),MATCH(M$5&amp;"",'Oxford Economics'!$A$6:$AZ$6,0))),'Oxford Economics'!$A$7:$A$1000,$C9,'Oxford Economics'!$B$7:$B$1000,Settings!$B$31)))),""))</f>
        <v>9395.29</v>
      </c>
      <c r="N9" s="41" t="n">
        <f aca="false">IF($A9="","",IFERROR(1/(1/IF($B9="Residential",(SUMIFS(INDEX('Oxford Economics'!$A$7:$AZ$1000,0,IFERROR(MATCH(N$5,'Oxford Economics'!$A$6:$AZ$6,0),MATCH(N$5&amp;"",'Oxford Economics'!$A$6:$AZ$6,0))),'Oxford Economics'!$A$7:$A$1000,$C9,'Oxford Economics'!$B$7:$B$1000,Settings!$B$29)-SUMIFS(INDEX('Oxford Economics'!$A$7:$AZ$1000,0,IFERROR(MATCH(N$5,'Oxford Economics'!$A$6:$AZ$6,0),MATCH(N$5&amp;"",'Oxford Economics'!$A$6:$AZ$6,0))),'Oxford Economics'!$A$7:$A$1000,$C9,'Oxford Economics'!$B$7:$B$1000,Settings!$B$30)),(SUMIFS(INDEX('Oxford Economics'!$A$7:$AZ$1000,0,IFERROR(MATCH(N$5,'Oxford Economics'!$A$6:$AZ$6,0),MATCH(N$5&amp;"",'Oxford Economics'!$A$6:$AZ$6,0))),'Oxford Economics'!$A$7:$A$1000,$C9,'Oxford Economics'!$B$7:$B$1000,Settings!$B$30)+SUMIFS(INDEX('Oxford Economics'!$A$7:$AZ$1000,0,IFERROR(MATCH(N$5,'Oxford Economics'!$A$6:$AZ$6,0),MATCH(N$5&amp;"",'Oxford Economics'!$A$6:$AZ$6,0))),'Oxford Economics'!$A$7:$A$1000,$C9,'Oxford Economics'!$B$7:$B$1000,Settings!$B$31)))),""))</f>
        <v>9729.58</v>
      </c>
      <c r="O9" s="41" t="n">
        <f aca="false">IF($A9="","",IFERROR(1/(1/IF($B9="Residential",(SUMIFS(INDEX('Oxford Economics'!$A$7:$AZ$1000,0,IFERROR(MATCH(O$5,'Oxford Economics'!$A$6:$AZ$6,0),MATCH(O$5&amp;"",'Oxford Economics'!$A$6:$AZ$6,0))),'Oxford Economics'!$A$7:$A$1000,$C9,'Oxford Economics'!$B$7:$B$1000,Settings!$B$29)-SUMIFS(INDEX('Oxford Economics'!$A$7:$AZ$1000,0,IFERROR(MATCH(O$5,'Oxford Economics'!$A$6:$AZ$6,0),MATCH(O$5&amp;"",'Oxford Economics'!$A$6:$AZ$6,0))),'Oxford Economics'!$A$7:$A$1000,$C9,'Oxford Economics'!$B$7:$B$1000,Settings!$B$30)),(SUMIFS(INDEX('Oxford Economics'!$A$7:$AZ$1000,0,IFERROR(MATCH(O$5,'Oxford Economics'!$A$6:$AZ$6,0),MATCH(O$5&amp;"",'Oxford Economics'!$A$6:$AZ$6,0))),'Oxford Economics'!$A$7:$A$1000,$C9,'Oxford Economics'!$B$7:$B$1000,Settings!$B$30)+SUMIFS(INDEX('Oxford Economics'!$A$7:$AZ$1000,0,IFERROR(MATCH(O$5,'Oxford Economics'!$A$6:$AZ$6,0),MATCH(O$5&amp;"",'Oxford Economics'!$A$6:$AZ$6,0))),'Oxford Economics'!$A$7:$A$1000,$C9,'Oxford Economics'!$B$7:$B$1000,Settings!$B$31)))),""))</f>
        <v>9929.42</v>
      </c>
    </row>
    <row r="10" customFormat="false" ht="15" hidden="false" customHeight="false" outlineLevel="0" collapsed="false">
      <c r="A10" s="40" t="str">
        <f aca="false">IF('Raw data'!$A10="","",'Raw data'!$A10)</f>
        <v>Hungary</v>
      </c>
      <c r="B10" s="40" t="str">
        <f aca="false">IF($A10="","",'Raw data'!$C10)</f>
        <v>Residential</v>
      </c>
      <c r="C10" s="40" t="str">
        <f aca="false">IF($A10="","",IF('Raw data'!$D10="",$A10,'Raw data'!$D10))</f>
        <v>Hungary</v>
      </c>
      <c r="D10" s="41" t="str">
        <f aca="false">IF($A10="","",IFERROR(1/(1/IF($B10="Residential",(SUMIFS(INDEX('Oxford Economics'!$A$7:$AZ$1000,0,IFERROR(MATCH(D$5,'Oxford Economics'!$A$6:$AZ$6,0),MATCH(D$5&amp;"",'Oxford Economics'!$A$6:$AZ$6,0))),'Oxford Economics'!$A$7:$A$1000,$C10,'Oxford Economics'!$B$7:$B$1000,Settings!$B$29)-SUMIFS(INDEX('Oxford Economics'!$A$7:$AZ$1000,0,IFERROR(MATCH(D$5,'Oxford Economics'!$A$6:$AZ$6,0),MATCH(D$5&amp;"",'Oxford Economics'!$A$6:$AZ$6,0))),'Oxford Economics'!$A$7:$A$1000,$C10,'Oxford Economics'!$B$7:$B$1000,Settings!$B$30)),(SUMIFS(INDEX('Oxford Economics'!$A$7:$AZ$1000,0,IFERROR(MATCH(D$5,'Oxford Economics'!$A$6:$AZ$6,0),MATCH(D$5&amp;"",'Oxford Economics'!$A$6:$AZ$6,0))),'Oxford Economics'!$A$7:$A$1000,$C10,'Oxford Economics'!$B$7:$B$1000,Settings!$B$30)+SUMIFS(INDEX('Oxford Economics'!$A$7:$AZ$1000,0,IFERROR(MATCH(D$5,'Oxford Economics'!$A$6:$AZ$6,0),MATCH(D$5&amp;"",'Oxford Economics'!$A$6:$AZ$6,0))),'Oxford Economics'!$A$7:$A$1000,$C10,'Oxford Economics'!$B$7:$B$1000,Settings!$B$31)))),""))</f>
        <v/>
      </c>
      <c r="E10" s="41" t="str">
        <f aca="false">IF($A10="","",IFERROR(1/(1/IF($B10="Residential",(SUMIFS(INDEX('Oxford Economics'!$A$7:$AZ$1000,0,IFERROR(MATCH(E$5,'Oxford Economics'!$A$6:$AZ$6,0),MATCH(E$5&amp;"",'Oxford Economics'!$A$6:$AZ$6,0))),'Oxford Economics'!$A$7:$A$1000,$C10,'Oxford Economics'!$B$7:$B$1000,Settings!$B$29)-SUMIFS(INDEX('Oxford Economics'!$A$7:$AZ$1000,0,IFERROR(MATCH(E$5,'Oxford Economics'!$A$6:$AZ$6,0),MATCH(E$5&amp;"",'Oxford Economics'!$A$6:$AZ$6,0))),'Oxford Economics'!$A$7:$A$1000,$C10,'Oxford Economics'!$B$7:$B$1000,Settings!$B$30)),(SUMIFS(INDEX('Oxford Economics'!$A$7:$AZ$1000,0,IFERROR(MATCH(E$5,'Oxford Economics'!$A$6:$AZ$6,0),MATCH(E$5&amp;"",'Oxford Economics'!$A$6:$AZ$6,0))),'Oxford Economics'!$A$7:$A$1000,$C10,'Oxford Economics'!$B$7:$B$1000,Settings!$B$30)+SUMIFS(INDEX('Oxford Economics'!$A$7:$AZ$1000,0,IFERROR(MATCH(E$5,'Oxford Economics'!$A$6:$AZ$6,0),MATCH(E$5&amp;"",'Oxford Economics'!$A$6:$AZ$6,0))),'Oxford Economics'!$A$7:$A$1000,$C10,'Oxford Economics'!$B$7:$B$1000,Settings!$B$31)))),""))</f>
        <v/>
      </c>
      <c r="F10" s="41" t="str">
        <f aca="false">IF($A10="","",IFERROR(1/(1/IF($B10="Residential",(SUMIFS(INDEX('Oxford Economics'!$A$7:$AZ$1000,0,IFERROR(MATCH(F$5,'Oxford Economics'!$A$6:$AZ$6,0),MATCH(F$5&amp;"",'Oxford Economics'!$A$6:$AZ$6,0))),'Oxford Economics'!$A$7:$A$1000,$C10,'Oxford Economics'!$B$7:$B$1000,Settings!$B$29)-SUMIFS(INDEX('Oxford Economics'!$A$7:$AZ$1000,0,IFERROR(MATCH(F$5,'Oxford Economics'!$A$6:$AZ$6,0),MATCH(F$5&amp;"",'Oxford Economics'!$A$6:$AZ$6,0))),'Oxford Economics'!$A$7:$A$1000,$C10,'Oxford Economics'!$B$7:$B$1000,Settings!$B$30)),(SUMIFS(INDEX('Oxford Economics'!$A$7:$AZ$1000,0,IFERROR(MATCH(F$5,'Oxford Economics'!$A$6:$AZ$6,0),MATCH(F$5&amp;"",'Oxford Economics'!$A$6:$AZ$6,0))),'Oxford Economics'!$A$7:$A$1000,$C10,'Oxford Economics'!$B$7:$B$1000,Settings!$B$30)+SUMIFS(INDEX('Oxford Economics'!$A$7:$AZ$1000,0,IFERROR(MATCH(F$5,'Oxford Economics'!$A$6:$AZ$6,0),MATCH(F$5&amp;"",'Oxford Economics'!$A$6:$AZ$6,0))),'Oxford Economics'!$A$7:$A$1000,$C10,'Oxford Economics'!$B$7:$B$1000,Settings!$B$31)))),""))</f>
        <v/>
      </c>
      <c r="G10" s="41" t="str">
        <f aca="false">IF($A10="","",IFERROR(1/(1/IF($B10="Residential",(SUMIFS(INDEX('Oxford Economics'!$A$7:$AZ$1000,0,IFERROR(MATCH(G$5,'Oxford Economics'!$A$6:$AZ$6,0),MATCH(G$5&amp;"",'Oxford Economics'!$A$6:$AZ$6,0))),'Oxford Economics'!$A$7:$A$1000,$C10,'Oxford Economics'!$B$7:$B$1000,Settings!$B$29)-SUMIFS(INDEX('Oxford Economics'!$A$7:$AZ$1000,0,IFERROR(MATCH(G$5,'Oxford Economics'!$A$6:$AZ$6,0),MATCH(G$5&amp;"",'Oxford Economics'!$A$6:$AZ$6,0))),'Oxford Economics'!$A$7:$A$1000,$C10,'Oxford Economics'!$B$7:$B$1000,Settings!$B$30)),(SUMIFS(INDEX('Oxford Economics'!$A$7:$AZ$1000,0,IFERROR(MATCH(G$5,'Oxford Economics'!$A$6:$AZ$6,0),MATCH(G$5&amp;"",'Oxford Economics'!$A$6:$AZ$6,0))),'Oxford Economics'!$A$7:$A$1000,$C10,'Oxford Economics'!$B$7:$B$1000,Settings!$B$30)+SUMIFS(INDEX('Oxford Economics'!$A$7:$AZ$1000,0,IFERROR(MATCH(G$5,'Oxford Economics'!$A$6:$AZ$6,0),MATCH(G$5&amp;"",'Oxford Economics'!$A$6:$AZ$6,0))),'Oxford Economics'!$A$7:$A$1000,$C10,'Oxford Economics'!$B$7:$B$1000,Settings!$B$31)))),""))</f>
        <v/>
      </c>
      <c r="H10" s="41" t="n">
        <f aca="false">IF($A10="","",IFERROR(1/(1/IF($B10="Residential",(SUMIFS(INDEX('Oxford Economics'!$A$7:$AZ$1000,0,IFERROR(MATCH(H$5,'Oxford Economics'!$A$6:$AZ$6,0),MATCH(H$5&amp;"",'Oxford Economics'!$A$6:$AZ$6,0))),'Oxford Economics'!$A$7:$A$1000,$C10,'Oxford Economics'!$B$7:$B$1000,Settings!$B$29)-SUMIFS(INDEX('Oxford Economics'!$A$7:$AZ$1000,0,IFERROR(MATCH(H$5,'Oxford Economics'!$A$6:$AZ$6,0),MATCH(H$5&amp;"",'Oxford Economics'!$A$6:$AZ$6,0))),'Oxford Economics'!$A$7:$A$1000,$C10,'Oxford Economics'!$B$7:$B$1000,Settings!$B$30)),(SUMIFS(INDEX('Oxford Economics'!$A$7:$AZ$1000,0,IFERROR(MATCH(H$5,'Oxford Economics'!$A$6:$AZ$6,0),MATCH(H$5&amp;"",'Oxford Economics'!$A$6:$AZ$6,0))),'Oxford Economics'!$A$7:$A$1000,$C10,'Oxford Economics'!$B$7:$B$1000,Settings!$B$30)+SUMIFS(INDEX('Oxford Economics'!$A$7:$AZ$1000,0,IFERROR(MATCH(H$5,'Oxford Economics'!$A$6:$AZ$6,0),MATCH(H$5&amp;"",'Oxford Economics'!$A$6:$AZ$6,0))),'Oxford Economics'!$A$7:$A$1000,$C10,'Oxford Economics'!$B$7:$B$1000,Settings!$B$31)))),""))</f>
        <v>2073.05</v>
      </c>
      <c r="I10" s="41" t="n">
        <f aca="false">IF($A10="","",IFERROR(1/(1/IF($B10="Residential",(SUMIFS(INDEX('Oxford Economics'!$A$7:$AZ$1000,0,IFERROR(MATCH(I$5,'Oxford Economics'!$A$6:$AZ$6,0),MATCH(I$5&amp;"",'Oxford Economics'!$A$6:$AZ$6,0))),'Oxford Economics'!$A$7:$A$1000,$C10,'Oxford Economics'!$B$7:$B$1000,Settings!$B$29)-SUMIFS(INDEX('Oxford Economics'!$A$7:$AZ$1000,0,IFERROR(MATCH(I$5,'Oxford Economics'!$A$6:$AZ$6,0),MATCH(I$5&amp;"",'Oxford Economics'!$A$6:$AZ$6,0))),'Oxford Economics'!$A$7:$A$1000,$C10,'Oxford Economics'!$B$7:$B$1000,Settings!$B$30)),(SUMIFS(INDEX('Oxford Economics'!$A$7:$AZ$1000,0,IFERROR(MATCH(I$5,'Oxford Economics'!$A$6:$AZ$6,0),MATCH(I$5&amp;"",'Oxford Economics'!$A$6:$AZ$6,0))),'Oxford Economics'!$A$7:$A$1000,$C10,'Oxford Economics'!$B$7:$B$1000,Settings!$B$30)+SUMIFS(INDEX('Oxford Economics'!$A$7:$AZ$1000,0,IFERROR(MATCH(I$5,'Oxford Economics'!$A$6:$AZ$6,0),MATCH(I$5&amp;"",'Oxford Economics'!$A$6:$AZ$6,0))),'Oxford Economics'!$A$7:$A$1000,$C10,'Oxford Economics'!$B$7:$B$1000,Settings!$B$31)))),""))</f>
        <v>1964.39</v>
      </c>
      <c r="J10" s="41" t="n">
        <f aca="false">IF($A10="","",IFERROR(1/(1/IF($B10="Residential",(SUMIFS(INDEX('Oxford Economics'!$A$7:$AZ$1000,0,IFERROR(MATCH(J$5,'Oxford Economics'!$A$6:$AZ$6,0),MATCH(J$5&amp;"",'Oxford Economics'!$A$6:$AZ$6,0))),'Oxford Economics'!$A$7:$A$1000,$C10,'Oxford Economics'!$B$7:$B$1000,Settings!$B$29)-SUMIFS(INDEX('Oxford Economics'!$A$7:$AZ$1000,0,IFERROR(MATCH(J$5,'Oxford Economics'!$A$6:$AZ$6,0),MATCH(J$5&amp;"",'Oxford Economics'!$A$6:$AZ$6,0))),'Oxford Economics'!$A$7:$A$1000,$C10,'Oxford Economics'!$B$7:$B$1000,Settings!$B$30)),(SUMIFS(INDEX('Oxford Economics'!$A$7:$AZ$1000,0,IFERROR(MATCH(J$5,'Oxford Economics'!$A$6:$AZ$6,0),MATCH(J$5&amp;"",'Oxford Economics'!$A$6:$AZ$6,0))),'Oxford Economics'!$A$7:$A$1000,$C10,'Oxford Economics'!$B$7:$B$1000,Settings!$B$30)+SUMIFS(INDEX('Oxford Economics'!$A$7:$AZ$1000,0,IFERROR(MATCH(J$5,'Oxford Economics'!$A$6:$AZ$6,0),MATCH(J$5&amp;"",'Oxford Economics'!$A$6:$AZ$6,0))),'Oxford Economics'!$A$7:$A$1000,$C10,'Oxford Economics'!$B$7:$B$1000,Settings!$B$31)))),""))</f>
        <v>2135.12</v>
      </c>
      <c r="K10" s="41" t="n">
        <f aca="false">IF($A10="","",IFERROR(1/(1/IF($B10="Residential",(SUMIFS(INDEX('Oxford Economics'!$A$7:$AZ$1000,0,IFERROR(MATCH(K$5,'Oxford Economics'!$A$6:$AZ$6,0),MATCH(K$5&amp;"",'Oxford Economics'!$A$6:$AZ$6,0))),'Oxford Economics'!$A$7:$A$1000,$C10,'Oxford Economics'!$B$7:$B$1000,Settings!$B$29)-SUMIFS(INDEX('Oxford Economics'!$A$7:$AZ$1000,0,IFERROR(MATCH(K$5,'Oxford Economics'!$A$6:$AZ$6,0),MATCH(K$5&amp;"",'Oxford Economics'!$A$6:$AZ$6,0))),'Oxford Economics'!$A$7:$A$1000,$C10,'Oxford Economics'!$B$7:$B$1000,Settings!$B$30)),(SUMIFS(INDEX('Oxford Economics'!$A$7:$AZ$1000,0,IFERROR(MATCH(K$5,'Oxford Economics'!$A$6:$AZ$6,0),MATCH(K$5&amp;"",'Oxford Economics'!$A$6:$AZ$6,0))),'Oxford Economics'!$A$7:$A$1000,$C10,'Oxford Economics'!$B$7:$B$1000,Settings!$B$30)+SUMIFS(INDEX('Oxford Economics'!$A$7:$AZ$1000,0,IFERROR(MATCH(K$5,'Oxford Economics'!$A$6:$AZ$6,0),MATCH(K$5&amp;"",'Oxford Economics'!$A$6:$AZ$6,0))),'Oxford Economics'!$A$7:$A$1000,$C10,'Oxford Economics'!$B$7:$B$1000,Settings!$B$31)))),""))</f>
        <v>2022.62</v>
      </c>
      <c r="L10" s="41" t="n">
        <f aca="false">IF($A10="","",IFERROR(1/(1/IF($B10="Residential",(SUMIFS(INDEX('Oxford Economics'!$A$7:$AZ$1000,0,IFERROR(MATCH(L$5,'Oxford Economics'!$A$6:$AZ$6,0),MATCH(L$5&amp;"",'Oxford Economics'!$A$6:$AZ$6,0))),'Oxford Economics'!$A$7:$A$1000,$C10,'Oxford Economics'!$B$7:$B$1000,Settings!$B$29)-SUMIFS(INDEX('Oxford Economics'!$A$7:$AZ$1000,0,IFERROR(MATCH(L$5,'Oxford Economics'!$A$6:$AZ$6,0),MATCH(L$5&amp;"",'Oxford Economics'!$A$6:$AZ$6,0))),'Oxford Economics'!$A$7:$A$1000,$C10,'Oxford Economics'!$B$7:$B$1000,Settings!$B$30)),(SUMIFS(INDEX('Oxford Economics'!$A$7:$AZ$1000,0,IFERROR(MATCH(L$5,'Oxford Economics'!$A$6:$AZ$6,0),MATCH(L$5&amp;"",'Oxford Economics'!$A$6:$AZ$6,0))),'Oxford Economics'!$A$7:$A$1000,$C10,'Oxford Economics'!$B$7:$B$1000,Settings!$B$30)+SUMIFS(INDEX('Oxford Economics'!$A$7:$AZ$1000,0,IFERROR(MATCH(L$5,'Oxford Economics'!$A$6:$AZ$6,0),MATCH(L$5&amp;"",'Oxford Economics'!$A$6:$AZ$6,0))),'Oxford Economics'!$A$7:$A$1000,$C10,'Oxford Economics'!$B$7:$B$1000,Settings!$B$31)))),""))</f>
        <v>2083.98</v>
      </c>
      <c r="M10" s="41" t="n">
        <f aca="false">IF($A10="","",IFERROR(1/(1/IF($B10="Residential",(SUMIFS(INDEX('Oxford Economics'!$A$7:$AZ$1000,0,IFERROR(MATCH(M$5,'Oxford Economics'!$A$6:$AZ$6,0),MATCH(M$5&amp;"",'Oxford Economics'!$A$6:$AZ$6,0))),'Oxford Economics'!$A$7:$A$1000,$C10,'Oxford Economics'!$B$7:$B$1000,Settings!$B$29)-SUMIFS(INDEX('Oxford Economics'!$A$7:$AZ$1000,0,IFERROR(MATCH(M$5,'Oxford Economics'!$A$6:$AZ$6,0),MATCH(M$5&amp;"",'Oxford Economics'!$A$6:$AZ$6,0))),'Oxford Economics'!$A$7:$A$1000,$C10,'Oxford Economics'!$B$7:$B$1000,Settings!$B$30)),(SUMIFS(INDEX('Oxford Economics'!$A$7:$AZ$1000,0,IFERROR(MATCH(M$5,'Oxford Economics'!$A$6:$AZ$6,0),MATCH(M$5&amp;"",'Oxford Economics'!$A$6:$AZ$6,0))),'Oxford Economics'!$A$7:$A$1000,$C10,'Oxford Economics'!$B$7:$B$1000,Settings!$B$30)+SUMIFS(INDEX('Oxford Economics'!$A$7:$AZ$1000,0,IFERROR(MATCH(M$5,'Oxford Economics'!$A$6:$AZ$6,0),MATCH(M$5&amp;"",'Oxford Economics'!$A$6:$AZ$6,0))),'Oxford Economics'!$A$7:$A$1000,$C10,'Oxford Economics'!$B$7:$B$1000,Settings!$B$31)))),""))</f>
        <v>2133.8</v>
      </c>
      <c r="N10" s="41" t="n">
        <f aca="false">IF($A10="","",IFERROR(1/(1/IF($B10="Residential",(SUMIFS(INDEX('Oxford Economics'!$A$7:$AZ$1000,0,IFERROR(MATCH(N$5,'Oxford Economics'!$A$6:$AZ$6,0),MATCH(N$5&amp;"",'Oxford Economics'!$A$6:$AZ$6,0))),'Oxford Economics'!$A$7:$A$1000,$C10,'Oxford Economics'!$B$7:$B$1000,Settings!$B$29)-SUMIFS(INDEX('Oxford Economics'!$A$7:$AZ$1000,0,IFERROR(MATCH(N$5,'Oxford Economics'!$A$6:$AZ$6,0),MATCH(N$5&amp;"",'Oxford Economics'!$A$6:$AZ$6,0))),'Oxford Economics'!$A$7:$A$1000,$C10,'Oxford Economics'!$B$7:$B$1000,Settings!$B$30)),(SUMIFS(INDEX('Oxford Economics'!$A$7:$AZ$1000,0,IFERROR(MATCH(N$5,'Oxford Economics'!$A$6:$AZ$6,0),MATCH(N$5&amp;"",'Oxford Economics'!$A$6:$AZ$6,0))),'Oxford Economics'!$A$7:$A$1000,$C10,'Oxford Economics'!$B$7:$B$1000,Settings!$B$30)+SUMIFS(INDEX('Oxford Economics'!$A$7:$AZ$1000,0,IFERROR(MATCH(N$5,'Oxford Economics'!$A$6:$AZ$6,0),MATCH(N$5&amp;"",'Oxford Economics'!$A$6:$AZ$6,0))),'Oxford Economics'!$A$7:$A$1000,$C10,'Oxford Economics'!$B$7:$B$1000,Settings!$B$31)))),""))</f>
        <v>2176.44</v>
      </c>
      <c r="O10" s="41" t="n">
        <f aca="false">IF($A10="","",IFERROR(1/(1/IF($B10="Residential",(SUMIFS(INDEX('Oxford Economics'!$A$7:$AZ$1000,0,IFERROR(MATCH(O$5,'Oxford Economics'!$A$6:$AZ$6,0),MATCH(O$5&amp;"",'Oxford Economics'!$A$6:$AZ$6,0))),'Oxford Economics'!$A$7:$A$1000,$C10,'Oxford Economics'!$B$7:$B$1000,Settings!$B$29)-SUMIFS(INDEX('Oxford Economics'!$A$7:$AZ$1000,0,IFERROR(MATCH(O$5,'Oxford Economics'!$A$6:$AZ$6,0),MATCH(O$5&amp;"",'Oxford Economics'!$A$6:$AZ$6,0))),'Oxford Economics'!$A$7:$A$1000,$C10,'Oxford Economics'!$B$7:$B$1000,Settings!$B$30)),(SUMIFS(INDEX('Oxford Economics'!$A$7:$AZ$1000,0,IFERROR(MATCH(O$5,'Oxford Economics'!$A$6:$AZ$6,0),MATCH(O$5&amp;"",'Oxford Economics'!$A$6:$AZ$6,0))),'Oxford Economics'!$A$7:$A$1000,$C10,'Oxford Economics'!$B$7:$B$1000,Settings!$B$30)+SUMIFS(INDEX('Oxford Economics'!$A$7:$AZ$1000,0,IFERROR(MATCH(O$5,'Oxford Economics'!$A$6:$AZ$6,0),MATCH(O$5&amp;"",'Oxford Economics'!$A$6:$AZ$6,0))),'Oxford Economics'!$A$7:$A$1000,$C10,'Oxford Economics'!$B$7:$B$1000,Settings!$B$31)))),""))</f>
        <v>2205.03</v>
      </c>
    </row>
    <row r="11" customFormat="false" ht="15" hidden="false" customHeight="false" outlineLevel="0" collapsed="false">
      <c r="A11" s="40" t="str">
        <f aca="false">IF('Raw data'!$A11="","",'Raw data'!$A11)</f>
        <v>Hungary</v>
      </c>
      <c r="B11" s="40" t="str">
        <f aca="false">IF($A11="","",'Raw data'!$C11)</f>
        <v>Non-residential</v>
      </c>
      <c r="C11" s="40" t="str">
        <f aca="false">IF($A11="","",IF('Raw data'!$D11="",$A11,'Raw data'!$D11))</f>
        <v>Hungary</v>
      </c>
      <c r="D11" s="41" t="str">
        <f aca="false">IF($A11="","",IFERROR(1/(1/IF($B11="Residential",(SUMIFS(INDEX('Oxford Economics'!$A$7:$AZ$1000,0,IFERROR(MATCH(D$5,'Oxford Economics'!$A$6:$AZ$6,0),MATCH(D$5&amp;"",'Oxford Economics'!$A$6:$AZ$6,0))),'Oxford Economics'!$A$7:$A$1000,$C11,'Oxford Economics'!$B$7:$B$1000,Settings!$B$29)-SUMIFS(INDEX('Oxford Economics'!$A$7:$AZ$1000,0,IFERROR(MATCH(D$5,'Oxford Economics'!$A$6:$AZ$6,0),MATCH(D$5&amp;"",'Oxford Economics'!$A$6:$AZ$6,0))),'Oxford Economics'!$A$7:$A$1000,$C11,'Oxford Economics'!$B$7:$B$1000,Settings!$B$30)),(SUMIFS(INDEX('Oxford Economics'!$A$7:$AZ$1000,0,IFERROR(MATCH(D$5,'Oxford Economics'!$A$6:$AZ$6,0),MATCH(D$5&amp;"",'Oxford Economics'!$A$6:$AZ$6,0))),'Oxford Economics'!$A$7:$A$1000,$C11,'Oxford Economics'!$B$7:$B$1000,Settings!$B$30)+SUMIFS(INDEX('Oxford Economics'!$A$7:$AZ$1000,0,IFERROR(MATCH(D$5,'Oxford Economics'!$A$6:$AZ$6,0),MATCH(D$5&amp;"",'Oxford Economics'!$A$6:$AZ$6,0))),'Oxford Economics'!$A$7:$A$1000,$C11,'Oxford Economics'!$B$7:$B$1000,Settings!$B$31)))),""))</f>
        <v/>
      </c>
      <c r="E11" s="41" t="str">
        <f aca="false">IF($A11="","",IFERROR(1/(1/IF($B11="Residential",(SUMIFS(INDEX('Oxford Economics'!$A$7:$AZ$1000,0,IFERROR(MATCH(E$5,'Oxford Economics'!$A$6:$AZ$6,0),MATCH(E$5&amp;"",'Oxford Economics'!$A$6:$AZ$6,0))),'Oxford Economics'!$A$7:$A$1000,$C11,'Oxford Economics'!$B$7:$B$1000,Settings!$B$29)-SUMIFS(INDEX('Oxford Economics'!$A$7:$AZ$1000,0,IFERROR(MATCH(E$5,'Oxford Economics'!$A$6:$AZ$6,0),MATCH(E$5&amp;"",'Oxford Economics'!$A$6:$AZ$6,0))),'Oxford Economics'!$A$7:$A$1000,$C11,'Oxford Economics'!$B$7:$B$1000,Settings!$B$30)),(SUMIFS(INDEX('Oxford Economics'!$A$7:$AZ$1000,0,IFERROR(MATCH(E$5,'Oxford Economics'!$A$6:$AZ$6,0),MATCH(E$5&amp;"",'Oxford Economics'!$A$6:$AZ$6,0))),'Oxford Economics'!$A$7:$A$1000,$C11,'Oxford Economics'!$B$7:$B$1000,Settings!$B$30)+SUMIFS(INDEX('Oxford Economics'!$A$7:$AZ$1000,0,IFERROR(MATCH(E$5,'Oxford Economics'!$A$6:$AZ$6,0),MATCH(E$5&amp;"",'Oxford Economics'!$A$6:$AZ$6,0))),'Oxford Economics'!$A$7:$A$1000,$C11,'Oxford Economics'!$B$7:$B$1000,Settings!$B$31)))),""))</f>
        <v/>
      </c>
      <c r="F11" s="41" t="str">
        <f aca="false">IF($A11="","",IFERROR(1/(1/IF($B11="Residential",(SUMIFS(INDEX('Oxford Economics'!$A$7:$AZ$1000,0,IFERROR(MATCH(F$5,'Oxford Economics'!$A$6:$AZ$6,0),MATCH(F$5&amp;"",'Oxford Economics'!$A$6:$AZ$6,0))),'Oxford Economics'!$A$7:$A$1000,$C11,'Oxford Economics'!$B$7:$B$1000,Settings!$B$29)-SUMIFS(INDEX('Oxford Economics'!$A$7:$AZ$1000,0,IFERROR(MATCH(F$5,'Oxford Economics'!$A$6:$AZ$6,0),MATCH(F$5&amp;"",'Oxford Economics'!$A$6:$AZ$6,0))),'Oxford Economics'!$A$7:$A$1000,$C11,'Oxford Economics'!$B$7:$B$1000,Settings!$B$30)),(SUMIFS(INDEX('Oxford Economics'!$A$7:$AZ$1000,0,IFERROR(MATCH(F$5,'Oxford Economics'!$A$6:$AZ$6,0),MATCH(F$5&amp;"",'Oxford Economics'!$A$6:$AZ$6,0))),'Oxford Economics'!$A$7:$A$1000,$C11,'Oxford Economics'!$B$7:$B$1000,Settings!$B$30)+SUMIFS(INDEX('Oxford Economics'!$A$7:$AZ$1000,0,IFERROR(MATCH(F$5,'Oxford Economics'!$A$6:$AZ$6,0),MATCH(F$5&amp;"",'Oxford Economics'!$A$6:$AZ$6,0))),'Oxford Economics'!$A$7:$A$1000,$C11,'Oxford Economics'!$B$7:$B$1000,Settings!$B$31)))),""))</f>
        <v/>
      </c>
      <c r="G11" s="41" t="str">
        <f aca="false">IF($A11="","",IFERROR(1/(1/IF($B11="Residential",(SUMIFS(INDEX('Oxford Economics'!$A$7:$AZ$1000,0,IFERROR(MATCH(G$5,'Oxford Economics'!$A$6:$AZ$6,0),MATCH(G$5&amp;"",'Oxford Economics'!$A$6:$AZ$6,0))),'Oxford Economics'!$A$7:$A$1000,$C11,'Oxford Economics'!$B$7:$B$1000,Settings!$B$29)-SUMIFS(INDEX('Oxford Economics'!$A$7:$AZ$1000,0,IFERROR(MATCH(G$5,'Oxford Economics'!$A$6:$AZ$6,0),MATCH(G$5&amp;"",'Oxford Economics'!$A$6:$AZ$6,0))),'Oxford Economics'!$A$7:$A$1000,$C11,'Oxford Economics'!$B$7:$B$1000,Settings!$B$30)),(SUMIFS(INDEX('Oxford Economics'!$A$7:$AZ$1000,0,IFERROR(MATCH(G$5,'Oxford Economics'!$A$6:$AZ$6,0),MATCH(G$5&amp;"",'Oxford Economics'!$A$6:$AZ$6,0))),'Oxford Economics'!$A$7:$A$1000,$C11,'Oxford Economics'!$B$7:$B$1000,Settings!$B$30)+SUMIFS(INDEX('Oxford Economics'!$A$7:$AZ$1000,0,IFERROR(MATCH(G$5,'Oxford Economics'!$A$6:$AZ$6,0),MATCH(G$5&amp;"",'Oxford Economics'!$A$6:$AZ$6,0))),'Oxford Economics'!$A$7:$A$1000,$C11,'Oxford Economics'!$B$7:$B$1000,Settings!$B$31)))),""))</f>
        <v/>
      </c>
      <c r="H11" s="41" t="n">
        <f aca="false">IF($A11="","",IFERROR(1/(1/IF($B11="Residential",(SUMIFS(INDEX('Oxford Economics'!$A$7:$AZ$1000,0,IFERROR(MATCH(H$5,'Oxford Economics'!$A$6:$AZ$6,0),MATCH(H$5&amp;"",'Oxford Economics'!$A$6:$AZ$6,0))),'Oxford Economics'!$A$7:$A$1000,$C11,'Oxford Economics'!$B$7:$B$1000,Settings!$B$29)-SUMIFS(INDEX('Oxford Economics'!$A$7:$AZ$1000,0,IFERROR(MATCH(H$5,'Oxford Economics'!$A$6:$AZ$6,0),MATCH(H$5&amp;"",'Oxford Economics'!$A$6:$AZ$6,0))),'Oxford Economics'!$A$7:$A$1000,$C11,'Oxford Economics'!$B$7:$B$1000,Settings!$B$30)),(SUMIFS(INDEX('Oxford Economics'!$A$7:$AZ$1000,0,IFERROR(MATCH(H$5,'Oxford Economics'!$A$6:$AZ$6,0),MATCH(H$5&amp;"",'Oxford Economics'!$A$6:$AZ$6,0))),'Oxford Economics'!$A$7:$A$1000,$C11,'Oxford Economics'!$B$7:$B$1000,Settings!$B$30)+SUMIFS(INDEX('Oxford Economics'!$A$7:$AZ$1000,0,IFERROR(MATCH(H$5,'Oxford Economics'!$A$6:$AZ$6,0),MATCH(H$5&amp;"",'Oxford Economics'!$A$6:$AZ$6,0))),'Oxford Economics'!$A$7:$A$1000,$C11,'Oxford Economics'!$B$7:$B$1000,Settings!$B$31)))),""))</f>
        <v>3964.86</v>
      </c>
      <c r="I11" s="41" t="n">
        <f aca="false">IF($A11="","",IFERROR(1/(1/IF($B11="Residential",(SUMIFS(INDEX('Oxford Economics'!$A$7:$AZ$1000,0,IFERROR(MATCH(I$5,'Oxford Economics'!$A$6:$AZ$6,0),MATCH(I$5&amp;"",'Oxford Economics'!$A$6:$AZ$6,0))),'Oxford Economics'!$A$7:$A$1000,$C11,'Oxford Economics'!$B$7:$B$1000,Settings!$B$29)-SUMIFS(INDEX('Oxford Economics'!$A$7:$AZ$1000,0,IFERROR(MATCH(I$5,'Oxford Economics'!$A$6:$AZ$6,0),MATCH(I$5&amp;"",'Oxford Economics'!$A$6:$AZ$6,0))),'Oxford Economics'!$A$7:$A$1000,$C11,'Oxford Economics'!$B$7:$B$1000,Settings!$B$30)),(SUMIFS(INDEX('Oxford Economics'!$A$7:$AZ$1000,0,IFERROR(MATCH(I$5,'Oxford Economics'!$A$6:$AZ$6,0),MATCH(I$5&amp;"",'Oxford Economics'!$A$6:$AZ$6,0))),'Oxford Economics'!$A$7:$A$1000,$C11,'Oxford Economics'!$B$7:$B$1000,Settings!$B$30)+SUMIFS(INDEX('Oxford Economics'!$A$7:$AZ$1000,0,IFERROR(MATCH(I$5,'Oxford Economics'!$A$6:$AZ$6,0),MATCH(I$5&amp;"",'Oxford Economics'!$A$6:$AZ$6,0))),'Oxford Economics'!$A$7:$A$1000,$C11,'Oxford Economics'!$B$7:$B$1000,Settings!$B$31)))),""))</f>
        <v>3843.27</v>
      </c>
      <c r="J11" s="41" t="n">
        <f aca="false">IF($A11="","",IFERROR(1/(1/IF($B11="Residential",(SUMIFS(INDEX('Oxford Economics'!$A$7:$AZ$1000,0,IFERROR(MATCH(J$5,'Oxford Economics'!$A$6:$AZ$6,0),MATCH(J$5&amp;"",'Oxford Economics'!$A$6:$AZ$6,0))),'Oxford Economics'!$A$7:$A$1000,$C11,'Oxford Economics'!$B$7:$B$1000,Settings!$B$29)-SUMIFS(INDEX('Oxford Economics'!$A$7:$AZ$1000,0,IFERROR(MATCH(J$5,'Oxford Economics'!$A$6:$AZ$6,0),MATCH(J$5&amp;"",'Oxford Economics'!$A$6:$AZ$6,0))),'Oxford Economics'!$A$7:$A$1000,$C11,'Oxford Economics'!$B$7:$B$1000,Settings!$B$30)),(SUMIFS(INDEX('Oxford Economics'!$A$7:$AZ$1000,0,IFERROR(MATCH(J$5,'Oxford Economics'!$A$6:$AZ$6,0),MATCH(J$5&amp;"",'Oxford Economics'!$A$6:$AZ$6,0))),'Oxford Economics'!$A$7:$A$1000,$C11,'Oxford Economics'!$B$7:$B$1000,Settings!$B$30)+SUMIFS(INDEX('Oxford Economics'!$A$7:$AZ$1000,0,IFERROR(MATCH(J$5,'Oxford Economics'!$A$6:$AZ$6,0),MATCH(J$5&amp;"",'Oxford Economics'!$A$6:$AZ$6,0))),'Oxford Economics'!$A$7:$A$1000,$C11,'Oxford Economics'!$B$7:$B$1000,Settings!$B$31)))),""))</f>
        <v>4291.73</v>
      </c>
      <c r="K11" s="41" t="n">
        <f aca="false">IF($A11="","",IFERROR(1/(1/IF($B11="Residential",(SUMIFS(INDEX('Oxford Economics'!$A$7:$AZ$1000,0,IFERROR(MATCH(K$5,'Oxford Economics'!$A$6:$AZ$6,0),MATCH(K$5&amp;"",'Oxford Economics'!$A$6:$AZ$6,0))),'Oxford Economics'!$A$7:$A$1000,$C11,'Oxford Economics'!$B$7:$B$1000,Settings!$B$29)-SUMIFS(INDEX('Oxford Economics'!$A$7:$AZ$1000,0,IFERROR(MATCH(K$5,'Oxford Economics'!$A$6:$AZ$6,0),MATCH(K$5&amp;"",'Oxford Economics'!$A$6:$AZ$6,0))),'Oxford Economics'!$A$7:$A$1000,$C11,'Oxford Economics'!$B$7:$B$1000,Settings!$B$30)),(SUMIFS(INDEX('Oxford Economics'!$A$7:$AZ$1000,0,IFERROR(MATCH(K$5,'Oxford Economics'!$A$6:$AZ$6,0),MATCH(K$5&amp;"",'Oxford Economics'!$A$6:$AZ$6,0))),'Oxford Economics'!$A$7:$A$1000,$C11,'Oxford Economics'!$B$7:$B$1000,Settings!$B$30)+SUMIFS(INDEX('Oxford Economics'!$A$7:$AZ$1000,0,IFERROR(MATCH(K$5,'Oxford Economics'!$A$6:$AZ$6,0),MATCH(K$5&amp;"",'Oxford Economics'!$A$6:$AZ$6,0))),'Oxford Economics'!$A$7:$A$1000,$C11,'Oxford Economics'!$B$7:$B$1000,Settings!$B$31)))),""))</f>
        <v>4359.73</v>
      </c>
      <c r="L11" s="41" t="n">
        <f aca="false">IF($A11="","",IFERROR(1/(1/IF($B11="Residential",(SUMIFS(INDEX('Oxford Economics'!$A$7:$AZ$1000,0,IFERROR(MATCH(L$5,'Oxford Economics'!$A$6:$AZ$6,0),MATCH(L$5&amp;"",'Oxford Economics'!$A$6:$AZ$6,0))),'Oxford Economics'!$A$7:$A$1000,$C11,'Oxford Economics'!$B$7:$B$1000,Settings!$B$29)-SUMIFS(INDEX('Oxford Economics'!$A$7:$AZ$1000,0,IFERROR(MATCH(L$5,'Oxford Economics'!$A$6:$AZ$6,0),MATCH(L$5&amp;"",'Oxford Economics'!$A$6:$AZ$6,0))),'Oxford Economics'!$A$7:$A$1000,$C11,'Oxford Economics'!$B$7:$B$1000,Settings!$B$30)),(SUMIFS(INDEX('Oxford Economics'!$A$7:$AZ$1000,0,IFERROR(MATCH(L$5,'Oxford Economics'!$A$6:$AZ$6,0),MATCH(L$5&amp;"",'Oxford Economics'!$A$6:$AZ$6,0))),'Oxford Economics'!$A$7:$A$1000,$C11,'Oxford Economics'!$B$7:$B$1000,Settings!$B$30)+SUMIFS(INDEX('Oxford Economics'!$A$7:$AZ$1000,0,IFERROR(MATCH(L$5,'Oxford Economics'!$A$6:$AZ$6,0),MATCH(L$5&amp;"",'Oxford Economics'!$A$6:$AZ$6,0))),'Oxford Economics'!$A$7:$A$1000,$C11,'Oxford Economics'!$B$7:$B$1000,Settings!$B$31)))),""))</f>
        <v>4583.29</v>
      </c>
      <c r="M11" s="41" t="n">
        <f aca="false">IF($A11="","",IFERROR(1/(1/IF($B11="Residential",(SUMIFS(INDEX('Oxford Economics'!$A$7:$AZ$1000,0,IFERROR(MATCH(M$5,'Oxford Economics'!$A$6:$AZ$6,0),MATCH(M$5&amp;"",'Oxford Economics'!$A$6:$AZ$6,0))),'Oxford Economics'!$A$7:$A$1000,$C11,'Oxford Economics'!$B$7:$B$1000,Settings!$B$29)-SUMIFS(INDEX('Oxford Economics'!$A$7:$AZ$1000,0,IFERROR(MATCH(M$5,'Oxford Economics'!$A$6:$AZ$6,0),MATCH(M$5&amp;"",'Oxford Economics'!$A$6:$AZ$6,0))),'Oxford Economics'!$A$7:$A$1000,$C11,'Oxford Economics'!$B$7:$B$1000,Settings!$B$30)),(SUMIFS(INDEX('Oxford Economics'!$A$7:$AZ$1000,0,IFERROR(MATCH(M$5,'Oxford Economics'!$A$6:$AZ$6,0),MATCH(M$5&amp;"",'Oxford Economics'!$A$6:$AZ$6,0))),'Oxford Economics'!$A$7:$A$1000,$C11,'Oxford Economics'!$B$7:$B$1000,Settings!$B$30)+SUMIFS(INDEX('Oxford Economics'!$A$7:$AZ$1000,0,IFERROR(MATCH(M$5,'Oxford Economics'!$A$6:$AZ$6,0),MATCH(M$5&amp;"",'Oxford Economics'!$A$6:$AZ$6,0))),'Oxford Economics'!$A$7:$A$1000,$C11,'Oxford Economics'!$B$7:$B$1000,Settings!$B$31)))),""))</f>
        <v>4759.58</v>
      </c>
      <c r="N11" s="41" t="n">
        <f aca="false">IF($A11="","",IFERROR(1/(1/IF($B11="Residential",(SUMIFS(INDEX('Oxford Economics'!$A$7:$AZ$1000,0,IFERROR(MATCH(N$5,'Oxford Economics'!$A$6:$AZ$6,0),MATCH(N$5&amp;"",'Oxford Economics'!$A$6:$AZ$6,0))),'Oxford Economics'!$A$7:$A$1000,$C11,'Oxford Economics'!$B$7:$B$1000,Settings!$B$29)-SUMIFS(INDEX('Oxford Economics'!$A$7:$AZ$1000,0,IFERROR(MATCH(N$5,'Oxford Economics'!$A$6:$AZ$6,0),MATCH(N$5&amp;"",'Oxford Economics'!$A$6:$AZ$6,0))),'Oxford Economics'!$A$7:$A$1000,$C11,'Oxford Economics'!$B$7:$B$1000,Settings!$B$30)),(SUMIFS(INDEX('Oxford Economics'!$A$7:$AZ$1000,0,IFERROR(MATCH(N$5,'Oxford Economics'!$A$6:$AZ$6,0),MATCH(N$5&amp;"",'Oxford Economics'!$A$6:$AZ$6,0))),'Oxford Economics'!$A$7:$A$1000,$C11,'Oxford Economics'!$B$7:$B$1000,Settings!$B$30)+SUMIFS(INDEX('Oxford Economics'!$A$7:$AZ$1000,0,IFERROR(MATCH(N$5,'Oxford Economics'!$A$6:$AZ$6,0),MATCH(N$5&amp;"",'Oxford Economics'!$A$6:$AZ$6,0))),'Oxford Economics'!$A$7:$A$1000,$C11,'Oxford Economics'!$B$7:$B$1000,Settings!$B$31)))),""))</f>
        <v>4858.97</v>
      </c>
      <c r="O11" s="41" t="n">
        <f aca="false">IF($A11="","",IFERROR(1/(1/IF($B11="Residential",(SUMIFS(INDEX('Oxford Economics'!$A$7:$AZ$1000,0,IFERROR(MATCH(O$5,'Oxford Economics'!$A$6:$AZ$6,0),MATCH(O$5&amp;"",'Oxford Economics'!$A$6:$AZ$6,0))),'Oxford Economics'!$A$7:$A$1000,$C11,'Oxford Economics'!$B$7:$B$1000,Settings!$B$29)-SUMIFS(INDEX('Oxford Economics'!$A$7:$AZ$1000,0,IFERROR(MATCH(O$5,'Oxford Economics'!$A$6:$AZ$6,0),MATCH(O$5&amp;"",'Oxford Economics'!$A$6:$AZ$6,0))),'Oxford Economics'!$A$7:$A$1000,$C11,'Oxford Economics'!$B$7:$B$1000,Settings!$B$30)),(SUMIFS(INDEX('Oxford Economics'!$A$7:$AZ$1000,0,IFERROR(MATCH(O$5,'Oxford Economics'!$A$6:$AZ$6,0),MATCH(O$5&amp;"",'Oxford Economics'!$A$6:$AZ$6,0))),'Oxford Economics'!$A$7:$A$1000,$C11,'Oxford Economics'!$B$7:$B$1000,Settings!$B$30)+SUMIFS(INDEX('Oxford Economics'!$A$7:$AZ$1000,0,IFERROR(MATCH(O$5,'Oxford Economics'!$A$6:$AZ$6,0),MATCH(O$5&amp;"",'Oxford Economics'!$A$6:$AZ$6,0))),'Oxford Economics'!$A$7:$A$1000,$C11,'Oxford Economics'!$B$7:$B$1000,Settings!$B$31)))),""))</f>
        <v>4900.29</v>
      </c>
    </row>
    <row r="12" customFormat="false" ht="15" hidden="false" customHeight="false" outlineLevel="0" collapsed="false">
      <c r="A12" s="40" t="str">
        <f aca="false">IF('Raw data'!$A12="","",'Raw data'!$A12)</f>
        <v>Netherlands</v>
      </c>
      <c r="B12" s="40" t="str">
        <f aca="false">IF($A12="","",'Raw data'!$C12)</f>
        <v>Residential</v>
      </c>
      <c r="C12" s="40" t="str">
        <f aca="false">IF($A12="","",IF('Raw data'!$D12="",$A12,'Raw data'!$D12))</f>
        <v>Netherlands</v>
      </c>
      <c r="D12" s="41" t="str">
        <f aca="false">IF($A12="","",IFERROR(1/(1/IF($B12="Residential",(SUMIFS(INDEX('Oxford Economics'!$A$7:$AZ$1000,0,IFERROR(MATCH(D$5,'Oxford Economics'!$A$6:$AZ$6,0),MATCH(D$5&amp;"",'Oxford Economics'!$A$6:$AZ$6,0))),'Oxford Economics'!$A$7:$A$1000,$C12,'Oxford Economics'!$B$7:$B$1000,Settings!$B$29)-SUMIFS(INDEX('Oxford Economics'!$A$7:$AZ$1000,0,IFERROR(MATCH(D$5,'Oxford Economics'!$A$6:$AZ$6,0),MATCH(D$5&amp;"",'Oxford Economics'!$A$6:$AZ$6,0))),'Oxford Economics'!$A$7:$A$1000,$C12,'Oxford Economics'!$B$7:$B$1000,Settings!$B$30)),(SUMIFS(INDEX('Oxford Economics'!$A$7:$AZ$1000,0,IFERROR(MATCH(D$5,'Oxford Economics'!$A$6:$AZ$6,0),MATCH(D$5&amp;"",'Oxford Economics'!$A$6:$AZ$6,0))),'Oxford Economics'!$A$7:$A$1000,$C12,'Oxford Economics'!$B$7:$B$1000,Settings!$B$30)+SUMIFS(INDEX('Oxford Economics'!$A$7:$AZ$1000,0,IFERROR(MATCH(D$5,'Oxford Economics'!$A$6:$AZ$6,0),MATCH(D$5&amp;"",'Oxford Economics'!$A$6:$AZ$6,0))),'Oxford Economics'!$A$7:$A$1000,$C12,'Oxford Economics'!$B$7:$B$1000,Settings!$B$31)))),""))</f>
        <v/>
      </c>
      <c r="E12" s="41" t="str">
        <f aca="false">IF($A12="","",IFERROR(1/(1/IF($B12="Residential",(SUMIFS(INDEX('Oxford Economics'!$A$7:$AZ$1000,0,IFERROR(MATCH(E$5,'Oxford Economics'!$A$6:$AZ$6,0),MATCH(E$5&amp;"",'Oxford Economics'!$A$6:$AZ$6,0))),'Oxford Economics'!$A$7:$A$1000,$C12,'Oxford Economics'!$B$7:$B$1000,Settings!$B$29)-SUMIFS(INDEX('Oxford Economics'!$A$7:$AZ$1000,0,IFERROR(MATCH(E$5,'Oxford Economics'!$A$6:$AZ$6,0),MATCH(E$5&amp;"",'Oxford Economics'!$A$6:$AZ$6,0))),'Oxford Economics'!$A$7:$A$1000,$C12,'Oxford Economics'!$B$7:$B$1000,Settings!$B$30)),(SUMIFS(INDEX('Oxford Economics'!$A$7:$AZ$1000,0,IFERROR(MATCH(E$5,'Oxford Economics'!$A$6:$AZ$6,0),MATCH(E$5&amp;"",'Oxford Economics'!$A$6:$AZ$6,0))),'Oxford Economics'!$A$7:$A$1000,$C12,'Oxford Economics'!$B$7:$B$1000,Settings!$B$30)+SUMIFS(INDEX('Oxford Economics'!$A$7:$AZ$1000,0,IFERROR(MATCH(E$5,'Oxford Economics'!$A$6:$AZ$6,0),MATCH(E$5&amp;"",'Oxford Economics'!$A$6:$AZ$6,0))),'Oxford Economics'!$A$7:$A$1000,$C12,'Oxford Economics'!$B$7:$B$1000,Settings!$B$31)))),""))</f>
        <v/>
      </c>
      <c r="F12" s="41" t="str">
        <f aca="false">IF($A12="","",IFERROR(1/(1/IF($B12="Residential",(SUMIFS(INDEX('Oxford Economics'!$A$7:$AZ$1000,0,IFERROR(MATCH(F$5,'Oxford Economics'!$A$6:$AZ$6,0),MATCH(F$5&amp;"",'Oxford Economics'!$A$6:$AZ$6,0))),'Oxford Economics'!$A$7:$A$1000,$C12,'Oxford Economics'!$B$7:$B$1000,Settings!$B$29)-SUMIFS(INDEX('Oxford Economics'!$A$7:$AZ$1000,0,IFERROR(MATCH(F$5,'Oxford Economics'!$A$6:$AZ$6,0),MATCH(F$5&amp;"",'Oxford Economics'!$A$6:$AZ$6,0))),'Oxford Economics'!$A$7:$A$1000,$C12,'Oxford Economics'!$B$7:$B$1000,Settings!$B$30)),(SUMIFS(INDEX('Oxford Economics'!$A$7:$AZ$1000,0,IFERROR(MATCH(F$5,'Oxford Economics'!$A$6:$AZ$6,0),MATCH(F$5&amp;"",'Oxford Economics'!$A$6:$AZ$6,0))),'Oxford Economics'!$A$7:$A$1000,$C12,'Oxford Economics'!$B$7:$B$1000,Settings!$B$30)+SUMIFS(INDEX('Oxford Economics'!$A$7:$AZ$1000,0,IFERROR(MATCH(F$5,'Oxford Economics'!$A$6:$AZ$6,0),MATCH(F$5&amp;"",'Oxford Economics'!$A$6:$AZ$6,0))),'Oxford Economics'!$A$7:$A$1000,$C12,'Oxford Economics'!$B$7:$B$1000,Settings!$B$31)))),""))</f>
        <v/>
      </c>
      <c r="G12" s="41" t="str">
        <f aca="false">IF($A12="","",IFERROR(1/(1/IF($B12="Residential",(SUMIFS(INDEX('Oxford Economics'!$A$7:$AZ$1000,0,IFERROR(MATCH(G$5,'Oxford Economics'!$A$6:$AZ$6,0),MATCH(G$5&amp;"",'Oxford Economics'!$A$6:$AZ$6,0))),'Oxford Economics'!$A$7:$A$1000,$C12,'Oxford Economics'!$B$7:$B$1000,Settings!$B$29)-SUMIFS(INDEX('Oxford Economics'!$A$7:$AZ$1000,0,IFERROR(MATCH(G$5,'Oxford Economics'!$A$6:$AZ$6,0),MATCH(G$5&amp;"",'Oxford Economics'!$A$6:$AZ$6,0))),'Oxford Economics'!$A$7:$A$1000,$C12,'Oxford Economics'!$B$7:$B$1000,Settings!$B$30)),(SUMIFS(INDEX('Oxford Economics'!$A$7:$AZ$1000,0,IFERROR(MATCH(G$5,'Oxford Economics'!$A$6:$AZ$6,0),MATCH(G$5&amp;"",'Oxford Economics'!$A$6:$AZ$6,0))),'Oxford Economics'!$A$7:$A$1000,$C12,'Oxford Economics'!$B$7:$B$1000,Settings!$B$30)+SUMIFS(INDEX('Oxford Economics'!$A$7:$AZ$1000,0,IFERROR(MATCH(G$5,'Oxford Economics'!$A$6:$AZ$6,0),MATCH(G$5&amp;"",'Oxford Economics'!$A$6:$AZ$6,0))),'Oxford Economics'!$A$7:$A$1000,$C12,'Oxford Economics'!$B$7:$B$1000,Settings!$B$31)))),""))</f>
        <v/>
      </c>
      <c r="H12" s="41" t="n">
        <f aca="false">IF($A12="","",IFERROR(1/(1/IF($B12="Residential",(SUMIFS(INDEX('Oxford Economics'!$A$7:$AZ$1000,0,IFERROR(MATCH(H$5,'Oxford Economics'!$A$6:$AZ$6,0),MATCH(H$5&amp;"",'Oxford Economics'!$A$6:$AZ$6,0))),'Oxford Economics'!$A$7:$A$1000,$C12,'Oxford Economics'!$B$7:$B$1000,Settings!$B$29)-SUMIFS(INDEX('Oxford Economics'!$A$7:$AZ$1000,0,IFERROR(MATCH(H$5,'Oxford Economics'!$A$6:$AZ$6,0),MATCH(H$5&amp;"",'Oxford Economics'!$A$6:$AZ$6,0))),'Oxford Economics'!$A$7:$A$1000,$C12,'Oxford Economics'!$B$7:$B$1000,Settings!$B$30)),(SUMIFS(INDEX('Oxford Economics'!$A$7:$AZ$1000,0,IFERROR(MATCH(H$5,'Oxford Economics'!$A$6:$AZ$6,0),MATCH(H$5&amp;"",'Oxford Economics'!$A$6:$AZ$6,0))),'Oxford Economics'!$A$7:$A$1000,$C12,'Oxford Economics'!$B$7:$B$1000,Settings!$B$30)+SUMIFS(INDEX('Oxford Economics'!$A$7:$AZ$1000,0,IFERROR(MATCH(H$5,'Oxford Economics'!$A$6:$AZ$6,0),MATCH(H$5&amp;"",'Oxford Economics'!$A$6:$AZ$6,0))),'Oxford Economics'!$A$7:$A$1000,$C12,'Oxford Economics'!$B$7:$B$1000,Settings!$B$31)))),""))</f>
        <v>28998.04</v>
      </c>
      <c r="I12" s="41" t="n">
        <f aca="false">IF($A12="","",IFERROR(1/(1/IF($B12="Residential",(SUMIFS(INDEX('Oxford Economics'!$A$7:$AZ$1000,0,IFERROR(MATCH(I$5,'Oxford Economics'!$A$6:$AZ$6,0),MATCH(I$5&amp;"",'Oxford Economics'!$A$6:$AZ$6,0))),'Oxford Economics'!$A$7:$A$1000,$C12,'Oxford Economics'!$B$7:$B$1000,Settings!$B$29)-SUMIFS(INDEX('Oxford Economics'!$A$7:$AZ$1000,0,IFERROR(MATCH(I$5,'Oxford Economics'!$A$6:$AZ$6,0),MATCH(I$5&amp;"",'Oxford Economics'!$A$6:$AZ$6,0))),'Oxford Economics'!$A$7:$A$1000,$C12,'Oxford Economics'!$B$7:$B$1000,Settings!$B$30)),(SUMIFS(INDEX('Oxford Economics'!$A$7:$AZ$1000,0,IFERROR(MATCH(I$5,'Oxford Economics'!$A$6:$AZ$6,0),MATCH(I$5&amp;"",'Oxford Economics'!$A$6:$AZ$6,0))),'Oxford Economics'!$A$7:$A$1000,$C12,'Oxford Economics'!$B$7:$B$1000,Settings!$B$30)+SUMIFS(INDEX('Oxford Economics'!$A$7:$AZ$1000,0,IFERROR(MATCH(I$5,'Oxford Economics'!$A$6:$AZ$6,0),MATCH(I$5&amp;"",'Oxford Economics'!$A$6:$AZ$6,0))),'Oxford Economics'!$A$7:$A$1000,$C12,'Oxford Economics'!$B$7:$B$1000,Settings!$B$31)))),""))</f>
        <v>29129.26</v>
      </c>
      <c r="J12" s="41" t="n">
        <f aca="false">IF($A12="","",IFERROR(1/(1/IF($B12="Residential",(SUMIFS(INDEX('Oxford Economics'!$A$7:$AZ$1000,0,IFERROR(MATCH(J$5,'Oxford Economics'!$A$6:$AZ$6,0),MATCH(J$5&amp;"",'Oxford Economics'!$A$6:$AZ$6,0))),'Oxford Economics'!$A$7:$A$1000,$C12,'Oxford Economics'!$B$7:$B$1000,Settings!$B$29)-SUMIFS(INDEX('Oxford Economics'!$A$7:$AZ$1000,0,IFERROR(MATCH(J$5,'Oxford Economics'!$A$6:$AZ$6,0),MATCH(J$5&amp;"",'Oxford Economics'!$A$6:$AZ$6,0))),'Oxford Economics'!$A$7:$A$1000,$C12,'Oxford Economics'!$B$7:$B$1000,Settings!$B$30)),(SUMIFS(INDEX('Oxford Economics'!$A$7:$AZ$1000,0,IFERROR(MATCH(J$5,'Oxford Economics'!$A$6:$AZ$6,0),MATCH(J$5&amp;"",'Oxford Economics'!$A$6:$AZ$6,0))),'Oxford Economics'!$A$7:$A$1000,$C12,'Oxford Economics'!$B$7:$B$1000,Settings!$B$30)+SUMIFS(INDEX('Oxford Economics'!$A$7:$AZ$1000,0,IFERROR(MATCH(J$5,'Oxford Economics'!$A$6:$AZ$6,0),MATCH(J$5&amp;"",'Oxford Economics'!$A$6:$AZ$6,0))),'Oxford Economics'!$A$7:$A$1000,$C12,'Oxford Economics'!$B$7:$B$1000,Settings!$B$31)))),""))</f>
        <v>29512.41</v>
      </c>
      <c r="K12" s="41" t="n">
        <f aca="false">IF($A12="","",IFERROR(1/(1/IF($B12="Residential",(SUMIFS(INDEX('Oxford Economics'!$A$7:$AZ$1000,0,IFERROR(MATCH(K$5,'Oxford Economics'!$A$6:$AZ$6,0),MATCH(K$5&amp;"",'Oxford Economics'!$A$6:$AZ$6,0))),'Oxford Economics'!$A$7:$A$1000,$C12,'Oxford Economics'!$B$7:$B$1000,Settings!$B$29)-SUMIFS(INDEX('Oxford Economics'!$A$7:$AZ$1000,0,IFERROR(MATCH(K$5,'Oxford Economics'!$A$6:$AZ$6,0),MATCH(K$5&amp;"",'Oxford Economics'!$A$6:$AZ$6,0))),'Oxford Economics'!$A$7:$A$1000,$C12,'Oxford Economics'!$B$7:$B$1000,Settings!$B$30)),(SUMIFS(INDEX('Oxford Economics'!$A$7:$AZ$1000,0,IFERROR(MATCH(K$5,'Oxford Economics'!$A$6:$AZ$6,0),MATCH(K$5&amp;"",'Oxford Economics'!$A$6:$AZ$6,0))),'Oxford Economics'!$A$7:$A$1000,$C12,'Oxford Economics'!$B$7:$B$1000,Settings!$B$30)+SUMIFS(INDEX('Oxford Economics'!$A$7:$AZ$1000,0,IFERROR(MATCH(K$5,'Oxford Economics'!$A$6:$AZ$6,0),MATCH(K$5&amp;"",'Oxford Economics'!$A$6:$AZ$6,0))),'Oxford Economics'!$A$7:$A$1000,$C12,'Oxford Economics'!$B$7:$B$1000,Settings!$B$31)))),""))</f>
        <v>29901.43</v>
      </c>
      <c r="L12" s="41" t="n">
        <f aca="false">IF($A12="","",IFERROR(1/(1/IF($B12="Residential",(SUMIFS(INDEX('Oxford Economics'!$A$7:$AZ$1000,0,IFERROR(MATCH(L$5,'Oxford Economics'!$A$6:$AZ$6,0),MATCH(L$5&amp;"",'Oxford Economics'!$A$6:$AZ$6,0))),'Oxford Economics'!$A$7:$A$1000,$C12,'Oxford Economics'!$B$7:$B$1000,Settings!$B$29)-SUMIFS(INDEX('Oxford Economics'!$A$7:$AZ$1000,0,IFERROR(MATCH(L$5,'Oxford Economics'!$A$6:$AZ$6,0),MATCH(L$5&amp;"",'Oxford Economics'!$A$6:$AZ$6,0))),'Oxford Economics'!$A$7:$A$1000,$C12,'Oxford Economics'!$B$7:$B$1000,Settings!$B$30)),(SUMIFS(INDEX('Oxford Economics'!$A$7:$AZ$1000,0,IFERROR(MATCH(L$5,'Oxford Economics'!$A$6:$AZ$6,0),MATCH(L$5&amp;"",'Oxford Economics'!$A$6:$AZ$6,0))),'Oxford Economics'!$A$7:$A$1000,$C12,'Oxford Economics'!$B$7:$B$1000,Settings!$B$30)+SUMIFS(INDEX('Oxford Economics'!$A$7:$AZ$1000,0,IFERROR(MATCH(L$5,'Oxford Economics'!$A$6:$AZ$6,0),MATCH(L$5&amp;"",'Oxford Economics'!$A$6:$AZ$6,0))),'Oxford Economics'!$A$7:$A$1000,$C12,'Oxford Economics'!$B$7:$B$1000,Settings!$B$31)))),""))</f>
        <v>31213.03</v>
      </c>
      <c r="M12" s="41" t="n">
        <f aca="false">IF($A12="","",IFERROR(1/(1/IF($B12="Residential",(SUMIFS(INDEX('Oxford Economics'!$A$7:$AZ$1000,0,IFERROR(MATCH(M$5,'Oxford Economics'!$A$6:$AZ$6,0),MATCH(M$5&amp;"",'Oxford Economics'!$A$6:$AZ$6,0))),'Oxford Economics'!$A$7:$A$1000,$C12,'Oxford Economics'!$B$7:$B$1000,Settings!$B$29)-SUMIFS(INDEX('Oxford Economics'!$A$7:$AZ$1000,0,IFERROR(MATCH(M$5,'Oxford Economics'!$A$6:$AZ$6,0),MATCH(M$5&amp;"",'Oxford Economics'!$A$6:$AZ$6,0))),'Oxford Economics'!$A$7:$A$1000,$C12,'Oxford Economics'!$B$7:$B$1000,Settings!$B$30)),(SUMIFS(INDEX('Oxford Economics'!$A$7:$AZ$1000,0,IFERROR(MATCH(M$5,'Oxford Economics'!$A$6:$AZ$6,0),MATCH(M$5&amp;"",'Oxford Economics'!$A$6:$AZ$6,0))),'Oxford Economics'!$A$7:$A$1000,$C12,'Oxford Economics'!$B$7:$B$1000,Settings!$B$30)+SUMIFS(INDEX('Oxford Economics'!$A$7:$AZ$1000,0,IFERROR(MATCH(M$5,'Oxford Economics'!$A$6:$AZ$6,0),MATCH(M$5&amp;"",'Oxford Economics'!$A$6:$AZ$6,0))),'Oxford Economics'!$A$7:$A$1000,$C12,'Oxford Economics'!$B$7:$B$1000,Settings!$B$31)))),""))</f>
        <v>32376.78</v>
      </c>
      <c r="N12" s="41" t="n">
        <f aca="false">IF($A12="","",IFERROR(1/(1/IF($B12="Residential",(SUMIFS(INDEX('Oxford Economics'!$A$7:$AZ$1000,0,IFERROR(MATCH(N$5,'Oxford Economics'!$A$6:$AZ$6,0),MATCH(N$5&amp;"",'Oxford Economics'!$A$6:$AZ$6,0))),'Oxford Economics'!$A$7:$A$1000,$C12,'Oxford Economics'!$B$7:$B$1000,Settings!$B$29)-SUMIFS(INDEX('Oxford Economics'!$A$7:$AZ$1000,0,IFERROR(MATCH(N$5,'Oxford Economics'!$A$6:$AZ$6,0),MATCH(N$5&amp;"",'Oxford Economics'!$A$6:$AZ$6,0))),'Oxford Economics'!$A$7:$A$1000,$C12,'Oxford Economics'!$B$7:$B$1000,Settings!$B$30)),(SUMIFS(INDEX('Oxford Economics'!$A$7:$AZ$1000,0,IFERROR(MATCH(N$5,'Oxford Economics'!$A$6:$AZ$6,0),MATCH(N$5&amp;"",'Oxford Economics'!$A$6:$AZ$6,0))),'Oxford Economics'!$A$7:$A$1000,$C12,'Oxford Economics'!$B$7:$B$1000,Settings!$B$30)+SUMIFS(INDEX('Oxford Economics'!$A$7:$AZ$1000,0,IFERROR(MATCH(N$5,'Oxford Economics'!$A$6:$AZ$6,0),MATCH(N$5&amp;"",'Oxford Economics'!$A$6:$AZ$6,0))),'Oxford Economics'!$A$7:$A$1000,$C12,'Oxford Economics'!$B$7:$B$1000,Settings!$B$31)))),""))</f>
        <v>33392.61</v>
      </c>
      <c r="O12" s="41" t="n">
        <f aca="false">IF($A12="","",IFERROR(1/(1/IF($B12="Residential",(SUMIFS(INDEX('Oxford Economics'!$A$7:$AZ$1000,0,IFERROR(MATCH(O$5,'Oxford Economics'!$A$6:$AZ$6,0),MATCH(O$5&amp;"",'Oxford Economics'!$A$6:$AZ$6,0))),'Oxford Economics'!$A$7:$A$1000,$C12,'Oxford Economics'!$B$7:$B$1000,Settings!$B$29)-SUMIFS(INDEX('Oxford Economics'!$A$7:$AZ$1000,0,IFERROR(MATCH(O$5,'Oxford Economics'!$A$6:$AZ$6,0),MATCH(O$5&amp;"",'Oxford Economics'!$A$6:$AZ$6,0))),'Oxford Economics'!$A$7:$A$1000,$C12,'Oxford Economics'!$B$7:$B$1000,Settings!$B$30)),(SUMIFS(INDEX('Oxford Economics'!$A$7:$AZ$1000,0,IFERROR(MATCH(O$5,'Oxford Economics'!$A$6:$AZ$6,0),MATCH(O$5&amp;"",'Oxford Economics'!$A$6:$AZ$6,0))),'Oxford Economics'!$A$7:$A$1000,$C12,'Oxford Economics'!$B$7:$B$1000,Settings!$B$30)+SUMIFS(INDEX('Oxford Economics'!$A$7:$AZ$1000,0,IFERROR(MATCH(O$5,'Oxford Economics'!$A$6:$AZ$6,0),MATCH(O$5&amp;"",'Oxford Economics'!$A$6:$AZ$6,0))),'Oxford Economics'!$A$7:$A$1000,$C12,'Oxford Economics'!$B$7:$B$1000,Settings!$B$31)))),""))</f>
        <v>34045.06</v>
      </c>
    </row>
    <row r="13" customFormat="false" ht="15" hidden="false" customHeight="false" outlineLevel="0" collapsed="false">
      <c r="A13" s="40" t="str">
        <f aca="false">IF('Raw data'!$A13="","",'Raw data'!$A13)</f>
        <v>Netherlands</v>
      </c>
      <c r="B13" s="40" t="str">
        <f aca="false">IF($A13="","",'Raw data'!$C13)</f>
        <v>Non-residential</v>
      </c>
      <c r="C13" s="40" t="str">
        <f aca="false">IF($A13="","",IF('Raw data'!$D13="",$A13,'Raw data'!$D13))</f>
        <v>Netherlands</v>
      </c>
      <c r="D13" s="41" t="str">
        <f aca="false">IF($A13="","",IFERROR(1/(1/IF($B13="Residential",(SUMIFS(INDEX('Oxford Economics'!$A$7:$AZ$1000,0,IFERROR(MATCH(D$5,'Oxford Economics'!$A$6:$AZ$6,0),MATCH(D$5&amp;"",'Oxford Economics'!$A$6:$AZ$6,0))),'Oxford Economics'!$A$7:$A$1000,$C13,'Oxford Economics'!$B$7:$B$1000,Settings!$B$29)-SUMIFS(INDEX('Oxford Economics'!$A$7:$AZ$1000,0,IFERROR(MATCH(D$5,'Oxford Economics'!$A$6:$AZ$6,0),MATCH(D$5&amp;"",'Oxford Economics'!$A$6:$AZ$6,0))),'Oxford Economics'!$A$7:$A$1000,$C13,'Oxford Economics'!$B$7:$B$1000,Settings!$B$30)),(SUMIFS(INDEX('Oxford Economics'!$A$7:$AZ$1000,0,IFERROR(MATCH(D$5,'Oxford Economics'!$A$6:$AZ$6,0),MATCH(D$5&amp;"",'Oxford Economics'!$A$6:$AZ$6,0))),'Oxford Economics'!$A$7:$A$1000,$C13,'Oxford Economics'!$B$7:$B$1000,Settings!$B$30)+SUMIFS(INDEX('Oxford Economics'!$A$7:$AZ$1000,0,IFERROR(MATCH(D$5,'Oxford Economics'!$A$6:$AZ$6,0),MATCH(D$5&amp;"",'Oxford Economics'!$A$6:$AZ$6,0))),'Oxford Economics'!$A$7:$A$1000,$C13,'Oxford Economics'!$B$7:$B$1000,Settings!$B$31)))),""))</f>
        <v/>
      </c>
      <c r="E13" s="41" t="str">
        <f aca="false">IF($A13="","",IFERROR(1/(1/IF($B13="Residential",(SUMIFS(INDEX('Oxford Economics'!$A$7:$AZ$1000,0,IFERROR(MATCH(E$5,'Oxford Economics'!$A$6:$AZ$6,0),MATCH(E$5&amp;"",'Oxford Economics'!$A$6:$AZ$6,0))),'Oxford Economics'!$A$7:$A$1000,$C13,'Oxford Economics'!$B$7:$B$1000,Settings!$B$29)-SUMIFS(INDEX('Oxford Economics'!$A$7:$AZ$1000,0,IFERROR(MATCH(E$5,'Oxford Economics'!$A$6:$AZ$6,0),MATCH(E$5&amp;"",'Oxford Economics'!$A$6:$AZ$6,0))),'Oxford Economics'!$A$7:$A$1000,$C13,'Oxford Economics'!$B$7:$B$1000,Settings!$B$30)),(SUMIFS(INDEX('Oxford Economics'!$A$7:$AZ$1000,0,IFERROR(MATCH(E$5,'Oxford Economics'!$A$6:$AZ$6,0),MATCH(E$5&amp;"",'Oxford Economics'!$A$6:$AZ$6,0))),'Oxford Economics'!$A$7:$A$1000,$C13,'Oxford Economics'!$B$7:$B$1000,Settings!$B$30)+SUMIFS(INDEX('Oxford Economics'!$A$7:$AZ$1000,0,IFERROR(MATCH(E$5,'Oxford Economics'!$A$6:$AZ$6,0),MATCH(E$5&amp;"",'Oxford Economics'!$A$6:$AZ$6,0))),'Oxford Economics'!$A$7:$A$1000,$C13,'Oxford Economics'!$B$7:$B$1000,Settings!$B$31)))),""))</f>
        <v/>
      </c>
      <c r="F13" s="41" t="str">
        <f aca="false">IF($A13="","",IFERROR(1/(1/IF($B13="Residential",(SUMIFS(INDEX('Oxford Economics'!$A$7:$AZ$1000,0,IFERROR(MATCH(F$5,'Oxford Economics'!$A$6:$AZ$6,0),MATCH(F$5&amp;"",'Oxford Economics'!$A$6:$AZ$6,0))),'Oxford Economics'!$A$7:$A$1000,$C13,'Oxford Economics'!$B$7:$B$1000,Settings!$B$29)-SUMIFS(INDEX('Oxford Economics'!$A$7:$AZ$1000,0,IFERROR(MATCH(F$5,'Oxford Economics'!$A$6:$AZ$6,0),MATCH(F$5&amp;"",'Oxford Economics'!$A$6:$AZ$6,0))),'Oxford Economics'!$A$7:$A$1000,$C13,'Oxford Economics'!$B$7:$B$1000,Settings!$B$30)),(SUMIFS(INDEX('Oxford Economics'!$A$7:$AZ$1000,0,IFERROR(MATCH(F$5,'Oxford Economics'!$A$6:$AZ$6,0),MATCH(F$5&amp;"",'Oxford Economics'!$A$6:$AZ$6,0))),'Oxford Economics'!$A$7:$A$1000,$C13,'Oxford Economics'!$B$7:$B$1000,Settings!$B$30)+SUMIFS(INDEX('Oxford Economics'!$A$7:$AZ$1000,0,IFERROR(MATCH(F$5,'Oxford Economics'!$A$6:$AZ$6,0),MATCH(F$5&amp;"",'Oxford Economics'!$A$6:$AZ$6,0))),'Oxford Economics'!$A$7:$A$1000,$C13,'Oxford Economics'!$B$7:$B$1000,Settings!$B$31)))),""))</f>
        <v/>
      </c>
      <c r="G13" s="41" t="str">
        <f aca="false">IF($A13="","",IFERROR(1/(1/IF($B13="Residential",(SUMIFS(INDEX('Oxford Economics'!$A$7:$AZ$1000,0,IFERROR(MATCH(G$5,'Oxford Economics'!$A$6:$AZ$6,0),MATCH(G$5&amp;"",'Oxford Economics'!$A$6:$AZ$6,0))),'Oxford Economics'!$A$7:$A$1000,$C13,'Oxford Economics'!$B$7:$B$1000,Settings!$B$29)-SUMIFS(INDEX('Oxford Economics'!$A$7:$AZ$1000,0,IFERROR(MATCH(G$5,'Oxford Economics'!$A$6:$AZ$6,0),MATCH(G$5&amp;"",'Oxford Economics'!$A$6:$AZ$6,0))),'Oxford Economics'!$A$7:$A$1000,$C13,'Oxford Economics'!$B$7:$B$1000,Settings!$B$30)),(SUMIFS(INDEX('Oxford Economics'!$A$7:$AZ$1000,0,IFERROR(MATCH(G$5,'Oxford Economics'!$A$6:$AZ$6,0),MATCH(G$5&amp;"",'Oxford Economics'!$A$6:$AZ$6,0))),'Oxford Economics'!$A$7:$A$1000,$C13,'Oxford Economics'!$B$7:$B$1000,Settings!$B$30)+SUMIFS(INDEX('Oxford Economics'!$A$7:$AZ$1000,0,IFERROR(MATCH(G$5,'Oxford Economics'!$A$6:$AZ$6,0),MATCH(G$5&amp;"",'Oxford Economics'!$A$6:$AZ$6,0))),'Oxford Economics'!$A$7:$A$1000,$C13,'Oxford Economics'!$B$7:$B$1000,Settings!$B$31)))),""))</f>
        <v/>
      </c>
      <c r="H13" s="41" t="n">
        <f aca="false">IF($A13="","",IFERROR(1/(1/IF($B13="Residential",(SUMIFS(INDEX('Oxford Economics'!$A$7:$AZ$1000,0,IFERROR(MATCH(H$5,'Oxford Economics'!$A$6:$AZ$6,0),MATCH(H$5&amp;"",'Oxford Economics'!$A$6:$AZ$6,0))),'Oxford Economics'!$A$7:$A$1000,$C13,'Oxford Economics'!$B$7:$B$1000,Settings!$B$29)-SUMIFS(INDEX('Oxford Economics'!$A$7:$AZ$1000,0,IFERROR(MATCH(H$5,'Oxford Economics'!$A$6:$AZ$6,0),MATCH(H$5&amp;"",'Oxford Economics'!$A$6:$AZ$6,0))),'Oxford Economics'!$A$7:$A$1000,$C13,'Oxford Economics'!$B$7:$B$1000,Settings!$B$30)),(SUMIFS(INDEX('Oxford Economics'!$A$7:$AZ$1000,0,IFERROR(MATCH(H$5,'Oxford Economics'!$A$6:$AZ$6,0),MATCH(H$5&amp;"",'Oxford Economics'!$A$6:$AZ$6,0))),'Oxford Economics'!$A$7:$A$1000,$C13,'Oxford Economics'!$B$7:$B$1000,Settings!$B$30)+SUMIFS(INDEX('Oxford Economics'!$A$7:$AZ$1000,0,IFERROR(MATCH(H$5,'Oxford Economics'!$A$6:$AZ$6,0),MATCH(H$5&amp;"",'Oxford Economics'!$A$6:$AZ$6,0))),'Oxford Economics'!$A$7:$A$1000,$C13,'Oxford Economics'!$B$7:$B$1000,Settings!$B$31)))),""))</f>
        <v>24357.5</v>
      </c>
      <c r="I13" s="41" t="n">
        <f aca="false">IF($A13="","",IFERROR(1/(1/IF($B13="Residential",(SUMIFS(INDEX('Oxford Economics'!$A$7:$AZ$1000,0,IFERROR(MATCH(I$5,'Oxford Economics'!$A$6:$AZ$6,0),MATCH(I$5&amp;"",'Oxford Economics'!$A$6:$AZ$6,0))),'Oxford Economics'!$A$7:$A$1000,$C13,'Oxford Economics'!$B$7:$B$1000,Settings!$B$29)-SUMIFS(INDEX('Oxford Economics'!$A$7:$AZ$1000,0,IFERROR(MATCH(I$5,'Oxford Economics'!$A$6:$AZ$6,0),MATCH(I$5&amp;"",'Oxford Economics'!$A$6:$AZ$6,0))),'Oxford Economics'!$A$7:$A$1000,$C13,'Oxford Economics'!$B$7:$B$1000,Settings!$B$30)),(SUMIFS(INDEX('Oxford Economics'!$A$7:$AZ$1000,0,IFERROR(MATCH(I$5,'Oxford Economics'!$A$6:$AZ$6,0),MATCH(I$5&amp;"",'Oxford Economics'!$A$6:$AZ$6,0))),'Oxford Economics'!$A$7:$A$1000,$C13,'Oxford Economics'!$B$7:$B$1000,Settings!$B$30)+SUMIFS(INDEX('Oxford Economics'!$A$7:$AZ$1000,0,IFERROR(MATCH(I$5,'Oxford Economics'!$A$6:$AZ$6,0),MATCH(I$5&amp;"",'Oxford Economics'!$A$6:$AZ$6,0))),'Oxford Economics'!$A$7:$A$1000,$C13,'Oxford Economics'!$B$7:$B$1000,Settings!$B$31)))),""))</f>
        <v>24549.72</v>
      </c>
      <c r="J13" s="41" t="n">
        <f aca="false">IF($A13="","",IFERROR(1/(1/IF($B13="Residential",(SUMIFS(INDEX('Oxford Economics'!$A$7:$AZ$1000,0,IFERROR(MATCH(J$5,'Oxford Economics'!$A$6:$AZ$6,0),MATCH(J$5&amp;"",'Oxford Economics'!$A$6:$AZ$6,0))),'Oxford Economics'!$A$7:$A$1000,$C13,'Oxford Economics'!$B$7:$B$1000,Settings!$B$29)-SUMIFS(INDEX('Oxford Economics'!$A$7:$AZ$1000,0,IFERROR(MATCH(J$5,'Oxford Economics'!$A$6:$AZ$6,0),MATCH(J$5&amp;"",'Oxford Economics'!$A$6:$AZ$6,0))),'Oxford Economics'!$A$7:$A$1000,$C13,'Oxford Economics'!$B$7:$B$1000,Settings!$B$30)),(SUMIFS(INDEX('Oxford Economics'!$A$7:$AZ$1000,0,IFERROR(MATCH(J$5,'Oxford Economics'!$A$6:$AZ$6,0),MATCH(J$5&amp;"",'Oxford Economics'!$A$6:$AZ$6,0))),'Oxford Economics'!$A$7:$A$1000,$C13,'Oxford Economics'!$B$7:$B$1000,Settings!$B$30)+SUMIFS(INDEX('Oxford Economics'!$A$7:$AZ$1000,0,IFERROR(MATCH(J$5,'Oxford Economics'!$A$6:$AZ$6,0),MATCH(J$5&amp;"",'Oxford Economics'!$A$6:$AZ$6,0))),'Oxford Economics'!$A$7:$A$1000,$C13,'Oxford Economics'!$B$7:$B$1000,Settings!$B$31)))),""))</f>
        <v>25206.78</v>
      </c>
      <c r="K13" s="41" t="n">
        <f aca="false">IF($A13="","",IFERROR(1/(1/IF($B13="Residential",(SUMIFS(INDEX('Oxford Economics'!$A$7:$AZ$1000,0,IFERROR(MATCH(K$5,'Oxford Economics'!$A$6:$AZ$6,0),MATCH(K$5&amp;"",'Oxford Economics'!$A$6:$AZ$6,0))),'Oxford Economics'!$A$7:$A$1000,$C13,'Oxford Economics'!$B$7:$B$1000,Settings!$B$29)-SUMIFS(INDEX('Oxford Economics'!$A$7:$AZ$1000,0,IFERROR(MATCH(K$5,'Oxford Economics'!$A$6:$AZ$6,0),MATCH(K$5&amp;"",'Oxford Economics'!$A$6:$AZ$6,0))),'Oxford Economics'!$A$7:$A$1000,$C13,'Oxford Economics'!$B$7:$B$1000,Settings!$B$30)),(SUMIFS(INDEX('Oxford Economics'!$A$7:$AZ$1000,0,IFERROR(MATCH(K$5,'Oxford Economics'!$A$6:$AZ$6,0),MATCH(K$5&amp;"",'Oxford Economics'!$A$6:$AZ$6,0))),'Oxford Economics'!$A$7:$A$1000,$C13,'Oxford Economics'!$B$7:$B$1000,Settings!$B$30)+SUMIFS(INDEX('Oxford Economics'!$A$7:$AZ$1000,0,IFERROR(MATCH(K$5,'Oxford Economics'!$A$6:$AZ$6,0),MATCH(K$5&amp;"",'Oxford Economics'!$A$6:$AZ$6,0))),'Oxford Economics'!$A$7:$A$1000,$C13,'Oxford Economics'!$B$7:$B$1000,Settings!$B$31)))),""))</f>
        <v>25727.33</v>
      </c>
      <c r="L13" s="41" t="n">
        <f aca="false">IF($A13="","",IFERROR(1/(1/IF($B13="Residential",(SUMIFS(INDEX('Oxford Economics'!$A$7:$AZ$1000,0,IFERROR(MATCH(L$5,'Oxford Economics'!$A$6:$AZ$6,0),MATCH(L$5&amp;"",'Oxford Economics'!$A$6:$AZ$6,0))),'Oxford Economics'!$A$7:$A$1000,$C13,'Oxford Economics'!$B$7:$B$1000,Settings!$B$29)-SUMIFS(INDEX('Oxford Economics'!$A$7:$AZ$1000,0,IFERROR(MATCH(L$5,'Oxford Economics'!$A$6:$AZ$6,0),MATCH(L$5&amp;"",'Oxford Economics'!$A$6:$AZ$6,0))),'Oxford Economics'!$A$7:$A$1000,$C13,'Oxford Economics'!$B$7:$B$1000,Settings!$B$30)),(SUMIFS(INDEX('Oxford Economics'!$A$7:$AZ$1000,0,IFERROR(MATCH(L$5,'Oxford Economics'!$A$6:$AZ$6,0),MATCH(L$5&amp;"",'Oxford Economics'!$A$6:$AZ$6,0))),'Oxford Economics'!$A$7:$A$1000,$C13,'Oxford Economics'!$B$7:$B$1000,Settings!$B$30)+SUMIFS(INDEX('Oxford Economics'!$A$7:$AZ$1000,0,IFERROR(MATCH(L$5,'Oxford Economics'!$A$6:$AZ$6,0),MATCH(L$5&amp;"",'Oxford Economics'!$A$6:$AZ$6,0))),'Oxford Economics'!$A$7:$A$1000,$C13,'Oxford Economics'!$B$7:$B$1000,Settings!$B$31)))),""))</f>
        <v>26569.26</v>
      </c>
      <c r="M13" s="41" t="n">
        <f aca="false">IF($A13="","",IFERROR(1/(1/IF($B13="Residential",(SUMIFS(INDEX('Oxford Economics'!$A$7:$AZ$1000,0,IFERROR(MATCH(M$5,'Oxford Economics'!$A$6:$AZ$6,0),MATCH(M$5&amp;"",'Oxford Economics'!$A$6:$AZ$6,0))),'Oxford Economics'!$A$7:$A$1000,$C13,'Oxford Economics'!$B$7:$B$1000,Settings!$B$29)-SUMIFS(INDEX('Oxford Economics'!$A$7:$AZ$1000,0,IFERROR(MATCH(M$5,'Oxford Economics'!$A$6:$AZ$6,0),MATCH(M$5&amp;"",'Oxford Economics'!$A$6:$AZ$6,0))),'Oxford Economics'!$A$7:$A$1000,$C13,'Oxford Economics'!$B$7:$B$1000,Settings!$B$30)),(SUMIFS(INDEX('Oxford Economics'!$A$7:$AZ$1000,0,IFERROR(MATCH(M$5,'Oxford Economics'!$A$6:$AZ$6,0),MATCH(M$5&amp;"",'Oxford Economics'!$A$6:$AZ$6,0))),'Oxford Economics'!$A$7:$A$1000,$C13,'Oxford Economics'!$B$7:$B$1000,Settings!$B$30)+SUMIFS(INDEX('Oxford Economics'!$A$7:$AZ$1000,0,IFERROR(MATCH(M$5,'Oxford Economics'!$A$6:$AZ$6,0),MATCH(M$5&amp;"",'Oxford Economics'!$A$6:$AZ$6,0))),'Oxford Economics'!$A$7:$A$1000,$C13,'Oxford Economics'!$B$7:$B$1000,Settings!$B$31)))),""))</f>
        <v>27554.26</v>
      </c>
      <c r="N13" s="41" t="n">
        <f aca="false">IF($A13="","",IFERROR(1/(1/IF($B13="Residential",(SUMIFS(INDEX('Oxford Economics'!$A$7:$AZ$1000,0,IFERROR(MATCH(N$5,'Oxford Economics'!$A$6:$AZ$6,0),MATCH(N$5&amp;"",'Oxford Economics'!$A$6:$AZ$6,0))),'Oxford Economics'!$A$7:$A$1000,$C13,'Oxford Economics'!$B$7:$B$1000,Settings!$B$29)-SUMIFS(INDEX('Oxford Economics'!$A$7:$AZ$1000,0,IFERROR(MATCH(N$5,'Oxford Economics'!$A$6:$AZ$6,0),MATCH(N$5&amp;"",'Oxford Economics'!$A$6:$AZ$6,0))),'Oxford Economics'!$A$7:$A$1000,$C13,'Oxford Economics'!$B$7:$B$1000,Settings!$B$30)),(SUMIFS(INDEX('Oxford Economics'!$A$7:$AZ$1000,0,IFERROR(MATCH(N$5,'Oxford Economics'!$A$6:$AZ$6,0),MATCH(N$5&amp;"",'Oxford Economics'!$A$6:$AZ$6,0))),'Oxford Economics'!$A$7:$A$1000,$C13,'Oxford Economics'!$B$7:$B$1000,Settings!$B$30)+SUMIFS(INDEX('Oxford Economics'!$A$7:$AZ$1000,0,IFERROR(MATCH(N$5,'Oxford Economics'!$A$6:$AZ$6,0),MATCH(N$5&amp;"",'Oxford Economics'!$A$6:$AZ$6,0))),'Oxford Economics'!$A$7:$A$1000,$C13,'Oxford Economics'!$B$7:$B$1000,Settings!$B$31)))),""))</f>
        <v>28415.94</v>
      </c>
      <c r="O13" s="41" t="n">
        <f aca="false">IF($A13="","",IFERROR(1/(1/IF($B13="Residential",(SUMIFS(INDEX('Oxford Economics'!$A$7:$AZ$1000,0,IFERROR(MATCH(O$5,'Oxford Economics'!$A$6:$AZ$6,0),MATCH(O$5&amp;"",'Oxford Economics'!$A$6:$AZ$6,0))),'Oxford Economics'!$A$7:$A$1000,$C13,'Oxford Economics'!$B$7:$B$1000,Settings!$B$29)-SUMIFS(INDEX('Oxford Economics'!$A$7:$AZ$1000,0,IFERROR(MATCH(O$5,'Oxford Economics'!$A$6:$AZ$6,0),MATCH(O$5&amp;"",'Oxford Economics'!$A$6:$AZ$6,0))),'Oxford Economics'!$A$7:$A$1000,$C13,'Oxford Economics'!$B$7:$B$1000,Settings!$B$30)),(SUMIFS(INDEX('Oxford Economics'!$A$7:$AZ$1000,0,IFERROR(MATCH(O$5,'Oxford Economics'!$A$6:$AZ$6,0),MATCH(O$5&amp;"",'Oxford Economics'!$A$6:$AZ$6,0))),'Oxford Economics'!$A$7:$A$1000,$C13,'Oxford Economics'!$B$7:$B$1000,Settings!$B$30)+SUMIFS(INDEX('Oxford Economics'!$A$7:$AZ$1000,0,IFERROR(MATCH(O$5,'Oxford Economics'!$A$6:$AZ$6,0),MATCH(O$5&amp;"",'Oxford Economics'!$A$6:$AZ$6,0))),'Oxford Economics'!$A$7:$A$1000,$C13,'Oxford Economics'!$B$7:$B$1000,Settings!$B$31)))),""))</f>
        <v>29067.95</v>
      </c>
    </row>
    <row r="14" customFormat="false" ht="15" hidden="false" customHeight="false" outlineLevel="0" collapsed="false">
      <c r="A14" s="40" t="str">
        <f aca="false">IF('Raw data'!$A14="","",'Raw data'!$A14)</f>
        <v>Sweden</v>
      </c>
      <c r="B14" s="40" t="str">
        <f aca="false">IF($A14="","",'Raw data'!$C14)</f>
        <v>Residential</v>
      </c>
      <c r="C14" s="40" t="str">
        <f aca="false">IF($A14="","",IF('Raw data'!$D14="",$A14,'Raw data'!$D14))</f>
        <v>Sweden</v>
      </c>
      <c r="D14" s="41" t="str">
        <f aca="false">IF($A14="","",IFERROR(1/(1/IF($B14="Residential",(SUMIFS(INDEX('Oxford Economics'!$A$7:$AZ$1000,0,IFERROR(MATCH(D$5,'Oxford Economics'!$A$6:$AZ$6,0),MATCH(D$5&amp;"",'Oxford Economics'!$A$6:$AZ$6,0))),'Oxford Economics'!$A$7:$A$1000,$C14,'Oxford Economics'!$B$7:$B$1000,Settings!$B$29)-SUMIFS(INDEX('Oxford Economics'!$A$7:$AZ$1000,0,IFERROR(MATCH(D$5,'Oxford Economics'!$A$6:$AZ$6,0),MATCH(D$5&amp;"",'Oxford Economics'!$A$6:$AZ$6,0))),'Oxford Economics'!$A$7:$A$1000,$C14,'Oxford Economics'!$B$7:$B$1000,Settings!$B$30)),(SUMIFS(INDEX('Oxford Economics'!$A$7:$AZ$1000,0,IFERROR(MATCH(D$5,'Oxford Economics'!$A$6:$AZ$6,0),MATCH(D$5&amp;"",'Oxford Economics'!$A$6:$AZ$6,0))),'Oxford Economics'!$A$7:$A$1000,$C14,'Oxford Economics'!$B$7:$B$1000,Settings!$B$30)+SUMIFS(INDEX('Oxford Economics'!$A$7:$AZ$1000,0,IFERROR(MATCH(D$5,'Oxford Economics'!$A$6:$AZ$6,0),MATCH(D$5&amp;"",'Oxford Economics'!$A$6:$AZ$6,0))),'Oxford Economics'!$A$7:$A$1000,$C14,'Oxford Economics'!$B$7:$B$1000,Settings!$B$31)))),""))</f>
        <v/>
      </c>
      <c r="E14" s="41" t="str">
        <f aca="false">IF($A14="","",IFERROR(1/(1/IF($B14="Residential",(SUMIFS(INDEX('Oxford Economics'!$A$7:$AZ$1000,0,IFERROR(MATCH(E$5,'Oxford Economics'!$A$6:$AZ$6,0),MATCH(E$5&amp;"",'Oxford Economics'!$A$6:$AZ$6,0))),'Oxford Economics'!$A$7:$A$1000,$C14,'Oxford Economics'!$B$7:$B$1000,Settings!$B$29)-SUMIFS(INDEX('Oxford Economics'!$A$7:$AZ$1000,0,IFERROR(MATCH(E$5,'Oxford Economics'!$A$6:$AZ$6,0),MATCH(E$5&amp;"",'Oxford Economics'!$A$6:$AZ$6,0))),'Oxford Economics'!$A$7:$A$1000,$C14,'Oxford Economics'!$B$7:$B$1000,Settings!$B$30)),(SUMIFS(INDEX('Oxford Economics'!$A$7:$AZ$1000,0,IFERROR(MATCH(E$5,'Oxford Economics'!$A$6:$AZ$6,0),MATCH(E$5&amp;"",'Oxford Economics'!$A$6:$AZ$6,0))),'Oxford Economics'!$A$7:$A$1000,$C14,'Oxford Economics'!$B$7:$B$1000,Settings!$B$30)+SUMIFS(INDEX('Oxford Economics'!$A$7:$AZ$1000,0,IFERROR(MATCH(E$5,'Oxford Economics'!$A$6:$AZ$6,0),MATCH(E$5&amp;"",'Oxford Economics'!$A$6:$AZ$6,0))),'Oxford Economics'!$A$7:$A$1000,$C14,'Oxford Economics'!$B$7:$B$1000,Settings!$B$31)))),""))</f>
        <v/>
      </c>
      <c r="F14" s="41" t="str">
        <f aca="false">IF($A14="","",IFERROR(1/(1/IF($B14="Residential",(SUMIFS(INDEX('Oxford Economics'!$A$7:$AZ$1000,0,IFERROR(MATCH(F$5,'Oxford Economics'!$A$6:$AZ$6,0),MATCH(F$5&amp;"",'Oxford Economics'!$A$6:$AZ$6,0))),'Oxford Economics'!$A$7:$A$1000,$C14,'Oxford Economics'!$B$7:$B$1000,Settings!$B$29)-SUMIFS(INDEX('Oxford Economics'!$A$7:$AZ$1000,0,IFERROR(MATCH(F$5,'Oxford Economics'!$A$6:$AZ$6,0),MATCH(F$5&amp;"",'Oxford Economics'!$A$6:$AZ$6,0))),'Oxford Economics'!$A$7:$A$1000,$C14,'Oxford Economics'!$B$7:$B$1000,Settings!$B$30)),(SUMIFS(INDEX('Oxford Economics'!$A$7:$AZ$1000,0,IFERROR(MATCH(F$5,'Oxford Economics'!$A$6:$AZ$6,0),MATCH(F$5&amp;"",'Oxford Economics'!$A$6:$AZ$6,0))),'Oxford Economics'!$A$7:$A$1000,$C14,'Oxford Economics'!$B$7:$B$1000,Settings!$B$30)+SUMIFS(INDEX('Oxford Economics'!$A$7:$AZ$1000,0,IFERROR(MATCH(F$5,'Oxford Economics'!$A$6:$AZ$6,0),MATCH(F$5&amp;"",'Oxford Economics'!$A$6:$AZ$6,0))),'Oxford Economics'!$A$7:$A$1000,$C14,'Oxford Economics'!$B$7:$B$1000,Settings!$B$31)))),""))</f>
        <v/>
      </c>
      <c r="G14" s="41" t="str">
        <f aca="false">IF($A14="","",IFERROR(1/(1/IF($B14="Residential",(SUMIFS(INDEX('Oxford Economics'!$A$7:$AZ$1000,0,IFERROR(MATCH(G$5,'Oxford Economics'!$A$6:$AZ$6,0),MATCH(G$5&amp;"",'Oxford Economics'!$A$6:$AZ$6,0))),'Oxford Economics'!$A$7:$A$1000,$C14,'Oxford Economics'!$B$7:$B$1000,Settings!$B$29)-SUMIFS(INDEX('Oxford Economics'!$A$7:$AZ$1000,0,IFERROR(MATCH(G$5,'Oxford Economics'!$A$6:$AZ$6,0),MATCH(G$5&amp;"",'Oxford Economics'!$A$6:$AZ$6,0))),'Oxford Economics'!$A$7:$A$1000,$C14,'Oxford Economics'!$B$7:$B$1000,Settings!$B$30)),(SUMIFS(INDEX('Oxford Economics'!$A$7:$AZ$1000,0,IFERROR(MATCH(G$5,'Oxford Economics'!$A$6:$AZ$6,0),MATCH(G$5&amp;"",'Oxford Economics'!$A$6:$AZ$6,0))),'Oxford Economics'!$A$7:$A$1000,$C14,'Oxford Economics'!$B$7:$B$1000,Settings!$B$30)+SUMIFS(INDEX('Oxford Economics'!$A$7:$AZ$1000,0,IFERROR(MATCH(G$5,'Oxford Economics'!$A$6:$AZ$6,0),MATCH(G$5&amp;"",'Oxford Economics'!$A$6:$AZ$6,0))),'Oxford Economics'!$A$7:$A$1000,$C14,'Oxford Economics'!$B$7:$B$1000,Settings!$B$31)))),""))</f>
        <v/>
      </c>
      <c r="H14" s="41" t="n">
        <f aca="false">IF($A14="","",IFERROR(1/(1/IF($B14="Residential",(SUMIFS(INDEX('Oxford Economics'!$A$7:$AZ$1000,0,IFERROR(MATCH(H$5,'Oxford Economics'!$A$6:$AZ$6,0),MATCH(H$5&amp;"",'Oxford Economics'!$A$6:$AZ$6,0))),'Oxford Economics'!$A$7:$A$1000,$C14,'Oxford Economics'!$B$7:$B$1000,Settings!$B$29)-SUMIFS(INDEX('Oxford Economics'!$A$7:$AZ$1000,0,IFERROR(MATCH(H$5,'Oxford Economics'!$A$6:$AZ$6,0),MATCH(H$5&amp;"",'Oxford Economics'!$A$6:$AZ$6,0))),'Oxford Economics'!$A$7:$A$1000,$C14,'Oxford Economics'!$B$7:$B$1000,Settings!$B$30)),(SUMIFS(INDEX('Oxford Economics'!$A$7:$AZ$1000,0,IFERROR(MATCH(H$5,'Oxford Economics'!$A$6:$AZ$6,0),MATCH(H$5&amp;"",'Oxford Economics'!$A$6:$AZ$6,0))),'Oxford Economics'!$A$7:$A$1000,$C14,'Oxford Economics'!$B$7:$B$1000,Settings!$B$30)+SUMIFS(INDEX('Oxford Economics'!$A$7:$AZ$1000,0,IFERROR(MATCH(H$5,'Oxford Economics'!$A$6:$AZ$6,0),MATCH(H$5&amp;"",'Oxford Economics'!$A$6:$AZ$6,0))),'Oxford Economics'!$A$7:$A$1000,$C14,'Oxford Economics'!$B$7:$B$1000,Settings!$B$31)))),""))</f>
        <v>8634.45</v>
      </c>
      <c r="I14" s="41" t="n">
        <f aca="false">IF($A14="","",IFERROR(1/(1/IF($B14="Residential",(SUMIFS(INDEX('Oxford Economics'!$A$7:$AZ$1000,0,IFERROR(MATCH(I$5,'Oxford Economics'!$A$6:$AZ$6,0),MATCH(I$5&amp;"",'Oxford Economics'!$A$6:$AZ$6,0))),'Oxford Economics'!$A$7:$A$1000,$C14,'Oxford Economics'!$B$7:$B$1000,Settings!$B$29)-SUMIFS(INDEX('Oxford Economics'!$A$7:$AZ$1000,0,IFERROR(MATCH(I$5,'Oxford Economics'!$A$6:$AZ$6,0),MATCH(I$5&amp;"",'Oxford Economics'!$A$6:$AZ$6,0))),'Oxford Economics'!$A$7:$A$1000,$C14,'Oxford Economics'!$B$7:$B$1000,Settings!$B$30)),(SUMIFS(INDEX('Oxford Economics'!$A$7:$AZ$1000,0,IFERROR(MATCH(I$5,'Oxford Economics'!$A$6:$AZ$6,0),MATCH(I$5&amp;"",'Oxford Economics'!$A$6:$AZ$6,0))),'Oxford Economics'!$A$7:$A$1000,$C14,'Oxford Economics'!$B$7:$B$1000,Settings!$B$30)+SUMIFS(INDEX('Oxford Economics'!$A$7:$AZ$1000,0,IFERROR(MATCH(I$5,'Oxford Economics'!$A$6:$AZ$6,0),MATCH(I$5&amp;"",'Oxford Economics'!$A$6:$AZ$6,0))),'Oxford Economics'!$A$7:$A$1000,$C14,'Oxford Economics'!$B$7:$B$1000,Settings!$B$31)))),""))</f>
        <v>8363.87</v>
      </c>
      <c r="J14" s="41" t="n">
        <f aca="false">IF($A14="","",IFERROR(1/(1/IF($B14="Residential",(SUMIFS(INDEX('Oxford Economics'!$A$7:$AZ$1000,0,IFERROR(MATCH(J$5,'Oxford Economics'!$A$6:$AZ$6,0),MATCH(J$5&amp;"",'Oxford Economics'!$A$6:$AZ$6,0))),'Oxford Economics'!$A$7:$A$1000,$C14,'Oxford Economics'!$B$7:$B$1000,Settings!$B$29)-SUMIFS(INDEX('Oxford Economics'!$A$7:$AZ$1000,0,IFERROR(MATCH(J$5,'Oxford Economics'!$A$6:$AZ$6,0),MATCH(J$5&amp;"",'Oxford Economics'!$A$6:$AZ$6,0))),'Oxford Economics'!$A$7:$A$1000,$C14,'Oxford Economics'!$B$7:$B$1000,Settings!$B$30)),(SUMIFS(INDEX('Oxford Economics'!$A$7:$AZ$1000,0,IFERROR(MATCH(J$5,'Oxford Economics'!$A$6:$AZ$6,0),MATCH(J$5&amp;"",'Oxford Economics'!$A$6:$AZ$6,0))),'Oxford Economics'!$A$7:$A$1000,$C14,'Oxford Economics'!$B$7:$B$1000,Settings!$B$30)+SUMIFS(INDEX('Oxford Economics'!$A$7:$AZ$1000,0,IFERROR(MATCH(J$5,'Oxford Economics'!$A$6:$AZ$6,0),MATCH(J$5&amp;"",'Oxford Economics'!$A$6:$AZ$6,0))),'Oxford Economics'!$A$7:$A$1000,$C14,'Oxford Economics'!$B$7:$B$1000,Settings!$B$31)))),""))</f>
        <v>8535.62</v>
      </c>
      <c r="K14" s="41" t="n">
        <f aca="false">IF($A14="","",IFERROR(1/(1/IF($B14="Residential",(SUMIFS(INDEX('Oxford Economics'!$A$7:$AZ$1000,0,IFERROR(MATCH(K$5,'Oxford Economics'!$A$6:$AZ$6,0),MATCH(K$5&amp;"",'Oxford Economics'!$A$6:$AZ$6,0))),'Oxford Economics'!$A$7:$A$1000,$C14,'Oxford Economics'!$B$7:$B$1000,Settings!$B$29)-SUMIFS(INDEX('Oxford Economics'!$A$7:$AZ$1000,0,IFERROR(MATCH(K$5,'Oxford Economics'!$A$6:$AZ$6,0),MATCH(K$5&amp;"",'Oxford Economics'!$A$6:$AZ$6,0))),'Oxford Economics'!$A$7:$A$1000,$C14,'Oxford Economics'!$B$7:$B$1000,Settings!$B$30)),(SUMIFS(INDEX('Oxford Economics'!$A$7:$AZ$1000,0,IFERROR(MATCH(K$5,'Oxford Economics'!$A$6:$AZ$6,0),MATCH(K$5&amp;"",'Oxford Economics'!$A$6:$AZ$6,0))),'Oxford Economics'!$A$7:$A$1000,$C14,'Oxford Economics'!$B$7:$B$1000,Settings!$B$30)+SUMIFS(INDEX('Oxford Economics'!$A$7:$AZ$1000,0,IFERROR(MATCH(K$5,'Oxford Economics'!$A$6:$AZ$6,0),MATCH(K$5&amp;"",'Oxford Economics'!$A$6:$AZ$6,0))),'Oxford Economics'!$A$7:$A$1000,$C14,'Oxford Economics'!$B$7:$B$1000,Settings!$B$31)))),""))</f>
        <v>8896.12</v>
      </c>
      <c r="L14" s="41" t="n">
        <f aca="false">IF($A14="","",IFERROR(1/(1/IF($B14="Residential",(SUMIFS(INDEX('Oxford Economics'!$A$7:$AZ$1000,0,IFERROR(MATCH(L$5,'Oxford Economics'!$A$6:$AZ$6,0),MATCH(L$5&amp;"",'Oxford Economics'!$A$6:$AZ$6,0))),'Oxford Economics'!$A$7:$A$1000,$C14,'Oxford Economics'!$B$7:$B$1000,Settings!$B$29)-SUMIFS(INDEX('Oxford Economics'!$A$7:$AZ$1000,0,IFERROR(MATCH(L$5,'Oxford Economics'!$A$6:$AZ$6,0),MATCH(L$5&amp;"",'Oxford Economics'!$A$6:$AZ$6,0))),'Oxford Economics'!$A$7:$A$1000,$C14,'Oxford Economics'!$B$7:$B$1000,Settings!$B$30)),(SUMIFS(INDEX('Oxford Economics'!$A$7:$AZ$1000,0,IFERROR(MATCH(L$5,'Oxford Economics'!$A$6:$AZ$6,0),MATCH(L$5&amp;"",'Oxford Economics'!$A$6:$AZ$6,0))),'Oxford Economics'!$A$7:$A$1000,$C14,'Oxford Economics'!$B$7:$B$1000,Settings!$B$30)+SUMIFS(INDEX('Oxford Economics'!$A$7:$AZ$1000,0,IFERROR(MATCH(L$5,'Oxford Economics'!$A$6:$AZ$6,0),MATCH(L$5&amp;"",'Oxford Economics'!$A$6:$AZ$6,0))),'Oxford Economics'!$A$7:$A$1000,$C14,'Oxford Economics'!$B$7:$B$1000,Settings!$B$31)))),""))</f>
        <v>9099.96</v>
      </c>
      <c r="M14" s="41" t="n">
        <f aca="false">IF($A14="","",IFERROR(1/(1/IF($B14="Residential",(SUMIFS(INDEX('Oxford Economics'!$A$7:$AZ$1000,0,IFERROR(MATCH(M$5,'Oxford Economics'!$A$6:$AZ$6,0),MATCH(M$5&amp;"",'Oxford Economics'!$A$6:$AZ$6,0))),'Oxford Economics'!$A$7:$A$1000,$C14,'Oxford Economics'!$B$7:$B$1000,Settings!$B$29)-SUMIFS(INDEX('Oxford Economics'!$A$7:$AZ$1000,0,IFERROR(MATCH(M$5,'Oxford Economics'!$A$6:$AZ$6,0),MATCH(M$5&amp;"",'Oxford Economics'!$A$6:$AZ$6,0))),'Oxford Economics'!$A$7:$A$1000,$C14,'Oxford Economics'!$B$7:$B$1000,Settings!$B$30)),(SUMIFS(INDEX('Oxford Economics'!$A$7:$AZ$1000,0,IFERROR(MATCH(M$5,'Oxford Economics'!$A$6:$AZ$6,0),MATCH(M$5&amp;"",'Oxford Economics'!$A$6:$AZ$6,0))),'Oxford Economics'!$A$7:$A$1000,$C14,'Oxford Economics'!$B$7:$B$1000,Settings!$B$30)+SUMIFS(INDEX('Oxford Economics'!$A$7:$AZ$1000,0,IFERROR(MATCH(M$5,'Oxford Economics'!$A$6:$AZ$6,0),MATCH(M$5&amp;"",'Oxford Economics'!$A$6:$AZ$6,0))),'Oxford Economics'!$A$7:$A$1000,$C14,'Oxford Economics'!$B$7:$B$1000,Settings!$B$31)))),""))</f>
        <v>9255.97</v>
      </c>
      <c r="N14" s="41" t="n">
        <f aca="false">IF($A14="","",IFERROR(1/(1/IF($B14="Residential",(SUMIFS(INDEX('Oxford Economics'!$A$7:$AZ$1000,0,IFERROR(MATCH(N$5,'Oxford Economics'!$A$6:$AZ$6,0),MATCH(N$5&amp;"",'Oxford Economics'!$A$6:$AZ$6,0))),'Oxford Economics'!$A$7:$A$1000,$C14,'Oxford Economics'!$B$7:$B$1000,Settings!$B$29)-SUMIFS(INDEX('Oxford Economics'!$A$7:$AZ$1000,0,IFERROR(MATCH(N$5,'Oxford Economics'!$A$6:$AZ$6,0),MATCH(N$5&amp;"",'Oxford Economics'!$A$6:$AZ$6,0))),'Oxford Economics'!$A$7:$A$1000,$C14,'Oxford Economics'!$B$7:$B$1000,Settings!$B$30)),(SUMIFS(INDEX('Oxford Economics'!$A$7:$AZ$1000,0,IFERROR(MATCH(N$5,'Oxford Economics'!$A$6:$AZ$6,0),MATCH(N$5&amp;"",'Oxford Economics'!$A$6:$AZ$6,0))),'Oxford Economics'!$A$7:$A$1000,$C14,'Oxford Economics'!$B$7:$B$1000,Settings!$B$30)+SUMIFS(INDEX('Oxford Economics'!$A$7:$AZ$1000,0,IFERROR(MATCH(N$5,'Oxford Economics'!$A$6:$AZ$6,0),MATCH(N$5&amp;"",'Oxford Economics'!$A$6:$AZ$6,0))),'Oxford Economics'!$A$7:$A$1000,$C14,'Oxford Economics'!$B$7:$B$1000,Settings!$B$31)))),""))</f>
        <v>9521.87</v>
      </c>
      <c r="O14" s="41" t="n">
        <f aca="false">IF($A14="","",IFERROR(1/(1/IF($B14="Residential",(SUMIFS(INDEX('Oxford Economics'!$A$7:$AZ$1000,0,IFERROR(MATCH(O$5,'Oxford Economics'!$A$6:$AZ$6,0),MATCH(O$5&amp;"",'Oxford Economics'!$A$6:$AZ$6,0))),'Oxford Economics'!$A$7:$A$1000,$C14,'Oxford Economics'!$B$7:$B$1000,Settings!$B$29)-SUMIFS(INDEX('Oxford Economics'!$A$7:$AZ$1000,0,IFERROR(MATCH(O$5,'Oxford Economics'!$A$6:$AZ$6,0),MATCH(O$5&amp;"",'Oxford Economics'!$A$6:$AZ$6,0))),'Oxford Economics'!$A$7:$A$1000,$C14,'Oxford Economics'!$B$7:$B$1000,Settings!$B$30)),(SUMIFS(INDEX('Oxford Economics'!$A$7:$AZ$1000,0,IFERROR(MATCH(O$5,'Oxford Economics'!$A$6:$AZ$6,0),MATCH(O$5&amp;"",'Oxford Economics'!$A$6:$AZ$6,0))),'Oxford Economics'!$A$7:$A$1000,$C14,'Oxford Economics'!$B$7:$B$1000,Settings!$B$30)+SUMIFS(INDEX('Oxford Economics'!$A$7:$AZ$1000,0,IFERROR(MATCH(O$5,'Oxford Economics'!$A$6:$AZ$6,0),MATCH(O$5&amp;"",'Oxford Economics'!$A$6:$AZ$6,0))),'Oxford Economics'!$A$7:$A$1000,$C14,'Oxford Economics'!$B$7:$B$1000,Settings!$B$31)))),""))</f>
        <v>9690.43</v>
      </c>
    </row>
    <row r="15" customFormat="false" ht="15" hidden="false" customHeight="false" outlineLevel="0" collapsed="false">
      <c r="A15" s="40" t="str">
        <f aca="false">IF('Raw data'!$A15="","",'Raw data'!$A15)</f>
        <v>Sweden</v>
      </c>
      <c r="B15" s="40" t="str">
        <f aca="false">IF($A15="","",'Raw data'!$C15)</f>
        <v>Non-residential</v>
      </c>
      <c r="C15" s="40" t="str">
        <f aca="false">IF($A15="","",IF('Raw data'!$D15="",$A15,'Raw data'!$D15))</f>
        <v>Sweden</v>
      </c>
      <c r="D15" s="41" t="str">
        <f aca="false">IF($A15="","",IFERROR(1/(1/IF($B15="Residential",(SUMIFS(INDEX('Oxford Economics'!$A$7:$AZ$1000,0,IFERROR(MATCH(D$5,'Oxford Economics'!$A$6:$AZ$6,0),MATCH(D$5&amp;"",'Oxford Economics'!$A$6:$AZ$6,0))),'Oxford Economics'!$A$7:$A$1000,$C15,'Oxford Economics'!$B$7:$B$1000,Settings!$B$29)-SUMIFS(INDEX('Oxford Economics'!$A$7:$AZ$1000,0,IFERROR(MATCH(D$5,'Oxford Economics'!$A$6:$AZ$6,0),MATCH(D$5&amp;"",'Oxford Economics'!$A$6:$AZ$6,0))),'Oxford Economics'!$A$7:$A$1000,$C15,'Oxford Economics'!$B$7:$B$1000,Settings!$B$30)),(SUMIFS(INDEX('Oxford Economics'!$A$7:$AZ$1000,0,IFERROR(MATCH(D$5,'Oxford Economics'!$A$6:$AZ$6,0),MATCH(D$5&amp;"",'Oxford Economics'!$A$6:$AZ$6,0))),'Oxford Economics'!$A$7:$A$1000,$C15,'Oxford Economics'!$B$7:$B$1000,Settings!$B$30)+SUMIFS(INDEX('Oxford Economics'!$A$7:$AZ$1000,0,IFERROR(MATCH(D$5,'Oxford Economics'!$A$6:$AZ$6,0),MATCH(D$5&amp;"",'Oxford Economics'!$A$6:$AZ$6,0))),'Oxford Economics'!$A$7:$A$1000,$C15,'Oxford Economics'!$B$7:$B$1000,Settings!$B$31)))),""))</f>
        <v/>
      </c>
      <c r="E15" s="41" t="str">
        <f aca="false">IF($A15="","",IFERROR(1/(1/IF($B15="Residential",(SUMIFS(INDEX('Oxford Economics'!$A$7:$AZ$1000,0,IFERROR(MATCH(E$5,'Oxford Economics'!$A$6:$AZ$6,0),MATCH(E$5&amp;"",'Oxford Economics'!$A$6:$AZ$6,0))),'Oxford Economics'!$A$7:$A$1000,$C15,'Oxford Economics'!$B$7:$B$1000,Settings!$B$29)-SUMIFS(INDEX('Oxford Economics'!$A$7:$AZ$1000,0,IFERROR(MATCH(E$5,'Oxford Economics'!$A$6:$AZ$6,0),MATCH(E$5&amp;"",'Oxford Economics'!$A$6:$AZ$6,0))),'Oxford Economics'!$A$7:$A$1000,$C15,'Oxford Economics'!$B$7:$B$1000,Settings!$B$30)),(SUMIFS(INDEX('Oxford Economics'!$A$7:$AZ$1000,0,IFERROR(MATCH(E$5,'Oxford Economics'!$A$6:$AZ$6,0),MATCH(E$5&amp;"",'Oxford Economics'!$A$6:$AZ$6,0))),'Oxford Economics'!$A$7:$A$1000,$C15,'Oxford Economics'!$B$7:$B$1000,Settings!$B$30)+SUMIFS(INDEX('Oxford Economics'!$A$7:$AZ$1000,0,IFERROR(MATCH(E$5,'Oxford Economics'!$A$6:$AZ$6,0),MATCH(E$5&amp;"",'Oxford Economics'!$A$6:$AZ$6,0))),'Oxford Economics'!$A$7:$A$1000,$C15,'Oxford Economics'!$B$7:$B$1000,Settings!$B$31)))),""))</f>
        <v/>
      </c>
      <c r="F15" s="41" t="str">
        <f aca="false">IF($A15="","",IFERROR(1/(1/IF($B15="Residential",(SUMIFS(INDEX('Oxford Economics'!$A$7:$AZ$1000,0,IFERROR(MATCH(F$5,'Oxford Economics'!$A$6:$AZ$6,0),MATCH(F$5&amp;"",'Oxford Economics'!$A$6:$AZ$6,0))),'Oxford Economics'!$A$7:$A$1000,$C15,'Oxford Economics'!$B$7:$B$1000,Settings!$B$29)-SUMIFS(INDEX('Oxford Economics'!$A$7:$AZ$1000,0,IFERROR(MATCH(F$5,'Oxford Economics'!$A$6:$AZ$6,0),MATCH(F$5&amp;"",'Oxford Economics'!$A$6:$AZ$6,0))),'Oxford Economics'!$A$7:$A$1000,$C15,'Oxford Economics'!$B$7:$B$1000,Settings!$B$30)),(SUMIFS(INDEX('Oxford Economics'!$A$7:$AZ$1000,0,IFERROR(MATCH(F$5,'Oxford Economics'!$A$6:$AZ$6,0),MATCH(F$5&amp;"",'Oxford Economics'!$A$6:$AZ$6,0))),'Oxford Economics'!$A$7:$A$1000,$C15,'Oxford Economics'!$B$7:$B$1000,Settings!$B$30)+SUMIFS(INDEX('Oxford Economics'!$A$7:$AZ$1000,0,IFERROR(MATCH(F$5,'Oxford Economics'!$A$6:$AZ$6,0),MATCH(F$5&amp;"",'Oxford Economics'!$A$6:$AZ$6,0))),'Oxford Economics'!$A$7:$A$1000,$C15,'Oxford Economics'!$B$7:$B$1000,Settings!$B$31)))),""))</f>
        <v/>
      </c>
      <c r="G15" s="41" t="str">
        <f aca="false">IF($A15="","",IFERROR(1/(1/IF($B15="Residential",(SUMIFS(INDEX('Oxford Economics'!$A$7:$AZ$1000,0,IFERROR(MATCH(G$5,'Oxford Economics'!$A$6:$AZ$6,0),MATCH(G$5&amp;"",'Oxford Economics'!$A$6:$AZ$6,0))),'Oxford Economics'!$A$7:$A$1000,$C15,'Oxford Economics'!$B$7:$B$1000,Settings!$B$29)-SUMIFS(INDEX('Oxford Economics'!$A$7:$AZ$1000,0,IFERROR(MATCH(G$5,'Oxford Economics'!$A$6:$AZ$6,0),MATCH(G$5&amp;"",'Oxford Economics'!$A$6:$AZ$6,0))),'Oxford Economics'!$A$7:$A$1000,$C15,'Oxford Economics'!$B$7:$B$1000,Settings!$B$30)),(SUMIFS(INDEX('Oxford Economics'!$A$7:$AZ$1000,0,IFERROR(MATCH(G$5,'Oxford Economics'!$A$6:$AZ$6,0),MATCH(G$5&amp;"",'Oxford Economics'!$A$6:$AZ$6,0))),'Oxford Economics'!$A$7:$A$1000,$C15,'Oxford Economics'!$B$7:$B$1000,Settings!$B$30)+SUMIFS(INDEX('Oxford Economics'!$A$7:$AZ$1000,0,IFERROR(MATCH(G$5,'Oxford Economics'!$A$6:$AZ$6,0),MATCH(G$5&amp;"",'Oxford Economics'!$A$6:$AZ$6,0))),'Oxford Economics'!$A$7:$A$1000,$C15,'Oxford Economics'!$B$7:$B$1000,Settings!$B$31)))),""))</f>
        <v/>
      </c>
      <c r="H15" s="41" t="n">
        <f aca="false">IF($A15="","",IFERROR(1/(1/IF($B15="Residential",(SUMIFS(INDEX('Oxford Economics'!$A$7:$AZ$1000,0,IFERROR(MATCH(H$5,'Oxford Economics'!$A$6:$AZ$6,0),MATCH(H$5&amp;"",'Oxford Economics'!$A$6:$AZ$6,0))),'Oxford Economics'!$A$7:$A$1000,$C15,'Oxford Economics'!$B$7:$B$1000,Settings!$B$29)-SUMIFS(INDEX('Oxford Economics'!$A$7:$AZ$1000,0,IFERROR(MATCH(H$5,'Oxford Economics'!$A$6:$AZ$6,0),MATCH(H$5&amp;"",'Oxford Economics'!$A$6:$AZ$6,0))),'Oxford Economics'!$A$7:$A$1000,$C15,'Oxford Economics'!$B$7:$B$1000,Settings!$B$30)),(SUMIFS(INDEX('Oxford Economics'!$A$7:$AZ$1000,0,IFERROR(MATCH(H$5,'Oxford Economics'!$A$6:$AZ$6,0),MATCH(H$5&amp;"",'Oxford Economics'!$A$6:$AZ$6,0))),'Oxford Economics'!$A$7:$A$1000,$C15,'Oxford Economics'!$B$7:$B$1000,Settings!$B$30)+SUMIFS(INDEX('Oxford Economics'!$A$7:$AZ$1000,0,IFERROR(MATCH(H$5,'Oxford Economics'!$A$6:$AZ$6,0),MATCH(H$5&amp;"",'Oxford Economics'!$A$6:$AZ$6,0))),'Oxford Economics'!$A$7:$A$1000,$C15,'Oxford Economics'!$B$7:$B$1000,Settings!$B$31)))),""))</f>
        <v>17652.07</v>
      </c>
      <c r="I15" s="41" t="n">
        <f aca="false">IF($A15="","",IFERROR(1/(1/IF($B15="Residential",(SUMIFS(INDEX('Oxford Economics'!$A$7:$AZ$1000,0,IFERROR(MATCH(I$5,'Oxford Economics'!$A$6:$AZ$6,0),MATCH(I$5&amp;"",'Oxford Economics'!$A$6:$AZ$6,0))),'Oxford Economics'!$A$7:$A$1000,$C15,'Oxford Economics'!$B$7:$B$1000,Settings!$B$29)-SUMIFS(INDEX('Oxford Economics'!$A$7:$AZ$1000,0,IFERROR(MATCH(I$5,'Oxford Economics'!$A$6:$AZ$6,0),MATCH(I$5&amp;"",'Oxford Economics'!$A$6:$AZ$6,0))),'Oxford Economics'!$A$7:$A$1000,$C15,'Oxford Economics'!$B$7:$B$1000,Settings!$B$30)),(SUMIFS(INDEX('Oxford Economics'!$A$7:$AZ$1000,0,IFERROR(MATCH(I$5,'Oxford Economics'!$A$6:$AZ$6,0),MATCH(I$5&amp;"",'Oxford Economics'!$A$6:$AZ$6,0))),'Oxford Economics'!$A$7:$A$1000,$C15,'Oxford Economics'!$B$7:$B$1000,Settings!$B$30)+SUMIFS(INDEX('Oxford Economics'!$A$7:$AZ$1000,0,IFERROR(MATCH(I$5,'Oxford Economics'!$A$6:$AZ$6,0),MATCH(I$5&amp;"",'Oxford Economics'!$A$6:$AZ$6,0))),'Oxford Economics'!$A$7:$A$1000,$C15,'Oxford Economics'!$B$7:$B$1000,Settings!$B$31)))),""))</f>
        <v>16933.11</v>
      </c>
      <c r="J15" s="41" t="n">
        <f aca="false">IF($A15="","",IFERROR(1/(1/IF($B15="Residential",(SUMIFS(INDEX('Oxford Economics'!$A$7:$AZ$1000,0,IFERROR(MATCH(J$5,'Oxford Economics'!$A$6:$AZ$6,0),MATCH(J$5&amp;"",'Oxford Economics'!$A$6:$AZ$6,0))),'Oxford Economics'!$A$7:$A$1000,$C15,'Oxford Economics'!$B$7:$B$1000,Settings!$B$29)-SUMIFS(INDEX('Oxford Economics'!$A$7:$AZ$1000,0,IFERROR(MATCH(J$5,'Oxford Economics'!$A$6:$AZ$6,0),MATCH(J$5&amp;"",'Oxford Economics'!$A$6:$AZ$6,0))),'Oxford Economics'!$A$7:$A$1000,$C15,'Oxford Economics'!$B$7:$B$1000,Settings!$B$30)),(SUMIFS(INDEX('Oxford Economics'!$A$7:$AZ$1000,0,IFERROR(MATCH(J$5,'Oxford Economics'!$A$6:$AZ$6,0),MATCH(J$5&amp;"",'Oxford Economics'!$A$6:$AZ$6,0))),'Oxford Economics'!$A$7:$A$1000,$C15,'Oxford Economics'!$B$7:$B$1000,Settings!$B$30)+SUMIFS(INDEX('Oxford Economics'!$A$7:$AZ$1000,0,IFERROR(MATCH(J$5,'Oxford Economics'!$A$6:$AZ$6,0),MATCH(J$5&amp;"",'Oxford Economics'!$A$6:$AZ$6,0))),'Oxford Economics'!$A$7:$A$1000,$C15,'Oxford Economics'!$B$7:$B$1000,Settings!$B$31)))),""))</f>
        <v>16822.53</v>
      </c>
      <c r="K15" s="41" t="n">
        <f aca="false">IF($A15="","",IFERROR(1/(1/IF($B15="Residential",(SUMIFS(INDEX('Oxford Economics'!$A$7:$AZ$1000,0,IFERROR(MATCH(K$5,'Oxford Economics'!$A$6:$AZ$6,0),MATCH(K$5&amp;"",'Oxford Economics'!$A$6:$AZ$6,0))),'Oxford Economics'!$A$7:$A$1000,$C15,'Oxford Economics'!$B$7:$B$1000,Settings!$B$29)-SUMIFS(INDEX('Oxford Economics'!$A$7:$AZ$1000,0,IFERROR(MATCH(K$5,'Oxford Economics'!$A$6:$AZ$6,0),MATCH(K$5&amp;"",'Oxford Economics'!$A$6:$AZ$6,0))),'Oxford Economics'!$A$7:$A$1000,$C15,'Oxford Economics'!$B$7:$B$1000,Settings!$B$30)),(SUMIFS(INDEX('Oxford Economics'!$A$7:$AZ$1000,0,IFERROR(MATCH(K$5,'Oxford Economics'!$A$6:$AZ$6,0),MATCH(K$5&amp;"",'Oxford Economics'!$A$6:$AZ$6,0))),'Oxford Economics'!$A$7:$A$1000,$C15,'Oxford Economics'!$B$7:$B$1000,Settings!$B$30)+SUMIFS(INDEX('Oxford Economics'!$A$7:$AZ$1000,0,IFERROR(MATCH(K$5,'Oxford Economics'!$A$6:$AZ$6,0),MATCH(K$5&amp;"",'Oxford Economics'!$A$6:$AZ$6,0))),'Oxford Economics'!$A$7:$A$1000,$C15,'Oxford Economics'!$B$7:$B$1000,Settings!$B$31)))),""))</f>
        <v>17106.48</v>
      </c>
      <c r="L15" s="41" t="n">
        <f aca="false">IF($A15="","",IFERROR(1/(1/IF($B15="Residential",(SUMIFS(INDEX('Oxford Economics'!$A$7:$AZ$1000,0,IFERROR(MATCH(L$5,'Oxford Economics'!$A$6:$AZ$6,0),MATCH(L$5&amp;"",'Oxford Economics'!$A$6:$AZ$6,0))),'Oxford Economics'!$A$7:$A$1000,$C15,'Oxford Economics'!$B$7:$B$1000,Settings!$B$29)-SUMIFS(INDEX('Oxford Economics'!$A$7:$AZ$1000,0,IFERROR(MATCH(L$5,'Oxford Economics'!$A$6:$AZ$6,0),MATCH(L$5&amp;"",'Oxford Economics'!$A$6:$AZ$6,0))),'Oxford Economics'!$A$7:$A$1000,$C15,'Oxford Economics'!$B$7:$B$1000,Settings!$B$30)),(SUMIFS(INDEX('Oxford Economics'!$A$7:$AZ$1000,0,IFERROR(MATCH(L$5,'Oxford Economics'!$A$6:$AZ$6,0),MATCH(L$5&amp;"",'Oxford Economics'!$A$6:$AZ$6,0))),'Oxford Economics'!$A$7:$A$1000,$C15,'Oxford Economics'!$B$7:$B$1000,Settings!$B$30)+SUMIFS(INDEX('Oxford Economics'!$A$7:$AZ$1000,0,IFERROR(MATCH(L$5,'Oxford Economics'!$A$6:$AZ$6,0),MATCH(L$5&amp;"",'Oxford Economics'!$A$6:$AZ$6,0))),'Oxford Economics'!$A$7:$A$1000,$C15,'Oxford Economics'!$B$7:$B$1000,Settings!$B$31)))),""))</f>
        <v>17497.61</v>
      </c>
      <c r="M15" s="41" t="n">
        <f aca="false">IF($A15="","",IFERROR(1/(1/IF($B15="Residential",(SUMIFS(INDEX('Oxford Economics'!$A$7:$AZ$1000,0,IFERROR(MATCH(M$5,'Oxford Economics'!$A$6:$AZ$6,0),MATCH(M$5&amp;"",'Oxford Economics'!$A$6:$AZ$6,0))),'Oxford Economics'!$A$7:$A$1000,$C15,'Oxford Economics'!$B$7:$B$1000,Settings!$B$29)-SUMIFS(INDEX('Oxford Economics'!$A$7:$AZ$1000,0,IFERROR(MATCH(M$5,'Oxford Economics'!$A$6:$AZ$6,0),MATCH(M$5&amp;"",'Oxford Economics'!$A$6:$AZ$6,0))),'Oxford Economics'!$A$7:$A$1000,$C15,'Oxford Economics'!$B$7:$B$1000,Settings!$B$30)),(SUMIFS(INDEX('Oxford Economics'!$A$7:$AZ$1000,0,IFERROR(MATCH(M$5,'Oxford Economics'!$A$6:$AZ$6,0),MATCH(M$5&amp;"",'Oxford Economics'!$A$6:$AZ$6,0))),'Oxford Economics'!$A$7:$A$1000,$C15,'Oxford Economics'!$B$7:$B$1000,Settings!$B$30)+SUMIFS(INDEX('Oxford Economics'!$A$7:$AZ$1000,0,IFERROR(MATCH(M$5,'Oxford Economics'!$A$6:$AZ$6,0),MATCH(M$5&amp;"",'Oxford Economics'!$A$6:$AZ$6,0))),'Oxford Economics'!$A$7:$A$1000,$C15,'Oxford Economics'!$B$7:$B$1000,Settings!$B$31)))),""))</f>
        <v>17916.37</v>
      </c>
      <c r="N15" s="41" t="n">
        <f aca="false">IF($A15="","",IFERROR(1/(1/IF($B15="Residential",(SUMIFS(INDEX('Oxford Economics'!$A$7:$AZ$1000,0,IFERROR(MATCH(N$5,'Oxford Economics'!$A$6:$AZ$6,0),MATCH(N$5&amp;"",'Oxford Economics'!$A$6:$AZ$6,0))),'Oxford Economics'!$A$7:$A$1000,$C15,'Oxford Economics'!$B$7:$B$1000,Settings!$B$29)-SUMIFS(INDEX('Oxford Economics'!$A$7:$AZ$1000,0,IFERROR(MATCH(N$5,'Oxford Economics'!$A$6:$AZ$6,0),MATCH(N$5&amp;"",'Oxford Economics'!$A$6:$AZ$6,0))),'Oxford Economics'!$A$7:$A$1000,$C15,'Oxford Economics'!$B$7:$B$1000,Settings!$B$30)),(SUMIFS(INDEX('Oxford Economics'!$A$7:$AZ$1000,0,IFERROR(MATCH(N$5,'Oxford Economics'!$A$6:$AZ$6,0),MATCH(N$5&amp;"",'Oxford Economics'!$A$6:$AZ$6,0))),'Oxford Economics'!$A$7:$A$1000,$C15,'Oxford Economics'!$B$7:$B$1000,Settings!$B$30)+SUMIFS(INDEX('Oxford Economics'!$A$7:$AZ$1000,0,IFERROR(MATCH(N$5,'Oxford Economics'!$A$6:$AZ$6,0),MATCH(N$5&amp;"",'Oxford Economics'!$A$6:$AZ$6,0))),'Oxford Economics'!$A$7:$A$1000,$C15,'Oxford Economics'!$B$7:$B$1000,Settings!$B$31)))),""))</f>
        <v>18475.21</v>
      </c>
      <c r="O15" s="41" t="n">
        <f aca="false">IF($A15="","",IFERROR(1/(1/IF($B15="Residential",(SUMIFS(INDEX('Oxford Economics'!$A$7:$AZ$1000,0,IFERROR(MATCH(O$5,'Oxford Economics'!$A$6:$AZ$6,0),MATCH(O$5&amp;"",'Oxford Economics'!$A$6:$AZ$6,0))),'Oxford Economics'!$A$7:$A$1000,$C15,'Oxford Economics'!$B$7:$B$1000,Settings!$B$29)-SUMIFS(INDEX('Oxford Economics'!$A$7:$AZ$1000,0,IFERROR(MATCH(O$5,'Oxford Economics'!$A$6:$AZ$6,0),MATCH(O$5&amp;"",'Oxford Economics'!$A$6:$AZ$6,0))),'Oxford Economics'!$A$7:$A$1000,$C15,'Oxford Economics'!$B$7:$B$1000,Settings!$B$30)),(SUMIFS(INDEX('Oxford Economics'!$A$7:$AZ$1000,0,IFERROR(MATCH(O$5,'Oxford Economics'!$A$6:$AZ$6,0),MATCH(O$5&amp;"",'Oxford Economics'!$A$6:$AZ$6,0))),'Oxford Economics'!$A$7:$A$1000,$C15,'Oxford Economics'!$B$7:$B$1000,Settings!$B$30)+SUMIFS(INDEX('Oxford Economics'!$A$7:$AZ$1000,0,IFERROR(MATCH(O$5,'Oxford Economics'!$A$6:$AZ$6,0),MATCH(O$5&amp;"",'Oxford Economics'!$A$6:$AZ$6,0))),'Oxford Economics'!$A$7:$A$1000,$C15,'Oxford Economics'!$B$7:$B$1000,Settings!$B$31)))),""))</f>
        <v>18820.48</v>
      </c>
    </row>
    <row r="16" customFormat="false" ht="15" hidden="false" customHeight="false" outlineLevel="0" collapsed="false">
      <c r="A16" s="40" t="str">
        <f aca="false">IF('Raw data'!$A16="","",'Raw data'!$A16)</f>
        <v>Norway</v>
      </c>
      <c r="B16" s="40" t="str">
        <f aca="false">IF($A16="","",'Raw data'!$C16)</f>
        <v>Residential</v>
      </c>
      <c r="C16" s="40" t="str">
        <f aca="false">IF($A16="","",IF('Raw data'!$D16="",$A16,'Raw data'!$D16))</f>
        <v>Norway</v>
      </c>
      <c r="D16" s="41" t="str">
        <f aca="false">IF($A16="","",IFERROR(1/(1/IF($B16="Residential",(SUMIFS(INDEX('Oxford Economics'!$A$7:$AZ$1000,0,IFERROR(MATCH(D$5,'Oxford Economics'!$A$6:$AZ$6,0),MATCH(D$5&amp;"",'Oxford Economics'!$A$6:$AZ$6,0))),'Oxford Economics'!$A$7:$A$1000,$C16,'Oxford Economics'!$B$7:$B$1000,Settings!$B$29)-SUMIFS(INDEX('Oxford Economics'!$A$7:$AZ$1000,0,IFERROR(MATCH(D$5,'Oxford Economics'!$A$6:$AZ$6,0),MATCH(D$5&amp;"",'Oxford Economics'!$A$6:$AZ$6,0))),'Oxford Economics'!$A$7:$A$1000,$C16,'Oxford Economics'!$B$7:$B$1000,Settings!$B$30)),(SUMIFS(INDEX('Oxford Economics'!$A$7:$AZ$1000,0,IFERROR(MATCH(D$5,'Oxford Economics'!$A$6:$AZ$6,0),MATCH(D$5&amp;"",'Oxford Economics'!$A$6:$AZ$6,0))),'Oxford Economics'!$A$7:$A$1000,$C16,'Oxford Economics'!$B$7:$B$1000,Settings!$B$30)+SUMIFS(INDEX('Oxford Economics'!$A$7:$AZ$1000,0,IFERROR(MATCH(D$5,'Oxford Economics'!$A$6:$AZ$6,0),MATCH(D$5&amp;"",'Oxford Economics'!$A$6:$AZ$6,0))),'Oxford Economics'!$A$7:$A$1000,$C16,'Oxford Economics'!$B$7:$B$1000,Settings!$B$31)))),""))</f>
        <v/>
      </c>
      <c r="E16" s="41" t="str">
        <f aca="false">IF($A16="","",IFERROR(1/(1/IF($B16="Residential",(SUMIFS(INDEX('Oxford Economics'!$A$7:$AZ$1000,0,IFERROR(MATCH(E$5,'Oxford Economics'!$A$6:$AZ$6,0),MATCH(E$5&amp;"",'Oxford Economics'!$A$6:$AZ$6,0))),'Oxford Economics'!$A$7:$A$1000,$C16,'Oxford Economics'!$B$7:$B$1000,Settings!$B$29)-SUMIFS(INDEX('Oxford Economics'!$A$7:$AZ$1000,0,IFERROR(MATCH(E$5,'Oxford Economics'!$A$6:$AZ$6,0),MATCH(E$5&amp;"",'Oxford Economics'!$A$6:$AZ$6,0))),'Oxford Economics'!$A$7:$A$1000,$C16,'Oxford Economics'!$B$7:$B$1000,Settings!$B$30)),(SUMIFS(INDEX('Oxford Economics'!$A$7:$AZ$1000,0,IFERROR(MATCH(E$5,'Oxford Economics'!$A$6:$AZ$6,0),MATCH(E$5&amp;"",'Oxford Economics'!$A$6:$AZ$6,0))),'Oxford Economics'!$A$7:$A$1000,$C16,'Oxford Economics'!$B$7:$B$1000,Settings!$B$30)+SUMIFS(INDEX('Oxford Economics'!$A$7:$AZ$1000,0,IFERROR(MATCH(E$5,'Oxford Economics'!$A$6:$AZ$6,0),MATCH(E$5&amp;"",'Oxford Economics'!$A$6:$AZ$6,0))),'Oxford Economics'!$A$7:$A$1000,$C16,'Oxford Economics'!$B$7:$B$1000,Settings!$B$31)))),""))</f>
        <v/>
      </c>
      <c r="F16" s="41" t="str">
        <f aca="false">IF($A16="","",IFERROR(1/(1/IF($B16="Residential",(SUMIFS(INDEX('Oxford Economics'!$A$7:$AZ$1000,0,IFERROR(MATCH(F$5,'Oxford Economics'!$A$6:$AZ$6,0),MATCH(F$5&amp;"",'Oxford Economics'!$A$6:$AZ$6,0))),'Oxford Economics'!$A$7:$A$1000,$C16,'Oxford Economics'!$B$7:$B$1000,Settings!$B$29)-SUMIFS(INDEX('Oxford Economics'!$A$7:$AZ$1000,0,IFERROR(MATCH(F$5,'Oxford Economics'!$A$6:$AZ$6,0),MATCH(F$5&amp;"",'Oxford Economics'!$A$6:$AZ$6,0))),'Oxford Economics'!$A$7:$A$1000,$C16,'Oxford Economics'!$B$7:$B$1000,Settings!$B$30)),(SUMIFS(INDEX('Oxford Economics'!$A$7:$AZ$1000,0,IFERROR(MATCH(F$5,'Oxford Economics'!$A$6:$AZ$6,0),MATCH(F$5&amp;"",'Oxford Economics'!$A$6:$AZ$6,0))),'Oxford Economics'!$A$7:$A$1000,$C16,'Oxford Economics'!$B$7:$B$1000,Settings!$B$30)+SUMIFS(INDEX('Oxford Economics'!$A$7:$AZ$1000,0,IFERROR(MATCH(F$5,'Oxford Economics'!$A$6:$AZ$6,0),MATCH(F$5&amp;"",'Oxford Economics'!$A$6:$AZ$6,0))),'Oxford Economics'!$A$7:$A$1000,$C16,'Oxford Economics'!$B$7:$B$1000,Settings!$B$31)))),""))</f>
        <v/>
      </c>
      <c r="G16" s="41" t="str">
        <f aca="false">IF($A16="","",IFERROR(1/(1/IF($B16="Residential",(SUMIFS(INDEX('Oxford Economics'!$A$7:$AZ$1000,0,IFERROR(MATCH(G$5,'Oxford Economics'!$A$6:$AZ$6,0),MATCH(G$5&amp;"",'Oxford Economics'!$A$6:$AZ$6,0))),'Oxford Economics'!$A$7:$A$1000,$C16,'Oxford Economics'!$B$7:$B$1000,Settings!$B$29)-SUMIFS(INDEX('Oxford Economics'!$A$7:$AZ$1000,0,IFERROR(MATCH(G$5,'Oxford Economics'!$A$6:$AZ$6,0),MATCH(G$5&amp;"",'Oxford Economics'!$A$6:$AZ$6,0))),'Oxford Economics'!$A$7:$A$1000,$C16,'Oxford Economics'!$B$7:$B$1000,Settings!$B$30)),(SUMIFS(INDEX('Oxford Economics'!$A$7:$AZ$1000,0,IFERROR(MATCH(G$5,'Oxford Economics'!$A$6:$AZ$6,0),MATCH(G$5&amp;"",'Oxford Economics'!$A$6:$AZ$6,0))),'Oxford Economics'!$A$7:$A$1000,$C16,'Oxford Economics'!$B$7:$B$1000,Settings!$B$30)+SUMIFS(INDEX('Oxford Economics'!$A$7:$AZ$1000,0,IFERROR(MATCH(G$5,'Oxford Economics'!$A$6:$AZ$6,0),MATCH(G$5&amp;"",'Oxford Economics'!$A$6:$AZ$6,0))),'Oxford Economics'!$A$7:$A$1000,$C16,'Oxford Economics'!$B$7:$B$1000,Settings!$B$31)))),""))</f>
        <v/>
      </c>
      <c r="H16" s="41" t="n">
        <f aca="false">IF($A16="","",IFERROR(1/(1/IF($B16="Residential",(SUMIFS(INDEX('Oxford Economics'!$A$7:$AZ$1000,0,IFERROR(MATCH(H$5,'Oxford Economics'!$A$6:$AZ$6,0),MATCH(H$5&amp;"",'Oxford Economics'!$A$6:$AZ$6,0))),'Oxford Economics'!$A$7:$A$1000,$C16,'Oxford Economics'!$B$7:$B$1000,Settings!$B$29)-SUMIFS(INDEX('Oxford Economics'!$A$7:$AZ$1000,0,IFERROR(MATCH(H$5,'Oxford Economics'!$A$6:$AZ$6,0),MATCH(H$5&amp;"",'Oxford Economics'!$A$6:$AZ$6,0))),'Oxford Economics'!$A$7:$A$1000,$C16,'Oxford Economics'!$B$7:$B$1000,Settings!$B$30)),(SUMIFS(INDEX('Oxford Economics'!$A$7:$AZ$1000,0,IFERROR(MATCH(H$5,'Oxford Economics'!$A$6:$AZ$6,0),MATCH(H$5&amp;"",'Oxford Economics'!$A$6:$AZ$6,0))),'Oxford Economics'!$A$7:$A$1000,$C16,'Oxford Economics'!$B$7:$B$1000,Settings!$B$30)+SUMIFS(INDEX('Oxford Economics'!$A$7:$AZ$1000,0,IFERROR(MATCH(H$5,'Oxford Economics'!$A$6:$AZ$6,0),MATCH(H$5&amp;"",'Oxford Economics'!$A$6:$AZ$6,0))),'Oxford Economics'!$A$7:$A$1000,$C16,'Oxford Economics'!$B$7:$B$1000,Settings!$B$31)))),""))</f>
        <v>4512.11</v>
      </c>
      <c r="I16" s="41" t="n">
        <f aca="false">IF($A16="","",IFERROR(1/(1/IF($B16="Residential",(SUMIFS(INDEX('Oxford Economics'!$A$7:$AZ$1000,0,IFERROR(MATCH(I$5,'Oxford Economics'!$A$6:$AZ$6,0),MATCH(I$5&amp;"",'Oxford Economics'!$A$6:$AZ$6,0))),'Oxford Economics'!$A$7:$A$1000,$C16,'Oxford Economics'!$B$7:$B$1000,Settings!$B$29)-SUMIFS(INDEX('Oxford Economics'!$A$7:$AZ$1000,0,IFERROR(MATCH(I$5,'Oxford Economics'!$A$6:$AZ$6,0),MATCH(I$5&amp;"",'Oxford Economics'!$A$6:$AZ$6,0))),'Oxford Economics'!$A$7:$A$1000,$C16,'Oxford Economics'!$B$7:$B$1000,Settings!$B$30)),(SUMIFS(INDEX('Oxford Economics'!$A$7:$AZ$1000,0,IFERROR(MATCH(I$5,'Oxford Economics'!$A$6:$AZ$6,0),MATCH(I$5&amp;"",'Oxford Economics'!$A$6:$AZ$6,0))),'Oxford Economics'!$A$7:$A$1000,$C16,'Oxford Economics'!$B$7:$B$1000,Settings!$B$30)+SUMIFS(INDEX('Oxford Economics'!$A$7:$AZ$1000,0,IFERROR(MATCH(I$5,'Oxford Economics'!$A$6:$AZ$6,0),MATCH(I$5&amp;"",'Oxford Economics'!$A$6:$AZ$6,0))),'Oxford Economics'!$A$7:$A$1000,$C16,'Oxford Economics'!$B$7:$B$1000,Settings!$B$31)))),""))</f>
        <v>4324.92</v>
      </c>
      <c r="J16" s="41" t="n">
        <f aca="false">IF($A16="","",IFERROR(1/(1/IF($B16="Residential",(SUMIFS(INDEX('Oxford Economics'!$A$7:$AZ$1000,0,IFERROR(MATCH(J$5,'Oxford Economics'!$A$6:$AZ$6,0),MATCH(J$5&amp;"",'Oxford Economics'!$A$6:$AZ$6,0))),'Oxford Economics'!$A$7:$A$1000,$C16,'Oxford Economics'!$B$7:$B$1000,Settings!$B$29)-SUMIFS(INDEX('Oxford Economics'!$A$7:$AZ$1000,0,IFERROR(MATCH(J$5,'Oxford Economics'!$A$6:$AZ$6,0),MATCH(J$5&amp;"",'Oxford Economics'!$A$6:$AZ$6,0))),'Oxford Economics'!$A$7:$A$1000,$C16,'Oxford Economics'!$B$7:$B$1000,Settings!$B$30)),(SUMIFS(INDEX('Oxford Economics'!$A$7:$AZ$1000,0,IFERROR(MATCH(J$5,'Oxford Economics'!$A$6:$AZ$6,0),MATCH(J$5&amp;"",'Oxford Economics'!$A$6:$AZ$6,0))),'Oxford Economics'!$A$7:$A$1000,$C16,'Oxford Economics'!$B$7:$B$1000,Settings!$B$30)+SUMIFS(INDEX('Oxford Economics'!$A$7:$AZ$1000,0,IFERROR(MATCH(J$5,'Oxford Economics'!$A$6:$AZ$6,0),MATCH(J$5&amp;"",'Oxford Economics'!$A$6:$AZ$6,0))),'Oxford Economics'!$A$7:$A$1000,$C16,'Oxford Economics'!$B$7:$B$1000,Settings!$B$31)))),""))</f>
        <v>4084.4</v>
      </c>
      <c r="K16" s="41" t="n">
        <f aca="false">IF($A16="","",IFERROR(1/(1/IF($B16="Residential",(SUMIFS(INDEX('Oxford Economics'!$A$7:$AZ$1000,0,IFERROR(MATCH(K$5,'Oxford Economics'!$A$6:$AZ$6,0),MATCH(K$5&amp;"",'Oxford Economics'!$A$6:$AZ$6,0))),'Oxford Economics'!$A$7:$A$1000,$C16,'Oxford Economics'!$B$7:$B$1000,Settings!$B$29)-SUMIFS(INDEX('Oxford Economics'!$A$7:$AZ$1000,0,IFERROR(MATCH(K$5,'Oxford Economics'!$A$6:$AZ$6,0),MATCH(K$5&amp;"",'Oxford Economics'!$A$6:$AZ$6,0))),'Oxford Economics'!$A$7:$A$1000,$C16,'Oxford Economics'!$B$7:$B$1000,Settings!$B$30)),(SUMIFS(INDEX('Oxford Economics'!$A$7:$AZ$1000,0,IFERROR(MATCH(K$5,'Oxford Economics'!$A$6:$AZ$6,0),MATCH(K$5&amp;"",'Oxford Economics'!$A$6:$AZ$6,0))),'Oxford Economics'!$A$7:$A$1000,$C16,'Oxford Economics'!$B$7:$B$1000,Settings!$B$30)+SUMIFS(INDEX('Oxford Economics'!$A$7:$AZ$1000,0,IFERROR(MATCH(K$5,'Oxford Economics'!$A$6:$AZ$6,0),MATCH(K$5&amp;"",'Oxford Economics'!$A$6:$AZ$6,0))),'Oxford Economics'!$A$7:$A$1000,$C16,'Oxford Economics'!$B$7:$B$1000,Settings!$B$31)))),""))</f>
        <v>4107.38</v>
      </c>
      <c r="L16" s="41" t="n">
        <f aca="false">IF($A16="","",IFERROR(1/(1/IF($B16="Residential",(SUMIFS(INDEX('Oxford Economics'!$A$7:$AZ$1000,0,IFERROR(MATCH(L$5,'Oxford Economics'!$A$6:$AZ$6,0),MATCH(L$5&amp;"",'Oxford Economics'!$A$6:$AZ$6,0))),'Oxford Economics'!$A$7:$A$1000,$C16,'Oxford Economics'!$B$7:$B$1000,Settings!$B$29)-SUMIFS(INDEX('Oxford Economics'!$A$7:$AZ$1000,0,IFERROR(MATCH(L$5,'Oxford Economics'!$A$6:$AZ$6,0),MATCH(L$5&amp;"",'Oxford Economics'!$A$6:$AZ$6,0))),'Oxford Economics'!$A$7:$A$1000,$C16,'Oxford Economics'!$B$7:$B$1000,Settings!$B$30)),(SUMIFS(INDEX('Oxford Economics'!$A$7:$AZ$1000,0,IFERROR(MATCH(L$5,'Oxford Economics'!$A$6:$AZ$6,0),MATCH(L$5&amp;"",'Oxford Economics'!$A$6:$AZ$6,0))),'Oxford Economics'!$A$7:$A$1000,$C16,'Oxford Economics'!$B$7:$B$1000,Settings!$B$30)+SUMIFS(INDEX('Oxford Economics'!$A$7:$AZ$1000,0,IFERROR(MATCH(L$5,'Oxford Economics'!$A$6:$AZ$6,0),MATCH(L$5&amp;"",'Oxford Economics'!$A$6:$AZ$6,0))),'Oxford Economics'!$A$7:$A$1000,$C16,'Oxford Economics'!$B$7:$B$1000,Settings!$B$31)))),""))</f>
        <v>4322.25</v>
      </c>
      <c r="M16" s="41" t="n">
        <f aca="false">IF($A16="","",IFERROR(1/(1/IF($B16="Residential",(SUMIFS(INDEX('Oxford Economics'!$A$7:$AZ$1000,0,IFERROR(MATCH(M$5,'Oxford Economics'!$A$6:$AZ$6,0),MATCH(M$5&amp;"",'Oxford Economics'!$A$6:$AZ$6,0))),'Oxford Economics'!$A$7:$A$1000,$C16,'Oxford Economics'!$B$7:$B$1000,Settings!$B$29)-SUMIFS(INDEX('Oxford Economics'!$A$7:$AZ$1000,0,IFERROR(MATCH(M$5,'Oxford Economics'!$A$6:$AZ$6,0),MATCH(M$5&amp;"",'Oxford Economics'!$A$6:$AZ$6,0))),'Oxford Economics'!$A$7:$A$1000,$C16,'Oxford Economics'!$B$7:$B$1000,Settings!$B$30)),(SUMIFS(INDEX('Oxford Economics'!$A$7:$AZ$1000,0,IFERROR(MATCH(M$5,'Oxford Economics'!$A$6:$AZ$6,0),MATCH(M$5&amp;"",'Oxford Economics'!$A$6:$AZ$6,0))),'Oxford Economics'!$A$7:$A$1000,$C16,'Oxford Economics'!$B$7:$B$1000,Settings!$B$30)+SUMIFS(INDEX('Oxford Economics'!$A$7:$AZ$1000,0,IFERROR(MATCH(M$5,'Oxford Economics'!$A$6:$AZ$6,0),MATCH(M$5&amp;"",'Oxford Economics'!$A$6:$AZ$6,0))),'Oxford Economics'!$A$7:$A$1000,$C16,'Oxford Economics'!$B$7:$B$1000,Settings!$B$31)))),""))</f>
        <v>4479.47</v>
      </c>
      <c r="N16" s="41" t="n">
        <f aca="false">IF($A16="","",IFERROR(1/(1/IF($B16="Residential",(SUMIFS(INDEX('Oxford Economics'!$A$7:$AZ$1000,0,IFERROR(MATCH(N$5,'Oxford Economics'!$A$6:$AZ$6,0),MATCH(N$5&amp;"",'Oxford Economics'!$A$6:$AZ$6,0))),'Oxford Economics'!$A$7:$A$1000,$C16,'Oxford Economics'!$B$7:$B$1000,Settings!$B$29)-SUMIFS(INDEX('Oxford Economics'!$A$7:$AZ$1000,0,IFERROR(MATCH(N$5,'Oxford Economics'!$A$6:$AZ$6,0),MATCH(N$5&amp;"",'Oxford Economics'!$A$6:$AZ$6,0))),'Oxford Economics'!$A$7:$A$1000,$C16,'Oxford Economics'!$B$7:$B$1000,Settings!$B$30)),(SUMIFS(INDEX('Oxford Economics'!$A$7:$AZ$1000,0,IFERROR(MATCH(N$5,'Oxford Economics'!$A$6:$AZ$6,0),MATCH(N$5&amp;"",'Oxford Economics'!$A$6:$AZ$6,0))),'Oxford Economics'!$A$7:$A$1000,$C16,'Oxford Economics'!$B$7:$B$1000,Settings!$B$30)+SUMIFS(INDEX('Oxford Economics'!$A$7:$AZ$1000,0,IFERROR(MATCH(N$5,'Oxford Economics'!$A$6:$AZ$6,0),MATCH(N$5&amp;"",'Oxford Economics'!$A$6:$AZ$6,0))),'Oxford Economics'!$A$7:$A$1000,$C16,'Oxford Economics'!$B$7:$B$1000,Settings!$B$31)))),""))</f>
        <v>4640.05</v>
      </c>
      <c r="O16" s="41" t="n">
        <f aca="false">IF($A16="","",IFERROR(1/(1/IF($B16="Residential",(SUMIFS(INDEX('Oxford Economics'!$A$7:$AZ$1000,0,IFERROR(MATCH(O$5,'Oxford Economics'!$A$6:$AZ$6,0),MATCH(O$5&amp;"",'Oxford Economics'!$A$6:$AZ$6,0))),'Oxford Economics'!$A$7:$A$1000,$C16,'Oxford Economics'!$B$7:$B$1000,Settings!$B$29)-SUMIFS(INDEX('Oxford Economics'!$A$7:$AZ$1000,0,IFERROR(MATCH(O$5,'Oxford Economics'!$A$6:$AZ$6,0),MATCH(O$5&amp;"",'Oxford Economics'!$A$6:$AZ$6,0))),'Oxford Economics'!$A$7:$A$1000,$C16,'Oxford Economics'!$B$7:$B$1000,Settings!$B$30)),(SUMIFS(INDEX('Oxford Economics'!$A$7:$AZ$1000,0,IFERROR(MATCH(O$5,'Oxford Economics'!$A$6:$AZ$6,0),MATCH(O$5&amp;"",'Oxford Economics'!$A$6:$AZ$6,0))),'Oxford Economics'!$A$7:$A$1000,$C16,'Oxford Economics'!$B$7:$B$1000,Settings!$B$30)+SUMIFS(INDEX('Oxford Economics'!$A$7:$AZ$1000,0,IFERROR(MATCH(O$5,'Oxford Economics'!$A$6:$AZ$6,0),MATCH(O$5&amp;"",'Oxford Economics'!$A$6:$AZ$6,0))),'Oxford Economics'!$A$7:$A$1000,$C16,'Oxford Economics'!$B$7:$B$1000,Settings!$B$31)))),""))</f>
        <v>4703.51</v>
      </c>
    </row>
    <row r="17" customFormat="false" ht="15" hidden="false" customHeight="false" outlineLevel="0" collapsed="false">
      <c r="A17" s="40" t="str">
        <f aca="false">IF('Raw data'!$A17="","",'Raw data'!$A17)</f>
        <v>Norway</v>
      </c>
      <c r="B17" s="40" t="str">
        <f aca="false">IF($A17="","",'Raw data'!$C17)</f>
        <v>Non-residential</v>
      </c>
      <c r="C17" s="40" t="str">
        <f aca="false">IF($A17="","",IF('Raw data'!$D17="",$A17,'Raw data'!$D17))</f>
        <v>Norway</v>
      </c>
      <c r="D17" s="41" t="str">
        <f aca="false">IF($A17="","",IFERROR(1/(1/IF($B17="Residential",(SUMIFS(INDEX('Oxford Economics'!$A$7:$AZ$1000,0,IFERROR(MATCH(D$5,'Oxford Economics'!$A$6:$AZ$6,0),MATCH(D$5&amp;"",'Oxford Economics'!$A$6:$AZ$6,0))),'Oxford Economics'!$A$7:$A$1000,$C17,'Oxford Economics'!$B$7:$B$1000,Settings!$B$29)-SUMIFS(INDEX('Oxford Economics'!$A$7:$AZ$1000,0,IFERROR(MATCH(D$5,'Oxford Economics'!$A$6:$AZ$6,0),MATCH(D$5&amp;"",'Oxford Economics'!$A$6:$AZ$6,0))),'Oxford Economics'!$A$7:$A$1000,$C17,'Oxford Economics'!$B$7:$B$1000,Settings!$B$30)),(SUMIFS(INDEX('Oxford Economics'!$A$7:$AZ$1000,0,IFERROR(MATCH(D$5,'Oxford Economics'!$A$6:$AZ$6,0),MATCH(D$5&amp;"",'Oxford Economics'!$A$6:$AZ$6,0))),'Oxford Economics'!$A$7:$A$1000,$C17,'Oxford Economics'!$B$7:$B$1000,Settings!$B$30)+SUMIFS(INDEX('Oxford Economics'!$A$7:$AZ$1000,0,IFERROR(MATCH(D$5,'Oxford Economics'!$A$6:$AZ$6,0),MATCH(D$5&amp;"",'Oxford Economics'!$A$6:$AZ$6,0))),'Oxford Economics'!$A$7:$A$1000,$C17,'Oxford Economics'!$B$7:$B$1000,Settings!$B$31)))),""))</f>
        <v/>
      </c>
      <c r="E17" s="41" t="str">
        <f aca="false">IF($A17="","",IFERROR(1/(1/IF($B17="Residential",(SUMIFS(INDEX('Oxford Economics'!$A$7:$AZ$1000,0,IFERROR(MATCH(E$5,'Oxford Economics'!$A$6:$AZ$6,0),MATCH(E$5&amp;"",'Oxford Economics'!$A$6:$AZ$6,0))),'Oxford Economics'!$A$7:$A$1000,$C17,'Oxford Economics'!$B$7:$B$1000,Settings!$B$29)-SUMIFS(INDEX('Oxford Economics'!$A$7:$AZ$1000,0,IFERROR(MATCH(E$5,'Oxford Economics'!$A$6:$AZ$6,0),MATCH(E$5&amp;"",'Oxford Economics'!$A$6:$AZ$6,0))),'Oxford Economics'!$A$7:$A$1000,$C17,'Oxford Economics'!$B$7:$B$1000,Settings!$B$30)),(SUMIFS(INDEX('Oxford Economics'!$A$7:$AZ$1000,0,IFERROR(MATCH(E$5,'Oxford Economics'!$A$6:$AZ$6,0),MATCH(E$5&amp;"",'Oxford Economics'!$A$6:$AZ$6,0))),'Oxford Economics'!$A$7:$A$1000,$C17,'Oxford Economics'!$B$7:$B$1000,Settings!$B$30)+SUMIFS(INDEX('Oxford Economics'!$A$7:$AZ$1000,0,IFERROR(MATCH(E$5,'Oxford Economics'!$A$6:$AZ$6,0),MATCH(E$5&amp;"",'Oxford Economics'!$A$6:$AZ$6,0))),'Oxford Economics'!$A$7:$A$1000,$C17,'Oxford Economics'!$B$7:$B$1000,Settings!$B$31)))),""))</f>
        <v/>
      </c>
      <c r="F17" s="41" t="str">
        <f aca="false">IF($A17="","",IFERROR(1/(1/IF($B17="Residential",(SUMIFS(INDEX('Oxford Economics'!$A$7:$AZ$1000,0,IFERROR(MATCH(F$5,'Oxford Economics'!$A$6:$AZ$6,0),MATCH(F$5&amp;"",'Oxford Economics'!$A$6:$AZ$6,0))),'Oxford Economics'!$A$7:$A$1000,$C17,'Oxford Economics'!$B$7:$B$1000,Settings!$B$29)-SUMIFS(INDEX('Oxford Economics'!$A$7:$AZ$1000,0,IFERROR(MATCH(F$5,'Oxford Economics'!$A$6:$AZ$6,0),MATCH(F$5&amp;"",'Oxford Economics'!$A$6:$AZ$6,0))),'Oxford Economics'!$A$7:$A$1000,$C17,'Oxford Economics'!$B$7:$B$1000,Settings!$B$30)),(SUMIFS(INDEX('Oxford Economics'!$A$7:$AZ$1000,0,IFERROR(MATCH(F$5,'Oxford Economics'!$A$6:$AZ$6,0),MATCH(F$5&amp;"",'Oxford Economics'!$A$6:$AZ$6,0))),'Oxford Economics'!$A$7:$A$1000,$C17,'Oxford Economics'!$B$7:$B$1000,Settings!$B$30)+SUMIFS(INDEX('Oxford Economics'!$A$7:$AZ$1000,0,IFERROR(MATCH(F$5,'Oxford Economics'!$A$6:$AZ$6,0),MATCH(F$5&amp;"",'Oxford Economics'!$A$6:$AZ$6,0))),'Oxford Economics'!$A$7:$A$1000,$C17,'Oxford Economics'!$B$7:$B$1000,Settings!$B$31)))),""))</f>
        <v/>
      </c>
      <c r="G17" s="41" t="str">
        <f aca="false">IF($A17="","",IFERROR(1/(1/IF($B17="Residential",(SUMIFS(INDEX('Oxford Economics'!$A$7:$AZ$1000,0,IFERROR(MATCH(G$5,'Oxford Economics'!$A$6:$AZ$6,0),MATCH(G$5&amp;"",'Oxford Economics'!$A$6:$AZ$6,0))),'Oxford Economics'!$A$7:$A$1000,$C17,'Oxford Economics'!$B$7:$B$1000,Settings!$B$29)-SUMIFS(INDEX('Oxford Economics'!$A$7:$AZ$1000,0,IFERROR(MATCH(G$5,'Oxford Economics'!$A$6:$AZ$6,0),MATCH(G$5&amp;"",'Oxford Economics'!$A$6:$AZ$6,0))),'Oxford Economics'!$A$7:$A$1000,$C17,'Oxford Economics'!$B$7:$B$1000,Settings!$B$30)),(SUMIFS(INDEX('Oxford Economics'!$A$7:$AZ$1000,0,IFERROR(MATCH(G$5,'Oxford Economics'!$A$6:$AZ$6,0),MATCH(G$5&amp;"",'Oxford Economics'!$A$6:$AZ$6,0))),'Oxford Economics'!$A$7:$A$1000,$C17,'Oxford Economics'!$B$7:$B$1000,Settings!$B$30)+SUMIFS(INDEX('Oxford Economics'!$A$7:$AZ$1000,0,IFERROR(MATCH(G$5,'Oxford Economics'!$A$6:$AZ$6,0),MATCH(G$5&amp;"",'Oxford Economics'!$A$6:$AZ$6,0))),'Oxford Economics'!$A$7:$A$1000,$C17,'Oxford Economics'!$B$7:$B$1000,Settings!$B$31)))),""))</f>
        <v/>
      </c>
      <c r="H17" s="41" t="n">
        <f aca="false">IF($A17="","",IFERROR(1/(1/IF($B17="Residential",(SUMIFS(INDEX('Oxford Economics'!$A$7:$AZ$1000,0,IFERROR(MATCH(H$5,'Oxford Economics'!$A$6:$AZ$6,0),MATCH(H$5&amp;"",'Oxford Economics'!$A$6:$AZ$6,0))),'Oxford Economics'!$A$7:$A$1000,$C17,'Oxford Economics'!$B$7:$B$1000,Settings!$B$29)-SUMIFS(INDEX('Oxford Economics'!$A$7:$AZ$1000,0,IFERROR(MATCH(H$5,'Oxford Economics'!$A$6:$AZ$6,0),MATCH(H$5&amp;"",'Oxford Economics'!$A$6:$AZ$6,0))),'Oxford Economics'!$A$7:$A$1000,$C17,'Oxford Economics'!$B$7:$B$1000,Settings!$B$30)),(SUMIFS(INDEX('Oxford Economics'!$A$7:$AZ$1000,0,IFERROR(MATCH(H$5,'Oxford Economics'!$A$6:$AZ$6,0),MATCH(H$5&amp;"",'Oxford Economics'!$A$6:$AZ$6,0))),'Oxford Economics'!$A$7:$A$1000,$C17,'Oxford Economics'!$B$7:$B$1000,Settings!$B$30)+SUMIFS(INDEX('Oxford Economics'!$A$7:$AZ$1000,0,IFERROR(MATCH(H$5,'Oxford Economics'!$A$6:$AZ$6,0),MATCH(H$5&amp;"",'Oxford Economics'!$A$6:$AZ$6,0))),'Oxford Economics'!$A$7:$A$1000,$C17,'Oxford Economics'!$B$7:$B$1000,Settings!$B$31)))),""))</f>
        <v>12222.4</v>
      </c>
      <c r="I17" s="41" t="n">
        <f aca="false">IF($A17="","",IFERROR(1/(1/IF($B17="Residential",(SUMIFS(INDEX('Oxford Economics'!$A$7:$AZ$1000,0,IFERROR(MATCH(I$5,'Oxford Economics'!$A$6:$AZ$6,0),MATCH(I$5&amp;"",'Oxford Economics'!$A$6:$AZ$6,0))),'Oxford Economics'!$A$7:$A$1000,$C17,'Oxford Economics'!$B$7:$B$1000,Settings!$B$29)-SUMIFS(INDEX('Oxford Economics'!$A$7:$AZ$1000,0,IFERROR(MATCH(I$5,'Oxford Economics'!$A$6:$AZ$6,0),MATCH(I$5&amp;"",'Oxford Economics'!$A$6:$AZ$6,0))),'Oxford Economics'!$A$7:$A$1000,$C17,'Oxford Economics'!$B$7:$B$1000,Settings!$B$30)),(SUMIFS(INDEX('Oxford Economics'!$A$7:$AZ$1000,0,IFERROR(MATCH(I$5,'Oxford Economics'!$A$6:$AZ$6,0),MATCH(I$5&amp;"",'Oxford Economics'!$A$6:$AZ$6,0))),'Oxford Economics'!$A$7:$A$1000,$C17,'Oxford Economics'!$B$7:$B$1000,Settings!$B$30)+SUMIFS(INDEX('Oxford Economics'!$A$7:$AZ$1000,0,IFERROR(MATCH(I$5,'Oxford Economics'!$A$6:$AZ$6,0),MATCH(I$5&amp;"",'Oxford Economics'!$A$6:$AZ$6,0))),'Oxford Economics'!$A$7:$A$1000,$C17,'Oxford Economics'!$B$7:$B$1000,Settings!$B$31)))),""))</f>
        <v>11770.8</v>
      </c>
      <c r="J17" s="41" t="n">
        <f aca="false">IF($A17="","",IFERROR(1/(1/IF($B17="Residential",(SUMIFS(INDEX('Oxford Economics'!$A$7:$AZ$1000,0,IFERROR(MATCH(J$5,'Oxford Economics'!$A$6:$AZ$6,0),MATCH(J$5&amp;"",'Oxford Economics'!$A$6:$AZ$6,0))),'Oxford Economics'!$A$7:$A$1000,$C17,'Oxford Economics'!$B$7:$B$1000,Settings!$B$29)-SUMIFS(INDEX('Oxford Economics'!$A$7:$AZ$1000,0,IFERROR(MATCH(J$5,'Oxford Economics'!$A$6:$AZ$6,0),MATCH(J$5&amp;"",'Oxford Economics'!$A$6:$AZ$6,0))),'Oxford Economics'!$A$7:$A$1000,$C17,'Oxford Economics'!$B$7:$B$1000,Settings!$B$30)),(SUMIFS(INDEX('Oxford Economics'!$A$7:$AZ$1000,0,IFERROR(MATCH(J$5,'Oxford Economics'!$A$6:$AZ$6,0),MATCH(J$5&amp;"",'Oxford Economics'!$A$6:$AZ$6,0))),'Oxford Economics'!$A$7:$A$1000,$C17,'Oxford Economics'!$B$7:$B$1000,Settings!$B$30)+SUMIFS(INDEX('Oxford Economics'!$A$7:$AZ$1000,0,IFERROR(MATCH(J$5,'Oxford Economics'!$A$6:$AZ$6,0),MATCH(J$5&amp;"",'Oxford Economics'!$A$6:$AZ$6,0))),'Oxford Economics'!$A$7:$A$1000,$C17,'Oxford Economics'!$B$7:$B$1000,Settings!$B$31)))),""))</f>
        <v>12057.35</v>
      </c>
      <c r="K17" s="41" t="n">
        <f aca="false">IF($A17="","",IFERROR(1/(1/IF($B17="Residential",(SUMIFS(INDEX('Oxford Economics'!$A$7:$AZ$1000,0,IFERROR(MATCH(K$5,'Oxford Economics'!$A$6:$AZ$6,0),MATCH(K$5&amp;"",'Oxford Economics'!$A$6:$AZ$6,0))),'Oxford Economics'!$A$7:$A$1000,$C17,'Oxford Economics'!$B$7:$B$1000,Settings!$B$29)-SUMIFS(INDEX('Oxford Economics'!$A$7:$AZ$1000,0,IFERROR(MATCH(K$5,'Oxford Economics'!$A$6:$AZ$6,0),MATCH(K$5&amp;"",'Oxford Economics'!$A$6:$AZ$6,0))),'Oxford Economics'!$A$7:$A$1000,$C17,'Oxford Economics'!$B$7:$B$1000,Settings!$B$30)),(SUMIFS(INDEX('Oxford Economics'!$A$7:$AZ$1000,0,IFERROR(MATCH(K$5,'Oxford Economics'!$A$6:$AZ$6,0),MATCH(K$5&amp;"",'Oxford Economics'!$A$6:$AZ$6,0))),'Oxford Economics'!$A$7:$A$1000,$C17,'Oxford Economics'!$B$7:$B$1000,Settings!$B$30)+SUMIFS(INDEX('Oxford Economics'!$A$7:$AZ$1000,0,IFERROR(MATCH(K$5,'Oxford Economics'!$A$6:$AZ$6,0),MATCH(K$5&amp;"",'Oxford Economics'!$A$6:$AZ$6,0))),'Oxford Economics'!$A$7:$A$1000,$C17,'Oxford Economics'!$B$7:$B$1000,Settings!$B$31)))),""))</f>
        <v>12012.1</v>
      </c>
      <c r="L17" s="41" t="n">
        <f aca="false">IF($A17="","",IFERROR(1/(1/IF($B17="Residential",(SUMIFS(INDEX('Oxford Economics'!$A$7:$AZ$1000,0,IFERROR(MATCH(L$5,'Oxford Economics'!$A$6:$AZ$6,0),MATCH(L$5&amp;"",'Oxford Economics'!$A$6:$AZ$6,0))),'Oxford Economics'!$A$7:$A$1000,$C17,'Oxford Economics'!$B$7:$B$1000,Settings!$B$29)-SUMIFS(INDEX('Oxford Economics'!$A$7:$AZ$1000,0,IFERROR(MATCH(L$5,'Oxford Economics'!$A$6:$AZ$6,0),MATCH(L$5&amp;"",'Oxford Economics'!$A$6:$AZ$6,0))),'Oxford Economics'!$A$7:$A$1000,$C17,'Oxford Economics'!$B$7:$B$1000,Settings!$B$30)),(SUMIFS(INDEX('Oxford Economics'!$A$7:$AZ$1000,0,IFERROR(MATCH(L$5,'Oxford Economics'!$A$6:$AZ$6,0),MATCH(L$5&amp;"",'Oxford Economics'!$A$6:$AZ$6,0))),'Oxford Economics'!$A$7:$A$1000,$C17,'Oxford Economics'!$B$7:$B$1000,Settings!$B$30)+SUMIFS(INDEX('Oxford Economics'!$A$7:$AZ$1000,0,IFERROR(MATCH(L$5,'Oxford Economics'!$A$6:$AZ$6,0),MATCH(L$5&amp;"",'Oxford Economics'!$A$6:$AZ$6,0))),'Oxford Economics'!$A$7:$A$1000,$C17,'Oxford Economics'!$B$7:$B$1000,Settings!$B$31)))),""))</f>
        <v>12211.73</v>
      </c>
      <c r="M17" s="41" t="n">
        <f aca="false">IF($A17="","",IFERROR(1/(1/IF($B17="Residential",(SUMIFS(INDEX('Oxford Economics'!$A$7:$AZ$1000,0,IFERROR(MATCH(M$5,'Oxford Economics'!$A$6:$AZ$6,0),MATCH(M$5&amp;"",'Oxford Economics'!$A$6:$AZ$6,0))),'Oxford Economics'!$A$7:$A$1000,$C17,'Oxford Economics'!$B$7:$B$1000,Settings!$B$29)-SUMIFS(INDEX('Oxford Economics'!$A$7:$AZ$1000,0,IFERROR(MATCH(M$5,'Oxford Economics'!$A$6:$AZ$6,0),MATCH(M$5&amp;"",'Oxford Economics'!$A$6:$AZ$6,0))),'Oxford Economics'!$A$7:$A$1000,$C17,'Oxford Economics'!$B$7:$B$1000,Settings!$B$30)),(SUMIFS(INDEX('Oxford Economics'!$A$7:$AZ$1000,0,IFERROR(MATCH(M$5,'Oxford Economics'!$A$6:$AZ$6,0),MATCH(M$5&amp;"",'Oxford Economics'!$A$6:$AZ$6,0))),'Oxford Economics'!$A$7:$A$1000,$C17,'Oxford Economics'!$B$7:$B$1000,Settings!$B$30)+SUMIFS(INDEX('Oxford Economics'!$A$7:$AZ$1000,0,IFERROR(MATCH(M$5,'Oxford Economics'!$A$6:$AZ$6,0),MATCH(M$5&amp;"",'Oxford Economics'!$A$6:$AZ$6,0))),'Oxford Economics'!$A$7:$A$1000,$C17,'Oxford Economics'!$B$7:$B$1000,Settings!$B$31)))),""))</f>
        <v>12656.74</v>
      </c>
      <c r="N17" s="41" t="n">
        <f aca="false">IF($A17="","",IFERROR(1/(1/IF($B17="Residential",(SUMIFS(INDEX('Oxford Economics'!$A$7:$AZ$1000,0,IFERROR(MATCH(N$5,'Oxford Economics'!$A$6:$AZ$6,0),MATCH(N$5&amp;"",'Oxford Economics'!$A$6:$AZ$6,0))),'Oxford Economics'!$A$7:$A$1000,$C17,'Oxford Economics'!$B$7:$B$1000,Settings!$B$29)-SUMIFS(INDEX('Oxford Economics'!$A$7:$AZ$1000,0,IFERROR(MATCH(N$5,'Oxford Economics'!$A$6:$AZ$6,0),MATCH(N$5&amp;"",'Oxford Economics'!$A$6:$AZ$6,0))),'Oxford Economics'!$A$7:$A$1000,$C17,'Oxford Economics'!$B$7:$B$1000,Settings!$B$30)),(SUMIFS(INDEX('Oxford Economics'!$A$7:$AZ$1000,0,IFERROR(MATCH(N$5,'Oxford Economics'!$A$6:$AZ$6,0),MATCH(N$5&amp;"",'Oxford Economics'!$A$6:$AZ$6,0))),'Oxford Economics'!$A$7:$A$1000,$C17,'Oxford Economics'!$B$7:$B$1000,Settings!$B$30)+SUMIFS(INDEX('Oxford Economics'!$A$7:$AZ$1000,0,IFERROR(MATCH(N$5,'Oxford Economics'!$A$6:$AZ$6,0),MATCH(N$5&amp;"",'Oxford Economics'!$A$6:$AZ$6,0))),'Oxford Economics'!$A$7:$A$1000,$C17,'Oxford Economics'!$B$7:$B$1000,Settings!$B$31)))),""))</f>
        <v>13227.62</v>
      </c>
      <c r="O17" s="41" t="n">
        <f aca="false">IF($A17="","",IFERROR(1/(1/IF($B17="Residential",(SUMIFS(INDEX('Oxford Economics'!$A$7:$AZ$1000,0,IFERROR(MATCH(O$5,'Oxford Economics'!$A$6:$AZ$6,0),MATCH(O$5&amp;"",'Oxford Economics'!$A$6:$AZ$6,0))),'Oxford Economics'!$A$7:$A$1000,$C17,'Oxford Economics'!$B$7:$B$1000,Settings!$B$29)-SUMIFS(INDEX('Oxford Economics'!$A$7:$AZ$1000,0,IFERROR(MATCH(O$5,'Oxford Economics'!$A$6:$AZ$6,0),MATCH(O$5&amp;"",'Oxford Economics'!$A$6:$AZ$6,0))),'Oxford Economics'!$A$7:$A$1000,$C17,'Oxford Economics'!$B$7:$B$1000,Settings!$B$30)),(SUMIFS(INDEX('Oxford Economics'!$A$7:$AZ$1000,0,IFERROR(MATCH(O$5,'Oxford Economics'!$A$6:$AZ$6,0),MATCH(O$5&amp;"",'Oxford Economics'!$A$6:$AZ$6,0))),'Oxford Economics'!$A$7:$A$1000,$C17,'Oxford Economics'!$B$7:$B$1000,Settings!$B$30)+SUMIFS(INDEX('Oxford Economics'!$A$7:$AZ$1000,0,IFERROR(MATCH(O$5,'Oxford Economics'!$A$6:$AZ$6,0),MATCH(O$5&amp;"",'Oxford Economics'!$A$6:$AZ$6,0))),'Oxford Economics'!$A$7:$A$1000,$C17,'Oxford Economics'!$B$7:$B$1000,Settings!$B$31)))),""))</f>
        <v>13465.97</v>
      </c>
    </row>
    <row r="18" customFormat="false" ht="15" hidden="false" customHeight="false" outlineLevel="0" collapsed="false">
      <c r="A18" s="40" t="str">
        <f aca="false">IF('Raw data'!$A18="","",'Raw data'!$A18)</f>
        <v>Finland</v>
      </c>
      <c r="B18" s="40" t="str">
        <f aca="false">IF($A18="","",'Raw data'!$C18)</f>
        <v>Residential</v>
      </c>
      <c r="C18" s="40" t="str">
        <f aca="false">IF($A18="","",IF('Raw data'!$D18="",$A18,'Raw data'!$D18))</f>
        <v>Finland</v>
      </c>
      <c r="D18" s="41" t="str">
        <f aca="false">IF($A18="","",IFERROR(1/(1/IF($B18="Residential",(SUMIFS(INDEX('Oxford Economics'!$A$7:$AZ$1000,0,IFERROR(MATCH(D$5,'Oxford Economics'!$A$6:$AZ$6,0),MATCH(D$5&amp;"",'Oxford Economics'!$A$6:$AZ$6,0))),'Oxford Economics'!$A$7:$A$1000,$C18,'Oxford Economics'!$B$7:$B$1000,Settings!$B$29)-SUMIFS(INDEX('Oxford Economics'!$A$7:$AZ$1000,0,IFERROR(MATCH(D$5,'Oxford Economics'!$A$6:$AZ$6,0),MATCH(D$5&amp;"",'Oxford Economics'!$A$6:$AZ$6,0))),'Oxford Economics'!$A$7:$A$1000,$C18,'Oxford Economics'!$B$7:$B$1000,Settings!$B$30)),(SUMIFS(INDEX('Oxford Economics'!$A$7:$AZ$1000,0,IFERROR(MATCH(D$5,'Oxford Economics'!$A$6:$AZ$6,0),MATCH(D$5&amp;"",'Oxford Economics'!$A$6:$AZ$6,0))),'Oxford Economics'!$A$7:$A$1000,$C18,'Oxford Economics'!$B$7:$B$1000,Settings!$B$30)+SUMIFS(INDEX('Oxford Economics'!$A$7:$AZ$1000,0,IFERROR(MATCH(D$5,'Oxford Economics'!$A$6:$AZ$6,0),MATCH(D$5&amp;"",'Oxford Economics'!$A$6:$AZ$6,0))),'Oxford Economics'!$A$7:$A$1000,$C18,'Oxford Economics'!$B$7:$B$1000,Settings!$B$31)))),""))</f>
        <v/>
      </c>
      <c r="E18" s="41" t="str">
        <f aca="false">IF($A18="","",IFERROR(1/(1/IF($B18="Residential",(SUMIFS(INDEX('Oxford Economics'!$A$7:$AZ$1000,0,IFERROR(MATCH(E$5,'Oxford Economics'!$A$6:$AZ$6,0),MATCH(E$5&amp;"",'Oxford Economics'!$A$6:$AZ$6,0))),'Oxford Economics'!$A$7:$A$1000,$C18,'Oxford Economics'!$B$7:$B$1000,Settings!$B$29)-SUMIFS(INDEX('Oxford Economics'!$A$7:$AZ$1000,0,IFERROR(MATCH(E$5,'Oxford Economics'!$A$6:$AZ$6,0),MATCH(E$5&amp;"",'Oxford Economics'!$A$6:$AZ$6,0))),'Oxford Economics'!$A$7:$A$1000,$C18,'Oxford Economics'!$B$7:$B$1000,Settings!$B$30)),(SUMIFS(INDEX('Oxford Economics'!$A$7:$AZ$1000,0,IFERROR(MATCH(E$5,'Oxford Economics'!$A$6:$AZ$6,0),MATCH(E$5&amp;"",'Oxford Economics'!$A$6:$AZ$6,0))),'Oxford Economics'!$A$7:$A$1000,$C18,'Oxford Economics'!$B$7:$B$1000,Settings!$B$30)+SUMIFS(INDEX('Oxford Economics'!$A$7:$AZ$1000,0,IFERROR(MATCH(E$5,'Oxford Economics'!$A$6:$AZ$6,0),MATCH(E$5&amp;"",'Oxford Economics'!$A$6:$AZ$6,0))),'Oxford Economics'!$A$7:$A$1000,$C18,'Oxford Economics'!$B$7:$B$1000,Settings!$B$31)))),""))</f>
        <v/>
      </c>
      <c r="F18" s="41" t="str">
        <f aca="false">IF($A18="","",IFERROR(1/(1/IF($B18="Residential",(SUMIFS(INDEX('Oxford Economics'!$A$7:$AZ$1000,0,IFERROR(MATCH(F$5,'Oxford Economics'!$A$6:$AZ$6,0),MATCH(F$5&amp;"",'Oxford Economics'!$A$6:$AZ$6,0))),'Oxford Economics'!$A$7:$A$1000,$C18,'Oxford Economics'!$B$7:$B$1000,Settings!$B$29)-SUMIFS(INDEX('Oxford Economics'!$A$7:$AZ$1000,0,IFERROR(MATCH(F$5,'Oxford Economics'!$A$6:$AZ$6,0),MATCH(F$5&amp;"",'Oxford Economics'!$A$6:$AZ$6,0))),'Oxford Economics'!$A$7:$A$1000,$C18,'Oxford Economics'!$B$7:$B$1000,Settings!$B$30)),(SUMIFS(INDEX('Oxford Economics'!$A$7:$AZ$1000,0,IFERROR(MATCH(F$5,'Oxford Economics'!$A$6:$AZ$6,0),MATCH(F$5&amp;"",'Oxford Economics'!$A$6:$AZ$6,0))),'Oxford Economics'!$A$7:$A$1000,$C18,'Oxford Economics'!$B$7:$B$1000,Settings!$B$30)+SUMIFS(INDEX('Oxford Economics'!$A$7:$AZ$1000,0,IFERROR(MATCH(F$5,'Oxford Economics'!$A$6:$AZ$6,0),MATCH(F$5&amp;"",'Oxford Economics'!$A$6:$AZ$6,0))),'Oxford Economics'!$A$7:$A$1000,$C18,'Oxford Economics'!$B$7:$B$1000,Settings!$B$31)))),""))</f>
        <v/>
      </c>
      <c r="G18" s="41" t="str">
        <f aca="false">IF($A18="","",IFERROR(1/(1/IF($B18="Residential",(SUMIFS(INDEX('Oxford Economics'!$A$7:$AZ$1000,0,IFERROR(MATCH(G$5,'Oxford Economics'!$A$6:$AZ$6,0),MATCH(G$5&amp;"",'Oxford Economics'!$A$6:$AZ$6,0))),'Oxford Economics'!$A$7:$A$1000,$C18,'Oxford Economics'!$B$7:$B$1000,Settings!$B$29)-SUMIFS(INDEX('Oxford Economics'!$A$7:$AZ$1000,0,IFERROR(MATCH(G$5,'Oxford Economics'!$A$6:$AZ$6,0),MATCH(G$5&amp;"",'Oxford Economics'!$A$6:$AZ$6,0))),'Oxford Economics'!$A$7:$A$1000,$C18,'Oxford Economics'!$B$7:$B$1000,Settings!$B$30)),(SUMIFS(INDEX('Oxford Economics'!$A$7:$AZ$1000,0,IFERROR(MATCH(G$5,'Oxford Economics'!$A$6:$AZ$6,0),MATCH(G$5&amp;"",'Oxford Economics'!$A$6:$AZ$6,0))),'Oxford Economics'!$A$7:$A$1000,$C18,'Oxford Economics'!$B$7:$B$1000,Settings!$B$30)+SUMIFS(INDEX('Oxford Economics'!$A$7:$AZ$1000,0,IFERROR(MATCH(G$5,'Oxford Economics'!$A$6:$AZ$6,0),MATCH(G$5&amp;"",'Oxford Economics'!$A$6:$AZ$6,0))),'Oxford Economics'!$A$7:$A$1000,$C18,'Oxford Economics'!$B$7:$B$1000,Settings!$B$31)))),""))</f>
        <v/>
      </c>
      <c r="H18" s="41" t="n">
        <f aca="false">IF($A18="","",IFERROR(1/(1/IF($B18="Residential",(SUMIFS(INDEX('Oxford Economics'!$A$7:$AZ$1000,0,IFERROR(MATCH(H$5,'Oxford Economics'!$A$6:$AZ$6,0),MATCH(H$5&amp;"",'Oxford Economics'!$A$6:$AZ$6,0))),'Oxford Economics'!$A$7:$A$1000,$C18,'Oxford Economics'!$B$7:$B$1000,Settings!$B$29)-SUMIFS(INDEX('Oxford Economics'!$A$7:$AZ$1000,0,IFERROR(MATCH(H$5,'Oxford Economics'!$A$6:$AZ$6,0),MATCH(H$5&amp;"",'Oxford Economics'!$A$6:$AZ$6,0))),'Oxford Economics'!$A$7:$A$1000,$C18,'Oxford Economics'!$B$7:$B$1000,Settings!$B$30)),(SUMIFS(INDEX('Oxford Economics'!$A$7:$AZ$1000,0,IFERROR(MATCH(H$5,'Oxford Economics'!$A$6:$AZ$6,0),MATCH(H$5&amp;"",'Oxford Economics'!$A$6:$AZ$6,0))),'Oxford Economics'!$A$7:$A$1000,$C18,'Oxford Economics'!$B$7:$B$1000,Settings!$B$30)+SUMIFS(INDEX('Oxford Economics'!$A$7:$AZ$1000,0,IFERROR(MATCH(H$5,'Oxford Economics'!$A$6:$AZ$6,0),MATCH(H$5&amp;"",'Oxford Economics'!$A$6:$AZ$6,0))),'Oxford Economics'!$A$7:$A$1000,$C18,'Oxford Economics'!$B$7:$B$1000,Settings!$B$31)))),""))</f>
        <v>1748.21</v>
      </c>
      <c r="I18" s="41" t="n">
        <f aca="false">IF($A18="","",IFERROR(1/(1/IF($B18="Residential",(SUMIFS(INDEX('Oxford Economics'!$A$7:$AZ$1000,0,IFERROR(MATCH(I$5,'Oxford Economics'!$A$6:$AZ$6,0),MATCH(I$5&amp;"",'Oxford Economics'!$A$6:$AZ$6,0))),'Oxford Economics'!$A$7:$A$1000,$C18,'Oxford Economics'!$B$7:$B$1000,Settings!$B$29)-SUMIFS(INDEX('Oxford Economics'!$A$7:$AZ$1000,0,IFERROR(MATCH(I$5,'Oxford Economics'!$A$6:$AZ$6,0),MATCH(I$5&amp;"",'Oxford Economics'!$A$6:$AZ$6,0))),'Oxford Economics'!$A$7:$A$1000,$C18,'Oxford Economics'!$B$7:$B$1000,Settings!$B$30)),(SUMIFS(INDEX('Oxford Economics'!$A$7:$AZ$1000,0,IFERROR(MATCH(I$5,'Oxford Economics'!$A$6:$AZ$6,0),MATCH(I$5&amp;"",'Oxford Economics'!$A$6:$AZ$6,0))),'Oxford Economics'!$A$7:$A$1000,$C18,'Oxford Economics'!$B$7:$B$1000,Settings!$B$30)+SUMIFS(INDEX('Oxford Economics'!$A$7:$AZ$1000,0,IFERROR(MATCH(I$5,'Oxford Economics'!$A$6:$AZ$6,0),MATCH(I$5&amp;"",'Oxford Economics'!$A$6:$AZ$6,0))),'Oxford Economics'!$A$7:$A$1000,$C18,'Oxford Economics'!$B$7:$B$1000,Settings!$B$31)))),""))</f>
        <v>1692.48</v>
      </c>
      <c r="J18" s="41" t="n">
        <f aca="false">IF($A18="","",IFERROR(1/(1/IF($B18="Residential",(SUMIFS(INDEX('Oxford Economics'!$A$7:$AZ$1000,0,IFERROR(MATCH(J$5,'Oxford Economics'!$A$6:$AZ$6,0),MATCH(J$5&amp;"",'Oxford Economics'!$A$6:$AZ$6,0))),'Oxford Economics'!$A$7:$A$1000,$C18,'Oxford Economics'!$B$7:$B$1000,Settings!$B$29)-SUMIFS(INDEX('Oxford Economics'!$A$7:$AZ$1000,0,IFERROR(MATCH(J$5,'Oxford Economics'!$A$6:$AZ$6,0),MATCH(J$5&amp;"",'Oxford Economics'!$A$6:$AZ$6,0))),'Oxford Economics'!$A$7:$A$1000,$C18,'Oxford Economics'!$B$7:$B$1000,Settings!$B$30)),(SUMIFS(INDEX('Oxford Economics'!$A$7:$AZ$1000,0,IFERROR(MATCH(J$5,'Oxford Economics'!$A$6:$AZ$6,0),MATCH(J$5&amp;"",'Oxford Economics'!$A$6:$AZ$6,0))),'Oxford Economics'!$A$7:$A$1000,$C18,'Oxford Economics'!$B$7:$B$1000,Settings!$B$30)+SUMIFS(INDEX('Oxford Economics'!$A$7:$AZ$1000,0,IFERROR(MATCH(J$5,'Oxford Economics'!$A$6:$AZ$6,0),MATCH(J$5&amp;"",'Oxford Economics'!$A$6:$AZ$6,0))),'Oxford Economics'!$A$7:$A$1000,$C18,'Oxford Economics'!$B$7:$B$1000,Settings!$B$31)))),""))</f>
        <v>1642.22</v>
      </c>
      <c r="K18" s="41" t="n">
        <f aca="false">IF($A18="","",IFERROR(1/(1/IF($B18="Residential",(SUMIFS(INDEX('Oxford Economics'!$A$7:$AZ$1000,0,IFERROR(MATCH(K$5,'Oxford Economics'!$A$6:$AZ$6,0),MATCH(K$5&amp;"",'Oxford Economics'!$A$6:$AZ$6,0))),'Oxford Economics'!$A$7:$A$1000,$C18,'Oxford Economics'!$B$7:$B$1000,Settings!$B$29)-SUMIFS(INDEX('Oxford Economics'!$A$7:$AZ$1000,0,IFERROR(MATCH(K$5,'Oxford Economics'!$A$6:$AZ$6,0),MATCH(K$5&amp;"",'Oxford Economics'!$A$6:$AZ$6,0))),'Oxford Economics'!$A$7:$A$1000,$C18,'Oxford Economics'!$B$7:$B$1000,Settings!$B$30)),(SUMIFS(INDEX('Oxford Economics'!$A$7:$AZ$1000,0,IFERROR(MATCH(K$5,'Oxford Economics'!$A$6:$AZ$6,0),MATCH(K$5&amp;"",'Oxford Economics'!$A$6:$AZ$6,0))),'Oxford Economics'!$A$7:$A$1000,$C18,'Oxford Economics'!$B$7:$B$1000,Settings!$B$30)+SUMIFS(INDEX('Oxford Economics'!$A$7:$AZ$1000,0,IFERROR(MATCH(K$5,'Oxford Economics'!$A$6:$AZ$6,0),MATCH(K$5&amp;"",'Oxford Economics'!$A$6:$AZ$6,0))),'Oxford Economics'!$A$7:$A$1000,$C18,'Oxford Economics'!$B$7:$B$1000,Settings!$B$31)))),""))</f>
        <v>1735.2</v>
      </c>
      <c r="L18" s="41" t="n">
        <f aca="false">IF($A18="","",IFERROR(1/(1/IF($B18="Residential",(SUMIFS(INDEX('Oxford Economics'!$A$7:$AZ$1000,0,IFERROR(MATCH(L$5,'Oxford Economics'!$A$6:$AZ$6,0),MATCH(L$5&amp;"",'Oxford Economics'!$A$6:$AZ$6,0))),'Oxford Economics'!$A$7:$A$1000,$C18,'Oxford Economics'!$B$7:$B$1000,Settings!$B$29)-SUMIFS(INDEX('Oxford Economics'!$A$7:$AZ$1000,0,IFERROR(MATCH(L$5,'Oxford Economics'!$A$6:$AZ$6,0),MATCH(L$5&amp;"",'Oxford Economics'!$A$6:$AZ$6,0))),'Oxford Economics'!$A$7:$A$1000,$C18,'Oxford Economics'!$B$7:$B$1000,Settings!$B$30)),(SUMIFS(INDEX('Oxford Economics'!$A$7:$AZ$1000,0,IFERROR(MATCH(L$5,'Oxford Economics'!$A$6:$AZ$6,0),MATCH(L$5&amp;"",'Oxford Economics'!$A$6:$AZ$6,0))),'Oxford Economics'!$A$7:$A$1000,$C18,'Oxford Economics'!$B$7:$B$1000,Settings!$B$30)+SUMIFS(INDEX('Oxford Economics'!$A$7:$AZ$1000,0,IFERROR(MATCH(L$5,'Oxford Economics'!$A$6:$AZ$6,0),MATCH(L$5&amp;"",'Oxford Economics'!$A$6:$AZ$6,0))),'Oxford Economics'!$A$7:$A$1000,$C18,'Oxford Economics'!$B$7:$B$1000,Settings!$B$31)))),""))</f>
        <v>1835.11</v>
      </c>
      <c r="M18" s="41" t="n">
        <f aca="false">IF($A18="","",IFERROR(1/(1/IF($B18="Residential",(SUMIFS(INDEX('Oxford Economics'!$A$7:$AZ$1000,0,IFERROR(MATCH(M$5,'Oxford Economics'!$A$6:$AZ$6,0),MATCH(M$5&amp;"",'Oxford Economics'!$A$6:$AZ$6,0))),'Oxford Economics'!$A$7:$A$1000,$C18,'Oxford Economics'!$B$7:$B$1000,Settings!$B$29)-SUMIFS(INDEX('Oxford Economics'!$A$7:$AZ$1000,0,IFERROR(MATCH(M$5,'Oxford Economics'!$A$6:$AZ$6,0),MATCH(M$5&amp;"",'Oxford Economics'!$A$6:$AZ$6,0))),'Oxford Economics'!$A$7:$A$1000,$C18,'Oxford Economics'!$B$7:$B$1000,Settings!$B$30)),(SUMIFS(INDEX('Oxford Economics'!$A$7:$AZ$1000,0,IFERROR(MATCH(M$5,'Oxford Economics'!$A$6:$AZ$6,0),MATCH(M$5&amp;"",'Oxford Economics'!$A$6:$AZ$6,0))),'Oxford Economics'!$A$7:$A$1000,$C18,'Oxford Economics'!$B$7:$B$1000,Settings!$B$30)+SUMIFS(INDEX('Oxford Economics'!$A$7:$AZ$1000,0,IFERROR(MATCH(M$5,'Oxford Economics'!$A$6:$AZ$6,0),MATCH(M$5&amp;"",'Oxford Economics'!$A$6:$AZ$6,0))),'Oxford Economics'!$A$7:$A$1000,$C18,'Oxford Economics'!$B$7:$B$1000,Settings!$B$31)))),""))</f>
        <v>1896.57</v>
      </c>
      <c r="N18" s="41" t="n">
        <f aca="false">IF($A18="","",IFERROR(1/(1/IF($B18="Residential",(SUMIFS(INDEX('Oxford Economics'!$A$7:$AZ$1000,0,IFERROR(MATCH(N$5,'Oxford Economics'!$A$6:$AZ$6,0),MATCH(N$5&amp;"",'Oxford Economics'!$A$6:$AZ$6,0))),'Oxford Economics'!$A$7:$A$1000,$C18,'Oxford Economics'!$B$7:$B$1000,Settings!$B$29)-SUMIFS(INDEX('Oxford Economics'!$A$7:$AZ$1000,0,IFERROR(MATCH(N$5,'Oxford Economics'!$A$6:$AZ$6,0),MATCH(N$5&amp;"",'Oxford Economics'!$A$6:$AZ$6,0))),'Oxford Economics'!$A$7:$A$1000,$C18,'Oxford Economics'!$B$7:$B$1000,Settings!$B$30)),(SUMIFS(INDEX('Oxford Economics'!$A$7:$AZ$1000,0,IFERROR(MATCH(N$5,'Oxford Economics'!$A$6:$AZ$6,0),MATCH(N$5&amp;"",'Oxford Economics'!$A$6:$AZ$6,0))),'Oxford Economics'!$A$7:$A$1000,$C18,'Oxford Economics'!$B$7:$B$1000,Settings!$B$30)+SUMIFS(INDEX('Oxford Economics'!$A$7:$AZ$1000,0,IFERROR(MATCH(N$5,'Oxford Economics'!$A$6:$AZ$6,0),MATCH(N$5&amp;"",'Oxford Economics'!$A$6:$AZ$6,0))),'Oxford Economics'!$A$7:$A$1000,$C18,'Oxford Economics'!$B$7:$B$1000,Settings!$B$31)))),""))</f>
        <v>1946.67</v>
      </c>
      <c r="O18" s="41" t="n">
        <f aca="false">IF($A18="","",IFERROR(1/(1/IF($B18="Residential",(SUMIFS(INDEX('Oxford Economics'!$A$7:$AZ$1000,0,IFERROR(MATCH(O$5,'Oxford Economics'!$A$6:$AZ$6,0),MATCH(O$5&amp;"",'Oxford Economics'!$A$6:$AZ$6,0))),'Oxford Economics'!$A$7:$A$1000,$C18,'Oxford Economics'!$B$7:$B$1000,Settings!$B$29)-SUMIFS(INDEX('Oxford Economics'!$A$7:$AZ$1000,0,IFERROR(MATCH(O$5,'Oxford Economics'!$A$6:$AZ$6,0),MATCH(O$5&amp;"",'Oxford Economics'!$A$6:$AZ$6,0))),'Oxford Economics'!$A$7:$A$1000,$C18,'Oxford Economics'!$B$7:$B$1000,Settings!$B$30)),(SUMIFS(INDEX('Oxford Economics'!$A$7:$AZ$1000,0,IFERROR(MATCH(O$5,'Oxford Economics'!$A$6:$AZ$6,0),MATCH(O$5&amp;"",'Oxford Economics'!$A$6:$AZ$6,0))),'Oxford Economics'!$A$7:$A$1000,$C18,'Oxford Economics'!$B$7:$B$1000,Settings!$B$30)+SUMIFS(INDEX('Oxford Economics'!$A$7:$AZ$1000,0,IFERROR(MATCH(O$5,'Oxford Economics'!$A$6:$AZ$6,0),MATCH(O$5&amp;"",'Oxford Economics'!$A$6:$AZ$6,0))),'Oxford Economics'!$A$7:$A$1000,$C18,'Oxford Economics'!$B$7:$B$1000,Settings!$B$31)))),""))</f>
        <v>2008.13</v>
      </c>
    </row>
    <row r="19" customFormat="false" ht="15" hidden="false" customHeight="false" outlineLevel="0" collapsed="false">
      <c r="A19" s="40" t="str">
        <f aca="false">IF('Raw data'!$A19="","",'Raw data'!$A19)</f>
        <v>Finland</v>
      </c>
      <c r="B19" s="40" t="str">
        <f aca="false">IF($A19="","",'Raw data'!$C19)</f>
        <v>Non-residential</v>
      </c>
      <c r="C19" s="40" t="str">
        <f aca="false">IF($A19="","",IF('Raw data'!$D19="",$A19,'Raw data'!$D19))</f>
        <v>Finland</v>
      </c>
      <c r="D19" s="41" t="str">
        <f aca="false">IF($A19="","",IFERROR(1/(1/IF($B19="Residential",(SUMIFS(INDEX('Oxford Economics'!$A$7:$AZ$1000,0,IFERROR(MATCH(D$5,'Oxford Economics'!$A$6:$AZ$6,0),MATCH(D$5&amp;"",'Oxford Economics'!$A$6:$AZ$6,0))),'Oxford Economics'!$A$7:$A$1000,$C19,'Oxford Economics'!$B$7:$B$1000,Settings!$B$29)-SUMIFS(INDEX('Oxford Economics'!$A$7:$AZ$1000,0,IFERROR(MATCH(D$5,'Oxford Economics'!$A$6:$AZ$6,0),MATCH(D$5&amp;"",'Oxford Economics'!$A$6:$AZ$6,0))),'Oxford Economics'!$A$7:$A$1000,$C19,'Oxford Economics'!$B$7:$B$1000,Settings!$B$30)),(SUMIFS(INDEX('Oxford Economics'!$A$7:$AZ$1000,0,IFERROR(MATCH(D$5,'Oxford Economics'!$A$6:$AZ$6,0),MATCH(D$5&amp;"",'Oxford Economics'!$A$6:$AZ$6,0))),'Oxford Economics'!$A$7:$A$1000,$C19,'Oxford Economics'!$B$7:$B$1000,Settings!$B$30)+SUMIFS(INDEX('Oxford Economics'!$A$7:$AZ$1000,0,IFERROR(MATCH(D$5,'Oxford Economics'!$A$6:$AZ$6,0),MATCH(D$5&amp;"",'Oxford Economics'!$A$6:$AZ$6,0))),'Oxford Economics'!$A$7:$A$1000,$C19,'Oxford Economics'!$B$7:$B$1000,Settings!$B$31)))),""))</f>
        <v/>
      </c>
      <c r="E19" s="41" t="str">
        <f aca="false">IF($A19="","",IFERROR(1/(1/IF($B19="Residential",(SUMIFS(INDEX('Oxford Economics'!$A$7:$AZ$1000,0,IFERROR(MATCH(E$5,'Oxford Economics'!$A$6:$AZ$6,0),MATCH(E$5&amp;"",'Oxford Economics'!$A$6:$AZ$6,0))),'Oxford Economics'!$A$7:$A$1000,$C19,'Oxford Economics'!$B$7:$B$1000,Settings!$B$29)-SUMIFS(INDEX('Oxford Economics'!$A$7:$AZ$1000,0,IFERROR(MATCH(E$5,'Oxford Economics'!$A$6:$AZ$6,0),MATCH(E$5&amp;"",'Oxford Economics'!$A$6:$AZ$6,0))),'Oxford Economics'!$A$7:$A$1000,$C19,'Oxford Economics'!$B$7:$B$1000,Settings!$B$30)),(SUMIFS(INDEX('Oxford Economics'!$A$7:$AZ$1000,0,IFERROR(MATCH(E$5,'Oxford Economics'!$A$6:$AZ$6,0),MATCH(E$5&amp;"",'Oxford Economics'!$A$6:$AZ$6,0))),'Oxford Economics'!$A$7:$A$1000,$C19,'Oxford Economics'!$B$7:$B$1000,Settings!$B$30)+SUMIFS(INDEX('Oxford Economics'!$A$7:$AZ$1000,0,IFERROR(MATCH(E$5,'Oxford Economics'!$A$6:$AZ$6,0),MATCH(E$5&amp;"",'Oxford Economics'!$A$6:$AZ$6,0))),'Oxford Economics'!$A$7:$A$1000,$C19,'Oxford Economics'!$B$7:$B$1000,Settings!$B$31)))),""))</f>
        <v/>
      </c>
      <c r="F19" s="41" t="str">
        <f aca="false">IF($A19="","",IFERROR(1/(1/IF($B19="Residential",(SUMIFS(INDEX('Oxford Economics'!$A$7:$AZ$1000,0,IFERROR(MATCH(F$5,'Oxford Economics'!$A$6:$AZ$6,0),MATCH(F$5&amp;"",'Oxford Economics'!$A$6:$AZ$6,0))),'Oxford Economics'!$A$7:$A$1000,$C19,'Oxford Economics'!$B$7:$B$1000,Settings!$B$29)-SUMIFS(INDEX('Oxford Economics'!$A$7:$AZ$1000,0,IFERROR(MATCH(F$5,'Oxford Economics'!$A$6:$AZ$6,0),MATCH(F$5&amp;"",'Oxford Economics'!$A$6:$AZ$6,0))),'Oxford Economics'!$A$7:$A$1000,$C19,'Oxford Economics'!$B$7:$B$1000,Settings!$B$30)),(SUMIFS(INDEX('Oxford Economics'!$A$7:$AZ$1000,0,IFERROR(MATCH(F$5,'Oxford Economics'!$A$6:$AZ$6,0),MATCH(F$5&amp;"",'Oxford Economics'!$A$6:$AZ$6,0))),'Oxford Economics'!$A$7:$A$1000,$C19,'Oxford Economics'!$B$7:$B$1000,Settings!$B$30)+SUMIFS(INDEX('Oxford Economics'!$A$7:$AZ$1000,0,IFERROR(MATCH(F$5,'Oxford Economics'!$A$6:$AZ$6,0),MATCH(F$5&amp;"",'Oxford Economics'!$A$6:$AZ$6,0))),'Oxford Economics'!$A$7:$A$1000,$C19,'Oxford Economics'!$B$7:$B$1000,Settings!$B$31)))),""))</f>
        <v/>
      </c>
      <c r="G19" s="41" t="str">
        <f aca="false">IF($A19="","",IFERROR(1/(1/IF($B19="Residential",(SUMIFS(INDEX('Oxford Economics'!$A$7:$AZ$1000,0,IFERROR(MATCH(G$5,'Oxford Economics'!$A$6:$AZ$6,0),MATCH(G$5&amp;"",'Oxford Economics'!$A$6:$AZ$6,0))),'Oxford Economics'!$A$7:$A$1000,$C19,'Oxford Economics'!$B$7:$B$1000,Settings!$B$29)-SUMIFS(INDEX('Oxford Economics'!$A$7:$AZ$1000,0,IFERROR(MATCH(G$5,'Oxford Economics'!$A$6:$AZ$6,0),MATCH(G$5&amp;"",'Oxford Economics'!$A$6:$AZ$6,0))),'Oxford Economics'!$A$7:$A$1000,$C19,'Oxford Economics'!$B$7:$B$1000,Settings!$B$30)),(SUMIFS(INDEX('Oxford Economics'!$A$7:$AZ$1000,0,IFERROR(MATCH(G$5,'Oxford Economics'!$A$6:$AZ$6,0),MATCH(G$5&amp;"",'Oxford Economics'!$A$6:$AZ$6,0))),'Oxford Economics'!$A$7:$A$1000,$C19,'Oxford Economics'!$B$7:$B$1000,Settings!$B$30)+SUMIFS(INDEX('Oxford Economics'!$A$7:$AZ$1000,0,IFERROR(MATCH(G$5,'Oxford Economics'!$A$6:$AZ$6,0),MATCH(G$5&amp;"",'Oxford Economics'!$A$6:$AZ$6,0))),'Oxford Economics'!$A$7:$A$1000,$C19,'Oxford Economics'!$B$7:$B$1000,Settings!$B$31)))),""))</f>
        <v/>
      </c>
      <c r="H19" s="41" t="n">
        <f aca="false">IF($A19="","",IFERROR(1/(1/IF($B19="Residential",(SUMIFS(INDEX('Oxford Economics'!$A$7:$AZ$1000,0,IFERROR(MATCH(H$5,'Oxford Economics'!$A$6:$AZ$6,0),MATCH(H$5&amp;"",'Oxford Economics'!$A$6:$AZ$6,0))),'Oxford Economics'!$A$7:$A$1000,$C19,'Oxford Economics'!$B$7:$B$1000,Settings!$B$29)-SUMIFS(INDEX('Oxford Economics'!$A$7:$AZ$1000,0,IFERROR(MATCH(H$5,'Oxford Economics'!$A$6:$AZ$6,0),MATCH(H$5&amp;"",'Oxford Economics'!$A$6:$AZ$6,0))),'Oxford Economics'!$A$7:$A$1000,$C19,'Oxford Economics'!$B$7:$B$1000,Settings!$B$30)),(SUMIFS(INDEX('Oxford Economics'!$A$7:$AZ$1000,0,IFERROR(MATCH(H$5,'Oxford Economics'!$A$6:$AZ$6,0),MATCH(H$5&amp;"",'Oxford Economics'!$A$6:$AZ$6,0))),'Oxford Economics'!$A$7:$A$1000,$C19,'Oxford Economics'!$B$7:$B$1000,Settings!$B$30)+SUMIFS(INDEX('Oxford Economics'!$A$7:$AZ$1000,0,IFERROR(MATCH(H$5,'Oxford Economics'!$A$6:$AZ$6,0),MATCH(H$5&amp;"",'Oxford Economics'!$A$6:$AZ$6,0))),'Oxford Economics'!$A$7:$A$1000,$C19,'Oxford Economics'!$B$7:$B$1000,Settings!$B$31)))),""))</f>
        <v>4821.8</v>
      </c>
      <c r="I19" s="41" t="n">
        <f aca="false">IF($A19="","",IFERROR(1/(1/IF($B19="Residential",(SUMIFS(INDEX('Oxford Economics'!$A$7:$AZ$1000,0,IFERROR(MATCH(I$5,'Oxford Economics'!$A$6:$AZ$6,0),MATCH(I$5&amp;"",'Oxford Economics'!$A$6:$AZ$6,0))),'Oxford Economics'!$A$7:$A$1000,$C19,'Oxford Economics'!$B$7:$B$1000,Settings!$B$29)-SUMIFS(INDEX('Oxford Economics'!$A$7:$AZ$1000,0,IFERROR(MATCH(I$5,'Oxford Economics'!$A$6:$AZ$6,0),MATCH(I$5&amp;"",'Oxford Economics'!$A$6:$AZ$6,0))),'Oxford Economics'!$A$7:$A$1000,$C19,'Oxford Economics'!$B$7:$B$1000,Settings!$B$30)),(SUMIFS(INDEX('Oxford Economics'!$A$7:$AZ$1000,0,IFERROR(MATCH(I$5,'Oxford Economics'!$A$6:$AZ$6,0),MATCH(I$5&amp;"",'Oxford Economics'!$A$6:$AZ$6,0))),'Oxford Economics'!$A$7:$A$1000,$C19,'Oxford Economics'!$B$7:$B$1000,Settings!$B$30)+SUMIFS(INDEX('Oxford Economics'!$A$7:$AZ$1000,0,IFERROR(MATCH(I$5,'Oxford Economics'!$A$6:$AZ$6,0),MATCH(I$5&amp;"",'Oxford Economics'!$A$6:$AZ$6,0))),'Oxford Economics'!$A$7:$A$1000,$C19,'Oxford Economics'!$B$7:$B$1000,Settings!$B$31)))),""))</f>
        <v>4695.01</v>
      </c>
      <c r="J19" s="41" t="n">
        <f aca="false">IF($A19="","",IFERROR(1/(1/IF($B19="Residential",(SUMIFS(INDEX('Oxford Economics'!$A$7:$AZ$1000,0,IFERROR(MATCH(J$5,'Oxford Economics'!$A$6:$AZ$6,0),MATCH(J$5&amp;"",'Oxford Economics'!$A$6:$AZ$6,0))),'Oxford Economics'!$A$7:$A$1000,$C19,'Oxford Economics'!$B$7:$B$1000,Settings!$B$29)-SUMIFS(INDEX('Oxford Economics'!$A$7:$AZ$1000,0,IFERROR(MATCH(J$5,'Oxford Economics'!$A$6:$AZ$6,0),MATCH(J$5&amp;"",'Oxford Economics'!$A$6:$AZ$6,0))),'Oxford Economics'!$A$7:$A$1000,$C19,'Oxford Economics'!$B$7:$B$1000,Settings!$B$30)),(SUMIFS(INDEX('Oxford Economics'!$A$7:$AZ$1000,0,IFERROR(MATCH(J$5,'Oxford Economics'!$A$6:$AZ$6,0),MATCH(J$5&amp;"",'Oxford Economics'!$A$6:$AZ$6,0))),'Oxford Economics'!$A$7:$A$1000,$C19,'Oxford Economics'!$B$7:$B$1000,Settings!$B$30)+SUMIFS(INDEX('Oxford Economics'!$A$7:$AZ$1000,0,IFERROR(MATCH(J$5,'Oxford Economics'!$A$6:$AZ$6,0),MATCH(J$5&amp;"",'Oxford Economics'!$A$6:$AZ$6,0))),'Oxford Economics'!$A$7:$A$1000,$C19,'Oxford Economics'!$B$7:$B$1000,Settings!$B$31)))),""))</f>
        <v>4654.98</v>
      </c>
      <c r="K19" s="41" t="n">
        <f aca="false">IF($A19="","",IFERROR(1/(1/IF($B19="Residential",(SUMIFS(INDEX('Oxford Economics'!$A$7:$AZ$1000,0,IFERROR(MATCH(K$5,'Oxford Economics'!$A$6:$AZ$6,0),MATCH(K$5&amp;"",'Oxford Economics'!$A$6:$AZ$6,0))),'Oxford Economics'!$A$7:$A$1000,$C19,'Oxford Economics'!$B$7:$B$1000,Settings!$B$29)-SUMIFS(INDEX('Oxford Economics'!$A$7:$AZ$1000,0,IFERROR(MATCH(K$5,'Oxford Economics'!$A$6:$AZ$6,0),MATCH(K$5&amp;"",'Oxford Economics'!$A$6:$AZ$6,0))),'Oxford Economics'!$A$7:$A$1000,$C19,'Oxford Economics'!$B$7:$B$1000,Settings!$B$30)),(SUMIFS(INDEX('Oxford Economics'!$A$7:$AZ$1000,0,IFERROR(MATCH(K$5,'Oxford Economics'!$A$6:$AZ$6,0),MATCH(K$5&amp;"",'Oxford Economics'!$A$6:$AZ$6,0))),'Oxford Economics'!$A$7:$A$1000,$C19,'Oxford Economics'!$B$7:$B$1000,Settings!$B$30)+SUMIFS(INDEX('Oxford Economics'!$A$7:$AZ$1000,0,IFERROR(MATCH(K$5,'Oxford Economics'!$A$6:$AZ$6,0),MATCH(K$5&amp;"",'Oxford Economics'!$A$6:$AZ$6,0))),'Oxford Economics'!$A$7:$A$1000,$C19,'Oxford Economics'!$B$7:$B$1000,Settings!$B$31)))),""))</f>
        <v>4861.81</v>
      </c>
      <c r="L19" s="41" t="n">
        <f aca="false">IF($A19="","",IFERROR(1/(1/IF($B19="Residential",(SUMIFS(INDEX('Oxford Economics'!$A$7:$AZ$1000,0,IFERROR(MATCH(L$5,'Oxford Economics'!$A$6:$AZ$6,0),MATCH(L$5&amp;"",'Oxford Economics'!$A$6:$AZ$6,0))),'Oxford Economics'!$A$7:$A$1000,$C19,'Oxford Economics'!$B$7:$B$1000,Settings!$B$29)-SUMIFS(INDEX('Oxford Economics'!$A$7:$AZ$1000,0,IFERROR(MATCH(L$5,'Oxford Economics'!$A$6:$AZ$6,0),MATCH(L$5&amp;"",'Oxford Economics'!$A$6:$AZ$6,0))),'Oxford Economics'!$A$7:$A$1000,$C19,'Oxford Economics'!$B$7:$B$1000,Settings!$B$30)),(SUMIFS(INDEX('Oxford Economics'!$A$7:$AZ$1000,0,IFERROR(MATCH(L$5,'Oxford Economics'!$A$6:$AZ$6,0),MATCH(L$5&amp;"",'Oxford Economics'!$A$6:$AZ$6,0))),'Oxford Economics'!$A$7:$A$1000,$C19,'Oxford Economics'!$B$7:$B$1000,Settings!$B$30)+SUMIFS(INDEX('Oxford Economics'!$A$7:$AZ$1000,0,IFERROR(MATCH(L$5,'Oxford Economics'!$A$6:$AZ$6,0),MATCH(L$5&amp;"",'Oxford Economics'!$A$6:$AZ$6,0))),'Oxford Economics'!$A$7:$A$1000,$C19,'Oxford Economics'!$B$7:$B$1000,Settings!$B$31)))),""))</f>
        <v>5071.37</v>
      </c>
      <c r="M19" s="41" t="n">
        <f aca="false">IF($A19="","",IFERROR(1/(1/IF($B19="Residential",(SUMIFS(INDEX('Oxford Economics'!$A$7:$AZ$1000,0,IFERROR(MATCH(M$5,'Oxford Economics'!$A$6:$AZ$6,0),MATCH(M$5&amp;"",'Oxford Economics'!$A$6:$AZ$6,0))),'Oxford Economics'!$A$7:$A$1000,$C19,'Oxford Economics'!$B$7:$B$1000,Settings!$B$29)-SUMIFS(INDEX('Oxford Economics'!$A$7:$AZ$1000,0,IFERROR(MATCH(M$5,'Oxford Economics'!$A$6:$AZ$6,0),MATCH(M$5&amp;"",'Oxford Economics'!$A$6:$AZ$6,0))),'Oxford Economics'!$A$7:$A$1000,$C19,'Oxford Economics'!$B$7:$B$1000,Settings!$B$30)),(SUMIFS(INDEX('Oxford Economics'!$A$7:$AZ$1000,0,IFERROR(MATCH(M$5,'Oxford Economics'!$A$6:$AZ$6,0),MATCH(M$5&amp;"",'Oxford Economics'!$A$6:$AZ$6,0))),'Oxford Economics'!$A$7:$A$1000,$C19,'Oxford Economics'!$B$7:$B$1000,Settings!$B$30)+SUMIFS(INDEX('Oxford Economics'!$A$7:$AZ$1000,0,IFERROR(MATCH(M$5,'Oxford Economics'!$A$6:$AZ$6,0),MATCH(M$5&amp;"",'Oxford Economics'!$A$6:$AZ$6,0))),'Oxford Economics'!$A$7:$A$1000,$C19,'Oxford Economics'!$B$7:$B$1000,Settings!$B$31)))),""))</f>
        <v>5215.29</v>
      </c>
      <c r="N19" s="41" t="n">
        <f aca="false">IF($A19="","",IFERROR(1/(1/IF($B19="Residential",(SUMIFS(INDEX('Oxford Economics'!$A$7:$AZ$1000,0,IFERROR(MATCH(N$5,'Oxford Economics'!$A$6:$AZ$6,0),MATCH(N$5&amp;"",'Oxford Economics'!$A$6:$AZ$6,0))),'Oxford Economics'!$A$7:$A$1000,$C19,'Oxford Economics'!$B$7:$B$1000,Settings!$B$29)-SUMIFS(INDEX('Oxford Economics'!$A$7:$AZ$1000,0,IFERROR(MATCH(N$5,'Oxford Economics'!$A$6:$AZ$6,0),MATCH(N$5&amp;"",'Oxford Economics'!$A$6:$AZ$6,0))),'Oxford Economics'!$A$7:$A$1000,$C19,'Oxford Economics'!$B$7:$B$1000,Settings!$B$30)),(SUMIFS(INDEX('Oxford Economics'!$A$7:$AZ$1000,0,IFERROR(MATCH(N$5,'Oxford Economics'!$A$6:$AZ$6,0),MATCH(N$5&amp;"",'Oxford Economics'!$A$6:$AZ$6,0))),'Oxford Economics'!$A$7:$A$1000,$C19,'Oxford Economics'!$B$7:$B$1000,Settings!$B$30)+SUMIFS(INDEX('Oxford Economics'!$A$7:$AZ$1000,0,IFERROR(MATCH(N$5,'Oxford Economics'!$A$6:$AZ$6,0),MATCH(N$5&amp;"",'Oxford Economics'!$A$6:$AZ$6,0))),'Oxford Economics'!$A$7:$A$1000,$C19,'Oxford Economics'!$B$7:$B$1000,Settings!$B$31)))),""))</f>
        <v>5342.87</v>
      </c>
      <c r="O19" s="41" t="n">
        <f aca="false">IF($A19="","",IFERROR(1/(1/IF($B19="Residential",(SUMIFS(INDEX('Oxford Economics'!$A$7:$AZ$1000,0,IFERROR(MATCH(O$5,'Oxford Economics'!$A$6:$AZ$6,0),MATCH(O$5&amp;"",'Oxford Economics'!$A$6:$AZ$6,0))),'Oxford Economics'!$A$7:$A$1000,$C19,'Oxford Economics'!$B$7:$B$1000,Settings!$B$29)-SUMIFS(INDEX('Oxford Economics'!$A$7:$AZ$1000,0,IFERROR(MATCH(O$5,'Oxford Economics'!$A$6:$AZ$6,0),MATCH(O$5&amp;"",'Oxford Economics'!$A$6:$AZ$6,0))),'Oxford Economics'!$A$7:$A$1000,$C19,'Oxford Economics'!$B$7:$B$1000,Settings!$B$30)),(SUMIFS(INDEX('Oxford Economics'!$A$7:$AZ$1000,0,IFERROR(MATCH(O$5,'Oxford Economics'!$A$6:$AZ$6,0),MATCH(O$5&amp;"",'Oxford Economics'!$A$6:$AZ$6,0))),'Oxford Economics'!$A$7:$A$1000,$C19,'Oxford Economics'!$B$7:$B$1000,Settings!$B$30)+SUMIFS(INDEX('Oxford Economics'!$A$7:$AZ$1000,0,IFERROR(MATCH(O$5,'Oxford Economics'!$A$6:$AZ$6,0),MATCH(O$5&amp;"",'Oxford Economics'!$A$6:$AZ$6,0))),'Oxford Economics'!$A$7:$A$1000,$C19,'Oxford Economics'!$B$7:$B$1000,Settings!$B$31)))),""))</f>
        <v>5476.87</v>
      </c>
    </row>
    <row r="20" customFormat="false" ht="15" hidden="false" customHeight="false" outlineLevel="0" collapsed="false">
      <c r="A20" s="40" t="str">
        <f aca="false">IF('Raw data'!$A20="","",'Raw data'!$A20)</f>
        <v>Denmark</v>
      </c>
      <c r="B20" s="40" t="str">
        <f aca="false">IF($A20="","",'Raw data'!$C20)</f>
        <v>Residential</v>
      </c>
      <c r="C20" s="40" t="str">
        <f aca="false">IF($A20="","",IF('Raw data'!$D20="",$A20,'Raw data'!$D20))</f>
        <v>Denmark</v>
      </c>
      <c r="D20" s="41" t="str">
        <f aca="false">IF($A20="","",IFERROR(1/(1/IF($B20="Residential",(SUMIFS(INDEX('Oxford Economics'!$A$7:$AZ$1000,0,IFERROR(MATCH(D$5,'Oxford Economics'!$A$6:$AZ$6,0),MATCH(D$5&amp;"",'Oxford Economics'!$A$6:$AZ$6,0))),'Oxford Economics'!$A$7:$A$1000,$C20,'Oxford Economics'!$B$7:$B$1000,Settings!$B$29)-SUMIFS(INDEX('Oxford Economics'!$A$7:$AZ$1000,0,IFERROR(MATCH(D$5,'Oxford Economics'!$A$6:$AZ$6,0),MATCH(D$5&amp;"",'Oxford Economics'!$A$6:$AZ$6,0))),'Oxford Economics'!$A$7:$A$1000,$C20,'Oxford Economics'!$B$7:$B$1000,Settings!$B$30)),(SUMIFS(INDEX('Oxford Economics'!$A$7:$AZ$1000,0,IFERROR(MATCH(D$5,'Oxford Economics'!$A$6:$AZ$6,0),MATCH(D$5&amp;"",'Oxford Economics'!$A$6:$AZ$6,0))),'Oxford Economics'!$A$7:$A$1000,$C20,'Oxford Economics'!$B$7:$B$1000,Settings!$B$30)+SUMIFS(INDEX('Oxford Economics'!$A$7:$AZ$1000,0,IFERROR(MATCH(D$5,'Oxford Economics'!$A$6:$AZ$6,0),MATCH(D$5&amp;"",'Oxford Economics'!$A$6:$AZ$6,0))),'Oxford Economics'!$A$7:$A$1000,$C20,'Oxford Economics'!$B$7:$B$1000,Settings!$B$31)))),""))</f>
        <v/>
      </c>
      <c r="E20" s="41" t="str">
        <f aca="false">IF($A20="","",IFERROR(1/(1/IF($B20="Residential",(SUMIFS(INDEX('Oxford Economics'!$A$7:$AZ$1000,0,IFERROR(MATCH(E$5,'Oxford Economics'!$A$6:$AZ$6,0),MATCH(E$5&amp;"",'Oxford Economics'!$A$6:$AZ$6,0))),'Oxford Economics'!$A$7:$A$1000,$C20,'Oxford Economics'!$B$7:$B$1000,Settings!$B$29)-SUMIFS(INDEX('Oxford Economics'!$A$7:$AZ$1000,0,IFERROR(MATCH(E$5,'Oxford Economics'!$A$6:$AZ$6,0),MATCH(E$5&amp;"",'Oxford Economics'!$A$6:$AZ$6,0))),'Oxford Economics'!$A$7:$A$1000,$C20,'Oxford Economics'!$B$7:$B$1000,Settings!$B$30)),(SUMIFS(INDEX('Oxford Economics'!$A$7:$AZ$1000,0,IFERROR(MATCH(E$5,'Oxford Economics'!$A$6:$AZ$6,0),MATCH(E$5&amp;"",'Oxford Economics'!$A$6:$AZ$6,0))),'Oxford Economics'!$A$7:$A$1000,$C20,'Oxford Economics'!$B$7:$B$1000,Settings!$B$30)+SUMIFS(INDEX('Oxford Economics'!$A$7:$AZ$1000,0,IFERROR(MATCH(E$5,'Oxford Economics'!$A$6:$AZ$6,0),MATCH(E$5&amp;"",'Oxford Economics'!$A$6:$AZ$6,0))),'Oxford Economics'!$A$7:$A$1000,$C20,'Oxford Economics'!$B$7:$B$1000,Settings!$B$31)))),""))</f>
        <v/>
      </c>
      <c r="F20" s="41" t="str">
        <f aca="false">IF($A20="","",IFERROR(1/(1/IF($B20="Residential",(SUMIFS(INDEX('Oxford Economics'!$A$7:$AZ$1000,0,IFERROR(MATCH(F$5,'Oxford Economics'!$A$6:$AZ$6,0),MATCH(F$5&amp;"",'Oxford Economics'!$A$6:$AZ$6,0))),'Oxford Economics'!$A$7:$A$1000,$C20,'Oxford Economics'!$B$7:$B$1000,Settings!$B$29)-SUMIFS(INDEX('Oxford Economics'!$A$7:$AZ$1000,0,IFERROR(MATCH(F$5,'Oxford Economics'!$A$6:$AZ$6,0),MATCH(F$5&amp;"",'Oxford Economics'!$A$6:$AZ$6,0))),'Oxford Economics'!$A$7:$A$1000,$C20,'Oxford Economics'!$B$7:$B$1000,Settings!$B$30)),(SUMIFS(INDEX('Oxford Economics'!$A$7:$AZ$1000,0,IFERROR(MATCH(F$5,'Oxford Economics'!$A$6:$AZ$6,0),MATCH(F$5&amp;"",'Oxford Economics'!$A$6:$AZ$6,0))),'Oxford Economics'!$A$7:$A$1000,$C20,'Oxford Economics'!$B$7:$B$1000,Settings!$B$30)+SUMIFS(INDEX('Oxford Economics'!$A$7:$AZ$1000,0,IFERROR(MATCH(F$5,'Oxford Economics'!$A$6:$AZ$6,0),MATCH(F$5&amp;"",'Oxford Economics'!$A$6:$AZ$6,0))),'Oxford Economics'!$A$7:$A$1000,$C20,'Oxford Economics'!$B$7:$B$1000,Settings!$B$31)))),""))</f>
        <v/>
      </c>
      <c r="G20" s="41" t="str">
        <f aca="false">IF($A20="","",IFERROR(1/(1/IF($B20="Residential",(SUMIFS(INDEX('Oxford Economics'!$A$7:$AZ$1000,0,IFERROR(MATCH(G$5,'Oxford Economics'!$A$6:$AZ$6,0),MATCH(G$5&amp;"",'Oxford Economics'!$A$6:$AZ$6,0))),'Oxford Economics'!$A$7:$A$1000,$C20,'Oxford Economics'!$B$7:$B$1000,Settings!$B$29)-SUMIFS(INDEX('Oxford Economics'!$A$7:$AZ$1000,0,IFERROR(MATCH(G$5,'Oxford Economics'!$A$6:$AZ$6,0),MATCH(G$5&amp;"",'Oxford Economics'!$A$6:$AZ$6,0))),'Oxford Economics'!$A$7:$A$1000,$C20,'Oxford Economics'!$B$7:$B$1000,Settings!$B$30)),(SUMIFS(INDEX('Oxford Economics'!$A$7:$AZ$1000,0,IFERROR(MATCH(G$5,'Oxford Economics'!$A$6:$AZ$6,0),MATCH(G$5&amp;"",'Oxford Economics'!$A$6:$AZ$6,0))),'Oxford Economics'!$A$7:$A$1000,$C20,'Oxford Economics'!$B$7:$B$1000,Settings!$B$30)+SUMIFS(INDEX('Oxford Economics'!$A$7:$AZ$1000,0,IFERROR(MATCH(G$5,'Oxford Economics'!$A$6:$AZ$6,0),MATCH(G$5&amp;"",'Oxford Economics'!$A$6:$AZ$6,0))),'Oxford Economics'!$A$7:$A$1000,$C20,'Oxford Economics'!$B$7:$B$1000,Settings!$B$31)))),""))</f>
        <v/>
      </c>
      <c r="H20" s="41" t="n">
        <f aca="false">IF($A20="","",IFERROR(1/(1/IF($B20="Residential",(SUMIFS(INDEX('Oxford Economics'!$A$7:$AZ$1000,0,IFERROR(MATCH(H$5,'Oxford Economics'!$A$6:$AZ$6,0),MATCH(H$5&amp;"",'Oxford Economics'!$A$6:$AZ$6,0))),'Oxford Economics'!$A$7:$A$1000,$C20,'Oxford Economics'!$B$7:$B$1000,Settings!$B$29)-SUMIFS(INDEX('Oxford Economics'!$A$7:$AZ$1000,0,IFERROR(MATCH(H$5,'Oxford Economics'!$A$6:$AZ$6,0),MATCH(H$5&amp;"",'Oxford Economics'!$A$6:$AZ$6,0))),'Oxford Economics'!$A$7:$A$1000,$C20,'Oxford Economics'!$B$7:$B$1000,Settings!$B$30)),(SUMIFS(INDEX('Oxford Economics'!$A$7:$AZ$1000,0,IFERROR(MATCH(H$5,'Oxford Economics'!$A$6:$AZ$6,0),MATCH(H$5&amp;"",'Oxford Economics'!$A$6:$AZ$6,0))),'Oxford Economics'!$A$7:$A$1000,$C20,'Oxford Economics'!$B$7:$B$1000,Settings!$B$30)+SUMIFS(INDEX('Oxford Economics'!$A$7:$AZ$1000,0,IFERROR(MATCH(H$5,'Oxford Economics'!$A$6:$AZ$6,0),MATCH(H$5&amp;"",'Oxford Economics'!$A$6:$AZ$6,0))),'Oxford Economics'!$A$7:$A$1000,$C20,'Oxford Economics'!$B$7:$B$1000,Settings!$B$31)))),""))</f>
        <v>12310.5</v>
      </c>
      <c r="I20" s="41" t="n">
        <f aca="false">IF($A20="","",IFERROR(1/(1/IF($B20="Residential",(SUMIFS(INDEX('Oxford Economics'!$A$7:$AZ$1000,0,IFERROR(MATCH(I$5,'Oxford Economics'!$A$6:$AZ$6,0),MATCH(I$5&amp;"",'Oxford Economics'!$A$6:$AZ$6,0))),'Oxford Economics'!$A$7:$A$1000,$C20,'Oxford Economics'!$B$7:$B$1000,Settings!$B$29)-SUMIFS(INDEX('Oxford Economics'!$A$7:$AZ$1000,0,IFERROR(MATCH(I$5,'Oxford Economics'!$A$6:$AZ$6,0),MATCH(I$5&amp;"",'Oxford Economics'!$A$6:$AZ$6,0))),'Oxford Economics'!$A$7:$A$1000,$C20,'Oxford Economics'!$B$7:$B$1000,Settings!$B$30)),(SUMIFS(INDEX('Oxford Economics'!$A$7:$AZ$1000,0,IFERROR(MATCH(I$5,'Oxford Economics'!$A$6:$AZ$6,0),MATCH(I$5&amp;"",'Oxford Economics'!$A$6:$AZ$6,0))),'Oxford Economics'!$A$7:$A$1000,$C20,'Oxford Economics'!$B$7:$B$1000,Settings!$B$30)+SUMIFS(INDEX('Oxford Economics'!$A$7:$AZ$1000,0,IFERROR(MATCH(I$5,'Oxford Economics'!$A$6:$AZ$6,0),MATCH(I$5&amp;"",'Oxford Economics'!$A$6:$AZ$6,0))),'Oxford Economics'!$A$7:$A$1000,$C20,'Oxford Economics'!$B$7:$B$1000,Settings!$B$31)))),""))</f>
        <v>12045.19</v>
      </c>
      <c r="J20" s="41" t="n">
        <f aca="false">IF($A20="","",IFERROR(1/(1/IF($B20="Residential",(SUMIFS(INDEX('Oxford Economics'!$A$7:$AZ$1000,0,IFERROR(MATCH(J$5,'Oxford Economics'!$A$6:$AZ$6,0),MATCH(J$5&amp;"",'Oxford Economics'!$A$6:$AZ$6,0))),'Oxford Economics'!$A$7:$A$1000,$C20,'Oxford Economics'!$B$7:$B$1000,Settings!$B$29)-SUMIFS(INDEX('Oxford Economics'!$A$7:$AZ$1000,0,IFERROR(MATCH(J$5,'Oxford Economics'!$A$6:$AZ$6,0),MATCH(J$5&amp;"",'Oxford Economics'!$A$6:$AZ$6,0))),'Oxford Economics'!$A$7:$A$1000,$C20,'Oxford Economics'!$B$7:$B$1000,Settings!$B$30)),(SUMIFS(INDEX('Oxford Economics'!$A$7:$AZ$1000,0,IFERROR(MATCH(J$5,'Oxford Economics'!$A$6:$AZ$6,0),MATCH(J$5&amp;"",'Oxford Economics'!$A$6:$AZ$6,0))),'Oxford Economics'!$A$7:$A$1000,$C20,'Oxford Economics'!$B$7:$B$1000,Settings!$B$30)+SUMIFS(INDEX('Oxford Economics'!$A$7:$AZ$1000,0,IFERROR(MATCH(J$5,'Oxford Economics'!$A$6:$AZ$6,0),MATCH(J$5&amp;"",'Oxford Economics'!$A$6:$AZ$6,0))),'Oxford Economics'!$A$7:$A$1000,$C20,'Oxford Economics'!$B$7:$B$1000,Settings!$B$31)))),""))</f>
        <v>11406.58</v>
      </c>
      <c r="K20" s="41" t="n">
        <f aca="false">IF($A20="","",IFERROR(1/(1/IF($B20="Residential",(SUMIFS(INDEX('Oxford Economics'!$A$7:$AZ$1000,0,IFERROR(MATCH(K$5,'Oxford Economics'!$A$6:$AZ$6,0),MATCH(K$5&amp;"",'Oxford Economics'!$A$6:$AZ$6,0))),'Oxford Economics'!$A$7:$A$1000,$C20,'Oxford Economics'!$B$7:$B$1000,Settings!$B$29)-SUMIFS(INDEX('Oxford Economics'!$A$7:$AZ$1000,0,IFERROR(MATCH(K$5,'Oxford Economics'!$A$6:$AZ$6,0),MATCH(K$5&amp;"",'Oxford Economics'!$A$6:$AZ$6,0))),'Oxford Economics'!$A$7:$A$1000,$C20,'Oxford Economics'!$B$7:$B$1000,Settings!$B$30)),(SUMIFS(INDEX('Oxford Economics'!$A$7:$AZ$1000,0,IFERROR(MATCH(K$5,'Oxford Economics'!$A$6:$AZ$6,0),MATCH(K$5&amp;"",'Oxford Economics'!$A$6:$AZ$6,0))),'Oxford Economics'!$A$7:$A$1000,$C20,'Oxford Economics'!$B$7:$B$1000,Settings!$B$30)+SUMIFS(INDEX('Oxford Economics'!$A$7:$AZ$1000,0,IFERROR(MATCH(K$5,'Oxford Economics'!$A$6:$AZ$6,0),MATCH(K$5&amp;"",'Oxford Economics'!$A$6:$AZ$6,0))),'Oxford Economics'!$A$7:$A$1000,$C20,'Oxford Economics'!$B$7:$B$1000,Settings!$B$31)))),""))</f>
        <v>11757.34</v>
      </c>
      <c r="L20" s="41" t="n">
        <f aca="false">IF($A20="","",IFERROR(1/(1/IF($B20="Residential",(SUMIFS(INDEX('Oxford Economics'!$A$7:$AZ$1000,0,IFERROR(MATCH(L$5,'Oxford Economics'!$A$6:$AZ$6,0),MATCH(L$5&amp;"",'Oxford Economics'!$A$6:$AZ$6,0))),'Oxford Economics'!$A$7:$A$1000,$C20,'Oxford Economics'!$B$7:$B$1000,Settings!$B$29)-SUMIFS(INDEX('Oxford Economics'!$A$7:$AZ$1000,0,IFERROR(MATCH(L$5,'Oxford Economics'!$A$6:$AZ$6,0),MATCH(L$5&amp;"",'Oxford Economics'!$A$6:$AZ$6,0))),'Oxford Economics'!$A$7:$A$1000,$C20,'Oxford Economics'!$B$7:$B$1000,Settings!$B$30)),(SUMIFS(INDEX('Oxford Economics'!$A$7:$AZ$1000,0,IFERROR(MATCH(L$5,'Oxford Economics'!$A$6:$AZ$6,0),MATCH(L$5&amp;"",'Oxford Economics'!$A$6:$AZ$6,0))),'Oxford Economics'!$A$7:$A$1000,$C20,'Oxford Economics'!$B$7:$B$1000,Settings!$B$30)+SUMIFS(INDEX('Oxford Economics'!$A$7:$AZ$1000,0,IFERROR(MATCH(L$5,'Oxford Economics'!$A$6:$AZ$6,0),MATCH(L$5&amp;"",'Oxford Economics'!$A$6:$AZ$6,0))),'Oxford Economics'!$A$7:$A$1000,$C20,'Oxford Economics'!$B$7:$B$1000,Settings!$B$31)))),""))</f>
        <v>12016.45</v>
      </c>
      <c r="M20" s="41" t="n">
        <f aca="false">IF($A20="","",IFERROR(1/(1/IF($B20="Residential",(SUMIFS(INDEX('Oxford Economics'!$A$7:$AZ$1000,0,IFERROR(MATCH(M$5,'Oxford Economics'!$A$6:$AZ$6,0),MATCH(M$5&amp;"",'Oxford Economics'!$A$6:$AZ$6,0))),'Oxford Economics'!$A$7:$A$1000,$C20,'Oxford Economics'!$B$7:$B$1000,Settings!$B$29)-SUMIFS(INDEX('Oxford Economics'!$A$7:$AZ$1000,0,IFERROR(MATCH(M$5,'Oxford Economics'!$A$6:$AZ$6,0),MATCH(M$5&amp;"",'Oxford Economics'!$A$6:$AZ$6,0))),'Oxford Economics'!$A$7:$A$1000,$C20,'Oxford Economics'!$B$7:$B$1000,Settings!$B$30)),(SUMIFS(INDEX('Oxford Economics'!$A$7:$AZ$1000,0,IFERROR(MATCH(M$5,'Oxford Economics'!$A$6:$AZ$6,0),MATCH(M$5&amp;"",'Oxford Economics'!$A$6:$AZ$6,0))),'Oxford Economics'!$A$7:$A$1000,$C20,'Oxford Economics'!$B$7:$B$1000,Settings!$B$30)+SUMIFS(INDEX('Oxford Economics'!$A$7:$AZ$1000,0,IFERROR(MATCH(M$5,'Oxford Economics'!$A$6:$AZ$6,0),MATCH(M$5&amp;"",'Oxford Economics'!$A$6:$AZ$6,0))),'Oxford Economics'!$A$7:$A$1000,$C20,'Oxford Economics'!$B$7:$B$1000,Settings!$B$31)))),""))</f>
        <v>12239.31</v>
      </c>
      <c r="N20" s="41" t="n">
        <f aca="false">IF($A20="","",IFERROR(1/(1/IF($B20="Residential",(SUMIFS(INDEX('Oxford Economics'!$A$7:$AZ$1000,0,IFERROR(MATCH(N$5,'Oxford Economics'!$A$6:$AZ$6,0),MATCH(N$5&amp;"",'Oxford Economics'!$A$6:$AZ$6,0))),'Oxford Economics'!$A$7:$A$1000,$C20,'Oxford Economics'!$B$7:$B$1000,Settings!$B$29)-SUMIFS(INDEX('Oxford Economics'!$A$7:$AZ$1000,0,IFERROR(MATCH(N$5,'Oxford Economics'!$A$6:$AZ$6,0),MATCH(N$5&amp;"",'Oxford Economics'!$A$6:$AZ$6,0))),'Oxford Economics'!$A$7:$A$1000,$C20,'Oxford Economics'!$B$7:$B$1000,Settings!$B$30)),(SUMIFS(INDEX('Oxford Economics'!$A$7:$AZ$1000,0,IFERROR(MATCH(N$5,'Oxford Economics'!$A$6:$AZ$6,0),MATCH(N$5&amp;"",'Oxford Economics'!$A$6:$AZ$6,0))),'Oxford Economics'!$A$7:$A$1000,$C20,'Oxford Economics'!$B$7:$B$1000,Settings!$B$30)+SUMIFS(INDEX('Oxford Economics'!$A$7:$AZ$1000,0,IFERROR(MATCH(N$5,'Oxford Economics'!$A$6:$AZ$6,0),MATCH(N$5&amp;"",'Oxford Economics'!$A$6:$AZ$6,0))),'Oxford Economics'!$A$7:$A$1000,$C20,'Oxford Economics'!$B$7:$B$1000,Settings!$B$31)))),""))</f>
        <v>12388.16</v>
      </c>
      <c r="O20" s="41" t="n">
        <f aca="false">IF($A20="","",IFERROR(1/(1/IF($B20="Residential",(SUMIFS(INDEX('Oxford Economics'!$A$7:$AZ$1000,0,IFERROR(MATCH(O$5,'Oxford Economics'!$A$6:$AZ$6,0),MATCH(O$5&amp;"",'Oxford Economics'!$A$6:$AZ$6,0))),'Oxford Economics'!$A$7:$A$1000,$C20,'Oxford Economics'!$B$7:$B$1000,Settings!$B$29)-SUMIFS(INDEX('Oxford Economics'!$A$7:$AZ$1000,0,IFERROR(MATCH(O$5,'Oxford Economics'!$A$6:$AZ$6,0),MATCH(O$5&amp;"",'Oxford Economics'!$A$6:$AZ$6,0))),'Oxford Economics'!$A$7:$A$1000,$C20,'Oxford Economics'!$B$7:$B$1000,Settings!$B$30)),(SUMIFS(INDEX('Oxford Economics'!$A$7:$AZ$1000,0,IFERROR(MATCH(O$5,'Oxford Economics'!$A$6:$AZ$6,0),MATCH(O$5&amp;"",'Oxford Economics'!$A$6:$AZ$6,0))),'Oxford Economics'!$A$7:$A$1000,$C20,'Oxford Economics'!$B$7:$B$1000,Settings!$B$30)+SUMIFS(INDEX('Oxford Economics'!$A$7:$AZ$1000,0,IFERROR(MATCH(O$5,'Oxford Economics'!$A$6:$AZ$6,0),MATCH(O$5&amp;"",'Oxford Economics'!$A$6:$AZ$6,0))),'Oxford Economics'!$A$7:$A$1000,$C20,'Oxford Economics'!$B$7:$B$1000,Settings!$B$31)))),""))</f>
        <v>12480.02</v>
      </c>
    </row>
    <row r="21" customFormat="false" ht="15" hidden="false" customHeight="false" outlineLevel="0" collapsed="false">
      <c r="A21" s="40" t="str">
        <f aca="false">IF('Raw data'!$A21="","",'Raw data'!$A21)</f>
        <v>Denmark</v>
      </c>
      <c r="B21" s="40" t="str">
        <f aca="false">IF($A21="","",'Raw data'!$C21)</f>
        <v>Non-residential</v>
      </c>
      <c r="C21" s="40" t="str">
        <f aca="false">IF($A21="","",IF('Raw data'!$D21="",$A21,'Raw data'!$D21))</f>
        <v>Denmark</v>
      </c>
      <c r="D21" s="41" t="str">
        <f aca="false">IF($A21="","",IFERROR(1/(1/IF($B21="Residential",(SUMIFS(INDEX('Oxford Economics'!$A$7:$AZ$1000,0,IFERROR(MATCH(D$5,'Oxford Economics'!$A$6:$AZ$6,0),MATCH(D$5&amp;"",'Oxford Economics'!$A$6:$AZ$6,0))),'Oxford Economics'!$A$7:$A$1000,$C21,'Oxford Economics'!$B$7:$B$1000,Settings!$B$29)-SUMIFS(INDEX('Oxford Economics'!$A$7:$AZ$1000,0,IFERROR(MATCH(D$5,'Oxford Economics'!$A$6:$AZ$6,0),MATCH(D$5&amp;"",'Oxford Economics'!$A$6:$AZ$6,0))),'Oxford Economics'!$A$7:$A$1000,$C21,'Oxford Economics'!$B$7:$B$1000,Settings!$B$30)),(SUMIFS(INDEX('Oxford Economics'!$A$7:$AZ$1000,0,IFERROR(MATCH(D$5,'Oxford Economics'!$A$6:$AZ$6,0),MATCH(D$5&amp;"",'Oxford Economics'!$A$6:$AZ$6,0))),'Oxford Economics'!$A$7:$A$1000,$C21,'Oxford Economics'!$B$7:$B$1000,Settings!$B$30)+SUMIFS(INDEX('Oxford Economics'!$A$7:$AZ$1000,0,IFERROR(MATCH(D$5,'Oxford Economics'!$A$6:$AZ$6,0),MATCH(D$5&amp;"",'Oxford Economics'!$A$6:$AZ$6,0))),'Oxford Economics'!$A$7:$A$1000,$C21,'Oxford Economics'!$B$7:$B$1000,Settings!$B$31)))),""))</f>
        <v/>
      </c>
      <c r="E21" s="41" t="str">
        <f aca="false">IF($A21="","",IFERROR(1/(1/IF($B21="Residential",(SUMIFS(INDEX('Oxford Economics'!$A$7:$AZ$1000,0,IFERROR(MATCH(E$5,'Oxford Economics'!$A$6:$AZ$6,0),MATCH(E$5&amp;"",'Oxford Economics'!$A$6:$AZ$6,0))),'Oxford Economics'!$A$7:$A$1000,$C21,'Oxford Economics'!$B$7:$B$1000,Settings!$B$29)-SUMIFS(INDEX('Oxford Economics'!$A$7:$AZ$1000,0,IFERROR(MATCH(E$5,'Oxford Economics'!$A$6:$AZ$6,0),MATCH(E$5&amp;"",'Oxford Economics'!$A$6:$AZ$6,0))),'Oxford Economics'!$A$7:$A$1000,$C21,'Oxford Economics'!$B$7:$B$1000,Settings!$B$30)),(SUMIFS(INDEX('Oxford Economics'!$A$7:$AZ$1000,0,IFERROR(MATCH(E$5,'Oxford Economics'!$A$6:$AZ$6,0),MATCH(E$5&amp;"",'Oxford Economics'!$A$6:$AZ$6,0))),'Oxford Economics'!$A$7:$A$1000,$C21,'Oxford Economics'!$B$7:$B$1000,Settings!$B$30)+SUMIFS(INDEX('Oxford Economics'!$A$7:$AZ$1000,0,IFERROR(MATCH(E$5,'Oxford Economics'!$A$6:$AZ$6,0),MATCH(E$5&amp;"",'Oxford Economics'!$A$6:$AZ$6,0))),'Oxford Economics'!$A$7:$A$1000,$C21,'Oxford Economics'!$B$7:$B$1000,Settings!$B$31)))),""))</f>
        <v/>
      </c>
      <c r="F21" s="41" t="str">
        <f aca="false">IF($A21="","",IFERROR(1/(1/IF($B21="Residential",(SUMIFS(INDEX('Oxford Economics'!$A$7:$AZ$1000,0,IFERROR(MATCH(F$5,'Oxford Economics'!$A$6:$AZ$6,0),MATCH(F$5&amp;"",'Oxford Economics'!$A$6:$AZ$6,0))),'Oxford Economics'!$A$7:$A$1000,$C21,'Oxford Economics'!$B$7:$B$1000,Settings!$B$29)-SUMIFS(INDEX('Oxford Economics'!$A$7:$AZ$1000,0,IFERROR(MATCH(F$5,'Oxford Economics'!$A$6:$AZ$6,0),MATCH(F$5&amp;"",'Oxford Economics'!$A$6:$AZ$6,0))),'Oxford Economics'!$A$7:$A$1000,$C21,'Oxford Economics'!$B$7:$B$1000,Settings!$B$30)),(SUMIFS(INDEX('Oxford Economics'!$A$7:$AZ$1000,0,IFERROR(MATCH(F$5,'Oxford Economics'!$A$6:$AZ$6,0),MATCH(F$5&amp;"",'Oxford Economics'!$A$6:$AZ$6,0))),'Oxford Economics'!$A$7:$A$1000,$C21,'Oxford Economics'!$B$7:$B$1000,Settings!$B$30)+SUMIFS(INDEX('Oxford Economics'!$A$7:$AZ$1000,0,IFERROR(MATCH(F$5,'Oxford Economics'!$A$6:$AZ$6,0),MATCH(F$5&amp;"",'Oxford Economics'!$A$6:$AZ$6,0))),'Oxford Economics'!$A$7:$A$1000,$C21,'Oxford Economics'!$B$7:$B$1000,Settings!$B$31)))),""))</f>
        <v/>
      </c>
      <c r="G21" s="41" t="str">
        <f aca="false">IF($A21="","",IFERROR(1/(1/IF($B21="Residential",(SUMIFS(INDEX('Oxford Economics'!$A$7:$AZ$1000,0,IFERROR(MATCH(G$5,'Oxford Economics'!$A$6:$AZ$6,0),MATCH(G$5&amp;"",'Oxford Economics'!$A$6:$AZ$6,0))),'Oxford Economics'!$A$7:$A$1000,$C21,'Oxford Economics'!$B$7:$B$1000,Settings!$B$29)-SUMIFS(INDEX('Oxford Economics'!$A$7:$AZ$1000,0,IFERROR(MATCH(G$5,'Oxford Economics'!$A$6:$AZ$6,0),MATCH(G$5&amp;"",'Oxford Economics'!$A$6:$AZ$6,0))),'Oxford Economics'!$A$7:$A$1000,$C21,'Oxford Economics'!$B$7:$B$1000,Settings!$B$30)),(SUMIFS(INDEX('Oxford Economics'!$A$7:$AZ$1000,0,IFERROR(MATCH(G$5,'Oxford Economics'!$A$6:$AZ$6,0),MATCH(G$5&amp;"",'Oxford Economics'!$A$6:$AZ$6,0))),'Oxford Economics'!$A$7:$A$1000,$C21,'Oxford Economics'!$B$7:$B$1000,Settings!$B$30)+SUMIFS(INDEX('Oxford Economics'!$A$7:$AZ$1000,0,IFERROR(MATCH(G$5,'Oxford Economics'!$A$6:$AZ$6,0),MATCH(G$5&amp;"",'Oxford Economics'!$A$6:$AZ$6,0))),'Oxford Economics'!$A$7:$A$1000,$C21,'Oxford Economics'!$B$7:$B$1000,Settings!$B$31)))),""))</f>
        <v/>
      </c>
      <c r="H21" s="41" t="n">
        <f aca="false">IF($A21="","",IFERROR(1/(1/IF($B21="Residential",(SUMIFS(INDEX('Oxford Economics'!$A$7:$AZ$1000,0,IFERROR(MATCH(H$5,'Oxford Economics'!$A$6:$AZ$6,0),MATCH(H$5&amp;"",'Oxford Economics'!$A$6:$AZ$6,0))),'Oxford Economics'!$A$7:$A$1000,$C21,'Oxford Economics'!$B$7:$B$1000,Settings!$B$29)-SUMIFS(INDEX('Oxford Economics'!$A$7:$AZ$1000,0,IFERROR(MATCH(H$5,'Oxford Economics'!$A$6:$AZ$6,0),MATCH(H$5&amp;"",'Oxford Economics'!$A$6:$AZ$6,0))),'Oxford Economics'!$A$7:$A$1000,$C21,'Oxford Economics'!$B$7:$B$1000,Settings!$B$30)),(SUMIFS(INDEX('Oxford Economics'!$A$7:$AZ$1000,0,IFERROR(MATCH(H$5,'Oxford Economics'!$A$6:$AZ$6,0),MATCH(H$5&amp;"",'Oxford Economics'!$A$6:$AZ$6,0))),'Oxford Economics'!$A$7:$A$1000,$C21,'Oxford Economics'!$B$7:$B$1000,Settings!$B$30)+SUMIFS(INDEX('Oxford Economics'!$A$7:$AZ$1000,0,IFERROR(MATCH(H$5,'Oxford Economics'!$A$6:$AZ$6,0),MATCH(H$5&amp;"",'Oxford Economics'!$A$6:$AZ$6,0))),'Oxford Economics'!$A$7:$A$1000,$C21,'Oxford Economics'!$B$7:$B$1000,Settings!$B$31)))),""))</f>
        <v>8162.82</v>
      </c>
      <c r="I21" s="41" t="n">
        <f aca="false">IF($A21="","",IFERROR(1/(1/IF($B21="Residential",(SUMIFS(INDEX('Oxford Economics'!$A$7:$AZ$1000,0,IFERROR(MATCH(I$5,'Oxford Economics'!$A$6:$AZ$6,0),MATCH(I$5&amp;"",'Oxford Economics'!$A$6:$AZ$6,0))),'Oxford Economics'!$A$7:$A$1000,$C21,'Oxford Economics'!$B$7:$B$1000,Settings!$B$29)-SUMIFS(INDEX('Oxford Economics'!$A$7:$AZ$1000,0,IFERROR(MATCH(I$5,'Oxford Economics'!$A$6:$AZ$6,0),MATCH(I$5&amp;"",'Oxford Economics'!$A$6:$AZ$6,0))),'Oxford Economics'!$A$7:$A$1000,$C21,'Oxford Economics'!$B$7:$B$1000,Settings!$B$30)),(SUMIFS(INDEX('Oxford Economics'!$A$7:$AZ$1000,0,IFERROR(MATCH(I$5,'Oxford Economics'!$A$6:$AZ$6,0),MATCH(I$5&amp;"",'Oxford Economics'!$A$6:$AZ$6,0))),'Oxford Economics'!$A$7:$A$1000,$C21,'Oxford Economics'!$B$7:$B$1000,Settings!$B$30)+SUMIFS(INDEX('Oxford Economics'!$A$7:$AZ$1000,0,IFERROR(MATCH(I$5,'Oxford Economics'!$A$6:$AZ$6,0),MATCH(I$5&amp;"",'Oxford Economics'!$A$6:$AZ$6,0))),'Oxford Economics'!$A$7:$A$1000,$C21,'Oxford Economics'!$B$7:$B$1000,Settings!$B$31)))),""))</f>
        <v>8042.47</v>
      </c>
      <c r="J21" s="41" t="n">
        <f aca="false">IF($A21="","",IFERROR(1/(1/IF($B21="Residential",(SUMIFS(INDEX('Oxford Economics'!$A$7:$AZ$1000,0,IFERROR(MATCH(J$5,'Oxford Economics'!$A$6:$AZ$6,0),MATCH(J$5&amp;"",'Oxford Economics'!$A$6:$AZ$6,0))),'Oxford Economics'!$A$7:$A$1000,$C21,'Oxford Economics'!$B$7:$B$1000,Settings!$B$29)-SUMIFS(INDEX('Oxford Economics'!$A$7:$AZ$1000,0,IFERROR(MATCH(J$5,'Oxford Economics'!$A$6:$AZ$6,0),MATCH(J$5&amp;"",'Oxford Economics'!$A$6:$AZ$6,0))),'Oxford Economics'!$A$7:$A$1000,$C21,'Oxford Economics'!$B$7:$B$1000,Settings!$B$30)),(SUMIFS(INDEX('Oxford Economics'!$A$7:$AZ$1000,0,IFERROR(MATCH(J$5,'Oxford Economics'!$A$6:$AZ$6,0),MATCH(J$5&amp;"",'Oxford Economics'!$A$6:$AZ$6,0))),'Oxford Economics'!$A$7:$A$1000,$C21,'Oxford Economics'!$B$7:$B$1000,Settings!$B$30)+SUMIFS(INDEX('Oxford Economics'!$A$7:$AZ$1000,0,IFERROR(MATCH(J$5,'Oxford Economics'!$A$6:$AZ$6,0),MATCH(J$5&amp;"",'Oxford Economics'!$A$6:$AZ$6,0))),'Oxford Economics'!$A$7:$A$1000,$C21,'Oxford Economics'!$B$7:$B$1000,Settings!$B$31)))),""))</f>
        <v>7714.49</v>
      </c>
      <c r="K21" s="41" t="n">
        <f aca="false">IF($A21="","",IFERROR(1/(1/IF($B21="Residential",(SUMIFS(INDEX('Oxford Economics'!$A$7:$AZ$1000,0,IFERROR(MATCH(K$5,'Oxford Economics'!$A$6:$AZ$6,0),MATCH(K$5&amp;"",'Oxford Economics'!$A$6:$AZ$6,0))),'Oxford Economics'!$A$7:$A$1000,$C21,'Oxford Economics'!$B$7:$B$1000,Settings!$B$29)-SUMIFS(INDEX('Oxford Economics'!$A$7:$AZ$1000,0,IFERROR(MATCH(K$5,'Oxford Economics'!$A$6:$AZ$6,0),MATCH(K$5&amp;"",'Oxford Economics'!$A$6:$AZ$6,0))),'Oxford Economics'!$A$7:$A$1000,$C21,'Oxford Economics'!$B$7:$B$1000,Settings!$B$30)),(SUMIFS(INDEX('Oxford Economics'!$A$7:$AZ$1000,0,IFERROR(MATCH(K$5,'Oxford Economics'!$A$6:$AZ$6,0),MATCH(K$5&amp;"",'Oxford Economics'!$A$6:$AZ$6,0))),'Oxford Economics'!$A$7:$A$1000,$C21,'Oxford Economics'!$B$7:$B$1000,Settings!$B$30)+SUMIFS(INDEX('Oxford Economics'!$A$7:$AZ$1000,0,IFERROR(MATCH(K$5,'Oxford Economics'!$A$6:$AZ$6,0),MATCH(K$5&amp;"",'Oxford Economics'!$A$6:$AZ$6,0))),'Oxford Economics'!$A$7:$A$1000,$C21,'Oxford Economics'!$B$7:$B$1000,Settings!$B$31)))),""))</f>
        <v>7688.32</v>
      </c>
      <c r="L21" s="41" t="n">
        <f aca="false">IF($A21="","",IFERROR(1/(1/IF($B21="Residential",(SUMIFS(INDEX('Oxford Economics'!$A$7:$AZ$1000,0,IFERROR(MATCH(L$5,'Oxford Economics'!$A$6:$AZ$6,0),MATCH(L$5&amp;"",'Oxford Economics'!$A$6:$AZ$6,0))),'Oxford Economics'!$A$7:$A$1000,$C21,'Oxford Economics'!$B$7:$B$1000,Settings!$B$29)-SUMIFS(INDEX('Oxford Economics'!$A$7:$AZ$1000,0,IFERROR(MATCH(L$5,'Oxford Economics'!$A$6:$AZ$6,0),MATCH(L$5&amp;"",'Oxford Economics'!$A$6:$AZ$6,0))),'Oxford Economics'!$A$7:$A$1000,$C21,'Oxford Economics'!$B$7:$B$1000,Settings!$B$30)),(SUMIFS(INDEX('Oxford Economics'!$A$7:$AZ$1000,0,IFERROR(MATCH(L$5,'Oxford Economics'!$A$6:$AZ$6,0),MATCH(L$5&amp;"",'Oxford Economics'!$A$6:$AZ$6,0))),'Oxford Economics'!$A$7:$A$1000,$C21,'Oxford Economics'!$B$7:$B$1000,Settings!$B$30)+SUMIFS(INDEX('Oxford Economics'!$A$7:$AZ$1000,0,IFERROR(MATCH(L$5,'Oxford Economics'!$A$6:$AZ$6,0),MATCH(L$5&amp;"",'Oxford Economics'!$A$6:$AZ$6,0))),'Oxford Economics'!$A$7:$A$1000,$C21,'Oxford Economics'!$B$7:$B$1000,Settings!$B$31)))),""))</f>
        <v>8125.43</v>
      </c>
      <c r="M21" s="41" t="n">
        <f aca="false">IF($A21="","",IFERROR(1/(1/IF($B21="Residential",(SUMIFS(INDEX('Oxford Economics'!$A$7:$AZ$1000,0,IFERROR(MATCH(M$5,'Oxford Economics'!$A$6:$AZ$6,0),MATCH(M$5&amp;"",'Oxford Economics'!$A$6:$AZ$6,0))),'Oxford Economics'!$A$7:$A$1000,$C21,'Oxford Economics'!$B$7:$B$1000,Settings!$B$29)-SUMIFS(INDEX('Oxford Economics'!$A$7:$AZ$1000,0,IFERROR(MATCH(M$5,'Oxford Economics'!$A$6:$AZ$6,0),MATCH(M$5&amp;"",'Oxford Economics'!$A$6:$AZ$6,0))),'Oxford Economics'!$A$7:$A$1000,$C21,'Oxford Economics'!$B$7:$B$1000,Settings!$B$30)),(SUMIFS(INDEX('Oxford Economics'!$A$7:$AZ$1000,0,IFERROR(MATCH(M$5,'Oxford Economics'!$A$6:$AZ$6,0),MATCH(M$5&amp;"",'Oxford Economics'!$A$6:$AZ$6,0))),'Oxford Economics'!$A$7:$A$1000,$C21,'Oxford Economics'!$B$7:$B$1000,Settings!$B$30)+SUMIFS(INDEX('Oxford Economics'!$A$7:$AZ$1000,0,IFERROR(MATCH(M$5,'Oxford Economics'!$A$6:$AZ$6,0),MATCH(M$5&amp;"",'Oxford Economics'!$A$6:$AZ$6,0))),'Oxford Economics'!$A$7:$A$1000,$C21,'Oxford Economics'!$B$7:$B$1000,Settings!$B$31)))),""))</f>
        <v>8332.05</v>
      </c>
      <c r="N21" s="41" t="n">
        <f aca="false">IF($A21="","",IFERROR(1/(1/IF($B21="Residential",(SUMIFS(INDEX('Oxford Economics'!$A$7:$AZ$1000,0,IFERROR(MATCH(N$5,'Oxford Economics'!$A$6:$AZ$6,0),MATCH(N$5&amp;"",'Oxford Economics'!$A$6:$AZ$6,0))),'Oxford Economics'!$A$7:$A$1000,$C21,'Oxford Economics'!$B$7:$B$1000,Settings!$B$29)-SUMIFS(INDEX('Oxford Economics'!$A$7:$AZ$1000,0,IFERROR(MATCH(N$5,'Oxford Economics'!$A$6:$AZ$6,0),MATCH(N$5&amp;"",'Oxford Economics'!$A$6:$AZ$6,0))),'Oxford Economics'!$A$7:$A$1000,$C21,'Oxford Economics'!$B$7:$B$1000,Settings!$B$30)),(SUMIFS(INDEX('Oxford Economics'!$A$7:$AZ$1000,0,IFERROR(MATCH(N$5,'Oxford Economics'!$A$6:$AZ$6,0),MATCH(N$5&amp;"",'Oxford Economics'!$A$6:$AZ$6,0))),'Oxford Economics'!$A$7:$A$1000,$C21,'Oxford Economics'!$B$7:$B$1000,Settings!$B$30)+SUMIFS(INDEX('Oxford Economics'!$A$7:$AZ$1000,0,IFERROR(MATCH(N$5,'Oxford Economics'!$A$6:$AZ$6,0),MATCH(N$5&amp;"",'Oxford Economics'!$A$6:$AZ$6,0))),'Oxford Economics'!$A$7:$A$1000,$C21,'Oxford Economics'!$B$7:$B$1000,Settings!$B$31)))),""))</f>
        <v>8479.3</v>
      </c>
      <c r="O21" s="41" t="n">
        <f aca="false">IF($A21="","",IFERROR(1/(1/IF($B21="Residential",(SUMIFS(INDEX('Oxford Economics'!$A$7:$AZ$1000,0,IFERROR(MATCH(O$5,'Oxford Economics'!$A$6:$AZ$6,0),MATCH(O$5&amp;"",'Oxford Economics'!$A$6:$AZ$6,0))),'Oxford Economics'!$A$7:$A$1000,$C21,'Oxford Economics'!$B$7:$B$1000,Settings!$B$29)-SUMIFS(INDEX('Oxford Economics'!$A$7:$AZ$1000,0,IFERROR(MATCH(O$5,'Oxford Economics'!$A$6:$AZ$6,0),MATCH(O$5&amp;"",'Oxford Economics'!$A$6:$AZ$6,0))),'Oxford Economics'!$A$7:$A$1000,$C21,'Oxford Economics'!$B$7:$B$1000,Settings!$B$30)),(SUMIFS(INDEX('Oxford Economics'!$A$7:$AZ$1000,0,IFERROR(MATCH(O$5,'Oxford Economics'!$A$6:$AZ$6,0),MATCH(O$5&amp;"",'Oxford Economics'!$A$6:$AZ$6,0))),'Oxford Economics'!$A$7:$A$1000,$C21,'Oxford Economics'!$B$7:$B$1000,Settings!$B$30)+SUMIFS(INDEX('Oxford Economics'!$A$7:$AZ$1000,0,IFERROR(MATCH(O$5,'Oxford Economics'!$A$6:$AZ$6,0),MATCH(O$5&amp;"",'Oxford Economics'!$A$6:$AZ$6,0))),'Oxford Economics'!$A$7:$A$1000,$C21,'Oxford Economics'!$B$7:$B$1000,Settings!$B$31)))),""))</f>
        <v>8583.17</v>
      </c>
    </row>
    <row r="22" customFormat="false" ht="15" hidden="false" customHeight="false" outlineLevel="0" collapsed="false">
      <c r="A22" s="40" t="str">
        <f aca="false">IF('Raw data'!$A22="","",'Raw data'!$A22)</f>
        <v>Germany</v>
      </c>
      <c r="B22" s="40" t="str">
        <f aca="false">IF($A22="","",'Raw data'!$C22)</f>
        <v>Residential</v>
      </c>
      <c r="C22" s="40" t="str">
        <f aca="false">IF($A22="","",IF('Raw data'!$D22="",$A22,'Raw data'!$D22))</f>
        <v>Germany</v>
      </c>
      <c r="D22" s="41" t="str">
        <f aca="false">IF($A22="","",IFERROR(1/(1/IF($B22="Residential",(SUMIFS(INDEX('Oxford Economics'!$A$7:$AZ$1000,0,IFERROR(MATCH(D$5,'Oxford Economics'!$A$6:$AZ$6,0),MATCH(D$5&amp;"",'Oxford Economics'!$A$6:$AZ$6,0))),'Oxford Economics'!$A$7:$A$1000,$C22,'Oxford Economics'!$B$7:$B$1000,Settings!$B$29)-SUMIFS(INDEX('Oxford Economics'!$A$7:$AZ$1000,0,IFERROR(MATCH(D$5,'Oxford Economics'!$A$6:$AZ$6,0),MATCH(D$5&amp;"",'Oxford Economics'!$A$6:$AZ$6,0))),'Oxford Economics'!$A$7:$A$1000,$C22,'Oxford Economics'!$B$7:$B$1000,Settings!$B$30)),(SUMIFS(INDEX('Oxford Economics'!$A$7:$AZ$1000,0,IFERROR(MATCH(D$5,'Oxford Economics'!$A$6:$AZ$6,0),MATCH(D$5&amp;"",'Oxford Economics'!$A$6:$AZ$6,0))),'Oxford Economics'!$A$7:$A$1000,$C22,'Oxford Economics'!$B$7:$B$1000,Settings!$B$30)+SUMIFS(INDEX('Oxford Economics'!$A$7:$AZ$1000,0,IFERROR(MATCH(D$5,'Oxford Economics'!$A$6:$AZ$6,0),MATCH(D$5&amp;"",'Oxford Economics'!$A$6:$AZ$6,0))),'Oxford Economics'!$A$7:$A$1000,$C22,'Oxford Economics'!$B$7:$B$1000,Settings!$B$31)))),""))</f>
        <v/>
      </c>
      <c r="E22" s="41" t="str">
        <f aca="false">IF($A22="","",IFERROR(1/(1/IF($B22="Residential",(SUMIFS(INDEX('Oxford Economics'!$A$7:$AZ$1000,0,IFERROR(MATCH(E$5,'Oxford Economics'!$A$6:$AZ$6,0),MATCH(E$5&amp;"",'Oxford Economics'!$A$6:$AZ$6,0))),'Oxford Economics'!$A$7:$A$1000,$C22,'Oxford Economics'!$B$7:$B$1000,Settings!$B$29)-SUMIFS(INDEX('Oxford Economics'!$A$7:$AZ$1000,0,IFERROR(MATCH(E$5,'Oxford Economics'!$A$6:$AZ$6,0),MATCH(E$5&amp;"",'Oxford Economics'!$A$6:$AZ$6,0))),'Oxford Economics'!$A$7:$A$1000,$C22,'Oxford Economics'!$B$7:$B$1000,Settings!$B$30)),(SUMIFS(INDEX('Oxford Economics'!$A$7:$AZ$1000,0,IFERROR(MATCH(E$5,'Oxford Economics'!$A$6:$AZ$6,0),MATCH(E$5&amp;"",'Oxford Economics'!$A$6:$AZ$6,0))),'Oxford Economics'!$A$7:$A$1000,$C22,'Oxford Economics'!$B$7:$B$1000,Settings!$B$30)+SUMIFS(INDEX('Oxford Economics'!$A$7:$AZ$1000,0,IFERROR(MATCH(E$5,'Oxford Economics'!$A$6:$AZ$6,0),MATCH(E$5&amp;"",'Oxford Economics'!$A$6:$AZ$6,0))),'Oxford Economics'!$A$7:$A$1000,$C22,'Oxford Economics'!$B$7:$B$1000,Settings!$B$31)))),""))</f>
        <v/>
      </c>
      <c r="F22" s="41" t="str">
        <f aca="false">IF($A22="","",IFERROR(1/(1/IF($B22="Residential",(SUMIFS(INDEX('Oxford Economics'!$A$7:$AZ$1000,0,IFERROR(MATCH(F$5,'Oxford Economics'!$A$6:$AZ$6,0),MATCH(F$5&amp;"",'Oxford Economics'!$A$6:$AZ$6,0))),'Oxford Economics'!$A$7:$A$1000,$C22,'Oxford Economics'!$B$7:$B$1000,Settings!$B$29)-SUMIFS(INDEX('Oxford Economics'!$A$7:$AZ$1000,0,IFERROR(MATCH(F$5,'Oxford Economics'!$A$6:$AZ$6,0),MATCH(F$5&amp;"",'Oxford Economics'!$A$6:$AZ$6,0))),'Oxford Economics'!$A$7:$A$1000,$C22,'Oxford Economics'!$B$7:$B$1000,Settings!$B$30)),(SUMIFS(INDEX('Oxford Economics'!$A$7:$AZ$1000,0,IFERROR(MATCH(F$5,'Oxford Economics'!$A$6:$AZ$6,0),MATCH(F$5&amp;"",'Oxford Economics'!$A$6:$AZ$6,0))),'Oxford Economics'!$A$7:$A$1000,$C22,'Oxford Economics'!$B$7:$B$1000,Settings!$B$30)+SUMIFS(INDEX('Oxford Economics'!$A$7:$AZ$1000,0,IFERROR(MATCH(F$5,'Oxford Economics'!$A$6:$AZ$6,0),MATCH(F$5&amp;"",'Oxford Economics'!$A$6:$AZ$6,0))),'Oxford Economics'!$A$7:$A$1000,$C22,'Oxford Economics'!$B$7:$B$1000,Settings!$B$31)))),""))</f>
        <v/>
      </c>
      <c r="G22" s="41" t="str">
        <f aca="false">IF($A22="","",IFERROR(1/(1/IF($B22="Residential",(SUMIFS(INDEX('Oxford Economics'!$A$7:$AZ$1000,0,IFERROR(MATCH(G$5,'Oxford Economics'!$A$6:$AZ$6,0),MATCH(G$5&amp;"",'Oxford Economics'!$A$6:$AZ$6,0))),'Oxford Economics'!$A$7:$A$1000,$C22,'Oxford Economics'!$B$7:$B$1000,Settings!$B$29)-SUMIFS(INDEX('Oxford Economics'!$A$7:$AZ$1000,0,IFERROR(MATCH(G$5,'Oxford Economics'!$A$6:$AZ$6,0),MATCH(G$5&amp;"",'Oxford Economics'!$A$6:$AZ$6,0))),'Oxford Economics'!$A$7:$A$1000,$C22,'Oxford Economics'!$B$7:$B$1000,Settings!$B$30)),(SUMIFS(INDEX('Oxford Economics'!$A$7:$AZ$1000,0,IFERROR(MATCH(G$5,'Oxford Economics'!$A$6:$AZ$6,0),MATCH(G$5&amp;"",'Oxford Economics'!$A$6:$AZ$6,0))),'Oxford Economics'!$A$7:$A$1000,$C22,'Oxford Economics'!$B$7:$B$1000,Settings!$B$30)+SUMIFS(INDEX('Oxford Economics'!$A$7:$AZ$1000,0,IFERROR(MATCH(G$5,'Oxford Economics'!$A$6:$AZ$6,0),MATCH(G$5&amp;"",'Oxford Economics'!$A$6:$AZ$6,0))),'Oxford Economics'!$A$7:$A$1000,$C22,'Oxford Economics'!$B$7:$B$1000,Settings!$B$31)))),""))</f>
        <v/>
      </c>
      <c r="H22" s="41" t="n">
        <f aca="false">IF($A22="","",IFERROR(1/(1/IF($B22="Residential",(SUMIFS(INDEX('Oxford Economics'!$A$7:$AZ$1000,0,IFERROR(MATCH(H$5,'Oxford Economics'!$A$6:$AZ$6,0),MATCH(H$5&amp;"",'Oxford Economics'!$A$6:$AZ$6,0))),'Oxford Economics'!$A$7:$A$1000,$C22,'Oxford Economics'!$B$7:$B$1000,Settings!$B$29)-SUMIFS(INDEX('Oxford Economics'!$A$7:$AZ$1000,0,IFERROR(MATCH(H$5,'Oxford Economics'!$A$6:$AZ$6,0),MATCH(H$5&amp;"",'Oxford Economics'!$A$6:$AZ$6,0))),'Oxford Economics'!$A$7:$A$1000,$C22,'Oxford Economics'!$B$7:$B$1000,Settings!$B$30)),(SUMIFS(INDEX('Oxford Economics'!$A$7:$AZ$1000,0,IFERROR(MATCH(H$5,'Oxford Economics'!$A$6:$AZ$6,0),MATCH(H$5&amp;"",'Oxford Economics'!$A$6:$AZ$6,0))),'Oxford Economics'!$A$7:$A$1000,$C22,'Oxford Economics'!$B$7:$B$1000,Settings!$B$30)+SUMIFS(INDEX('Oxford Economics'!$A$7:$AZ$1000,0,IFERROR(MATCH(H$5,'Oxford Economics'!$A$6:$AZ$6,0),MATCH(H$5&amp;"",'Oxford Economics'!$A$6:$AZ$6,0))),'Oxford Economics'!$A$7:$A$1000,$C22,'Oxford Economics'!$B$7:$B$1000,Settings!$B$31)))),""))</f>
        <v>100808.69</v>
      </c>
      <c r="I22" s="41" t="n">
        <f aca="false">IF($A22="","",IFERROR(1/(1/IF($B22="Residential",(SUMIFS(INDEX('Oxford Economics'!$A$7:$AZ$1000,0,IFERROR(MATCH(I$5,'Oxford Economics'!$A$6:$AZ$6,0),MATCH(I$5&amp;"",'Oxford Economics'!$A$6:$AZ$6,0))),'Oxford Economics'!$A$7:$A$1000,$C22,'Oxford Economics'!$B$7:$B$1000,Settings!$B$29)-SUMIFS(INDEX('Oxford Economics'!$A$7:$AZ$1000,0,IFERROR(MATCH(I$5,'Oxford Economics'!$A$6:$AZ$6,0),MATCH(I$5&amp;"",'Oxford Economics'!$A$6:$AZ$6,0))),'Oxford Economics'!$A$7:$A$1000,$C22,'Oxford Economics'!$B$7:$B$1000,Settings!$B$30)),(SUMIFS(INDEX('Oxford Economics'!$A$7:$AZ$1000,0,IFERROR(MATCH(I$5,'Oxford Economics'!$A$6:$AZ$6,0),MATCH(I$5&amp;"",'Oxford Economics'!$A$6:$AZ$6,0))),'Oxford Economics'!$A$7:$A$1000,$C22,'Oxford Economics'!$B$7:$B$1000,Settings!$B$30)+SUMIFS(INDEX('Oxford Economics'!$A$7:$AZ$1000,0,IFERROR(MATCH(I$5,'Oxford Economics'!$A$6:$AZ$6,0),MATCH(I$5&amp;"",'Oxford Economics'!$A$6:$AZ$6,0))),'Oxford Economics'!$A$7:$A$1000,$C22,'Oxford Economics'!$B$7:$B$1000,Settings!$B$31)))),""))</f>
        <v>96006.35</v>
      </c>
      <c r="J22" s="41" t="n">
        <f aca="false">IF($A22="","",IFERROR(1/(1/IF($B22="Residential",(SUMIFS(INDEX('Oxford Economics'!$A$7:$AZ$1000,0,IFERROR(MATCH(J$5,'Oxford Economics'!$A$6:$AZ$6,0),MATCH(J$5&amp;"",'Oxford Economics'!$A$6:$AZ$6,0))),'Oxford Economics'!$A$7:$A$1000,$C22,'Oxford Economics'!$B$7:$B$1000,Settings!$B$29)-SUMIFS(INDEX('Oxford Economics'!$A$7:$AZ$1000,0,IFERROR(MATCH(J$5,'Oxford Economics'!$A$6:$AZ$6,0),MATCH(J$5&amp;"",'Oxford Economics'!$A$6:$AZ$6,0))),'Oxford Economics'!$A$7:$A$1000,$C22,'Oxford Economics'!$B$7:$B$1000,Settings!$B$30)),(SUMIFS(INDEX('Oxford Economics'!$A$7:$AZ$1000,0,IFERROR(MATCH(J$5,'Oxford Economics'!$A$6:$AZ$6,0),MATCH(J$5&amp;"",'Oxford Economics'!$A$6:$AZ$6,0))),'Oxford Economics'!$A$7:$A$1000,$C22,'Oxford Economics'!$B$7:$B$1000,Settings!$B$30)+SUMIFS(INDEX('Oxford Economics'!$A$7:$AZ$1000,0,IFERROR(MATCH(J$5,'Oxford Economics'!$A$6:$AZ$6,0),MATCH(J$5&amp;"",'Oxford Economics'!$A$6:$AZ$6,0))),'Oxford Economics'!$A$7:$A$1000,$C22,'Oxford Economics'!$B$7:$B$1000,Settings!$B$31)))),""))</f>
        <v>95462.78</v>
      </c>
      <c r="K22" s="41" t="n">
        <f aca="false">IF($A22="","",IFERROR(1/(1/IF($B22="Residential",(SUMIFS(INDEX('Oxford Economics'!$A$7:$AZ$1000,0,IFERROR(MATCH(K$5,'Oxford Economics'!$A$6:$AZ$6,0),MATCH(K$5&amp;"",'Oxford Economics'!$A$6:$AZ$6,0))),'Oxford Economics'!$A$7:$A$1000,$C22,'Oxford Economics'!$B$7:$B$1000,Settings!$B$29)-SUMIFS(INDEX('Oxford Economics'!$A$7:$AZ$1000,0,IFERROR(MATCH(K$5,'Oxford Economics'!$A$6:$AZ$6,0),MATCH(K$5&amp;"",'Oxford Economics'!$A$6:$AZ$6,0))),'Oxford Economics'!$A$7:$A$1000,$C22,'Oxford Economics'!$B$7:$B$1000,Settings!$B$30)),(SUMIFS(INDEX('Oxford Economics'!$A$7:$AZ$1000,0,IFERROR(MATCH(K$5,'Oxford Economics'!$A$6:$AZ$6,0),MATCH(K$5&amp;"",'Oxford Economics'!$A$6:$AZ$6,0))),'Oxford Economics'!$A$7:$A$1000,$C22,'Oxford Economics'!$B$7:$B$1000,Settings!$B$30)+SUMIFS(INDEX('Oxford Economics'!$A$7:$AZ$1000,0,IFERROR(MATCH(K$5,'Oxford Economics'!$A$6:$AZ$6,0),MATCH(K$5&amp;"",'Oxford Economics'!$A$6:$AZ$6,0))),'Oxford Economics'!$A$7:$A$1000,$C22,'Oxford Economics'!$B$7:$B$1000,Settings!$B$31)))),""))</f>
        <v>96579.61</v>
      </c>
      <c r="L22" s="41" t="n">
        <f aca="false">IF($A22="","",IFERROR(1/(1/IF($B22="Residential",(SUMIFS(INDEX('Oxford Economics'!$A$7:$AZ$1000,0,IFERROR(MATCH(L$5,'Oxford Economics'!$A$6:$AZ$6,0),MATCH(L$5&amp;"",'Oxford Economics'!$A$6:$AZ$6,0))),'Oxford Economics'!$A$7:$A$1000,$C22,'Oxford Economics'!$B$7:$B$1000,Settings!$B$29)-SUMIFS(INDEX('Oxford Economics'!$A$7:$AZ$1000,0,IFERROR(MATCH(L$5,'Oxford Economics'!$A$6:$AZ$6,0),MATCH(L$5&amp;"",'Oxford Economics'!$A$6:$AZ$6,0))),'Oxford Economics'!$A$7:$A$1000,$C22,'Oxford Economics'!$B$7:$B$1000,Settings!$B$30)),(SUMIFS(INDEX('Oxford Economics'!$A$7:$AZ$1000,0,IFERROR(MATCH(L$5,'Oxford Economics'!$A$6:$AZ$6,0),MATCH(L$5&amp;"",'Oxford Economics'!$A$6:$AZ$6,0))),'Oxford Economics'!$A$7:$A$1000,$C22,'Oxford Economics'!$B$7:$B$1000,Settings!$B$30)+SUMIFS(INDEX('Oxford Economics'!$A$7:$AZ$1000,0,IFERROR(MATCH(L$5,'Oxford Economics'!$A$6:$AZ$6,0),MATCH(L$5&amp;"",'Oxford Economics'!$A$6:$AZ$6,0))),'Oxford Economics'!$A$7:$A$1000,$C22,'Oxford Economics'!$B$7:$B$1000,Settings!$B$31)))),""))</f>
        <v>100078.05</v>
      </c>
      <c r="M22" s="41" t="n">
        <f aca="false">IF($A22="","",IFERROR(1/(1/IF($B22="Residential",(SUMIFS(INDEX('Oxford Economics'!$A$7:$AZ$1000,0,IFERROR(MATCH(M$5,'Oxford Economics'!$A$6:$AZ$6,0),MATCH(M$5&amp;"",'Oxford Economics'!$A$6:$AZ$6,0))),'Oxford Economics'!$A$7:$A$1000,$C22,'Oxford Economics'!$B$7:$B$1000,Settings!$B$29)-SUMIFS(INDEX('Oxford Economics'!$A$7:$AZ$1000,0,IFERROR(MATCH(M$5,'Oxford Economics'!$A$6:$AZ$6,0),MATCH(M$5&amp;"",'Oxford Economics'!$A$6:$AZ$6,0))),'Oxford Economics'!$A$7:$A$1000,$C22,'Oxford Economics'!$B$7:$B$1000,Settings!$B$30)),(SUMIFS(INDEX('Oxford Economics'!$A$7:$AZ$1000,0,IFERROR(MATCH(M$5,'Oxford Economics'!$A$6:$AZ$6,0),MATCH(M$5&amp;"",'Oxford Economics'!$A$6:$AZ$6,0))),'Oxford Economics'!$A$7:$A$1000,$C22,'Oxford Economics'!$B$7:$B$1000,Settings!$B$30)+SUMIFS(INDEX('Oxford Economics'!$A$7:$AZ$1000,0,IFERROR(MATCH(M$5,'Oxford Economics'!$A$6:$AZ$6,0),MATCH(M$5&amp;"",'Oxford Economics'!$A$6:$AZ$6,0))),'Oxford Economics'!$A$7:$A$1000,$C22,'Oxford Economics'!$B$7:$B$1000,Settings!$B$31)))),""))</f>
        <v>103905.91</v>
      </c>
      <c r="N22" s="41" t="n">
        <f aca="false">IF($A22="","",IFERROR(1/(1/IF($B22="Residential",(SUMIFS(INDEX('Oxford Economics'!$A$7:$AZ$1000,0,IFERROR(MATCH(N$5,'Oxford Economics'!$A$6:$AZ$6,0),MATCH(N$5&amp;"",'Oxford Economics'!$A$6:$AZ$6,0))),'Oxford Economics'!$A$7:$A$1000,$C22,'Oxford Economics'!$B$7:$B$1000,Settings!$B$29)-SUMIFS(INDEX('Oxford Economics'!$A$7:$AZ$1000,0,IFERROR(MATCH(N$5,'Oxford Economics'!$A$6:$AZ$6,0),MATCH(N$5&amp;"",'Oxford Economics'!$A$6:$AZ$6,0))),'Oxford Economics'!$A$7:$A$1000,$C22,'Oxford Economics'!$B$7:$B$1000,Settings!$B$30)),(SUMIFS(INDEX('Oxford Economics'!$A$7:$AZ$1000,0,IFERROR(MATCH(N$5,'Oxford Economics'!$A$6:$AZ$6,0),MATCH(N$5&amp;"",'Oxford Economics'!$A$6:$AZ$6,0))),'Oxford Economics'!$A$7:$A$1000,$C22,'Oxford Economics'!$B$7:$B$1000,Settings!$B$30)+SUMIFS(INDEX('Oxford Economics'!$A$7:$AZ$1000,0,IFERROR(MATCH(N$5,'Oxford Economics'!$A$6:$AZ$6,0),MATCH(N$5&amp;"",'Oxford Economics'!$A$6:$AZ$6,0))),'Oxford Economics'!$A$7:$A$1000,$C22,'Oxford Economics'!$B$7:$B$1000,Settings!$B$31)))),""))</f>
        <v>108154.3</v>
      </c>
      <c r="O22" s="41" t="n">
        <f aca="false">IF($A22="","",IFERROR(1/(1/IF($B22="Residential",(SUMIFS(INDEX('Oxford Economics'!$A$7:$AZ$1000,0,IFERROR(MATCH(O$5,'Oxford Economics'!$A$6:$AZ$6,0),MATCH(O$5&amp;"",'Oxford Economics'!$A$6:$AZ$6,0))),'Oxford Economics'!$A$7:$A$1000,$C22,'Oxford Economics'!$B$7:$B$1000,Settings!$B$29)-SUMIFS(INDEX('Oxford Economics'!$A$7:$AZ$1000,0,IFERROR(MATCH(O$5,'Oxford Economics'!$A$6:$AZ$6,0),MATCH(O$5&amp;"",'Oxford Economics'!$A$6:$AZ$6,0))),'Oxford Economics'!$A$7:$A$1000,$C22,'Oxford Economics'!$B$7:$B$1000,Settings!$B$30)),(SUMIFS(INDEX('Oxford Economics'!$A$7:$AZ$1000,0,IFERROR(MATCH(O$5,'Oxford Economics'!$A$6:$AZ$6,0),MATCH(O$5&amp;"",'Oxford Economics'!$A$6:$AZ$6,0))),'Oxford Economics'!$A$7:$A$1000,$C22,'Oxford Economics'!$B$7:$B$1000,Settings!$B$30)+SUMIFS(INDEX('Oxford Economics'!$A$7:$AZ$1000,0,IFERROR(MATCH(O$5,'Oxford Economics'!$A$6:$AZ$6,0),MATCH(O$5&amp;"",'Oxford Economics'!$A$6:$AZ$6,0))),'Oxford Economics'!$A$7:$A$1000,$C22,'Oxford Economics'!$B$7:$B$1000,Settings!$B$31)))),""))</f>
        <v>109985.6</v>
      </c>
    </row>
    <row r="23" customFormat="false" ht="15" hidden="false" customHeight="false" outlineLevel="0" collapsed="false">
      <c r="A23" s="40" t="str">
        <f aca="false">IF('Raw data'!$A23="","",'Raw data'!$A23)</f>
        <v>Germany</v>
      </c>
      <c r="B23" s="40" t="str">
        <f aca="false">IF($A23="","",'Raw data'!$C23)</f>
        <v>Non-residential</v>
      </c>
      <c r="C23" s="40" t="str">
        <f aca="false">IF($A23="","",IF('Raw data'!$D23="",$A23,'Raw data'!$D23))</f>
        <v>Germany</v>
      </c>
      <c r="D23" s="41" t="str">
        <f aca="false">IF($A23="","",IFERROR(1/(1/IF($B23="Residential",(SUMIFS(INDEX('Oxford Economics'!$A$7:$AZ$1000,0,IFERROR(MATCH(D$5,'Oxford Economics'!$A$6:$AZ$6,0),MATCH(D$5&amp;"",'Oxford Economics'!$A$6:$AZ$6,0))),'Oxford Economics'!$A$7:$A$1000,$C23,'Oxford Economics'!$B$7:$B$1000,Settings!$B$29)-SUMIFS(INDEX('Oxford Economics'!$A$7:$AZ$1000,0,IFERROR(MATCH(D$5,'Oxford Economics'!$A$6:$AZ$6,0),MATCH(D$5&amp;"",'Oxford Economics'!$A$6:$AZ$6,0))),'Oxford Economics'!$A$7:$A$1000,$C23,'Oxford Economics'!$B$7:$B$1000,Settings!$B$30)),(SUMIFS(INDEX('Oxford Economics'!$A$7:$AZ$1000,0,IFERROR(MATCH(D$5,'Oxford Economics'!$A$6:$AZ$6,0),MATCH(D$5&amp;"",'Oxford Economics'!$A$6:$AZ$6,0))),'Oxford Economics'!$A$7:$A$1000,$C23,'Oxford Economics'!$B$7:$B$1000,Settings!$B$30)+SUMIFS(INDEX('Oxford Economics'!$A$7:$AZ$1000,0,IFERROR(MATCH(D$5,'Oxford Economics'!$A$6:$AZ$6,0),MATCH(D$5&amp;"",'Oxford Economics'!$A$6:$AZ$6,0))),'Oxford Economics'!$A$7:$A$1000,$C23,'Oxford Economics'!$B$7:$B$1000,Settings!$B$31)))),""))</f>
        <v/>
      </c>
      <c r="E23" s="41" t="str">
        <f aca="false">IF($A23="","",IFERROR(1/(1/IF($B23="Residential",(SUMIFS(INDEX('Oxford Economics'!$A$7:$AZ$1000,0,IFERROR(MATCH(E$5,'Oxford Economics'!$A$6:$AZ$6,0),MATCH(E$5&amp;"",'Oxford Economics'!$A$6:$AZ$6,0))),'Oxford Economics'!$A$7:$A$1000,$C23,'Oxford Economics'!$B$7:$B$1000,Settings!$B$29)-SUMIFS(INDEX('Oxford Economics'!$A$7:$AZ$1000,0,IFERROR(MATCH(E$5,'Oxford Economics'!$A$6:$AZ$6,0),MATCH(E$5&amp;"",'Oxford Economics'!$A$6:$AZ$6,0))),'Oxford Economics'!$A$7:$A$1000,$C23,'Oxford Economics'!$B$7:$B$1000,Settings!$B$30)),(SUMIFS(INDEX('Oxford Economics'!$A$7:$AZ$1000,0,IFERROR(MATCH(E$5,'Oxford Economics'!$A$6:$AZ$6,0),MATCH(E$5&amp;"",'Oxford Economics'!$A$6:$AZ$6,0))),'Oxford Economics'!$A$7:$A$1000,$C23,'Oxford Economics'!$B$7:$B$1000,Settings!$B$30)+SUMIFS(INDEX('Oxford Economics'!$A$7:$AZ$1000,0,IFERROR(MATCH(E$5,'Oxford Economics'!$A$6:$AZ$6,0),MATCH(E$5&amp;"",'Oxford Economics'!$A$6:$AZ$6,0))),'Oxford Economics'!$A$7:$A$1000,$C23,'Oxford Economics'!$B$7:$B$1000,Settings!$B$31)))),""))</f>
        <v/>
      </c>
      <c r="F23" s="41" t="str">
        <f aca="false">IF($A23="","",IFERROR(1/(1/IF($B23="Residential",(SUMIFS(INDEX('Oxford Economics'!$A$7:$AZ$1000,0,IFERROR(MATCH(F$5,'Oxford Economics'!$A$6:$AZ$6,0),MATCH(F$5&amp;"",'Oxford Economics'!$A$6:$AZ$6,0))),'Oxford Economics'!$A$7:$A$1000,$C23,'Oxford Economics'!$B$7:$B$1000,Settings!$B$29)-SUMIFS(INDEX('Oxford Economics'!$A$7:$AZ$1000,0,IFERROR(MATCH(F$5,'Oxford Economics'!$A$6:$AZ$6,0),MATCH(F$5&amp;"",'Oxford Economics'!$A$6:$AZ$6,0))),'Oxford Economics'!$A$7:$A$1000,$C23,'Oxford Economics'!$B$7:$B$1000,Settings!$B$30)),(SUMIFS(INDEX('Oxford Economics'!$A$7:$AZ$1000,0,IFERROR(MATCH(F$5,'Oxford Economics'!$A$6:$AZ$6,0),MATCH(F$5&amp;"",'Oxford Economics'!$A$6:$AZ$6,0))),'Oxford Economics'!$A$7:$A$1000,$C23,'Oxford Economics'!$B$7:$B$1000,Settings!$B$30)+SUMIFS(INDEX('Oxford Economics'!$A$7:$AZ$1000,0,IFERROR(MATCH(F$5,'Oxford Economics'!$A$6:$AZ$6,0),MATCH(F$5&amp;"",'Oxford Economics'!$A$6:$AZ$6,0))),'Oxford Economics'!$A$7:$A$1000,$C23,'Oxford Economics'!$B$7:$B$1000,Settings!$B$31)))),""))</f>
        <v/>
      </c>
      <c r="G23" s="41" t="str">
        <f aca="false">IF($A23="","",IFERROR(1/(1/IF($B23="Residential",(SUMIFS(INDEX('Oxford Economics'!$A$7:$AZ$1000,0,IFERROR(MATCH(G$5,'Oxford Economics'!$A$6:$AZ$6,0),MATCH(G$5&amp;"",'Oxford Economics'!$A$6:$AZ$6,0))),'Oxford Economics'!$A$7:$A$1000,$C23,'Oxford Economics'!$B$7:$B$1000,Settings!$B$29)-SUMIFS(INDEX('Oxford Economics'!$A$7:$AZ$1000,0,IFERROR(MATCH(G$5,'Oxford Economics'!$A$6:$AZ$6,0),MATCH(G$5&amp;"",'Oxford Economics'!$A$6:$AZ$6,0))),'Oxford Economics'!$A$7:$A$1000,$C23,'Oxford Economics'!$B$7:$B$1000,Settings!$B$30)),(SUMIFS(INDEX('Oxford Economics'!$A$7:$AZ$1000,0,IFERROR(MATCH(G$5,'Oxford Economics'!$A$6:$AZ$6,0),MATCH(G$5&amp;"",'Oxford Economics'!$A$6:$AZ$6,0))),'Oxford Economics'!$A$7:$A$1000,$C23,'Oxford Economics'!$B$7:$B$1000,Settings!$B$30)+SUMIFS(INDEX('Oxford Economics'!$A$7:$AZ$1000,0,IFERROR(MATCH(G$5,'Oxford Economics'!$A$6:$AZ$6,0),MATCH(G$5&amp;"",'Oxford Economics'!$A$6:$AZ$6,0))),'Oxford Economics'!$A$7:$A$1000,$C23,'Oxford Economics'!$B$7:$B$1000,Settings!$B$31)))),""))</f>
        <v/>
      </c>
      <c r="H23" s="41" t="n">
        <f aca="false">IF($A23="","",IFERROR(1/(1/IF($B23="Residential",(SUMIFS(INDEX('Oxford Economics'!$A$7:$AZ$1000,0,IFERROR(MATCH(H$5,'Oxford Economics'!$A$6:$AZ$6,0),MATCH(H$5&amp;"",'Oxford Economics'!$A$6:$AZ$6,0))),'Oxford Economics'!$A$7:$A$1000,$C23,'Oxford Economics'!$B$7:$B$1000,Settings!$B$29)-SUMIFS(INDEX('Oxford Economics'!$A$7:$AZ$1000,0,IFERROR(MATCH(H$5,'Oxford Economics'!$A$6:$AZ$6,0),MATCH(H$5&amp;"",'Oxford Economics'!$A$6:$AZ$6,0))),'Oxford Economics'!$A$7:$A$1000,$C23,'Oxford Economics'!$B$7:$B$1000,Settings!$B$30)),(SUMIFS(INDEX('Oxford Economics'!$A$7:$AZ$1000,0,IFERROR(MATCH(H$5,'Oxford Economics'!$A$6:$AZ$6,0),MATCH(H$5&amp;"",'Oxford Economics'!$A$6:$AZ$6,0))),'Oxford Economics'!$A$7:$A$1000,$C23,'Oxford Economics'!$B$7:$B$1000,Settings!$B$30)+SUMIFS(INDEX('Oxford Economics'!$A$7:$AZ$1000,0,IFERROR(MATCH(H$5,'Oxford Economics'!$A$6:$AZ$6,0),MATCH(H$5&amp;"",'Oxford Economics'!$A$6:$AZ$6,0))),'Oxford Economics'!$A$7:$A$1000,$C23,'Oxford Economics'!$B$7:$B$1000,Settings!$B$31)))),""))</f>
        <v>112217.92</v>
      </c>
      <c r="I23" s="41" t="n">
        <f aca="false">IF($A23="","",IFERROR(1/(1/IF($B23="Residential",(SUMIFS(INDEX('Oxford Economics'!$A$7:$AZ$1000,0,IFERROR(MATCH(I$5,'Oxford Economics'!$A$6:$AZ$6,0),MATCH(I$5&amp;"",'Oxford Economics'!$A$6:$AZ$6,0))),'Oxford Economics'!$A$7:$A$1000,$C23,'Oxford Economics'!$B$7:$B$1000,Settings!$B$29)-SUMIFS(INDEX('Oxford Economics'!$A$7:$AZ$1000,0,IFERROR(MATCH(I$5,'Oxford Economics'!$A$6:$AZ$6,0),MATCH(I$5&amp;"",'Oxford Economics'!$A$6:$AZ$6,0))),'Oxford Economics'!$A$7:$A$1000,$C23,'Oxford Economics'!$B$7:$B$1000,Settings!$B$30)),(SUMIFS(INDEX('Oxford Economics'!$A$7:$AZ$1000,0,IFERROR(MATCH(I$5,'Oxford Economics'!$A$6:$AZ$6,0),MATCH(I$5&amp;"",'Oxford Economics'!$A$6:$AZ$6,0))),'Oxford Economics'!$A$7:$A$1000,$C23,'Oxford Economics'!$B$7:$B$1000,Settings!$B$30)+SUMIFS(INDEX('Oxford Economics'!$A$7:$AZ$1000,0,IFERROR(MATCH(I$5,'Oxford Economics'!$A$6:$AZ$6,0),MATCH(I$5&amp;"",'Oxford Economics'!$A$6:$AZ$6,0))),'Oxford Economics'!$A$7:$A$1000,$C23,'Oxford Economics'!$B$7:$B$1000,Settings!$B$31)))),""))</f>
        <v>108414.85</v>
      </c>
      <c r="J23" s="41" t="n">
        <f aca="false">IF($A23="","",IFERROR(1/(1/IF($B23="Residential",(SUMIFS(INDEX('Oxford Economics'!$A$7:$AZ$1000,0,IFERROR(MATCH(J$5,'Oxford Economics'!$A$6:$AZ$6,0),MATCH(J$5&amp;"",'Oxford Economics'!$A$6:$AZ$6,0))),'Oxford Economics'!$A$7:$A$1000,$C23,'Oxford Economics'!$B$7:$B$1000,Settings!$B$29)-SUMIFS(INDEX('Oxford Economics'!$A$7:$AZ$1000,0,IFERROR(MATCH(J$5,'Oxford Economics'!$A$6:$AZ$6,0),MATCH(J$5&amp;"",'Oxford Economics'!$A$6:$AZ$6,0))),'Oxford Economics'!$A$7:$A$1000,$C23,'Oxford Economics'!$B$7:$B$1000,Settings!$B$30)),(SUMIFS(INDEX('Oxford Economics'!$A$7:$AZ$1000,0,IFERROR(MATCH(J$5,'Oxford Economics'!$A$6:$AZ$6,0),MATCH(J$5&amp;"",'Oxford Economics'!$A$6:$AZ$6,0))),'Oxford Economics'!$A$7:$A$1000,$C23,'Oxford Economics'!$B$7:$B$1000,Settings!$B$30)+SUMIFS(INDEX('Oxford Economics'!$A$7:$AZ$1000,0,IFERROR(MATCH(J$5,'Oxford Economics'!$A$6:$AZ$6,0),MATCH(J$5&amp;"",'Oxford Economics'!$A$6:$AZ$6,0))),'Oxford Economics'!$A$7:$A$1000,$C23,'Oxford Economics'!$B$7:$B$1000,Settings!$B$31)))),""))</f>
        <v>110980.22</v>
      </c>
      <c r="K23" s="41" t="n">
        <f aca="false">IF($A23="","",IFERROR(1/(1/IF($B23="Residential",(SUMIFS(INDEX('Oxford Economics'!$A$7:$AZ$1000,0,IFERROR(MATCH(K$5,'Oxford Economics'!$A$6:$AZ$6,0),MATCH(K$5&amp;"",'Oxford Economics'!$A$6:$AZ$6,0))),'Oxford Economics'!$A$7:$A$1000,$C23,'Oxford Economics'!$B$7:$B$1000,Settings!$B$29)-SUMIFS(INDEX('Oxford Economics'!$A$7:$AZ$1000,0,IFERROR(MATCH(K$5,'Oxford Economics'!$A$6:$AZ$6,0),MATCH(K$5&amp;"",'Oxford Economics'!$A$6:$AZ$6,0))),'Oxford Economics'!$A$7:$A$1000,$C23,'Oxford Economics'!$B$7:$B$1000,Settings!$B$30)),(SUMIFS(INDEX('Oxford Economics'!$A$7:$AZ$1000,0,IFERROR(MATCH(K$5,'Oxford Economics'!$A$6:$AZ$6,0),MATCH(K$5&amp;"",'Oxford Economics'!$A$6:$AZ$6,0))),'Oxford Economics'!$A$7:$A$1000,$C23,'Oxford Economics'!$B$7:$B$1000,Settings!$B$30)+SUMIFS(INDEX('Oxford Economics'!$A$7:$AZ$1000,0,IFERROR(MATCH(K$5,'Oxford Economics'!$A$6:$AZ$6,0),MATCH(K$5&amp;"",'Oxford Economics'!$A$6:$AZ$6,0))),'Oxford Economics'!$A$7:$A$1000,$C23,'Oxford Economics'!$B$7:$B$1000,Settings!$B$31)))),""))</f>
        <v>114618.99</v>
      </c>
      <c r="L23" s="41" t="n">
        <f aca="false">IF($A23="","",IFERROR(1/(1/IF($B23="Residential",(SUMIFS(INDEX('Oxford Economics'!$A$7:$AZ$1000,0,IFERROR(MATCH(L$5,'Oxford Economics'!$A$6:$AZ$6,0),MATCH(L$5&amp;"",'Oxford Economics'!$A$6:$AZ$6,0))),'Oxford Economics'!$A$7:$A$1000,$C23,'Oxford Economics'!$B$7:$B$1000,Settings!$B$29)-SUMIFS(INDEX('Oxford Economics'!$A$7:$AZ$1000,0,IFERROR(MATCH(L$5,'Oxford Economics'!$A$6:$AZ$6,0),MATCH(L$5&amp;"",'Oxford Economics'!$A$6:$AZ$6,0))),'Oxford Economics'!$A$7:$A$1000,$C23,'Oxford Economics'!$B$7:$B$1000,Settings!$B$30)),(SUMIFS(INDEX('Oxford Economics'!$A$7:$AZ$1000,0,IFERROR(MATCH(L$5,'Oxford Economics'!$A$6:$AZ$6,0),MATCH(L$5&amp;"",'Oxford Economics'!$A$6:$AZ$6,0))),'Oxford Economics'!$A$7:$A$1000,$C23,'Oxford Economics'!$B$7:$B$1000,Settings!$B$30)+SUMIFS(INDEX('Oxford Economics'!$A$7:$AZ$1000,0,IFERROR(MATCH(L$5,'Oxford Economics'!$A$6:$AZ$6,0),MATCH(L$5&amp;"",'Oxford Economics'!$A$6:$AZ$6,0))),'Oxford Economics'!$A$7:$A$1000,$C23,'Oxford Economics'!$B$7:$B$1000,Settings!$B$31)))),""))</f>
        <v>119890.88</v>
      </c>
      <c r="M23" s="41" t="n">
        <f aca="false">IF($A23="","",IFERROR(1/(1/IF($B23="Residential",(SUMIFS(INDEX('Oxford Economics'!$A$7:$AZ$1000,0,IFERROR(MATCH(M$5,'Oxford Economics'!$A$6:$AZ$6,0),MATCH(M$5&amp;"",'Oxford Economics'!$A$6:$AZ$6,0))),'Oxford Economics'!$A$7:$A$1000,$C23,'Oxford Economics'!$B$7:$B$1000,Settings!$B$29)-SUMIFS(INDEX('Oxford Economics'!$A$7:$AZ$1000,0,IFERROR(MATCH(M$5,'Oxford Economics'!$A$6:$AZ$6,0),MATCH(M$5&amp;"",'Oxford Economics'!$A$6:$AZ$6,0))),'Oxford Economics'!$A$7:$A$1000,$C23,'Oxford Economics'!$B$7:$B$1000,Settings!$B$30)),(SUMIFS(INDEX('Oxford Economics'!$A$7:$AZ$1000,0,IFERROR(MATCH(M$5,'Oxford Economics'!$A$6:$AZ$6,0),MATCH(M$5&amp;"",'Oxford Economics'!$A$6:$AZ$6,0))),'Oxford Economics'!$A$7:$A$1000,$C23,'Oxford Economics'!$B$7:$B$1000,Settings!$B$30)+SUMIFS(INDEX('Oxford Economics'!$A$7:$AZ$1000,0,IFERROR(MATCH(M$5,'Oxford Economics'!$A$6:$AZ$6,0),MATCH(M$5&amp;"",'Oxford Economics'!$A$6:$AZ$6,0))),'Oxford Economics'!$A$7:$A$1000,$C23,'Oxford Economics'!$B$7:$B$1000,Settings!$B$31)))),""))</f>
        <v>125283.56</v>
      </c>
      <c r="N23" s="41" t="n">
        <f aca="false">IF($A23="","",IFERROR(1/(1/IF($B23="Residential",(SUMIFS(INDEX('Oxford Economics'!$A$7:$AZ$1000,0,IFERROR(MATCH(N$5,'Oxford Economics'!$A$6:$AZ$6,0),MATCH(N$5&amp;"",'Oxford Economics'!$A$6:$AZ$6,0))),'Oxford Economics'!$A$7:$A$1000,$C23,'Oxford Economics'!$B$7:$B$1000,Settings!$B$29)-SUMIFS(INDEX('Oxford Economics'!$A$7:$AZ$1000,0,IFERROR(MATCH(N$5,'Oxford Economics'!$A$6:$AZ$6,0),MATCH(N$5&amp;"",'Oxford Economics'!$A$6:$AZ$6,0))),'Oxford Economics'!$A$7:$A$1000,$C23,'Oxford Economics'!$B$7:$B$1000,Settings!$B$30)),(SUMIFS(INDEX('Oxford Economics'!$A$7:$AZ$1000,0,IFERROR(MATCH(N$5,'Oxford Economics'!$A$6:$AZ$6,0),MATCH(N$5&amp;"",'Oxford Economics'!$A$6:$AZ$6,0))),'Oxford Economics'!$A$7:$A$1000,$C23,'Oxford Economics'!$B$7:$B$1000,Settings!$B$30)+SUMIFS(INDEX('Oxford Economics'!$A$7:$AZ$1000,0,IFERROR(MATCH(N$5,'Oxford Economics'!$A$6:$AZ$6,0),MATCH(N$5&amp;"",'Oxford Economics'!$A$6:$AZ$6,0))),'Oxford Economics'!$A$7:$A$1000,$C23,'Oxford Economics'!$B$7:$B$1000,Settings!$B$31)))),""))</f>
        <v>130476.3</v>
      </c>
      <c r="O23" s="41" t="n">
        <f aca="false">IF($A23="","",IFERROR(1/(1/IF($B23="Residential",(SUMIFS(INDEX('Oxford Economics'!$A$7:$AZ$1000,0,IFERROR(MATCH(O$5,'Oxford Economics'!$A$6:$AZ$6,0),MATCH(O$5&amp;"",'Oxford Economics'!$A$6:$AZ$6,0))),'Oxford Economics'!$A$7:$A$1000,$C23,'Oxford Economics'!$B$7:$B$1000,Settings!$B$29)-SUMIFS(INDEX('Oxford Economics'!$A$7:$AZ$1000,0,IFERROR(MATCH(O$5,'Oxford Economics'!$A$6:$AZ$6,0),MATCH(O$5&amp;"",'Oxford Economics'!$A$6:$AZ$6,0))),'Oxford Economics'!$A$7:$A$1000,$C23,'Oxford Economics'!$B$7:$B$1000,Settings!$B$30)),(SUMIFS(INDEX('Oxford Economics'!$A$7:$AZ$1000,0,IFERROR(MATCH(O$5,'Oxford Economics'!$A$6:$AZ$6,0),MATCH(O$5&amp;"",'Oxford Economics'!$A$6:$AZ$6,0))),'Oxford Economics'!$A$7:$A$1000,$C23,'Oxford Economics'!$B$7:$B$1000,Settings!$B$30)+SUMIFS(INDEX('Oxford Economics'!$A$7:$AZ$1000,0,IFERROR(MATCH(O$5,'Oxford Economics'!$A$6:$AZ$6,0),MATCH(O$5&amp;"",'Oxford Economics'!$A$6:$AZ$6,0))),'Oxford Economics'!$A$7:$A$1000,$C23,'Oxford Economics'!$B$7:$B$1000,Settings!$B$31)))),""))</f>
        <v>133257.29</v>
      </c>
    </row>
    <row r="24" customFormat="false" ht="15" hidden="false" customHeight="false" outlineLevel="0" collapsed="false">
      <c r="A24" s="40" t="str">
        <f aca="false">IF('Raw data'!$A24="","",'Raw data'!$A24)</f>
        <v>Austria</v>
      </c>
      <c r="B24" s="40" t="str">
        <f aca="false">IF($A24="","",'Raw data'!$C24)</f>
        <v>Residential</v>
      </c>
      <c r="C24" s="40" t="str">
        <f aca="false">IF($A24="","",IF('Raw data'!$D24="",$A24,'Raw data'!$D24))</f>
        <v>Austria</v>
      </c>
      <c r="D24" s="41" t="str">
        <f aca="false">IF($A24="","",IFERROR(1/(1/IF($B24="Residential",(SUMIFS(INDEX('Oxford Economics'!$A$7:$AZ$1000,0,IFERROR(MATCH(D$5,'Oxford Economics'!$A$6:$AZ$6,0),MATCH(D$5&amp;"",'Oxford Economics'!$A$6:$AZ$6,0))),'Oxford Economics'!$A$7:$A$1000,$C24,'Oxford Economics'!$B$7:$B$1000,Settings!$B$29)-SUMIFS(INDEX('Oxford Economics'!$A$7:$AZ$1000,0,IFERROR(MATCH(D$5,'Oxford Economics'!$A$6:$AZ$6,0),MATCH(D$5&amp;"",'Oxford Economics'!$A$6:$AZ$6,0))),'Oxford Economics'!$A$7:$A$1000,$C24,'Oxford Economics'!$B$7:$B$1000,Settings!$B$30)),(SUMIFS(INDEX('Oxford Economics'!$A$7:$AZ$1000,0,IFERROR(MATCH(D$5,'Oxford Economics'!$A$6:$AZ$6,0),MATCH(D$5&amp;"",'Oxford Economics'!$A$6:$AZ$6,0))),'Oxford Economics'!$A$7:$A$1000,$C24,'Oxford Economics'!$B$7:$B$1000,Settings!$B$30)+SUMIFS(INDEX('Oxford Economics'!$A$7:$AZ$1000,0,IFERROR(MATCH(D$5,'Oxford Economics'!$A$6:$AZ$6,0),MATCH(D$5&amp;"",'Oxford Economics'!$A$6:$AZ$6,0))),'Oxford Economics'!$A$7:$A$1000,$C24,'Oxford Economics'!$B$7:$B$1000,Settings!$B$31)))),""))</f>
        <v/>
      </c>
      <c r="E24" s="41" t="str">
        <f aca="false">IF($A24="","",IFERROR(1/(1/IF($B24="Residential",(SUMIFS(INDEX('Oxford Economics'!$A$7:$AZ$1000,0,IFERROR(MATCH(E$5,'Oxford Economics'!$A$6:$AZ$6,0),MATCH(E$5&amp;"",'Oxford Economics'!$A$6:$AZ$6,0))),'Oxford Economics'!$A$7:$A$1000,$C24,'Oxford Economics'!$B$7:$B$1000,Settings!$B$29)-SUMIFS(INDEX('Oxford Economics'!$A$7:$AZ$1000,0,IFERROR(MATCH(E$5,'Oxford Economics'!$A$6:$AZ$6,0),MATCH(E$5&amp;"",'Oxford Economics'!$A$6:$AZ$6,0))),'Oxford Economics'!$A$7:$A$1000,$C24,'Oxford Economics'!$B$7:$B$1000,Settings!$B$30)),(SUMIFS(INDEX('Oxford Economics'!$A$7:$AZ$1000,0,IFERROR(MATCH(E$5,'Oxford Economics'!$A$6:$AZ$6,0),MATCH(E$5&amp;"",'Oxford Economics'!$A$6:$AZ$6,0))),'Oxford Economics'!$A$7:$A$1000,$C24,'Oxford Economics'!$B$7:$B$1000,Settings!$B$30)+SUMIFS(INDEX('Oxford Economics'!$A$7:$AZ$1000,0,IFERROR(MATCH(E$5,'Oxford Economics'!$A$6:$AZ$6,0),MATCH(E$5&amp;"",'Oxford Economics'!$A$6:$AZ$6,0))),'Oxford Economics'!$A$7:$A$1000,$C24,'Oxford Economics'!$B$7:$B$1000,Settings!$B$31)))),""))</f>
        <v/>
      </c>
      <c r="F24" s="41" t="str">
        <f aca="false">IF($A24="","",IFERROR(1/(1/IF($B24="Residential",(SUMIFS(INDEX('Oxford Economics'!$A$7:$AZ$1000,0,IFERROR(MATCH(F$5,'Oxford Economics'!$A$6:$AZ$6,0),MATCH(F$5&amp;"",'Oxford Economics'!$A$6:$AZ$6,0))),'Oxford Economics'!$A$7:$A$1000,$C24,'Oxford Economics'!$B$7:$B$1000,Settings!$B$29)-SUMIFS(INDEX('Oxford Economics'!$A$7:$AZ$1000,0,IFERROR(MATCH(F$5,'Oxford Economics'!$A$6:$AZ$6,0),MATCH(F$5&amp;"",'Oxford Economics'!$A$6:$AZ$6,0))),'Oxford Economics'!$A$7:$A$1000,$C24,'Oxford Economics'!$B$7:$B$1000,Settings!$B$30)),(SUMIFS(INDEX('Oxford Economics'!$A$7:$AZ$1000,0,IFERROR(MATCH(F$5,'Oxford Economics'!$A$6:$AZ$6,0),MATCH(F$5&amp;"",'Oxford Economics'!$A$6:$AZ$6,0))),'Oxford Economics'!$A$7:$A$1000,$C24,'Oxford Economics'!$B$7:$B$1000,Settings!$B$30)+SUMIFS(INDEX('Oxford Economics'!$A$7:$AZ$1000,0,IFERROR(MATCH(F$5,'Oxford Economics'!$A$6:$AZ$6,0),MATCH(F$5&amp;"",'Oxford Economics'!$A$6:$AZ$6,0))),'Oxford Economics'!$A$7:$A$1000,$C24,'Oxford Economics'!$B$7:$B$1000,Settings!$B$31)))),""))</f>
        <v/>
      </c>
      <c r="G24" s="41" t="str">
        <f aca="false">IF($A24="","",IFERROR(1/(1/IF($B24="Residential",(SUMIFS(INDEX('Oxford Economics'!$A$7:$AZ$1000,0,IFERROR(MATCH(G$5,'Oxford Economics'!$A$6:$AZ$6,0),MATCH(G$5&amp;"",'Oxford Economics'!$A$6:$AZ$6,0))),'Oxford Economics'!$A$7:$A$1000,$C24,'Oxford Economics'!$B$7:$B$1000,Settings!$B$29)-SUMIFS(INDEX('Oxford Economics'!$A$7:$AZ$1000,0,IFERROR(MATCH(G$5,'Oxford Economics'!$A$6:$AZ$6,0),MATCH(G$5&amp;"",'Oxford Economics'!$A$6:$AZ$6,0))),'Oxford Economics'!$A$7:$A$1000,$C24,'Oxford Economics'!$B$7:$B$1000,Settings!$B$30)),(SUMIFS(INDEX('Oxford Economics'!$A$7:$AZ$1000,0,IFERROR(MATCH(G$5,'Oxford Economics'!$A$6:$AZ$6,0),MATCH(G$5&amp;"",'Oxford Economics'!$A$6:$AZ$6,0))),'Oxford Economics'!$A$7:$A$1000,$C24,'Oxford Economics'!$B$7:$B$1000,Settings!$B$30)+SUMIFS(INDEX('Oxford Economics'!$A$7:$AZ$1000,0,IFERROR(MATCH(G$5,'Oxford Economics'!$A$6:$AZ$6,0),MATCH(G$5&amp;"",'Oxford Economics'!$A$6:$AZ$6,0))),'Oxford Economics'!$A$7:$A$1000,$C24,'Oxford Economics'!$B$7:$B$1000,Settings!$B$31)))),""))</f>
        <v/>
      </c>
      <c r="H24" s="41" t="n">
        <f aca="false">IF($A24="","",IFERROR(1/(1/IF($B24="Residential",(SUMIFS(INDEX('Oxford Economics'!$A$7:$AZ$1000,0,IFERROR(MATCH(H$5,'Oxford Economics'!$A$6:$AZ$6,0),MATCH(H$5&amp;"",'Oxford Economics'!$A$6:$AZ$6,0))),'Oxford Economics'!$A$7:$A$1000,$C24,'Oxford Economics'!$B$7:$B$1000,Settings!$B$29)-SUMIFS(INDEX('Oxford Economics'!$A$7:$AZ$1000,0,IFERROR(MATCH(H$5,'Oxford Economics'!$A$6:$AZ$6,0),MATCH(H$5&amp;"",'Oxford Economics'!$A$6:$AZ$6,0))),'Oxford Economics'!$A$7:$A$1000,$C24,'Oxford Economics'!$B$7:$B$1000,Settings!$B$30)),(SUMIFS(INDEX('Oxford Economics'!$A$7:$AZ$1000,0,IFERROR(MATCH(H$5,'Oxford Economics'!$A$6:$AZ$6,0),MATCH(H$5&amp;"",'Oxford Economics'!$A$6:$AZ$6,0))),'Oxford Economics'!$A$7:$A$1000,$C24,'Oxford Economics'!$B$7:$B$1000,Settings!$B$30)+SUMIFS(INDEX('Oxford Economics'!$A$7:$AZ$1000,0,IFERROR(MATCH(H$5,'Oxford Economics'!$A$6:$AZ$6,0),MATCH(H$5&amp;"",'Oxford Economics'!$A$6:$AZ$6,0))),'Oxford Economics'!$A$7:$A$1000,$C24,'Oxford Economics'!$B$7:$B$1000,Settings!$B$31)))),""))</f>
        <v>7963.22</v>
      </c>
      <c r="I24" s="41" t="n">
        <f aca="false">IF($A24="","",IFERROR(1/(1/IF($B24="Residential",(SUMIFS(INDEX('Oxford Economics'!$A$7:$AZ$1000,0,IFERROR(MATCH(I$5,'Oxford Economics'!$A$6:$AZ$6,0),MATCH(I$5&amp;"",'Oxford Economics'!$A$6:$AZ$6,0))),'Oxford Economics'!$A$7:$A$1000,$C24,'Oxford Economics'!$B$7:$B$1000,Settings!$B$29)-SUMIFS(INDEX('Oxford Economics'!$A$7:$AZ$1000,0,IFERROR(MATCH(I$5,'Oxford Economics'!$A$6:$AZ$6,0),MATCH(I$5&amp;"",'Oxford Economics'!$A$6:$AZ$6,0))),'Oxford Economics'!$A$7:$A$1000,$C24,'Oxford Economics'!$B$7:$B$1000,Settings!$B$30)),(SUMIFS(INDEX('Oxford Economics'!$A$7:$AZ$1000,0,IFERROR(MATCH(I$5,'Oxford Economics'!$A$6:$AZ$6,0),MATCH(I$5&amp;"",'Oxford Economics'!$A$6:$AZ$6,0))),'Oxford Economics'!$A$7:$A$1000,$C24,'Oxford Economics'!$B$7:$B$1000,Settings!$B$30)+SUMIFS(INDEX('Oxford Economics'!$A$7:$AZ$1000,0,IFERROR(MATCH(I$5,'Oxford Economics'!$A$6:$AZ$6,0),MATCH(I$5&amp;"",'Oxford Economics'!$A$6:$AZ$6,0))),'Oxford Economics'!$A$7:$A$1000,$C24,'Oxford Economics'!$B$7:$B$1000,Settings!$B$31)))),""))</f>
        <v>7724.59</v>
      </c>
      <c r="J24" s="41" t="n">
        <f aca="false">IF($A24="","",IFERROR(1/(1/IF($B24="Residential",(SUMIFS(INDEX('Oxford Economics'!$A$7:$AZ$1000,0,IFERROR(MATCH(J$5,'Oxford Economics'!$A$6:$AZ$6,0),MATCH(J$5&amp;"",'Oxford Economics'!$A$6:$AZ$6,0))),'Oxford Economics'!$A$7:$A$1000,$C24,'Oxford Economics'!$B$7:$B$1000,Settings!$B$29)-SUMIFS(INDEX('Oxford Economics'!$A$7:$AZ$1000,0,IFERROR(MATCH(J$5,'Oxford Economics'!$A$6:$AZ$6,0),MATCH(J$5&amp;"",'Oxford Economics'!$A$6:$AZ$6,0))),'Oxford Economics'!$A$7:$A$1000,$C24,'Oxford Economics'!$B$7:$B$1000,Settings!$B$30)),(SUMIFS(INDEX('Oxford Economics'!$A$7:$AZ$1000,0,IFERROR(MATCH(J$5,'Oxford Economics'!$A$6:$AZ$6,0),MATCH(J$5&amp;"",'Oxford Economics'!$A$6:$AZ$6,0))),'Oxford Economics'!$A$7:$A$1000,$C24,'Oxford Economics'!$B$7:$B$1000,Settings!$B$30)+SUMIFS(INDEX('Oxford Economics'!$A$7:$AZ$1000,0,IFERROR(MATCH(J$5,'Oxford Economics'!$A$6:$AZ$6,0),MATCH(J$5&amp;"",'Oxford Economics'!$A$6:$AZ$6,0))),'Oxford Economics'!$A$7:$A$1000,$C24,'Oxford Economics'!$B$7:$B$1000,Settings!$B$31)))),""))</f>
        <v>7917.57</v>
      </c>
      <c r="K24" s="41" t="n">
        <f aca="false">IF($A24="","",IFERROR(1/(1/IF($B24="Residential",(SUMIFS(INDEX('Oxford Economics'!$A$7:$AZ$1000,0,IFERROR(MATCH(K$5,'Oxford Economics'!$A$6:$AZ$6,0),MATCH(K$5&amp;"",'Oxford Economics'!$A$6:$AZ$6,0))),'Oxford Economics'!$A$7:$A$1000,$C24,'Oxford Economics'!$B$7:$B$1000,Settings!$B$29)-SUMIFS(INDEX('Oxford Economics'!$A$7:$AZ$1000,0,IFERROR(MATCH(K$5,'Oxford Economics'!$A$6:$AZ$6,0),MATCH(K$5&amp;"",'Oxford Economics'!$A$6:$AZ$6,0))),'Oxford Economics'!$A$7:$A$1000,$C24,'Oxford Economics'!$B$7:$B$1000,Settings!$B$30)),(SUMIFS(INDEX('Oxford Economics'!$A$7:$AZ$1000,0,IFERROR(MATCH(K$5,'Oxford Economics'!$A$6:$AZ$6,0),MATCH(K$5&amp;"",'Oxford Economics'!$A$6:$AZ$6,0))),'Oxford Economics'!$A$7:$A$1000,$C24,'Oxford Economics'!$B$7:$B$1000,Settings!$B$30)+SUMIFS(INDEX('Oxford Economics'!$A$7:$AZ$1000,0,IFERROR(MATCH(K$5,'Oxford Economics'!$A$6:$AZ$6,0),MATCH(K$5&amp;"",'Oxford Economics'!$A$6:$AZ$6,0))),'Oxford Economics'!$A$7:$A$1000,$C24,'Oxford Economics'!$B$7:$B$1000,Settings!$B$31)))),""))</f>
        <v>8342.7</v>
      </c>
      <c r="L24" s="41" t="n">
        <f aca="false">IF($A24="","",IFERROR(1/(1/IF($B24="Residential",(SUMIFS(INDEX('Oxford Economics'!$A$7:$AZ$1000,0,IFERROR(MATCH(L$5,'Oxford Economics'!$A$6:$AZ$6,0),MATCH(L$5&amp;"",'Oxford Economics'!$A$6:$AZ$6,0))),'Oxford Economics'!$A$7:$A$1000,$C24,'Oxford Economics'!$B$7:$B$1000,Settings!$B$29)-SUMIFS(INDEX('Oxford Economics'!$A$7:$AZ$1000,0,IFERROR(MATCH(L$5,'Oxford Economics'!$A$6:$AZ$6,0),MATCH(L$5&amp;"",'Oxford Economics'!$A$6:$AZ$6,0))),'Oxford Economics'!$A$7:$A$1000,$C24,'Oxford Economics'!$B$7:$B$1000,Settings!$B$30)),(SUMIFS(INDEX('Oxford Economics'!$A$7:$AZ$1000,0,IFERROR(MATCH(L$5,'Oxford Economics'!$A$6:$AZ$6,0),MATCH(L$5&amp;"",'Oxford Economics'!$A$6:$AZ$6,0))),'Oxford Economics'!$A$7:$A$1000,$C24,'Oxford Economics'!$B$7:$B$1000,Settings!$B$30)+SUMIFS(INDEX('Oxford Economics'!$A$7:$AZ$1000,0,IFERROR(MATCH(L$5,'Oxford Economics'!$A$6:$AZ$6,0),MATCH(L$5&amp;"",'Oxford Economics'!$A$6:$AZ$6,0))),'Oxford Economics'!$A$7:$A$1000,$C24,'Oxford Economics'!$B$7:$B$1000,Settings!$B$31)))),""))</f>
        <v>8783.56</v>
      </c>
      <c r="M24" s="41" t="n">
        <f aca="false">IF($A24="","",IFERROR(1/(1/IF($B24="Residential",(SUMIFS(INDEX('Oxford Economics'!$A$7:$AZ$1000,0,IFERROR(MATCH(M$5,'Oxford Economics'!$A$6:$AZ$6,0),MATCH(M$5&amp;"",'Oxford Economics'!$A$6:$AZ$6,0))),'Oxford Economics'!$A$7:$A$1000,$C24,'Oxford Economics'!$B$7:$B$1000,Settings!$B$29)-SUMIFS(INDEX('Oxford Economics'!$A$7:$AZ$1000,0,IFERROR(MATCH(M$5,'Oxford Economics'!$A$6:$AZ$6,0),MATCH(M$5&amp;"",'Oxford Economics'!$A$6:$AZ$6,0))),'Oxford Economics'!$A$7:$A$1000,$C24,'Oxford Economics'!$B$7:$B$1000,Settings!$B$30)),(SUMIFS(INDEX('Oxford Economics'!$A$7:$AZ$1000,0,IFERROR(MATCH(M$5,'Oxford Economics'!$A$6:$AZ$6,0),MATCH(M$5&amp;"",'Oxford Economics'!$A$6:$AZ$6,0))),'Oxford Economics'!$A$7:$A$1000,$C24,'Oxford Economics'!$B$7:$B$1000,Settings!$B$30)+SUMIFS(INDEX('Oxford Economics'!$A$7:$AZ$1000,0,IFERROR(MATCH(M$5,'Oxford Economics'!$A$6:$AZ$6,0),MATCH(M$5&amp;"",'Oxford Economics'!$A$6:$AZ$6,0))),'Oxford Economics'!$A$7:$A$1000,$C24,'Oxford Economics'!$B$7:$B$1000,Settings!$B$31)))),""))</f>
        <v>9115.73</v>
      </c>
      <c r="N24" s="41" t="n">
        <f aca="false">IF($A24="","",IFERROR(1/(1/IF($B24="Residential",(SUMIFS(INDEX('Oxford Economics'!$A$7:$AZ$1000,0,IFERROR(MATCH(N$5,'Oxford Economics'!$A$6:$AZ$6,0),MATCH(N$5&amp;"",'Oxford Economics'!$A$6:$AZ$6,0))),'Oxford Economics'!$A$7:$A$1000,$C24,'Oxford Economics'!$B$7:$B$1000,Settings!$B$29)-SUMIFS(INDEX('Oxford Economics'!$A$7:$AZ$1000,0,IFERROR(MATCH(N$5,'Oxford Economics'!$A$6:$AZ$6,0),MATCH(N$5&amp;"",'Oxford Economics'!$A$6:$AZ$6,0))),'Oxford Economics'!$A$7:$A$1000,$C24,'Oxford Economics'!$B$7:$B$1000,Settings!$B$30)),(SUMIFS(INDEX('Oxford Economics'!$A$7:$AZ$1000,0,IFERROR(MATCH(N$5,'Oxford Economics'!$A$6:$AZ$6,0),MATCH(N$5&amp;"",'Oxford Economics'!$A$6:$AZ$6,0))),'Oxford Economics'!$A$7:$A$1000,$C24,'Oxford Economics'!$B$7:$B$1000,Settings!$B$30)+SUMIFS(INDEX('Oxford Economics'!$A$7:$AZ$1000,0,IFERROR(MATCH(N$5,'Oxford Economics'!$A$6:$AZ$6,0),MATCH(N$5&amp;"",'Oxford Economics'!$A$6:$AZ$6,0))),'Oxford Economics'!$A$7:$A$1000,$C24,'Oxford Economics'!$B$7:$B$1000,Settings!$B$31)))),""))</f>
        <v>9347.43</v>
      </c>
      <c r="O24" s="41" t="n">
        <f aca="false">IF($A24="","",IFERROR(1/(1/IF($B24="Residential",(SUMIFS(INDEX('Oxford Economics'!$A$7:$AZ$1000,0,IFERROR(MATCH(O$5,'Oxford Economics'!$A$6:$AZ$6,0),MATCH(O$5&amp;"",'Oxford Economics'!$A$6:$AZ$6,0))),'Oxford Economics'!$A$7:$A$1000,$C24,'Oxford Economics'!$B$7:$B$1000,Settings!$B$29)-SUMIFS(INDEX('Oxford Economics'!$A$7:$AZ$1000,0,IFERROR(MATCH(O$5,'Oxford Economics'!$A$6:$AZ$6,0),MATCH(O$5&amp;"",'Oxford Economics'!$A$6:$AZ$6,0))),'Oxford Economics'!$A$7:$A$1000,$C24,'Oxford Economics'!$B$7:$B$1000,Settings!$B$30)),(SUMIFS(INDEX('Oxford Economics'!$A$7:$AZ$1000,0,IFERROR(MATCH(O$5,'Oxford Economics'!$A$6:$AZ$6,0),MATCH(O$5&amp;"",'Oxford Economics'!$A$6:$AZ$6,0))),'Oxford Economics'!$A$7:$A$1000,$C24,'Oxford Economics'!$B$7:$B$1000,Settings!$B$30)+SUMIFS(INDEX('Oxford Economics'!$A$7:$AZ$1000,0,IFERROR(MATCH(O$5,'Oxford Economics'!$A$6:$AZ$6,0),MATCH(O$5&amp;"",'Oxford Economics'!$A$6:$AZ$6,0))),'Oxford Economics'!$A$7:$A$1000,$C24,'Oxford Economics'!$B$7:$B$1000,Settings!$B$31)))),""))</f>
        <v>9512</v>
      </c>
    </row>
    <row r="25" customFormat="false" ht="15" hidden="false" customHeight="false" outlineLevel="0" collapsed="false">
      <c r="A25" s="40" t="str">
        <f aca="false">IF('Raw data'!$A25="","",'Raw data'!$A25)</f>
        <v>Austria</v>
      </c>
      <c r="B25" s="40" t="str">
        <f aca="false">IF($A25="","",'Raw data'!$C25)</f>
        <v>Non-residential</v>
      </c>
      <c r="C25" s="40" t="str">
        <f aca="false">IF($A25="","",IF('Raw data'!$D25="",$A25,'Raw data'!$D25))</f>
        <v>Austria</v>
      </c>
      <c r="D25" s="41" t="str">
        <f aca="false">IF($A25="","",IFERROR(1/(1/IF($B25="Residential",(SUMIFS(INDEX('Oxford Economics'!$A$7:$AZ$1000,0,IFERROR(MATCH(D$5,'Oxford Economics'!$A$6:$AZ$6,0),MATCH(D$5&amp;"",'Oxford Economics'!$A$6:$AZ$6,0))),'Oxford Economics'!$A$7:$A$1000,$C25,'Oxford Economics'!$B$7:$B$1000,Settings!$B$29)-SUMIFS(INDEX('Oxford Economics'!$A$7:$AZ$1000,0,IFERROR(MATCH(D$5,'Oxford Economics'!$A$6:$AZ$6,0),MATCH(D$5&amp;"",'Oxford Economics'!$A$6:$AZ$6,0))),'Oxford Economics'!$A$7:$A$1000,$C25,'Oxford Economics'!$B$7:$B$1000,Settings!$B$30)),(SUMIFS(INDEX('Oxford Economics'!$A$7:$AZ$1000,0,IFERROR(MATCH(D$5,'Oxford Economics'!$A$6:$AZ$6,0),MATCH(D$5&amp;"",'Oxford Economics'!$A$6:$AZ$6,0))),'Oxford Economics'!$A$7:$A$1000,$C25,'Oxford Economics'!$B$7:$B$1000,Settings!$B$30)+SUMIFS(INDEX('Oxford Economics'!$A$7:$AZ$1000,0,IFERROR(MATCH(D$5,'Oxford Economics'!$A$6:$AZ$6,0),MATCH(D$5&amp;"",'Oxford Economics'!$A$6:$AZ$6,0))),'Oxford Economics'!$A$7:$A$1000,$C25,'Oxford Economics'!$B$7:$B$1000,Settings!$B$31)))),""))</f>
        <v/>
      </c>
      <c r="E25" s="41" t="str">
        <f aca="false">IF($A25="","",IFERROR(1/(1/IF($B25="Residential",(SUMIFS(INDEX('Oxford Economics'!$A$7:$AZ$1000,0,IFERROR(MATCH(E$5,'Oxford Economics'!$A$6:$AZ$6,0),MATCH(E$5&amp;"",'Oxford Economics'!$A$6:$AZ$6,0))),'Oxford Economics'!$A$7:$A$1000,$C25,'Oxford Economics'!$B$7:$B$1000,Settings!$B$29)-SUMIFS(INDEX('Oxford Economics'!$A$7:$AZ$1000,0,IFERROR(MATCH(E$5,'Oxford Economics'!$A$6:$AZ$6,0),MATCH(E$5&amp;"",'Oxford Economics'!$A$6:$AZ$6,0))),'Oxford Economics'!$A$7:$A$1000,$C25,'Oxford Economics'!$B$7:$B$1000,Settings!$B$30)),(SUMIFS(INDEX('Oxford Economics'!$A$7:$AZ$1000,0,IFERROR(MATCH(E$5,'Oxford Economics'!$A$6:$AZ$6,0),MATCH(E$5&amp;"",'Oxford Economics'!$A$6:$AZ$6,0))),'Oxford Economics'!$A$7:$A$1000,$C25,'Oxford Economics'!$B$7:$B$1000,Settings!$B$30)+SUMIFS(INDEX('Oxford Economics'!$A$7:$AZ$1000,0,IFERROR(MATCH(E$5,'Oxford Economics'!$A$6:$AZ$6,0),MATCH(E$5&amp;"",'Oxford Economics'!$A$6:$AZ$6,0))),'Oxford Economics'!$A$7:$A$1000,$C25,'Oxford Economics'!$B$7:$B$1000,Settings!$B$31)))),""))</f>
        <v/>
      </c>
      <c r="F25" s="41" t="str">
        <f aca="false">IF($A25="","",IFERROR(1/(1/IF($B25="Residential",(SUMIFS(INDEX('Oxford Economics'!$A$7:$AZ$1000,0,IFERROR(MATCH(F$5,'Oxford Economics'!$A$6:$AZ$6,0),MATCH(F$5&amp;"",'Oxford Economics'!$A$6:$AZ$6,0))),'Oxford Economics'!$A$7:$A$1000,$C25,'Oxford Economics'!$B$7:$B$1000,Settings!$B$29)-SUMIFS(INDEX('Oxford Economics'!$A$7:$AZ$1000,0,IFERROR(MATCH(F$5,'Oxford Economics'!$A$6:$AZ$6,0),MATCH(F$5&amp;"",'Oxford Economics'!$A$6:$AZ$6,0))),'Oxford Economics'!$A$7:$A$1000,$C25,'Oxford Economics'!$B$7:$B$1000,Settings!$B$30)),(SUMIFS(INDEX('Oxford Economics'!$A$7:$AZ$1000,0,IFERROR(MATCH(F$5,'Oxford Economics'!$A$6:$AZ$6,0),MATCH(F$5&amp;"",'Oxford Economics'!$A$6:$AZ$6,0))),'Oxford Economics'!$A$7:$A$1000,$C25,'Oxford Economics'!$B$7:$B$1000,Settings!$B$30)+SUMIFS(INDEX('Oxford Economics'!$A$7:$AZ$1000,0,IFERROR(MATCH(F$5,'Oxford Economics'!$A$6:$AZ$6,0),MATCH(F$5&amp;"",'Oxford Economics'!$A$6:$AZ$6,0))),'Oxford Economics'!$A$7:$A$1000,$C25,'Oxford Economics'!$B$7:$B$1000,Settings!$B$31)))),""))</f>
        <v/>
      </c>
      <c r="G25" s="41" t="str">
        <f aca="false">IF($A25="","",IFERROR(1/(1/IF($B25="Residential",(SUMIFS(INDEX('Oxford Economics'!$A$7:$AZ$1000,0,IFERROR(MATCH(G$5,'Oxford Economics'!$A$6:$AZ$6,0),MATCH(G$5&amp;"",'Oxford Economics'!$A$6:$AZ$6,0))),'Oxford Economics'!$A$7:$A$1000,$C25,'Oxford Economics'!$B$7:$B$1000,Settings!$B$29)-SUMIFS(INDEX('Oxford Economics'!$A$7:$AZ$1000,0,IFERROR(MATCH(G$5,'Oxford Economics'!$A$6:$AZ$6,0),MATCH(G$5&amp;"",'Oxford Economics'!$A$6:$AZ$6,0))),'Oxford Economics'!$A$7:$A$1000,$C25,'Oxford Economics'!$B$7:$B$1000,Settings!$B$30)),(SUMIFS(INDEX('Oxford Economics'!$A$7:$AZ$1000,0,IFERROR(MATCH(G$5,'Oxford Economics'!$A$6:$AZ$6,0),MATCH(G$5&amp;"",'Oxford Economics'!$A$6:$AZ$6,0))),'Oxford Economics'!$A$7:$A$1000,$C25,'Oxford Economics'!$B$7:$B$1000,Settings!$B$30)+SUMIFS(INDEX('Oxford Economics'!$A$7:$AZ$1000,0,IFERROR(MATCH(G$5,'Oxford Economics'!$A$6:$AZ$6,0),MATCH(G$5&amp;"",'Oxford Economics'!$A$6:$AZ$6,0))),'Oxford Economics'!$A$7:$A$1000,$C25,'Oxford Economics'!$B$7:$B$1000,Settings!$B$31)))),""))</f>
        <v/>
      </c>
      <c r="H25" s="41" t="n">
        <f aca="false">IF($A25="","",IFERROR(1/(1/IF($B25="Residential",(SUMIFS(INDEX('Oxford Economics'!$A$7:$AZ$1000,0,IFERROR(MATCH(H$5,'Oxford Economics'!$A$6:$AZ$6,0),MATCH(H$5&amp;"",'Oxford Economics'!$A$6:$AZ$6,0))),'Oxford Economics'!$A$7:$A$1000,$C25,'Oxford Economics'!$B$7:$B$1000,Settings!$B$29)-SUMIFS(INDEX('Oxford Economics'!$A$7:$AZ$1000,0,IFERROR(MATCH(H$5,'Oxford Economics'!$A$6:$AZ$6,0),MATCH(H$5&amp;"",'Oxford Economics'!$A$6:$AZ$6,0))),'Oxford Economics'!$A$7:$A$1000,$C25,'Oxford Economics'!$B$7:$B$1000,Settings!$B$30)),(SUMIFS(INDEX('Oxford Economics'!$A$7:$AZ$1000,0,IFERROR(MATCH(H$5,'Oxford Economics'!$A$6:$AZ$6,0),MATCH(H$5&amp;"",'Oxford Economics'!$A$6:$AZ$6,0))),'Oxford Economics'!$A$7:$A$1000,$C25,'Oxford Economics'!$B$7:$B$1000,Settings!$B$30)+SUMIFS(INDEX('Oxford Economics'!$A$7:$AZ$1000,0,IFERROR(MATCH(H$5,'Oxford Economics'!$A$6:$AZ$6,0),MATCH(H$5&amp;"",'Oxford Economics'!$A$6:$AZ$6,0))),'Oxford Economics'!$A$7:$A$1000,$C25,'Oxford Economics'!$B$7:$B$1000,Settings!$B$31)))),""))</f>
        <v>22967.54</v>
      </c>
      <c r="I25" s="41" t="n">
        <f aca="false">IF($A25="","",IFERROR(1/(1/IF($B25="Residential",(SUMIFS(INDEX('Oxford Economics'!$A$7:$AZ$1000,0,IFERROR(MATCH(I$5,'Oxford Economics'!$A$6:$AZ$6,0),MATCH(I$5&amp;"",'Oxford Economics'!$A$6:$AZ$6,0))),'Oxford Economics'!$A$7:$A$1000,$C25,'Oxford Economics'!$B$7:$B$1000,Settings!$B$29)-SUMIFS(INDEX('Oxford Economics'!$A$7:$AZ$1000,0,IFERROR(MATCH(I$5,'Oxford Economics'!$A$6:$AZ$6,0),MATCH(I$5&amp;"",'Oxford Economics'!$A$6:$AZ$6,0))),'Oxford Economics'!$A$7:$A$1000,$C25,'Oxford Economics'!$B$7:$B$1000,Settings!$B$30)),(SUMIFS(INDEX('Oxford Economics'!$A$7:$AZ$1000,0,IFERROR(MATCH(I$5,'Oxford Economics'!$A$6:$AZ$6,0),MATCH(I$5&amp;"",'Oxford Economics'!$A$6:$AZ$6,0))),'Oxford Economics'!$A$7:$A$1000,$C25,'Oxford Economics'!$B$7:$B$1000,Settings!$B$30)+SUMIFS(INDEX('Oxford Economics'!$A$7:$AZ$1000,0,IFERROR(MATCH(I$5,'Oxford Economics'!$A$6:$AZ$6,0),MATCH(I$5&amp;"",'Oxford Economics'!$A$6:$AZ$6,0))),'Oxford Economics'!$A$7:$A$1000,$C25,'Oxford Economics'!$B$7:$B$1000,Settings!$B$31)))),""))</f>
        <v>21958.65</v>
      </c>
      <c r="J25" s="41" t="n">
        <f aca="false">IF($A25="","",IFERROR(1/(1/IF($B25="Residential",(SUMIFS(INDEX('Oxford Economics'!$A$7:$AZ$1000,0,IFERROR(MATCH(J$5,'Oxford Economics'!$A$6:$AZ$6,0),MATCH(J$5&amp;"",'Oxford Economics'!$A$6:$AZ$6,0))),'Oxford Economics'!$A$7:$A$1000,$C25,'Oxford Economics'!$B$7:$B$1000,Settings!$B$29)-SUMIFS(INDEX('Oxford Economics'!$A$7:$AZ$1000,0,IFERROR(MATCH(J$5,'Oxford Economics'!$A$6:$AZ$6,0),MATCH(J$5&amp;"",'Oxford Economics'!$A$6:$AZ$6,0))),'Oxford Economics'!$A$7:$A$1000,$C25,'Oxford Economics'!$B$7:$B$1000,Settings!$B$30)),(SUMIFS(INDEX('Oxford Economics'!$A$7:$AZ$1000,0,IFERROR(MATCH(J$5,'Oxford Economics'!$A$6:$AZ$6,0),MATCH(J$5&amp;"",'Oxford Economics'!$A$6:$AZ$6,0))),'Oxford Economics'!$A$7:$A$1000,$C25,'Oxford Economics'!$B$7:$B$1000,Settings!$B$30)+SUMIFS(INDEX('Oxford Economics'!$A$7:$AZ$1000,0,IFERROR(MATCH(J$5,'Oxford Economics'!$A$6:$AZ$6,0),MATCH(J$5&amp;"",'Oxford Economics'!$A$6:$AZ$6,0))),'Oxford Economics'!$A$7:$A$1000,$C25,'Oxford Economics'!$B$7:$B$1000,Settings!$B$31)))),""))</f>
        <v>22659.23</v>
      </c>
      <c r="K25" s="41" t="n">
        <f aca="false">IF($A25="","",IFERROR(1/(1/IF($B25="Residential",(SUMIFS(INDEX('Oxford Economics'!$A$7:$AZ$1000,0,IFERROR(MATCH(K$5,'Oxford Economics'!$A$6:$AZ$6,0),MATCH(K$5&amp;"",'Oxford Economics'!$A$6:$AZ$6,0))),'Oxford Economics'!$A$7:$A$1000,$C25,'Oxford Economics'!$B$7:$B$1000,Settings!$B$29)-SUMIFS(INDEX('Oxford Economics'!$A$7:$AZ$1000,0,IFERROR(MATCH(K$5,'Oxford Economics'!$A$6:$AZ$6,0),MATCH(K$5&amp;"",'Oxford Economics'!$A$6:$AZ$6,0))),'Oxford Economics'!$A$7:$A$1000,$C25,'Oxford Economics'!$B$7:$B$1000,Settings!$B$30)),(SUMIFS(INDEX('Oxford Economics'!$A$7:$AZ$1000,0,IFERROR(MATCH(K$5,'Oxford Economics'!$A$6:$AZ$6,0),MATCH(K$5&amp;"",'Oxford Economics'!$A$6:$AZ$6,0))),'Oxford Economics'!$A$7:$A$1000,$C25,'Oxford Economics'!$B$7:$B$1000,Settings!$B$30)+SUMIFS(INDEX('Oxford Economics'!$A$7:$AZ$1000,0,IFERROR(MATCH(K$5,'Oxford Economics'!$A$6:$AZ$6,0),MATCH(K$5&amp;"",'Oxford Economics'!$A$6:$AZ$6,0))),'Oxford Economics'!$A$7:$A$1000,$C25,'Oxford Economics'!$B$7:$B$1000,Settings!$B$31)))),""))</f>
        <v>23267.17</v>
      </c>
      <c r="L25" s="41" t="n">
        <f aca="false">IF($A25="","",IFERROR(1/(1/IF($B25="Residential",(SUMIFS(INDEX('Oxford Economics'!$A$7:$AZ$1000,0,IFERROR(MATCH(L$5,'Oxford Economics'!$A$6:$AZ$6,0),MATCH(L$5&amp;"",'Oxford Economics'!$A$6:$AZ$6,0))),'Oxford Economics'!$A$7:$A$1000,$C25,'Oxford Economics'!$B$7:$B$1000,Settings!$B$29)-SUMIFS(INDEX('Oxford Economics'!$A$7:$AZ$1000,0,IFERROR(MATCH(L$5,'Oxford Economics'!$A$6:$AZ$6,0),MATCH(L$5&amp;"",'Oxford Economics'!$A$6:$AZ$6,0))),'Oxford Economics'!$A$7:$A$1000,$C25,'Oxford Economics'!$B$7:$B$1000,Settings!$B$30)),(SUMIFS(INDEX('Oxford Economics'!$A$7:$AZ$1000,0,IFERROR(MATCH(L$5,'Oxford Economics'!$A$6:$AZ$6,0),MATCH(L$5&amp;"",'Oxford Economics'!$A$6:$AZ$6,0))),'Oxford Economics'!$A$7:$A$1000,$C25,'Oxford Economics'!$B$7:$B$1000,Settings!$B$30)+SUMIFS(INDEX('Oxford Economics'!$A$7:$AZ$1000,0,IFERROR(MATCH(L$5,'Oxford Economics'!$A$6:$AZ$6,0),MATCH(L$5&amp;"",'Oxford Economics'!$A$6:$AZ$6,0))),'Oxford Economics'!$A$7:$A$1000,$C25,'Oxford Economics'!$B$7:$B$1000,Settings!$B$31)))),""))</f>
        <v>23988.85</v>
      </c>
      <c r="M25" s="41" t="n">
        <f aca="false">IF($A25="","",IFERROR(1/(1/IF($B25="Residential",(SUMIFS(INDEX('Oxford Economics'!$A$7:$AZ$1000,0,IFERROR(MATCH(M$5,'Oxford Economics'!$A$6:$AZ$6,0),MATCH(M$5&amp;"",'Oxford Economics'!$A$6:$AZ$6,0))),'Oxford Economics'!$A$7:$A$1000,$C25,'Oxford Economics'!$B$7:$B$1000,Settings!$B$29)-SUMIFS(INDEX('Oxford Economics'!$A$7:$AZ$1000,0,IFERROR(MATCH(M$5,'Oxford Economics'!$A$6:$AZ$6,0),MATCH(M$5&amp;"",'Oxford Economics'!$A$6:$AZ$6,0))),'Oxford Economics'!$A$7:$A$1000,$C25,'Oxford Economics'!$B$7:$B$1000,Settings!$B$30)),(SUMIFS(INDEX('Oxford Economics'!$A$7:$AZ$1000,0,IFERROR(MATCH(M$5,'Oxford Economics'!$A$6:$AZ$6,0),MATCH(M$5&amp;"",'Oxford Economics'!$A$6:$AZ$6,0))),'Oxford Economics'!$A$7:$A$1000,$C25,'Oxford Economics'!$B$7:$B$1000,Settings!$B$30)+SUMIFS(INDEX('Oxford Economics'!$A$7:$AZ$1000,0,IFERROR(MATCH(M$5,'Oxford Economics'!$A$6:$AZ$6,0),MATCH(M$5&amp;"",'Oxford Economics'!$A$6:$AZ$6,0))),'Oxford Economics'!$A$7:$A$1000,$C25,'Oxford Economics'!$B$7:$B$1000,Settings!$B$31)))),""))</f>
        <v>24640.9</v>
      </c>
      <c r="N25" s="41" t="n">
        <f aca="false">IF($A25="","",IFERROR(1/(1/IF($B25="Residential",(SUMIFS(INDEX('Oxford Economics'!$A$7:$AZ$1000,0,IFERROR(MATCH(N$5,'Oxford Economics'!$A$6:$AZ$6,0),MATCH(N$5&amp;"",'Oxford Economics'!$A$6:$AZ$6,0))),'Oxford Economics'!$A$7:$A$1000,$C25,'Oxford Economics'!$B$7:$B$1000,Settings!$B$29)-SUMIFS(INDEX('Oxford Economics'!$A$7:$AZ$1000,0,IFERROR(MATCH(N$5,'Oxford Economics'!$A$6:$AZ$6,0),MATCH(N$5&amp;"",'Oxford Economics'!$A$6:$AZ$6,0))),'Oxford Economics'!$A$7:$A$1000,$C25,'Oxford Economics'!$B$7:$B$1000,Settings!$B$30)),(SUMIFS(INDEX('Oxford Economics'!$A$7:$AZ$1000,0,IFERROR(MATCH(N$5,'Oxford Economics'!$A$6:$AZ$6,0),MATCH(N$5&amp;"",'Oxford Economics'!$A$6:$AZ$6,0))),'Oxford Economics'!$A$7:$A$1000,$C25,'Oxford Economics'!$B$7:$B$1000,Settings!$B$30)+SUMIFS(INDEX('Oxford Economics'!$A$7:$AZ$1000,0,IFERROR(MATCH(N$5,'Oxford Economics'!$A$6:$AZ$6,0),MATCH(N$5&amp;"",'Oxford Economics'!$A$6:$AZ$6,0))),'Oxford Economics'!$A$7:$A$1000,$C25,'Oxford Economics'!$B$7:$B$1000,Settings!$B$31)))),""))</f>
        <v>25216.02</v>
      </c>
      <c r="O25" s="41" t="n">
        <f aca="false">IF($A25="","",IFERROR(1/(1/IF($B25="Residential",(SUMIFS(INDEX('Oxford Economics'!$A$7:$AZ$1000,0,IFERROR(MATCH(O$5,'Oxford Economics'!$A$6:$AZ$6,0),MATCH(O$5&amp;"",'Oxford Economics'!$A$6:$AZ$6,0))),'Oxford Economics'!$A$7:$A$1000,$C25,'Oxford Economics'!$B$7:$B$1000,Settings!$B$29)-SUMIFS(INDEX('Oxford Economics'!$A$7:$AZ$1000,0,IFERROR(MATCH(O$5,'Oxford Economics'!$A$6:$AZ$6,0),MATCH(O$5&amp;"",'Oxford Economics'!$A$6:$AZ$6,0))),'Oxford Economics'!$A$7:$A$1000,$C25,'Oxford Economics'!$B$7:$B$1000,Settings!$B$30)),(SUMIFS(INDEX('Oxford Economics'!$A$7:$AZ$1000,0,IFERROR(MATCH(O$5,'Oxford Economics'!$A$6:$AZ$6,0),MATCH(O$5&amp;"",'Oxford Economics'!$A$6:$AZ$6,0))),'Oxford Economics'!$A$7:$A$1000,$C25,'Oxford Economics'!$B$7:$B$1000,Settings!$B$30)+SUMIFS(INDEX('Oxford Economics'!$A$7:$AZ$1000,0,IFERROR(MATCH(O$5,'Oxford Economics'!$A$6:$AZ$6,0),MATCH(O$5&amp;"",'Oxford Economics'!$A$6:$AZ$6,0))),'Oxford Economics'!$A$7:$A$1000,$C25,'Oxford Economics'!$B$7:$B$1000,Settings!$B$31)))),""))</f>
        <v>25728.42</v>
      </c>
    </row>
    <row r="26" customFormat="false" ht="15" hidden="false" customHeight="false" outlineLevel="0" collapsed="false">
      <c r="A26" s="40" t="str">
        <f aca="false">IF('Raw data'!$A26="","",'Raw data'!$A26)</f>
        <v>Switzerland</v>
      </c>
      <c r="B26" s="40" t="str">
        <f aca="false">IF($A26="","",'Raw data'!$C26)</f>
        <v>Residential</v>
      </c>
      <c r="C26" s="40" t="str">
        <f aca="false">IF($A26="","",IF('Raw data'!$D26="",$A26,'Raw data'!$D26))</f>
        <v>Switzerland</v>
      </c>
      <c r="D26" s="41" t="str">
        <f aca="false">IF($A26="","",IFERROR(1/(1/IF($B26="Residential",(SUMIFS(INDEX('Oxford Economics'!$A$7:$AZ$1000,0,IFERROR(MATCH(D$5,'Oxford Economics'!$A$6:$AZ$6,0),MATCH(D$5&amp;"",'Oxford Economics'!$A$6:$AZ$6,0))),'Oxford Economics'!$A$7:$A$1000,$C26,'Oxford Economics'!$B$7:$B$1000,Settings!$B$29)-SUMIFS(INDEX('Oxford Economics'!$A$7:$AZ$1000,0,IFERROR(MATCH(D$5,'Oxford Economics'!$A$6:$AZ$6,0),MATCH(D$5&amp;"",'Oxford Economics'!$A$6:$AZ$6,0))),'Oxford Economics'!$A$7:$A$1000,$C26,'Oxford Economics'!$B$7:$B$1000,Settings!$B$30)),(SUMIFS(INDEX('Oxford Economics'!$A$7:$AZ$1000,0,IFERROR(MATCH(D$5,'Oxford Economics'!$A$6:$AZ$6,0),MATCH(D$5&amp;"",'Oxford Economics'!$A$6:$AZ$6,0))),'Oxford Economics'!$A$7:$A$1000,$C26,'Oxford Economics'!$B$7:$B$1000,Settings!$B$30)+SUMIFS(INDEX('Oxford Economics'!$A$7:$AZ$1000,0,IFERROR(MATCH(D$5,'Oxford Economics'!$A$6:$AZ$6,0),MATCH(D$5&amp;"",'Oxford Economics'!$A$6:$AZ$6,0))),'Oxford Economics'!$A$7:$A$1000,$C26,'Oxford Economics'!$B$7:$B$1000,Settings!$B$31)))),""))</f>
        <v/>
      </c>
      <c r="E26" s="41" t="str">
        <f aca="false">IF($A26="","",IFERROR(1/(1/IF($B26="Residential",(SUMIFS(INDEX('Oxford Economics'!$A$7:$AZ$1000,0,IFERROR(MATCH(E$5,'Oxford Economics'!$A$6:$AZ$6,0),MATCH(E$5&amp;"",'Oxford Economics'!$A$6:$AZ$6,0))),'Oxford Economics'!$A$7:$A$1000,$C26,'Oxford Economics'!$B$7:$B$1000,Settings!$B$29)-SUMIFS(INDEX('Oxford Economics'!$A$7:$AZ$1000,0,IFERROR(MATCH(E$5,'Oxford Economics'!$A$6:$AZ$6,0),MATCH(E$5&amp;"",'Oxford Economics'!$A$6:$AZ$6,0))),'Oxford Economics'!$A$7:$A$1000,$C26,'Oxford Economics'!$B$7:$B$1000,Settings!$B$30)),(SUMIFS(INDEX('Oxford Economics'!$A$7:$AZ$1000,0,IFERROR(MATCH(E$5,'Oxford Economics'!$A$6:$AZ$6,0),MATCH(E$5&amp;"",'Oxford Economics'!$A$6:$AZ$6,0))),'Oxford Economics'!$A$7:$A$1000,$C26,'Oxford Economics'!$B$7:$B$1000,Settings!$B$30)+SUMIFS(INDEX('Oxford Economics'!$A$7:$AZ$1000,0,IFERROR(MATCH(E$5,'Oxford Economics'!$A$6:$AZ$6,0),MATCH(E$5&amp;"",'Oxford Economics'!$A$6:$AZ$6,0))),'Oxford Economics'!$A$7:$A$1000,$C26,'Oxford Economics'!$B$7:$B$1000,Settings!$B$31)))),""))</f>
        <v/>
      </c>
      <c r="F26" s="41" t="str">
        <f aca="false">IF($A26="","",IFERROR(1/(1/IF($B26="Residential",(SUMIFS(INDEX('Oxford Economics'!$A$7:$AZ$1000,0,IFERROR(MATCH(F$5,'Oxford Economics'!$A$6:$AZ$6,0),MATCH(F$5&amp;"",'Oxford Economics'!$A$6:$AZ$6,0))),'Oxford Economics'!$A$7:$A$1000,$C26,'Oxford Economics'!$B$7:$B$1000,Settings!$B$29)-SUMIFS(INDEX('Oxford Economics'!$A$7:$AZ$1000,0,IFERROR(MATCH(F$5,'Oxford Economics'!$A$6:$AZ$6,0),MATCH(F$5&amp;"",'Oxford Economics'!$A$6:$AZ$6,0))),'Oxford Economics'!$A$7:$A$1000,$C26,'Oxford Economics'!$B$7:$B$1000,Settings!$B$30)),(SUMIFS(INDEX('Oxford Economics'!$A$7:$AZ$1000,0,IFERROR(MATCH(F$5,'Oxford Economics'!$A$6:$AZ$6,0),MATCH(F$5&amp;"",'Oxford Economics'!$A$6:$AZ$6,0))),'Oxford Economics'!$A$7:$A$1000,$C26,'Oxford Economics'!$B$7:$B$1000,Settings!$B$30)+SUMIFS(INDEX('Oxford Economics'!$A$7:$AZ$1000,0,IFERROR(MATCH(F$5,'Oxford Economics'!$A$6:$AZ$6,0),MATCH(F$5&amp;"",'Oxford Economics'!$A$6:$AZ$6,0))),'Oxford Economics'!$A$7:$A$1000,$C26,'Oxford Economics'!$B$7:$B$1000,Settings!$B$31)))),""))</f>
        <v/>
      </c>
      <c r="G26" s="41" t="str">
        <f aca="false">IF($A26="","",IFERROR(1/(1/IF($B26="Residential",(SUMIFS(INDEX('Oxford Economics'!$A$7:$AZ$1000,0,IFERROR(MATCH(G$5,'Oxford Economics'!$A$6:$AZ$6,0),MATCH(G$5&amp;"",'Oxford Economics'!$A$6:$AZ$6,0))),'Oxford Economics'!$A$7:$A$1000,$C26,'Oxford Economics'!$B$7:$B$1000,Settings!$B$29)-SUMIFS(INDEX('Oxford Economics'!$A$7:$AZ$1000,0,IFERROR(MATCH(G$5,'Oxford Economics'!$A$6:$AZ$6,0),MATCH(G$5&amp;"",'Oxford Economics'!$A$6:$AZ$6,0))),'Oxford Economics'!$A$7:$A$1000,$C26,'Oxford Economics'!$B$7:$B$1000,Settings!$B$30)),(SUMIFS(INDEX('Oxford Economics'!$A$7:$AZ$1000,0,IFERROR(MATCH(G$5,'Oxford Economics'!$A$6:$AZ$6,0),MATCH(G$5&amp;"",'Oxford Economics'!$A$6:$AZ$6,0))),'Oxford Economics'!$A$7:$A$1000,$C26,'Oxford Economics'!$B$7:$B$1000,Settings!$B$30)+SUMIFS(INDEX('Oxford Economics'!$A$7:$AZ$1000,0,IFERROR(MATCH(G$5,'Oxford Economics'!$A$6:$AZ$6,0),MATCH(G$5&amp;"",'Oxford Economics'!$A$6:$AZ$6,0))),'Oxford Economics'!$A$7:$A$1000,$C26,'Oxford Economics'!$B$7:$B$1000,Settings!$B$31)))),""))</f>
        <v/>
      </c>
      <c r="H26" s="41" t="n">
        <f aca="false">IF($A26="","",IFERROR(1/(1/IF($B26="Residential",(SUMIFS(INDEX('Oxford Economics'!$A$7:$AZ$1000,0,IFERROR(MATCH(H$5,'Oxford Economics'!$A$6:$AZ$6,0),MATCH(H$5&amp;"",'Oxford Economics'!$A$6:$AZ$6,0))),'Oxford Economics'!$A$7:$A$1000,$C26,'Oxford Economics'!$B$7:$B$1000,Settings!$B$29)-SUMIFS(INDEX('Oxford Economics'!$A$7:$AZ$1000,0,IFERROR(MATCH(H$5,'Oxford Economics'!$A$6:$AZ$6,0),MATCH(H$5&amp;"",'Oxford Economics'!$A$6:$AZ$6,0))),'Oxford Economics'!$A$7:$A$1000,$C26,'Oxford Economics'!$B$7:$B$1000,Settings!$B$30)),(SUMIFS(INDEX('Oxford Economics'!$A$7:$AZ$1000,0,IFERROR(MATCH(H$5,'Oxford Economics'!$A$6:$AZ$6,0),MATCH(H$5&amp;"",'Oxford Economics'!$A$6:$AZ$6,0))),'Oxford Economics'!$A$7:$A$1000,$C26,'Oxford Economics'!$B$7:$B$1000,Settings!$B$30)+SUMIFS(INDEX('Oxford Economics'!$A$7:$AZ$1000,0,IFERROR(MATCH(H$5,'Oxford Economics'!$A$6:$AZ$6,0),MATCH(H$5&amp;"",'Oxford Economics'!$A$6:$AZ$6,0))),'Oxford Economics'!$A$7:$A$1000,$C26,'Oxford Economics'!$B$7:$B$1000,Settings!$B$31)))),""))</f>
        <v>6812.65</v>
      </c>
      <c r="I26" s="41" t="n">
        <f aca="false">IF($A26="","",IFERROR(1/(1/IF($B26="Residential",(SUMIFS(INDEX('Oxford Economics'!$A$7:$AZ$1000,0,IFERROR(MATCH(I$5,'Oxford Economics'!$A$6:$AZ$6,0),MATCH(I$5&amp;"",'Oxford Economics'!$A$6:$AZ$6,0))),'Oxford Economics'!$A$7:$A$1000,$C26,'Oxford Economics'!$B$7:$B$1000,Settings!$B$29)-SUMIFS(INDEX('Oxford Economics'!$A$7:$AZ$1000,0,IFERROR(MATCH(I$5,'Oxford Economics'!$A$6:$AZ$6,0),MATCH(I$5&amp;"",'Oxford Economics'!$A$6:$AZ$6,0))),'Oxford Economics'!$A$7:$A$1000,$C26,'Oxford Economics'!$B$7:$B$1000,Settings!$B$30)),(SUMIFS(INDEX('Oxford Economics'!$A$7:$AZ$1000,0,IFERROR(MATCH(I$5,'Oxford Economics'!$A$6:$AZ$6,0),MATCH(I$5&amp;"",'Oxford Economics'!$A$6:$AZ$6,0))),'Oxford Economics'!$A$7:$A$1000,$C26,'Oxford Economics'!$B$7:$B$1000,Settings!$B$30)+SUMIFS(INDEX('Oxford Economics'!$A$7:$AZ$1000,0,IFERROR(MATCH(I$5,'Oxford Economics'!$A$6:$AZ$6,0),MATCH(I$5&amp;"",'Oxford Economics'!$A$6:$AZ$6,0))),'Oxford Economics'!$A$7:$A$1000,$C26,'Oxford Economics'!$B$7:$B$1000,Settings!$B$31)))),""))</f>
        <v>6790.21</v>
      </c>
      <c r="J26" s="41" t="n">
        <f aca="false">IF($A26="","",IFERROR(1/(1/IF($B26="Residential",(SUMIFS(INDEX('Oxford Economics'!$A$7:$AZ$1000,0,IFERROR(MATCH(J$5,'Oxford Economics'!$A$6:$AZ$6,0),MATCH(J$5&amp;"",'Oxford Economics'!$A$6:$AZ$6,0))),'Oxford Economics'!$A$7:$A$1000,$C26,'Oxford Economics'!$B$7:$B$1000,Settings!$B$29)-SUMIFS(INDEX('Oxford Economics'!$A$7:$AZ$1000,0,IFERROR(MATCH(J$5,'Oxford Economics'!$A$6:$AZ$6,0),MATCH(J$5&amp;"",'Oxford Economics'!$A$6:$AZ$6,0))),'Oxford Economics'!$A$7:$A$1000,$C26,'Oxford Economics'!$B$7:$B$1000,Settings!$B$30)),(SUMIFS(INDEX('Oxford Economics'!$A$7:$AZ$1000,0,IFERROR(MATCH(J$5,'Oxford Economics'!$A$6:$AZ$6,0),MATCH(J$5&amp;"",'Oxford Economics'!$A$6:$AZ$6,0))),'Oxford Economics'!$A$7:$A$1000,$C26,'Oxford Economics'!$B$7:$B$1000,Settings!$B$30)+SUMIFS(INDEX('Oxford Economics'!$A$7:$AZ$1000,0,IFERROR(MATCH(J$5,'Oxford Economics'!$A$6:$AZ$6,0),MATCH(J$5&amp;"",'Oxford Economics'!$A$6:$AZ$6,0))),'Oxford Economics'!$A$7:$A$1000,$C26,'Oxford Economics'!$B$7:$B$1000,Settings!$B$31)))),""))</f>
        <v>6736.93</v>
      </c>
      <c r="K26" s="41" t="n">
        <f aca="false">IF($A26="","",IFERROR(1/(1/IF($B26="Residential",(SUMIFS(INDEX('Oxford Economics'!$A$7:$AZ$1000,0,IFERROR(MATCH(K$5,'Oxford Economics'!$A$6:$AZ$6,0),MATCH(K$5&amp;"",'Oxford Economics'!$A$6:$AZ$6,0))),'Oxford Economics'!$A$7:$A$1000,$C26,'Oxford Economics'!$B$7:$B$1000,Settings!$B$29)-SUMIFS(INDEX('Oxford Economics'!$A$7:$AZ$1000,0,IFERROR(MATCH(K$5,'Oxford Economics'!$A$6:$AZ$6,0),MATCH(K$5&amp;"",'Oxford Economics'!$A$6:$AZ$6,0))),'Oxford Economics'!$A$7:$A$1000,$C26,'Oxford Economics'!$B$7:$B$1000,Settings!$B$30)),(SUMIFS(INDEX('Oxford Economics'!$A$7:$AZ$1000,0,IFERROR(MATCH(K$5,'Oxford Economics'!$A$6:$AZ$6,0),MATCH(K$5&amp;"",'Oxford Economics'!$A$6:$AZ$6,0))),'Oxford Economics'!$A$7:$A$1000,$C26,'Oxford Economics'!$B$7:$B$1000,Settings!$B$30)+SUMIFS(INDEX('Oxford Economics'!$A$7:$AZ$1000,0,IFERROR(MATCH(K$5,'Oxford Economics'!$A$6:$AZ$6,0),MATCH(K$5&amp;"",'Oxford Economics'!$A$6:$AZ$6,0))),'Oxford Economics'!$A$7:$A$1000,$C26,'Oxford Economics'!$B$7:$B$1000,Settings!$B$31)))),""))</f>
        <v>6878.65</v>
      </c>
      <c r="L26" s="41" t="n">
        <f aca="false">IF($A26="","",IFERROR(1/(1/IF($B26="Residential",(SUMIFS(INDEX('Oxford Economics'!$A$7:$AZ$1000,0,IFERROR(MATCH(L$5,'Oxford Economics'!$A$6:$AZ$6,0),MATCH(L$5&amp;"",'Oxford Economics'!$A$6:$AZ$6,0))),'Oxford Economics'!$A$7:$A$1000,$C26,'Oxford Economics'!$B$7:$B$1000,Settings!$B$29)-SUMIFS(INDEX('Oxford Economics'!$A$7:$AZ$1000,0,IFERROR(MATCH(L$5,'Oxford Economics'!$A$6:$AZ$6,0),MATCH(L$5&amp;"",'Oxford Economics'!$A$6:$AZ$6,0))),'Oxford Economics'!$A$7:$A$1000,$C26,'Oxford Economics'!$B$7:$B$1000,Settings!$B$30)),(SUMIFS(INDEX('Oxford Economics'!$A$7:$AZ$1000,0,IFERROR(MATCH(L$5,'Oxford Economics'!$A$6:$AZ$6,0),MATCH(L$5&amp;"",'Oxford Economics'!$A$6:$AZ$6,0))),'Oxford Economics'!$A$7:$A$1000,$C26,'Oxford Economics'!$B$7:$B$1000,Settings!$B$30)+SUMIFS(INDEX('Oxford Economics'!$A$7:$AZ$1000,0,IFERROR(MATCH(L$5,'Oxford Economics'!$A$6:$AZ$6,0),MATCH(L$5&amp;"",'Oxford Economics'!$A$6:$AZ$6,0))),'Oxford Economics'!$A$7:$A$1000,$C26,'Oxford Economics'!$B$7:$B$1000,Settings!$B$31)))),""))</f>
        <v>7139.26</v>
      </c>
      <c r="M26" s="41" t="n">
        <f aca="false">IF($A26="","",IFERROR(1/(1/IF($B26="Residential",(SUMIFS(INDEX('Oxford Economics'!$A$7:$AZ$1000,0,IFERROR(MATCH(M$5,'Oxford Economics'!$A$6:$AZ$6,0),MATCH(M$5&amp;"",'Oxford Economics'!$A$6:$AZ$6,0))),'Oxford Economics'!$A$7:$A$1000,$C26,'Oxford Economics'!$B$7:$B$1000,Settings!$B$29)-SUMIFS(INDEX('Oxford Economics'!$A$7:$AZ$1000,0,IFERROR(MATCH(M$5,'Oxford Economics'!$A$6:$AZ$6,0),MATCH(M$5&amp;"",'Oxford Economics'!$A$6:$AZ$6,0))),'Oxford Economics'!$A$7:$A$1000,$C26,'Oxford Economics'!$B$7:$B$1000,Settings!$B$30)),(SUMIFS(INDEX('Oxford Economics'!$A$7:$AZ$1000,0,IFERROR(MATCH(M$5,'Oxford Economics'!$A$6:$AZ$6,0),MATCH(M$5&amp;"",'Oxford Economics'!$A$6:$AZ$6,0))),'Oxford Economics'!$A$7:$A$1000,$C26,'Oxford Economics'!$B$7:$B$1000,Settings!$B$30)+SUMIFS(INDEX('Oxford Economics'!$A$7:$AZ$1000,0,IFERROR(MATCH(M$5,'Oxford Economics'!$A$6:$AZ$6,0),MATCH(M$5&amp;"",'Oxford Economics'!$A$6:$AZ$6,0))),'Oxford Economics'!$A$7:$A$1000,$C26,'Oxford Economics'!$B$7:$B$1000,Settings!$B$31)))),""))</f>
        <v>7041.05</v>
      </c>
      <c r="N26" s="41" t="n">
        <f aca="false">IF($A26="","",IFERROR(1/(1/IF($B26="Residential",(SUMIFS(INDEX('Oxford Economics'!$A$7:$AZ$1000,0,IFERROR(MATCH(N$5,'Oxford Economics'!$A$6:$AZ$6,0),MATCH(N$5&amp;"",'Oxford Economics'!$A$6:$AZ$6,0))),'Oxford Economics'!$A$7:$A$1000,$C26,'Oxford Economics'!$B$7:$B$1000,Settings!$B$29)-SUMIFS(INDEX('Oxford Economics'!$A$7:$AZ$1000,0,IFERROR(MATCH(N$5,'Oxford Economics'!$A$6:$AZ$6,0),MATCH(N$5&amp;"",'Oxford Economics'!$A$6:$AZ$6,0))),'Oxford Economics'!$A$7:$A$1000,$C26,'Oxford Economics'!$B$7:$B$1000,Settings!$B$30)),(SUMIFS(INDEX('Oxford Economics'!$A$7:$AZ$1000,0,IFERROR(MATCH(N$5,'Oxford Economics'!$A$6:$AZ$6,0),MATCH(N$5&amp;"",'Oxford Economics'!$A$6:$AZ$6,0))),'Oxford Economics'!$A$7:$A$1000,$C26,'Oxford Economics'!$B$7:$B$1000,Settings!$B$30)+SUMIFS(INDEX('Oxford Economics'!$A$7:$AZ$1000,0,IFERROR(MATCH(N$5,'Oxford Economics'!$A$6:$AZ$6,0),MATCH(N$5&amp;"",'Oxford Economics'!$A$6:$AZ$6,0))),'Oxford Economics'!$A$7:$A$1000,$C26,'Oxford Economics'!$B$7:$B$1000,Settings!$B$31)))),""))</f>
        <v>7066.26</v>
      </c>
      <c r="O26" s="41" t="n">
        <f aca="false">IF($A26="","",IFERROR(1/(1/IF($B26="Residential",(SUMIFS(INDEX('Oxford Economics'!$A$7:$AZ$1000,0,IFERROR(MATCH(O$5,'Oxford Economics'!$A$6:$AZ$6,0),MATCH(O$5&amp;"",'Oxford Economics'!$A$6:$AZ$6,0))),'Oxford Economics'!$A$7:$A$1000,$C26,'Oxford Economics'!$B$7:$B$1000,Settings!$B$29)-SUMIFS(INDEX('Oxford Economics'!$A$7:$AZ$1000,0,IFERROR(MATCH(O$5,'Oxford Economics'!$A$6:$AZ$6,0),MATCH(O$5&amp;"",'Oxford Economics'!$A$6:$AZ$6,0))),'Oxford Economics'!$A$7:$A$1000,$C26,'Oxford Economics'!$B$7:$B$1000,Settings!$B$30)),(SUMIFS(INDEX('Oxford Economics'!$A$7:$AZ$1000,0,IFERROR(MATCH(O$5,'Oxford Economics'!$A$6:$AZ$6,0),MATCH(O$5&amp;"",'Oxford Economics'!$A$6:$AZ$6,0))),'Oxford Economics'!$A$7:$A$1000,$C26,'Oxford Economics'!$B$7:$B$1000,Settings!$B$30)+SUMIFS(INDEX('Oxford Economics'!$A$7:$AZ$1000,0,IFERROR(MATCH(O$5,'Oxford Economics'!$A$6:$AZ$6,0),MATCH(O$5&amp;"",'Oxford Economics'!$A$6:$AZ$6,0))),'Oxford Economics'!$A$7:$A$1000,$C26,'Oxford Economics'!$B$7:$B$1000,Settings!$B$31)))),""))</f>
        <v>7235.03</v>
      </c>
    </row>
    <row r="27" customFormat="false" ht="15" hidden="false" customHeight="false" outlineLevel="0" collapsed="false">
      <c r="A27" s="40" t="str">
        <f aca="false">IF('Raw data'!$A27="","",'Raw data'!$A27)</f>
        <v>Switzerland</v>
      </c>
      <c r="B27" s="40" t="str">
        <f aca="false">IF($A27="","",'Raw data'!$C27)</f>
        <v>Non-residential</v>
      </c>
      <c r="C27" s="40" t="str">
        <f aca="false">IF($A27="","",IF('Raw data'!$D27="",$A27,'Raw data'!$D27))</f>
        <v>Switzerland</v>
      </c>
      <c r="D27" s="41" t="str">
        <f aca="false">IF($A27="","",IFERROR(1/(1/IF($B27="Residential",(SUMIFS(INDEX('Oxford Economics'!$A$7:$AZ$1000,0,IFERROR(MATCH(D$5,'Oxford Economics'!$A$6:$AZ$6,0),MATCH(D$5&amp;"",'Oxford Economics'!$A$6:$AZ$6,0))),'Oxford Economics'!$A$7:$A$1000,$C27,'Oxford Economics'!$B$7:$B$1000,Settings!$B$29)-SUMIFS(INDEX('Oxford Economics'!$A$7:$AZ$1000,0,IFERROR(MATCH(D$5,'Oxford Economics'!$A$6:$AZ$6,0),MATCH(D$5&amp;"",'Oxford Economics'!$A$6:$AZ$6,0))),'Oxford Economics'!$A$7:$A$1000,$C27,'Oxford Economics'!$B$7:$B$1000,Settings!$B$30)),(SUMIFS(INDEX('Oxford Economics'!$A$7:$AZ$1000,0,IFERROR(MATCH(D$5,'Oxford Economics'!$A$6:$AZ$6,0),MATCH(D$5&amp;"",'Oxford Economics'!$A$6:$AZ$6,0))),'Oxford Economics'!$A$7:$A$1000,$C27,'Oxford Economics'!$B$7:$B$1000,Settings!$B$30)+SUMIFS(INDEX('Oxford Economics'!$A$7:$AZ$1000,0,IFERROR(MATCH(D$5,'Oxford Economics'!$A$6:$AZ$6,0),MATCH(D$5&amp;"",'Oxford Economics'!$A$6:$AZ$6,0))),'Oxford Economics'!$A$7:$A$1000,$C27,'Oxford Economics'!$B$7:$B$1000,Settings!$B$31)))),""))</f>
        <v/>
      </c>
      <c r="E27" s="41" t="str">
        <f aca="false">IF($A27="","",IFERROR(1/(1/IF($B27="Residential",(SUMIFS(INDEX('Oxford Economics'!$A$7:$AZ$1000,0,IFERROR(MATCH(E$5,'Oxford Economics'!$A$6:$AZ$6,0),MATCH(E$5&amp;"",'Oxford Economics'!$A$6:$AZ$6,0))),'Oxford Economics'!$A$7:$A$1000,$C27,'Oxford Economics'!$B$7:$B$1000,Settings!$B$29)-SUMIFS(INDEX('Oxford Economics'!$A$7:$AZ$1000,0,IFERROR(MATCH(E$5,'Oxford Economics'!$A$6:$AZ$6,0),MATCH(E$5&amp;"",'Oxford Economics'!$A$6:$AZ$6,0))),'Oxford Economics'!$A$7:$A$1000,$C27,'Oxford Economics'!$B$7:$B$1000,Settings!$B$30)),(SUMIFS(INDEX('Oxford Economics'!$A$7:$AZ$1000,0,IFERROR(MATCH(E$5,'Oxford Economics'!$A$6:$AZ$6,0),MATCH(E$5&amp;"",'Oxford Economics'!$A$6:$AZ$6,0))),'Oxford Economics'!$A$7:$A$1000,$C27,'Oxford Economics'!$B$7:$B$1000,Settings!$B$30)+SUMIFS(INDEX('Oxford Economics'!$A$7:$AZ$1000,0,IFERROR(MATCH(E$5,'Oxford Economics'!$A$6:$AZ$6,0),MATCH(E$5&amp;"",'Oxford Economics'!$A$6:$AZ$6,0))),'Oxford Economics'!$A$7:$A$1000,$C27,'Oxford Economics'!$B$7:$B$1000,Settings!$B$31)))),""))</f>
        <v/>
      </c>
      <c r="F27" s="41" t="str">
        <f aca="false">IF($A27="","",IFERROR(1/(1/IF($B27="Residential",(SUMIFS(INDEX('Oxford Economics'!$A$7:$AZ$1000,0,IFERROR(MATCH(F$5,'Oxford Economics'!$A$6:$AZ$6,0),MATCH(F$5&amp;"",'Oxford Economics'!$A$6:$AZ$6,0))),'Oxford Economics'!$A$7:$A$1000,$C27,'Oxford Economics'!$B$7:$B$1000,Settings!$B$29)-SUMIFS(INDEX('Oxford Economics'!$A$7:$AZ$1000,0,IFERROR(MATCH(F$5,'Oxford Economics'!$A$6:$AZ$6,0),MATCH(F$5&amp;"",'Oxford Economics'!$A$6:$AZ$6,0))),'Oxford Economics'!$A$7:$A$1000,$C27,'Oxford Economics'!$B$7:$B$1000,Settings!$B$30)),(SUMIFS(INDEX('Oxford Economics'!$A$7:$AZ$1000,0,IFERROR(MATCH(F$5,'Oxford Economics'!$A$6:$AZ$6,0),MATCH(F$5&amp;"",'Oxford Economics'!$A$6:$AZ$6,0))),'Oxford Economics'!$A$7:$A$1000,$C27,'Oxford Economics'!$B$7:$B$1000,Settings!$B$30)+SUMIFS(INDEX('Oxford Economics'!$A$7:$AZ$1000,0,IFERROR(MATCH(F$5,'Oxford Economics'!$A$6:$AZ$6,0),MATCH(F$5&amp;"",'Oxford Economics'!$A$6:$AZ$6,0))),'Oxford Economics'!$A$7:$A$1000,$C27,'Oxford Economics'!$B$7:$B$1000,Settings!$B$31)))),""))</f>
        <v/>
      </c>
      <c r="G27" s="41" t="str">
        <f aca="false">IF($A27="","",IFERROR(1/(1/IF($B27="Residential",(SUMIFS(INDEX('Oxford Economics'!$A$7:$AZ$1000,0,IFERROR(MATCH(G$5,'Oxford Economics'!$A$6:$AZ$6,0),MATCH(G$5&amp;"",'Oxford Economics'!$A$6:$AZ$6,0))),'Oxford Economics'!$A$7:$A$1000,$C27,'Oxford Economics'!$B$7:$B$1000,Settings!$B$29)-SUMIFS(INDEX('Oxford Economics'!$A$7:$AZ$1000,0,IFERROR(MATCH(G$5,'Oxford Economics'!$A$6:$AZ$6,0),MATCH(G$5&amp;"",'Oxford Economics'!$A$6:$AZ$6,0))),'Oxford Economics'!$A$7:$A$1000,$C27,'Oxford Economics'!$B$7:$B$1000,Settings!$B$30)),(SUMIFS(INDEX('Oxford Economics'!$A$7:$AZ$1000,0,IFERROR(MATCH(G$5,'Oxford Economics'!$A$6:$AZ$6,0),MATCH(G$5&amp;"",'Oxford Economics'!$A$6:$AZ$6,0))),'Oxford Economics'!$A$7:$A$1000,$C27,'Oxford Economics'!$B$7:$B$1000,Settings!$B$30)+SUMIFS(INDEX('Oxford Economics'!$A$7:$AZ$1000,0,IFERROR(MATCH(G$5,'Oxford Economics'!$A$6:$AZ$6,0),MATCH(G$5&amp;"",'Oxford Economics'!$A$6:$AZ$6,0))),'Oxford Economics'!$A$7:$A$1000,$C27,'Oxford Economics'!$B$7:$B$1000,Settings!$B$31)))),""))</f>
        <v/>
      </c>
      <c r="H27" s="41" t="n">
        <f aca="false">IF($A27="","",IFERROR(1/(1/IF($B27="Residential",(SUMIFS(INDEX('Oxford Economics'!$A$7:$AZ$1000,0,IFERROR(MATCH(H$5,'Oxford Economics'!$A$6:$AZ$6,0),MATCH(H$5&amp;"",'Oxford Economics'!$A$6:$AZ$6,0))),'Oxford Economics'!$A$7:$A$1000,$C27,'Oxford Economics'!$B$7:$B$1000,Settings!$B$29)-SUMIFS(INDEX('Oxford Economics'!$A$7:$AZ$1000,0,IFERROR(MATCH(H$5,'Oxford Economics'!$A$6:$AZ$6,0),MATCH(H$5&amp;"",'Oxford Economics'!$A$6:$AZ$6,0))),'Oxford Economics'!$A$7:$A$1000,$C27,'Oxford Economics'!$B$7:$B$1000,Settings!$B$30)),(SUMIFS(INDEX('Oxford Economics'!$A$7:$AZ$1000,0,IFERROR(MATCH(H$5,'Oxford Economics'!$A$6:$AZ$6,0),MATCH(H$5&amp;"",'Oxford Economics'!$A$6:$AZ$6,0))),'Oxford Economics'!$A$7:$A$1000,$C27,'Oxford Economics'!$B$7:$B$1000,Settings!$B$30)+SUMIFS(INDEX('Oxford Economics'!$A$7:$AZ$1000,0,IFERROR(MATCH(H$5,'Oxford Economics'!$A$6:$AZ$6,0),MATCH(H$5&amp;"",'Oxford Economics'!$A$6:$AZ$6,0))),'Oxford Economics'!$A$7:$A$1000,$C27,'Oxford Economics'!$B$7:$B$1000,Settings!$B$31)))),""))</f>
        <v>32827.01</v>
      </c>
      <c r="I27" s="41" t="n">
        <f aca="false">IF($A27="","",IFERROR(1/(1/IF($B27="Residential",(SUMIFS(INDEX('Oxford Economics'!$A$7:$AZ$1000,0,IFERROR(MATCH(I$5,'Oxford Economics'!$A$6:$AZ$6,0),MATCH(I$5&amp;"",'Oxford Economics'!$A$6:$AZ$6,0))),'Oxford Economics'!$A$7:$A$1000,$C27,'Oxford Economics'!$B$7:$B$1000,Settings!$B$29)-SUMIFS(INDEX('Oxford Economics'!$A$7:$AZ$1000,0,IFERROR(MATCH(I$5,'Oxford Economics'!$A$6:$AZ$6,0),MATCH(I$5&amp;"",'Oxford Economics'!$A$6:$AZ$6,0))),'Oxford Economics'!$A$7:$A$1000,$C27,'Oxford Economics'!$B$7:$B$1000,Settings!$B$30)),(SUMIFS(INDEX('Oxford Economics'!$A$7:$AZ$1000,0,IFERROR(MATCH(I$5,'Oxford Economics'!$A$6:$AZ$6,0),MATCH(I$5&amp;"",'Oxford Economics'!$A$6:$AZ$6,0))),'Oxford Economics'!$A$7:$A$1000,$C27,'Oxford Economics'!$B$7:$B$1000,Settings!$B$30)+SUMIFS(INDEX('Oxford Economics'!$A$7:$AZ$1000,0,IFERROR(MATCH(I$5,'Oxford Economics'!$A$6:$AZ$6,0),MATCH(I$5&amp;"",'Oxford Economics'!$A$6:$AZ$6,0))),'Oxford Economics'!$A$7:$A$1000,$C27,'Oxford Economics'!$B$7:$B$1000,Settings!$B$31)))),""))</f>
        <v>33602.22</v>
      </c>
      <c r="J27" s="41" t="n">
        <f aca="false">IF($A27="","",IFERROR(1/(1/IF($B27="Residential",(SUMIFS(INDEX('Oxford Economics'!$A$7:$AZ$1000,0,IFERROR(MATCH(J$5,'Oxford Economics'!$A$6:$AZ$6,0),MATCH(J$5&amp;"",'Oxford Economics'!$A$6:$AZ$6,0))),'Oxford Economics'!$A$7:$A$1000,$C27,'Oxford Economics'!$B$7:$B$1000,Settings!$B$29)-SUMIFS(INDEX('Oxford Economics'!$A$7:$AZ$1000,0,IFERROR(MATCH(J$5,'Oxford Economics'!$A$6:$AZ$6,0),MATCH(J$5&amp;"",'Oxford Economics'!$A$6:$AZ$6,0))),'Oxford Economics'!$A$7:$A$1000,$C27,'Oxford Economics'!$B$7:$B$1000,Settings!$B$30)),(SUMIFS(INDEX('Oxford Economics'!$A$7:$AZ$1000,0,IFERROR(MATCH(J$5,'Oxford Economics'!$A$6:$AZ$6,0),MATCH(J$5&amp;"",'Oxford Economics'!$A$6:$AZ$6,0))),'Oxford Economics'!$A$7:$A$1000,$C27,'Oxford Economics'!$B$7:$B$1000,Settings!$B$30)+SUMIFS(INDEX('Oxford Economics'!$A$7:$AZ$1000,0,IFERROR(MATCH(J$5,'Oxford Economics'!$A$6:$AZ$6,0),MATCH(J$5&amp;"",'Oxford Economics'!$A$6:$AZ$6,0))),'Oxford Economics'!$A$7:$A$1000,$C27,'Oxford Economics'!$B$7:$B$1000,Settings!$B$31)))),""))</f>
        <v>34354.69</v>
      </c>
      <c r="K27" s="41" t="n">
        <f aca="false">IF($A27="","",IFERROR(1/(1/IF($B27="Residential",(SUMIFS(INDEX('Oxford Economics'!$A$7:$AZ$1000,0,IFERROR(MATCH(K$5,'Oxford Economics'!$A$6:$AZ$6,0),MATCH(K$5&amp;"",'Oxford Economics'!$A$6:$AZ$6,0))),'Oxford Economics'!$A$7:$A$1000,$C27,'Oxford Economics'!$B$7:$B$1000,Settings!$B$29)-SUMIFS(INDEX('Oxford Economics'!$A$7:$AZ$1000,0,IFERROR(MATCH(K$5,'Oxford Economics'!$A$6:$AZ$6,0),MATCH(K$5&amp;"",'Oxford Economics'!$A$6:$AZ$6,0))),'Oxford Economics'!$A$7:$A$1000,$C27,'Oxford Economics'!$B$7:$B$1000,Settings!$B$30)),(SUMIFS(INDEX('Oxford Economics'!$A$7:$AZ$1000,0,IFERROR(MATCH(K$5,'Oxford Economics'!$A$6:$AZ$6,0),MATCH(K$5&amp;"",'Oxford Economics'!$A$6:$AZ$6,0))),'Oxford Economics'!$A$7:$A$1000,$C27,'Oxford Economics'!$B$7:$B$1000,Settings!$B$30)+SUMIFS(INDEX('Oxford Economics'!$A$7:$AZ$1000,0,IFERROR(MATCH(K$5,'Oxford Economics'!$A$6:$AZ$6,0),MATCH(K$5&amp;"",'Oxford Economics'!$A$6:$AZ$6,0))),'Oxford Economics'!$A$7:$A$1000,$C27,'Oxford Economics'!$B$7:$B$1000,Settings!$B$31)))),""))</f>
        <v>35563.42</v>
      </c>
      <c r="L27" s="41" t="n">
        <f aca="false">IF($A27="","",IFERROR(1/(1/IF($B27="Residential",(SUMIFS(INDEX('Oxford Economics'!$A$7:$AZ$1000,0,IFERROR(MATCH(L$5,'Oxford Economics'!$A$6:$AZ$6,0),MATCH(L$5&amp;"",'Oxford Economics'!$A$6:$AZ$6,0))),'Oxford Economics'!$A$7:$A$1000,$C27,'Oxford Economics'!$B$7:$B$1000,Settings!$B$29)-SUMIFS(INDEX('Oxford Economics'!$A$7:$AZ$1000,0,IFERROR(MATCH(L$5,'Oxford Economics'!$A$6:$AZ$6,0),MATCH(L$5&amp;"",'Oxford Economics'!$A$6:$AZ$6,0))),'Oxford Economics'!$A$7:$A$1000,$C27,'Oxford Economics'!$B$7:$B$1000,Settings!$B$30)),(SUMIFS(INDEX('Oxford Economics'!$A$7:$AZ$1000,0,IFERROR(MATCH(L$5,'Oxford Economics'!$A$6:$AZ$6,0),MATCH(L$5&amp;"",'Oxford Economics'!$A$6:$AZ$6,0))),'Oxford Economics'!$A$7:$A$1000,$C27,'Oxford Economics'!$B$7:$B$1000,Settings!$B$30)+SUMIFS(INDEX('Oxford Economics'!$A$7:$AZ$1000,0,IFERROR(MATCH(L$5,'Oxford Economics'!$A$6:$AZ$6,0),MATCH(L$5&amp;"",'Oxford Economics'!$A$6:$AZ$6,0))),'Oxford Economics'!$A$7:$A$1000,$C27,'Oxford Economics'!$B$7:$B$1000,Settings!$B$31)))),""))</f>
        <v>37110.55</v>
      </c>
      <c r="M27" s="41" t="n">
        <f aca="false">IF($A27="","",IFERROR(1/(1/IF($B27="Residential",(SUMIFS(INDEX('Oxford Economics'!$A$7:$AZ$1000,0,IFERROR(MATCH(M$5,'Oxford Economics'!$A$6:$AZ$6,0),MATCH(M$5&amp;"",'Oxford Economics'!$A$6:$AZ$6,0))),'Oxford Economics'!$A$7:$A$1000,$C27,'Oxford Economics'!$B$7:$B$1000,Settings!$B$29)-SUMIFS(INDEX('Oxford Economics'!$A$7:$AZ$1000,0,IFERROR(MATCH(M$5,'Oxford Economics'!$A$6:$AZ$6,0),MATCH(M$5&amp;"",'Oxford Economics'!$A$6:$AZ$6,0))),'Oxford Economics'!$A$7:$A$1000,$C27,'Oxford Economics'!$B$7:$B$1000,Settings!$B$30)),(SUMIFS(INDEX('Oxford Economics'!$A$7:$AZ$1000,0,IFERROR(MATCH(M$5,'Oxford Economics'!$A$6:$AZ$6,0),MATCH(M$5&amp;"",'Oxford Economics'!$A$6:$AZ$6,0))),'Oxford Economics'!$A$7:$A$1000,$C27,'Oxford Economics'!$B$7:$B$1000,Settings!$B$30)+SUMIFS(INDEX('Oxford Economics'!$A$7:$AZ$1000,0,IFERROR(MATCH(M$5,'Oxford Economics'!$A$6:$AZ$6,0),MATCH(M$5&amp;"",'Oxford Economics'!$A$6:$AZ$6,0))),'Oxford Economics'!$A$7:$A$1000,$C27,'Oxford Economics'!$B$7:$B$1000,Settings!$B$31)))),""))</f>
        <v>37920.77</v>
      </c>
      <c r="N27" s="41" t="n">
        <f aca="false">IF($A27="","",IFERROR(1/(1/IF($B27="Residential",(SUMIFS(INDEX('Oxford Economics'!$A$7:$AZ$1000,0,IFERROR(MATCH(N$5,'Oxford Economics'!$A$6:$AZ$6,0),MATCH(N$5&amp;"",'Oxford Economics'!$A$6:$AZ$6,0))),'Oxford Economics'!$A$7:$A$1000,$C27,'Oxford Economics'!$B$7:$B$1000,Settings!$B$29)-SUMIFS(INDEX('Oxford Economics'!$A$7:$AZ$1000,0,IFERROR(MATCH(N$5,'Oxford Economics'!$A$6:$AZ$6,0),MATCH(N$5&amp;"",'Oxford Economics'!$A$6:$AZ$6,0))),'Oxford Economics'!$A$7:$A$1000,$C27,'Oxford Economics'!$B$7:$B$1000,Settings!$B$30)),(SUMIFS(INDEX('Oxford Economics'!$A$7:$AZ$1000,0,IFERROR(MATCH(N$5,'Oxford Economics'!$A$6:$AZ$6,0),MATCH(N$5&amp;"",'Oxford Economics'!$A$6:$AZ$6,0))),'Oxford Economics'!$A$7:$A$1000,$C27,'Oxford Economics'!$B$7:$B$1000,Settings!$B$30)+SUMIFS(INDEX('Oxford Economics'!$A$7:$AZ$1000,0,IFERROR(MATCH(N$5,'Oxford Economics'!$A$6:$AZ$6,0),MATCH(N$5&amp;"",'Oxford Economics'!$A$6:$AZ$6,0))),'Oxford Economics'!$A$7:$A$1000,$C27,'Oxford Economics'!$B$7:$B$1000,Settings!$B$31)))),""))</f>
        <v>38564.81</v>
      </c>
      <c r="O27" s="41" t="n">
        <f aca="false">IF($A27="","",IFERROR(1/(1/IF($B27="Residential",(SUMIFS(INDEX('Oxford Economics'!$A$7:$AZ$1000,0,IFERROR(MATCH(O$5,'Oxford Economics'!$A$6:$AZ$6,0),MATCH(O$5&amp;"",'Oxford Economics'!$A$6:$AZ$6,0))),'Oxford Economics'!$A$7:$A$1000,$C27,'Oxford Economics'!$B$7:$B$1000,Settings!$B$29)-SUMIFS(INDEX('Oxford Economics'!$A$7:$AZ$1000,0,IFERROR(MATCH(O$5,'Oxford Economics'!$A$6:$AZ$6,0),MATCH(O$5&amp;"",'Oxford Economics'!$A$6:$AZ$6,0))),'Oxford Economics'!$A$7:$A$1000,$C27,'Oxford Economics'!$B$7:$B$1000,Settings!$B$30)),(SUMIFS(INDEX('Oxford Economics'!$A$7:$AZ$1000,0,IFERROR(MATCH(O$5,'Oxford Economics'!$A$6:$AZ$6,0),MATCH(O$5&amp;"",'Oxford Economics'!$A$6:$AZ$6,0))),'Oxford Economics'!$A$7:$A$1000,$C27,'Oxford Economics'!$B$7:$B$1000,Settings!$B$30)+SUMIFS(INDEX('Oxford Economics'!$A$7:$AZ$1000,0,IFERROR(MATCH(O$5,'Oxford Economics'!$A$6:$AZ$6,0),MATCH(O$5&amp;"",'Oxford Economics'!$A$6:$AZ$6,0))),'Oxford Economics'!$A$7:$A$1000,$C27,'Oxford Economics'!$B$7:$B$1000,Settings!$B$31)))),""))</f>
        <v>39576.15</v>
      </c>
    </row>
    <row r="28" customFormat="false" ht="15" hidden="false" customHeight="false" outlineLevel="0" collapsed="false">
      <c r="A28" s="40" t="str">
        <f aca="false">IF('Raw data'!$A28="","",'Raw data'!$A28)</f>
        <v>United Kingdom</v>
      </c>
      <c r="B28" s="40" t="str">
        <f aca="false">IF($A28="","",'Raw data'!$C28)</f>
        <v>Residential</v>
      </c>
      <c r="C28" s="40" t="str">
        <f aca="false">IF($A28="","",IF('Raw data'!$D28="",$A28,'Raw data'!$D28))</f>
        <v>United Kingdom</v>
      </c>
      <c r="D28" s="41" t="str">
        <f aca="false">IF($A28="","",IFERROR(1/(1/IF($B28="Residential",(SUMIFS(INDEX('Oxford Economics'!$A$7:$AZ$1000,0,IFERROR(MATCH(D$5,'Oxford Economics'!$A$6:$AZ$6,0),MATCH(D$5&amp;"",'Oxford Economics'!$A$6:$AZ$6,0))),'Oxford Economics'!$A$7:$A$1000,$C28,'Oxford Economics'!$B$7:$B$1000,Settings!$B$29)-SUMIFS(INDEX('Oxford Economics'!$A$7:$AZ$1000,0,IFERROR(MATCH(D$5,'Oxford Economics'!$A$6:$AZ$6,0),MATCH(D$5&amp;"",'Oxford Economics'!$A$6:$AZ$6,0))),'Oxford Economics'!$A$7:$A$1000,$C28,'Oxford Economics'!$B$7:$B$1000,Settings!$B$30)),(SUMIFS(INDEX('Oxford Economics'!$A$7:$AZ$1000,0,IFERROR(MATCH(D$5,'Oxford Economics'!$A$6:$AZ$6,0),MATCH(D$5&amp;"",'Oxford Economics'!$A$6:$AZ$6,0))),'Oxford Economics'!$A$7:$A$1000,$C28,'Oxford Economics'!$B$7:$B$1000,Settings!$B$30)+SUMIFS(INDEX('Oxford Economics'!$A$7:$AZ$1000,0,IFERROR(MATCH(D$5,'Oxford Economics'!$A$6:$AZ$6,0),MATCH(D$5&amp;"",'Oxford Economics'!$A$6:$AZ$6,0))),'Oxford Economics'!$A$7:$A$1000,$C28,'Oxford Economics'!$B$7:$B$1000,Settings!$B$31)))),""))</f>
        <v/>
      </c>
      <c r="E28" s="41" t="str">
        <f aca="false">IF($A28="","",IFERROR(1/(1/IF($B28="Residential",(SUMIFS(INDEX('Oxford Economics'!$A$7:$AZ$1000,0,IFERROR(MATCH(E$5,'Oxford Economics'!$A$6:$AZ$6,0),MATCH(E$5&amp;"",'Oxford Economics'!$A$6:$AZ$6,0))),'Oxford Economics'!$A$7:$A$1000,$C28,'Oxford Economics'!$B$7:$B$1000,Settings!$B$29)-SUMIFS(INDEX('Oxford Economics'!$A$7:$AZ$1000,0,IFERROR(MATCH(E$5,'Oxford Economics'!$A$6:$AZ$6,0),MATCH(E$5&amp;"",'Oxford Economics'!$A$6:$AZ$6,0))),'Oxford Economics'!$A$7:$A$1000,$C28,'Oxford Economics'!$B$7:$B$1000,Settings!$B$30)),(SUMIFS(INDEX('Oxford Economics'!$A$7:$AZ$1000,0,IFERROR(MATCH(E$5,'Oxford Economics'!$A$6:$AZ$6,0),MATCH(E$5&amp;"",'Oxford Economics'!$A$6:$AZ$6,0))),'Oxford Economics'!$A$7:$A$1000,$C28,'Oxford Economics'!$B$7:$B$1000,Settings!$B$30)+SUMIFS(INDEX('Oxford Economics'!$A$7:$AZ$1000,0,IFERROR(MATCH(E$5,'Oxford Economics'!$A$6:$AZ$6,0),MATCH(E$5&amp;"",'Oxford Economics'!$A$6:$AZ$6,0))),'Oxford Economics'!$A$7:$A$1000,$C28,'Oxford Economics'!$B$7:$B$1000,Settings!$B$31)))),""))</f>
        <v/>
      </c>
      <c r="F28" s="41" t="str">
        <f aca="false">IF($A28="","",IFERROR(1/(1/IF($B28="Residential",(SUMIFS(INDEX('Oxford Economics'!$A$7:$AZ$1000,0,IFERROR(MATCH(F$5,'Oxford Economics'!$A$6:$AZ$6,0),MATCH(F$5&amp;"",'Oxford Economics'!$A$6:$AZ$6,0))),'Oxford Economics'!$A$7:$A$1000,$C28,'Oxford Economics'!$B$7:$B$1000,Settings!$B$29)-SUMIFS(INDEX('Oxford Economics'!$A$7:$AZ$1000,0,IFERROR(MATCH(F$5,'Oxford Economics'!$A$6:$AZ$6,0),MATCH(F$5&amp;"",'Oxford Economics'!$A$6:$AZ$6,0))),'Oxford Economics'!$A$7:$A$1000,$C28,'Oxford Economics'!$B$7:$B$1000,Settings!$B$30)),(SUMIFS(INDEX('Oxford Economics'!$A$7:$AZ$1000,0,IFERROR(MATCH(F$5,'Oxford Economics'!$A$6:$AZ$6,0),MATCH(F$5&amp;"",'Oxford Economics'!$A$6:$AZ$6,0))),'Oxford Economics'!$A$7:$A$1000,$C28,'Oxford Economics'!$B$7:$B$1000,Settings!$B$30)+SUMIFS(INDEX('Oxford Economics'!$A$7:$AZ$1000,0,IFERROR(MATCH(F$5,'Oxford Economics'!$A$6:$AZ$6,0),MATCH(F$5&amp;"",'Oxford Economics'!$A$6:$AZ$6,0))),'Oxford Economics'!$A$7:$A$1000,$C28,'Oxford Economics'!$B$7:$B$1000,Settings!$B$31)))),""))</f>
        <v/>
      </c>
      <c r="G28" s="41" t="str">
        <f aca="false">IF($A28="","",IFERROR(1/(1/IF($B28="Residential",(SUMIFS(INDEX('Oxford Economics'!$A$7:$AZ$1000,0,IFERROR(MATCH(G$5,'Oxford Economics'!$A$6:$AZ$6,0),MATCH(G$5&amp;"",'Oxford Economics'!$A$6:$AZ$6,0))),'Oxford Economics'!$A$7:$A$1000,$C28,'Oxford Economics'!$B$7:$B$1000,Settings!$B$29)-SUMIFS(INDEX('Oxford Economics'!$A$7:$AZ$1000,0,IFERROR(MATCH(G$5,'Oxford Economics'!$A$6:$AZ$6,0),MATCH(G$5&amp;"",'Oxford Economics'!$A$6:$AZ$6,0))),'Oxford Economics'!$A$7:$A$1000,$C28,'Oxford Economics'!$B$7:$B$1000,Settings!$B$30)),(SUMIFS(INDEX('Oxford Economics'!$A$7:$AZ$1000,0,IFERROR(MATCH(G$5,'Oxford Economics'!$A$6:$AZ$6,0),MATCH(G$5&amp;"",'Oxford Economics'!$A$6:$AZ$6,0))),'Oxford Economics'!$A$7:$A$1000,$C28,'Oxford Economics'!$B$7:$B$1000,Settings!$B$30)+SUMIFS(INDEX('Oxford Economics'!$A$7:$AZ$1000,0,IFERROR(MATCH(G$5,'Oxford Economics'!$A$6:$AZ$6,0),MATCH(G$5&amp;"",'Oxford Economics'!$A$6:$AZ$6,0))),'Oxford Economics'!$A$7:$A$1000,$C28,'Oxford Economics'!$B$7:$B$1000,Settings!$B$31)))),""))</f>
        <v/>
      </c>
      <c r="H28" s="41" t="n">
        <f aca="false">IF($A28="","",IFERROR(1/(1/IF($B28="Residential",(SUMIFS(INDEX('Oxford Economics'!$A$7:$AZ$1000,0,IFERROR(MATCH(H$5,'Oxford Economics'!$A$6:$AZ$6,0),MATCH(H$5&amp;"",'Oxford Economics'!$A$6:$AZ$6,0))),'Oxford Economics'!$A$7:$A$1000,$C28,'Oxford Economics'!$B$7:$B$1000,Settings!$B$29)-SUMIFS(INDEX('Oxford Economics'!$A$7:$AZ$1000,0,IFERROR(MATCH(H$5,'Oxford Economics'!$A$6:$AZ$6,0),MATCH(H$5&amp;"",'Oxford Economics'!$A$6:$AZ$6,0))),'Oxford Economics'!$A$7:$A$1000,$C28,'Oxford Economics'!$B$7:$B$1000,Settings!$B$30)),(SUMIFS(INDEX('Oxford Economics'!$A$7:$AZ$1000,0,IFERROR(MATCH(H$5,'Oxford Economics'!$A$6:$AZ$6,0),MATCH(H$5&amp;"",'Oxford Economics'!$A$6:$AZ$6,0))),'Oxford Economics'!$A$7:$A$1000,$C28,'Oxford Economics'!$B$7:$B$1000,Settings!$B$30)+SUMIFS(INDEX('Oxford Economics'!$A$7:$AZ$1000,0,IFERROR(MATCH(H$5,'Oxford Economics'!$A$6:$AZ$6,0),MATCH(H$5&amp;"",'Oxford Economics'!$A$6:$AZ$6,0))),'Oxford Economics'!$A$7:$A$1000,$C28,'Oxford Economics'!$B$7:$B$1000,Settings!$B$31)))),""))</f>
        <v>90226.53</v>
      </c>
      <c r="I28" s="41" t="n">
        <f aca="false">IF($A28="","",IFERROR(1/(1/IF($B28="Residential",(SUMIFS(INDEX('Oxford Economics'!$A$7:$AZ$1000,0,IFERROR(MATCH(I$5,'Oxford Economics'!$A$6:$AZ$6,0),MATCH(I$5&amp;"",'Oxford Economics'!$A$6:$AZ$6,0))),'Oxford Economics'!$A$7:$A$1000,$C28,'Oxford Economics'!$B$7:$B$1000,Settings!$B$29)-SUMIFS(INDEX('Oxford Economics'!$A$7:$AZ$1000,0,IFERROR(MATCH(I$5,'Oxford Economics'!$A$6:$AZ$6,0),MATCH(I$5&amp;"",'Oxford Economics'!$A$6:$AZ$6,0))),'Oxford Economics'!$A$7:$A$1000,$C28,'Oxford Economics'!$B$7:$B$1000,Settings!$B$30)),(SUMIFS(INDEX('Oxford Economics'!$A$7:$AZ$1000,0,IFERROR(MATCH(I$5,'Oxford Economics'!$A$6:$AZ$6,0),MATCH(I$5&amp;"",'Oxford Economics'!$A$6:$AZ$6,0))),'Oxford Economics'!$A$7:$A$1000,$C28,'Oxford Economics'!$B$7:$B$1000,Settings!$B$30)+SUMIFS(INDEX('Oxford Economics'!$A$7:$AZ$1000,0,IFERROR(MATCH(I$5,'Oxford Economics'!$A$6:$AZ$6,0),MATCH(I$5&amp;"",'Oxford Economics'!$A$6:$AZ$6,0))),'Oxford Economics'!$A$7:$A$1000,$C28,'Oxford Economics'!$B$7:$B$1000,Settings!$B$31)))),""))</f>
        <v>91052.96</v>
      </c>
      <c r="J28" s="41" t="n">
        <f aca="false">IF($A28="","",IFERROR(1/(1/IF($B28="Residential",(SUMIFS(INDEX('Oxford Economics'!$A$7:$AZ$1000,0,IFERROR(MATCH(J$5,'Oxford Economics'!$A$6:$AZ$6,0),MATCH(J$5&amp;"",'Oxford Economics'!$A$6:$AZ$6,0))),'Oxford Economics'!$A$7:$A$1000,$C28,'Oxford Economics'!$B$7:$B$1000,Settings!$B$29)-SUMIFS(INDEX('Oxford Economics'!$A$7:$AZ$1000,0,IFERROR(MATCH(J$5,'Oxford Economics'!$A$6:$AZ$6,0),MATCH(J$5&amp;"",'Oxford Economics'!$A$6:$AZ$6,0))),'Oxford Economics'!$A$7:$A$1000,$C28,'Oxford Economics'!$B$7:$B$1000,Settings!$B$30)),(SUMIFS(INDEX('Oxford Economics'!$A$7:$AZ$1000,0,IFERROR(MATCH(J$5,'Oxford Economics'!$A$6:$AZ$6,0),MATCH(J$5&amp;"",'Oxford Economics'!$A$6:$AZ$6,0))),'Oxford Economics'!$A$7:$A$1000,$C28,'Oxford Economics'!$B$7:$B$1000,Settings!$B$30)+SUMIFS(INDEX('Oxford Economics'!$A$7:$AZ$1000,0,IFERROR(MATCH(J$5,'Oxford Economics'!$A$6:$AZ$6,0),MATCH(J$5&amp;"",'Oxford Economics'!$A$6:$AZ$6,0))),'Oxford Economics'!$A$7:$A$1000,$C28,'Oxford Economics'!$B$7:$B$1000,Settings!$B$31)))),""))</f>
        <v>91931.9</v>
      </c>
      <c r="K28" s="41" t="n">
        <f aca="false">IF($A28="","",IFERROR(1/(1/IF($B28="Residential",(SUMIFS(INDEX('Oxford Economics'!$A$7:$AZ$1000,0,IFERROR(MATCH(K$5,'Oxford Economics'!$A$6:$AZ$6,0),MATCH(K$5&amp;"",'Oxford Economics'!$A$6:$AZ$6,0))),'Oxford Economics'!$A$7:$A$1000,$C28,'Oxford Economics'!$B$7:$B$1000,Settings!$B$29)-SUMIFS(INDEX('Oxford Economics'!$A$7:$AZ$1000,0,IFERROR(MATCH(K$5,'Oxford Economics'!$A$6:$AZ$6,0),MATCH(K$5&amp;"",'Oxford Economics'!$A$6:$AZ$6,0))),'Oxford Economics'!$A$7:$A$1000,$C28,'Oxford Economics'!$B$7:$B$1000,Settings!$B$30)),(SUMIFS(INDEX('Oxford Economics'!$A$7:$AZ$1000,0,IFERROR(MATCH(K$5,'Oxford Economics'!$A$6:$AZ$6,0),MATCH(K$5&amp;"",'Oxford Economics'!$A$6:$AZ$6,0))),'Oxford Economics'!$A$7:$A$1000,$C28,'Oxford Economics'!$B$7:$B$1000,Settings!$B$30)+SUMIFS(INDEX('Oxford Economics'!$A$7:$AZ$1000,0,IFERROR(MATCH(K$5,'Oxford Economics'!$A$6:$AZ$6,0),MATCH(K$5&amp;"",'Oxford Economics'!$A$6:$AZ$6,0))),'Oxford Economics'!$A$7:$A$1000,$C28,'Oxford Economics'!$B$7:$B$1000,Settings!$B$31)))),""))</f>
        <v>94932.44</v>
      </c>
      <c r="L28" s="41" t="n">
        <f aca="false">IF($A28="","",IFERROR(1/(1/IF($B28="Residential",(SUMIFS(INDEX('Oxford Economics'!$A$7:$AZ$1000,0,IFERROR(MATCH(L$5,'Oxford Economics'!$A$6:$AZ$6,0),MATCH(L$5&amp;"",'Oxford Economics'!$A$6:$AZ$6,0))),'Oxford Economics'!$A$7:$A$1000,$C28,'Oxford Economics'!$B$7:$B$1000,Settings!$B$29)-SUMIFS(INDEX('Oxford Economics'!$A$7:$AZ$1000,0,IFERROR(MATCH(L$5,'Oxford Economics'!$A$6:$AZ$6,0),MATCH(L$5&amp;"",'Oxford Economics'!$A$6:$AZ$6,0))),'Oxford Economics'!$A$7:$A$1000,$C28,'Oxford Economics'!$B$7:$B$1000,Settings!$B$30)),(SUMIFS(INDEX('Oxford Economics'!$A$7:$AZ$1000,0,IFERROR(MATCH(L$5,'Oxford Economics'!$A$6:$AZ$6,0),MATCH(L$5&amp;"",'Oxford Economics'!$A$6:$AZ$6,0))),'Oxford Economics'!$A$7:$A$1000,$C28,'Oxford Economics'!$B$7:$B$1000,Settings!$B$30)+SUMIFS(INDEX('Oxford Economics'!$A$7:$AZ$1000,0,IFERROR(MATCH(L$5,'Oxford Economics'!$A$6:$AZ$6,0),MATCH(L$5&amp;"",'Oxford Economics'!$A$6:$AZ$6,0))),'Oxford Economics'!$A$7:$A$1000,$C28,'Oxford Economics'!$B$7:$B$1000,Settings!$B$31)))),""))</f>
        <v>100185.25</v>
      </c>
      <c r="M28" s="41" t="n">
        <f aca="false">IF($A28="","",IFERROR(1/(1/IF($B28="Residential",(SUMIFS(INDEX('Oxford Economics'!$A$7:$AZ$1000,0,IFERROR(MATCH(M$5,'Oxford Economics'!$A$6:$AZ$6,0),MATCH(M$5&amp;"",'Oxford Economics'!$A$6:$AZ$6,0))),'Oxford Economics'!$A$7:$A$1000,$C28,'Oxford Economics'!$B$7:$B$1000,Settings!$B$29)-SUMIFS(INDEX('Oxford Economics'!$A$7:$AZ$1000,0,IFERROR(MATCH(M$5,'Oxford Economics'!$A$6:$AZ$6,0),MATCH(M$5&amp;"",'Oxford Economics'!$A$6:$AZ$6,0))),'Oxford Economics'!$A$7:$A$1000,$C28,'Oxford Economics'!$B$7:$B$1000,Settings!$B$30)),(SUMIFS(INDEX('Oxford Economics'!$A$7:$AZ$1000,0,IFERROR(MATCH(M$5,'Oxford Economics'!$A$6:$AZ$6,0),MATCH(M$5&amp;"",'Oxford Economics'!$A$6:$AZ$6,0))),'Oxford Economics'!$A$7:$A$1000,$C28,'Oxford Economics'!$B$7:$B$1000,Settings!$B$30)+SUMIFS(INDEX('Oxford Economics'!$A$7:$AZ$1000,0,IFERROR(MATCH(M$5,'Oxford Economics'!$A$6:$AZ$6,0),MATCH(M$5&amp;"",'Oxford Economics'!$A$6:$AZ$6,0))),'Oxford Economics'!$A$7:$A$1000,$C28,'Oxford Economics'!$B$7:$B$1000,Settings!$B$31)))),""))</f>
        <v>105072.03</v>
      </c>
      <c r="N28" s="41" t="n">
        <f aca="false">IF($A28="","",IFERROR(1/(1/IF($B28="Residential",(SUMIFS(INDEX('Oxford Economics'!$A$7:$AZ$1000,0,IFERROR(MATCH(N$5,'Oxford Economics'!$A$6:$AZ$6,0),MATCH(N$5&amp;"",'Oxford Economics'!$A$6:$AZ$6,0))),'Oxford Economics'!$A$7:$A$1000,$C28,'Oxford Economics'!$B$7:$B$1000,Settings!$B$29)-SUMIFS(INDEX('Oxford Economics'!$A$7:$AZ$1000,0,IFERROR(MATCH(N$5,'Oxford Economics'!$A$6:$AZ$6,0),MATCH(N$5&amp;"",'Oxford Economics'!$A$6:$AZ$6,0))),'Oxford Economics'!$A$7:$A$1000,$C28,'Oxford Economics'!$B$7:$B$1000,Settings!$B$30)),(SUMIFS(INDEX('Oxford Economics'!$A$7:$AZ$1000,0,IFERROR(MATCH(N$5,'Oxford Economics'!$A$6:$AZ$6,0),MATCH(N$5&amp;"",'Oxford Economics'!$A$6:$AZ$6,0))),'Oxford Economics'!$A$7:$A$1000,$C28,'Oxford Economics'!$B$7:$B$1000,Settings!$B$30)+SUMIFS(INDEX('Oxford Economics'!$A$7:$AZ$1000,0,IFERROR(MATCH(N$5,'Oxford Economics'!$A$6:$AZ$6,0),MATCH(N$5&amp;"",'Oxford Economics'!$A$6:$AZ$6,0))),'Oxford Economics'!$A$7:$A$1000,$C28,'Oxford Economics'!$B$7:$B$1000,Settings!$B$31)))),""))</f>
        <v>109831.53</v>
      </c>
      <c r="O28" s="41" t="n">
        <f aca="false">IF($A28="","",IFERROR(1/(1/IF($B28="Residential",(SUMIFS(INDEX('Oxford Economics'!$A$7:$AZ$1000,0,IFERROR(MATCH(O$5,'Oxford Economics'!$A$6:$AZ$6,0),MATCH(O$5&amp;"",'Oxford Economics'!$A$6:$AZ$6,0))),'Oxford Economics'!$A$7:$A$1000,$C28,'Oxford Economics'!$B$7:$B$1000,Settings!$B$29)-SUMIFS(INDEX('Oxford Economics'!$A$7:$AZ$1000,0,IFERROR(MATCH(O$5,'Oxford Economics'!$A$6:$AZ$6,0),MATCH(O$5&amp;"",'Oxford Economics'!$A$6:$AZ$6,0))),'Oxford Economics'!$A$7:$A$1000,$C28,'Oxford Economics'!$B$7:$B$1000,Settings!$B$30)),(SUMIFS(INDEX('Oxford Economics'!$A$7:$AZ$1000,0,IFERROR(MATCH(O$5,'Oxford Economics'!$A$6:$AZ$6,0),MATCH(O$5&amp;"",'Oxford Economics'!$A$6:$AZ$6,0))),'Oxford Economics'!$A$7:$A$1000,$C28,'Oxford Economics'!$B$7:$B$1000,Settings!$B$30)+SUMIFS(INDEX('Oxford Economics'!$A$7:$AZ$1000,0,IFERROR(MATCH(O$5,'Oxford Economics'!$A$6:$AZ$6,0),MATCH(O$5&amp;"",'Oxford Economics'!$A$6:$AZ$6,0))),'Oxford Economics'!$A$7:$A$1000,$C28,'Oxford Economics'!$B$7:$B$1000,Settings!$B$31)))),""))</f>
        <v>113107.56</v>
      </c>
    </row>
    <row r="29" customFormat="false" ht="15" hidden="false" customHeight="false" outlineLevel="0" collapsed="false">
      <c r="A29" s="40" t="str">
        <f aca="false">IF('Raw data'!$A29="","",'Raw data'!$A29)</f>
        <v>United Kingdom</v>
      </c>
      <c r="B29" s="40" t="str">
        <f aca="false">IF($A29="","",'Raw data'!$C29)</f>
        <v>Non-residential</v>
      </c>
      <c r="C29" s="40" t="str">
        <f aca="false">IF($A29="","",IF('Raw data'!$D29="",$A29,'Raw data'!$D29))</f>
        <v>United Kingdom</v>
      </c>
      <c r="D29" s="41" t="str">
        <f aca="false">IF($A29="","",IFERROR(1/(1/IF($B29="Residential",(SUMIFS(INDEX('Oxford Economics'!$A$7:$AZ$1000,0,IFERROR(MATCH(D$5,'Oxford Economics'!$A$6:$AZ$6,0),MATCH(D$5&amp;"",'Oxford Economics'!$A$6:$AZ$6,0))),'Oxford Economics'!$A$7:$A$1000,$C29,'Oxford Economics'!$B$7:$B$1000,Settings!$B$29)-SUMIFS(INDEX('Oxford Economics'!$A$7:$AZ$1000,0,IFERROR(MATCH(D$5,'Oxford Economics'!$A$6:$AZ$6,0),MATCH(D$5&amp;"",'Oxford Economics'!$A$6:$AZ$6,0))),'Oxford Economics'!$A$7:$A$1000,$C29,'Oxford Economics'!$B$7:$B$1000,Settings!$B$30)),(SUMIFS(INDEX('Oxford Economics'!$A$7:$AZ$1000,0,IFERROR(MATCH(D$5,'Oxford Economics'!$A$6:$AZ$6,0),MATCH(D$5&amp;"",'Oxford Economics'!$A$6:$AZ$6,0))),'Oxford Economics'!$A$7:$A$1000,$C29,'Oxford Economics'!$B$7:$B$1000,Settings!$B$30)+SUMIFS(INDEX('Oxford Economics'!$A$7:$AZ$1000,0,IFERROR(MATCH(D$5,'Oxford Economics'!$A$6:$AZ$6,0),MATCH(D$5&amp;"",'Oxford Economics'!$A$6:$AZ$6,0))),'Oxford Economics'!$A$7:$A$1000,$C29,'Oxford Economics'!$B$7:$B$1000,Settings!$B$31)))),""))</f>
        <v/>
      </c>
      <c r="E29" s="41" t="str">
        <f aca="false">IF($A29="","",IFERROR(1/(1/IF($B29="Residential",(SUMIFS(INDEX('Oxford Economics'!$A$7:$AZ$1000,0,IFERROR(MATCH(E$5,'Oxford Economics'!$A$6:$AZ$6,0),MATCH(E$5&amp;"",'Oxford Economics'!$A$6:$AZ$6,0))),'Oxford Economics'!$A$7:$A$1000,$C29,'Oxford Economics'!$B$7:$B$1000,Settings!$B$29)-SUMIFS(INDEX('Oxford Economics'!$A$7:$AZ$1000,0,IFERROR(MATCH(E$5,'Oxford Economics'!$A$6:$AZ$6,0),MATCH(E$5&amp;"",'Oxford Economics'!$A$6:$AZ$6,0))),'Oxford Economics'!$A$7:$A$1000,$C29,'Oxford Economics'!$B$7:$B$1000,Settings!$B$30)),(SUMIFS(INDEX('Oxford Economics'!$A$7:$AZ$1000,0,IFERROR(MATCH(E$5,'Oxford Economics'!$A$6:$AZ$6,0),MATCH(E$5&amp;"",'Oxford Economics'!$A$6:$AZ$6,0))),'Oxford Economics'!$A$7:$A$1000,$C29,'Oxford Economics'!$B$7:$B$1000,Settings!$B$30)+SUMIFS(INDEX('Oxford Economics'!$A$7:$AZ$1000,0,IFERROR(MATCH(E$5,'Oxford Economics'!$A$6:$AZ$6,0),MATCH(E$5&amp;"",'Oxford Economics'!$A$6:$AZ$6,0))),'Oxford Economics'!$A$7:$A$1000,$C29,'Oxford Economics'!$B$7:$B$1000,Settings!$B$31)))),""))</f>
        <v/>
      </c>
      <c r="F29" s="41" t="str">
        <f aca="false">IF($A29="","",IFERROR(1/(1/IF($B29="Residential",(SUMIFS(INDEX('Oxford Economics'!$A$7:$AZ$1000,0,IFERROR(MATCH(F$5,'Oxford Economics'!$A$6:$AZ$6,0),MATCH(F$5&amp;"",'Oxford Economics'!$A$6:$AZ$6,0))),'Oxford Economics'!$A$7:$A$1000,$C29,'Oxford Economics'!$B$7:$B$1000,Settings!$B$29)-SUMIFS(INDEX('Oxford Economics'!$A$7:$AZ$1000,0,IFERROR(MATCH(F$5,'Oxford Economics'!$A$6:$AZ$6,0),MATCH(F$5&amp;"",'Oxford Economics'!$A$6:$AZ$6,0))),'Oxford Economics'!$A$7:$A$1000,$C29,'Oxford Economics'!$B$7:$B$1000,Settings!$B$30)),(SUMIFS(INDEX('Oxford Economics'!$A$7:$AZ$1000,0,IFERROR(MATCH(F$5,'Oxford Economics'!$A$6:$AZ$6,0),MATCH(F$5&amp;"",'Oxford Economics'!$A$6:$AZ$6,0))),'Oxford Economics'!$A$7:$A$1000,$C29,'Oxford Economics'!$B$7:$B$1000,Settings!$B$30)+SUMIFS(INDEX('Oxford Economics'!$A$7:$AZ$1000,0,IFERROR(MATCH(F$5,'Oxford Economics'!$A$6:$AZ$6,0),MATCH(F$5&amp;"",'Oxford Economics'!$A$6:$AZ$6,0))),'Oxford Economics'!$A$7:$A$1000,$C29,'Oxford Economics'!$B$7:$B$1000,Settings!$B$31)))),""))</f>
        <v/>
      </c>
      <c r="G29" s="41" t="str">
        <f aca="false">IF($A29="","",IFERROR(1/(1/IF($B29="Residential",(SUMIFS(INDEX('Oxford Economics'!$A$7:$AZ$1000,0,IFERROR(MATCH(G$5,'Oxford Economics'!$A$6:$AZ$6,0),MATCH(G$5&amp;"",'Oxford Economics'!$A$6:$AZ$6,0))),'Oxford Economics'!$A$7:$A$1000,$C29,'Oxford Economics'!$B$7:$B$1000,Settings!$B$29)-SUMIFS(INDEX('Oxford Economics'!$A$7:$AZ$1000,0,IFERROR(MATCH(G$5,'Oxford Economics'!$A$6:$AZ$6,0),MATCH(G$5&amp;"",'Oxford Economics'!$A$6:$AZ$6,0))),'Oxford Economics'!$A$7:$A$1000,$C29,'Oxford Economics'!$B$7:$B$1000,Settings!$B$30)),(SUMIFS(INDEX('Oxford Economics'!$A$7:$AZ$1000,0,IFERROR(MATCH(G$5,'Oxford Economics'!$A$6:$AZ$6,0),MATCH(G$5&amp;"",'Oxford Economics'!$A$6:$AZ$6,0))),'Oxford Economics'!$A$7:$A$1000,$C29,'Oxford Economics'!$B$7:$B$1000,Settings!$B$30)+SUMIFS(INDEX('Oxford Economics'!$A$7:$AZ$1000,0,IFERROR(MATCH(G$5,'Oxford Economics'!$A$6:$AZ$6,0),MATCH(G$5&amp;"",'Oxford Economics'!$A$6:$AZ$6,0))),'Oxford Economics'!$A$7:$A$1000,$C29,'Oxford Economics'!$B$7:$B$1000,Settings!$B$31)))),""))</f>
        <v/>
      </c>
      <c r="H29" s="41" t="n">
        <f aca="false">IF($A29="","",IFERROR(1/(1/IF($B29="Residential",(SUMIFS(INDEX('Oxford Economics'!$A$7:$AZ$1000,0,IFERROR(MATCH(H$5,'Oxford Economics'!$A$6:$AZ$6,0),MATCH(H$5&amp;"",'Oxford Economics'!$A$6:$AZ$6,0))),'Oxford Economics'!$A$7:$A$1000,$C29,'Oxford Economics'!$B$7:$B$1000,Settings!$B$29)-SUMIFS(INDEX('Oxford Economics'!$A$7:$AZ$1000,0,IFERROR(MATCH(H$5,'Oxford Economics'!$A$6:$AZ$6,0),MATCH(H$5&amp;"",'Oxford Economics'!$A$6:$AZ$6,0))),'Oxford Economics'!$A$7:$A$1000,$C29,'Oxford Economics'!$B$7:$B$1000,Settings!$B$30)),(SUMIFS(INDEX('Oxford Economics'!$A$7:$AZ$1000,0,IFERROR(MATCH(H$5,'Oxford Economics'!$A$6:$AZ$6,0),MATCH(H$5&amp;"",'Oxford Economics'!$A$6:$AZ$6,0))),'Oxford Economics'!$A$7:$A$1000,$C29,'Oxford Economics'!$B$7:$B$1000,Settings!$B$30)+SUMIFS(INDEX('Oxford Economics'!$A$7:$AZ$1000,0,IFERROR(MATCH(H$5,'Oxford Economics'!$A$6:$AZ$6,0),MATCH(H$5&amp;"",'Oxford Economics'!$A$6:$AZ$6,0))),'Oxford Economics'!$A$7:$A$1000,$C29,'Oxford Economics'!$B$7:$B$1000,Settings!$B$31)))),""))</f>
        <v>72397.68</v>
      </c>
      <c r="I29" s="41" t="n">
        <f aca="false">IF($A29="","",IFERROR(1/(1/IF($B29="Residential",(SUMIFS(INDEX('Oxford Economics'!$A$7:$AZ$1000,0,IFERROR(MATCH(I$5,'Oxford Economics'!$A$6:$AZ$6,0),MATCH(I$5&amp;"",'Oxford Economics'!$A$6:$AZ$6,0))),'Oxford Economics'!$A$7:$A$1000,$C29,'Oxford Economics'!$B$7:$B$1000,Settings!$B$29)-SUMIFS(INDEX('Oxford Economics'!$A$7:$AZ$1000,0,IFERROR(MATCH(I$5,'Oxford Economics'!$A$6:$AZ$6,0),MATCH(I$5&amp;"",'Oxford Economics'!$A$6:$AZ$6,0))),'Oxford Economics'!$A$7:$A$1000,$C29,'Oxford Economics'!$B$7:$B$1000,Settings!$B$30)),(SUMIFS(INDEX('Oxford Economics'!$A$7:$AZ$1000,0,IFERROR(MATCH(I$5,'Oxford Economics'!$A$6:$AZ$6,0),MATCH(I$5&amp;"",'Oxford Economics'!$A$6:$AZ$6,0))),'Oxford Economics'!$A$7:$A$1000,$C29,'Oxford Economics'!$B$7:$B$1000,Settings!$B$30)+SUMIFS(INDEX('Oxford Economics'!$A$7:$AZ$1000,0,IFERROR(MATCH(I$5,'Oxford Economics'!$A$6:$AZ$6,0),MATCH(I$5&amp;"",'Oxford Economics'!$A$6:$AZ$6,0))),'Oxford Economics'!$A$7:$A$1000,$C29,'Oxford Economics'!$B$7:$B$1000,Settings!$B$31)))),""))</f>
        <v>68667.7</v>
      </c>
      <c r="J29" s="41" t="n">
        <f aca="false">IF($A29="","",IFERROR(1/(1/IF($B29="Residential",(SUMIFS(INDEX('Oxford Economics'!$A$7:$AZ$1000,0,IFERROR(MATCH(J$5,'Oxford Economics'!$A$6:$AZ$6,0),MATCH(J$5&amp;"",'Oxford Economics'!$A$6:$AZ$6,0))),'Oxford Economics'!$A$7:$A$1000,$C29,'Oxford Economics'!$B$7:$B$1000,Settings!$B$29)-SUMIFS(INDEX('Oxford Economics'!$A$7:$AZ$1000,0,IFERROR(MATCH(J$5,'Oxford Economics'!$A$6:$AZ$6,0),MATCH(J$5&amp;"",'Oxford Economics'!$A$6:$AZ$6,0))),'Oxford Economics'!$A$7:$A$1000,$C29,'Oxford Economics'!$B$7:$B$1000,Settings!$B$30)),(SUMIFS(INDEX('Oxford Economics'!$A$7:$AZ$1000,0,IFERROR(MATCH(J$5,'Oxford Economics'!$A$6:$AZ$6,0),MATCH(J$5&amp;"",'Oxford Economics'!$A$6:$AZ$6,0))),'Oxford Economics'!$A$7:$A$1000,$C29,'Oxford Economics'!$B$7:$B$1000,Settings!$B$30)+SUMIFS(INDEX('Oxford Economics'!$A$7:$AZ$1000,0,IFERROR(MATCH(J$5,'Oxford Economics'!$A$6:$AZ$6,0),MATCH(J$5&amp;"",'Oxford Economics'!$A$6:$AZ$6,0))),'Oxford Economics'!$A$7:$A$1000,$C29,'Oxford Economics'!$B$7:$B$1000,Settings!$B$31)))),""))</f>
        <v>68300.03</v>
      </c>
      <c r="K29" s="41" t="n">
        <f aca="false">IF($A29="","",IFERROR(1/(1/IF($B29="Residential",(SUMIFS(INDEX('Oxford Economics'!$A$7:$AZ$1000,0,IFERROR(MATCH(K$5,'Oxford Economics'!$A$6:$AZ$6,0),MATCH(K$5&amp;"",'Oxford Economics'!$A$6:$AZ$6,0))),'Oxford Economics'!$A$7:$A$1000,$C29,'Oxford Economics'!$B$7:$B$1000,Settings!$B$29)-SUMIFS(INDEX('Oxford Economics'!$A$7:$AZ$1000,0,IFERROR(MATCH(K$5,'Oxford Economics'!$A$6:$AZ$6,0),MATCH(K$5&amp;"",'Oxford Economics'!$A$6:$AZ$6,0))),'Oxford Economics'!$A$7:$A$1000,$C29,'Oxford Economics'!$B$7:$B$1000,Settings!$B$30)),(SUMIFS(INDEX('Oxford Economics'!$A$7:$AZ$1000,0,IFERROR(MATCH(K$5,'Oxford Economics'!$A$6:$AZ$6,0),MATCH(K$5&amp;"",'Oxford Economics'!$A$6:$AZ$6,0))),'Oxford Economics'!$A$7:$A$1000,$C29,'Oxford Economics'!$B$7:$B$1000,Settings!$B$30)+SUMIFS(INDEX('Oxford Economics'!$A$7:$AZ$1000,0,IFERROR(MATCH(K$5,'Oxford Economics'!$A$6:$AZ$6,0),MATCH(K$5&amp;"",'Oxford Economics'!$A$6:$AZ$6,0))),'Oxford Economics'!$A$7:$A$1000,$C29,'Oxford Economics'!$B$7:$B$1000,Settings!$B$31)))),""))</f>
        <v>70373.24</v>
      </c>
      <c r="L29" s="41" t="n">
        <f aca="false">IF($A29="","",IFERROR(1/(1/IF($B29="Residential",(SUMIFS(INDEX('Oxford Economics'!$A$7:$AZ$1000,0,IFERROR(MATCH(L$5,'Oxford Economics'!$A$6:$AZ$6,0),MATCH(L$5&amp;"",'Oxford Economics'!$A$6:$AZ$6,0))),'Oxford Economics'!$A$7:$A$1000,$C29,'Oxford Economics'!$B$7:$B$1000,Settings!$B$29)-SUMIFS(INDEX('Oxford Economics'!$A$7:$AZ$1000,0,IFERROR(MATCH(L$5,'Oxford Economics'!$A$6:$AZ$6,0),MATCH(L$5&amp;"",'Oxford Economics'!$A$6:$AZ$6,0))),'Oxford Economics'!$A$7:$A$1000,$C29,'Oxford Economics'!$B$7:$B$1000,Settings!$B$30)),(SUMIFS(INDEX('Oxford Economics'!$A$7:$AZ$1000,0,IFERROR(MATCH(L$5,'Oxford Economics'!$A$6:$AZ$6,0),MATCH(L$5&amp;"",'Oxford Economics'!$A$6:$AZ$6,0))),'Oxford Economics'!$A$7:$A$1000,$C29,'Oxford Economics'!$B$7:$B$1000,Settings!$B$30)+SUMIFS(INDEX('Oxford Economics'!$A$7:$AZ$1000,0,IFERROR(MATCH(L$5,'Oxford Economics'!$A$6:$AZ$6,0),MATCH(L$5&amp;"",'Oxford Economics'!$A$6:$AZ$6,0))),'Oxford Economics'!$A$7:$A$1000,$C29,'Oxford Economics'!$B$7:$B$1000,Settings!$B$31)))),""))</f>
        <v>73711.75</v>
      </c>
      <c r="M29" s="41" t="n">
        <f aca="false">IF($A29="","",IFERROR(1/(1/IF($B29="Residential",(SUMIFS(INDEX('Oxford Economics'!$A$7:$AZ$1000,0,IFERROR(MATCH(M$5,'Oxford Economics'!$A$6:$AZ$6,0),MATCH(M$5&amp;"",'Oxford Economics'!$A$6:$AZ$6,0))),'Oxford Economics'!$A$7:$A$1000,$C29,'Oxford Economics'!$B$7:$B$1000,Settings!$B$29)-SUMIFS(INDEX('Oxford Economics'!$A$7:$AZ$1000,0,IFERROR(MATCH(M$5,'Oxford Economics'!$A$6:$AZ$6,0),MATCH(M$5&amp;"",'Oxford Economics'!$A$6:$AZ$6,0))),'Oxford Economics'!$A$7:$A$1000,$C29,'Oxford Economics'!$B$7:$B$1000,Settings!$B$30)),(SUMIFS(INDEX('Oxford Economics'!$A$7:$AZ$1000,0,IFERROR(MATCH(M$5,'Oxford Economics'!$A$6:$AZ$6,0),MATCH(M$5&amp;"",'Oxford Economics'!$A$6:$AZ$6,0))),'Oxford Economics'!$A$7:$A$1000,$C29,'Oxford Economics'!$B$7:$B$1000,Settings!$B$30)+SUMIFS(INDEX('Oxford Economics'!$A$7:$AZ$1000,0,IFERROR(MATCH(M$5,'Oxford Economics'!$A$6:$AZ$6,0),MATCH(M$5&amp;"",'Oxford Economics'!$A$6:$AZ$6,0))),'Oxford Economics'!$A$7:$A$1000,$C29,'Oxford Economics'!$B$7:$B$1000,Settings!$B$31)))),""))</f>
        <v>77542.9</v>
      </c>
      <c r="N29" s="41" t="n">
        <f aca="false">IF($A29="","",IFERROR(1/(1/IF($B29="Residential",(SUMIFS(INDEX('Oxford Economics'!$A$7:$AZ$1000,0,IFERROR(MATCH(N$5,'Oxford Economics'!$A$6:$AZ$6,0),MATCH(N$5&amp;"",'Oxford Economics'!$A$6:$AZ$6,0))),'Oxford Economics'!$A$7:$A$1000,$C29,'Oxford Economics'!$B$7:$B$1000,Settings!$B$29)-SUMIFS(INDEX('Oxford Economics'!$A$7:$AZ$1000,0,IFERROR(MATCH(N$5,'Oxford Economics'!$A$6:$AZ$6,0),MATCH(N$5&amp;"",'Oxford Economics'!$A$6:$AZ$6,0))),'Oxford Economics'!$A$7:$A$1000,$C29,'Oxford Economics'!$B$7:$B$1000,Settings!$B$30)),(SUMIFS(INDEX('Oxford Economics'!$A$7:$AZ$1000,0,IFERROR(MATCH(N$5,'Oxford Economics'!$A$6:$AZ$6,0),MATCH(N$5&amp;"",'Oxford Economics'!$A$6:$AZ$6,0))),'Oxford Economics'!$A$7:$A$1000,$C29,'Oxford Economics'!$B$7:$B$1000,Settings!$B$30)+SUMIFS(INDEX('Oxford Economics'!$A$7:$AZ$1000,0,IFERROR(MATCH(N$5,'Oxford Economics'!$A$6:$AZ$6,0),MATCH(N$5&amp;"",'Oxford Economics'!$A$6:$AZ$6,0))),'Oxford Economics'!$A$7:$A$1000,$C29,'Oxford Economics'!$B$7:$B$1000,Settings!$B$31)))),""))</f>
        <v>80800.94</v>
      </c>
      <c r="O29" s="41" t="n">
        <f aca="false">IF($A29="","",IFERROR(1/(1/IF($B29="Residential",(SUMIFS(INDEX('Oxford Economics'!$A$7:$AZ$1000,0,IFERROR(MATCH(O$5,'Oxford Economics'!$A$6:$AZ$6,0),MATCH(O$5&amp;"",'Oxford Economics'!$A$6:$AZ$6,0))),'Oxford Economics'!$A$7:$A$1000,$C29,'Oxford Economics'!$B$7:$B$1000,Settings!$B$29)-SUMIFS(INDEX('Oxford Economics'!$A$7:$AZ$1000,0,IFERROR(MATCH(O$5,'Oxford Economics'!$A$6:$AZ$6,0),MATCH(O$5&amp;"",'Oxford Economics'!$A$6:$AZ$6,0))),'Oxford Economics'!$A$7:$A$1000,$C29,'Oxford Economics'!$B$7:$B$1000,Settings!$B$30)),(SUMIFS(INDEX('Oxford Economics'!$A$7:$AZ$1000,0,IFERROR(MATCH(O$5,'Oxford Economics'!$A$6:$AZ$6,0),MATCH(O$5&amp;"",'Oxford Economics'!$A$6:$AZ$6,0))),'Oxford Economics'!$A$7:$A$1000,$C29,'Oxford Economics'!$B$7:$B$1000,Settings!$B$30)+SUMIFS(INDEX('Oxford Economics'!$A$7:$AZ$1000,0,IFERROR(MATCH(O$5,'Oxford Economics'!$A$6:$AZ$6,0),MATCH(O$5&amp;"",'Oxford Economics'!$A$6:$AZ$6,0))),'Oxford Economics'!$A$7:$A$1000,$C29,'Oxford Economics'!$B$7:$B$1000,Settings!$B$31)))),""))</f>
        <v>83236.1</v>
      </c>
    </row>
    <row r="30" customFormat="false" ht="15" hidden="false" customHeight="false" outlineLevel="0" collapsed="false">
      <c r="A30" s="40" t="str">
        <f aca="false">IF('Raw data'!$A30="","",'Raw data'!$A30)</f>
        <v>France</v>
      </c>
      <c r="B30" s="40" t="str">
        <f aca="false">IF($A30="","",'Raw data'!$C30)</f>
        <v>Residential</v>
      </c>
      <c r="C30" s="40" t="str">
        <f aca="false">IF($A30="","",IF('Raw data'!$D30="",$A30,'Raw data'!$D30))</f>
        <v>France</v>
      </c>
      <c r="D30" s="41" t="str">
        <f aca="false">IF($A30="","",IFERROR(1/(1/IF($B30="Residential",(SUMIFS(INDEX('Oxford Economics'!$A$7:$AZ$1000,0,IFERROR(MATCH(D$5,'Oxford Economics'!$A$6:$AZ$6,0),MATCH(D$5&amp;"",'Oxford Economics'!$A$6:$AZ$6,0))),'Oxford Economics'!$A$7:$A$1000,$C30,'Oxford Economics'!$B$7:$B$1000,Settings!$B$29)-SUMIFS(INDEX('Oxford Economics'!$A$7:$AZ$1000,0,IFERROR(MATCH(D$5,'Oxford Economics'!$A$6:$AZ$6,0),MATCH(D$5&amp;"",'Oxford Economics'!$A$6:$AZ$6,0))),'Oxford Economics'!$A$7:$A$1000,$C30,'Oxford Economics'!$B$7:$B$1000,Settings!$B$30)),(SUMIFS(INDEX('Oxford Economics'!$A$7:$AZ$1000,0,IFERROR(MATCH(D$5,'Oxford Economics'!$A$6:$AZ$6,0),MATCH(D$5&amp;"",'Oxford Economics'!$A$6:$AZ$6,0))),'Oxford Economics'!$A$7:$A$1000,$C30,'Oxford Economics'!$B$7:$B$1000,Settings!$B$30)+SUMIFS(INDEX('Oxford Economics'!$A$7:$AZ$1000,0,IFERROR(MATCH(D$5,'Oxford Economics'!$A$6:$AZ$6,0),MATCH(D$5&amp;"",'Oxford Economics'!$A$6:$AZ$6,0))),'Oxford Economics'!$A$7:$A$1000,$C30,'Oxford Economics'!$B$7:$B$1000,Settings!$B$31)))),""))</f>
        <v/>
      </c>
      <c r="E30" s="41" t="str">
        <f aca="false">IF($A30="","",IFERROR(1/(1/IF($B30="Residential",(SUMIFS(INDEX('Oxford Economics'!$A$7:$AZ$1000,0,IFERROR(MATCH(E$5,'Oxford Economics'!$A$6:$AZ$6,0),MATCH(E$5&amp;"",'Oxford Economics'!$A$6:$AZ$6,0))),'Oxford Economics'!$A$7:$A$1000,$C30,'Oxford Economics'!$B$7:$B$1000,Settings!$B$29)-SUMIFS(INDEX('Oxford Economics'!$A$7:$AZ$1000,0,IFERROR(MATCH(E$5,'Oxford Economics'!$A$6:$AZ$6,0),MATCH(E$5&amp;"",'Oxford Economics'!$A$6:$AZ$6,0))),'Oxford Economics'!$A$7:$A$1000,$C30,'Oxford Economics'!$B$7:$B$1000,Settings!$B$30)),(SUMIFS(INDEX('Oxford Economics'!$A$7:$AZ$1000,0,IFERROR(MATCH(E$5,'Oxford Economics'!$A$6:$AZ$6,0),MATCH(E$5&amp;"",'Oxford Economics'!$A$6:$AZ$6,0))),'Oxford Economics'!$A$7:$A$1000,$C30,'Oxford Economics'!$B$7:$B$1000,Settings!$B$30)+SUMIFS(INDEX('Oxford Economics'!$A$7:$AZ$1000,0,IFERROR(MATCH(E$5,'Oxford Economics'!$A$6:$AZ$6,0),MATCH(E$5&amp;"",'Oxford Economics'!$A$6:$AZ$6,0))),'Oxford Economics'!$A$7:$A$1000,$C30,'Oxford Economics'!$B$7:$B$1000,Settings!$B$31)))),""))</f>
        <v/>
      </c>
      <c r="F30" s="41" t="str">
        <f aca="false">IF($A30="","",IFERROR(1/(1/IF($B30="Residential",(SUMIFS(INDEX('Oxford Economics'!$A$7:$AZ$1000,0,IFERROR(MATCH(F$5,'Oxford Economics'!$A$6:$AZ$6,0),MATCH(F$5&amp;"",'Oxford Economics'!$A$6:$AZ$6,0))),'Oxford Economics'!$A$7:$A$1000,$C30,'Oxford Economics'!$B$7:$B$1000,Settings!$B$29)-SUMIFS(INDEX('Oxford Economics'!$A$7:$AZ$1000,0,IFERROR(MATCH(F$5,'Oxford Economics'!$A$6:$AZ$6,0),MATCH(F$5&amp;"",'Oxford Economics'!$A$6:$AZ$6,0))),'Oxford Economics'!$A$7:$A$1000,$C30,'Oxford Economics'!$B$7:$B$1000,Settings!$B$30)),(SUMIFS(INDEX('Oxford Economics'!$A$7:$AZ$1000,0,IFERROR(MATCH(F$5,'Oxford Economics'!$A$6:$AZ$6,0),MATCH(F$5&amp;"",'Oxford Economics'!$A$6:$AZ$6,0))),'Oxford Economics'!$A$7:$A$1000,$C30,'Oxford Economics'!$B$7:$B$1000,Settings!$B$30)+SUMIFS(INDEX('Oxford Economics'!$A$7:$AZ$1000,0,IFERROR(MATCH(F$5,'Oxford Economics'!$A$6:$AZ$6,0),MATCH(F$5&amp;"",'Oxford Economics'!$A$6:$AZ$6,0))),'Oxford Economics'!$A$7:$A$1000,$C30,'Oxford Economics'!$B$7:$B$1000,Settings!$B$31)))),""))</f>
        <v/>
      </c>
      <c r="G30" s="41" t="str">
        <f aca="false">IF($A30="","",IFERROR(1/(1/IF($B30="Residential",(SUMIFS(INDEX('Oxford Economics'!$A$7:$AZ$1000,0,IFERROR(MATCH(G$5,'Oxford Economics'!$A$6:$AZ$6,0),MATCH(G$5&amp;"",'Oxford Economics'!$A$6:$AZ$6,0))),'Oxford Economics'!$A$7:$A$1000,$C30,'Oxford Economics'!$B$7:$B$1000,Settings!$B$29)-SUMIFS(INDEX('Oxford Economics'!$A$7:$AZ$1000,0,IFERROR(MATCH(G$5,'Oxford Economics'!$A$6:$AZ$6,0),MATCH(G$5&amp;"",'Oxford Economics'!$A$6:$AZ$6,0))),'Oxford Economics'!$A$7:$A$1000,$C30,'Oxford Economics'!$B$7:$B$1000,Settings!$B$30)),(SUMIFS(INDEX('Oxford Economics'!$A$7:$AZ$1000,0,IFERROR(MATCH(G$5,'Oxford Economics'!$A$6:$AZ$6,0),MATCH(G$5&amp;"",'Oxford Economics'!$A$6:$AZ$6,0))),'Oxford Economics'!$A$7:$A$1000,$C30,'Oxford Economics'!$B$7:$B$1000,Settings!$B$30)+SUMIFS(INDEX('Oxford Economics'!$A$7:$AZ$1000,0,IFERROR(MATCH(G$5,'Oxford Economics'!$A$6:$AZ$6,0),MATCH(G$5&amp;"",'Oxford Economics'!$A$6:$AZ$6,0))),'Oxford Economics'!$A$7:$A$1000,$C30,'Oxford Economics'!$B$7:$B$1000,Settings!$B$31)))),""))</f>
        <v/>
      </c>
      <c r="H30" s="41" t="n">
        <f aca="false">IF($A30="","",IFERROR(1/(1/IF($B30="Residential",(SUMIFS(INDEX('Oxford Economics'!$A$7:$AZ$1000,0,IFERROR(MATCH(H$5,'Oxford Economics'!$A$6:$AZ$6,0),MATCH(H$5&amp;"",'Oxford Economics'!$A$6:$AZ$6,0))),'Oxford Economics'!$A$7:$A$1000,$C30,'Oxford Economics'!$B$7:$B$1000,Settings!$B$29)-SUMIFS(INDEX('Oxford Economics'!$A$7:$AZ$1000,0,IFERROR(MATCH(H$5,'Oxford Economics'!$A$6:$AZ$6,0),MATCH(H$5&amp;"",'Oxford Economics'!$A$6:$AZ$6,0))),'Oxford Economics'!$A$7:$A$1000,$C30,'Oxford Economics'!$B$7:$B$1000,Settings!$B$30)),(SUMIFS(INDEX('Oxford Economics'!$A$7:$AZ$1000,0,IFERROR(MATCH(H$5,'Oxford Economics'!$A$6:$AZ$6,0),MATCH(H$5&amp;"",'Oxford Economics'!$A$6:$AZ$6,0))),'Oxford Economics'!$A$7:$A$1000,$C30,'Oxford Economics'!$B$7:$B$1000,Settings!$B$30)+SUMIFS(INDEX('Oxford Economics'!$A$7:$AZ$1000,0,IFERROR(MATCH(H$5,'Oxford Economics'!$A$6:$AZ$6,0),MATCH(H$5&amp;"",'Oxford Economics'!$A$6:$AZ$6,0))),'Oxford Economics'!$A$7:$A$1000,$C30,'Oxford Economics'!$B$7:$B$1000,Settings!$B$31)))),""))</f>
        <v>47581.58</v>
      </c>
      <c r="I30" s="41" t="n">
        <f aca="false">IF($A30="","",IFERROR(1/(1/IF($B30="Residential",(SUMIFS(INDEX('Oxford Economics'!$A$7:$AZ$1000,0,IFERROR(MATCH(I$5,'Oxford Economics'!$A$6:$AZ$6,0),MATCH(I$5&amp;"",'Oxford Economics'!$A$6:$AZ$6,0))),'Oxford Economics'!$A$7:$A$1000,$C30,'Oxford Economics'!$B$7:$B$1000,Settings!$B$29)-SUMIFS(INDEX('Oxford Economics'!$A$7:$AZ$1000,0,IFERROR(MATCH(I$5,'Oxford Economics'!$A$6:$AZ$6,0),MATCH(I$5&amp;"",'Oxford Economics'!$A$6:$AZ$6,0))),'Oxford Economics'!$A$7:$A$1000,$C30,'Oxford Economics'!$B$7:$B$1000,Settings!$B$30)),(SUMIFS(INDEX('Oxford Economics'!$A$7:$AZ$1000,0,IFERROR(MATCH(I$5,'Oxford Economics'!$A$6:$AZ$6,0),MATCH(I$5&amp;"",'Oxford Economics'!$A$6:$AZ$6,0))),'Oxford Economics'!$A$7:$A$1000,$C30,'Oxford Economics'!$B$7:$B$1000,Settings!$B$30)+SUMIFS(INDEX('Oxford Economics'!$A$7:$AZ$1000,0,IFERROR(MATCH(I$5,'Oxford Economics'!$A$6:$AZ$6,0),MATCH(I$5&amp;"",'Oxford Economics'!$A$6:$AZ$6,0))),'Oxford Economics'!$A$7:$A$1000,$C30,'Oxford Economics'!$B$7:$B$1000,Settings!$B$31)))),""))</f>
        <v>47504.26</v>
      </c>
      <c r="J30" s="41" t="n">
        <f aca="false">IF($A30="","",IFERROR(1/(1/IF($B30="Residential",(SUMIFS(INDEX('Oxford Economics'!$A$7:$AZ$1000,0,IFERROR(MATCH(J$5,'Oxford Economics'!$A$6:$AZ$6,0),MATCH(J$5&amp;"",'Oxford Economics'!$A$6:$AZ$6,0))),'Oxford Economics'!$A$7:$A$1000,$C30,'Oxford Economics'!$B$7:$B$1000,Settings!$B$29)-SUMIFS(INDEX('Oxford Economics'!$A$7:$AZ$1000,0,IFERROR(MATCH(J$5,'Oxford Economics'!$A$6:$AZ$6,0),MATCH(J$5&amp;"",'Oxford Economics'!$A$6:$AZ$6,0))),'Oxford Economics'!$A$7:$A$1000,$C30,'Oxford Economics'!$B$7:$B$1000,Settings!$B$30)),(SUMIFS(INDEX('Oxford Economics'!$A$7:$AZ$1000,0,IFERROR(MATCH(J$5,'Oxford Economics'!$A$6:$AZ$6,0),MATCH(J$5&amp;"",'Oxford Economics'!$A$6:$AZ$6,0))),'Oxford Economics'!$A$7:$A$1000,$C30,'Oxford Economics'!$B$7:$B$1000,Settings!$B$30)+SUMIFS(INDEX('Oxford Economics'!$A$7:$AZ$1000,0,IFERROR(MATCH(J$5,'Oxford Economics'!$A$6:$AZ$6,0),MATCH(J$5&amp;"",'Oxford Economics'!$A$6:$AZ$6,0))),'Oxford Economics'!$A$7:$A$1000,$C30,'Oxford Economics'!$B$7:$B$1000,Settings!$B$31)))),""))</f>
        <v>47698.61</v>
      </c>
      <c r="K30" s="41" t="n">
        <f aca="false">IF($A30="","",IFERROR(1/(1/IF($B30="Residential",(SUMIFS(INDEX('Oxford Economics'!$A$7:$AZ$1000,0,IFERROR(MATCH(K$5,'Oxford Economics'!$A$6:$AZ$6,0),MATCH(K$5&amp;"",'Oxford Economics'!$A$6:$AZ$6,0))),'Oxford Economics'!$A$7:$A$1000,$C30,'Oxford Economics'!$B$7:$B$1000,Settings!$B$29)-SUMIFS(INDEX('Oxford Economics'!$A$7:$AZ$1000,0,IFERROR(MATCH(K$5,'Oxford Economics'!$A$6:$AZ$6,0),MATCH(K$5&amp;"",'Oxford Economics'!$A$6:$AZ$6,0))),'Oxford Economics'!$A$7:$A$1000,$C30,'Oxford Economics'!$B$7:$B$1000,Settings!$B$30)),(SUMIFS(INDEX('Oxford Economics'!$A$7:$AZ$1000,0,IFERROR(MATCH(K$5,'Oxford Economics'!$A$6:$AZ$6,0),MATCH(K$5&amp;"",'Oxford Economics'!$A$6:$AZ$6,0))),'Oxford Economics'!$A$7:$A$1000,$C30,'Oxford Economics'!$B$7:$B$1000,Settings!$B$30)+SUMIFS(INDEX('Oxford Economics'!$A$7:$AZ$1000,0,IFERROR(MATCH(K$5,'Oxford Economics'!$A$6:$AZ$6,0),MATCH(K$5&amp;"",'Oxford Economics'!$A$6:$AZ$6,0))),'Oxford Economics'!$A$7:$A$1000,$C30,'Oxford Economics'!$B$7:$B$1000,Settings!$B$31)))),""))</f>
        <v>48102.03</v>
      </c>
      <c r="L30" s="41" t="n">
        <f aca="false">IF($A30="","",IFERROR(1/(1/IF($B30="Residential",(SUMIFS(INDEX('Oxford Economics'!$A$7:$AZ$1000,0,IFERROR(MATCH(L$5,'Oxford Economics'!$A$6:$AZ$6,0),MATCH(L$5&amp;"",'Oxford Economics'!$A$6:$AZ$6,0))),'Oxford Economics'!$A$7:$A$1000,$C30,'Oxford Economics'!$B$7:$B$1000,Settings!$B$29)-SUMIFS(INDEX('Oxford Economics'!$A$7:$AZ$1000,0,IFERROR(MATCH(L$5,'Oxford Economics'!$A$6:$AZ$6,0),MATCH(L$5&amp;"",'Oxford Economics'!$A$6:$AZ$6,0))),'Oxford Economics'!$A$7:$A$1000,$C30,'Oxford Economics'!$B$7:$B$1000,Settings!$B$30)),(SUMIFS(INDEX('Oxford Economics'!$A$7:$AZ$1000,0,IFERROR(MATCH(L$5,'Oxford Economics'!$A$6:$AZ$6,0),MATCH(L$5&amp;"",'Oxford Economics'!$A$6:$AZ$6,0))),'Oxford Economics'!$A$7:$A$1000,$C30,'Oxford Economics'!$B$7:$B$1000,Settings!$B$30)+SUMIFS(INDEX('Oxford Economics'!$A$7:$AZ$1000,0,IFERROR(MATCH(L$5,'Oxford Economics'!$A$6:$AZ$6,0),MATCH(L$5&amp;"",'Oxford Economics'!$A$6:$AZ$6,0))),'Oxford Economics'!$A$7:$A$1000,$C30,'Oxford Economics'!$B$7:$B$1000,Settings!$B$31)))),""))</f>
        <v>48998.45</v>
      </c>
      <c r="M30" s="41" t="n">
        <f aca="false">IF($A30="","",IFERROR(1/(1/IF($B30="Residential",(SUMIFS(INDEX('Oxford Economics'!$A$7:$AZ$1000,0,IFERROR(MATCH(M$5,'Oxford Economics'!$A$6:$AZ$6,0),MATCH(M$5&amp;"",'Oxford Economics'!$A$6:$AZ$6,0))),'Oxford Economics'!$A$7:$A$1000,$C30,'Oxford Economics'!$B$7:$B$1000,Settings!$B$29)-SUMIFS(INDEX('Oxford Economics'!$A$7:$AZ$1000,0,IFERROR(MATCH(M$5,'Oxford Economics'!$A$6:$AZ$6,0),MATCH(M$5&amp;"",'Oxford Economics'!$A$6:$AZ$6,0))),'Oxford Economics'!$A$7:$A$1000,$C30,'Oxford Economics'!$B$7:$B$1000,Settings!$B$30)),(SUMIFS(INDEX('Oxford Economics'!$A$7:$AZ$1000,0,IFERROR(MATCH(M$5,'Oxford Economics'!$A$6:$AZ$6,0),MATCH(M$5&amp;"",'Oxford Economics'!$A$6:$AZ$6,0))),'Oxford Economics'!$A$7:$A$1000,$C30,'Oxford Economics'!$B$7:$B$1000,Settings!$B$30)+SUMIFS(INDEX('Oxford Economics'!$A$7:$AZ$1000,0,IFERROR(MATCH(M$5,'Oxford Economics'!$A$6:$AZ$6,0),MATCH(M$5&amp;"",'Oxford Economics'!$A$6:$AZ$6,0))),'Oxford Economics'!$A$7:$A$1000,$C30,'Oxford Economics'!$B$7:$B$1000,Settings!$B$31)))),""))</f>
        <v>50214.66</v>
      </c>
      <c r="N30" s="41" t="n">
        <f aca="false">IF($A30="","",IFERROR(1/(1/IF($B30="Residential",(SUMIFS(INDEX('Oxford Economics'!$A$7:$AZ$1000,0,IFERROR(MATCH(N$5,'Oxford Economics'!$A$6:$AZ$6,0),MATCH(N$5&amp;"",'Oxford Economics'!$A$6:$AZ$6,0))),'Oxford Economics'!$A$7:$A$1000,$C30,'Oxford Economics'!$B$7:$B$1000,Settings!$B$29)-SUMIFS(INDEX('Oxford Economics'!$A$7:$AZ$1000,0,IFERROR(MATCH(N$5,'Oxford Economics'!$A$6:$AZ$6,0),MATCH(N$5&amp;"",'Oxford Economics'!$A$6:$AZ$6,0))),'Oxford Economics'!$A$7:$A$1000,$C30,'Oxford Economics'!$B$7:$B$1000,Settings!$B$30)),(SUMIFS(INDEX('Oxford Economics'!$A$7:$AZ$1000,0,IFERROR(MATCH(N$5,'Oxford Economics'!$A$6:$AZ$6,0),MATCH(N$5&amp;"",'Oxford Economics'!$A$6:$AZ$6,0))),'Oxford Economics'!$A$7:$A$1000,$C30,'Oxford Economics'!$B$7:$B$1000,Settings!$B$30)+SUMIFS(INDEX('Oxford Economics'!$A$7:$AZ$1000,0,IFERROR(MATCH(N$5,'Oxford Economics'!$A$6:$AZ$6,0),MATCH(N$5&amp;"",'Oxford Economics'!$A$6:$AZ$6,0))),'Oxford Economics'!$A$7:$A$1000,$C30,'Oxford Economics'!$B$7:$B$1000,Settings!$B$31)))),""))</f>
        <v>51126.61</v>
      </c>
      <c r="O30" s="41" t="n">
        <f aca="false">IF($A30="","",IFERROR(1/(1/IF($B30="Residential",(SUMIFS(INDEX('Oxford Economics'!$A$7:$AZ$1000,0,IFERROR(MATCH(O$5,'Oxford Economics'!$A$6:$AZ$6,0),MATCH(O$5&amp;"",'Oxford Economics'!$A$6:$AZ$6,0))),'Oxford Economics'!$A$7:$A$1000,$C30,'Oxford Economics'!$B$7:$B$1000,Settings!$B$29)-SUMIFS(INDEX('Oxford Economics'!$A$7:$AZ$1000,0,IFERROR(MATCH(O$5,'Oxford Economics'!$A$6:$AZ$6,0),MATCH(O$5&amp;"",'Oxford Economics'!$A$6:$AZ$6,0))),'Oxford Economics'!$A$7:$A$1000,$C30,'Oxford Economics'!$B$7:$B$1000,Settings!$B$30)),(SUMIFS(INDEX('Oxford Economics'!$A$7:$AZ$1000,0,IFERROR(MATCH(O$5,'Oxford Economics'!$A$6:$AZ$6,0),MATCH(O$5&amp;"",'Oxford Economics'!$A$6:$AZ$6,0))),'Oxford Economics'!$A$7:$A$1000,$C30,'Oxford Economics'!$B$7:$B$1000,Settings!$B$30)+SUMIFS(INDEX('Oxford Economics'!$A$7:$AZ$1000,0,IFERROR(MATCH(O$5,'Oxford Economics'!$A$6:$AZ$6,0),MATCH(O$5&amp;"",'Oxford Economics'!$A$6:$AZ$6,0))),'Oxford Economics'!$A$7:$A$1000,$C30,'Oxford Economics'!$B$7:$B$1000,Settings!$B$31)))),""))</f>
        <v>52450.53</v>
      </c>
    </row>
    <row r="31" customFormat="false" ht="15" hidden="false" customHeight="false" outlineLevel="0" collapsed="false">
      <c r="A31" s="40" t="str">
        <f aca="false">IF('Raw data'!$A31="","",'Raw data'!$A31)</f>
        <v>France</v>
      </c>
      <c r="B31" s="40" t="str">
        <f aca="false">IF($A31="","",'Raw data'!$C31)</f>
        <v>Non-residential</v>
      </c>
      <c r="C31" s="40" t="str">
        <f aca="false">IF($A31="","",IF('Raw data'!$D31="",$A31,'Raw data'!$D31))</f>
        <v>France</v>
      </c>
      <c r="D31" s="41" t="str">
        <f aca="false">IF($A31="","",IFERROR(1/(1/IF($B31="Residential",(SUMIFS(INDEX('Oxford Economics'!$A$7:$AZ$1000,0,IFERROR(MATCH(D$5,'Oxford Economics'!$A$6:$AZ$6,0),MATCH(D$5&amp;"",'Oxford Economics'!$A$6:$AZ$6,0))),'Oxford Economics'!$A$7:$A$1000,$C31,'Oxford Economics'!$B$7:$B$1000,Settings!$B$29)-SUMIFS(INDEX('Oxford Economics'!$A$7:$AZ$1000,0,IFERROR(MATCH(D$5,'Oxford Economics'!$A$6:$AZ$6,0),MATCH(D$5&amp;"",'Oxford Economics'!$A$6:$AZ$6,0))),'Oxford Economics'!$A$7:$A$1000,$C31,'Oxford Economics'!$B$7:$B$1000,Settings!$B$30)),(SUMIFS(INDEX('Oxford Economics'!$A$7:$AZ$1000,0,IFERROR(MATCH(D$5,'Oxford Economics'!$A$6:$AZ$6,0),MATCH(D$5&amp;"",'Oxford Economics'!$A$6:$AZ$6,0))),'Oxford Economics'!$A$7:$A$1000,$C31,'Oxford Economics'!$B$7:$B$1000,Settings!$B$30)+SUMIFS(INDEX('Oxford Economics'!$A$7:$AZ$1000,0,IFERROR(MATCH(D$5,'Oxford Economics'!$A$6:$AZ$6,0),MATCH(D$5&amp;"",'Oxford Economics'!$A$6:$AZ$6,0))),'Oxford Economics'!$A$7:$A$1000,$C31,'Oxford Economics'!$B$7:$B$1000,Settings!$B$31)))),""))</f>
        <v/>
      </c>
      <c r="E31" s="41" t="str">
        <f aca="false">IF($A31="","",IFERROR(1/(1/IF($B31="Residential",(SUMIFS(INDEX('Oxford Economics'!$A$7:$AZ$1000,0,IFERROR(MATCH(E$5,'Oxford Economics'!$A$6:$AZ$6,0),MATCH(E$5&amp;"",'Oxford Economics'!$A$6:$AZ$6,0))),'Oxford Economics'!$A$7:$A$1000,$C31,'Oxford Economics'!$B$7:$B$1000,Settings!$B$29)-SUMIFS(INDEX('Oxford Economics'!$A$7:$AZ$1000,0,IFERROR(MATCH(E$5,'Oxford Economics'!$A$6:$AZ$6,0),MATCH(E$5&amp;"",'Oxford Economics'!$A$6:$AZ$6,0))),'Oxford Economics'!$A$7:$A$1000,$C31,'Oxford Economics'!$B$7:$B$1000,Settings!$B$30)),(SUMIFS(INDEX('Oxford Economics'!$A$7:$AZ$1000,0,IFERROR(MATCH(E$5,'Oxford Economics'!$A$6:$AZ$6,0),MATCH(E$5&amp;"",'Oxford Economics'!$A$6:$AZ$6,0))),'Oxford Economics'!$A$7:$A$1000,$C31,'Oxford Economics'!$B$7:$B$1000,Settings!$B$30)+SUMIFS(INDEX('Oxford Economics'!$A$7:$AZ$1000,0,IFERROR(MATCH(E$5,'Oxford Economics'!$A$6:$AZ$6,0),MATCH(E$5&amp;"",'Oxford Economics'!$A$6:$AZ$6,0))),'Oxford Economics'!$A$7:$A$1000,$C31,'Oxford Economics'!$B$7:$B$1000,Settings!$B$31)))),""))</f>
        <v/>
      </c>
      <c r="F31" s="41" t="str">
        <f aca="false">IF($A31="","",IFERROR(1/(1/IF($B31="Residential",(SUMIFS(INDEX('Oxford Economics'!$A$7:$AZ$1000,0,IFERROR(MATCH(F$5,'Oxford Economics'!$A$6:$AZ$6,0),MATCH(F$5&amp;"",'Oxford Economics'!$A$6:$AZ$6,0))),'Oxford Economics'!$A$7:$A$1000,$C31,'Oxford Economics'!$B$7:$B$1000,Settings!$B$29)-SUMIFS(INDEX('Oxford Economics'!$A$7:$AZ$1000,0,IFERROR(MATCH(F$5,'Oxford Economics'!$A$6:$AZ$6,0),MATCH(F$5&amp;"",'Oxford Economics'!$A$6:$AZ$6,0))),'Oxford Economics'!$A$7:$A$1000,$C31,'Oxford Economics'!$B$7:$B$1000,Settings!$B$30)),(SUMIFS(INDEX('Oxford Economics'!$A$7:$AZ$1000,0,IFERROR(MATCH(F$5,'Oxford Economics'!$A$6:$AZ$6,0),MATCH(F$5&amp;"",'Oxford Economics'!$A$6:$AZ$6,0))),'Oxford Economics'!$A$7:$A$1000,$C31,'Oxford Economics'!$B$7:$B$1000,Settings!$B$30)+SUMIFS(INDEX('Oxford Economics'!$A$7:$AZ$1000,0,IFERROR(MATCH(F$5,'Oxford Economics'!$A$6:$AZ$6,0),MATCH(F$5&amp;"",'Oxford Economics'!$A$6:$AZ$6,0))),'Oxford Economics'!$A$7:$A$1000,$C31,'Oxford Economics'!$B$7:$B$1000,Settings!$B$31)))),""))</f>
        <v/>
      </c>
      <c r="G31" s="41" t="str">
        <f aca="false">IF($A31="","",IFERROR(1/(1/IF($B31="Residential",(SUMIFS(INDEX('Oxford Economics'!$A$7:$AZ$1000,0,IFERROR(MATCH(G$5,'Oxford Economics'!$A$6:$AZ$6,0),MATCH(G$5&amp;"",'Oxford Economics'!$A$6:$AZ$6,0))),'Oxford Economics'!$A$7:$A$1000,$C31,'Oxford Economics'!$B$7:$B$1000,Settings!$B$29)-SUMIFS(INDEX('Oxford Economics'!$A$7:$AZ$1000,0,IFERROR(MATCH(G$5,'Oxford Economics'!$A$6:$AZ$6,0),MATCH(G$5&amp;"",'Oxford Economics'!$A$6:$AZ$6,0))),'Oxford Economics'!$A$7:$A$1000,$C31,'Oxford Economics'!$B$7:$B$1000,Settings!$B$30)),(SUMIFS(INDEX('Oxford Economics'!$A$7:$AZ$1000,0,IFERROR(MATCH(G$5,'Oxford Economics'!$A$6:$AZ$6,0),MATCH(G$5&amp;"",'Oxford Economics'!$A$6:$AZ$6,0))),'Oxford Economics'!$A$7:$A$1000,$C31,'Oxford Economics'!$B$7:$B$1000,Settings!$B$30)+SUMIFS(INDEX('Oxford Economics'!$A$7:$AZ$1000,0,IFERROR(MATCH(G$5,'Oxford Economics'!$A$6:$AZ$6,0),MATCH(G$5&amp;"",'Oxford Economics'!$A$6:$AZ$6,0))),'Oxford Economics'!$A$7:$A$1000,$C31,'Oxford Economics'!$B$7:$B$1000,Settings!$B$31)))),""))</f>
        <v/>
      </c>
      <c r="H31" s="41" t="n">
        <f aca="false">IF($A31="","",IFERROR(1/(1/IF($B31="Residential",(SUMIFS(INDEX('Oxford Economics'!$A$7:$AZ$1000,0,IFERROR(MATCH(H$5,'Oxford Economics'!$A$6:$AZ$6,0),MATCH(H$5&amp;"",'Oxford Economics'!$A$6:$AZ$6,0))),'Oxford Economics'!$A$7:$A$1000,$C31,'Oxford Economics'!$B$7:$B$1000,Settings!$B$29)-SUMIFS(INDEX('Oxford Economics'!$A$7:$AZ$1000,0,IFERROR(MATCH(H$5,'Oxford Economics'!$A$6:$AZ$6,0),MATCH(H$5&amp;"",'Oxford Economics'!$A$6:$AZ$6,0))),'Oxford Economics'!$A$7:$A$1000,$C31,'Oxford Economics'!$B$7:$B$1000,Settings!$B$30)),(SUMIFS(INDEX('Oxford Economics'!$A$7:$AZ$1000,0,IFERROR(MATCH(H$5,'Oxford Economics'!$A$6:$AZ$6,0),MATCH(H$5&amp;"",'Oxford Economics'!$A$6:$AZ$6,0))),'Oxford Economics'!$A$7:$A$1000,$C31,'Oxford Economics'!$B$7:$B$1000,Settings!$B$30)+SUMIFS(INDEX('Oxford Economics'!$A$7:$AZ$1000,0,IFERROR(MATCH(H$5,'Oxford Economics'!$A$6:$AZ$6,0),MATCH(H$5&amp;"",'Oxford Economics'!$A$6:$AZ$6,0))),'Oxford Economics'!$A$7:$A$1000,$C31,'Oxford Economics'!$B$7:$B$1000,Settings!$B$31)))),""))</f>
        <v>94583.6</v>
      </c>
      <c r="I31" s="41" t="n">
        <f aca="false">IF($A31="","",IFERROR(1/(1/IF($B31="Residential",(SUMIFS(INDEX('Oxford Economics'!$A$7:$AZ$1000,0,IFERROR(MATCH(I$5,'Oxford Economics'!$A$6:$AZ$6,0),MATCH(I$5&amp;"",'Oxford Economics'!$A$6:$AZ$6,0))),'Oxford Economics'!$A$7:$A$1000,$C31,'Oxford Economics'!$B$7:$B$1000,Settings!$B$29)-SUMIFS(INDEX('Oxford Economics'!$A$7:$AZ$1000,0,IFERROR(MATCH(I$5,'Oxford Economics'!$A$6:$AZ$6,0),MATCH(I$5&amp;"",'Oxford Economics'!$A$6:$AZ$6,0))),'Oxford Economics'!$A$7:$A$1000,$C31,'Oxford Economics'!$B$7:$B$1000,Settings!$B$30)),(SUMIFS(INDEX('Oxford Economics'!$A$7:$AZ$1000,0,IFERROR(MATCH(I$5,'Oxford Economics'!$A$6:$AZ$6,0),MATCH(I$5&amp;"",'Oxford Economics'!$A$6:$AZ$6,0))),'Oxford Economics'!$A$7:$A$1000,$C31,'Oxford Economics'!$B$7:$B$1000,Settings!$B$30)+SUMIFS(INDEX('Oxford Economics'!$A$7:$AZ$1000,0,IFERROR(MATCH(I$5,'Oxford Economics'!$A$6:$AZ$6,0),MATCH(I$5&amp;"",'Oxford Economics'!$A$6:$AZ$6,0))),'Oxford Economics'!$A$7:$A$1000,$C31,'Oxford Economics'!$B$7:$B$1000,Settings!$B$31)))),""))</f>
        <v>92949.87</v>
      </c>
      <c r="J31" s="41" t="n">
        <f aca="false">IF($A31="","",IFERROR(1/(1/IF($B31="Residential",(SUMIFS(INDEX('Oxford Economics'!$A$7:$AZ$1000,0,IFERROR(MATCH(J$5,'Oxford Economics'!$A$6:$AZ$6,0),MATCH(J$5&amp;"",'Oxford Economics'!$A$6:$AZ$6,0))),'Oxford Economics'!$A$7:$A$1000,$C31,'Oxford Economics'!$B$7:$B$1000,Settings!$B$29)-SUMIFS(INDEX('Oxford Economics'!$A$7:$AZ$1000,0,IFERROR(MATCH(J$5,'Oxford Economics'!$A$6:$AZ$6,0),MATCH(J$5&amp;"",'Oxford Economics'!$A$6:$AZ$6,0))),'Oxford Economics'!$A$7:$A$1000,$C31,'Oxford Economics'!$B$7:$B$1000,Settings!$B$30)),(SUMIFS(INDEX('Oxford Economics'!$A$7:$AZ$1000,0,IFERROR(MATCH(J$5,'Oxford Economics'!$A$6:$AZ$6,0),MATCH(J$5&amp;"",'Oxford Economics'!$A$6:$AZ$6,0))),'Oxford Economics'!$A$7:$A$1000,$C31,'Oxford Economics'!$B$7:$B$1000,Settings!$B$30)+SUMIFS(INDEX('Oxford Economics'!$A$7:$AZ$1000,0,IFERROR(MATCH(J$5,'Oxford Economics'!$A$6:$AZ$6,0),MATCH(J$5&amp;"",'Oxford Economics'!$A$6:$AZ$6,0))),'Oxford Economics'!$A$7:$A$1000,$C31,'Oxford Economics'!$B$7:$B$1000,Settings!$B$31)))),""))</f>
        <v>93918.47</v>
      </c>
      <c r="K31" s="41" t="n">
        <f aca="false">IF($A31="","",IFERROR(1/(1/IF($B31="Residential",(SUMIFS(INDEX('Oxford Economics'!$A$7:$AZ$1000,0,IFERROR(MATCH(K$5,'Oxford Economics'!$A$6:$AZ$6,0),MATCH(K$5&amp;"",'Oxford Economics'!$A$6:$AZ$6,0))),'Oxford Economics'!$A$7:$A$1000,$C31,'Oxford Economics'!$B$7:$B$1000,Settings!$B$29)-SUMIFS(INDEX('Oxford Economics'!$A$7:$AZ$1000,0,IFERROR(MATCH(K$5,'Oxford Economics'!$A$6:$AZ$6,0),MATCH(K$5&amp;"",'Oxford Economics'!$A$6:$AZ$6,0))),'Oxford Economics'!$A$7:$A$1000,$C31,'Oxford Economics'!$B$7:$B$1000,Settings!$B$30)),(SUMIFS(INDEX('Oxford Economics'!$A$7:$AZ$1000,0,IFERROR(MATCH(K$5,'Oxford Economics'!$A$6:$AZ$6,0),MATCH(K$5&amp;"",'Oxford Economics'!$A$6:$AZ$6,0))),'Oxford Economics'!$A$7:$A$1000,$C31,'Oxford Economics'!$B$7:$B$1000,Settings!$B$30)+SUMIFS(INDEX('Oxford Economics'!$A$7:$AZ$1000,0,IFERROR(MATCH(K$5,'Oxford Economics'!$A$6:$AZ$6,0),MATCH(K$5&amp;"",'Oxford Economics'!$A$6:$AZ$6,0))),'Oxford Economics'!$A$7:$A$1000,$C31,'Oxford Economics'!$B$7:$B$1000,Settings!$B$31)))),""))</f>
        <v>94492.01</v>
      </c>
      <c r="L31" s="41" t="n">
        <f aca="false">IF($A31="","",IFERROR(1/(1/IF($B31="Residential",(SUMIFS(INDEX('Oxford Economics'!$A$7:$AZ$1000,0,IFERROR(MATCH(L$5,'Oxford Economics'!$A$6:$AZ$6,0),MATCH(L$5&amp;"",'Oxford Economics'!$A$6:$AZ$6,0))),'Oxford Economics'!$A$7:$A$1000,$C31,'Oxford Economics'!$B$7:$B$1000,Settings!$B$29)-SUMIFS(INDEX('Oxford Economics'!$A$7:$AZ$1000,0,IFERROR(MATCH(L$5,'Oxford Economics'!$A$6:$AZ$6,0),MATCH(L$5&amp;"",'Oxford Economics'!$A$6:$AZ$6,0))),'Oxford Economics'!$A$7:$A$1000,$C31,'Oxford Economics'!$B$7:$B$1000,Settings!$B$30)),(SUMIFS(INDEX('Oxford Economics'!$A$7:$AZ$1000,0,IFERROR(MATCH(L$5,'Oxford Economics'!$A$6:$AZ$6,0),MATCH(L$5&amp;"",'Oxford Economics'!$A$6:$AZ$6,0))),'Oxford Economics'!$A$7:$A$1000,$C31,'Oxford Economics'!$B$7:$B$1000,Settings!$B$30)+SUMIFS(INDEX('Oxford Economics'!$A$7:$AZ$1000,0,IFERROR(MATCH(L$5,'Oxford Economics'!$A$6:$AZ$6,0),MATCH(L$5&amp;"",'Oxford Economics'!$A$6:$AZ$6,0))),'Oxford Economics'!$A$7:$A$1000,$C31,'Oxford Economics'!$B$7:$B$1000,Settings!$B$31)))),""))</f>
        <v>94816.88</v>
      </c>
      <c r="M31" s="41" t="n">
        <f aca="false">IF($A31="","",IFERROR(1/(1/IF($B31="Residential",(SUMIFS(INDEX('Oxford Economics'!$A$7:$AZ$1000,0,IFERROR(MATCH(M$5,'Oxford Economics'!$A$6:$AZ$6,0),MATCH(M$5&amp;"",'Oxford Economics'!$A$6:$AZ$6,0))),'Oxford Economics'!$A$7:$A$1000,$C31,'Oxford Economics'!$B$7:$B$1000,Settings!$B$29)-SUMIFS(INDEX('Oxford Economics'!$A$7:$AZ$1000,0,IFERROR(MATCH(M$5,'Oxford Economics'!$A$6:$AZ$6,0),MATCH(M$5&amp;"",'Oxford Economics'!$A$6:$AZ$6,0))),'Oxford Economics'!$A$7:$A$1000,$C31,'Oxford Economics'!$B$7:$B$1000,Settings!$B$30)),(SUMIFS(INDEX('Oxford Economics'!$A$7:$AZ$1000,0,IFERROR(MATCH(M$5,'Oxford Economics'!$A$6:$AZ$6,0),MATCH(M$5&amp;"",'Oxford Economics'!$A$6:$AZ$6,0))),'Oxford Economics'!$A$7:$A$1000,$C31,'Oxford Economics'!$B$7:$B$1000,Settings!$B$30)+SUMIFS(INDEX('Oxford Economics'!$A$7:$AZ$1000,0,IFERROR(MATCH(M$5,'Oxford Economics'!$A$6:$AZ$6,0),MATCH(M$5&amp;"",'Oxford Economics'!$A$6:$AZ$6,0))),'Oxford Economics'!$A$7:$A$1000,$C31,'Oxford Economics'!$B$7:$B$1000,Settings!$B$31)))),""))</f>
        <v>96103.48</v>
      </c>
      <c r="N31" s="41" t="n">
        <f aca="false">IF($A31="","",IFERROR(1/(1/IF($B31="Residential",(SUMIFS(INDEX('Oxford Economics'!$A$7:$AZ$1000,0,IFERROR(MATCH(N$5,'Oxford Economics'!$A$6:$AZ$6,0),MATCH(N$5&amp;"",'Oxford Economics'!$A$6:$AZ$6,0))),'Oxford Economics'!$A$7:$A$1000,$C31,'Oxford Economics'!$B$7:$B$1000,Settings!$B$29)-SUMIFS(INDEX('Oxford Economics'!$A$7:$AZ$1000,0,IFERROR(MATCH(N$5,'Oxford Economics'!$A$6:$AZ$6,0),MATCH(N$5&amp;"",'Oxford Economics'!$A$6:$AZ$6,0))),'Oxford Economics'!$A$7:$A$1000,$C31,'Oxford Economics'!$B$7:$B$1000,Settings!$B$30)),(SUMIFS(INDEX('Oxford Economics'!$A$7:$AZ$1000,0,IFERROR(MATCH(N$5,'Oxford Economics'!$A$6:$AZ$6,0),MATCH(N$5&amp;"",'Oxford Economics'!$A$6:$AZ$6,0))),'Oxford Economics'!$A$7:$A$1000,$C31,'Oxford Economics'!$B$7:$B$1000,Settings!$B$30)+SUMIFS(INDEX('Oxford Economics'!$A$7:$AZ$1000,0,IFERROR(MATCH(N$5,'Oxford Economics'!$A$6:$AZ$6,0),MATCH(N$5&amp;"",'Oxford Economics'!$A$6:$AZ$6,0))),'Oxford Economics'!$A$7:$A$1000,$C31,'Oxford Economics'!$B$7:$B$1000,Settings!$B$31)))),""))</f>
        <v>98103.03</v>
      </c>
      <c r="O31" s="41" t="n">
        <f aca="false">IF($A31="","",IFERROR(1/(1/IF($B31="Residential",(SUMIFS(INDEX('Oxford Economics'!$A$7:$AZ$1000,0,IFERROR(MATCH(O$5,'Oxford Economics'!$A$6:$AZ$6,0),MATCH(O$5&amp;"",'Oxford Economics'!$A$6:$AZ$6,0))),'Oxford Economics'!$A$7:$A$1000,$C31,'Oxford Economics'!$B$7:$B$1000,Settings!$B$29)-SUMIFS(INDEX('Oxford Economics'!$A$7:$AZ$1000,0,IFERROR(MATCH(O$5,'Oxford Economics'!$A$6:$AZ$6,0),MATCH(O$5&amp;"",'Oxford Economics'!$A$6:$AZ$6,0))),'Oxford Economics'!$A$7:$A$1000,$C31,'Oxford Economics'!$B$7:$B$1000,Settings!$B$30)),(SUMIFS(INDEX('Oxford Economics'!$A$7:$AZ$1000,0,IFERROR(MATCH(O$5,'Oxford Economics'!$A$6:$AZ$6,0),MATCH(O$5&amp;"",'Oxford Economics'!$A$6:$AZ$6,0))),'Oxford Economics'!$A$7:$A$1000,$C31,'Oxford Economics'!$B$7:$B$1000,Settings!$B$30)+SUMIFS(INDEX('Oxford Economics'!$A$7:$AZ$1000,0,IFERROR(MATCH(O$5,'Oxford Economics'!$A$6:$AZ$6,0),MATCH(O$5&amp;"",'Oxford Economics'!$A$6:$AZ$6,0))),'Oxford Economics'!$A$7:$A$1000,$C31,'Oxford Economics'!$B$7:$B$1000,Settings!$B$31)))),""))</f>
        <v>99770.68</v>
      </c>
    </row>
    <row r="32" customFormat="false" ht="15" hidden="false" customHeight="false" outlineLevel="0" collapsed="false">
      <c r="A32" s="40" t="str">
        <f aca="false">IF('Raw data'!$A32="","",'Raw data'!$A32)</f>
        <v>Italy</v>
      </c>
      <c r="B32" s="40" t="str">
        <f aca="false">IF($A32="","",'Raw data'!$C32)</f>
        <v>Residential</v>
      </c>
      <c r="C32" s="40" t="str">
        <f aca="false">IF($A32="","",IF('Raw data'!$D32="",$A32,'Raw data'!$D32))</f>
        <v>Italy</v>
      </c>
      <c r="D32" s="41" t="str">
        <f aca="false">IF($A32="","",IFERROR(1/(1/IF($B32="Residential",(SUMIFS(INDEX('Oxford Economics'!$A$7:$AZ$1000,0,IFERROR(MATCH(D$5,'Oxford Economics'!$A$6:$AZ$6,0),MATCH(D$5&amp;"",'Oxford Economics'!$A$6:$AZ$6,0))),'Oxford Economics'!$A$7:$A$1000,$C32,'Oxford Economics'!$B$7:$B$1000,Settings!$B$29)-SUMIFS(INDEX('Oxford Economics'!$A$7:$AZ$1000,0,IFERROR(MATCH(D$5,'Oxford Economics'!$A$6:$AZ$6,0),MATCH(D$5&amp;"",'Oxford Economics'!$A$6:$AZ$6,0))),'Oxford Economics'!$A$7:$A$1000,$C32,'Oxford Economics'!$B$7:$B$1000,Settings!$B$30)),(SUMIFS(INDEX('Oxford Economics'!$A$7:$AZ$1000,0,IFERROR(MATCH(D$5,'Oxford Economics'!$A$6:$AZ$6,0),MATCH(D$5&amp;"",'Oxford Economics'!$A$6:$AZ$6,0))),'Oxford Economics'!$A$7:$A$1000,$C32,'Oxford Economics'!$B$7:$B$1000,Settings!$B$30)+SUMIFS(INDEX('Oxford Economics'!$A$7:$AZ$1000,0,IFERROR(MATCH(D$5,'Oxford Economics'!$A$6:$AZ$6,0),MATCH(D$5&amp;"",'Oxford Economics'!$A$6:$AZ$6,0))),'Oxford Economics'!$A$7:$A$1000,$C32,'Oxford Economics'!$B$7:$B$1000,Settings!$B$31)))),""))</f>
        <v/>
      </c>
      <c r="E32" s="41" t="str">
        <f aca="false">IF($A32="","",IFERROR(1/(1/IF($B32="Residential",(SUMIFS(INDEX('Oxford Economics'!$A$7:$AZ$1000,0,IFERROR(MATCH(E$5,'Oxford Economics'!$A$6:$AZ$6,0),MATCH(E$5&amp;"",'Oxford Economics'!$A$6:$AZ$6,0))),'Oxford Economics'!$A$7:$A$1000,$C32,'Oxford Economics'!$B$7:$B$1000,Settings!$B$29)-SUMIFS(INDEX('Oxford Economics'!$A$7:$AZ$1000,0,IFERROR(MATCH(E$5,'Oxford Economics'!$A$6:$AZ$6,0),MATCH(E$5&amp;"",'Oxford Economics'!$A$6:$AZ$6,0))),'Oxford Economics'!$A$7:$A$1000,$C32,'Oxford Economics'!$B$7:$B$1000,Settings!$B$30)),(SUMIFS(INDEX('Oxford Economics'!$A$7:$AZ$1000,0,IFERROR(MATCH(E$5,'Oxford Economics'!$A$6:$AZ$6,0),MATCH(E$5&amp;"",'Oxford Economics'!$A$6:$AZ$6,0))),'Oxford Economics'!$A$7:$A$1000,$C32,'Oxford Economics'!$B$7:$B$1000,Settings!$B$30)+SUMIFS(INDEX('Oxford Economics'!$A$7:$AZ$1000,0,IFERROR(MATCH(E$5,'Oxford Economics'!$A$6:$AZ$6,0),MATCH(E$5&amp;"",'Oxford Economics'!$A$6:$AZ$6,0))),'Oxford Economics'!$A$7:$A$1000,$C32,'Oxford Economics'!$B$7:$B$1000,Settings!$B$31)))),""))</f>
        <v/>
      </c>
      <c r="F32" s="41" t="str">
        <f aca="false">IF($A32="","",IFERROR(1/(1/IF($B32="Residential",(SUMIFS(INDEX('Oxford Economics'!$A$7:$AZ$1000,0,IFERROR(MATCH(F$5,'Oxford Economics'!$A$6:$AZ$6,0),MATCH(F$5&amp;"",'Oxford Economics'!$A$6:$AZ$6,0))),'Oxford Economics'!$A$7:$A$1000,$C32,'Oxford Economics'!$B$7:$B$1000,Settings!$B$29)-SUMIFS(INDEX('Oxford Economics'!$A$7:$AZ$1000,0,IFERROR(MATCH(F$5,'Oxford Economics'!$A$6:$AZ$6,0),MATCH(F$5&amp;"",'Oxford Economics'!$A$6:$AZ$6,0))),'Oxford Economics'!$A$7:$A$1000,$C32,'Oxford Economics'!$B$7:$B$1000,Settings!$B$30)),(SUMIFS(INDEX('Oxford Economics'!$A$7:$AZ$1000,0,IFERROR(MATCH(F$5,'Oxford Economics'!$A$6:$AZ$6,0),MATCH(F$5&amp;"",'Oxford Economics'!$A$6:$AZ$6,0))),'Oxford Economics'!$A$7:$A$1000,$C32,'Oxford Economics'!$B$7:$B$1000,Settings!$B$30)+SUMIFS(INDEX('Oxford Economics'!$A$7:$AZ$1000,0,IFERROR(MATCH(F$5,'Oxford Economics'!$A$6:$AZ$6,0),MATCH(F$5&amp;"",'Oxford Economics'!$A$6:$AZ$6,0))),'Oxford Economics'!$A$7:$A$1000,$C32,'Oxford Economics'!$B$7:$B$1000,Settings!$B$31)))),""))</f>
        <v/>
      </c>
      <c r="G32" s="41" t="str">
        <f aca="false">IF($A32="","",IFERROR(1/(1/IF($B32="Residential",(SUMIFS(INDEX('Oxford Economics'!$A$7:$AZ$1000,0,IFERROR(MATCH(G$5,'Oxford Economics'!$A$6:$AZ$6,0),MATCH(G$5&amp;"",'Oxford Economics'!$A$6:$AZ$6,0))),'Oxford Economics'!$A$7:$A$1000,$C32,'Oxford Economics'!$B$7:$B$1000,Settings!$B$29)-SUMIFS(INDEX('Oxford Economics'!$A$7:$AZ$1000,0,IFERROR(MATCH(G$5,'Oxford Economics'!$A$6:$AZ$6,0),MATCH(G$5&amp;"",'Oxford Economics'!$A$6:$AZ$6,0))),'Oxford Economics'!$A$7:$A$1000,$C32,'Oxford Economics'!$B$7:$B$1000,Settings!$B$30)),(SUMIFS(INDEX('Oxford Economics'!$A$7:$AZ$1000,0,IFERROR(MATCH(G$5,'Oxford Economics'!$A$6:$AZ$6,0),MATCH(G$5&amp;"",'Oxford Economics'!$A$6:$AZ$6,0))),'Oxford Economics'!$A$7:$A$1000,$C32,'Oxford Economics'!$B$7:$B$1000,Settings!$B$30)+SUMIFS(INDEX('Oxford Economics'!$A$7:$AZ$1000,0,IFERROR(MATCH(G$5,'Oxford Economics'!$A$6:$AZ$6,0),MATCH(G$5&amp;"",'Oxford Economics'!$A$6:$AZ$6,0))),'Oxford Economics'!$A$7:$A$1000,$C32,'Oxford Economics'!$B$7:$B$1000,Settings!$B$31)))),""))</f>
        <v/>
      </c>
      <c r="H32" s="41" t="n">
        <f aca="false">IF($A32="","",IFERROR(1/(1/IF($B32="Residential",(SUMIFS(INDEX('Oxford Economics'!$A$7:$AZ$1000,0,IFERROR(MATCH(H$5,'Oxford Economics'!$A$6:$AZ$6,0),MATCH(H$5&amp;"",'Oxford Economics'!$A$6:$AZ$6,0))),'Oxford Economics'!$A$7:$A$1000,$C32,'Oxford Economics'!$B$7:$B$1000,Settings!$B$29)-SUMIFS(INDEX('Oxford Economics'!$A$7:$AZ$1000,0,IFERROR(MATCH(H$5,'Oxford Economics'!$A$6:$AZ$6,0),MATCH(H$5&amp;"",'Oxford Economics'!$A$6:$AZ$6,0))),'Oxford Economics'!$A$7:$A$1000,$C32,'Oxford Economics'!$B$7:$B$1000,Settings!$B$30)),(SUMIFS(INDEX('Oxford Economics'!$A$7:$AZ$1000,0,IFERROR(MATCH(H$5,'Oxford Economics'!$A$6:$AZ$6,0),MATCH(H$5&amp;"",'Oxford Economics'!$A$6:$AZ$6,0))),'Oxford Economics'!$A$7:$A$1000,$C32,'Oxford Economics'!$B$7:$B$1000,Settings!$B$30)+SUMIFS(INDEX('Oxford Economics'!$A$7:$AZ$1000,0,IFERROR(MATCH(H$5,'Oxford Economics'!$A$6:$AZ$6,0),MATCH(H$5&amp;"",'Oxford Economics'!$A$6:$AZ$6,0))),'Oxford Economics'!$A$7:$A$1000,$C32,'Oxford Economics'!$B$7:$B$1000,Settings!$B$31)))),""))</f>
        <v>29129.11</v>
      </c>
      <c r="I32" s="41" t="n">
        <f aca="false">IF($A32="","",IFERROR(1/(1/IF($B32="Residential",(SUMIFS(INDEX('Oxford Economics'!$A$7:$AZ$1000,0,IFERROR(MATCH(I$5,'Oxford Economics'!$A$6:$AZ$6,0),MATCH(I$5&amp;"",'Oxford Economics'!$A$6:$AZ$6,0))),'Oxford Economics'!$A$7:$A$1000,$C32,'Oxford Economics'!$B$7:$B$1000,Settings!$B$29)-SUMIFS(INDEX('Oxford Economics'!$A$7:$AZ$1000,0,IFERROR(MATCH(I$5,'Oxford Economics'!$A$6:$AZ$6,0),MATCH(I$5&amp;"",'Oxford Economics'!$A$6:$AZ$6,0))),'Oxford Economics'!$A$7:$A$1000,$C32,'Oxford Economics'!$B$7:$B$1000,Settings!$B$30)),(SUMIFS(INDEX('Oxford Economics'!$A$7:$AZ$1000,0,IFERROR(MATCH(I$5,'Oxford Economics'!$A$6:$AZ$6,0),MATCH(I$5&amp;"",'Oxford Economics'!$A$6:$AZ$6,0))),'Oxford Economics'!$A$7:$A$1000,$C32,'Oxford Economics'!$B$7:$B$1000,Settings!$B$30)+SUMIFS(INDEX('Oxford Economics'!$A$7:$AZ$1000,0,IFERROR(MATCH(I$5,'Oxford Economics'!$A$6:$AZ$6,0),MATCH(I$5&amp;"",'Oxford Economics'!$A$6:$AZ$6,0))),'Oxford Economics'!$A$7:$A$1000,$C32,'Oxford Economics'!$B$7:$B$1000,Settings!$B$31)))),""))</f>
        <v>27391.01</v>
      </c>
      <c r="J32" s="41" t="n">
        <f aca="false">IF($A32="","",IFERROR(1/(1/IF($B32="Residential",(SUMIFS(INDEX('Oxford Economics'!$A$7:$AZ$1000,0,IFERROR(MATCH(J$5,'Oxford Economics'!$A$6:$AZ$6,0),MATCH(J$5&amp;"",'Oxford Economics'!$A$6:$AZ$6,0))),'Oxford Economics'!$A$7:$A$1000,$C32,'Oxford Economics'!$B$7:$B$1000,Settings!$B$29)-SUMIFS(INDEX('Oxford Economics'!$A$7:$AZ$1000,0,IFERROR(MATCH(J$5,'Oxford Economics'!$A$6:$AZ$6,0),MATCH(J$5&amp;"",'Oxford Economics'!$A$6:$AZ$6,0))),'Oxford Economics'!$A$7:$A$1000,$C32,'Oxford Economics'!$B$7:$B$1000,Settings!$B$30)),(SUMIFS(INDEX('Oxford Economics'!$A$7:$AZ$1000,0,IFERROR(MATCH(J$5,'Oxford Economics'!$A$6:$AZ$6,0),MATCH(J$5&amp;"",'Oxford Economics'!$A$6:$AZ$6,0))),'Oxford Economics'!$A$7:$A$1000,$C32,'Oxford Economics'!$B$7:$B$1000,Settings!$B$30)+SUMIFS(INDEX('Oxford Economics'!$A$7:$AZ$1000,0,IFERROR(MATCH(J$5,'Oxford Economics'!$A$6:$AZ$6,0),MATCH(J$5&amp;"",'Oxford Economics'!$A$6:$AZ$6,0))),'Oxford Economics'!$A$7:$A$1000,$C32,'Oxford Economics'!$B$7:$B$1000,Settings!$B$31)))),""))</f>
        <v>26617.93</v>
      </c>
      <c r="K32" s="41" t="n">
        <f aca="false">IF($A32="","",IFERROR(1/(1/IF($B32="Residential",(SUMIFS(INDEX('Oxford Economics'!$A$7:$AZ$1000,0,IFERROR(MATCH(K$5,'Oxford Economics'!$A$6:$AZ$6,0),MATCH(K$5&amp;"",'Oxford Economics'!$A$6:$AZ$6,0))),'Oxford Economics'!$A$7:$A$1000,$C32,'Oxford Economics'!$B$7:$B$1000,Settings!$B$29)-SUMIFS(INDEX('Oxford Economics'!$A$7:$AZ$1000,0,IFERROR(MATCH(K$5,'Oxford Economics'!$A$6:$AZ$6,0),MATCH(K$5&amp;"",'Oxford Economics'!$A$6:$AZ$6,0))),'Oxford Economics'!$A$7:$A$1000,$C32,'Oxford Economics'!$B$7:$B$1000,Settings!$B$30)),(SUMIFS(INDEX('Oxford Economics'!$A$7:$AZ$1000,0,IFERROR(MATCH(K$5,'Oxford Economics'!$A$6:$AZ$6,0),MATCH(K$5&amp;"",'Oxford Economics'!$A$6:$AZ$6,0))),'Oxford Economics'!$A$7:$A$1000,$C32,'Oxford Economics'!$B$7:$B$1000,Settings!$B$30)+SUMIFS(INDEX('Oxford Economics'!$A$7:$AZ$1000,0,IFERROR(MATCH(K$5,'Oxford Economics'!$A$6:$AZ$6,0),MATCH(K$5&amp;"",'Oxford Economics'!$A$6:$AZ$6,0))),'Oxford Economics'!$A$7:$A$1000,$C32,'Oxford Economics'!$B$7:$B$1000,Settings!$B$31)))),""))</f>
        <v>25218.25</v>
      </c>
      <c r="L32" s="41" t="n">
        <f aca="false">IF($A32="","",IFERROR(1/(1/IF($B32="Residential",(SUMIFS(INDEX('Oxford Economics'!$A$7:$AZ$1000,0,IFERROR(MATCH(L$5,'Oxford Economics'!$A$6:$AZ$6,0),MATCH(L$5&amp;"",'Oxford Economics'!$A$6:$AZ$6,0))),'Oxford Economics'!$A$7:$A$1000,$C32,'Oxford Economics'!$B$7:$B$1000,Settings!$B$29)-SUMIFS(INDEX('Oxford Economics'!$A$7:$AZ$1000,0,IFERROR(MATCH(L$5,'Oxford Economics'!$A$6:$AZ$6,0),MATCH(L$5&amp;"",'Oxford Economics'!$A$6:$AZ$6,0))),'Oxford Economics'!$A$7:$A$1000,$C32,'Oxford Economics'!$B$7:$B$1000,Settings!$B$30)),(SUMIFS(INDEX('Oxford Economics'!$A$7:$AZ$1000,0,IFERROR(MATCH(L$5,'Oxford Economics'!$A$6:$AZ$6,0),MATCH(L$5&amp;"",'Oxford Economics'!$A$6:$AZ$6,0))),'Oxford Economics'!$A$7:$A$1000,$C32,'Oxford Economics'!$B$7:$B$1000,Settings!$B$30)+SUMIFS(INDEX('Oxford Economics'!$A$7:$AZ$1000,0,IFERROR(MATCH(L$5,'Oxford Economics'!$A$6:$AZ$6,0),MATCH(L$5&amp;"",'Oxford Economics'!$A$6:$AZ$6,0))),'Oxford Economics'!$A$7:$A$1000,$C32,'Oxford Economics'!$B$7:$B$1000,Settings!$B$31)))),""))</f>
        <v>24089.8</v>
      </c>
      <c r="M32" s="41" t="n">
        <f aca="false">IF($A32="","",IFERROR(1/(1/IF($B32="Residential",(SUMIFS(INDEX('Oxford Economics'!$A$7:$AZ$1000,0,IFERROR(MATCH(M$5,'Oxford Economics'!$A$6:$AZ$6,0),MATCH(M$5&amp;"",'Oxford Economics'!$A$6:$AZ$6,0))),'Oxford Economics'!$A$7:$A$1000,$C32,'Oxford Economics'!$B$7:$B$1000,Settings!$B$29)-SUMIFS(INDEX('Oxford Economics'!$A$7:$AZ$1000,0,IFERROR(MATCH(M$5,'Oxford Economics'!$A$6:$AZ$6,0),MATCH(M$5&amp;"",'Oxford Economics'!$A$6:$AZ$6,0))),'Oxford Economics'!$A$7:$A$1000,$C32,'Oxford Economics'!$B$7:$B$1000,Settings!$B$30)),(SUMIFS(INDEX('Oxford Economics'!$A$7:$AZ$1000,0,IFERROR(MATCH(M$5,'Oxford Economics'!$A$6:$AZ$6,0),MATCH(M$5&amp;"",'Oxford Economics'!$A$6:$AZ$6,0))),'Oxford Economics'!$A$7:$A$1000,$C32,'Oxford Economics'!$B$7:$B$1000,Settings!$B$30)+SUMIFS(INDEX('Oxford Economics'!$A$7:$AZ$1000,0,IFERROR(MATCH(M$5,'Oxford Economics'!$A$6:$AZ$6,0),MATCH(M$5&amp;"",'Oxford Economics'!$A$6:$AZ$6,0))),'Oxford Economics'!$A$7:$A$1000,$C32,'Oxford Economics'!$B$7:$B$1000,Settings!$B$31)))),""))</f>
        <v>23929.75</v>
      </c>
      <c r="N32" s="41" t="n">
        <f aca="false">IF($A32="","",IFERROR(1/(1/IF($B32="Residential",(SUMIFS(INDEX('Oxford Economics'!$A$7:$AZ$1000,0,IFERROR(MATCH(N$5,'Oxford Economics'!$A$6:$AZ$6,0),MATCH(N$5&amp;"",'Oxford Economics'!$A$6:$AZ$6,0))),'Oxford Economics'!$A$7:$A$1000,$C32,'Oxford Economics'!$B$7:$B$1000,Settings!$B$29)-SUMIFS(INDEX('Oxford Economics'!$A$7:$AZ$1000,0,IFERROR(MATCH(N$5,'Oxford Economics'!$A$6:$AZ$6,0),MATCH(N$5&amp;"",'Oxford Economics'!$A$6:$AZ$6,0))),'Oxford Economics'!$A$7:$A$1000,$C32,'Oxford Economics'!$B$7:$B$1000,Settings!$B$30)),(SUMIFS(INDEX('Oxford Economics'!$A$7:$AZ$1000,0,IFERROR(MATCH(N$5,'Oxford Economics'!$A$6:$AZ$6,0),MATCH(N$5&amp;"",'Oxford Economics'!$A$6:$AZ$6,0))),'Oxford Economics'!$A$7:$A$1000,$C32,'Oxford Economics'!$B$7:$B$1000,Settings!$B$30)+SUMIFS(INDEX('Oxford Economics'!$A$7:$AZ$1000,0,IFERROR(MATCH(N$5,'Oxford Economics'!$A$6:$AZ$6,0),MATCH(N$5&amp;"",'Oxford Economics'!$A$6:$AZ$6,0))),'Oxford Economics'!$A$7:$A$1000,$C32,'Oxford Economics'!$B$7:$B$1000,Settings!$B$31)))),""))</f>
        <v>24090.8</v>
      </c>
      <c r="O32" s="41" t="n">
        <f aca="false">IF($A32="","",IFERROR(1/(1/IF($B32="Residential",(SUMIFS(INDEX('Oxford Economics'!$A$7:$AZ$1000,0,IFERROR(MATCH(O$5,'Oxford Economics'!$A$6:$AZ$6,0),MATCH(O$5&amp;"",'Oxford Economics'!$A$6:$AZ$6,0))),'Oxford Economics'!$A$7:$A$1000,$C32,'Oxford Economics'!$B$7:$B$1000,Settings!$B$29)-SUMIFS(INDEX('Oxford Economics'!$A$7:$AZ$1000,0,IFERROR(MATCH(O$5,'Oxford Economics'!$A$6:$AZ$6,0),MATCH(O$5&amp;"",'Oxford Economics'!$A$6:$AZ$6,0))),'Oxford Economics'!$A$7:$A$1000,$C32,'Oxford Economics'!$B$7:$B$1000,Settings!$B$30)),(SUMIFS(INDEX('Oxford Economics'!$A$7:$AZ$1000,0,IFERROR(MATCH(O$5,'Oxford Economics'!$A$6:$AZ$6,0),MATCH(O$5&amp;"",'Oxford Economics'!$A$6:$AZ$6,0))),'Oxford Economics'!$A$7:$A$1000,$C32,'Oxford Economics'!$B$7:$B$1000,Settings!$B$30)+SUMIFS(INDEX('Oxford Economics'!$A$7:$AZ$1000,0,IFERROR(MATCH(O$5,'Oxford Economics'!$A$6:$AZ$6,0),MATCH(O$5&amp;"",'Oxford Economics'!$A$6:$AZ$6,0))),'Oxford Economics'!$A$7:$A$1000,$C32,'Oxford Economics'!$B$7:$B$1000,Settings!$B$31)))),""))</f>
        <v>23768.25</v>
      </c>
    </row>
    <row r="33" customFormat="false" ht="15" hidden="false" customHeight="false" outlineLevel="0" collapsed="false">
      <c r="A33" s="40" t="str">
        <f aca="false">IF('Raw data'!$A33="","",'Raw data'!$A33)</f>
        <v>Italy</v>
      </c>
      <c r="B33" s="40" t="str">
        <f aca="false">IF($A33="","",'Raw data'!$C33)</f>
        <v>Non-residential</v>
      </c>
      <c r="C33" s="40" t="str">
        <f aca="false">IF($A33="","",IF('Raw data'!$D33="",$A33,'Raw data'!$D33))</f>
        <v>Italy</v>
      </c>
      <c r="D33" s="41" t="str">
        <f aca="false">IF($A33="","",IFERROR(1/(1/IF($B33="Residential",(SUMIFS(INDEX('Oxford Economics'!$A$7:$AZ$1000,0,IFERROR(MATCH(D$5,'Oxford Economics'!$A$6:$AZ$6,0),MATCH(D$5&amp;"",'Oxford Economics'!$A$6:$AZ$6,0))),'Oxford Economics'!$A$7:$A$1000,$C33,'Oxford Economics'!$B$7:$B$1000,Settings!$B$29)-SUMIFS(INDEX('Oxford Economics'!$A$7:$AZ$1000,0,IFERROR(MATCH(D$5,'Oxford Economics'!$A$6:$AZ$6,0),MATCH(D$5&amp;"",'Oxford Economics'!$A$6:$AZ$6,0))),'Oxford Economics'!$A$7:$A$1000,$C33,'Oxford Economics'!$B$7:$B$1000,Settings!$B$30)),(SUMIFS(INDEX('Oxford Economics'!$A$7:$AZ$1000,0,IFERROR(MATCH(D$5,'Oxford Economics'!$A$6:$AZ$6,0),MATCH(D$5&amp;"",'Oxford Economics'!$A$6:$AZ$6,0))),'Oxford Economics'!$A$7:$A$1000,$C33,'Oxford Economics'!$B$7:$B$1000,Settings!$B$30)+SUMIFS(INDEX('Oxford Economics'!$A$7:$AZ$1000,0,IFERROR(MATCH(D$5,'Oxford Economics'!$A$6:$AZ$6,0),MATCH(D$5&amp;"",'Oxford Economics'!$A$6:$AZ$6,0))),'Oxford Economics'!$A$7:$A$1000,$C33,'Oxford Economics'!$B$7:$B$1000,Settings!$B$31)))),""))</f>
        <v/>
      </c>
      <c r="E33" s="41" t="str">
        <f aca="false">IF($A33="","",IFERROR(1/(1/IF($B33="Residential",(SUMIFS(INDEX('Oxford Economics'!$A$7:$AZ$1000,0,IFERROR(MATCH(E$5,'Oxford Economics'!$A$6:$AZ$6,0),MATCH(E$5&amp;"",'Oxford Economics'!$A$6:$AZ$6,0))),'Oxford Economics'!$A$7:$A$1000,$C33,'Oxford Economics'!$B$7:$B$1000,Settings!$B$29)-SUMIFS(INDEX('Oxford Economics'!$A$7:$AZ$1000,0,IFERROR(MATCH(E$5,'Oxford Economics'!$A$6:$AZ$6,0),MATCH(E$5&amp;"",'Oxford Economics'!$A$6:$AZ$6,0))),'Oxford Economics'!$A$7:$A$1000,$C33,'Oxford Economics'!$B$7:$B$1000,Settings!$B$30)),(SUMIFS(INDEX('Oxford Economics'!$A$7:$AZ$1000,0,IFERROR(MATCH(E$5,'Oxford Economics'!$A$6:$AZ$6,0),MATCH(E$5&amp;"",'Oxford Economics'!$A$6:$AZ$6,0))),'Oxford Economics'!$A$7:$A$1000,$C33,'Oxford Economics'!$B$7:$B$1000,Settings!$B$30)+SUMIFS(INDEX('Oxford Economics'!$A$7:$AZ$1000,0,IFERROR(MATCH(E$5,'Oxford Economics'!$A$6:$AZ$6,0),MATCH(E$5&amp;"",'Oxford Economics'!$A$6:$AZ$6,0))),'Oxford Economics'!$A$7:$A$1000,$C33,'Oxford Economics'!$B$7:$B$1000,Settings!$B$31)))),""))</f>
        <v/>
      </c>
      <c r="F33" s="41" t="str">
        <f aca="false">IF($A33="","",IFERROR(1/(1/IF($B33="Residential",(SUMIFS(INDEX('Oxford Economics'!$A$7:$AZ$1000,0,IFERROR(MATCH(F$5,'Oxford Economics'!$A$6:$AZ$6,0),MATCH(F$5&amp;"",'Oxford Economics'!$A$6:$AZ$6,0))),'Oxford Economics'!$A$7:$A$1000,$C33,'Oxford Economics'!$B$7:$B$1000,Settings!$B$29)-SUMIFS(INDEX('Oxford Economics'!$A$7:$AZ$1000,0,IFERROR(MATCH(F$5,'Oxford Economics'!$A$6:$AZ$6,0),MATCH(F$5&amp;"",'Oxford Economics'!$A$6:$AZ$6,0))),'Oxford Economics'!$A$7:$A$1000,$C33,'Oxford Economics'!$B$7:$B$1000,Settings!$B$30)),(SUMIFS(INDEX('Oxford Economics'!$A$7:$AZ$1000,0,IFERROR(MATCH(F$5,'Oxford Economics'!$A$6:$AZ$6,0),MATCH(F$5&amp;"",'Oxford Economics'!$A$6:$AZ$6,0))),'Oxford Economics'!$A$7:$A$1000,$C33,'Oxford Economics'!$B$7:$B$1000,Settings!$B$30)+SUMIFS(INDEX('Oxford Economics'!$A$7:$AZ$1000,0,IFERROR(MATCH(F$5,'Oxford Economics'!$A$6:$AZ$6,0),MATCH(F$5&amp;"",'Oxford Economics'!$A$6:$AZ$6,0))),'Oxford Economics'!$A$7:$A$1000,$C33,'Oxford Economics'!$B$7:$B$1000,Settings!$B$31)))),""))</f>
        <v/>
      </c>
      <c r="G33" s="41" t="str">
        <f aca="false">IF($A33="","",IFERROR(1/(1/IF($B33="Residential",(SUMIFS(INDEX('Oxford Economics'!$A$7:$AZ$1000,0,IFERROR(MATCH(G$5,'Oxford Economics'!$A$6:$AZ$6,0),MATCH(G$5&amp;"",'Oxford Economics'!$A$6:$AZ$6,0))),'Oxford Economics'!$A$7:$A$1000,$C33,'Oxford Economics'!$B$7:$B$1000,Settings!$B$29)-SUMIFS(INDEX('Oxford Economics'!$A$7:$AZ$1000,0,IFERROR(MATCH(G$5,'Oxford Economics'!$A$6:$AZ$6,0),MATCH(G$5&amp;"",'Oxford Economics'!$A$6:$AZ$6,0))),'Oxford Economics'!$A$7:$A$1000,$C33,'Oxford Economics'!$B$7:$B$1000,Settings!$B$30)),(SUMIFS(INDEX('Oxford Economics'!$A$7:$AZ$1000,0,IFERROR(MATCH(G$5,'Oxford Economics'!$A$6:$AZ$6,0),MATCH(G$5&amp;"",'Oxford Economics'!$A$6:$AZ$6,0))),'Oxford Economics'!$A$7:$A$1000,$C33,'Oxford Economics'!$B$7:$B$1000,Settings!$B$30)+SUMIFS(INDEX('Oxford Economics'!$A$7:$AZ$1000,0,IFERROR(MATCH(G$5,'Oxford Economics'!$A$6:$AZ$6,0),MATCH(G$5&amp;"",'Oxford Economics'!$A$6:$AZ$6,0))),'Oxford Economics'!$A$7:$A$1000,$C33,'Oxford Economics'!$B$7:$B$1000,Settings!$B$31)))),""))</f>
        <v/>
      </c>
      <c r="H33" s="41" t="n">
        <f aca="false">IF($A33="","",IFERROR(1/(1/IF($B33="Residential",(SUMIFS(INDEX('Oxford Economics'!$A$7:$AZ$1000,0,IFERROR(MATCH(H$5,'Oxford Economics'!$A$6:$AZ$6,0),MATCH(H$5&amp;"",'Oxford Economics'!$A$6:$AZ$6,0))),'Oxford Economics'!$A$7:$A$1000,$C33,'Oxford Economics'!$B$7:$B$1000,Settings!$B$29)-SUMIFS(INDEX('Oxford Economics'!$A$7:$AZ$1000,0,IFERROR(MATCH(H$5,'Oxford Economics'!$A$6:$AZ$6,0),MATCH(H$5&amp;"",'Oxford Economics'!$A$6:$AZ$6,0))),'Oxford Economics'!$A$7:$A$1000,$C33,'Oxford Economics'!$B$7:$B$1000,Settings!$B$30)),(SUMIFS(INDEX('Oxford Economics'!$A$7:$AZ$1000,0,IFERROR(MATCH(H$5,'Oxford Economics'!$A$6:$AZ$6,0),MATCH(H$5&amp;"",'Oxford Economics'!$A$6:$AZ$6,0))),'Oxford Economics'!$A$7:$A$1000,$C33,'Oxford Economics'!$B$7:$B$1000,Settings!$B$30)+SUMIFS(INDEX('Oxford Economics'!$A$7:$AZ$1000,0,IFERROR(MATCH(H$5,'Oxford Economics'!$A$6:$AZ$6,0),MATCH(H$5&amp;"",'Oxford Economics'!$A$6:$AZ$6,0))),'Oxford Economics'!$A$7:$A$1000,$C33,'Oxford Economics'!$B$7:$B$1000,Settings!$B$31)))),""))</f>
        <v>95187.17</v>
      </c>
      <c r="I33" s="41" t="n">
        <f aca="false">IF($A33="","",IFERROR(1/(1/IF($B33="Residential",(SUMIFS(INDEX('Oxford Economics'!$A$7:$AZ$1000,0,IFERROR(MATCH(I$5,'Oxford Economics'!$A$6:$AZ$6,0),MATCH(I$5&amp;"",'Oxford Economics'!$A$6:$AZ$6,0))),'Oxford Economics'!$A$7:$A$1000,$C33,'Oxford Economics'!$B$7:$B$1000,Settings!$B$29)-SUMIFS(INDEX('Oxford Economics'!$A$7:$AZ$1000,0,IFERROR(MATCH(I$5,'Oxford Economics'!$A$6:$AZ$6,0),MATCH(I$5&amp;"",'Oxford Economics'!$A$6:$AZ$6,0))),'Oxford Economics'!$A$7:$A$1000,$C33,'Oxford Economics'!$B$7:$B$1000,Settings!$B$30)),(SUMIFS(INDEX('Oxford Economics'!$A$7:$AZ$1000,0,IFERROR(MATCH(I$5,'Oxford Economics'!$A$6:$AZ$6,0),MATCH(I$5&amp;"",'Oxford Economics'!$A$6:$AZ$6,0))),'Oxford Economics'!$A$7:$A$1000,$C33,'Oxford Economics'!$B$7:$B$1000,Settings!$B$30)+SUMIFS(INDEX('Oxford Economics'!$A$7:$AZ$1000,0,IFERROR(MATCH(I$5,'Oxford Economics'!$A$6:$AZ$6,0),MATCH(I$5&amp;"",'Oxford Economics'!$A$6:$AZ$6,0))),'Oxford Economics'!$A$7:$A$1000,$C33,'Oxford Economics'!$B$7:$B$1000,Settings!$B$31)))),""))</f>
        <v>93406.3</v>
      </c>
      <c r="J33" s="41" t="n">
        <f aca="false">IF($A33="","",IFERROR(1/(1/IF($B33="Residential",(SUMIFS(INDEX('Oxford Economics'!$A$7:$AZ$1000,0,IFERROR(MATCH(J$5,'Oxford Economics'!$A$6:$AZ$6,0),MATCH(J$5&amp;"",'Oxford Economics'!$A$6:$AZ$6,0))),'Oxford Economics'!$A$7:$A$1000,$C33,'Oxford Economics'!$B$7:$B$1000,Settings!$B$29)-SUMIFS(INDEX('Oxford Economics'!$A$7:$AZ$1000,0,IFERROR(MATCH(J$5,'Oxford Economics'!$A$6:$AZ$6,0),MATCH(J$5&amp;"",'Oxford Economics'!$A$6:$AZ$6,0))),'Oxford Economics'!$A$7:$A$1000,$C33,'Oxford Economics'!$B$7:$B$1000,Settings!$B$30)),(SUMIFS(INDEX('Oxford Economics'!$A$7:$AZ$1000,0,IFERROR(MATCH(J$5,'Oxford Economics'!$A$6:$AZ$6,0),MATCH(J$5&amp;"",'Oxford Economics'!$A$6:$AZ$6,0))),'Oxford Economics'!$A$7:$A$1000,$C33,'Oxford Economics'!$B$7:$B$1000,Settings!$B$30)+SUMIFS(INDEX('Oxford Economics'!$A$7:$AZ$1000,0,IFERROR(MATCH(J$5,'Oxford Economics'!$A$6:$AZ$6,0),MATCH(J$5&amp;"",'Oxford Economics'!$A$6:$AZ$6,0))),'Oxford Economics'!$A$7:$A$1000,$C33,'Oxford Economics'!$B$7:$B$1000,Settings!$B$31)))),""))</f>
        <v>93565.32</v>
      </c>
      <c r="K33" s="41" t="n">
        <f aca="false">IF($A33="","",IFERROR(1/(1/IF($B33="Residential",(SUMIFS(INDEX('Oxford Economics'!$A$7:$AZ$1000,0,IFERROR(MATCH(K$5,'Oxford Economics'!$A$6:$AZ$6,0),MATCH(K$5&amp;"",'Oxford Economics'!$A$6:$AZ$6,0))),'Oxford Economics'!$A$7:$A$1000,$C33,'Oxford Economics'!$B$7:$B$1000,Settings!$B$29)-SUMIFS(INDEX('Oxford Economics'!$A$7:$AZ$1000,0,IFERROR(MATCH(K$5,'Oxford Economics'!$A$6:$AZ$6,0),MATCH(K$5&amp;"",'Oxford Economics'!$A$6:$AZ$6,0))),'Oxford Economics'!$A$7:$A$1000,$C33,'Oxford Economics'!$B$7:$B$1000,Settings!$B$30)),(SUMIFS(INDEX('Oxford Economics'!$A$7:$AZ$1000,0,IFERROR(MATCH(K$5,'Oxford Economics'!$A$6:$AZ$6,0),MATCH(K$5&amp;"",'Oxford Economics'!$A$6:$AZ$6,0))),'Oxford Economics'!$A$7:$A$1000,$C33,'Oxford Economics'!$B$7:$B$1000,Settings!$B$30)+SUMIFS(INDEX('Oxford Economics'!$A$7:$AZ$1000,0,IFERROR(MATCH(K$5,'Oxford Economics'!$A$6:$AZ$6,0),MATCH(K$5&amp;"",'Oxford Economics'!$A$6:$AZ$6,0))),'Oxford Economics'!$A$7:$A$1000,$C33,'Oxford Economics'!$B$7:$B$1000,Settings!$B$31)))),""))</f>
        <v>93939.64</v>
      </c>
      <c r="L33" s="41" t="n">
        <f aca="false">IF($A33="","",IFERROR(1/(1/IF($B33="Residential",(SUMIFS(INDEX('Oxford Economics'!$A$7:$AZ$1000,0,IFERROR(MATCH(L$5,'Oxford Economics'!$A$6:$AZ$6,0),MATCH(L$5&amp;"",'Oxford Economics'!$A$6:$AZ$6,0))),'Oxford Economics'!$A$7:$A$1000,$C33,'Oxford Economics'!$B$7:$B$1000,Settings!$B$29)-SUMIFS(INDEX('Oxford Economics'!$A$7:$AZ$1000,0,IFERROR(MATCH(L$5,'Oxford Economics'!$A$6:$AZ$6,0),MATCH(L$5&amp;"",'Oxford Economics'!$A$6:$AZ$6,0))),'Oxford Economics'!$A$7:$A$1000,$C33,'Oxford Economics'!$B$7:$B$1000,Settings!$B$30)),(SUMIFS(INDEX('Oxford Economics'!$A$7:$AZ$1000,0,IFERROR(MATCH(L$5,'Oxford Economics'!$A$6:$AZ$6,0),MATCH(L$5&amp;"",'Oxford Economics'!$A$6:$AZ$6,0))),'Oxford Economics'!$A$7:$A$1000,$C33,'Oxford Economics'!$B$7:$B$1000,Settings!$B$30)+SUMIFS(INDEX('Oxford Economics'!$A$7:$AZ$1000,0,IFERROR(MATCH(L$5,'Oxford Economics'!$A$6:$AZ$6,0),MATCH(L$5&amp;"",'Oxford Economics'!$A$6:$AZ$6,0))),'Oxford Economics'!$A$7:$A$1000,$C33,'Oxford Economics'!$B$7:$B$1000,Settings!$B$31)))),""))</f>
        <v>95054.76</v>
      </c>
      <c r="M33" s="41" t="n">
        <f aca="false">IF($A33="","",IFERROR(1/(1/IF($B33="Residential",(SUMIFS(INDEX('Oxford Economics'!$A$7:$AZ$1000,0,IFERROR(MATCH(M$5,'Oxford Economics'!$A$6:$AZ$6,0),MATCH(M$5&amp;"",'Oxford Economics'!$A$6:$AZ$6,0))),'Oxford Economics'!$A$7:$A$1000,$C33,'Oxford Economics'!$B$7:$B$1000,Settings!$B$29)-SUMIFS(INDEX('Oxford Economics'!$A$7:$AZ$1000,0,IFERROR(MATCH(M$5,'Oxford Economics'!$A$6:$AZ$6,0),MATCH(M$5&amp;"",'Oxford Economics'!$A$6:$AZ$6,0))),'Oxford Economics'!$A$7:$A$1000,$C33,'Oxford Economics'!$B$7:$B$1000,Settings!$B$30)),(SUMIFS(INDEX('Oxford Economics'!$A$7:$AZ$1000,0,IFERROR(MATCH(M$5,'Oxford Economics'!$A$6:$AZ$6,0),MATCH(M$5&amp;"",'Oxford Economics'!$A$6:$AZ$6,0))),'Oxford Economics'!$A$7:$A$1000,$C33,'Oxford Economics'!$B$7:$B$1000,Settings!$B$30)+SUMIFS(INDEX('Oxford Economics'!$A$7:$AZ$1000,0,IFERROR(MATCH(M$5,'Oxford Economics'!$A$6:$AZ$6,0),MATCH(M$5&amp;"",'Oxford Economics'!$A$6:$AZ$6,0))),'Oxford Economics'!$A$7:$A$1000,$C33,'Oxford Economics'!$B$7:$B$1000,Settings!$B$31)))),""))</f>
        <v>97160.54</v>
      </c>
      <c r="N33" s="41" t="n">
        <f aca="false">IF($A33="","",IFERROR(1/(1/IF($B33="Residential",(SUMIFS(INDEX('Oxford Economics'!$A$7:$AZ$1000,0,IFERROR(MATCH(N$5,'Oxford Economics'!$A$6:$AZ$6,0),MATCH(N$5&amp;"",'Oxford Economics'!$A$6:$AZ$6,0))),'Oxford Economics'!$A$7:$A$1000,$C33,'Oxford Economics'!$B$7:$B$1000,Settings!$B$29)-SUMIFS(INDEX('Oxford Economics'!$A$7:$AZ$1000,0,IFERROR(MATCH(N$5,'Oxford Economics'!$A$6:$AZ$6,0),MATCH(N$5&amp;"",'Oxford Economics'!$A$6:$AZ$6,0))),'Oxford Economics'!$A$7:$A$1000,$C33,'Oxford Economics'!$B$7:$B$1000,Settings!$B$30)),(SUMIFS(INDEX('Oxford Economics'!$A$7:$AZ$1000,0,IFERROR(MATCH(N$5,'Oxford Economics'!$A$6:$AZ$6,0),MATCH(N$5&amp;"",'Oxford Economics'!$A$6:$AZ$6,0))),'Oxford Economics'!$A$7:$A$1000,$C33,'Oxford Economics'!$B$7:$B$1000,Settings!$B$30)+SUMIFS(INDEX('Oxford Economics'!$A$7:$AZ$1000,0,IFERROR(MATCH(N$5,'Oxford Economics'!$A$6:$AZ$6,0),MATCH(N$5&amp;"",'Oxford Economics'!$A$6:$AZ$6,0))),'Oxford Economics'!$A$7:$A$1000,$C33,'Oxford Economics'!$B$7:$B$1000,Settings!$B$31)))),""))</f>
        <v>99643.58</v>
      </c>
      <c r="O33" s="41" t="n">
        <f aca="false">IF($A33="","",IFERROR(1/(1/IF($B33="Residential",(SUMIFS(INDEX('Oxford Economics'!$A$7:$AZ$1000,0,IFERROR(MATCH(O$5,'Oxford Economics'!$A$6:$AZ$6,0),MATCH(O$5&amp;"",'Oxford Economics'!$A$6:$AZ$6,0))),'Oxford Economics'!$A$7:$A$1000,$C33,'Oxford Economics'!$B$7:$B$1000,Settings!$B$29)-SUMIFS(INDEX('Oxford Economics'!$A$7:$AZ$1000,0,IFERROR(MATCH(O$5,'Oxford Economics'!$A$6:$AZ$6,0),MATCH(O$5&amp;"",'Oxford Economics'!$A$6:$AZ$6,0))),'Oxford Economics'!$A$7:$A$1000,$C33,'Oxford Economics'!$B$7:$B$1000,Settings!$B$30)),(SUMIFS(INDEX('Oxford Economics'!$A$7:$AZ$1000,0,IFERROR(MATCH(O$5,'Oxford Economics'!$A$6:$AZ$6,0),MATCH(O$5&amp;"",'Oxford Economics'!$A$6:$AZ$6,0))),'Oxford Economics'!$A$7:$A$1000,$C33,'Oxford Economics'!$B$7:$B$1000,Settings!$B$30)+SUMIFS(INDEX('Oxford Economics'!$A$7:$AZ$1000,0,IFERROR(MATCH(O$5,'Oxford Economics'!$A$6:$AZ$6,0),MATCH(O$5&amp;"",'Oxford Economics'!$A$6:$AZ$6,0))),'Oxford Economics'!$A$7:$A$1000,$C33,'Oxford Economics'!$B$7:$B$1000,Settings!$B$31)))),""))</f>
        <v>100358.14</v>
      </c>
    </row>
    <row r="34" customFormat="false" ht="15" hidden="false" customHeight="false" outlineLevel="0" collapsed="false">
      <c r="A34" s="40" t="str">
        <f aca="false">IF('Raw data'!$A34="","",'Raw data'!$A34)</f>
        <v>Belgium</v>
      </c>
      <c r="B34" s="40" t="str">
        <f aca="false">IF($A34="","",'Raw data'!$C34)</f>
        <v>Residential</v>
      </c>
      <c r="C34" s="40" t="str">
        <f aca="false">IF($A34="","",IF('Raw data'!$D34="",$A34,'Raw data'!$D34))</f>
        <v>Belgium</v>
      </c>
      <c r="D34" s="41" t="str">
        <f aca="false">IF($A34="","",IFERROR(1/(1/IF($B34="Residential",(SUMIFS(INDEX('Oxford Economics'!$A$7:$AZ$1000,0,IFERROR(MATCH(D$5,'Oxford Economics'!$A$6:$AZ$6,0),MATCH(D$5&amp;"",'Oxford Economics'!$A$6:$AZ$6,0))),'Oxford Economics'!$A$7:$A$1000,$C34,'Oxford Economics'!$B$7:$B$1000,Settings!$B$29)-SUMIFS(INDEX('Oxford Economics'!$A$7:$AZ$1000,0,IFERROR(MATCH(D$5,'Oxford Economics'!$A$6:$AZ$6,0),MATCH(D$5&amp;"",'Oxford Economics'!$A$6:$AZ$6,0))),'Oxford Economics'!$A$7:$A$1000,$C34,'Oxford Economics'!$B$7:$B$1000,Settings!$B$30)),(SUMIFS(INDEX('Oxford Economics'!$A$7:$AZ$1000,0,IFERROR(MATCH(D$5,'Oxford Economics'!$A$6:$AZ$6,0),MATCH(D$5&amp;"",'Oxford Economics'!$A$6:$AZ$6,0))),'Oxford Economics'!$A$7:$A$1000,$C34,'Oxford Economics'!$B$7:$B$1000,Settings!$B$30)+SUMIFS(INDEX('Oxford Economics'!$A$7:$AZ$1000,0,IFERROR(MATCH(D$5,'Oxford Economics'!$A$6:$AZ$6,0),MATCH(D$5&amp;"",'Oxford Economics'!$A$6:$AZ$6,0))),'Oxford Economics'!$A$7:$A$1000,$C34,'Oxford Economics'!$B$7:$B$1000,Settings!$B$31)))),""))</f>
        <v/>
      </c>
      <c r="E34" s="41" t="str">
        <f aca="false">IF($A34="","",IFERROR(1/(1/IF($B34="Residential",(SUMIFS(INDEX('Oxford Economics'!$A$7:$AZ$1000,0,IFERROR(MATCH(E$5,'Oxford Economics'!$A$6:$AZ$6,0),MATCH(E$5&amp;"",'Oxford Economics'!$A$6:$AZ$6,0))),'Oxford Economics'!$A$7:$A$1000,$C34,'Oxford Economics'!$B$7:$B$1000,Settings!$B$29)-SUMIFS(INDEX('Oxford Economics'!$A$7:$AZ$1000,0,IFERROR(MATCH(E$5,'Oxford Economics'!$A$6:$AZ$6,0),MATCH(E$5&amp;"",'Oxford Economics'!$A$6:$AZ$6,0))),'Oxford Economics'!$A$7:$A$1000,$C34,'Oxford Economics'!$B$7:$B$1000,Settings!$B$30)),(SUMIFS(INDEX('Oxford Economics'!$A$7:$AZ$1000,0,IFERROR(MATCH(E$5,'Oxford Economics'!$A$6:$AZ$6,0),MATCH(E$5&amp;"",'Oxford Economics'!$A$6:$AZ$6,0))),'Oxford Economics'!$A$7:$A$1000,$C34,'Oxford Economics'!$B$7:$B$1000,Settings!$B$30)+SUMIFS(INDEX('Oxford Economics'!$A$7:$AZ$1000,0,IFERROR(MATCH(E$5,'Oxford Economics'!$A$6:$AZ$6,0),MATCH(E$5&amp;"",'Oxford Economics'!$A$6:$AZ$6,0))),'Oxford Economics'!$A$7:$A$1000,$C34,'Oxford Economics'!$B$7:$B$1000,Settings!$B$31)))),""))</f>
        <v/>
      </c>
      <c r="F34" s="41" t="str">
        <f aca="false">IF($A34="","",IFERROR(1/(1/IF($B34="Residential",(SUMIFS(INDEX('Oxford Economics'!$A$7:$AZ$1000,0,IFERROR(MATCH(F$5,'Oxford Economics'!$A$6:$AZ$6,0),MATCH(F$5&amp;"",'Oxford Economics'!$A$6:$AZ$6,0))),'Oxford Economics'!$A$7:$A$1000,$C34,'Oxford Economics'!$B$7:$B$1000,Settings!$B$29)-SUMIFS(INDEX('Oxford Economics'!$A$7:$AZ$1000,0,IFERROR(MATCH(F$5,'Oxford Economics'!$A$6:$AZ$6,0),MATCH(F$5&amp;"",'Oxford Economics'!$A$6:$AZ$6,0))),'Oxford Economics'!$A$7:$A$1000,$C34,'Oxford Economics'!$B$7:$B$1000,Settings!$B$30)),(SUMIFS(INDEX('Oxford Economics'!$A$7:$AZ$1000,0,IFERROR(MATCH(F$5,'Oxford Economics'!$A$6:$AZ$6,0),MATCH(F$5&amp;"",'Oxford Economics'!$A$6:$AZ$6,0))),'Oxford Economics'!$A$7:$A$1000,$C34,'Oxford Economics'!$B$7:$B$1000,Settings!$B$30)+SUMIFS(INDEX('Oxford Economics'!$A$7:$AZ$1000,0,IFERROR(MATCH(F$5,'Oxford Economics'!$A$6:$AZ$6,0),MATCH(F$5&amp;"",'Oxford Economics'!$A$6:$AZ$6,0))),'Oxford Economics'!$A$7:$A$1000,$C34,'Oxford Economics'!$B$7:$B$1000,Settings!$B$31)))),""))</f>
        <v/>
      </c>
      <c r="G34" s="41" t="str">
        <f aca="false">IF($A34="","",IFERROR(1/(1/IF($B34="Residential",(SUMIFS(INDEX('Oxford Economics'!$A$7:$AZ$1000,0,IFERROR(MATCH(G$5,'Oxford Economics'!$A$6:$AZ$6,0),MATCH(G$5&amp;"",'Oxford Economics'!$A$6:$AZ$6,0))),'Oxford Economics'!$A$7:$A$1000,$C34,'Oxford Economics'!$B$7:$B$1000,Settings!$B$29)-SUMIFS(INDEX('Oxford Economics'!$A$7:$AZ$1000,0,IFERROR(MATCH(G$5,'Oxford Economics'!$A$6:$AZ$6,0),MATCH(G$5&amp;"",'Oxford Economics'!$A$6:$AZ$6,0))),'Oxford Economics'!$A$7:$A$1000,$C34,'Oxford Economics'!$B$7:$B$1000,Settings!$B$30)),(SUMIFS(INDEX('Oxford Economics'!$A$7:$AZ$1000,0,IFERROR(MATCH(G$5,'Oxford Economics'!$A$6:$AZ$6,0),MATCH(G$5&amp;"",'Oxford Economics'!$A$6:$AZ$6,0))),'Oxford Economics'!$A$7:$A$1000,$C34,'Oxford Economics'!$B$7:$B$1000,Settings!$B$30)+SUMIFS(INDEX('Oxford Economics'!$A$7:$AZ$1000,0,IFERROR(MATCH(G$5,'Oxford Economics'!$A$6:$AZ$6,0),MATCH(G$5&amp;"",'Oxford Economics'!$A$6:$AZ$6,0))),'Oxford Economics'!$A$7:$A$1000,$C34,'Oxford Economics'!$B$7:$B$1000,Settings!$B$31)))),""))</f>
        <v/>
      </c>
      <c r="H34" s="41" t="n">
        <f aca="false">IF($A34="","",IFERROR(1/(1/IF($B34="Residential",(SUMIFS(INDEX('Oxford Economics'!$A$7:$AZ$1000,0,IFERROR(MATCH(H$5,'Oxford Economics'!$A$6:$AZ$6,0),MATCH(H$5&amp;"",'Oxford Economics'!$A$6:$AZ$6,0))),'Oxford Economics'!$A$7:$A$1000,$C34,'Oxford Economics'!$B$7:$B$1000,Settings!$B$29)-SUMIFS(INDEX('Oxford Economics'!$A$7:$AZ$1000,0,IFERROR(MATCH(H$5,'Oxford Economics'!$A$6:$AZ$6,0),MATCH(H$5&amp;"",'Oxford Economics'!$A$6:$AZ$6,0))),'Oxford Economics'!$A$7:$A$1000,$C34,'Oxford Economics'!$B$7:$B$1000,Settings!$B$30)),(SUMIFS(INDEX('Oxford Economics'!$A$7:$AZ$1000,0,IFERROR(MATCH(H$5,'Oxford Economics'!$A$6:$AZ$6,0),MATCH(H$5&amp;"",'Oxford Economics'!$A$6:$AZ$6,0))),'Oxford Economics'!$A$7:$A$1000,$C34,'Oxford Economics'!$B$7:$B$1000,Settings!$B$30)+SUMIFS(INDEX('Oxford Economics'!$A$7:$AZ$1000,0,IFERROR(MATCH(H$5,'Oxford Economics'!$A$6:$AZ$6,0),MATCH(H$5&amp;"",'Oxford Economics'!$A$6:$AZ$6,0))),'Oxford Economics'!$A$7:$A$1000,$C34,'Oxford Economics'!$B$7:$B$1000,Settings!$B$31)))),""))</f>
        <v>10983.08</v>
      </c>
      <c r="I34" s="41" t="n">
        <f aca="false">IF($A34="","",IFERROR(1/(1/IF($B34="Residential",(SUMIFS(INDEX('Oxford Economics'!$A$7:$AZ$1000,0,IFERROR(MATCH(I$5,'Oxford Economics'!$A$6:$AZ$6,0),MATCH(I$5&amp;"",'Oxford Economics'!$A$6:$AZ$6,0))),'Oxford Economics'!$A$7:$A$1000,$C34,'Oxford Economics'!$B$7:$B$1000,Settings!$B$29)-SUMIFS(INDEX('Oxford Economics'!$A$7:$AZ$1000,0,IFERROR(MATCH(I$5,'Oxford Economics'!$A$6:$AZ$6,0),MATCH(I$5&amp;"",'Oxford Economics'!$A$6:$AZ$6,0))),'Oxford Economics'!$A$7:$A$1000,$C34,'Oxford Economics'!$B$7:$B$1000,Settings!$B$30)),(SUMIFS(INDEX('Oxford Economics'!$A$7:$AZ$1000,0,IFERROR(MATCH(I$5,'Oxford Economics'!$A$6:$AZ$6,0),MATCH(I$5&amp;"",'Oxford Economics'!$A$6:$AZ$6,0))),'Oxford Economics'!$A$7:$A$1000,$C34,'Oxford Economics'!$B$7:$B$1000,Settings!$B$30)+SUMIFS(INDEX('Oxford Economics'!$A$7:$AZ$1000,0,IFERROR(MATCH(I$5,'Oxford Economics'!$A$6:$AZ$6,0),MATCH(I$5&amp;"",'Oxford Economics'!$A$6:$AZ$6,0))),'Oxford Economics'!$A$7:$A$1000,$C34,'Oxford Economics'!$B$7:$B$1000,Settings!$B$31)))),""))</f>
        <v>10603.31</v>
      </c>
      <c r="J34" s="41" t="n">
        <f aca="false">IF($A34="","",IFERROR(1/(1/IF($B34="Residential",(SUMIFS(INDEX('Oxford Economics'!$A$7:$AZ$1000,0,IFERROR(MATCH(J$5,'Oxford Economics'!$A$6:$AZ$6,0),MATCH(J$5&amp;"",'Oxford Economics'!$A$6:$AZ$6,0))),'Oxford Economics'!$A$7:$A$1000,$C34,'Oxford Economics'!$B$7:$B$1000,Settings!$B$29)-SUMIFS(INDEX('Oxford Economics'!$A$7:$AZ$1000,0,IFERROR(MATCH(J$5,'Oxford Economics'!$A$6:$AZ$6,0),MATCH(J$5&amp;"",'Oxford Economics'!$A$6:$AZ$6,0))),'Oxford Economics'!$A$7:$A$1000,$C34,'Oxford Economics'!$B$7:$B$1000,Settings!$B$30)),(SUMIFS(INDEX('Oxford Economics'!$A$7:$AZ$1000,0,IFERROR(MATCH(J$5,'Oxford Economics'!$A$6:$AZ$6,0),MATCH(J$5&amp;"",'Oxford Economics'!$A$6:$AZ$6,0))),'Oxford Economics'!$A$7:$A$1000,$C34,'Oxford Economics'!$B$7:$B$1000,Settings!$B$30)+SUMIFS(INDEX('Oxford Economics'!$A$7:$AZ$1000,0,IFERROR(MATCH(J$5,'Oxford Economics'!$A$6:$AZ$6,0),MATCH(J$5&amp;"",'Oxford Economics'!$A$6:$AZ$6,0))),'Oxford Economics'!$A$7:$A$1000,$C34,'Oxford Economics'!$B$7:$B$1000,Settings!$B$31)))),""))</f>
        <v>10284.51</v>
      </c>
      <c r="K34" s="41" t="n">
        <f aca="false">IF($A34="","",IFERROR(1/(1/IF($B34="Residential",(SUMIFS(INDEX('Oxford Economics'!$A$7:$AZ$1000,0,IFERROR(MATCH(K$5,'Oxford Economics'!$A$6:$AZ$6,0),MATCH(K$5&amp;"",'Oxford Economics'!$A$6:$AZ$6,0))),'Oxford Economics'!$A$7:$A$1000,$C34,'Oxford Economics'!$B$7:$B$1000,Settings!$B$29)-SUMIFS(INDEX('Oxford Economics'!$A$7:$AZ$1000,0,IFERROR(MATCH(K$5,'Oxford Economics'!$A$6:$AZ$6,0),MATCH(K$5&amp;"",'Oxford Economics'!$A$6:$AZ$6,0))),'Oxford Economics'!$A$7:$A$1000,$C34,'Oxford Economics'!$B$7:$B$1000,Settings!$B$30)),(SUMIFS(INDEX('Oxford Economics'!$A$7:$AZ$1000,0,IFERROR(MATCH(K$5,'Oxford Economics'!$A$6:$AZ$6,0),MATCH(K$5&amp;"",'Oxford Economics'!$A$6:$AZ$6,0))),'Oxford Economics'!$A$7:$A$1000,$C34,'Oxford Economics'!$B$7:$B$1000,Settings!$B$30)+SUMIFS(INDEX('Oxford Economics'!$A$7:$AZ$1000,0,IFERROR(MATCH(K$5,'Oxford Economics'!$A$6:$AZ$6,0),MATCH(K$5&amp;"",'Oxford Economics'!$A$6:$AZ$6,0))),'Oxford Economics'!$A$7:$A$1000,$C34,'Oxford Economics'!$B$7:$B$1000,Settings!$B$31)))),""))</f>
        <v>10361.53</v>
      </c>
      <c r="L34" s="41" t="n">
        <f aca="false">IF($A34="","",IFERROR(1/(1/IF($B34="Residential",(SUMIFS(INDEX('Oxford Economics'!$A$7:$AZ$1000,0,IFERROR(MATCH(L$5,'Oxford Economics'!$A$6:$AZ$6,0),MATCH(L$5&amp;"",'Oxford Economics'!$A$6:$AZ$6,0))),'Oxford Economics'!$A$7:$A$1000,$C34,'Oxford Economics'!$B$7:$B$1000,Settings!$B$29)-SUMIFS(INDEX('Oxford Economics'!$A$7:$AZ$1000,0,IFERROR(MATCH(L$5,'Oxford Economics'!$A$6:$AZ$6,0),MATCH(L$5&amp;"",'Oxford Economics'!$A$6:$AZ$6,0))),'Oxford Economics'!$A$7:$A$1000,$C34,'Oxford Economics'!$B$7:$B$1000,Settings!$B$30)),(SUMIFS(INDEX('Oxford Economics'!$A$7:$AZ$1000,0,IFERROR(MATCH(L$5,'Oxford Economics'!$A$6:$AZ$6,0),MATCH(L$5&amp;"",'Oxford Economics'!$A$6:$AZ$6,0))),'Oxford Economics'!$A$7:$A$1000,$C34,'Oxford Economics'!$B$7:$B$1000,Settings!$B$30)+SUMIFS(INDEX('Oxford Economics'!$A$7:$AZ$1000,0,IFERROR(MATCH(L$5,'Oxford Economics'!$A$6:$AZ$6,0),MATCH(L$5&amp;"",'Oxford Economics'!$A$6:$AZ$6,0))),'Oxford Economics'!$A$7:$A$1000,$C34,'Oxford Economics'!$B$7:$B$1000,Settings!$B$31)))),""))</f>
        <v>10674.53</v>
      </c>
      <c r="M34" s="41" t="n">
        <f aca="false">IF($A34="","",IFERROR(1/(1/IF($B34="Residential",(SUMIFS(INDEX('Oxford Economics'!$A$7:$AZ$1000,0,IFERROR(MATCH(M$5,'Oxford Economics'!$A$6:$AZ$6,0),MATCH(M$5&amp;"",'Oxford Economics'!$A$6:$AZ$6,0))),'Oxford Economics'!$A$7:$A$1000,$C34,'Oxford Economics'!$B$7:$B$1000,Settings!$B$29)-SUMIFS(INDEX('Oxford Economics'!$A$7:$AZ$1000,0,IFERROR(MATCH(M$5,'Oxford Economics'!$A$6:$AZ$6,0),MATCH(M$5&amp;"",'Oxford Economics'!$A$6:$AZ$6,0))),'Oxford Economics'!$A$7:$A$1000,$C34,'Oxford Economics'!$B$7:$B$1000,Settings!$B$30)),(SUMIFS(INDEX('Oxford Economics'!$A$7:$AZ$1000,0,IFERROR(MATCH(M$5,'Oxford Economics'!$A$6:$AZ$6,0),MATCH(M$5&amp;"",'Oxford Economics'!$A$6:$AZ$6,0))),'Oxford Economics'!$A$7:$A$1000,$C34,'Oxford Economics'!$B$7:$B$1000,Settings!$B$30)+SUMIFS(INDEX('Oxford Economics'!$A$7:$AZ$1000,0,IFERROR(MATCH(M$5,'Oxford Economics'!$A$6:$AZ$6,0),MATCH(M$5&amp;"",'Oxford Economics'!$A$6:$AZ$6,0))),'Oxford Economics'!$A$7:$A$1000,$C34,'Oxford Economics'!$B$7:$B$1000,Settings!$B$31)))),""))</f>
        <v>10942.69</v>
      </c>
      <c r="N34" s="41" t="n">
        <f aca="false">IF($A34="","",IFERROR(1/(1/IF($B34="Residential",(SUMIFS(INDEX('Oxford Economics'!$A$7:$AZ$1000,0,IFERROR(MATCH(N$5,'Oxford Economics'!$A$6:$AZ$6,0),MATCH(N$5&amp;"",'Oxford Economics'!$A$6:$AZ$6,0))),'Oxford Economics'!$A$7:$A$1000,$C34,'Oxford Economics'!$B$7:$B$1000,Settings!$B$29)-SUMIFS(INDEX('Oxford Economics'!$A$7:$AZ$1000,0,IFERROR(MATCH(N$5,'Oxford Economics'!$A$6:$AZ$6,0),MATCH(N$5&amp;"",'Oxford Economics'!$A$6:$AZ$6,0))),'Oxford Economics'!$A$7:$A$1000,$C34,'Oxford Economics'!$B$7:$B$1000,Settings!$B$30)),(SUMIFS(INDEX('Oxford Economics'!$A$7:$AZ$1000,0,IFERROR(MATCH(N$5,'Oxford Economics'!$A$6:$AZ$6,0),MATCH(N$5&amp;"",'Oxford Economics'!$A$6:$AZ$6,0))),'Oxford Economics'!$A$7:$A$1000,$C34,'Oxford Economics'!$B$7:$B$1000,Settings!$B$30)+SUMIFS(INDEX('Oxford Economics'!$A$7:$AZ$1000,0,IFERROR(MATCH(N$5,'Oxford Economics'!$A$6:$AZ$6,0),MATCH(N$5&amp;"",'Oxford Economics'!$A$6:$AZ$6,0))),'Oxford Economics'!$A$7:$A$1000,$C34,'Oxford Economics'!$B$7:$B$1000,Settings!$B$31)))),""))</f>
        <v>11264.14</v>
      </c>
      <c r="O34" s="41" t="n">
        <f aca="false">IF($A34="","",IFERROR(1/(1/IF($B34="Residential",(SUMIFS(INDEX('Oxford Economics'!$A$7:$AZ$1000,0,IFERROR(MATCH(O$5,'Oxford Economics'!$A$6:$AZ$6,0),MATCH(O$5&amp;"",'Oxford Economics'!$A$6:$AZ$6,0))),'Oxford Economics'!$A$7:$A$1000,$C34,'Oxford Economics'!$B$7:$B$1000,Settings!$B$29)-SUMIFS(INDEX('Oxford Economics'!$A$7:$AZ$1000,0,IFERROR(MATCH(O$5,'Oxford Economics'!$A$6:$AZ$6,0),MATCH(O$5&amp;"",'Oxford Economics'!$A$6:$AZ$6,0))),'Oxford Economics'!$A$7:$A$1000,$C34,'Oxford Economics'!$B$7:$B$1000,Settings!$B$30)),(SUMIFS(INDEX('Oxford Economics'!$A$7:$AZ$1000,0,IFERROR(MATCH(O$5,'Oxford Economics'!$A$6:$AZ$6,0),MATCH(O$5&amp;"",'Oxford Economics'!$A$6:$AZ$6,0))),'Oxford Economics'!$A$7:$A$1000,$C34,'Oxford Economics'!$B$7:$B$1000,Settings!$B$30)+SUMIFS(INDEX('Oxford Economics'!$A$7:$AZ$1000,0,IFERROR(MATCH(O$5,'Oxford Economics'!$A$6:$AZ$6,0),MATCH(O$5&amp;"",'Oxford Economics'!$A$6:$AZ$6,0))),'Oxford Economics'!$A$7:$A$1000,$C34,'Oxford Economics'!$B$7:$B$1000,Settings!$B$31)))),""))</f>
        <v>11514.61</v>
      </c>
    </row>
    <row r="35" customFormat="false" ht="15" hidden="false" customHeight="false" outlineLevel="0" collapsed="false">
      <c r="A35" s="40" t="str">
        <f aca="false">IF('Raw data'!$A35="","",'Raw data'!$A35)</f>
        <v>Belgium</v>
      </c>
      <c r="B35" s="40" t="str">
        <f aca="false">IF($A35="","",'Raw data'!$C35)</f>
        <v>Non-residential</v>
      </c>
      <c r="C35" s="40" t="str">
        <f aca="false">IF($A35="","",IF('Raw data'!$D35="",$A35,'Raw data'!$D35))</f>
        <v>Belgium</v>
      </c>
      <c r="D35" s="41" t="str">
        <f aca="false">IF($A35="","",IFERROR(1/(1/IF($B35="Residential",(SUMIFS(INDEX('Oxford Economics'!$A$7:$AZ$1000,0,IFERROR(MATCH(D$5,'Oxford Economics'!$A$6:$AZ$6,0),MATCH(D$5&amp;"",'Oxford Economics'!$A$6:$AZ$6,0))),'Oxford Economics'!$A$7:$A$1000,$C35,'Oxford Economics'!$B$7:$B$1000,Settings!$B$29)-SUMIFS(INDEX('Oxford Economics'!$A$7:$AZ$1000,0,IFERROR(MATCH(D$5,'Oxford Economics'!$A$6:$AZ$6,0),MATCH(D$5&amp;"",'Oxford Economics'!$A$6:$AZ$6,0))),'Oxford Economics'!$A$7:$A$1000,$C35,'Oxford Economics'!$B$7:$B$1000,Settings!$B$30)),(SUMIFS(INDEX('Oxford Economics'!$A$7:$AZ$1000,0,IFERROR(MATCH(D$5,'Oxford Economics'!$A$6:$AZ$6,0),MATCH(D$5&amp;"",'Oxford Economics'!$A$6:$AZ$6,0))),'Oxford Economics'!$A$7:$A$1000,$C35,'Oxford Economics'!$B$7:$B$1000,Settings!$B$30)+SUMIFS(INDEX('Oxford Economics'!$A$7:$AZ$1000,0,IFERROR(MATCH(D$5,'Oxford Economics'!$A$6:$AZ$6,0),MATCH(D$5&amp;"",'Oxford Economics'!$A$6:$AZ$6,0))),'Oxford Economics'!$A$7:$A$1000,$C35,'Oxford Economics'!$B$7:$B$1000,Settings!$B$31)))),""))</f>
        <v/>
      </c>
      <c r="E35" s="41" t="str">
        <f aca="false">IF($A35="","",IFERROR(1/(1/IF($B35="Residential",(SUMIFS(INDEX('Oxford Economics'!$A$7:$AZ$1000,0,IFERROR(MATCH(E$5,'Oxford Economics'!$A$6:$AZ$6,0),MATCH(E$5&amp;"",'Oxford Economics'!$A$6:$AZ$6,0))),'Oxford Economics'!$A$7:$A$1000,$C35,'Oxford Economics'!$B$7:$B$1000,Settings!$B$29)-SUMIFS(INDEX('Oxford Economics'!$A$7:$AZ$1000,0,IFERROR(MATCH(E$5,'Oxford Economics'!$A$6:$AZ$6,0),MATCH(E$5&amp;"",'Oxford Economics'!$A$6:$AZ$6,0))),'Oxford Economics'!$A$7:$A$1000,$C35,'Oxford Economics'!$B$7:$B$1000,Settings!$B$30)),(SUMIFS(INDEX('Oxford Economics'!$A$7:$AZ$1000,0,IFERROR(MATCH(E$5,'Oxford Economics'!$A$6:$AZ$6,0),MATCH(E$5&amp;"",'Oxford Economics'!$A$6:$AZ$6,0))),'Oxford Economics'!$A$7:$A$1000,$C35,'Oxford Economics'!$B$7:$B$1000,Settings!$B$30)+SUMIFS(INDEX('Oxford Economics'!$A$7:$AZ$1000,0,IFERROR(MATCH(E$5,'Oxford Economics'!$A$6:$AZ$6,0),MATCH(E$5&amp;"",'Oxford Economics'!$A$6:$AZ$6,0))),'Oxford Economics'!$A$7:$A$1000,$C35,'Oxford Economics'!$B$7:$B$1000,Settings!$B$31)))),""))</f>
        <v/>
      </c>
      <c r="F35" s="41" t="str">
        <f aca="false">IF($A35="","",IFERROR(1/(1/IF($B35="Residential",(SUMIFS(INDEX('Oxford Economics'!$A$7:$AZ$1000,0,IFERROR(MATCH(F$5,'Oxford Economics'!$A$6:$AZ$6,0),MATCH(F$5&amp;"",'Oxford Economics'!$A$6:$AZ$6,0))),'Oxford Economics'!$A$7:$A$1000,$C35,'Oxford Economics'!$B$7:$B$1000,Settings!$B$29)-SUMIFS(INDEX('Oxford Economics'!$A$7:$AZ$1000,0,IFERROR(MATCH(F$5,'Oxford Economics'!$A$6:$AZ$6,0),MATCH(F$5&amp;"",'Oxford Economics'!$A$6:$AZ$6,0))),'Oxford Economics'!$A$7:$A$1000,$C35,'Oxford Economics'!$B$7:$B$1000,Settings!$B$30)),(SUMIFS(INDEX('Oxford Economics'!$A$7:$AZ$1000,0,IFERROR(MATCH(F$5,'Oxford Economics'!$A$6:$AZ$6,0),MATCH(F$5&amp;"",'Oxford Economics'!$A$6:$AZ$6,0))),'Oxford Economics'!$A$7:$A$1000,$C35,'Oxford Economics'!$B$7:$B$1000,Settings!$B$30)+SUMIFS(INDEX('Oxford Economics'!$A$7:$AZ$1000,0,IFERROR(MATCH(F$5,'Oxford Economics'!$A$6:$AZ$6,0),MATCH(F$5&amp;"",'Oxford Economics'!$A$6:$AZ$6,0))),'Oxford Economics'!$A$7:$A$1000,$C35,'Oxford Economics'!$B$7:$B$1000,Settings!$B$31)))),""))</f>
        <v/>
      </c>
      <c r="G35" s="41" t="str">
        <f aca="false">IF($A35="","",IFERROR(1/(1/IF($B35="Residential",(SUMIFS(INDEX('Oxford Economics'!$A$7:$AZ$1000,0,IFERROR(MATCH(G$5,'Oxford Economics'!$A$6:$AZ$6,0),MATCH(G$5&amp;"",'Oxford Economics'!$A$6:$AZ$6,0))),'Oxford Economics'!$A$7:$A$1000,$C35,'Oxford Economics'!$B$7:$B$1000,Settings!$B$29)-SUMIFS(INDEX('Oxford Economics'!$A$7:$AZ$1000,0,IFERROR(MATCH(G$5,'Oxford Economics'!$A$6:$AZ$6,0),MATCH(G$5&amp;"",'Oxford Economics'!$A$6:$AZ$6,0))),'Oxford Economics'!$A$7:$A$1000,$C35,'Oxford Economics'!$B$7:$B$1000,Settings!$B$30)),(SUMIFS(INDEX('Oxford Economics'!$A$7:$AZ$1000,0,IFERROR(MATCH(G$5,'Oxford Economics'!$A$6:$AZ$6,0),MATCH(G$5&amp;"",'Oxford Economics'!$A$6:$AZ$6,0))),'Oxford Economics'!$A$7:$A$1000,$C35,'Oxford Economics'!$B$7:$B$1000,Settings!$B$30)+SUMIFS(INDEX('Oxford Economics'!$A$7:$AZ$1000,0,IFERROR(MATCH(G$5,'Oxford Economics'!$A$6:$AZ$6,0),MATCH(G$5&amp;"",'Oxford Economics'!$A$6:$AZ$6,0))),'Oxford Economics'!$A$7:$A$1000,$C35,'Oxford Economics'!$B$7:$B$1000,Settings!$B$31)))),""))</f>
        <v/>
      </c>
      <c r="H35" s="41" t="n">
        <f aca="false">IF($A35="","",IFERROR(1/(1/IF($B35="Residential",(SUMIFS(INDEX('Oxford Economics'!$A$7:$AZ$1000,0,IFERROR(MATCH(H$5,'Oxford Economics'!$A$6:$AZ$6,0),MATCH(H$5&amp;"",'Oxford Economics'!$A$6:$AZ$6,0))),'Oxford Economics'!$A$7:$A$1000,$C35,'Oxford Economics'!$B$7:$B$1000,Settings!$B$29)-SUMIFS(INDEX('Oxford Economics'!$A$7:$AZ$1000,0,IFERROR(MATCH(H$5,'Oxford Economics'!$A$6:$AZ$6,0),MATCH(H$5&amp;"",'Oxford Economics'!$A$6:$AZ$6,0))),'Oxford Economics'!$A$7:$A$1000,$C35,'Oxford Economics'!$B$7:$B$1000,Settings!$B$30)),(SUMIFS(INDEX('Oxford Economics'!$A$7:$AZ$1000,0,IFERROR(MATCH(H$5,'Oxford Economics'!$A$6:$AZ$6,0),MATCH(H$5&amp;"",'Oxford Economics'!$A$6:$AZ$6,0))),'Oxford Economics'!$A$7:$A$1000,$C35,'Oxford Economics'!$B$7:$B$1000,Settings!$B$30)+SUMIFS(INDEX('Oxford Economics'!$A$7:$AZ$1000,0,IFERROR(MATCH(H$5,'Oxford Economics'!$A$6:$AZ$6,0),MATCH(H$5&amp;"",'Oxford Economics'!$A$6:$AZ$6,0))),'Oxford Economics'!$A$7:$A$1000,$C35,'Oxford Economics'!$B$7:$B$1000,Settings!$B$31)))),""))</f>
        <v>19369.16</v>
      </c>
      <c r="I35" s="41" t="n">
        <f aca="false">IF($A35="","",IFERROR(1/(1/IF($B35="Residential",(SUMIFS(INDEX('Oxford Economics'!$A$7:$AZ$1000,0,IFERROR(MATCH(I$5,'Oxford Economics'!$A$6:$AZ$6,0),MATCH(I$5&amp;"",'Oxford Economics'!$A$6:$AZ$6,0))),'Oxford Economics'!$A$7:$A$1000,$C35,'Oxford Economics'!$B$7:$B$1000,Settings!$B$29)-SUMIFS(INDEX('Oxford Economics'!$A$7:$AZ$1000,0,IFERROR(MATCH(I$5,'Oxford Economics'!$A$6:$AZ$6,0),MATCH(I$5&amp;"",'Oxford Economics'!$A$6:$AZ$6,0))),'Oxford Economics'!$A$7:$A$1000,$C35,'Oxford Economics'!$B$7:$B$1000,Settings!$B$30)),(SUMIFS(INDEX('Oxford Economics'!$A$7:$AZ$1000,0,IFERROR(MATCH(I$5,'Oxford Economics'!$A$6:$AZ$6,0),MATCH(I$5&amp;"",'Oxford Economics'!$A$6:$AZ$6,0))),'Oxford Economics'!$A$7:$A$1000,$C35,'Oxford Economics'!$B$7:$B$1000,Settings!$B$30)+SUMIFS(INDEX('Oxford Economics'!$A$7:$AZ$1000,0,IFERROR(MATCH(I$5,'Oxford Economics'!$A$6:$AZ$6,0),MATCH(I$5&amp;"",'Oxford Economics'!$A$6:$AZ$6,0))),'Oxford Economics'!$A$7:$A$1000,$C35,'Oxford Economics'!$B$7:$B$1000,Settings!$B$31)))),""))</f>
        <v>19662.69</v>
      </c>
      <c r="J35" s="41" t="n">
        <f aca="false">IF($A35="","",IFERROR(1/(1/IF($B35="Residential",(SUMIFS(INDEX('Oxford Economics'!$A$7:$AZ$1000,0,IFERROR(MATCH(J$5,'Oxford Economics'!$A$6:$AZ$6,0),MATCH(J$5&amp;"",'Oxford Economics'!$A$6:$AZ$6,0))),'Oxford Economics'!$A$7:$A$1000,$C35,'Oxford Economics'!$B$7:$B$1000,Settings!$B$29)-SUMIFS(INDEX('Oxford Economics'!$A$7:$AZ$1000,0,IFERROR(MATCH(J$5,'Oxford Economics'!$A$6:$AZ$6,0),MATCH(J$5&amp;"",'Oxford Economics'!$A$6:$AZ$6,0))),'Oxford Economics'!$A$7:$A$1000,$C35,'Oxford Economics'!$B$7:$B$1000,Settings!$B$30)),(SUMIFS(INDEX('Oxford Economics'!$A$7:$AZ$1000,0,IFERROR(MATCH(J$5,'Oxford Economics'!$A$6:$AZ$6,0),MATCH(J$5&amp;"",'Oxford Economics'!$A$6:$AZ$6,0))),'Oxford Economics'!$A$7:$A$1000,$C35,'Oxford Economics'!$B$7:$B$1000,Settings!$B$30)+SUMIFS(INDEX('Oxford Economics'!$A$7:$AZ$1000,0,IFERROR(MATCH(J$5,'Oxford Economics'!$A$6:$AZ$6,0),MATCH(J$5&amp;"",'Oxford Economics'!$A$6:$AZ$6,0))),'Oxford Economics'!$A$7:$A$1000,$C35,'Oxford Economics'!$B$7:$B$1000,Settings!$B$31)))),""))</f>
        <v>20019.05</v>
      </c>
      <c r="K35" s="41" t="n">
        <f aca="false">IF($A35="","",IFERROR(1/(1/IF($B35="Residential",(SUMIFS(INDEX('Oxford Economics'!$A$7:$AZ$1000,0,IFERROR(MATCH(K$5,'Oxford Economics'!$A$6:$AZ$6,0),MATCH(K$5&amp;"",'Oxford Economics'!$A$6:$AZ$6,0))),'Oxford Economics'!$A$7:$A$1000,$C35,'Oxford Economics'!$B$7:$B$1000,Settings!$B$29)-SUMIFS(INDEX('Oxford Economics'!$A$7:$AZ$1000,0,IFERROR(MATCH(K$5,'Oxford Economics'!$A$6:$AZ$6,0),MATCH(K$5&amp;"",'Oxford Economics'!$A$6:$AZ$6,0))),'Oxford Economics'!$A$7:$A$1000,$C35,'Oxford Economics'!$B$7:$B$1000,Settings!$B$30)),(SUMIFS(INDEX('Oxford Economics'!$A$7:$AZ$1000,0,IFERROR(MATCH(K$5,'Oxford Economics'!$A$6:$AZ$6,0),MATCH(K$5&amp;"",'Oxford Economics'!$A$6:$AZ$6,0))),'Oxford Economics'!$A$7:$A$1000,$C35,'Oxford Economics'!$B$7:$B$1000,Settings!$B$30)+SUMIFS(INDEX('Oxford Economics'!$A$7:$AZ$1000,0,IFERROR(MATCH(K$5,'Oxford Economics'!$A$6:$AZ$6,0),MATCH(K$5&amp;"",'Oxford Economics'!$A$6:$AZ$6,0))),'Oxford Economics'!$A$7:$A$1000,$C35,'Oxford Economics'!$B$7:$B$1000,Settings!$B$31)))),""))</f>
        <v>20604.01</v>
      </c>
      <c r="L35" s="41" t="n">
        <f aca="false">IF($A35="","",IFERROR(1/(1/IF($B35="Residential",(SUMIFS(INDEX('Oxford Economics'!$A$7:$AZ$1000,0,IFERROR(MATCH(L$5,'Oxford Economics'!$A$6:$AZ$6,0),MATCH(L$5&amp;"",'Oxford Economics'!$A$6:$AZ$6,0))),'Oxford Economics'!$A$7:$A$1000,$C35,'Oxford Economics'!$B$7:$B$1000,Settings!$B$29)-SUMIFS(INDEX('Oxford Economics'!$A$7:$AZ$1000,0,IFERROR(MATCH(L$5,'Oxford Economics'!$A$6:$AZ$6,0),MATCH(L$5&amp;"",'Oxford Economics'!$A$6:$AZ$6,0))),'Oxford Economics'!$A$7:$A$1000,$C35,'Oxford Economics'!$B$7:$B$1000,Settings!$B$30)),(SUMIFS(INDEX('Oxford Economics'!$A$7:$AZ$1000,0,IFERROR(MATCH(L$5,'Oxford Economics'!$A$6:$AZ$6,0),MATCH(L$5&amp;"",'Oxford Economics'!$A$6:$AZ$6,0))),'Oxford Economics'!$A$7:$A$1000,$C35,'Oxford Economics'!$B$7:$B$1000,Settings!$B$30)+SUMIFS(INDEX('Oxford Economics'!$A$7:$AZ$1000,0,IFERROR(MATCH(L$5,'Oxford Economics'!$A$6:$AZ$6,0),MATCH(L$5&amp;"",'Oxford Economics'!$A$6:$AZ$6,0))),'Oxford Economics'!$A$7:$A$1000,$C35,'Oxford Economics'!$B$7:$B$1000,Settings!$B$31)))),""))</f>
        <v>21200.93</v>
      </c>
      <c r="M35" s="41" t="n">
        <f aca="false">IF($A35="","",IFERROR(1/(1/IF($B35="Residential",(SUMIFS(INDEX('Oxford Economics'!$A$7:$AZ$1000,0,IFERROR(MATCH(M$5,'Oxford Economics'!$A$6:$AZ$6,0),MATCH(M$5&amp;"",'Oxford Economics'!$A$6:$AZ$6,0))),'Oxford Economics'!$A$7:$A$1000,$C35,'Oxford Economics'!$B$7:$B$1000,Settings!$B$29)-SUMIFS(INDEX('Oxford Economics'!$A$7:$AZ$1000,0,IFERROR(MATCH(M$5,'Oxford Economics'!$A$6:$AZ$6,0),MATCH(M$5&amp;"",'Oxford Economics'!$A$6:$AZ$6,0))),'Oxford Economics'!$A$7:$A$1000,$C35,'Oxford Economics'!$B$7:$B$1000,Settings!$B$30)),(SUMIFS(INDEX('Oxford Economics'!$A$7:$AZ$1000,0,IFERROR(MATCH(M$5,'Oxford Economics'!$A$6:$AZ$6,0),MATCH(M$5&amp;"",'Oxford Economics'!$A$6:$AZ$6,0))),'Oxford Economics'!$A$7:$A$1000,$C35,'Oxford Economics'!$B$7:$B$1000,Settings!$B$30)+SUMIFS(INDEX('Oxford Economics'!$A$7:$AZ$1000,0,IFERROR(MATCH(M$5,'Oxford Economics'!$A$6:$AZ$6,0),MATCH(M$5&amp;"",'Oxford Economics'!$A$6:$AZ$6,0))),'Oxford Economics'!$A$7:$A$1000,$C35,'Oxford Economics'!$B$7:$B$1000,Settings!$B$31)))),""))</f>
        <v>21886.6</v>
      </c>
      <c r="N35" s="41" t="n">
        <f aca="false">IF($A35="","",IFERROR(1/(1/IF($B35="Residential",(SUMIFS(INDEX('Oxford Economics'!$A$7:$AZ$1000,0,IFERROR(MATCH(N$5,'Oxford Economics'!$A$6:$AZ$6,0),MATCH(N$5&amp;"",'Oxford Economics'!$A$6:$AZ$6,0))),'Oxford Economics'!$A$7:$A$1000,$C35,'Oxford Economics'!$B$7:$B$1000,Settings!$B$29)-SUMIFS(INDEX('Oxford Economics'!$A$7:$AZ$1000,0,IFERROR(MATCH(N$5,'Oxford Economics'!$A$6:$AZ$6,0),MATCH(N$5&amp;"",'Oxford Economics'!$A$6:$AZ$6,0))),'Oxford Economics'!$A$7:$A$1000,$C35,'Oxford Economics'!$B$7:$B$1000,Settings!$B$30)),(SUMIFS(INDEX('Oxford Economics'!$A$7:$AZ$1000,0,IFERROR(MATCH(N$5,'Oxford Economics'!$A$6:$AZ$6,0),MATCH(N$5&amp;"",'Oxford Economics'!$A$6:$AZ$6,0))),'Oxford Economics'!$A$7:$A$1000,$C35,'Oxford Economics'!$B$7:$B$1000,Settings!$B$30)+SUMIFS(INDEX('Oxford Economics'!$A$7:$AZ$1000,0,IFERROR(MATCH(N$5,'Oxford Economics'!$A$6:$AZ$6,0),MATCH(N$5&amp;"",'Oxford Economics'!$A$6:$AZ$6,0))),'Oxford Economics'!$A$7:$A$1000,$C35,'Oxford Economics'!$B$7:$B$1000,Settings!$B$31)))),""))</f>
        <v>22592.07</v>
      </c>
      <c r="O35" s="41" t="n">
        <f aca="false">IF($A35="","",IFERROR(1/(1/IF($B35="Residential",(SUMIFS(INDEX('Oxford Economics'!$A$7:$AZ$1000,0,IFERROR(MATCH(O$5,'Oxford Economics'!$A$6:$AZ$6,0),MATCH(O$5&amp;"",'Oxford Economics'!$A$6:$AZ$6,0))),'Oxford Economics'!$A$7:$A$1000,$C35,'Oxford Economics'!$B$7:$B$1000,Settings!$B$29)-SUMIFS(INDEX('Oxford Economics'!$A$7:$AZ$1000,0,IFERROR(MATCH(O$5,'Oxford Economics'!$A$6:$AZ$6,0),MATCH(O$5&amp;"",'Oxford Economics'!$A$6:$AZ$6,0))),'Oxford Economics'!$A$7:$A$1000,$C35,'Oxford Economics'!$B$7:$B$1000,Settings!$B$30)),(SUMIFS(INDEX('Oxford Economics'!$A$7:$AZ$1000,0,IFERROR(MATCH(O$5,'Oxford Economics'!$A$6:$AZ$6,0),MATCH(O$5&amp;"",'Oxford Economics'!$A$6:$AZ$6,0))),'Oxford Economics'!$A$7:$A$1000,$C35,'Oxford Economics'!$B$7:$B$1000,Settings!$B$30)+SUMIFS(INDEX('Oxford Economics'!$A$7:$AZ$1000,0,IFERROR(MATCH(O$5,'Oxford Economics'!$A$6:$AZ$6,0),MATCH(O$5&amp;"",'Oxford Economics'!$A$6:$AZ$6,0))),'Oxford Economics'!$A$7:$A$1000,$C35,'Oxford Economics'!$B$7:$B$1000,Settings!$B$31)))),""))</f>
        <v>23279.83</v>
      </c>
    </row>
    <row r="36" customFormat="false" ht="15" hidden="false" customHeight="false" outlineLevel="0" collapsed="false">
      <c r="A36" s="40" t="str">
        <f aca="false">IF('Raw data'!$A36="","",'Raw data'!$A36)</f>
        <v>Spain</v>
      </c>
      <c r="B36" s="40" t="str">
        <f aca="false">IF($A36="","",'Raw data'!$C36)</f>
        <v>Residential</v>
      </c>
      <c r="C36" s="40" t="str">
        <f aca="false">IF($A36="","",IF('Raw data'!$D36="",$A36,'Raw data'!$D36))</f>
        <v>Spain</v>
      </c>
      <c r="D36" s="41" t="str">
        <f aca="false">IF($A36="","",IFERROR(1/(1/IF($B36="Residential",(SUMIFS(INDEX('Oxford Economics'!$A$7:$AZ$1000,0,IFERROR(MATCH(D$5,'Oxford Economics'!$A$6:$AZ$6,0),MATCH(D$5&amp;"",'Oxford Economics'!$A$6:$AZ$6,0))),'Oxford Economics'!$A$7:$A$1000,$C36,'Oxford Economics'!$B$7:$B$1000,Settings!$B$29)-SUMIFS(INDEX('Oxford Economics'!$A$7:$AZ$1000,0,IFERROR(MATCH(D$5,'Oxford Economics'!$A$6:$AZ$6,0),MATCH(D$5&amp;"",'Oxford Economics'!$A$6:$AZ$6,0))),'Oxford Economics'!$A$7:$A$1000,$C36,'Oxford Economics'!$B$7:$B$1000,Settings!$B$30)),(SUMIFS(INDEX('Oxford Economics'!$A$7:$AZ$1000,0,IFERROR(MATCH(D$5,'Oxford Economics'!$A$6:$AZ$6,0),MATCH(D$5&amp;"",'Oxford Economics'!$A$6:$AZ$6,0))),'Oxford Economics'!$A$7:$A$1000,$C36,'Oxford Economics'!$B$7:$B$1000,Settings!$B$30)+SUMIFS(INDEX('Oxford Economics'!$A$7:$AZ$1000,0,IFERROR(MATCH(D$5,'Oxford Economics'!$A$6:$AZ$6,0),MATCH(D$5&amp;"",'Oxford Economics'!$A$6:$AZ$6,0))),'Oxford Economics'!$A$7:$A$1000,$C36,'Oxford Economics'!$B$7:$B$1000,Settings!$B$31)))),""))</f>
        <v/>
      </c>
      <c r="E36" s="41" t="str">
        <f aca="false">IF($A36="","",IFERROR(1/(1/IF($B36="Residential",(SUMIFS(INDEX('Oxford Economics'!$A$7:$AZ$1000,0,IFERROR(MATCH(E$5,'Oxford Economics'!$A$6:$AZ$6,0),MATCH(E$5&amp;"",'Oxford Economics'!$A$6:$AZ$6,0))),'Oxford Economics'!$A$7:$A$1000,$C36,'Oxford Economics'!$B$7:$B$1000,Settings!$B$29)-SUMIFS(INDEX('Oxford Economics'!$A$7:$AZ$1000,0,IFERROR(MATCH(E$5,'Oxford Economics'!$A$6:$AZ$6,0),MATCH(E$5&amp;"",'Oxford Economics'!$A$6:$AZ$6,0))),'Oxford Economics'!$A$7:$A$1000,$C36,'Oxford Economics'!$B$7:$B$1000,Settings!$B$30)),(SUMIFS(INDEX('Oxford Economics'!$A$7:$AZ$1000,0,IFERROR(MATCH(E$5,'Oxford Economics'!$A$6:$AZ$6,0),MATCH(E$5&amp;"",'Oxford Economics'!$A$6:$AZ$6,0))),'Oxford Economics'!$A$7:$A$1000,$C36,'Oxford Economics'!$B$7:$B$1000,Settings!$B$30)+SUMIFS(INDEX('Oxford Economics'!$A$7:$AZ$1000,0,IFERROR(MATCH(E$5,'Oxford Economics'!$A$6:$AZ$6,0),MATCH(E$5&amp;"",'Oxford Economics'!$A$6:$AZ$6,0))),'Oxford Economics'!$A$7:$A$1000,$C36,'Oxford Economics'!$B$7:$B$1000,Settings!$B$31)))),""))</f>
        <v/>
      </c>
      <c r="F36" s="41" t="str">
        <f aca="false">IF($A36="","",IFERROR(1/(1/IF($B36="Residential",(SUMIFS(INDEX('Oxford Economics'!$A$7:$AZ$1000,0,IFERROR(MATCH(F$5,'Oxford Economics'!$A$6:$AZ$6,0),MATCH(F$5&amp;"",'Oxford Economics'!$A$6:$AZ$6,0))),'Oxford Economics'!$A$7:$A$1000,$C36,'Oxford Economics'!$B$7:$B$1000,Settings!$B$29)-SUMIFS(INDEX('Oxford Economics'!$A$7:$AZ$1000,0,IFERROR(MATCH(F$5,'Oxford Economics'!$A$6:$AZ$6,0),MATCH(F$5&amp;"",'Oxford Economics'!$A$6:$AZ$6,0))),'Oxford Economics'!$A$7:$A$1000,$C36,'Oxford Economics'!$B$7:$B$1000,Settings!$B$30)),(SUMIFS(INDEX('Oxford Economics'!$A$7:$AZ$1000,0,IFERROR(MATCH(F$5,'Oxford Economics'!$A$6:$AZ$6,0),MATCH(F$5&amp;"",'Oxford Economics'!$A$6:$AZ$6,0))),'Oxford Economics'!$A$7:$A$1000,$C36,'Oxford Economics'!$B$7:$B$1000,Settings!$B$30)+SUMIFS(INDEX('Oxford Economics'!$A$7:$AZ$1000,0,IFERROR(MATCH(F$5,'Oxford Economics'!$A$6:$AZ$6,0),MATCH(F$5&amp;"",'Oxford Economics'!$A$6:$AZ$6,0))),'Oxford Economics'!$A$7:$A$1000,$C36,'Oxford Economics'!$B$7:$B$1000,Settings!$B$31)))),""))</f>
        <v/>
      </c>
      <c r="G36" s="41" t="str">
        <f aca="false">IF($A36="","",IFERROR(1/(1/IF($B36="Residential",(SUMIFS(INDEX('Oxford Economics'!$A$7:$AZ$1000,0,IFERROR(MATCH(G$5,'Oxford Economics'!$A$6:$AZ$6,0),MATCH(G$5&amp;"",'Oxford Economics'!$A$6:$AZ$6,0))),'Oxford Economics'!$A$7:$A$1000,$C36,'Oxford Economics'!$B$7:$B$1000,Settings!$B$29)-SUMIFS(INDEX('Oxford Economics'!$A$7:$AZ$1000,0,IFERROR(MATCH(G$5,'Oxford Economics'!$A$6:$AZ$6,0),MATCH(G$5&amp;"",'Oxford Economics'!$A$6:$AZ$6,0))),'Oxford Economics'!$A$7:$A$1000,$C36,'Oxford Economics'!$B$7:$B$1000,Settings!$B$30)),(SUMIFS(INDEX('Oxford Economics'!$A$7:$AZ$1000,0,IFERROR(MATCH(G$5,'Oxford Economics'!$A$6:$AZ$6,0),MATCH(G$5&amp;"",'Oxford Economics'!$A$6:$AZ$6,0))),'Oxford Economics'!$A$7:$A$1000,$C36,'Oxford Economics'!$B$7:$B$1000,Settings!$B$30)+SUMIFS(INDEX('Oxford Economics'!$A$7:$AZ$1000,0,IFERROR(MATCH(G$5,'Oxford Economics'!$A$6:$AZ$6,0),MATCH(G$5&amp;"",'Oxford Economics'!$A$6:$AZ$6,0))),'Oxford Economics'!$A$7:$A$1000,$C36,'Oxford Economics'!$B$7:$B$1000,Settings!$B$31)))),""))</f>
        <v/>
      </c>
      <c r="H36" s="41" t="n">
        <f aca="false">IF($A36="","",IFERROR(1/(1/IF($B36="Residential",(SUMIFS(INDEX('Oxford Economics'!$A$7:$AZ$1000,0,IFERROR(MATCH(H$5,'Oxford Economics'!$A$6:$AZ$6,0),MATCH(H$5&amp;"",'Oxford Economics'!$A$6:$AZ$6,0))),'Oxford Economics'!$A$7:$A$1000,$C36,'Oxford Economics'!$B$7:$B$1000,Settings!$B$29)-SUMIFS(INDEX('Oxford Economics'!$A$7:$AZ$1000,0,IFERROR(MATCH(H$5,'Oxford Economics'!$A$6:$AZ$6,0),MATCH(H$5&amp;"",'Oxford Economics'!$A$6:$AZ$6,0))),'Oxford Economics'!$A$7:$A$1000,$C36,'Oxford Economics'!$B$7:$B$1000,Settings!$B$30)),(SUMIFS(INDEX('Oxford Economics'!$A$7:$AZ$1000,0,IFERROR(MATCH(H$5,'Oxford Economics'!$A$6:$AZ$6,0),MATCH(H$5&amp;"",'Oxford Economics'!$A$6:$AZ$6,0))),'Oxford Economics'!$A$7:$A$1000,$C36,'Oxford Economics'!$B$7:$B$1000,Settings!$B$30)+SUMIFS(INDEX('Oxford Economics'!$A$7:$AZ$1000,0,IFERROR(MATCH(H$5,'Oxford Economics'!$A$6:$AZ$6,0),MATCH(H$5&amp;"",'Oxford Economics'!$A$6:$AZ$6,0))),'Oxford Economics'!$A$7:$A$1000,$C36,'Oxford Economics'!$B$7:$B$1000,Settings!$B$31)))),""))</f>
        <v>18534.18</v>
      </c>
      <c r="I36" s="41" t="n">
        <f aca="false">IF($A36="","",IFERROR(1/(1/IF($B36="Residential",(SUMIFS(INDEX('Oxford Economics'!$A$7:$AZ$1000,0,IFERROR(MATCH(I$5,'Oxford Economics'!$A$6:$AZ$6,0),MATCH(I$5&amp;"",'Oxford Economics'!$A$6:$AZ$6,0))),'Oxford Economics'!$A$7:$A$1000,$C36,'Oxford Economics'!$B$7:$B$1000,Settings!$B$29)-SUMIFS(INDEX('Oxford Economics'!$A$7:$AZ$1000,0,IFERROR(MATCH(I$5,'Oxford Economics'!$A$6:$AZ$6,0),MATCH(I$5&amp;"",'Oxford Economics'!$A$6:$AZ$6,0))),'Oxford Economics'!$A$7:$A$1000,$C36,'Oxford Economics'!$B$7:$B$1000,Settings!$B$30)),(SUMIFS(INDEX('Oxford Economics'!$A$7:$AZ$1000,0,IFERROR(MATCH(I$5,'Oxford Economics'!$A$6:$AZ$6,0),MATCH(I$5&amp;"",'Oxford Economics'!$A$6:$AZ$6,0))),'Oxford Economics'!$A$7:$A$1000,$C36,'Oxford Economics'!$B$7:$B$1000,Settings!$B$30)+SUMIFS(INDEX('Oxford Economics'!$A$7:$AZ$1000,0,IFERROR(MATCH(I$5,'Oxford Economics'!$A$6:$AZ$6,0),MATCH(I$5&amp;"",'Oxford Economics'!$A$6:$AZ$6,0))),'Oxford Economics'!$A$7:$A$1000,$C36,'Oxford Economics'!$B$7:$B$1000,Settings!$B$31)))),""))</f>
        <v>19526.92</v>
      </c>
      <c r="J36" s="41" t="n">
        <f aca="false">IF($A36="","",IFERROR(1/(1/IF($B36="Residential",(SUMIFS(INDEX('Oxford Economics'!$A$7:$AZ$1000,0,IFERROR(MATCH(J$5,'Oxford Economics'!$A$6:$AZ$6,0),MATCH(J$5&amp;"",'Oxford Economics'!$A$6:$AZ$6,0))),'Oxford Economics'!$A$7:$A$1000,$C36,'Oxford Economics'!$B$7:$B$1000,Settings!$B$29)-SUMIFS(INDEX('Oxford Economics'!$A$7:$AZ$1000,0,IFERROR(MATCH(J$5,'Oxford Economics'!$A$6:$AZ$6,0),MATCH(J$5&amp;"",'Oxford Economics'!$A$6:$AZ$6,0))),'Oxford Economics'!$A$7:$A$1000,$C36,'Oxford Economics'!$B$7:$B$1000,Settings!$B$30)),(SUMIFS(INDEX('Oxford Economics'!$A$7:$AZ$1000,0,IFERROR(MATCH(J$5,'Oxford Economics'!$A$6:$AZ$6,0),MATCH(J$5&amp;"",'Oxford Economics'!$A$6:$AZ$6,0))),'Oxford Economics'!$A$7:$A$1000,$C36,'Oxford Economics'!$B$7:$B$1000,Settings!$B$30)+SUMIFS(INDEX('Oxford Economics'!$A$7:$AZ$1000,0,IFERROR(MATCH(J$5,'Oxford Economics'!$A$6:$AZ$6,0),MATCH(J$5&amp;"",'Oxford Economics'!$A$6:$AZ$6,0))),'Oxford Economics'!$A$7:$A$1000,$C36,'Oxford Economics'!$B$7:$B$1000,Settings!$B$31)))),""))</f>
        <v>19872.03</v>
      </c>
      <c r="K36" s="41" t="n">
        <f aca="false">IF($A36="","",IFERROR(1/(1/IF($B36="Residential",(SUMIFS(INDEX('Oxford Economics'!$A$7:$AZ$1000,0,IFERROR(MATCH(K$5,'Oxford Economics'!$A$6:$AZ$6,0),MATCH(K$5&amp;"",'Oxford Economics'!$A$6:$AZ$6,0))),'Oxford Economics'!$A$7:$A$1000,$C36,'Oxford Economics'!$B$7:$B$1000,Settings!$B$29)-SUMIFS(INDEX('Oxford Economics'!$A$7:$AZ$1000,0,IFERROR(MATCH(K$5,'Oxford Economics'!$A$6:$AZ$6,0),MATCH(K$5&amp;"",'Oxford Economics'!$A$6:$AZ$6,0))),'Oxford Economics'!$A$7:$A$1000,$C36,'Oxford Economics'!$B$7:$B$1000,Settings!$B$30)),(SUMIFS(INDEX('Oxford Economics'!$A$7:$AZ$1000,0,IFERROR(MATCH(K$5,'Oxford Economics'!$A$6:$AZ$6,0),MATCH(K$5&amp;"",'Oxford Economics'!$A$6:$AZ$6,0))),'Oxford Economics'!$A$7:$A$1000,$C36,'Oxford Economics'!$B$7:$B$1000,Settings!$B$30)+SUMIFS(INDEX('Oxford Economics'!$A$7:$AZ$1000,0,IFERROR(MATCH(K$5,'Oxford Economics'!$A$6:$AZ$6,0),MATCH(K$5&amp;"",'Oxford Economics'!$A$6:$AZ$6,0))),'Oxford Economics'!$A$7:$A$1000,$C36,'Oxford Economics'!$B$7:$B$1000,Settings!$B$31)))),""))</f>
        <v>20401.52</v>
      </c>
      <c r="L36" s="41" t="n">
        <f aca="false">IF($A36="","",IFERROR(1/(1/IF($B36="Residential",(SUMIFS(INDEX('Oxford Economics'!$A$7:$AZ$1000,0,IFERROR(MATCH(L$5,'Oxford Economics'!$A$6:$AZ$6,0),MATCH(L$5&amp;"",'Oxford Economics'!$A$6:$AZ$6,0))),'Oxford Economics'!$A$7:$A$1000,$C36,'Oxford Economics'!$B$7:$B$1000,Settings!$B$29)-SUMIFS(INDEX('Oxford Economics'!$A$7:$AZ$1000,0,IFERROR(MATCH(L$5,'Oxford Economics'!$A$6:$AZ$6,0),MATCH(L$5&amp;"",'Oxford Economics'!$A$6:$AZ$6,0))),'Oxford Economics'!$A$7:$A$1000,$C36,'Oxford Economics'!$B$7:$B$1000,Settings!$B$30)),(SUMIFS(INDEX('Oxford Economics'!$A$7:$AZ$1000,0,IFERROR(MATCH(L$5,'Oxford Economics'!$A$6:$AZ$6,0),MATCH(L$5&amp;"",'Oxford Economics'!$A$6:$AZ$6,0))),'Oxford Economics'!$A$7:$A$1000,$C36,'Oxford Economics'!$B$7:$B$1000,Settings!$B$30)+SUMIFS(INDEX('Oxford Economics'!$A$7:$AZ$1000,0,IFERROR(MATCH(L$5,'Oxford Economics'!$A$6:$AZ$6,0),MATCH(L$5&amp;"",'Oxford Economics'!$A$6:$AZ$6,0))),'Oxford Economics'!$A$7:$A$1000,$C36,'Oxford Economics'!$B$7:$B$1000,Settings!$B$31)))),""))</f>
        <v>21004.16</v>
      </c>
      <c r="M36" s="41" t="n">
        <f aca="false">IF($A36="","",IFERROR(1/(1/IF($B36="Residential",(SUMIFS(INDEX('Oxford Economics'!$A$7:$AZ$1000,0,IFERROR(MATCH(M$5,'Oxford Economics'!$A$6:$AZ$6,0),MATCH(M$5&amp;"",'Oxford Economics'!$A$6:$AZ$6,0))),'Oxford Economics'!$A$7:$A$1000,$C36,'Oxford Economics'!$B$7:$B$1000,Settings!$B$29)-SUMIFS(INDEX('Oxford Economics'!$A$7:$AZ$1000,0,IFERROR(MATCH(M$5,'Oxford Economics'!$A$6:$AZ$6,0),MATCH(M$5&amp;"",'Oxford Economics'!$A$6:$AZ$6,0))),'Oxford Economics'!$A$7:$A$1000,$C36,'Oxford Economics'!$B$7:$B$1000,Settings!$B$30)),(SUMIFS(INDEX('Oxford Economics'!$A$7:$AZ$1000,0,IFERROR(MATCH(M$5,'Oxford Economics'!$A$6:$AZ$6,0),MATCH(M$5&amp;"",'Oxford Economics'!$A$6:$AZ$6,0))),'Oxford Economics'!$A$7:$A$1000,$C36,'Oxford Economics'!$B$7:$B$1000,Settings!$B$30)+SUMIFS(INDEX('Oxford Economics'!$A$7:$AZ$1000,0,IFERROR(MATCH(M$5,'Oxford Economics'!$A$6:$AZ$6,0),MATCH(M$5&amp;"",'Oxford Economics'!$A$6:$AZ$6,0))),'Oxford Economics'!$A$7:$A$1000,$C36,'Oxford Economics'!$B$7:$B$1000,Settings!$B$31)))),""))</f>
        <v>21516.2</v>
      </c>
      <c r="N36" s="41" t="n">
        <f aca="false">IF($A36="","",IFERROR(1/(1/IF($B36="Residential",(SUMIFS(INDEX('Oxford Economics'!$A$7:$AZ$1000,0,IFERROR(MATCH(N$5,'Oxford Economics'!$A$6:$AZ$6,0),MATCH(N$5&amp;"",'Oxford Economics'!$A$6:$AZ$6,0))),'Oxford Economics'!$A$7:$A$1000,$C36,'Oxford Economics'!$B$7:$B$1000,Settings!$B$29)-SUMIFS(INDEX('Oxford Economics'!$A$7:$AZ$1000,0,IFERROR(MATCH(N$5,'Oxford Economics'!$A$6:$AZ$6,0),MATCH(N$5&amp;"",'Oxford Economics'!$A$6:$AZ$6,0))),'Oxford Economics'!$A$7:$A$1000,$C36,'Oxford Economics'!$B$7:$B$1000,Settings!$B$30)),(SUMIFS(INDEX('Oxford Economics'!$A$7:$AZ$1000,0,IFERROR(MATCH(N$5,'Oxford Economics'!$A$6:$AZ$6,0),MATCH(N$5&amp;"",'Oxford Economics'!$A$6:$AZ$6,0))),'Oxford Economics'!$A$7:$A$1000,$C36,'Oxford Economics'!$B$7:$B$1000,Settings!$B$30)+SUMIFS(INDEX('Oxford Economics'!$A$7:$AZ$1000,0,IFERROR(MATCH(N$5,'Oxford Economics'!$A$6:$AZ$6,0),MATCH(N$5&amp;"",'Oxford Economics'!$A$6:$AZ$6,0))),'Oxford Economics'!$A$7:$A$1000,$C36,'Oxford Economics'!$B$7:$B$1000,Settings!$B$31)))),""))</f>
        <v>21965.66</v>
      </c>
      <c r="O36" s="41" t="n">
        <f aca="false">IF($A36="","",IFERROR(1/(1/IF($B36="Residential",(SUMIFS(INDEX('Oxford Economics'!$A$7:$AZ$1000,0,IFERROR(MATCH(O$5,'Oxford Economics'!$A$6:$AZ$6,0),MATCH(O$5&amp;"",'Oxford Economics'!$A$6:$AZ$6,0))),'Oxford Economics'!$A$7:$A$1000,$C36,'Oxford Economics'!$B$7:$B$1000,Settings!$B$29)-SUMIFS(INDEX('Oxford Economics'!$A$7:$AZ$1000,0,IFERROR(MATCH(O$5,'Oxford Economics'!$A$6:$AZ$6,0),MATCH(O$5&amp;"",'Oxford Economics'!$A$6:$AZ$6,0))),'Oxford Economics'!$A$7:$A$1000,$C36,'Oxford Economics'!$B$7:$B$1000,Settings!$B$30)),(SUMIFS(INDEX('Oxford Economics'!$A$7:$AZ$1000,0,IFERROR(MATCH(O$5,'Oxford Economics'!$A$6:$AZ$6,0),MATCH(O$5&amp;"",'Oxford Economics'!$A$6:$AZ$6,0))),'Oxford Economics'!$A$7:$A$1000,$C36,'Oxford Economics'!$B$7:$B$1000,Settings!$B$30)+SUMIFS(INDEX('Oxford Economics'!$A$7:$AZ$1000,0,IFERROR(MATCH(O$5,'Oxford Economics'!$A$6:$AZ$6,0),MATCH(O$5&amp;"",'Oxford Economics'!$A$6:$AZ$6,0))),'Oxford Economics'!$A$7:$A$1000,$C36,'Oxford Economics'!$B$7:$B$1000,Settings!$B$31)))),""))</f>
        <v>22291.45</v>
      </c>
    </row>
    <row r="37" customFormat="false" ht="15" hidden="false" customHeight="false" outlineLevel="0" collapsed="false">
      <c r="A37" s="40" t="str">
        <f aca="false">IF('Raw data'!$A37="","",'Raw data'!$A37)</f>
        <v>Spain</v>
      </c>
      <c r="B37" s="40" t="str">
        <f aca="false">IF($A37="","",'Raw data'!$C37)</f>
        <v>Non-residential</v>
      </c>
      <c r="C37" s="40" t="str">
        <f aca="false">IF($A37="","",IF('Raw data'!$D37="",$A37,'Raw data'!$D37))</f>
        <v>Spain</v>
      </c>
      <c r="D37" s="41" t="str">
        <f aca="false">IF($A37="","",IFERROR(1/(1/IF($B37="Residential",(SUMIFS(INDEX('Oxford Economics'!$A$7:$AZ$1000,0,IFERROR(MATCH(D$5,'Oxford Economics'!$A$6:$AZ$6,0),MATCH(D$5&amp;"",'Oxford Economics'!$A$6:$AZ$6,0))),'Oxford Economics'!$A$7:$A$1000,$C37,'Oxford Economics'!$B$7:$B$1000,Settings!$B$29)-SUMIFS(INDEX('Oxford Economics'!$A$7:$AZ$1000,0,IFERROR(MATCH(D$5,'Oxford Economics'!$A$6:$AZ$6,0),MATCH(D$5&amp;"",'Oxford Economics'!$A$6:$AZ$6,0))),'Oxford Economics'!$A$7:$A$1000,$C37,'Oxford Economics'!$B$7:$B$1000,Settings!$B$30)),(SUMIFS(INDEX('Oxford Economics'!$A$7:$AZ$1000,0,IFERROR(MATCH(D$5,'Oxford Economics'!$A$6:$AZ$6,0),MATCH(D$5&amp;"",'Oxford Economics'!$A$6:$AZ$6,0))),'Oxford Economics'!$A$7:$A$1000,$C37,'Oxford Economics'!$B$7:$B$1000,Settings!$B$30)+SUMIFS(INDEX('Oxford Economics'!$A$7:$AZ$1000,0,IFERROR(MATCH(D$5,'Oxford Economics'!$A$6:$AZ$6,0),MATCH(D$5&amp;"",'Oxford Economics'!$A$6:$AZ$6,0))),'Oxford Economics'!$A$7:$A$1000,$C37,'Oxford Economics'!$B$7:$B$1000,Settings!$B$31)))),""))</f>
        <v/>
      </c>
      <c r="E37" s="41" t="str">
        <f aca="false">IF($A37="","",IFERROR(1/(1/IF($B37="Residential",(SUMIFS(INDEX('Oxford Economics'!$A$7:$AZ$1000,0,IFERROR(MATCH(E$5,'Oxford Economics'!$A$6:$AZ$6,0),MATCH(E$5&amp;"",'Oxford Economics'!$A$6:$AZ$6,0))),'Oxford Economics'!$A$7:$A$1000,$C37,'Oxford Economics'!$B$7:$B$1000,Settings!$B$29)-SUMIFS(INDEX('Oxford Economics'!$A$7:$AZ$1000,0,IFERROR(MATCH(E$5,'Oxford Economics'!$A$6:$AZ$6,0),MATCH(E$5&amp;"",'Oxford Economics'!$A$6:$AZ$6,0))),'Oxford Economics'!$A$7:$A$1000,$C37,'Oxford Economics'!$B$7:$B$1000,Settings!$B$30)),(SUMIFS(INDEX('Oxford Economics'!$A$7:$AZ$1000,0,IFERROR(MATCH(E$5,'Oxford Economics'!$A$6:$AZ$6,0),MATCH(E$5&amp;"",'Oxford Economics'!$A$6:$AZ$6,0))),'Oxford Economics'!$A$7:$A$1000,$C37,'Oxford Economics'!$B$7:$B$1000,Settings!$B$30)+SUMIFS(INDEX('Oxford Economics'!$A$7:$AZ$1000,0,IFERROR(MATCH(E$5,'Oxford Economics'!$A$6:$AZ$6,0),MATCH(E$5&amp;"",'Oxford Economics'!$A$6:$AZ$6,0))),'Oxford Economics'!$A$7:$A$1000,$C37,'Oxford Economics'!$B$7:$B$1000,Settings!$B$31)))),""))</f>
        <v/>
      </c>
      <c r="F37" s="41" t="str">
        <f aca="false">IF($A37="","",IFERROR(1/(1/IF($B37="Residential",(SUMIFS(INDEX('Oxford Economics'!$A$7:$AZ$1000,0,IFERROR(MATCH(F$5,'Oxford Economics'!$A$6:$AZ$6,0),MATCH(F$5&amp;"",'Oxford Economics'!$A$6:$AZ$6,0))),'Oxford Economics'!$A$7:$A$1000,$C37,'Oxford Economics'!$B$7:$B$1000,Settings!$B$29)-SUMIFS(INDEX('Oxford Economics'!$A$7:$AZ$1000,0,IFERROR(MATCH(F$5,'Oxford Economics'!$A$6:$AZ$6,0),MATCH(F$5&amp;"",'Oxford Economics'!$A$6:$AZ$6,0))),'Oxford Economics'!$A$7:$A$1000,$C37,'Oxford Economics'!$B$7:$B$1000,Settings!$B$30)),(SUMIFS(INDEX('Oxford Economics'!$A$7:$AZ$1000,0,IFERROR(MATCH(F$5,'Oxford Economics'!$A$6:$AZ$6,0),MATCH(F$5&amp;"",'Oxford Economics'!$A$6:$AZ$6,0))),'Oxford Economics'!$A$7:$A$1000,$C37,'Oxford Economics'!$B$7:$B$1000,Settings!$B$30)+SUMIFS(INDEX('Oxford Economics'!$A$7:$AZ$1000,0,IFERROR(MATCH(F$5,'Oxford Economics'!$A$6:$AZ$6,0),MATCH(F$5&amp;"",'Oxford Economics'!$A$6:$AZ$6,0))),'Oxford Economics'!$A$7:$A$1000,$C37,'Oxford Economics'!$B$7:$B$1000,Settings!$B$31)))),""))</f>
        <v/>
      </c>
      <c r="G37" s="41" t="str">
        <f aca="false">IF($A37="","",IFERROR(1/(1/IF($B37="Residential",(SUMIFS(INDEX('Oxford Economics'!$A$7:$AZ$1000,0,IFERROR(MATCH(G$5,'Oxford Economics'!$A$6:$AZ$6,0),MATCH(G$5&amp;"",'Oxford Economics'!$A$6:$AZ$6,0))),'Oxford Economics'!$A$7:$A$1000,$C37,'Oxford Economics'!$B$7:$B$1000,Settings!$B$29)-SUMIFS(INDEX('Oxford Economics'!$A$7:$AZ$1000,0,IFERROR(MATCH(G$5,'Oxford Economics'!$A$6:$AZ$6,0),MATCH(G$5&amp;"",'Oxford Economics'!$A$6:$AZ$6,0))),'Oxford Economics'!$A$7:$A$1000,$C37,'Oxford Economics'!$B$7:$B$1000,Settings!$B$30)),(SUMIFS(INDEX('Oxford Economics'!$A$7:$AZ$1000,0,IFERROR(MATCH(G$5,'Oxford Economics'!$A$6:$AZ$6,0),MATCH(G$5&amp;"",'Oxford Economics'!$A$6:$AZ$6,0))),'Oxford Economics'!$A$7:$A$1000,$C37,'Oxford Economics'!$B$7:$B$1000,Settings!$B$30)+SUMIFS(INDEX('Oxford Economics'!$A$7:$AZ$1000,0,IFERROR(MATCH(G$5,'Oxford Economics'!$A$6:$AZ$6,0),MATCH(G$5&amp;"",'Oxford Economics'!$A$6:$AZ$6,0))),'Oxford Economics'!$A$7:$A$1000,$C37,'Oxford Economics'!$B$7:$B$1000,Settings!$B$31)))),""))</f>
        <v/>
      </c>
      <c r="H37" s="41" t="n">
        <f aca="false">IF($A37="","",IFERROR(1/(1/IF($B37="Residential",(SUMIFS(INDEX('Oxford Economics'!$A$7:$AZ$1000,0,IFERROR(MATCH(H$5,'Oxford Economics'!$A$6:$AZ$6,0),MATCH(H$5&amp;"",'Oxford Economics'!$A$6:$AZ$6,0))),'Oxford Economics'!$A$7:$A$1000,$C37,'Oxford Economics'!$B$7:$B$1000,Settings!$B$29)-SUMIFS(INDEX('Oxford Economics'!$A$7:$AZ$1000,0,IFERROR(MATCH(H$5,'Oxford Economics'!$A$6:$AZ$6,0),MATCH(H$5&amp;"",'Oxford Economics'!$A$6:$AZ$6,0))),'Oxford Economics'!$A$7:$A$1000,$C37,'Oxford Economics'!$B$7:$B$1000,Settings!$B$30)),(SUMIFS(INDEX('Oxford Economics'!$A$7:$AZ$1000,0,IFERROR(MATCH(H$5,'Oxford Economics'!$A$6:$AZ$6,0),MATCH(H$5&amp;"",'Oxford Economics'!$A$6:$AZ$6,0))),'Oxford Economics'!$A$7:$A$1000,$C37,'Oxford Economics'!$B$7:$B$1000,Settings!$B$30)+SUMIFS(INDEX('Oxford Economics'!$A$7:$AZ$1000,0,IFERROR(MATCH(H$5,'Oxford Economics'!$A$6:$AZ$6,0),MATCH(H$5&amp;"",'Oxford Economics'!$A$6:$AZ$6,0))),'Oxford Economics'!$A$7:$A$1000,$C37,'Oxford Economics'!$B$7:$B$1000,Settings!$B$31)))),""))</f>
        <v>78112.83</v>
      </c>
      <c r="I37" s="41" t="n">
        <f aca="false">IF($A37="","",IFERROR(1/(1/IF($B37="Residential",(SUMIFS(INDEX('Oxford Economics'!$A$7:$AZ$1000,0,IFERROR(MATCH(I$5,'Oxford Economics'!$A$6:$AZ$6,0),MATCH(I$5&amp;"",'Oxford Economics'!$A$6:$AZ$6,0))),'Oxford Economics'!$A$7:$A$1000,$C37,'Oxford Economics'!$B$7:$B$1000,Settings!$B$29)-SUMIFS(INDEX('Oxford Economics'!$A$7:$AZ$1000,0,IFERROR(MATCH(I$5,'Oxford Economics'!$A$6:$AZ$6,0),MATCH(I$5&amp;"",'Oxford Economics'!$A$6:$AZ$6,0))),'Oxford Economics'!$A$7:$A$1000,$C37,'Oxford Economics'!$B$7:$B$1000,Settings!$B$30)),(SUMIFS(INDEX('Oxford Economics'!$A$7:$AZ$1000,0,IFERROR(MATCH(I$5,'Oxford Economics'!$A$6:$AZ$6,0),MATCH(I$5&amp;"",'Oxford Economics'!$A$6:$AZ$6,0))),'Oxford Economics'!$A$7:$A$1000,$C37,'Oxford Economics'!$B$7:$B$1000,Settings!$B$30)+SUMIFS(INDEX('Oxford Economics'!$A$7:$AZ$1000,0,IFERROR(MATCH(I$5,'Oxford Economics'!$A$6:$AZ$6,0),MATCH(I$5&amp;"",'Oxford Economics'!$A$6:$AZ$6,0))),'Oxford Economics'!$A$7:$A$1000,$C37,'Oxford Economics'!$B$7:$B$1000,Settings!$B$31)))),""))</f>
        <v>85393</v>
      </c>
      <c r="J37" s="41" t="n">
        <f aca="false">IF($A37="","",IFERROR(1/(1/IF($B37="Residential",(SUMIFS(INDEX('Oxford Economics'!$A$7:$AZ$1000,0,IFERROR(MATCH(J$5,'Oxford Economics'!$A$6:$AZ$6,0),MATCH(J$5&amp;"",'Oxford Economics'!$A$6:$AZ$6,0))),'Oxford Economics'!$A$7:$A$1000,$C37,'Oxford Economics'!$B$7:$B$1000,Settings!$B$29)-SUMIFS(INDEX('Oxford Economics'!$A$7:$AZ$1000,0,IFERROR(MATCH(J$5,'Oxford Economics'!$A$6:$AZ$6,0),MATCH(J$5&amp;"",'Oxford Economics'!$A$6:$AZ$6,0))),'Oxford Economics'!$A$7:$A$1000,$C37,'Oxford Economics'!$B$7:$B$1000,Settings!$B$30)),(SUMIFS(INDEX('Oxford Economics'!$A$7:$AZ$1000,0,IFERROR(MATCH(J$5,'Oxford Economics'!$A$6:$AZ$6,0),MATCH(J$5&amp;"",'Oxford Economics'!$A$6:$AZ$6,0))),'Oxford Economics'!$A$7:$A$1000,$C37,'Oxford Economics'!$B$7:$B$1000,Settings!$B$30)+SUMIFS(INDEX('Oxford Economics'!$A$7:$AZ$1000,0,IFERROR(MATCH(J$5,'Oxford Economics'!$A$6:$AZ$6,0),MATCH(J$5&amp;"",'Oxford Economics'!$A$6:$AZ$6,0))),'Oxford Economics'!$A$7:$A$1000,$C37,'Oxford Economics'!$B$7:$B$1000,Settings!$B$31)))),""))</f>
        <v>91094.94</v>
      </c>
      <c r="K37" s="41" t="n">
        <f aca="false">IF($A37="","",IFERROR(1/(1/IF($B37="Residential",(SUMIFS(INDEX('Oxford Economics'!$A$7:$AZ$1000,0,IFERROR(MATCH(K$5,'Oxford Economics'!$A$6:$AZ$6,0),MATCH(K$5&amp;"",'Oxford Economics'!$A$6:$AZ$6,0))),'Oxford Economics'!$A$7:$A$1000,$C37,'Oxford Economics'!$B$7:$B$1000,Settings!$B$29)-SUMIFS(INDEX('Oxford Economics'!$A$7:$AZ$1000,0,IFERROR(MATCH(K$5,'Oxford Economics'!$A$6:$AZ$6,0),MATCH(K$5&amp;"",'Oxford Economics'!$A$6:$AZ$6,0))),'Oxford Economics'!$A$7:$A$1000,$C37,'Oxford Economics'!$B$7:$B$1000,Settings!$B$30)),(SUMIFS(INDEX('Oxford Economics'!$A$7:$AZ$1000,0,IFERROR(MATCH(K$5,'Oxford Economics'!$A$6:$AZ$6,0),MATCH(K$5&amp;"",'Oxford Economics'!$A$6:$AZ$6,0))),'Oxford Economics'!$A$7:$A$1000,$C37,'Oxford Economics'!$B$7:$B$1000,Settings!$B$30)+SUMIFS(INDEX('Oxford Economics'!$A$7:$AZ$1000,0,IFERROR(MATCH(K$5,'Oxford Economics'!$A$6:$AZ$6,0),MATCH(K$5&amp;"",'Oxford Economics'!$A$6:$AZ$6,0))),'Oxford Economics'!$A$7:$A$1000,$C37,'Oxford Economics'!$B$7:$B$1000,Settings!$B$31)))),""))</f>
        <v>95168.43</v>
      </c>
      <c r="L37" s="41" t="n">
        <f aca="false">IF($A37="","",IFERROR(1/(1/IF($B37="Residential",(SUMIFS(INDEX('Oxford Economics'!$A$7:$AZ$1000,0,IFERROR(MATCH(L$5,'Oxford Economics'!$A$6:$AZ$6,0),MATCH(L$5&amp;"",'Oxford Economics'!$A$6:$AZ$6,0))),'Oxford Economics'!$A$7:$A$1000,$C37,'Oxford Economics'!$B$7:$B$1000,Settings!$B$29)-SUMIFS(INDEX('Oxford Economics'!$A$7:$AZ$1000,0,IFERROR(MATCH(L$5,'Oxford Economics'!$A$6:$AZ$6,0),MATCH(L$5&amp;"",'Oxford Economics'!$A$6:$AZ$6,0))),'Oxford Economics'!$A$7:$A$1000,$C37,'Oxford Economics'!$B$7:$B$1000,Settings!$B$30)),(SUMIFS(INDEX('Oxford Economics'!$A$7:$AZ$1000,0,IFERROR(MATCH(L$5,'Oxford Economics'!$A$6:$AZ$6,0),MATCH(L$5&amp;"",'Oxford Economics'!$A$6:$AZ$6,0))),'Oxford Economics'!$A$7:$A$1000,$C37,'Oxford Economics'!$B$7:$B$1000,Settings!$B$30)+SUMIFS(INDEX('Oxford Economics'!$A$7:$AZ$1000,0,IFERROR(MATCH(L$5,'Oxford Economics'!$A$6:$AZ$6,0),MATCH(L$5&amp;"",'Oxford Economics'!$A$6:$AZ$6,0))),'Oxford Economics'!$A$7:$A$1000,$C37,'Oxford Economics'!$B$7:$B$1000,Settings!$B$31)))),""))</f>
        <v>99206.61</v>
      </c>
      <c r="M37" s="41" t="n">
        <f aca="false">IF($A37="","",IFERROR(1/(1/IF($B37="Residential",(SUMIFS(INDEX('Oxford Economics'!$A$7:$AZ$1000,0,IFERROR(MATCH(M$5,'Oxford Economics'!$A$6:$AZ$6,0),MATCH(M$5&amp;"",'Oxford Economics'!$A$6:$AZ$6,0))),'Oxford Economics'!$A$7:$A$1000,$C37,'Oxford Economics'!$B$7:$B$1000,Settings!$B$29)-SUMIFS(INDEX('Oxford Economics'!$A$7:$AZ$1000,0,IFERROR(MATCH(M$5,'Oxford Economics'!$A$6:$AZ$6,0),MATCH(M$5&amp;"",'Oxford Economics'!$A$6:$AZ$6,0))),'Oxford Economics'!$A$7:$A$1000,$C37,'Oxford Economics'!$B$7:$B$1000,Settings!$B$30)),(SUMIFS(INDEX('Oxford Economics'!$A$7:$AZ$1000,0,IFERROR(MATCH(M$5,'Oxford Economics'!$A$6:$AZ$6,0),MATCH(M$5&amp;"",'Oxford Economics'!$A$6:$AZ$6,0))),'Oxford Economics'!$A$7:$A$1000,$C37,'Oxford Economics'!$B$7:$B$1000,Settings!$B$30)+SUMIFS(INDEX('Oxford Economics'!$A$7:$AZ$1000,0,IFERROR(MATCH(M$5,'Oxford Economics'!$A$6:$AZ$6,0),MATCH(M$5&amp;"",'Oxford Economics'!$A$6:$AZ$6,0))),'Oxford Economics'!$A$7:$A$1000,$C37,'Oxford Economics'!$B$7:$B$1000,Settings!$B$31)))),""))</f>
        <v>103209.63</v>
      </c>
      <c r="N37" s="41" t="n">
        <f aca="false">IF($A37="","",IFERROR(1/(1/IF($B37="Residential",(SUMIFS(INDEX('Oxford Economics'!$A$7:$AZ$1000,0,IFERROR(MATCH(N$5,'Oxford Economics'!$A$6:$AZ$6,0),MATCH(N$5&amp;"",'Oxford Economics'!$A$6:$AZ$6,0))),'Oxford Economics'!$A$7:$A$1000,$C37,'Oxford Economics'!$B$7:$B$1000,Settings!$B$29)-SUMIFS(INDEX('Oxford Economics'!$A$7:$AZ$1000,0,IFERROR(MATCH(N$5,'Oxford Economics'!$A$6:$AZ$6,0),MATCH(N$5&amp;"",'Oxford Economics'!$A$6:$AZ$6,0))),'Oxford Economics'!$A$7:$A$1000,$C37,'Oxford Economics'!$B$7:$B$1000,Settings!$B$30)),(SUMIFS(INDEX('Oxford Economics'!$A$7:$AZ$1000,0,IFERROR(MATCH(N$5,'Oxford Economics'!$A$6:$AZ$6,0),MATCH(N$5&amp;"",'Oxford Economics'!$A$6:$AZ$6,0))),'Oxford Economics'!$A$7:$A$1000,$C37,'Oxford Economics'!$B$7:$B$1000,Settings!$B$30)+SUMIFS(INDEX('Oxford Economics'!$A$7:$AZ$1000,0,IFERROR(MATCH(N$5,'Oxford Economics'!$A$6:$AZ$6,0),MATCH(N$5&amp;"",'Oxford Economics'!$A$6:$AZ$6,0))),'Oxford Economics'!$A$7:$A$1000,$C37,'Oxford Economics'!$B$7:$B$1000,Settings!$B$31)))),""))</f>
        <v>106794.55</v>
      </c>
      <c r="O37" s="41" t="n">
        <f aca="false">IF($A37="","",IFERROR(1/(1/IF($B37="Residential",(SUMIFS(INDEX('Oxford Economics'!$A$7:$AZ$1000,0,IFERROR(MATCH(O$5,'Oxford Economics'!$A$6:$AZ$6,0),MATCH(O$5&amp;"",'Oxford Economics'!$A$6:$AZ$6,0))),'Oxford Economics'!$A$7:$A$1000,$C37,'Oxford Economics'!$B$7:$B$1000,Settings!$B$29)-SUMIFS(INDEX('Oxford Economics'!$A$7:$AZ$1000,0,IFERROR(MATCH(O$5,'Oxford Economics'!$A$6:$AZ$6,0),MATCH(O$5&amp;"",'Oxford Economics'!$A$6:$AZ$6,0))),'Oxford Economics'!$A$7:$A$1000,$C37,'Oxford Economics'!$B$7:$B$1000,Settings!$B$30)),(SUMIFS(INDEX('Oxford Economics'!$A$7:$AZ$1000,0,IFERROR(MATCH(O$5,'Oxford Economics'!$A$6:$AZ$6,0),MATCH(O$5&amp;"",'Oxford Economics'!$A$6:$AZ$6,0))),'Oxford Economics'!$A$7:$A$1000,$C37,'Oxford Economics'!$B$7:$B$1000,Settings!$B$30)+SUMIFS(INDEX('Oxford Economics'!$A$7:$AZ$1000,0,IFERROR(MATCH(O$5,'Oxford Economics'!$A$6:$AZ$6,0),MATCH(O$5&amp;"",'Oxford Economics'!$A$6:$AZ$6,0))),'Oxford Economics'!$A$7:$A$1000,$C37,'Oxford Economics'!$B$7:$B$1000,Settings!$B$31)))),""))</f>
        <v>109007.67</v>
      </c>
    </row>
    <row r="38" customFormat="false" ht="15" hidden="false" customHeight="false" outlineLevel="0" collapsed="false">
      <c r="A38" s="40" t="str">
        <f aca="false">IF('Raw data'!$A38="","",'Raw data'!$A38)</f>
        <v>Portugal</v>
      </c>
      <c r="B38" s="40" t="str">
        <f aca="false">IF($A38="","",'Raw data'!$C38)</f>
        <v>Residential</v>
      </c>
      <c r="C38" s="40" t="str">
        <f aca="false">IF($A38="","",IF('Raw data'!$D38="",$A38,'Raw data'!$D38))</f>
        <v>Portugal</v>
      </c>
      <c r="D38" s="41" t="str">
        <f aca="false">IF($A38="","",IFERROR(1/(1/IF($B38="Residential",(SUMIFS(INDEX('Oxford Economics'!$A$7:$AZ$1000,0,IFERROR(MATCH(D$5,'Oxford Economics'!$A$6:$AZ$6,0),MATCH(D$5&amp;"",'Oxford Economics'!$A$6:$AZ$6,0))),'Oxford Economics'!$A$7:$A$1000,$C38,'Oxford Economics'!$B$7:$B$1000,Settings!$B$29)-SUMIFS(INDEX('Oxford Economics'!$A$7:$AZ$1000,0,IFERROR(MATCH(D$5,'Oxford Economics'!$A$6:$AZ$6,0),MATCH(D$5&amp;"",'Oxford Economics'!$A$6:$AZ$6,0))),'Oxford Economics'!$A$7:$A$1000,$C38,'Oxford Economics'!$B$7:$B$1000,Settings!$B$30)),(SUMIFS(INDEX('Oxford Economics'!$A$7:$AZ$1000,0,IFERROR(MATCH(D$5,'Oxford Economics'!$A$6:$AZ$6,0),MATCH(D$5&amp;"",'Oxford Economics'!$A$6:$AZ$6,0))),'Oxford Economics'!$A$7:$A$1000,$C38,'Oxford Economics'!$B$7:$B$1000,Settings!$B$30)+SUMIFS(INDEX('Oxford Economics'!$A$7:$AZ$1000,0,IFERROR(MATCH(D$5,'Oxford Economics'!$A$6:$AZ$6,0),MATCH(D$5&amp;"",'Oxford Economics'!$A$6:$AZ$6,0))),'Oxford Economics'!$A$7:$A$1000,$C38,'Oxford Economics'!$B$7:$B$1000,Settings!$B$31)))),""))</f>
        <v/>
      </c>
      <c r="E38" s="41" t="str">
        <f aca="false">IF($A38="","",IFERROR(1/(1/IF($B38="Residential",(SUMIFS(INDEX('Oxford Economics'!$A$7:$AZ$1000,0,IFERROR(MATCH(E$5,'Oxford Economics'!$A$6:$AZ$6,0),MATCH(E$5&amp;"",'Oxford Economics'!$A$6:$AZ$6,0))),'Oxford Economics'!$A$7:$A$1000,$C38,'Oxford Economics'!$B$7:$B$1000,Settings!$B$29)-SUMIFS(INDEX('Oxford Economics'!$A$7:$AZ$1000,0,IFERROR(MATCH(E$5,'Oxford Economics'!$A$6:$AZ$6,0),MATCH(E$5&amp;"",'Oxford Economics'!$A$6:$AZ$6,0))),'Oxford Economics'!$A$7:$A$1000,$C38,'Oxford Economics'!$B$7:$B$1000,Settings!$B$30)),(SUMIFS(INDEX('Oxford Economics'!$A$7:$AZ$1000,0,IFERROR(MATCH(E$5,'Oxford Economics'!$A$6:$AZ$6,0),MATCH(E$5&amp;"",'Oxford Economics'!$A$6:$AZ$6,0))),'Oxford Economics'!$A$7:$A$1000,$C38,'Oxford Economics'!$B$7:$B$1000,Settings!$B$30)+SUMIFS(INDEX('Oxford Economics'!$A$7:$AZ$1000,0,IFERROR(MATCH(E$5,'Oxford Economics'!$A$6:$AZ$6,0),MATCH(E$5&amp;"",'Oxford Economics'!$A$6:$AZ$6,0))),'Oxford Economics'!$A$7:$A$1000,$C38,'Oxford Economics'!$B$7:$B$1000,Settings!$B$31)))),""))</f>
        <v/>
      </c>
      <c r="F38" s="41" t="str">
        <f aca="false">IF($A38="","",IFERROR(1/(1/IF($B38="Residential",(SUMIFS(INDEX('Oxford Economics'!$A$7:$AZ$1000,0,IFERROR(MATCH(F$5,'Oxford Economics'!$A$6:$AZ$6,0),MATCH(F$5&amp;"",'Oxford Economics'!$A$6:$AZ$6,0))),'Oxford Economics'!$A$7:$A$1000,$C38,'Oxford Economics'!$B$7:$B$1000,Settings!$B$29)-SUMIFS(INDEX('Oxford Economics'!$A$7:$AZ$1000,0,IFERROR(MATCH(F$5,'Oxford Economics'!$A$6:$AZ$6,0),MATCH(F$5&amp;"",'Oxford Economics'!$A$6:$AZ$6,0))),'Oxford Economics'!$A$7:$A$1000,$C38,'Oxford Economics'!$B$7:$B$1000,Settings!$B$30)),(SUMIFS(INDEX('Oxford Economics'!$A$7:$AZ$1000,0,IFERROR(MATCH(F$5,'Oxford Economics'!$A$6:$AZ$6,0),MATCH(F$5&amp;"",'Oxford Economics'!$A$6:$AZ$6,0))),'Oxford Economics'!$A$7:$A$1000,$C38,'Oxford Economics'!$B$7:$B$1000,Settings!$B$30)+SUMIFS(INDEX('Oxford Economics'!$A$7:$AZ$1000,0,IFERROR(MATCH(F$5,'Oxford Economics'!$A$6:$AZ$6,0),MATCH(F$5&amp;"",'Oxford Economics'!$A$6:$AZ$6,0))),'Oxford Economics'!$A$7:$A$1000,$C38,'Oxford Economics'!$B$7:$B$1000,Settings!$B$31)))),""))</f>
        <v/>
      </c>
      <c r="G38" s="41" t="str">
        <f aca="false">IF($A38="","",IFERROR(1/(1/IF($B38="Residential",(SUMIFS(INDEX('Oxford Economics'!$A$7:$AZ$1000,0,IFERROR(MATCH(G$5,'Oxford Economics'!$A$6:$AZ$6,0),MATCH(G$5&amp;"",'Oxford Economics'!$A$6:$AZ$6,0))),'Oxford Economics'!$A$7:$A$1000,$C38,'Oxford Economics'!$B$7:$B$1000,Settings!$B$29)-SUMIFS(INDEX('Oxford Economics'!$A$7:$AZ$1000,0,IFERROR(MATCH(G$5,'Oxford Economics'!$A$6:$AZ$6,0),MATCH(G$5&amp;"",'Oxford Economics'!$A$6:$AZ$6,0))),'Oxford Economics'!$A$7:$A$1000,$C38,'Oxford Economics'!$B$7:$B$1000,Settings!$B$30)),(SUMIFS(INDEX('Oxford Economics'!$A$7:$AZ$1000,0,IFERROR(MATCH(G$5,'Oxford Economics'!$A$6:$AZ$6,0),MATCH(G$5&amp;"",'Oxford Economics'!$A$6:$AZ$6,0))),'Oxford Economics'!$A$7:$A$1000,$C38,'Oxford Economics'!$B$7:$B$1000,Settings!$B$30)+SUMIFS(INDEX('Oxford Economics'!$A$7:$AZ$1000,0,IFERROR(MATCH(G$5,'Oxford Economics'!$A$6:$AZ$6,0),MATCH(G$5&amp;"",'Oxford Economics'!$A$6:$AZ$6,0))),'Oxford Economics'!$A$7:$A$1000,$C38,'Oxford Economics'!$B$7:$B$1000,Settings!$B$31)))),""))</f>
        <v/>
      </c>
      <c r="H38" s="41" t="n">
        <f aca="false">IF($A38="","",IFERROR(1/(1/IF($B38="Residential",(SUMIFS(INDEX('Oxford Economics'!$A$7:$AZ$1000,0,IFERROR(MATCH(H$5,'Oxford Economics'!$A$6:$AZ$6,0),MATCH(H$5&amp;"",'Oxford Economics'!$A$6:$AZ$6,0))),'Oxford Economics'!$A$7:$A$1000,$C38,'Oxford Economics'!$B$7:$B$1000,Settings!$B$29)-SUMIFS(INDEX('Oxford Economics'!$A$7:$AZ$1000,0,IFERROR(MATCH(H$5,'Oxford Economics'!$A$6:$AZ$6,0),MATCH(H$5&amp;"",'Oxford Economics'!$A$6:$AZ$6,0))),'Oxford Economics'!$A$7:$A$1000,$C38,'Oxford Economics'!$B$7:$B$1000,Settings!$B$30)),(SUMIFS(INDEX('Oxford Economics'!$A$7:$AZ$1000,0,IFERROR(MATCH(H$5,'Oxford Economics'!$A$6:$AZ$6,0),MATCH(H$5&amp;"",'Oxford Economics'!$A$6:$AZ$6,0))),'Oxford Economics'!$A$7:$A$1000,$C38,'Oxford Economics'!$B$7:$B$1000,Settings!$B$30)+SUMIFS(INDEX('Oxford Economics'!$A$7:$AZ$1000,0,IFERROR(MATCH(H$5,'Oxford Economics'!$A$6:$AZ$6,0),MATCH(H$5&amp;"",'Oxford Economics'!$A$6:$AZ$6,0))),'Oxford Economics'!$A$7:$A$1000,$C38,'Oxford Economics'!$B$7:$B$1000,Settings!$B$31)))),""))</f>
        <v>3659.01</v>
      </c>
      <c r="I38" s="41" t="n">
        <f aca="false">IF($A38="","",IFERROR(1/(1/IF($B38="Residential",(SUMIFS(INDEX('Oxford Economics'!$A$7:$AZ$1000,0,IFERROR(MATCH(I$5,'Oxford Economics'!$A$6:$AZ$6,0),MATCH(I$5&amp;"",'Oxford Economics'!$A$6:$AZ$6,0))),'Oxford Economics'!$A$7:$A$1000,$C38,'Oxford Economics'!$B$7:$B$1000,Settings!$B$29)-SUMIFS(INDEX('Oxford Economics'!$A$7:$AZ$1000,0,IFERROR(MATCH(I$5,'Oxford Economics'!$A$6:$AZ$6,0),MATCH(I$5&amp;"",'Oxford Economics'!$A$6:$AZ$6,0))),'Oxford Economics'!$A$7:$A$1000,$C38,'Oxford Economics'!$B$7:$B$1000,Settings!$B$30)),(SUMIFS(INDEX('Oxford Economics'!$A$7:$AZ$1000,0,IFERROR(MATCH(I$5,'Oxford Economics'!$A$6:$AZ$6,0),MATCH(I$5&amp;"",'Oxford Economics'!$A$6:$AZ$6,0))),'Oxford Economics'!$A$7:$A$1000,$C38,'Oxford Economics'!$B$7:$B$1000,Settings!$B$30)+SUMIFS(INDEX('Oxford Economics'!$A$7:$AZ$1000,0,IFERROR(MATCH(I$5,'Oxford Economics'!$A$6:$AZ$6,0),MATCH(I$5&amp;"",'Oxford Economics'!$A$6:$AZ$6,0))),'Oxford Economics'!$A$7:$A$1000,$C38,'Oxford Economics'!$B$7:$B$1000,Settings!$B$31)))),""))</f>
        <v>3971.49</v>
      </c>
      <c r="J38" s="41" t="n">
        <f aca="false">IF($A38="","",IFERROR(1/(1/IF($B38="Residential",(SUMIFS(INDEX('Oxford Economics'!$A$7:$AZ$1000,0,IFERROR(MATCH(J$5,'Oxford Economics'!$A$6:$AZ$6,0),MATCH(J$5&amp;"",'Oxford Economics'!$A$6:$AZ$6,0))),'Oxford Economics'!$A$7:$A$1000,$C38,'Oxford Economics'!$B$7:$B$1000,Settings!$B$29)-SUMIFS(INDEX('Oxford Economics'!$A$7:$AZ$1000,0,IFERROR(MATCH(J$5,'Oxford Economics'!$A$6:$AZ$6,0),MATCH(J$5&amp;"",'Oxford Economics'!$A$6:$AZ$6,0))),'Oxford Economics'!$A$7:$A$1000,$C38,'Oxford Economics'!$B$7:$B$1000,Settings!$B$30)),(SUMIFS(INDEX('Oxford Economics'!$A$7:$AZ$1000,0,IFERROR(MATCH(J$5,'Oxford Economics'!$A$6:$AZ$6,0),MATCH(J$5&amp;"",'Oxford Economics'!$A$6:$AZ$6,0))),'Oxford Economics'!$A$7:$A$1000,$C38,'Oxford Economics'!$B$7:$B$1000,Settings!$B$30)+SUMIFS(INDEX('Oxford Economics'!$A$7:$AZ$1000,0,IFERROR(MATCH(J$5,'Oxford Economics'!$A$6:$AZ$6,0),MATCH(J$5&amp;"",'Oxford Economics'!$A$6:$AZ$6,0))),'Oxford Economics'!$A$7:$A$1000,$C38,'Oxford Economics'!$B$7:$B$1000,Settings!$B$31)))),""))</f>
        <v>4139.38</v>
      </c>
      <c r="K38" s="41" t="n">
        <f aca="false">IF($A38="","",IFERROR(1/(1/IF($B38="Residential",(SUMIFS(INDEX('Oxford Economics'!$A$7:$AZ$1000,0,IFERROR(MATCH(K$5,'Oxford Economics'!$A$6:$AZ$6,0),MATCH(K$5&amp;"",'Oxford Economics'!$A$6:$AZ$6,0))),'Oxford Economics'!$A$7:$A$1000,$C38,'Oxford Economics'!$B$7:$B$1000,Settings!$B$29)-SUMIFS(INDEX('Oxford Economics'!$A$7:$AZ$1000,0,IFERROR(MATCH(K$5,'Oxford Economics'!$A$6:$AZ$6,0),MATCH(K$5&amp;"",'Oxford Economics'!$A$6:$AZ$6,0))),'Oxford Economics'!$A$7:$A$1000,$C38,'Oxford Economics'!$B$7:$B$1000,Settings!$B$30)),(SUMIFS(INDEX('Oxford Economics'!$A$7:$AZ$1000,0,IFERROR(MATCH(K$5,'Oxford Economics'!$A$6:$AZ$6,0),MATCH(K$5&amp;"",'Oxford Economics'!$A$6:$AZ$6,0))),'Oxford Economics'!$A$7:$A$1000,$C38,'Oxford Economics'!$B$7:$B$1000,Settings!$B$30)+SUMIFS(INDEX('Oxford Economics'!$A$7:$AZ$1000,0,IFERROR(MATCH(K$5,'Oxford Economics'!$A$6:$AZ$6,0),MATCH(K$5&amp;"",'Oxford Economics'!$A$6:$AZ$6,0))),'Oxford Economics'!$A$7:$A$1000,$C38,'Oxford Economics'!$B$7:$B$1000,Settings!$B$31)))),""))</f>
        <v>4144.61</v>
      </c>
      <c r="L38" s="41" t="n">
        <f aca="false">IF($A38="","",IFERROR(1/(1/IF($B38="Residential",(SUMIFS(INDEX('Oxford Economics'!$A$7:$AZ$1000,0,IFERROR(MATCH(L$5,'Oxford Economics'!$A$6:$AZ$6,0),MATCH(L$5&amp;"",'Oxford Economics'!$A$6:$AZ$6,0))),'Oxford Economics'!$A$7:$A$1000,$C38,'Oxford Economics'!$B$7:$B$1000,Settings!$B$29)-SUMIFS(INDEX('Oxford Economics'!$A$7:$AZ$1000,0,IFERROR(MATCH(L$5,'Oxford Economics'!$A$6:$AZ$6,0),MATCH(L$5&amp;"",'Oxford Economics'!$A$6:$AZ$6,0))),'Oxford Economics'!$A$7:$A$1000,$C38,'Oxford Economics'!$B$7:$B$1000,Settings!$B$30)),(SUMIFS(INDEX('Oxford Economics'!$A$7:$AZ$1000,0,IFERROR(MATCH(L$5,'Oxford Economics'!$A$6:$AZ$6,0),MATCH(L$5&amp;"",'Oxford Economics'!$A$6:$AZ$6,0))),'Oxford Economics'!$A$7:$A$1000,$C38,'Oxford Economics'!$B$7:$B$1000,Settings!$B$30)+SUMIFS(INDEX('Oxford Economics'!$A$7:$AZ$1000,0,IFERROR(MATCH(L$5,'Oxford Economics'!$A$6:$AZ$6,0),MATCH(L$5&amp;"",'Oxford Economics'!$A$6:$AZ$6,0))),'Oxford Economics'!$A$7:$A$1000,$C38,'Oxford Economics'!$B$7:$B$1000,Settings!$B$31)))),""))</f>
        <v>4112.18</v>
      </c>
      <c r="M38" s="41" t="n">
        <f aca="false">IF($A38="","",IFERROR(1/(1/IF($B38="Residential",(SUMIFS(INDEX('Oxford Economics'!$A$7:$AZ$1000,0,IFERROR(MATCH(M$5,'Oxford Economics'!$A$6:$AZ$6,0),MATCH(M$5&amp;"",'Oxford Economics'!$A$6:$AZ$6,0))),'Oxford Economics'!$A$7:$A$1000,$C38,'Oxford Economics'!$B$7:$B$1000,Settings!$B$29)-SUMIFS(INDEX('Oxford Economics'!$A$7:$AZ$1000,0,IFERROR(MATCH(M$5,'Oxford Economics'!$A$6:$AZ$6,0),MATCH(M$5&amp;"",'Oxford Economics'!$A$6:$AZ$6,0))),'Oxford Economics'!$A$7:$A$1000,$C38,'Oxford Economics'!$B$7:$B$1000,Settings!$B$30)),(SUMIFS(INDEX('Oxford Economics'!$A$7:$AZ$1000,0,IFERROR(MATCH(M$5,'Oxford Economics'!$A$6:$AZ$6,0),MATCH(M$5&amp;"",'Oxford Economics'!$A$6:$AZ$6,0))),'Oxford Economics'!$A$7:$A$1000,$C38,'Oxford Economics'!$B$7:$B$1000,Settings!$B$30)+SUMIFS(INDEX('Oxford Economics'!$A$7:$AZ$1000,0,IFERROR(MATCH(M$5,'Oxford Economics'!$A$6:$AZ$6,0),MATCH(M$5&amp;"",'Oxford Economics'!$A$6:$AZ$6,0))),'Oxford Economics'!$A$7:$A$1000,$C38,'Oxford Economics'!$B$7:$B$1000,Settings!$B$31)))),""))</f>
        <v>4107.31</v>
      </c>
      <c r="N38" s="41" t="n">
        <f aca="false">IF($A38="","",IFERROR(1/(1/IF($B38="Residential",(SUMIFS(INDEX('Oxford Economics'!$A$7:$AZ$1000,0,IFERROR(MATCH(N$5,'Oxford Economics'!$A$6:$AZ$6,0),MATCH(N$5&amp;"",'Oxford Economics'!$A$6:$AZ$6,0))),'Oxford Economics'!$A$7:$A$1000,$C38,'Oxford Economics'!$B$7:$B$1000,Settings!$B$29)-SUMIFS(INDEX('Oxford Economics'!$A$7:$AZ$1000,0,IFERROR(MATCH(N$5,'Oxford Economics'!$A$6:$AZ$6,0),MATCH(N$5&amp;"",'Oxford Economics'!$A$6:$AZ$6,0))),'Oxford Economics'!$A$7:$A$1000,$C38,'Oxford Economics'!$B$7:$B$1000,Settings!$B$30)),(SUMIFS(INDEX('Oxford Economics'!$A$7:$AZ$1000,0,IFERROR(MATCH(N$5,'Oxford Economics'!$A$6:$AZ$6,0),MATCH(N$5&amp;"",'Oxford Economics'!$A$6:$AZ$6,0))),'Oxford Economics'!$A$7:$A$1000,$C38,'Oxford Economics'!$B$7:$B$1000,Settings!$B$30)+SUMIFS(INDEX('Oxford Economics'!$A$7:$AZ$1000,0,IFERROR(MATCH(N$5,'Oxford Economics'!$A$6:$AZ$6,0),MATCH(N$5&amp;"",'Oxford Economics'!$A$6:$AZ$6,0))),'Oxford Economics'!$A$7:$A$1000,$C38,'Oxford Economics'!$B$7:$B$1000,Settings!$B$31)))),""))</f>
        <v>4139.33</v>
      </c>
      <c r="O38" s="41" t="n">
        <f aca="false">IF($A38="","",IFERROR(1/(1/IF($B38="Residential",(SUMIFS(INDEX('Oxford Economics'!$A$7:$AZ$1000,0,IFERROR(MATCH(O$5,'Oxford Economics'!$A$6:$AZ$6,0),MATCH(O$5&amp;"",'Oxford Economics'!$A$6:$AZ$6,0))),'Oxford Economics'!$A$7:$A$1000,$C38,'Oxford Economics'!$B$7:$B$1000,Settings!$B$29)-SUMIFS(INDEX('Oxford Economics'!$A$7:$AZ$1000,0,IFERROR(MATCH(O$5,'Oxford Economics'!$A$6:$AZ$6,0),MATCH(O$5&amp;"",'Oxford Economics'!$A$6:$AZ$6,0))),'Oxford Economics'!$A$7:$A$1000,$C38,'Oxford Economics'!$B$7:$B$1000,Settings!$B$30)),(SUMIFS(INDEX('Oxford Economics'!$A$7:$AZ$1000,0,IFERROR(MATCH(O$5,'Oxford Economics'!$A$6:$AZ$6,0),MATCH(O$5&amp;"",'Oxford Economics'!$A$6:$AZ$6,0))),'Oxford Economics'!$A$7:$A$1000,$C38,'Oxford Economics'!$B$7:$B$1000,Settings!$B$30)+SUMIFS(INDEX('Oxford Economics'!$A$7:$AZ$1000,0,IFERROR(MATCH(O$5,'Oxford Economics'!$A$6:$AZ$6,0),MATCH(O$5&amp;"",'Oxford Economics'!$A$6:$AZ$6,0))),'Oxford Economics'!$A$7:$A$1000,$C38,'Oxford Economics'!$B$7:$B$1000,Settings!$B$31)))),""))</f>
        <v>4179.74</v>
      </c>
    </row>
    <row r="39" customFormat="false" ht="15" hidden="false" customHeight="false" outlineLevel="0" collapsed="false">
      <c r="A39" s="40" t="str">
        <f aca="false">IF('Raw data'!$A39="","",'Raw data'!$A39)</f>
        <v>Portugal</v>
      </c>
      <c r="B39" s="40" t="str">
        <f aca="false">IF($A39="","",'Raw data'!$C39)</f>
        <v>Non-residential</v>
      </c>
      <c r="C39" s="40" t="str">
        <f aca="false">IF($A39="","",IF('Raw data'!$D39="",$A39,'Raw data'!$D39))</f>
        <v>Portugal</v>
      </c>
      <c r="D39" s="41" t="str">
        <f aca="false">IF($A39="","",IFERROR(1/(1/IF($B39="Residential",(SUMIFS(INDEX('Oxford Economics'!$A$7:$AZ$1000,0,IFERROR(MATCH(D$5,'Oxford Economics'!$A$6:$AZ$6,0),MATCH(D$5&amp;"",'Oxford Economics'!$A$6:$AZ$6,0))),'Oxford Economics'!$A$7:$A$1000,$C39,'Oxford Economics'!$B$7:$B$1000,Settings!$B$29)-SUMIFS(INDEX('Oxford Economics'!$A$7:$AZ$1000,0,IFERROR(MATCH(D$5,'Oxford Economics'!$A$6:$AZ$6,0),MATCH(D$5&amp;"",'Oxford Economics'!$A$6:$AZ$6,0))),'Oxford Economics'!$A$7:$A$1000,$C39,'Oxford Economics'!$B$7:$B$1000,Settings!$B$30)),(SUMIFS(INDEX('Oxford Economics'!$A$7:$AZ$1000,0,IFERROR(MATCH(D$5,'Oxford Economics'!$A$6:$AZ$6,0),MATCH(D$5&amp;"",'Oxford Economics'!$A$6:$AZ$6,0))),'Oxford Economics'!$A$7:$A$1000,$C39,'Oxford Economics'!$B$7:$B$1000,Settings!$B$30)+SUMIFS(INDEX('Oxford Economics'!$A$7:$AZ$1000,0,IFERROR(MATCH(D$5,'Oxford Economics'!$A$6:$AZ$6,0),MATCH(D$5&amp;"",'Oxford Economics'!$A$6:$AZ$6,0))),'Oxford Economics'!$A$7:$A$1000,$C39,'Oxford Economics'!$B$7:$B$1000,Settings!$B$31)))),""))</f>
        <v/>
      </c>
      <c r="E39" s="41" t="str">
        <f aca="false">IF($A39="","",IFERROR(1/(1/IF($B39="Residential",(SUMIFS(INDEX('Oxford Economics'!$A$7:$AZ$1000,0,IFERROR(MATCH(E$5,'Oxford Economics'!$A$6:$AZ$6,0),MATCH(E$5&amp;"",'Oxford Economics'!$A$6:$AZ$6,0))),'Oxford Economics'!$A$7:$A$1000,$C39,'Oxford Economics'!$B$7:$B$1000,Settings!$B$29)-SUMIFS(INDEX('Oxford Economics'!$A$7:$AZ$1000,0,IFERROR(MATCH(E$5,'Oxford Economics'!$A$6:$AZ$6,0),MATCH(E$5&amp;"",'Oxford Economics'!$A$6:$AZ$6,0))),'Oxford Economics'!$A$7:$A$1000,$C39,'Oxford Economics'!$B$7:$B$1000,Settings!$B$30)),(SUMIFS(INDEX('Oxford Economics'!$A$7:$AZ$1000,0,IFERROR(MATCH(E$5,'Oxford Economics'!$A$6:$AZ$6,0),MATCH(E$5&amp;"",'Oxford Economics'!$A$6:$AZ$6,0))),'Oxford Economics'!$A$7:$A$1000,$C39,'Oxford Economics'!$B$7:$B$1000,Settings!$B$30)+SUMIFS(INDEX('Oxford Economics'!$A$7:$AZ$1000,0,IFERROR(MATCH(E$5,'Oxford Economics'!$A$6:$AZ$6,0),MATCH(E$5&amp;"",'Oxford Economics'!$A$6:$AZ$6,0))),'Oxford Economics'!$A$7:$A$1000,$C39,'Oxford Economics'!$B$7:$B$1000,Settings!$B$31)))),""))</f>
        <v/>
      </c>
      <c r="F39" s="41" t="str">
        <f aca="false">IF($A39="","",IFERROR(1/(1/IF($B39="Residential",(SUMIFS(INDEX('Oxford Economics'!$A$7:$AZ$1000,0,IFERROR(MATCH(F$5,'Oxford Economics'!$A$6:$AZ$6,0),MATCH(F$5&amp;"",'Oxford Economics'!$A$6:$AZ$6,0))),'Oxford Economics'!$A$7:$A$1000,$C39,'Oxford Economics'!$B$7:$B$1000,Settings!$B$29)-SUMIFS(INDEX('Oxford Economics'!$A$7:$AZ$1000,0,IFERROR(MATCH(F$5,'Oxford Economics'!$A$6:$AZ$6,0),MATCH(F$5&amp;"",'Oxford Economics'!$A$6:$AZ$6,0))),'Oxford Economics'!$A$7:$A$1000,$C39,'Oxford Economics'!$B$7:$B$1000,Settings!$B$30)),(SUMIFS(INDEX('Oxford Economics'!$A$7:$AZ$1000,0,IFERROR(MATCH(F$5,'Oxford Economics'!$A$6:$AZ$6,0),MATCH(F$5&amp;"",'Oxford Economics'!$A$6:$AZ$6,0))),'Oxford Economics'!$A$7:$A$1000,$C39,'Oxford Economics'!$B$7:$B$1000,Settings!$B$30)+SUMIFS(INDEX('Oxford Economics'!$A$7:$AZ$1000,0,IFERROR(MATCH(F$5,'Oxford Economics'!$A$6:$AZ$6,0),MATCH(F$5&amp;"",'Oxford Economics'!$A$6:$AZ$6,0))),'Oxford Economics'!$A$7:$A$1000,$C39,'Oxford Economics'!$B$7:$B$1000,Settings!$B$31)))),""))</f>
        <v/>
      </c>
      <c r="G39" s="41" t="str">
        <f aca="false">IF($A39="","",IFERROR(1/(1/IF($B39="Residential",(SUMIFS(INDEX('Oxford Economics'!$A$7:$AZ$1000,0,IFERROR(MATCH(G$5,'Oxford Economics'!$A$6:$AZ$6,0),MATCH(G$5&amp;"",'Oxford Economics'!$A$6:$AZ$6,0))),'Oxford Economics'!$A$7:$A$1000,$C39,'Oxford Economics'!$B$7:$B$1000,Settings!$B$29)-SUMIFS(INDEX('Oxford Economics'!$A$7:$AZ$1000,0,IFERROR(MATCH(G$5,'Oxford Economics'!$A$6:$AZ$6,0),MATCH(G$5&amp;"",'Oxford Economics'!$A$6:$AZ$6,0))),'Oxford Economics'!$A$7:$A$1000,$C39,'Oxford Economics'!$B$7:$B$1000,Settings!$B$30)),(SUMIFS(INDEX('Oxford Economics'!$A$7:$AZ$1000,0,IFERROR(MATCH(G$5,'Oxford Economics'!$A$6:$AZ$6,0),MATCH(G$5&amp;"",'Oxford Economics'!$A$6:$AZ$6,0))),'Oxford Economics'!$A$7:$A$1000,$C39,'Oxford Economics'!$B$7:$B$1000,Settings!$B$30)+SUMIFS(INDEX('Oxford Economics'!$A$7:$AZ$1000,0,IFERROR(MATCH(G$5,'Oxford Economics'!$A$6:$AZ$6,0),MATCH(G$5&amp;"",'Oxford Economics'!$A$6:$AZ$6,0))),'Oxford Economics'!$A$7:$A$1000,$C39,'Oxford Economics'!$B$7:$B$1000,Settings!$B$31)))),""))</f>
        <v/>
      </c>
      <c r="H39" s="41" t="n">
        <f aca="false">IF($A39="","",IFERROR(1/(1/IF($B39="Residential",(SUMIFS(INDEX('Oxford Economics'!$A$7:$AZ$1000,0,IFERROR(MATCH(H$5,'Oxford Economics'!$A$6:$AZ$6,0),MATCH(H$5&amp;"",'Oxford Economics'!$A$6:$AZ$6,0))),'Oxford Economics'!$A$7:$A$1000,$C39,'Oxford Economics'!$B$7:$B$1000,Settings!$B$29)-SUMIFS(INDEX('Oxford Economics'!$A$7:$AZ$1000,0,IFERROR(MATCH(H$5,'Oxford Economics'!$A$6:$AZ$6,0),MATCH(H$5&amp;"",'Oxford Economics'!$A$6:$AZ$6,0))),'Oxford Economics'!$A$7:$A$1000,$C39,'Oxford Economics'!$B$7:$B$1000,Settings!$B$30)),(SUMIFS(INDEX('Oxford Economics'!$A$7:$AZ$1000,0,IFERROR(MATCH(H$5,'Oxford Economics'!$A$6:$AZ$6,0),MATCH(H$5&amp;"",'Oxford Economics'!$A$6:$AZ$6,0))),'Oxford Economics'!$A$7:$A$1000,$C39,'Oxford Economics'!$B$7:$B$1000,Settings!$B$30)+SUMIFS(INDEX('Oxford Economics'!$A$7:$AZ$1000,0,IFERROR(MATCH(H$5,'Oxford Economics'!$A$6:$AZ$6,0),MATCH(H$5&amp;"",'Oxford Economics'!$A$6:$AZ$6,0))),'Oxford Economics'!$A$7:$A$1000,$C39,'Oxford Economics'!$B$7:$B$1000,Settings!$B$31)))),""))</f>
        <v>7919</v>
      </c>
      <c r="I39" s="41" t="n">
        <f aca="false">IF($A39="","",IFERROR(1/(1/IF($B39="Residential",(SUMIFS(INDEX('Oxford Economics'!$A$7:$AZ$1000,0,IFERROR(MATCH(I$5,'Oxford Economics'!$A$6:$AZ$6,0),MATCH(I$5&amp;"",'Oxford Economics'!$A$6:$AZ$6,0))),'Oxford Economics'!$A$7:$A$1000,$C39,'Oxford Economics'!$B$7:$B$1000,Settings!$B$29)-SUMIFS(INDEX('Oxford Economics'!$A$7:$AZ$1000,0,IFERROR(MATCH(I$5,'Oxford Economics'!$A$6:$AZ$6,0),MATCH(I$5&amp;"",'Oxford Economics'!$A$6:$AZ$6,0))),'Oxford Economics'!$A$7:$A$1000,$C39,'Oxford Economics'!$B$7:$B$1000,Settings!$B$30)),(SUMIFS(INDEX('Oxford Economics'!$A$7:$AZ$1000,0,IFERROR(MATCH(I$5,'Oxford Economics'!$A$6:$AZ$6,0),MATCH(I$5&amp;"",'Oxford Economics'!$A$6:$AZ$6,0))),'Oxford Economics'!$A$7:$A$1000,$C39,'Oxford Economics'!$B$7:$B$1000,Settings!$B$30)+SUMIFS(INDEX('Oxford Economics'!$A$7:$AZ$1000,0,IFERROR(MATCH(I$5,'Oxford Economics'!$A$6:$AZ$6,0),MATCH(I$5&amp;"",'Oxford Economics'!$A$6:$AZ$6,0))),'Oxford Economics'!$A$7:$A$1000,$C39,'Oxford Economics'!$B$7:$B$1000,Settings!$B$31)))),""))</f>
        <v>8433.79</v>
      </c>
      <c r="J39" s="41" t="n">
        <f aca="false">IF($A39="","",IFERROR(1/(1/IF($B39="Residential",(SUMIFS(INDEX('Oxford Economics'!$A$7:$AZ$1000,0,IFERROR(MATCH(J$5,'Oxford Economics'!$A$6:$AZ$6,0),MATCH(J$5&amp;"",'Oxford Economics'!$A$6:$AZ$6,0))),'Oxford Economics'!$A$7:$A$1000,$C39,'Oxford Economics'!$B$7:$B$1000,Settings!$B$29)-SUMIFS(INDEX('Oxford Economics'!$A$7:$AZ$1000,0,IFERROR(MATCH(J$5,'Oxford Economics'!$A$6:$AZ$6,0),MATCH(J$5&amp;"",'Oxford Economics'!$A$6:$AZ$6,0))),'Oxford Economics'!$A$7:$A$1000,$C39,'Oxford Economics'!$B$7:$B$1000,Settings!$B$30)),(SUMIFS(INDEX('Oxford Economics'!$A$7:$AZ$1000,0,IFERROR(MATCH(J$5,'Oxford Economics'!$A$6:$AZ$6,0),MATCH(J$5&amp;"",'Oxford Economics'!$A$6:$AZ$6,0))),'Oxford Economics'!$A$7:$A$1000,$C39,'Oxford Economics'!$B$7:$B$1000,Settings!$B$30)+SUMIFS(INDEX('Oxford Economics'!$A$7:$AZ$1000,0,IFERROR(MATCH(J$5,'Oxford Economics'!$A$6:$AZ$6,0),MATCH(J$5&amp;"",'Oxford Economics'!$A$6:$AZ$6,0))),'Oxford Economics'!$A$7:$A$1000,$C39,'Oxford Economics'!$B$7:$B$1000,Settings!$B$31)))),""))</f>
        <v>9146.9</v>
      </c>
      <c r="K39" s="41" t="n">
        <f aca="false">IF($A39="","",IFERROR(1/(1/IF($B39="Residential",(SUMIFS(INDEX('Oxford Economics'!$A$7:$AZ$1000,0,IFERROR(MATCH(K$5,'Oxford Economics'!$A$6:$AZ$6,0),MATCH(K$5&amp;"",'Oxford Economics'!$A$6:$AZ$6,0))),'Oxford Economics'!$A$7:$A$1000,$C39,'Oxford Economics'!$B$7:$B$1000,Settings!$B$29)-SUMIFS(INDEX('Oxford Economics'!$A$7:$AZ$1000,0,IFERROR(MATCH(K$5,'Oxford Economics'!$A$6:$AZ$6,0),MATCH(K$5&amp;"",'Oxford Economics'!$A$6:$AZ$6,0))),'Oxford Economics'!$A$7:$A$1000,$C39,'Oxford Economics'!$B$7:$B$1000,Settings!$B$30)),(SUMIFS(INDEX('Oxford Economics'!$A$7:$AZ$1000,0,IFERROR(MATCH(K$5,'Oxford Economics'!$A$6:$AZ$6,0),MATCH(K$5&amp;"",'Oxford Economics'!$A$6:$AZ$6,0))),'Oxford Economics'!$A$7:$A$1000,$C39,'Oxford Economics'!$B$7:$B$1000,Settings!$B$30)+SUMIFS(INDEX('Oxford Economics'!$A$7:$AZ$1000,0,IFERROR(MATCH(K$5,'Oxford Economics'!$A$6:$AZ$6,0),MATCH(K$5&amp;"",'Oxford Economics'!$A$6:$AZ$6,0))),'Oxford Economics'!$A$7:$A$1000,$C39,'Oxford Economics'!$B$7:$B$1000,Settings!$B$31)))),""))</f>
        <v>9585.74</v>
      </c>
      <c r="L39" s="41" t="n">
        <f aca="false">IF($A39="","",IFERROR(1/(1/IF($B39="Residential",(SUMIFS(INDEX('Oxford Economics'!$A$7:$AZ$1000,0,IFERROR(MATCH(L$5,'Oxford Economics'!$A$6:$AZ$6,0),MATCH(L$5&amp;"",'Oxford Economics'!$A$6:$AZ$6,0))),'Oxford Economics'!$A$7:$A$1000,$C39,'Oxford Economics'!$B$7:$B$1000,Settings!$B$29)-SUMIFS(INDEX('Oxford Economics'!$A$7:$AZ$1000,0,IFERROR(MATCH(L$5,'Oxford Economics'!$A$6:$AZ$6,0),MATCH(L$5&amp;"",'Oxford Economics'!$A$6:$AZ$6,0))),'Oxford Economics'!$A$7:$A$1000,$C39,'Oxford Economics'!$B$7:$B$1000,Settings!$B$30)),(SUMIFS(INDEX('Oxford Economics'!$A$7:$AZ$1000,0,IFERROR(MATCH(L$5,'Oxford Economics'!$A$6:$AZ$6,0),MATCH(L$5&amp;"",'Oxford Economics'!$A$6:$AZ$6,0))),'Oxford Economics'!$A$7:$A$1000,$C39,'Oxford Economics'!$B$7:$B$1000,Settings!$B$30)+SUMIFS(INDEX('Oxford Economics'!$A$7:$AZ$1000,0,IFERROR(MATCH(L$5,'Oxford Economics'!$A$6:$AZ$6,0),MATCH(L$5&amp;"",'Oxford Economics'!$A$6:$AZ$6,0))),'Oxford Economics'!$A$7:$A$1000,$C39,'Oxford Economics'!$B$7:$B$1000,Settings!$B$31)))),""))</f>
        <v>9824.26</v>
      </c>
      <c r="M39" s="41" t="n">
        <f aca="false">IF($A39="","",IFERROR(1/(1/IF($B39="Residential",(SUMIFS(INDEX('Oxford Economics'!$A$7:$AZ$1000,0,IFERROR(MATCH(M$5,'Oxford Economics'!$A$6:$AZ$6,0),MATCH(M$5&amp;"",'Oxford Economics'!$A$6:$AZ$6,0))),'Oxford Economics'!$A$7:$A$1000,$C39,'Oxford Economics'!$B$7:$B$1000,Settings!$B$29)-SUMIFS(INDEX('Oxford Economics'!$A$7:$AZ$1000,0,IFERROR(MATCH(M$5,'Oxford Economics'!$A$6:$AZ$6,0),MATCH(M$5&amp;"",'Oxford Economics'!$A$6:$AZ$6,0))),'Oxford Economics'!$A$7:$A$1000,$C39,'Oxford Economics'!$B$7:$B$1000,Settings!$B$30)),(SUMIFS(INDEX('Oxford Economics'!$A$7:$AZ$1000,0,IFERROR(MATCH(M$5,'Oxford Economics'!$A$6:$AZ$6,0),MATCH(M$5&amp;"",'Oxford Economics'!$A$6:$AZ$6,0))),'Oxford Economics'!$A$7:$A$1000,$C39,'Oxford Economics'!$B$7:$B$1000,Settings!$B$30)+SUMIFS(INDEX('Oxford Economics'!$A$7:$AZ$1000,0,IFERROR(MATCH(M$5,'Oxford Economics'!$A$6:$AZ$6,0),MATCH(M$5&amp;"",'Oxford Economics'!$A$6:$AZ$6,0))),'Oxford Economics'!$A$7:$A$1000,$C39,'Oxford Economics'!$B$7:$B$1000,Settings!$B$31)))),""))</f>
        <v>10014.62</v>
      </c>
      <c r="N39" s="41" t="n">
        <f aca="false">IF($A39="","",IFERROR(1/(1/IF($B39="Residential",(SUMIFS(INDEX('Oxford Economics'!$A$7:$AZ$1000,0,IFERROR(MATCH(N$5,'Oxford Economics'!$A$6:$AZ$6,0),MATCH(N$5&amp;"",'Oxford Economics'!$A$6:$AZ$6,0))),'Oxford Economics'!$A$7:$A$1000,$C39,'Oxford Economics'!$B$7:$B$1000,Settings!$B$29)-SUMIFS(INDEX('Oxford Economics'!$A$7:$AZ$1000,0,IFERROR(MATCH(N$5,'Oxford Economics'!$A$6:$AZ$6,0),MATCH(N$5&amp;"",'Oxford Economics'!$A$6:$AZ$6,0))),'Oxford Economics'!$A$7:$A$1000,$C39,'Oxford Economics'!$B$7:$B$1000,Settings!$B$30)),(SUMIFS(INDEX('Oxford Economics'!$A$7:$AZ$1000,0,IFERROR(MATCH(N$5,'Oxford Economics'!$A$6:$AZ$6,0),MATCH(N$5&amp;"",'Oxford Economics'!$A$6:$AZ$6,0))),'Oxford Economics'!$A$7:$A$1000,$C39,'Oxford Economics'!$B$7:$B$1000,Settings!$B$30)+SUMIFS(INDEX('Oxford Economics'!$A$7:$AZ$1000,0,IFERROR(MATCH(N$5,'Oxford Economics'!$A$6:$AZ$6,0),MATCH(N$5&amp;"",'Oxford Economics'!$A$6:$AZ$6,0))),'Oxford Economics'!$A$7:$A$1000,$C39,'Oxford Economics'!$B$7:$B$1000,Settings!$B$31)))),""))</f>
        <v>10248.44</v>
      </c>
      <c r="O39" s="41" t="n">
        <f aca="false">IF($A39="","",IFERROR(1/(1/IF($B39="Residential",(SUMIFS(INDEX('Oxford Economics'!$A$7:$AZ$1000,0,IFERROR(MATCH(O$5,'Oxford Economics'!$A$6:$AZ$6,0),MATCH(O$5&amp;"",'Oxford Economics'!$A$6:$AZ$6,0))),'Oxford Economics'!$A$7:$A$1000,$C39,'Oxford Economics'!$B$7:$B$1000,Settings!$B$29)-SUMIFS(INDEX('Oxford Economics'!$A$7:$AZ$1000,0,IFERROR(MATCH(O$5,'Oxford Economics'!$A$6:$AZ$6,0),MATCH(O$5&amp;"",'Oxford Economics'!$A$6:$AZ$6,0))),'Oxford Economics'!$A$7:$A$1000,$C39,'Oxford Economics'!$B$7:$B$1000,Settings!$B$30)),(SUMIFS(INDEX('Oxford Economics'!$A$7:$AZ$1000,0,IFERROR(MATCH(O$5,'Oxford Economics'!$A$6:$AZ$6,0),MATCH(O$5&amp;"",'Oxford Economics'!$A$6:$AZ$6,0))),'Oxford Economics'!$A$7:$A$1000,$C39,'Oxford Economics'!$B$7:$B$1000,Settings!$B$30)+SUMIFS(INDEX('Oxford Economics'!$A$7:$AZ$1000,0,IFERROR(MATCH(O$5,'Oxford Economics'!$A$6:$AZ$6,0),MATCH(O$5&amp;"",'Oxford Economics'!$A$6:$AZ$6,0))),'Oxford Economics'!$A$7:$A$1000,$C39,'Oxford Economics'!$B$7:$B$1000,Settings!$B$31)))),""))</f>
        <v>10477.1</v>
      </c>
    </row>
    <row r="40" customFormat="false" ht="15" hidden="false" customHeight="false" outlineLevel="0" collapsed="false">
      <c r="A40" s="40" t="str">
        <f aca="false">IF('Raw data'!$A40="","",'Raw data'!$A40)</f>
        <v/>
      </c>
      <c r="B40" s="40" t="str">
        <f aca="false">IF($A40="","",'Raw data'!$C40)</f>
        <v/>
      </c>
      <c r="C40" s="40" t="str">
        <f aca="false">IF($A40="","",IF('Raw data'!$D40="",$A40,'Raw data'!$D40))</f>
        <v/>
      </c>
      <c r="D40" s="41" t="str">
        <f aca="false">IF($A40="","",IFERROR(1/(1/IF($B40="Residential",(SUMIFS(INDEX('Oxford Economics'!$A$7:$AZ$1000,0,IFERROR(MATCH(D$5,'Oxford Economics'!$A$6:$AZ$6,0),MATCH(D$5&amp;"",'Oxford Economics'!$A$6:$AZ$6,0))),'Oxford Economics'!$A$7:$A$1000,$C40,'Oxford Economics'!$B$7:$B$1000,Settings!$B$29)-SUMIFS(INDEX('Oxford Economics'!$A$7:$AZ$1000,0,IFERROR(MATCH(D$5,'Oxford Economics'!$A$6:$AZ$6,0),MATCH(D$5&amp;"",'Oxford Economics'!$A$6:$AZ$6,0))),'Oxford Economics'!$A$7:$A$1000,$C40,'Oxford Economics'!$B$7:$B$1000,Settings!$B$30)),(SUMIFS(INDEX('Oxford Economics'!$A$7:$AZ$1000,0,IFERROR(MATCH(D$5,'Oxford Economics'!$A$6:$AZ$6,0),MATCH(D$5&amp;"",'Oxford Economics'!$A$6:$AZ$6,0))),'Oxford Economics'!$A$7:$A$1000,$C40,'Oxford Economics'!$B$7:$B$1000,Settings!$B$30)+SUMIFS(INDEX('Oxford Economics'!$A$7:$AZ$1000,0,IFERROR(MATCH(D$5,'Oxford Economics'!$A$6:$AZ$6,0),MATCH(D$5&amp;"",'Oxford Economics'!$A$6:$AZ$6,0))),'Oxford Economics'!$A$7:$A$1000,$C40,'Oxford Economics'!$B$7:$B$1000,Settings!$B$31)))),""))</f>
        <v/>
      </c>
      <c r="E40" s="41" t="str">
        <f aca="false">IF($A40="","",IFERROR(1/(1/IF($B40="Residential",(SUMIFS(INDEX('Oxford Economics'!$A$7:$AZ$1000,0,IFERROR(MATCH(E$5,'Oxford Economics'!$A$6:$AZ$6,0),MATCH(E$5&amp;"",'Oxford Economics'!$A$6:$AZ$6,0))),'Oxford Economics'!$A$7:$A$1000,$C40,'Oxford Economics'!$B$7:$B$1000,Settings!$B$29)-SUMIFS(INDEX('Oxford Economics'!$A$7:$AZ$1000,0,IFERROR(MATCH(E$5,'Oxford Economics'!$A$6:$AZ$6,0),MATCH(E$5&amp;"",'Oxford Economics'!$A$6:$AZ$6,0))),'Oxford Economics'!$A$7:$A$1000,$C40,'Oxford Economics'!$B$7:$B$1000,Settings!$B$30)),(SUMIFS(INDEX('Oxford Economics'!$A$7:$AZ$1000,0,IFERROR(MATCH(E$5,'Oxford Economics'!$A$6:$AZ$6,0),MATCH(E$5&amp;"",'Oxford Economics'!$A$6:$AZ$6,0))),'Oxford Economics'!$A$7:$A$1000,$C40,'Oxford Economics'!$B$7:$B$1000,Settings!$B$30)+SUMIFS(INDEX('Oxford Economics'!$A$7:$AZ$1000,0,IFERROR(MATCH(E$5,'Oxford Economics'!$A$6:$AZ$6,0),MATCH(E$5&amp;"",'Oxford Economics'!$A$6:$AZ$6,0))),'Oxford Economics'!$A$7:$A$1000,$C40,'Oxford Economics'!$B$7:$B$1000,Settings!$B$31)))),""))</f>
        <v/>
      </c>
      <c r="F40" s="41" t="str">
        <f aca="false">IF($A40="","",IFERROR(1/(1/IF($B40="Residential",(SUMIFS(INDEX('Oxford Economics'!$A$7:$AZ$1000,0,IFERROR(MATCH(F$5,'Oxford Economics'!$A$6:$AZ$6,0),MATCH(F$5&amp;"",'Oxford Economics'!$A$6:$AZ$6,0))),'Oxford Economics'!$A$7:$A$1000,$C40,'Oxford Economics'!$B$7:$B$1000,Settings!$B$29)-SUMIFS(INDEX('Oxford Economics'!$A$7:$AZ$1000,0,IFERROR(MATCH(F$5,'Oxford Economics'!$A$6:$AZ$6,0),MATCH(F$5&amp;"",'Oxford Economics'!$A$6:$AZ$6,0))),'Oxford Economics'!$A$7:$A$1000,$C40,'Oxford Economics'!$B$7:$B$1000,Settings!$B$30)),(SUMIFS(INDEX('Oxford Economics'!$A$7:$AZ$1000,0,IFERROR(MATCH(F$5,'Oxford Economics'!$A$6:$AZ$6,0),MATCH(F$5&amp;"",'Oxford Economics'!$A$6:$AZ$6,0))),'Oxford Economics'!$A$7:$A$1000,$C40,'Oxford Economics'!$B$7:$B$1000,Settings!$B$30)+SUMIFS(INDEX('Oxford Economics'!$A$7:$AZ$1000,0,IFERROR(MATCH(F$5,'Oxford Economics'!$A$6:$AZ$6,0),MATCH(F$5&amp;"",'Oxford Economics'!$A$6:$AZ$6,0))),'Oxford Economics'!$A$7:$A$1000,$C40,'Oxford Economics'!$B$7:$B$1000,Settings!$B$31)))),""))</f>
        <v/>
      </c>
      <c r="G40" s="41" t="str">
        <f aca="false">IF($A40="","",IFERROR(1/(1/IF($B40="Residential",(SUMIFS(INDEX('Oxford Economics'!$A$7:$AZ$1000,0,IFERROR(MATCH(G$5,'Oxford Economics'!$A$6:$AZ$6,0),MATCH(G$5&amp;"",'Oxford Economics'!$A$6:$AZ$6,0))),'Oxford Economics'!$A$7:$A$1000,$C40,'Oxford Economics'!$B$7:$B$1000,Settings!$B$29)-SUMIFS(INDEX('Oxford Economics'!$A$7:$AZ$1000,0,IFERROR(MATCH(G$5,'Oxford Economics'!$A$6:$AZ$6,0),MATCH(G$5&amp;"",'Oxford Economics'!$A$6:$AZ$6,0))),'Oxford Economics'!$A$7:$A$1000,$C40,'Oxford Economics'!$B$7:$B$1000,Settings!$B$30)),(SUMIFS(INDEX('Oxford Economics'!$A$7:$AZ$1000,0,IFERROR(MATCH(G$5,'Oxford Economics'!$A$6:$AZ$6,0),MATCH(G$5&amp;"",'Oxford Economics'!$A$6:$AZ$6,0))),'Oxford Economics'!$A$7:$A$1000,$C40,'Oxford Economics'!$B$7:$B$1000,Settings!$B$30)+SUMIFS(INDEX('Oxford Economics'!$A$7:$AZ$1000,0,IFERROR(MATCH(G$5,'Oxford Economics'!$A$6:$AZ$6,0),MATCH(G$5&amp;"",'Oxford Economics'!$A$6:$AZ$6,0))),'Oxford Economics'!$A$7:$A$1000,$C40,'Oxford Economics'!$B$7:$B$1000,Settings!$B$31)))),""))</f>
        <v/>
      </c>
      <c r="H40" s="41" t="str">
        <f aca="false">IF($A40="","",IFERROR(1/(1/IF($B40="Residential",(SUMIFS(INDEX('Oxford Economics'!$A$7:$AZ$1000,0,IFERROR(MATCH(H$5,'Oxford Economics'!$A$6:$AZ$6,0),MATCH(H$5&amp;"",'Oxford Economics'!$A$6:$AZ$6,0))),'Oxford Economics'!$A$7:$A$1000,$C40,'Oxford Economics'!$B$7:$B$1000,Settings!$B$29)-SUMIFS(INDEX('Oxford Economics'!$A$7:$AZ$1000,0,IFERROR(MATCH(H$5,'Oxford Economics'!$A$6:$AZ$6,0),MATCH(H$5&amp;"",'Oxford Economics'!$A$6:$AZ$6,0))),'Oxford Economics'!$A$7:$A$1000,$C40,'Oxford Economics'!$B$7:$B$1000,Settings!$B$30)),(SUMIFS(INDEX('Oxford Economics'!$A$7:$AZ$1000,0,IFERROR(MATCH(H$5,'Oxford Economics'!$A$6:$AZ$6,0),MATCH(H$5&amp;"",'Oxford Economics'!$A$6:$AZ$6,0))),'Oxford Economics'!$A$7:$A$1000,$C40,'Oxford Economics'!$B$7:$B$1000,Settings!$B$30)+SUMIFS(INDEX('Oxford Economics'!$A$7:$AZ$1000,0,IFERROR(MATCH(H$5,'Oxford Economics'!$A$6:$AZ$6,0),MATCH(H$5&amp;"",'Oxford Economics'!$A$6:$AZ$6,0))),'Oxford Economics'!$A$7:$A$1000,$C40,'Oxford Economics'!$B$7:$B$1000,Settings!$B$31)))),""))</f>
        <v/>
      </c>
      <c r="I40" s="41" t="str">
        <f aca="false">IF($A40="","",IFERROR(1/(1/IF($B40="Residential",(SUMIFS(INDEX('Oxford Economics'!$A$7:$AZ$1000,0,IFERROR(MATCH(I$5,'Oxford Economics'!$A$6:$AZ$6,0),MATCH(I$5&amp;"",'Oxford Economics'!$A$6:$AZ$6,0))),'Oxford Economics'!$A$7:$A$1000,$C40,'Oxford Economics'!$B$7:$B$1000,Settings!$B$29)-SUMIFS(INDEX('Oxford Economics'!$A$7:$AZ$1000,0,IFERROR(MATCH(I$5,'Oxford Economics'!$A$6:$AZ$6,0),MATCH(I$5&amp;"",'Oxford Economics'!$A$6:$AZ$6,0))),'Oxford Economics'!$A$7:$A$1000,$C40,'Oxford Economics'!$B$7:$B$1000,Settings!$B$30)),(SUMIFS(INDEX('Oxford Economics'!$A$7:$AZ$1000,0,IFERROR(MATCH(I$5,'Oxford Economics'!$A$6:$AZ$6,0),MATCH(I$5&amp;"",'Oxford Economics'!$A$6:$AZ$6,0))),'Oxford Economics'!$A$7:$A$1000,$C40,'Oxford Economics'!$B$7:$B$1000,Settings!$B$30)+SUMIFS(INDEX('Oxford Economics'!$A$7:$AZ$1000,0,IFERROR(MATCH(I$5,'Oxford Economics'!$A$6:$AZ$6,0),MATCH(I$5&amp;"",'Oxford Economics'!$A$6:$AZ$6,0))),'Oxford Economics'!$A$7:$A$1000,$C40,'Oxford Economics'!$B$7:$B$1000,Settings!$B$31)))),""))</f>
        <v/>
      </c>
      <c r="J40" s="41" t="str">
        <f aca="false">IF($A40="","",IFERROR(1/(1/IF($B40="Residential",(SUMIFS(INDEX('Oxford Economics'!$A$7:$AZ$1000,0,IFERROR(MATCH(J$5,'Oxford Economics'!$A$6:$AZ$6,0),MATCH(J$5&amp;"",'Oxford Economics'!$A$6:$AZ$6,0))),'Oxford Economics'!$A$7:$A$1000,$C40,'Oxford Economics'!$B$7:$B$1000,Settings!$B$29)-SUMIFS(INDEX('Oxford Economics'!$A$7:$AZ$1000,0,IFERROR(MATCH(J$5,'Oxford Economics'!$A$6:$AZ$6,0),MATCH(J$5&amp;"",'Oxford Economics'!$A$6:$AZ$6,0))),'Oxford Economics'!$A$7:$A$1000,$C40,'Oxford Economics'!$B$7:$B$1000,Settings!$B$30)),(SUMIFS(INDEX('Oxford Economics'!$A$7:$AZ$1000,0,IFERROR(MATCH(J$5,'Oxford Economics'!$A$6:$AZ$6,0),MATCH(J$5&amp;"",'Oxford Economics'!$A$6:$AZ$6,0))),'Oxford Economics'!$A$7:$A$1000,$C40,'Oxford Economics'!$B$7:$B$1000,Settings!$B$30)+SUMIFS(INDEX('Oxford Economics'!$A$7:$AZ$1000,0,IFERROR(MATCH(J$5,'Oxford Economics'!$A$6:$AZ$6,0),MATCH(J$5&amp;"",'Oxford Economics'!$A$6:$AZ$6,0))),'Oxford Economics'!$A$7:$A$1000,$C40,'Oxford Economics'!$B$7:$B$1000,Settings!$B$31)))),""))</f>
        <v/>
      </c>
      <c r="K40" s="41" t="str">
        <f aca="false">IF($A40="","",IFERROR(1/(1/IF($B40="Residential",(SUMIFS(INDEX('Oxford Economics'!$A$7:$AZ$1000,0,IFERROR(MATCH(K$5,'Oxford Economics'!$A$6:$AZ$6,0),MATCH(K$5&amp;"",'Oxford Economics'!$A$6:$AZ$6,0))),'Oxford Economics'!$A$7:$A$1000,$C40,'Oxford Economics'!$B$7:$B$1000,Settings!$B$29)-SUMIFS(INDEX('Oxford Economics'!$A$7:$AZ$1000,0,IFERROR(MATCH(K$5,'Oxford Economics'!$A$6:$AZ$6,0),MATCH(K$5&amp;"",'Oxford Economics'!$A$6:$AZ$6,0))),'Oxford Economics'!$A$7:$A$1000,$C40,'Oxford Economics'!$B$7:$B$1000,Settings!$B$30)),(SUMIFS(INDEX('Oxford Economics'!$A$7:$AZ$1000,0,IFERROR(MATCH(K$5,'Oxford Economics'!$A$6:$AZ$6,0),MATCH(K$5&amp;"",'Oxford Economics'!$A$6:$AZ$6,0))),'Oxford Economics'!$A$7:$A$1000,$C40,'Oxford Economics'!$B$7:$B$1000,Settings!$B$30)+SUMIFS(INDEX('Oxford Economics'!$A$7:$AZ$1000,0,IFERROR(MATCH(K$5,'Oxford Economics'!$A$6:$AZ$6,0),MATCH(K$5&amp;"",'Oxford Economics'!$A$6:$AZ$6,0))),'Oxford Economics'!$A$7:$A$1000,$C40,'Oxford Economics'!$B$7:$B$1000,Settings!$B$31)))),""))</f>
        <v/>
      </c>
      <c r="L40" s="41" t="str">
        <f aca="false">IF($A40="","",IFERROR(1/(1/IF($B40="Residential",(SUMIFS(INDEX('Oxford Economics'!$A$7:$AZ$1000,0,IFERROR(MATCH(L$5,'Oxford Economics'!$A$6:$AZ$6,0),MATCH(L$5&amp;"",'Oxford Economics'!$A$6:$AZ$6,0))),'Oxford Economics'!$A$7:$A$1000,$C40,'Oxford Economics'!$B$7:$B$1000,Settings!$B$29)-SUMIFS(INDEX('Oxford Economics'!$A$7:$AZ$1000,0,IFERROR(MATCH(L$5,'Oxford Economics'!$A$6:$AZ$6,0),MATCH(L$5&amp;"",'Oxford Economics'!$A$6:$AZ$6,0))),'Oxford Economics'!$A$7:$A$1000,$C40,'Oxford Economics'!$B$7:$B$1000,Settings!$B$30)),(SUMIFS(INDEX('Oxford Economics'!$A$7:$AZ$1000,0,IFERROR(MATCH(L$5,'Oxford Economics'!$A$6:$AZ$6,0),MATCH(L$5&amp;"",'Oxford Economics'!$A$6:$AZ$6,0))),'Oxford Economics'!$A$7:$A$1000,$C40,'Oxford Economics'!$B$7:$B$1000,Settings!$B$30)+SUMIFS(INDEX('Oxford Economics'!$A$7:$AZ$1000,0,IFERROR(MATCH(L$5,'Oxford Economics'!$A$6:$AZ$6,0),MATCH(L$5&amp;"",'Oxford Economics'!$A$6:$AZ$6,0))),'Oxford Economics'!$A$7:$A$1000,$C40,'Oxford Economics'!$B$7:$B$1000,Settings!$B$31)))),""))</f>
        <v/>
      </c>
      <c r="M40" s="41" t="str">
        <f aca="false">IF($A40="","",IFERROR(1/(1/IF($B40="Residential",(SUMIFS(INDEX('Oxford Economics'!$A$7:$AZ$1000,0,IFERROR(MATCH(M$5,'Oxford Economics'!$A$6:$AZ$6,0),MATCH(M$5&amp;"",'Oxford Economics'!$A$6:$AZ$6,0))),'Oxford Economics'!$A$7:$A$1000,$C40,'Oxford Economics'!$B$7:$B$1000,Settings!$B$29)-SUMIFS(INDEX('Oxford Economics'!$A$7:$AZ$1000,0,IFERROR(MATCH(M$5,'Oxford Economics'!$A$6:$AZ$6,0),MATCH(M$5&amp;"",'Oxford Economics'!$A$6:$AZ$6,0))),'Oxford Economics'!$A$7:$A$1000,$C40,'Oxford Economics'!$B$7:$B$1000,Settings!$B$30)),(SUMIFS(INDEX('Oxford Economics'!$A$7:$AZ$1000,0,IFERROR(MATCH(M$5,'Oxford Economics'!$A$6:$AZ$6,0),MATCH(M$5&amp;"",'Oxford Economics'!$A$6:$AZ$6,0))),'Oxford Economics'!$A$7:$A$1000,$C40,'Oxford Economics'!$B$7:$B$1000,Settings!$B$30)+SUMIFS(INDEX('Oxford Economics'!$A$7:$AZ$1000,0,IFERROR(MATCH(M$5,'Oxford Economics'!$A$6:$AZ$6,0),MATCH(M$5&amp;"",'Oxford Economics'!$A$6:$AZ$6,0))),'Oxford Economics'!$A$7:$A$1000,$C40,'Oxford Economics'!$B$7:$B$1000,Settings!$B$31)))),""))</f>
        <v/>
      </c>
      <c r="N40" s="41" t="str">
        <f aca="false">IF($A40="","",IFERROR(1/(1/IF($B40="Residential",(SUMIFS(INDEX('Oxford Economics'!$A$7:$AZ$1000,0,IFERROR(MATCH(N$5,'Oxford Economics'!$A$6:$AZ$6,0),MATCH(N$5&amp;"",'Oxford Economics'!$A$6:$AZ$6,0))),'Oxford Economics'!$A$7:$A$1000,$C40,'Oxford Economics'!$B$7:$B$1000,Settings!$B$29)-SUMIFS(INDEX('Oxford Economics'!$A$7:$AZ$1000,0,IFERROR(MATCH(N$5,'Oxford Economics'!$A$6:$AZ$6,0),MATCH(N$5&amp;"",'Oxford Economics'!$A$6:$AZ$6,0))),'Oxford Economics'!$A$7:$A$1000,$C40,'Oxford Economics'!$B$7:$B$1000,Settings!$B$30)),(SUMIFS(INDEX('Oxford Economics'!$A$7:$AZ$1000,0,IFERROR(MATCH(N$5,'Oxford Economics'!$A$6:$AZ$6,0),MATCH(N$5&amp;"",'Oxford Economics'!$A$6:$AZ$6,0))),'Oxford Economics'!$A$7:$A$1000,$C40,'Oxford Economics'!$B$7:$B$1000,Settings!$B$30)+SUMIFS(INDEX('Oxford Economics'!$A$7:$AZ$1000,0,IFERROR(MATCH(N$5,'Oxford Economics'!$A$6:$AZ$6,0),MATCH(N$5&amp;"",'Oxford Economics'!$A$6:$AZ$6,0))),'Oxford Economics'!$A$7:$A$1000,$C40,'Oxford Economics'!$B$7:$B$1000,Settings!$B$31)))),""))</f>
        <v/>
      </c>
      <c r="O40" s="41" t="str">
        <f aca="false">IF($A40="","",IFERROR(1/(1/IF($B40="Residential",(SUMIFS(INDEX('Oxford Economics'!$A$7:$AZ$1000,0,IFERROR(MATCH(O$5,'Oxford Economics'!$A$6:$AZ$6,0),MATCH(O$5&amp;"",'Oxford Economics'!$A$6:$AZ$6,0))),'Oxford Economics'!$A$7:$A$1000,$C40,'Oxford Economics'!$B$7:$B$1000,Settings!$B$29)-SUMIFS(INDEX('Oxford Economics'!$A$7:$AZ$1000,0,IFERROR(MATCH(O$5,'Oxford Economics'!$A$6:$AZ$6,0),MATCH(O$5&amp;"",'Oxford Economics'!$A$6:$AZ$6,0))),'Oxford Economics'!$A$7:$A$1000,$C40,'Oxford Economics'!$B$7:$B$1000,Settings!$B$30)),(SUMIFS(INDEX('Oxford Economics'!$A$7:$AZ$1000,0,IFERROR(MATCH(O$5,'Oxford Economics'!$A$6:$AZ$6,0),MATCH(O$5&amp;"",'Oxford Economics'!$A$6:$AZ$6,0))),'Oxford Economics'!$A$7:$A$1000,$C40,'Oxford Economics'!$B$7:$B$1000,Settings!$B$30)+SUMIFS(INDEX('Oxford Economics'!$A$7:$AZ$1000,0,IFERROR(MATCH(O$5,'Oxford Economics'!$A$6:$AZ$6,0),MATCH(O$5&amp;"",'Oxford Economics'!$A$6:$AZ$6,0))),'Oxford Economics'!$A$7:$A$1000,$C40,'Oxford Economics'!$B$7:$B$1000,Settings!$B$31)))),""))</f>
        <v/>
      </c>
    </row>
    <row r="41" customFormat="false" ht="15" hidden="false" customHeight="false" outlineLevel="0" collapsed="false">
      <c r="A41" s="40" t="str">
        <f aca="false">IF('Raw data'!$A41="","",'Raw data'!$A41)</f>
        <v/>
      </c>
      <c r="B41" s="40" t="str">
        <f aca="false">IF($A41="","",'Raw data'!$C41)</f>
        <v/>
      </c>
      <c r="C41" s="40" t="str">
        <f aca="false">IF($A41="","",IF('Raw data'!$D41="",$A41,'Raw data'!$D41))</f>
        <v/>
      </c>
      <c r="D41" s="41" t="str">
        <f aca="false">IF($A41="","",IFERROR(1/(1/IF($B41="Residential",(SUMIFS(INDEX('Oxford Economics'!$A$7:$AZ$1000,0,IFERROR(MATCH(D$5,'Oxford Economics'!$A$6:$AZ$6,0),MATCH(D$5&amp;"",'Oxford Economics'!$A$6:$AZ$6,0))),'Oxford Economics'!$A$7:$A$1000,$C41,'Oxford Economics'!$B$7:$B$1000,Settings!$B$29)-SUMIFS(INDEX('Oxford Economics'!$A$7:$AZ$1000,0,IFERROR(MATCH(D$5,'Oxford Economics'!$A$6:$AZ$6,0),MATCH(D$5&amp;"",'Oxford Economics'!$A$6:$AZ$6,0))),'Oxford Economics'!$A$7:$A$1000,$C41,'Oxford Economics'!$B$7:$B$1000,Settings!$B$30)),(SUMIFS(INDEX('Oxford Economics'!$A$7:$AZ$1000,0,IFERROR(MATCH(D$5,'Oxford Economics'!$A$6:$AZ$6,0),MATCH(D$5&amp;"",'Oxford Economics'!$A$6:$AZ$6,0))),'Oxford Economics'!$A$7:$A$1000,$C41,'Oxford Economics'!$B$7:$B$1000,Settings!$B$30)+SUMIFS(INDEX('Oxford Economics'!$A$7:$AZ$1000,0,IFERROR(MATCH(D$5,'Oxford Economics'!$A$6:$AZ$6,0),MATCH(D$5&amp;"",'Oxford Economics'!$A$6:$AZ$6,0))),'Oxford Economics'!$A$7:$A$1000,$C41,'Oxford Economics'!$B$7:$B$1000,Settings!$B$31)))),""))</f>
        <v/>
      </c>
      <c r="E41" s="41" t="str">
        <f aca="false">IF($A41="","",IFERROR(1/(1/IF($B41="Residential",(SUMIFS(INDEX('Oxford Economics'!$A$7:$AZ$1000,0,IFERROR(MATCH(E$5,'Oxford Economics'!$A$6:$AZ$6,0),MATCH(E$5&amp;"",'Oxford Economics'!$A$6:$AZ$6,0))),'Oxford Economics'!$A$7:$A$1000,$C41,'Oxford Economics'!$B$7:$B$1000,Settings!$B$29)-SUMIFS(INDEX('Oxford Economics'!$A$7:$AZ$1000,0,IFERROR(MATCH(E$5,'Oxford Economics'!$A$6:$AZ$6,0),MATCH(E$5&amp;"",'Oxford Economics'!$A$6:$AZ$6,0))),'Oxford Economics'!$A$7:$A$1000,$C41,'Oxford Economics'!$B$7:$B$1000,Settings!$B$30)),(SUMIFS(INDEX('Oxford Economics'!$A$7:$AZ$1000,0,IFERROR(MATCH(E$5,'Oxford Economics'!$A$6:$AZ$6,0),MATCH(E$5&amp;"",'Oxford Economics'!$A$6:$AZ$6,0))),'Oxford Economics'!$A$7:$A$1000,$C41,'Oxford Economics'!$B$7:$B$1000,Settings!$B$30)+SUMIFS(INDEX('Oxford Economics'!$A$7:$AZ$1000,0,IFERROR(MATCH(E$5,'Oxford Economics'!$A$6:$AZ$6,0),MATCH(E$5&amp;"",'Oxford Economics'!$A$6:$AZ$6,0))),'Oxford Economics'!$A$7:$A$1000,$C41,'Oxford Economics'!$B$7:$B$1000,Settings!$B$31)))),""))</f>
        <v/>
      </c>
      <c r="F41" s="41" t="str">
        <f aca="false">IF($A41="","",IFERROR(1/(1/IF($B41="Residential",(SUMIFS(INDEX('Oxford Economics'!$A$7:$AZ$1000,0,IFERROR(MATCH(F$5,'Oxford Economics'!$A$6:$AZ$6,0),MATCH(F$5&amp;"",'Oxford Economics'!$A$6:$AZ$6,0))),'Oxford Economics'!$A$7:$A$1000,$C41,'Oxford Economics'!$B$7:$B$1000,Settings!$B$29)-SUMIFS(INDEX('Oxford Economics'!$A$7:$AZ$1000,0,IFERROR(MATCH(F$5,'Oxford Economics'!$A$6:$AZ$6,0),MATCH(F$5&amp;"",'Oxford Economics'!$A$6:$AZ$6,0))),'Oxford Economics'!$A$7:$A$1000,$C41,'Oxford Economics'!$B$7:$B$1000,Settings!$B$30)),(SUMIFS(INDEX('Oxford Economics'!$A$7:$AZ$1000,0,IFERROR(MATCH(F$5,'Oxford Economics'!$A$6:$AZ$6,0),MATCH(F$5&amp;"",'Oxford Economics'!$A$6:$AZ$6,0))),'Oxford Economics'!$A$7:$A$1000,$C41,'Oxford Economics'!$B$7:$B$1000,Settings!$B$30)+SUMIFS(INDEX('Oxford Economics'!$A$7:$AZ$1000,0,IFERROR(MATCH(F$5,'Oxford Economics'!$A$6:$AZ$6,0),MATCH(F$5&amp;"",'Oxford Economics'!$A$6:$AZ$6,0))),'Oxford Economics'!$A$7:$A$1000,$C41,'Oxford Economics'!$B$7:$B$1000,Settings!$B$31)))),""))</f>
        <v/>
      </c>
      <c r="G41" s="41" t="str">
        <f aca="false">IF($A41="","",IFERROR(1/(1/IF($B41="Residential",(SUMIFS(INDEX('Oxford Economics'!$A$7:$AZ$1000,0,IFERROR(MATCH(G$5,'Oxford Economics'!$A$6:$AZ$6,0),MATCH(G$5&amp;"",'Oxford Economics'!$A$6:$AZ$6,0))),'Oxford Economics'!$A$7:$A$1000,$C41,'Oxford Economics'!$B$7:$B$1000,Settings!$B$29)-SUMIFS(INDEX('Oxford Economics'!$A$7:$AZ$1000,0,IFERROR(MATCH(G$5,'Oxford Economics'!$A$6:$AZ$6,0),MATCH(G$5&amp;"",'Oxford Economics'!$A$6:$AZ$6,0))),'Oxford Economics'!$A$7:$A$1000,$C41,'Oxford Economics'!$B$7:$B$1000,Settings!$B$30)),(SUMIFS(INDEX('Oxford Economics'!$A$7:$AZ$1000,0,IFERROR(MATCH(G$5,'Oxford Economics'!$A$6:$AZ$6,0),MATCH(G$5&amp;"",'Oxford Economics'!$A$6:$AZ$6,0))),'Oxford Economics'!$A$7:$A$1000,$C41,'Oxford Economics'!$B$7:$B$1000,Settings!$B$30)+SUMIFS(INDEX('Oxford Economics'!$A$7:$AZ$1000,0,IFERROR(MATCH(G$5,'Oxford Economics'!$A$6:$AZ$6,0),MATCH(G$5&amp;"",'Oxford Economics'!$A$6:$AZ$6,0))),'Oxford Economics'!$A$7:$A$1000,$C41,'Oxford Economics'!$B$7:$B$1000,Settings!$B$31)))),""))</f>
        <v/>
      </c>
      <c r="H41" s="41" t="str">
        <f aca="false">IF($A41="","",IFERROR(1/(1/IF($B41="Residential",(SUMIFS(INDEX('Oxford Economics'!$A$7:$AZ$1000,0,IFERROR(MATCH(H$5,'Oxford Economics'!$A$6:$AZ$6,0),MATCH(H$5&amp;"",'Oxford Economics'!$A$6:$AZ$6,0))),'Oxford Economics'!$A$7:$A$1000,$C41,'Oxford Economics'!$B$7:$B$1000,Settings!$B$29)-SUMIFS(INDEX('Oxford Economics'!$A$7:$AZ$1000,0,IFERROR(MATCH(H$5,'Oxford Economics'!$A$6:$AZ$6,0),MATCH(H$5&amp;"",'Oxford Economics'!$A$6:$AZ$6,0))),'Oxford Economics'!$A$7:$A$1000,$C41,'Oxford Economics'!$B$7:$B$1000,Settings!$B$30)),(SUMIFS(INDEX('Oxford Economics'!$A$7:$AZ$1000,0,IFERROR(MATCH(H$5,'Oxford Economics'!$A$6:$AZ$6,0),MATCH(H$5&amp;"",'Oxford Economics'!$A$6:$AZ$6,0))),'Oxford Economics'!$A$7:$A$1000,$C41,'Oxford Economics'!$B$7:$B$1000,Settings!$B$30)+SUMIFS(INDEX('Oxford Economics'!$A$7:$AZ$1000,0,IFERROR(MATCH(H$5,'Oxford Economics'!$A$6:$AZ$6,0),MATCH(H$5&amp;"",'Oxford Economics'!$A$6:$AZ$6,0))),'Oxford Economics'!$A$7:$A$1000,$C41,'Oxford Economics'!$B$7:$B$1000,Settings!$B$31)))),""))</f>
        <v/>
      </c>
      <c r="I41" s="41" t="str">
        <f aca="false">IF($A41="","",IFERROR(1/(1/IF($B41="Residential",(SUMIFS(INDEX('Oxford Economics'!$A$7:$AZ$1000,0,IFERROR(MATCH(I$5,'Oxford Economics'!$A$6:$AZ$6,0),MATCH(I$5&amp;"",'Oxford Economics'!$A$6:$AZ$6,0))),'Oxford Economics'!$A$7:$A$1000,$C41,'Oxford Economics'!$B$7:$B$1000,Settings!$B$29)-SUMIFS(INDEX('Oxford Economics'!$A$7:$AZ$1000,0,IFERROR(MATCH(I$5,'Oxford Economics'!$A$6:$AZ$6,0),MATCH(I$5&amp;"",'Oxford Economics'!$A$6:$AZ$6,0))),'Oxford Economics'!$A$7:$A$1000,$C41,'Oxford Economics'!$B$7:$B$1000,Settings!$B$30)),(SUMIFS(INDEX('Oxford Economics'!$A$7:$AZ$1000,0,IFERROR(MATCH(I$5,'Oxford Economics'!$A$6:$AZ$6,0),MATCH(I$5&amp;"",'Oxford Economics'!$A$6:$AZ$6,0))),'Oxford Economics'!$A$7:$A$1000,$C41,'Oxford Economics'!$B$7:$B$1000,Settings!$B$30)+SUMIFS(INDEX('Oxford Economics'!$A$7:$AZ$1000,0,IFERROR(MATCH(I$5,'Oxford Economics'!$A$6:$AZ$6,0),MATCH(I$5&amp;"",'Oxford Economics'!$A$6:$AZ$6,0))),'Oxford Economics'!$A$7:$A$1000,$C41,'Oxford Economics'!$B$7:$B$1000,Settings!$B$31)))),""))</f>
        <v/>
      </c>
      <c r="J41" s="41" t="str">
        <f aca="false">IF($A41="","",IFERROR(1/(1/IF($B41="Residential",(SUMIFS(INDEX('Oxford Economics'!$A$7:$AZ$1000,0,IFERROR(MATCH(J$5,'Oxford Economics'!$A$6:$AZ$6,0),MATCH(J$5&amp;"",'Oxford Economics'!$A$6:$AZ$6,0))),'Oxford Economics'!$A$7:$A$1000,$C41,'Oxford Economics'!$B$7:$B$1000,Settings!$B$29)-SUMIFS(INDEX('Oxford Economics'!$A$7:$AZ$1000,0,IFERROR(MATCH(J$5,'Oxford Economics'!$A$6:$AZ$6,0),MATCH(J$5&amp;"",'Oxford Economics'!$A$6:$AZ$6,0))),'Oxford Economics'!$A$7:$A$1000,$C41,'Oxford Economics'!$B$7:$B$1000,Settings!$B$30)),(SUMIFS(INDEX('Oxford Economics'!$A$7:$AZ$1000,0,IFERROR(MATCH(J$5,'Oxford Economics'!$A$6:$AZ$6,0),MATCH(J$5&amp;"",'Oxford Economics'!$A$6:$AZ$6,0))),'Oxford Economics'!$A$7:$A$1000,$C41,'Oxford Economics'!$B$7:$B$1000,Settings!$B$30)+SUMIFS(INDEX('Oxford Economics'!$A$7:$AZ$1000,0,IFERROR(MATCH(J$5,'Oxford Economics'!$A$6:$AZ$6,0),MATCH(J$5&amp;"",'Oxford Economics'!$A$6:$AZ$6,0))),'Oxford Economics'!$A$7:$A$1000,$C41,'Oxford Economics'!$B$7:$B$1000,Settings!$B$31)))),""))</f>
        <v/>
      </c>
      <c r="K41" s="41" t="str">
        <f aca="false">IF($A41="","",IFERROR(1/(1/IF($B41="Residential",(SUMIFS(INDEX('Oxford Economics'!$A$7:$AZ$1000,0,IFERROR(MATCH(K$5,'Oxford Economics'!$A$6:$AZ$6,0),MATCH(K$5&amp;"",'Oxford Economics'!$A$6:$AZ$6,0))),'Oxford Economics'!$A$7:$A$1000,$C41,'Oxford Economics'!$B$7:$B$1000,Settings!$B$29)-SUMIFS(INDEX('Oxford Economics'!$A$7:$AZ$1000,0,IFERROR(MATCH(K$5,'Oxford Economics'!$A$6:$AZ$6,0),MATCH(K$5&amp;"",'Oxford Economics'!$A$6:$AZ$6,0))),'Oxford Economics'!$A$7:$A$1000,$C41,'Oxford Economics'!$B$7:$B$1000,Settings!$B$30)),(SUMIFS(INDEX('Oxford Economics'!$A$7:$AZ$1000,0,IFERROR(MATCH(K$5,'Oxford Economics'!$A$6:$AZ$6,0),MATCH(K$5&amp;"",'Oxford Economics'!$A$6:$AZ$6,0))),'Oxford Economics'!$A$7:$A$1000,$C41,'Oxford Economics'!$B$7:$B$1000,Settings!$B$30)+SUMIFS(INDEX('Oxford Economics'!$A$7:$AZ$1000,0,IFERROR(MATCH(K$5,'Oxford Economics'!$A$6:$AZ$6,0),MATCH(K$5&amp;"",'Oxford Economics'!$A$6:$AZ$6,0))),'Oxford Economics'!$A$7:$A$1000,$C41,'Oxford Economics'!$B$7:$B$1000,Settings!$B$31)))),""))</f>
        <v/>
      </c>
      <c r="L41" s="41" t="str">
        <f aca="false">IF($A41="","",IFERROR(1/(1/IF($B41="Residential",(SUMIFS(INDEX('Oxford Economics'!$A$7:$AZ$1000,0,IFERROR(MATCH(L$5,'Oxford Economics'!$A$6:$AZ$6,0),MATCH(L$5&amp;"",'Oxford Economics'!$A$6:$AZ$6,0))),'Oxford Economics'!$A$7:$A$1000,$C41,'Oxford Economics'!$B$7:$B$1000,Settings!$B$29)-SUMIFS(INDEX('Oxford Economics'!$A$7:$AZ$1000,0,IFERROR(MATCH(L$5,'Oxford Economics'!$A$6:$AZ$6,0),MATCH(L$5&amp;"",'Oxford Economics'!$A$6:$AZ$6,0))),'Oxford Economics'!$A$7:$A$1000,$C41,'Oxford Economics'!$B$7:$B$1000,Settings!$B$30)),(SUMIFS(INDEX('Oxford Economics'!$A$7:$AZ$1000,0,IFERROR(MATCH(L$5,'Oxford Economics'!$A$6:$AZ$6,0),MATCH(L$5&amp;"",'Oxford Economics'!$A$6:$AZ$6,0))),'Oxford Economics'!$A$7:$A$1000,$C41,'Oxford Economics'!$B$7:$B$1000,Settings!$B$30)+SUMIFS(INDEX('Oxford Economics'!$A$7:$AZ$1000,0,IFERROR(MATCH(L$5,'Oxford Economics'!$A$6:$AZ$6,0),MATCH(L$5&amp;"",'Oxford Economics'!$A$6:$AZ$6,0))),'Oxford Economics'!$A$7:$A$1000,$C41,'Oxford Economics'!$B$7:$B$1000,Settings!$B$31)))),""))</f>
        <v/>
      </c>
      <c r="M41" s="41" t="str">
        <f aca="false">IF($A41="","",IFERROR(1/(1/IF($B41="Residential",(SUMIFS(INDEX('Oxford Economics'!$A$7:$AZ$1000,0,IFERROR(MATCH(M$5,'Oxford Economics'!$A$6:$AZ$6,0),MATCH(M$5&amp;"",'Oxford Economics'!$A$6:$AZ$6,0))),'Oxford Economics'!$A$7:$A$1000,$C41,'Oxford Economics'!$B$7:$B$1000,Settings!$B$29)-SUMIFS(INDEX('Oxford Economics'!$A$7:$AZ$1000,0,IFERROR(MATCH(M$5,'Oxford Economics'!$A$6:$AZ$6,0),MATCH(M$5&amp;"",'Oxford Economics'!$A$6:$AZ$6,0))),'Oxford Economics'!$A$7:$A$1000,$C41,'Oxford Economics'!$B$7:$B$1000,Settings!$B$30)),(SUMIFS(INDEX('Oxford Economics'!$A$7:$AZ$1000,0,IFERROR(MATCH(M$5,'Oxford Economics'!$A$6:$AZ$6,0),MATCH(M$5&amp;"",'Oxford Economics'!$A$6:$AZ$6,0))),'Oxford Economics'!$A$7:$A$1000,$C41,'Oxford Economics'!$B$7:$B$1000,Settings!$B$30)+SUMIFS(INDEX('Oxford Economics'!$A$7:$AZ$1000,0,IFERROR(MATCH(M$5,'Oxford Economics'!$A$6:$AZ$6,0),MATCH(M$5&amp;"",'Oxford Economics'!$A$6:$AZ$6,0))),'Oxford Economics'!$A$7:$A$1000,$C41,'Oxford Economics'!$B$7:$B$1000,Settings!$B$31)))),""))</f>
        <v/>
      </c>
      <c r="N41" s="41" t="str">
        <f aca="false">IF($A41="","",IFERROR(1/(1/IF($B41="Residential",(SUMIFS(INDEX('Oxford Economics'!$A$7:$AZ$1000,0,IFERROR(MATCH(N$5,'Oxford Economics'!$A$6:$AZ$6,0),MATCH(N$5&amp;"",'Oxford Economics'!$A$6:$AZ$6,0))),'Oxford Economics'!$A$7:$A$1000,$C41,'Oxford Economics'!$B$7:$B$1000,Settings!$B$29)-SUMIFS(INDEX('Oxford Economics'!$A$7:$AZ$1000,0,IFERROR(MATCH(N$5,'Oxford Economics'!$A$6:$AZ$6,0),MATCH(N$5&amp;"",'Oxford Economics'!$A$6:$AZ$6,0))),'Oxford Economics'!$A$7:$A$1000,$C41,'Oxford Economics'!$B$7:$B$1000,Settings!$B$30)),(SUMIFS(INDEX('Oxford Economics'!$A$7:$AZ$1000,0,IFERROR(MATCH(N$5,'Oxford Economics'!$A$6:$AZ$6,0),MATCH(N$5&amp;"",'Oxford Economics'!$A$6:$AZ$6,0))),'Oxford Economics'!$A$7:$A$1000,$C41,'Oxford Economics'!$B$7:$B$1000,Settings!$B$30)+SUMIFS(INDEX('Oxford Economics'!$A$7:$AZ$1000,0,IFERROR(MATCH(N$5,'Oxford Economics'!$A$6:$AZ$6,0),MATCH(N$5&amp;"",'Oxford Economics'!$A$6:$AZ$6,0))),'Oxford Economics'!$A$7:$A$1000,$C41,'Oxford Economics'!$B$7:$B$1000,Settings!$B$31)))),""))</f>
        <v/>
      </c>
      <c r="O41" s="41" t="str">
        <f aca="false">IF($A41="","",IFERROR(1/(1/IF($B41="Residential",(SUMIFS(INDEX('Oxford Economics'!$A$7:$AZ$1000,0,IFERROR(MATCH(O$5,'Oxford Economics'!$A$6:$AZ$6,0),MATCH(O$5&amp;"",'Oxford Economics'!$A$6:$AZ$6,0))),'Oxford Economics'!$A$7:$A$1000,$C41,'Oxford Economics'!$B$7:$B$1000,Settings!$B$29)-SUMIFS(INDEX('Oxford Economics'!$A$7:$AZ$1000,0,IFERROR(MATCH(O$5,'Oxford Economics'!$A$6:$AZ$6,0),MATCH(O$5&amp;"",'Oxford Economics'!$A$6:$AZ$6,0))),'Oxford Economics'!$A$7:$A$1000,$C41,'Oxford Economics'!$B$7:$B$1000,Settings!$B$30)),(SUMIFS(INDEX('Oxford Economics'!$A$7:$AZ$1000,0,IFERROR(MATCH(O$5,'Oxford Economics'!$A$6:$AZ$6,0),MATCH(O$5&amp;"",'Oxford Economics'!$A$6:$AZ$6,0))),'Oxford Economics'!$A$7:$A$1000,$C41,'Oxford Economics'!$B$7:$B$1000,Settings!$B$30)+SUMIFS(INDEX('Oxford Economics'!$A$7:$AZ$1000,0,IFERROR(MATCH(O$5,'Oxford Economics'!$A$6:$AZ$6,0),MATCH(O$5&amp;"",'Oxford Economics'!$A$6:$AZ$6,0))),'Oxford Economics'!$A$7:$A$1000,$C41,'Oxford Economics'!$B$7:$B$1000,Settings!$B$31)))),""))</f>
        <v/>
      </c>
    </row>
    <row r="42" customFormat="false" ht="15" hidden="false" customHeight="false" outlineLevel="0" collapsed="false">
      <c r="A42" s="40" t="str">
        <f aca="false">IF('Raw data'!$A42="","",'Raw data'!$A42)</f>
        <v/>
      </c>
      <c r="B42" s="40" t="str">
        <f aca="false">IF($A42="","",'Raw data'!$C42)</f>
        <v/>
      </c>
      <c r="C42" s="40" t="str">
        <f aca="false">IF($A42="","",IF('Raw data'!$D42="",$A42,'Raw data'!$D42))</f>
        <v/>
      </c>
      <c r="D42" s="41" t="str">
        <f aca="false">IF($A42="","",IFERROR(1/(1/IF($B42="Residential",(SUMIFS(INDEX('Oxford Economics'!$A$7:$AZ$1000,0,IFERROR(MATCH(D$5,'Oxford Economics'!$A$6:$AZ$6,0),MATCH(D$5&amp;"",'Oxford Economics'!$A$6:$AZ$6,0))),'Oxford Economics'!$A$7:$A$1000,$C42,'Oxford Economics'!$B$7:$B$1000,Settings!$B$29)-SUMIFS(INDEX('Oxford Economics'!$A$7:$AZ$1000,0,IFERROR(MATCH(D$5,'Oxford Economics'!$A$6:$AZ$6,0),MATCH(D$5&amp;"",'Oxford Economics'!$A$6:$AZ$6,0))),'Oxford Economics'!$A$7:$A$1000,$C42,'Oxford Economics'!$B$7:$B$1000,Settings!$B$30)),(SUMIFS(INDEX('Oxford Economics'!$A$7:$AZ$1000,0,IFERROR(MATCH(D$5,'Oxford Economics'!$A$6:$AZ$6,0),MATCH(D$5&amp;"",'Oxford Economics'!$A$6:$AZ$6,0))),'Oxford Economics'!$A$7:$A$1000,$C42,'Oxford Economics'!$B$7:$B$1000,Settings!$B$30)+SUMIFS(INDEX('Oxford Economics'!$A$7:$AZ$1000,0,IFERROR(MATCH(D$5,'Oxford Economics'!$A$6:$AZ$6,0),MATCH(D$5&amp;"",'Oxford Economics'!$A$6:$AZ$6,0))),'Oxford Economics'!$A$7:$A$1000,$C42,'Oxford Economics'!$B$7:$B$1000,Settings!$B$31)))),""))</f>
        <v/>
      </c>
      <c r="E42" s="41" t="str">
        <f aca="false">IF($A42="","",IFERROR(1/(1/IF($B42="Residential",(SUMIFS(INDEX('Oxford Economics'!$A$7:$AZ$1000,0,IFERROR(MATCH(E$5,'Oxford Economics'!$A$6:$AZ$6,0),MATCH(E$5&amp;"",'Oxford Economics'!$A$6:$AZ$6,0))),'Oxford Economics'!$A$7:$A$1000,$C42,'Oxford Economics'!$B$7:$B$1000,Settings!$B$29)-SUMIFS(INDEX('Oxford Economics'!$A$7:$AZ$1000,0,IFERROR(MATCH(E$5,'Oxford Economics'!$A$6:$AZ$6,0),MATCH(E$5&amp;"",'Oxford Economics'!$A$6:$AZ$6,0))),'Oxford Economics'!$A$7:$A$1000,$C42,'Oxford Economics'!$B$7:$B$1000,Settings!$B$30)),(SUMIFS(INDEX('Oxford Economics'!$A$7:$AZ$1000,0,IFERROR(MATCH(E$5,'Oxford Economics'!$A$6:$AZ$6,0),MATCH(E$5&amp;"",'Oxford Economics'!$A$6:$AZ$6,0))),'Oxford Economics'!$A$7:$A$1000,$C42,'Oxford Economics'!$B$7:$B$1000,Settings!$B$30)+SUMIFS(INDEX('Oxford Economics'!$A$7:$AZ$1000,0,IFERROR(MATCH(E$5,'Oxford Economics'!$A$6:$AZ$6,0),MATCH(E$5&amp;"",'Oxford Economics'!$A$6:$AZ$6,0))),'Oxford Economics'!$A$7:$A$1000,$C42,'Oxford Economics'!$B$7:$B$1000,Settings!$B$31)))),""))</f>
        <v/>
      </c>
      <c r="F42" s="41" t="str">
        <f aca="false">IF($A42="","",IFERROR(1/(1/IF($B42="Residential",(SUMIFS(INDEX('Oxford Economics'!$A$7:$AZ$1000,0,IFERROR(MATCH(F$5,'Oxford Economics'!$A$6:$AZ$6,0),MATCH(F$5&amp;"",'Oxford Economics'!$A$6:$AZ$6,0))),'Oxford Economics'!$A$7:$A$1000,$C42,'Oxford Economics'!$B$7:$B$1000,Settings!$B$29)-SUMIFS(INDEX('Oxford Economics'!$A$7:$AZ$1000,0,IFERROR(MATCH(F$5,'Oxford Economics'!$A$6:$AZ$6,0),MATCH(F$5&amp;"",'Oxford Economics'!$A$6:$AZ$6,0))),'Oxford Economics'!$A$7:$A$1000,$C42,'Oxford Economics'!$B$7:$B$1000,Settings!$B$30)),(SUMIFS(INDEX('Oxford Economics'!$A$7:$AZ$1000,0,IFERROR(MATCH(F$5,'Oxford Economics'!$A$6:$AZ$6,0),MATCH(F$5&amp;"",'Oxford Economics'!$A$6:$AZ$6,0))),'Oxford Economics'!$A$7:$A$1000,$C42,'Oxford Economics'!$B$7:$B$1000,Settings!$B$30)+SUMIFS(INDEX('Oxford Economics'!$A$7:$AZ$1000,0,IFERROR(MATCH(F$5,'Oxford Economics'!$A$6:$AZ$6,0),MATCH(F$5&amp;"",'Oxford Economics'!$A$6:$AZ$6,0))),'Oxford Economics'!$A$7:$A$1000,$C42,'Oxford Economics'!$B$7:$B$1000,Settings!$B$31)))),""))</f>
        <v/>
      </c>
      <c r="G42" s="41" t="str">
        <f aca="false">IF($A42="","",IFERROR(1/(1/IF($B42="Residential",(SUMIFS(INDEX('Oxford Economics'!$A$7:$AZ$1000,0,IFERROR(MATCH(G$5,'Oxford Economics'!$A$6:$AZ$6,0),MATCH(G$5&amp;"",'Oxford Economics'!$A$6:$AZ$6,0))),'Oxford Economics'!$A$7:$A$1000,$C42,'Oxford Economics'!$B$7:$B$1000,Settings!$B$29)-SUMIFS(INDEX('Oxford Economics'!$A$7:$AZ$1000,0,IFERROR(MATCH(G$5,'Oxford Economics'!$A$6:$AZ$6,0),MATCH(G$5&amp;"",'Oxford Economics'!$A$6:$AZ$6,0))),'Oxford Economics'!$A$7:$A$1000,$C42,'Oxford Economics'!$B$7:$B$1000,Settings!$B$30)),(SUMIFS(INDEX('Oxford Economics'!$A$7:$AZ$1000,0,IFERROR(MATCH(G$5,'Oxford Economics'!$A$6:$AZ$6,0),MATCH(G$5&amp;"",'Oxford Economics'!$A$6:$AZ$6,0))),'Oxford Economics'!$A$7:$A$1000,$C42,'Oxford Economics'!$B$7:$B$1000,Settings!$B$30)+SUMIFS(INDEX('Oxford Economics'!$A$7:$AZ$1000,0,IFERROR(MATCH(G$5,'Oxford Economics'!$A$6:$AZ$6,0),MATCH(G$5&amp;"",'Oxford Economics'!$A$6:$AZ$6,0))),'Oxford Economics'!$A$7:$A$1000,$C42,'Oxford Economics'!$B$7:$B$1000,Settings!$B$31)))),""))</f>
        <v/>
      </c>
      <c r="H42" s="41" t="str">
        <f aca="false">IF($A42="","",IFERROR(1/(1/IF($B42="Residential",(SUMIFS(INDEX('Oxford Economics'!$A$7:$AZ$1000,0,IFERROR(MATCH(H$5,'Oxford Economics'!$A$6:$AZ$6,0),MATCH(H$5&amp;"",'Oxford Economics'!$A$6:$AZ$6,0))),'Oxford Economics'!$A$7:$A$1000,$C42,'Oxford Economics'!$B$7:$B$1000,Settings!$B$29)-SUMIFS(INDEX('Oxford Economics'!$A$7:$AZ$1000,0,IFERROR(MATCH(H$5,'Oxford Economics'!$A$6:$AZ$6,0),MATCH(H$5&amp;"",'Oxford Economics'!$A$6:$AZ$6,0))),'Oxford Economics'!$A$7:$A$1000,$C42,'Oxford Economics'!$B$7:$B$1000,Settings!$B$30)),(SUMIFS(INDEX('Oxford Economics'!$A$7:$AZ$1000,0,IFERROR(MATCH(H$5,'Oxford Economics'!$A$6:$AZ$6,0),MATCH(H$5&amp;"",'Oxford Economics'!$A$6:$AZ$6,0))),'Oxford Economics'!$A$7:$A$1000,$C42,'Oxford Economics'!$B$7:$B$1000,Settings!$B$30)+SUMIFS(INDEX('Oxford Economics'!$A$7:$AZ$1000,0,IFERROR(MATCH(H$5,'Oxford Economics'!$A$6:$AZ$6,0),MATCH(H$5&amp;"",'Oxford Economics'!$A$6:$AZ$6,0))),'Oxford Economics'!$A$7:$A$1000,$C42,'Oxford Economics'!$B$7:$B$1000,Settings!$B$31)))),""))</f>
        <v/>
      </c>
      <c r="I42" s="41" t="str">
        <f aca="false">IF($A42="","",IFERROR(1/(1/IF($B42="Residential",(SUMIFS(INDEX('Oxford Economics'!$A$7:$AZ$1000,0,IFERROR(MATCH(I$5,'Oxford Economics'!$A$6:$AZ$6,0),MATCH(I$5&amp;"",'Oxford Economics'!$A$6:$AZ$6,0))),'Oxford Economics'!$A$7:$A$1000,$C42,'Oxford Economics'!$B$7:$B$1000,Settings!$B$29)-SUMIFS(INDEX('Oxford Economics'!$A$7:$AZ$1000,0,IFERROR(MATCH(I$5,'Oxford Economics'!$A$6:$AZ$6,0),MATCH(I$5&amp;"",'Oxford Economics'!$A$6:$AZ$6,0))),'Oxford Economics'!$A$7:$A$1000,$C42,'Oxford Economics'!$B$7:$B$1000,Settings!$B$30)),(SUMIFS(INDEX('Oxford Economics'!$A$7:$AZ$1000,0,IFERROR(MATCH(I$5,'Oxford Economics'!$A$6:$AZ$6,0),MATCH(I$5&amp;"",'Oxford Economics'!$A$6:$AZ$6,0))),'Oxford Economics'!$A$7:$A$1000,$C42,'Oxford Economics'!$B$7:$B$1000,Settings!$B$30)+SUMIFS(INDEX('Oxford Economics'!$A$7:$AZ$1000,0,IFERROR(MATCH(I$5,'Oxford Economics'!$A$6:$AZ$6,0),MATCH(I$5&amp;"",'Oxford Economics'!$A$6:$AZ$6,0))),'Oxford Economics'!$A$7:$A$1000,$C42,'Oxford Economics'!$B$7:$B$1000,Settings!$B$31)))),""))</f>
        <v/>
      </c>
      <c r="J42" s="41" t="str">
        <f aca="false">IF($A42="","",IFERROR(1/(1/IF($B42="Residential",(SUMIFS(INDEX('Oxford Economics'!$A$7:$AZ$1000,0,IFERROR(MATCH(J$5,'Oxford Economics'!$A$6:$AZ$6,0),MATCH(J$5&amp;"",'Oxford Economics'!$A$6:$AZ$6,0))),'Oxford Economics'!$A$7:$A$1000,$C42,'Oxford Economics'!$B$7:$B$1000,Settings!$B$29)-SUMIFS(INDEX('Oxford Economics'!$A$7:$AZ$1000,0,IFERROR(MATCH(J$5,'Oxford Economics'!$A$6:$AZ$6,0),MATCH(J$5&amp;"",'Oxford Economics'!$A$6:$AZ$6,0))),'Oxford Economics'!$A$7:$A$1000,$C42,'Oxford Economics'!$B$7:$B$1000,Settings!$B$30)),(SUMIFS(INDEX('Oxford Economics'!$A$7:$AZ$1000,0,IFERROR(MATCH(J$5,'Oxford Economics'!$A$6:$AZ$6,0),MATCH(J$5&amp;"",'Oxford Economics'!$A$6:$AZ$6,0))),'Oxford Economics'!$A$7:$A$1000,$C42,'Oxford Economics'!$B$7:$B$1000,Settings!$B$30)+SUMIFS(INDEX('Oxford Economics'!$A$7:$AZ$1000,0,IFERROR(MATCH(J$5,'Oxford Economics'!$A$6:$AZ$6,0),MATCH(J$5&amp;"",'Oxford Economics'!$A$6:$AZ$6,0))),'Oxford Economics'!$A$7:$A$1000,$C42,'Oxford Economics'!$B$7:$B$1000,Settings!$B$31)))),""))</f>
        <v/>
      </c>
      <c r="K42" s="41" t="str">
        <f aca="false">IF($A42="","",IFERROR(1/(1/IF($B42="Residential",(SUMIFS(INDEX('Oxford Economics'!$A$7:$AZ$1000,0,IFERROR(MATCH(K$5,'Oxford Economics'!$A$6:$AZ$6,0),MATCH(K$5&amp;"",'Oxford Economics'!$A$6:$AZ$6,0))),'Oxford Economics'!$A$7:$A$1000,$C42,'Oxford Economics'!$B$7:$B$1000,Settings!$B$29)-SUMIFS(INDEX('Oxford Economics'!$A$7:$AZ$1000,0,IFERROR(MATCH(K$5,'Oxford Economics'!$A$6:$AZ$6,0),MATCH(K$5&amp;"",'Oxford Economics'!$A$6:$AZ$6,0))),'Oxford Economics'!$A$7:$A$1000,$C42,'Oxford Economics'!$B$7:$B$1000,Settings!$B$30)),(SUMIFS(INDEX('Oxford Economics'!$A$7:$AZ$1000,0,IFERROR(MATCH(K$5,'Oxford Economics'!$A$6:$AZ$6,0),MATCH(K$5&amp;"",'Oxford Economics'!$A$6:$AZ$6,0))),'Oxford Economics'!$A$7:$A$1000,$C42,'Oxford Economics'!$B$7:$B$1000,Settings!$B$30)+SUMIFS(INDEX('Oxford Economics'!$A$7:$AZ$1000,0,IFERROR(MATCH(K$5,'Oxford Economics'!$A$6:$AZ$6,0),MATCH(K$5&amp;"",'Oxford Economics'!$A$6:$AZ$6,0))),'Oxford Economics'!$A$7:$A$1000,$C42,'Oxford Economics'!$B$7:$B$1000,Settings!$B$31)))),""))</f>
        <v/>
      </c>
      <c r="L42" s="41" t="str">
        <f aca="false">IF($A42="","",IFERROR(1/(1/IF($B42="Residential",(SUMIFS(INDEX('Oxford Economics'!$A$7:$AZ$1000,0,IFERROR(MATCH(L$5,'Oxford Economics'!$A$6:$AZ$6,0),MATCH(L$5&amp;"",'Oxford Economics'!$A$6:$AZ$6,0))),'Oxford Economics'!$A$7:$A$1000,$C42,'Oxford Economics'!$B$7:$B$1000,Settings!$B$29)-SUMIFS(INDEX('Oxford Economics'!$A$7:$AZ$1000,0,IFERROR(MATCH(L$5,'Oxford Economics'!$A$6:$AZ$6,0),MATCH(L$5&amp;"",'Oxford Economics'!$A$6:$AZ$6,0))),'Oxford Economics'!$A$7:$A$1000,$C42,'Oxford Economics'!$B$7:$B$1000,Settings!$B$30)),(SUMIFS(INDEX('Oxford Economics'!$A$7:$AZ$1000,0,IFERROR(MATCH(L$5,'Oxford Economics'!$A$6:$AZ$6,0),MATCH(L$5&amp;"",'Oxford Economics'!$A$6:$AZ$6,0))),'Oxford Economics'!$A$7:$A$1000,$C42,'Oxford Economics'!$B$7:$B$1000,Settings!$B$30)+SUMIFS(INDEX('Oxford Economics'!$A$7:$AZ$1000,0,IFERROR(MATCH(L$5,'Oxford Economics'!$A$6:$AZ$6,0),MATCH(L$5&amp;"",'Oxford Economics'!$A$6:$AZ$6,0))),'Oxford Economics'!$A$7:$A$1000,$C42,'Oxford Economics'!$B$7:$B$1000,Settings!$B$31)))),""))</f>
        <v/>
      </c>
      <c r="M42" s="41" t="str">
        <f aca="false">IF($A42="","",IFERROR(1/(1/IF($B42="Residential",(SUMIFS(INDEX('Oxford Economics'!$A$7:$AZ$1000,0,IFERROR(MATCH(M$5,'Oxford Economics'!$A$6:$AZ$6,0),MATCH(M$5&amp;"",'Oxford Economics'!$A$6:$AZ$6,0))),'Oxford Economics'!$A$7:$A$1000,$C42,'Oxford Economics'!$B$7:$B$1000,Settings!$B$29)-SUMIFS(INDEX('Oxford Economics'!$A$7:$AZ$1000,0,IFERROR(MATCH(M$5,'Oxford Economics'!$A$6:$AZ$6,0),MATCH(M$5&amp;"",'Oxford Economics'!$A$6:$AZ$6,0))),'Oxford Economics'!$A$7:$A$1000,$C42,'Oxford Economics'!$B$7:$B$1000,Settings!$B$30)),(SUMIFS(INDEX('Oxford Economics'!$A$7:$AZ$1000,0,IFERROR(MATCH(M$5,'Oxford Economics'!$A$6:$AZ$6,0),MATCH(M$5&amp;"",'Oxford Economics'!$A$6:$AZ$6,0))),'Oxford Economics'!$A$7:$A$1000,$C42,'Oxford Economics'!$B$7:$B$1000,Settings!$B$30)+SUMIFS(INDEX('Oxford Economics'!$A$7:$AZ$1000,0,IFERROR(MATCH(M$5,'Oxford Economics'!$A$6:$AZ$6,0),MATCH(M$5&amp;"",'Oxford Economics'!$A$6:$AZ$6,0))),'Oxford Economics'!$A$7:$A$1000,$C42,'Oxford Economics'!$B$7:$B$1000,Settings!$B$31)))),""))</f>
        <v/>
      </c>
      <c r="N42" s="41" t="str">
        <f aca="false">IF($A42="","",IFERROR(1/(1/IF($B42="Residential",(SUMIFS(INDEX('Oxford Economics'!$A$7:$AZ$1000,0,IFERROR(MATCH(N$5,'Oxford Economics'!$A$6:$AZ$6,0),MATCH(N$5&amp;"",'Oxford Economics'!$A$6:$AZ$6,0))),'Oxford Economics'!$A$7:$A$1000,$C42,'Oxford Economics'!$B$7:$B$1000,Settings!$B$29)-SUMIFS(INDEX('Oxford Economics'!$A$7:$AZ$1000,0,IFERROR(MATCH(N$5,'Oxford Economics'!$A$6:$AZ$6,0),MATCH(N$5&amp;"",'Oxford Economics'!$A$6:$AZ$6,0))),'Oxford Economics'!$A$7:$A$1000,$C42,'Oxford Economics'!$B$7:$B$1000,Settings!$B$30)),(SUMIFS(INDEX('Oxford Economics'!$A$7:$AZ$1000,0,IFERROR(MATCH(N$5,'Oxford Economics'!$A$6:$AZ$6,0),MATCH(N$5&amp;"",'Oxford Economics'!$A$6:$AZ$6,0))),'Oxford Economics'!$A$7:$A$1000,$C42,'Oxford Economics'!$B$7:$B$1000,Settings!$B$30)+SUMIFS(INDEX('Oxford Economics'!$A$7:$AZ$1000,0,IFERROR(MATCH(N$5,'Oxford Economics'!$A$6:$AZ$6,0),MATCH(N$5&amp;"",'Oxford Economics'!$A$6:$AZ$6,0))),'Oxford Economics'!$A$7:$A$1000,$C42,'Oxford Economics'!$B$7:$B$1000,Settings!$B$31)))),""))</f>
        <v/>
      </c>
      <c r="O42" s="41" t="str">
        <f aca="false">IF($A42="","",IFERROR(1/(1/IF($B42="Residential",(SUMIFS(INDEX('Oxford Economics'!$A$7:$AZ$1000,0,IFERROR(MATCH(O$5,'Oxford Economics'!$A$6:$AZ$6,0),MATCH(O$5&amp;"",'Oxford Economics'!$A$6:$AZ$6,0))),'Oxford Economics'!$A$7:$A$1000,$C42,'Oxford Economics'!$B$7:$B$1000,Settings!$B$29)-SUMIFS(INDEX('Oxford Economics'!$A$7:$AZ$1000,0,IFERROR(MATCH(O$5,'Oxford Economics'!$A$6:$AZ$6,0),MATCH(O$5&amp;"",'Oxford Economics'!$A$6:$AZ$6,0))),'Oxford Economics'!$A$7:$A$1000,$C42,'Oxford Economics'!$B$7:$B$1000,Settings!$B$30)),(SUMIFS(INDEX('Oxford Economics'!$A$7:$AZ$1000,0,IFERROR(MATCH(O$5,'Oxford Economics'!$A$6:$AZ$6,0),MATCH(O$5&amp;"",'Oxford Economics'!$A$6:$AZ$6,0))),'Oxford Economics'!$A$7:$A$1000,$C42,'Oxford Economics'!$B$7:$B$1000,Settings!$B$30)+SUMIFS(INDEX('Oxford Economics'!$A$7:$AZ$1000,0,IFERROR(MATCH(O$5,'Oxford Economics'!$A$6:$AZ$6,0),MATCH(O$5&amp;"",'Oxford Economics'!$A$6:$AZ$6,0))),'Oxford Economics'!$A$7:$A$1000,$C42,'Oxford Economics'!$B$7:$B$1000,Settings!$B$31)))),""))</f>
        <v/>
      </c>
    </row>
    <row r="43" customFormat="false" ht="15" hidden="false" customHeight="false" outlineLevel="0" collapsed="false">
      <c r="A43" s="40" t="str">
        <f aca="false">IF('Raw data'!$A43="","",'Raw data'!$A43)</f>
        <v/>
      </c>
      <c r="B43" s="40" t="str">
        <f aca="false">IF($A43="","",'Raw data'!$C43)</f>
        <v/>
      </c>
      <c r="C43" s="40" t="str">
        <f aca="false">IF($A43="","",IF('Raw data'!$D43="",$A43,'Raw data'!$D43))</f>
        <v/>
      </c>
      <c r="D43" s="41" t="str">
        <f aca="false">IF($A43="","",IFERROR(1/(1/IF($B43="Residential",(SUMIFS(INDEX('Oxford Economics'!$A$7:$AZ$1000,0,IFERROR(MATCH(D$5,'Oxford Economics'!$A$6:$AZ$6,0),MATCH(D$5&amp;"",'Oxford Economics'!$A$6:$AZ$6,0))),'Oxford Economics'!$A$7:$A$1000,$C43,'Oxford Economics'!$B$7:$B$1000,Settings!$B$29)-SUMIFS(INDEX('Oxford Economics'!$A$7:$AZ$1000,0,IFERROR(MATCH(D$5,'Oxford Economics'!$A$6:$AZ$6,0),MATCH(D$5&amp;"",'Oxford Economics'!$A$6:$AZ$6,0))),'Oxford Economics'!$A$7:$A$1000,$C43,'Oxford Economics'!$B$7:$B$1000,Settings!$B$30)),(SUMIFS(INDEX('Oxford Economics'!$A$7:$AZ$1000,0,IFERROR(MATCH(D$5,'Oxford Economics'!$A$6:$AZ$6,0),MATCH(D$5&amp;"",'Oxford Economics'!$A$6:$AZ$6,0))),'Oxford Economics'!$A$7:$A$1000,$C43,'Oxford Economics'!$B$7:$B$1000,Settings!$B$30)+SUMIFS(INDEX('Oxford Economics'!$A$7:$AZ$1000,0,IFERROR(MATCH(D$5,'Oxford Economics'!$A$6:$AZ$6,0),MATCH(D$5&amp;"",'Oxford Economics'!$A$6:$AZ$6,0))),'Oxford Economics'!$A$7:$A$1000,$C43,'Oxford Economics'!$B$7:$B$1000,Settings!$B$31)))),""))</f>
        <v/>
      </c>
      <c r="E43" s="41" t="str">
        <f aca="false">IF($A43="","",IFERROR(1/(1/IF($B43="Residential",(SUMIFS(INDEX('Oxford Economics'!$A$7:$AZ$1000,0,IFERROR(MATCH(E$5,'Oxford Economics'!$A$6:$AZ$6,0),MATCH(E$5&amp;"",'Oxford Economics'!$A$6:$AZ$6,0))),'Oxford Economics'!$A$7:$A$1000,$C43,'Oxford Economics'!$B$7:$B$1000,Settings!$B$29)-SUMIFS(INDEX('Oxford Economics'!$A$7:$AZ$1000,0,IFERROR(MATCH(E$5,'Oxford Economics'!$A$6:$AZ$6,0),MATCH(E$5&amp;"",'Oxford Economics'!$A$6:$AZ$6,0))),'Oxford Economics'!$A$7:$A$1000,$C43,'Oxford Economics'!$B$7:$B$1000,Settings!$B$30)),(SUMIFS(INDEX('Oxford Economics'!$A$7:$AZ$1000,0,IFERROR(MATCH(E$5,'Oxford Economics'!$A$6:$AZ$6,0),MATCH(E$5&amp;"",'Oxford Economics'!$A$6:$AZ$6,0))),'Oxford Economics'!$A$7:$A$1000,$C43,'Oxford Economics'!$B$7:$B$1000,Settings!$B$30)+SUMIFS(INDEX('Oxford Economics'!$A$7:$AZ$1000,0,IFERROR(MATCH(E$5,'Oxford Economics'!$A$6:$AZ$6,0),MATCH(E$5&amp;"",'Oxford Economics'!$A$6:$AZ$6,0))),'Oxford Economics'!$A$7:$A$1000,$C43,'Oxford Economics'!$B$7:$B$1000,Settings!$B$31)))),""))</f>
        <v/>
      </c>
      <c r="F43" s="41" t="str">
        <f aca="false">IF($A43="","",IFERROR(1/(1/IF($B43="Residential",(SUMIFS(INDEX('Oxford Economics'!$A$7:$AZ$1000,0,IFERROR(MATCH(F$5,'Oxford Economics'!$A$6:$AZ$6,0),MATCH(F$5&amp;"",'Oxford Economics'!$A$6:$AZ$6,0))),'Oxford Economics'!$A$7:$A$1000,$C43,'Oxford Economics'!$B$7:$B$1000,Settings!$B$29)-SUMIFS(INDEX('Oxford Economics'!$A$7:$AZ$1000,0,IFERROR(MATCH(F$5,'Oxford Economics'!$A$6:$AZ$6,0),MATCH(F$5&amp;"",'Oxford Economics'!$A$6:$AZ$6,0))),'Oxford Economics'!$A$7:$A$1000,$C43,'Oxford Economics'!$B$7:$B$1000,Settings!$B$30)),(SUMIFS(INDEX('Oxford Economics'!$A$7:$AZ$1000,0,IFERROR(MATCH(F$5,'Oxford Economics'!$A$6:$AZ$6,0),MATCH(F$5&amp;"",'Oxford Economics'!$A$6:$AZ$6,0))),'Oxford Economics'!$A$7:$A$1000,$C43,'Oxford Economics'!$B$7:$B$1000,Settings!$B$30)+SUMIFS(INDEX('Oxford Economics'!$A$7:$AZ$1000,0,IFERROR(MATCH(F$5,'Oxford Economics'!$A$6:$AZ$6,0),MATCH(F$5&amp;"",'Oxford Economics'!$A$6:$AZ$6,0))),'Oxford Economics'!$A$7:$A$1000,$C43,'Oxford Economics'!$B$7:$B$1000,Settings!$B$31)))),""))</f>
        <v/>
      </c>
      <c r="G43" s="41" t="str">
        <f aca="false">IF($A43="","",IFERROR(1/(1/IF($B43="Residential",(SUMIFS(INDEX('Oxford Economics'!$A$7:$AZ$1000,0,IFERROR(MATCH(G$5,'Oxford Economics'!$A$6:$AZ$6,0),MATCH(G$5&amp;"",'Oxford Economics'!$A$6:$AZ$6,0))),'Oxford Economics'!$A$7:$A$1000,$C43,'Oxford Economics'!$B$7:$B$1000,Settings!$B$29)-SUMIFS(INDEX('Oxford Economics'!$A$7:$AZ$1000,0,IFERROR(MATCH(G$5,'Oxford Economics'!$A$6:$AZ$6,0),MATCH(G$5&amp;"",'Oxford Economics'!$A$6:$AZ$6,0))),'Oxford Economics'!$A$7:$A$1000,$C43,'Oxford Economics'!$B$7:$B$1000,Settings!$B$30)),(SUMIFS(INDEX('Oxford Economics'!$A$7:$AZ$1000,0,IFERROR(MATCH(G$5,'Oxford Economics'!$A$6:$AZ$6,0),MATCH(G$5&amp;"",'Oxford Economics'!$A$6:$AZ$6,0))),'Oxford Economics'!$A$7:$A$1000,$C43,'Oxford Economics'!$B$7:$B$1000,Settings!$B$30)+SUMIFS(INDEX('Oxford Economics'!$A$7:$AZ$1000,0,IFERROR(MATCH(G$5,'Oxford Economics'!$A$6:$AZ$6,0),MATCH(G$5&amp;"",'Oxford Economics'!$A$6:$AZ$6,0))),'Oxford Economics'!$A$7:$A$1000,$C43,'Oxford Economics'!$B$7:$B$1000,Settings!$B$31)))),""))</f>
        <v/>
      </c>
      <c r="H43" s="41" t="str">
        <f aca="false">IF($A43="","",IFERROR(1/(1/IF($B43="Residential",(SUMIFS(INDEX('Oxford Economics'!$A$7:$AZ$1000,0,IFERROR(MATCH(H$5,'Oxford Economics'!$A$6:$AZ$6,0),MATCH(H$5&amp;"",'Oxford Economics'!$A$6:$AZ$6,0))),'Oxford Economics'!$A$7:$A$1000,$C43,'Oxford Economics'!$B$7:$B$1000,Settings!$B$29)-SUMIFS(INDEX('Oxford Economics'!$A$7:$AZ$1000,0,IFERROR(MATCH(H$5,'Oxford Economics'!$A$6:$AZ$6,0),MATCH(H$5&amp;"",'Oxford Economics'!$A$6:$AZ$6,0))),'Oxford Economics'!$A$7:$A$1000,$C43,'Oxford Economics'!$B$7:$B$1000,Settings!$B$30)),(SUMIFS(INDEX('Oxford Economics'!$A$7:$AZ$1000,0,IFERROR(MATCH(H$5,'Oxford Economics'!$A$6:$AZ$6,0),MATCH(H$5&amp;"",'Oxford Economics'!$A$6:$AZ$6,0))),'Oxford Economics'!$A$7:$A$1000,$C43,'Oxford Economics'!$B$7:$B$1000,Settings!$B$30)+SUMIFS(INDEX('Oxford Economics'!$A$7:$AZ$1000,0,IFERROR(MATCH(H$5,'Oxford Economics'!$A$6:$AZ$6,0),MATCH(H$5&amp;"",'Oxford Economics'!$A$6:$AZ$6,0))),'Oxford Economics'!$A$7:$A$1000,$C43,'Oxford Economics'!$B$7:$B$1000,Settings!$B$31)))),""))</f>
        <v/>
      </c>
      <c r="I43" s="41" t="str">
        <f aca="false">IF($A43="","",IFERROR(1/(1/IF($B43="Residential",(SUMIFS(INDEX('Oxford Economics'!$A$7:$AZ$1000,0,IFERROR(MATCH(I$5,'Oxford Economics'!$A$6:$AZ$6,0),MATCH(I$5&amp;"",'Oxford Economics'!$A$6:$AZ$6,0))),'Oxford Economics'!$A$7:$A$1000,$C43,'Oxford Economics'!$B$7:$B$1000,Settings!$B$29)-SUMIFS(INDEX('Oxford Economics'!$A$7:$AZ$1000,0,IFERROR(MATCH(I$5,'Oxford Economics'!$A$6:$AZ$6,0),MATCH(I$5&amp;"",'Oxford Economics'!$A$6:$AZ$6,0))),'Oxford Economics'!$A$7:$A$1000,$C43,'Oxford Economics'!$B$7:$B$1000,Settings!$B$30)),(SUMIFS(INDEX('Oxford Economics'!$A$7:$AZ$1000,0,IFERROR(MATCH(I$5,'Oxford Economics'!$A$6:$AZ$6,0),MATCH(I$5&amp;"",'Oxford Economics'!$A$6:$AZ$6,0))),'Oxford Economics'!$A$7:$A$1000,$C43,'Oxford Economics'!$B$7:$B$1000,Settings!$B$30)+SUMIFS(INDEX('Oxford Economics'!$A$7:$AZ$1000,0,IFERROR(MATCH(I$5,'Oxford Economics'!$A$6:$AZ$6,0),MATCH(I$5&amp;"",'Oxford Economics'!$A$6:$AZ$6,0))),'Oxford Economics'!$A$7:$A$1000,$C43,'Oxford Economics'!$B$7:$B$1000,Settings!$B$31)))),""))</f>
        <v/>
      </c>
      <c r="J43" s="41" t="str">
        <f aca="false">IF($A43="","",IFERROR(1/(1/IF($B43="Residential",(SUMIFS(INDEX('Oxford Economics'!$A$7:$AZ$1000,0,IFERROR(MATCH(J$5,'Oxford Economics'!$A$6:$AZ$6,0),MATCH(J$5&amp;"",'Oxford Economics'!$A$6:$AZ$6,0))),'Oxford Economics'!$A$7:$A$1000,$C43,'Oxford Economics'!$B$7:$B$1000,Settings!$B$29)-SUMIFS(INDEX('Oxford Economics'!$A$7:$AZ$1000,0,IFERROR(MATCH(J$5,'Oxford Economics'!$A$6:$AZ$6,0),MATCH(J$5&amp;"",'Oxford Economics'!$A$6:$AZ$6,0))),'Oxford Economics'!$A$7:$A$1000,$C43,'Oxford Economics'!$B$7:$B$1000,Settings!$B$30)),(SUMIFS(INDEX('Oxford Economics'!$A$7:$AZ$1000,0,IFERROR(MATCH(J$5,'Oxford Economics'!$A$6:$AZ$6,0),MATCH(J$5&amp;"",'Oxford Economics'!$A$6:$AZ$6,0))),'Oxford Economics'!$A$7:$A$1000,$C43,'Oxford Economics'!$B$7:$B$1000,Settings!$B$30)+SUMIFS(INDEX('Oxford Economics'!$A$7:$AZ$1000,0,IFERROR(MATCH(J$5,'Oxford Economics'!$A$6:$AZ$6,0),MATCH(J$5&amp;"",'Oxford Economics'!$A$6:$AZ$6,0))),'Oxford Economics'!$A$7:$A$1000,$C43,'Oxford Economics'!$B$7:$B$1000,Settings!$B$31)))),""))</f>
        <v/>
      </c>
      <c r="K43" s="41" t="str">
        <f aca="false">IF($A43="","",IFERROR(1/(1/IF($B43="Residential",(SUMIFS(INDEX('Oxford Economics'!$A$7:$AZ$1000,0,IFERROR(MATCH(K$5,'Oxford Economics'!$A$6:$AZ$6,0),MATCH(K$5&amp;"",'Oxford Economics'!$A$6:$AZ$6,0))),'Oxford Economics'!$A$7:$A$1000,$C43,'Oxford Economics'!$B$7:$B$1000,Settings!$B$29)-SUMIFS(INDEX('Oxford Economics'!$A$7:$AZ$1000,0,IFERROR(MATCH(K$5,'Oxford Economics'!$A$6:$AZ$6,0),MATCH(K$5&amp;"",'Oxford Economics'!$A$6:$AZ$6,0))),'Oxford Economics'!$A$7:$A$1000,$C43,'Oxford Economics'!$B$7:$B$1000,Settings!$B$30)),(SUMIFS(INDEX('Oxford Economics'!$A$7:$AZ$1000,0,IFERROR(MATCH(K$5,'Oxford Economics'!$A$6:$AZ$6,0),MATCH(K$5&amp;"",'Oxford Economics'!$A$6:$AZ$6,0))),'Oxford Economics'!$A$7:$A$1000,$C43,'Oxford Economics'!$B$7:$B$1000,Settings!$B$30)+SUMIFS(INDEX('Oxford Economics'!$A$7:$AZ$1000,0,IFERROR(MATCH(K$5,'Oxford Economics'!$A$6:$AZ$6,0),MATCH(K$5&amp;"",'Oxford Economics'!$A$6:$AZ$6,0))),'Oxford Economics'!$A$7:$A$1000,$C43,'Oxford Economics'!$B$7:$B$1000,Settings!$B$31)))),""))</f>
        <v/>
      </c>
      <c r="L43" s="41" t="str">
        <f aca="false">IF($A43="","",IFERROR(1/(1/IF($B43="Residential",(SUMIFS(INDEX('Oxford Economics'!$A$7:$AZ$1000,0,IFERROR(MATCH(L$5,'Oxford Economics'!$A$6:$AZ$6,0),MATCH(L$5&amp;"",'Oxford Economics'!$A$6:$AZ$6,0))),'Oxford Economics'!$A$7:$A$1000,$C43,'Oxford Economics'!$B$7:$B$1000,Settings!$B$29)-SUMIFS(INDEX('Oxford Economics'!$A$7:$AZ$1000,0,IFERROR(MATCH(L$5,'Oxford Economics'!$A$6:$AZ$6,0),MATCH(L$5&amp;"",'Oxford Economics'!$A$6:$AZ$6,0))),'Oxford Economics'!$A$7:$A$1000,$C43,'Oxford Economics'!$B$7:$B$1000,Settings!$B$30)),(SUMIFS(INDEX('Oxford Economics'!$A$7:$AZ$1000,0,IFERROR(MATCH(L$5,'Oxford Economics'!$A$6:$AZ$6,0),MATCH(L$5&amp;"",'Oxford Economics'!$A$6:$AZ$6,0))),'Oxford Economics'!$A$7:$A$1000,$C43,'Oxford Economics'!$B$7:$B$1000,Settings!$B$30)+SUMIFS(INDEX('Oxford Economics'!$A$7:$AZ$1000,0,IFERROR(MATCH(L$5,'Oxford Economics'!$A$6:$AZ$6,0),MATCH(L$5&amp;"",'Oxford Economics'!$A$6:$AZ$6,0))),'Oxford Economics'!$A$7:$A$1000,$C43,'Oxford Economics'!$B$7:$B$1000,Settings!$B$31)))),""))</f>
        <v/>
      </c>
      <c r="M43" s="41" t="str">
        <f aca="false">IF($A43="","",IFERROR(1/(1/IF($B43="Residential",(SUMIFS(INDEX('Oxford Economics'!$A$7:$AZ$1000,0,IFERROR(MATCH(M$5,'Oxford Economics'!$A$6:$AZ$6,0),MATCH(M$5&amp;"",'Oxford Economics'!$A$6:$AZ$6,0))),'Oxford Economics'!$A$7:$A$1000,$C43,'Oxford Economics'!$B$7:$B$1000,Settings!$B$29)-SUMIFS(INDEX('Oxford Economics'!$A$7:$AZ$1000,0,IFERROR(MATCH(M$5,'Oxford Economics'!$A$6:$AZ$6,0),MATCH(M$5&amp;"",'Oxford Economics'!$A$6:$AZ$6,0))),'Oxford Economics'!$A$7:$A$1000,$C43,'Oxford Economics'!$B$7:$B$1000,Settings!$B$30)),(SUMIFS(INDEX('Oxford Economics'!$A$7:$AZ$1000,0,IFERROR(MATCH(M$5,'Oxford Economics'!$A$6:$AZ$6,0),MATCH(M$5&amp;"",'Oxford Economics'!$A$6:$AZ$6,0))),'Oxford Economics'!$A$7:$A$1000,$C43,'Oxford Economics'!$B$7:$B$1000,Settings!$B$30)+SUMIFS(INDEX('Oxford Economics'!$A$7:$AZ$1000,0,IFERROR(MATCH(M$5,'Oxford Economics'!$A$6:$AZ$6,0),MATCH(M$5&amp;"",'Oxford Economics'!$A$6:$AZ$6,0))),'Oxford Economics'!$A$7:$A$1000,$C43,'Oxford Economics'!$B$7:$B$1000,Settings!$B$31)))),""))</f>
        <v/>
      </c>
      <c r="N43" s="41" t="str">
        <f aca="false">IF($A43="","",IFERROR(1/(1/IF($B43="Residential",(SUMIFS(INDEX('Oxford Economics'!$A$7:$AZ$1000,0,IFERROR(MATCH(N$5,'Oxford Economics'!$A$6:$AZ$6,0),MATCH(N$5&amp;"",'Oxford Economics'!$A$6:$AZ$6,0))),'Oxford Economics'!$A$7:$A$1000,$C43,'Oxford Economics'!$B$7:$B$1000,Settings!$B$29)-SUMIFS(INDEX('Oxford Economics'!$A$7:$AZ$1000,0,IFERROR(MATCH(N$5,'Oxford Economics'!$A$6:$AZ$6,0),MATCH(N$5&amp;"",'Oxford Economics'!$A$6:$AZ$6,0))),'Oxford Economics'!$A$7:$A$1000,$C43,'Oxford Economics'!$B$7:$B$1000,Settings!$B$30)),(SUMIFS(INDEX('Oxford Economics'!$A$7:$AZ$1000,0,IFERROR(MATCH(N$5,'Oxford Economics'!$A$6:$AZ$6,0),MATCH(N$5&amp;"",'Oxford Economics'!$A$6:$AZ$6,0))),'Oxford Economics'!$A$7:$A$1000,$C43,'Oxford Economics'!$B$7:$B$1000,Settings!$B$30)+SUMIFS(INDEX('Oxford Economics'!$A$7:$AZ$1000,0,IFERROR(MATCH(N$5,'Oxford Economics'!$A$6:$AZ$6,0),MATCH(N$5&amp;"",'Oxford Economics'!$A$6:$AZ$6,0))),'Oxford Economics'!$A$7:$A$1000,$C43,'Oxford Economics'!$B$7:$B$1000,Settings!$B$31)))),""))</f>
        <v/>
      </c>
      <c r="O43" s="41" t="str">
        <f aca="false">IF($A43="","",IFERROR(1/(1/IF($B43="Residential",(SUMIFS(INDEX('Oxford Economics'!$A$7:$AZ$1000,0,IFERROR(MATCH(O$5,'Oxford Economics'!$A$6:$AZ$6,0),MATCH(O$5&amp;"",'Oxford Economics'!$A$6:$AZ$6,0))),'Oxford Economics'!$A$7:$A$1000,$C43,'Oxford Economics'!$B$7:$B$1000,Settings!$B$29)-SUMIFS(INDEX('Oxford Economics'!$A$7:$AZ$1000,0,IFERROR(MATCH(O$5,'Oxford Economics'!$A$6:$AZ$6,0),MATCH(O$5&amp;"",'Oxford Economics'!$A$6:$AZ$6,0))),'Oxford Economics'!$A$7:$A$1000,$C43,'Oxford Economics'!$B$7:$B$1000,Settings!$B$30)),(SUMIFS(INDEX('Oxford Economics'!$A$7:$AZ$1000,0,IFERROR(MATCH(O$5,'Oxford Economics'!$A$6:$AZ$6,0),MATCH(O$5&amp;"",'Oxford Economics'!$A$6:$AZ$6,0))),'Oxford Economics'!$A$7:$A$1000,$C43,'Oxford Economics'!$B$7:$B$1000,Settings!$B$30)+SUMIFS(INDEX('Oxford Economics'!$A$7:$AZ$1000,0,IFERROR(MATCH(O$5,'Oxford Economics'!$A$6:$AZ$6,0),MATCH(O$5&amp;"",'Oxford Economics'!$A$6:$AZ$6,0))),'Oxford Economics'!$A$7:$A$1000,$C43,'Oxford Economics'!$B$7:$B$1000,Settings!$B$31)))),""))</f>
        <v/>
      </c>
    </row>
    <row r="44" customFormat="false" ht="15" hidden="false" customHeight="false" outlineLevel="0" collapsed="false">
      <c r="A44" s="40" t="str">
        <f aca="false">IF('Raw data'!$A44="","",'Raw data'!$A44)</f>
        <v/>
      </c>
      <c r="B44" s="40" t="str">
        <f aca="false">IF($A44="","",'Raw data'!$C44)</f>
        <v/>
      </c>
      <c r="C44" s="40" t="str">
        <f aca="false">IF($A44="","",IF('Raw data'!$D44="",$A44,'Raw data'!$D44))</f>
        <v/>
      </c>
      <c r="D44" s="41" t="str">
        <f aca="false">IF($A44="","",IFERROR(1/(1/IF($B44="Residential",(SUMIFS(INDEX('Oxford Economics'!$A$7:$AZ$1000,0,IFERROR(MATCH(D$5,'Oxford Economics'!$A$6:$AZ$6,0),MATCH(D$5&amp;"",'Oxford Economics'!$A$6:$AZ$6,0))),'Oxford Economics'!$A$7:$A$1000,$C44,'Oxford Economics'!$B$7:$B$1000,Settings!$B$29)-SUMIFS(INDEX('Oxford Economics'!$A$7:$AZ$1000,0,IFERROR(MATCH(D$5,'Oxford Economics'!$A$6:$AZ$6,0),MATCH(D$5&amp;"",'Oxford Economics'!$A$6:$AZ$6,0))),'Oxford Economics'!$A$7:$A$1000,$C44,'Oxford Economics'!$B$7:$B$1000,Settings!$B$30)),(SUMIFS(INDEX('Oxford Economics'!$A$7:$AZ$1000,0,IFERROR(MATCH(D$5,'Oxford Economics'!$A$6:$AZ$6,0),MATCH(D$5&amp;"",'Oxford Economics'!$A$6:$AZ$6,0))),'Oxford Economics'!$A$7:$A$1000,$C44,'Oxford Economics'!$B$7:$B$1000,Settings!$B$30)+SUMIFS(INDEX('Oxford Economics'!$A$7:$AZ$1000,0,IFERROR(MATCH(D$5,'Oxford Economics'!$A$6:$AZ$6,0),MATCH(D$5&amp;"",'Oxford Economics'!$A$6:$AZ$6,0))),'Oxford Economics'!$A$7:$A$1000,$C44,'Oxford Economics'!$B$7:$B$1000,Settings!$B$31)))),""))</f>
        <v/>
      </c>
      <c r="E44" s="41" t="str">
        <f aca="false">IF($A44="","",IFERROR(1/(1/IF($B44="Residential",(SUMIFS(INDEX('Oxford Economics'!$A$7:$AZ$1000,0,IFERROR(MATCH(E$5,'Oxford Economics'!$A$6:$AZ$6,0),MATCH(E$5&amp;"",'Oxford Economics'!$A$6:$AZ$6,0))),'Oxford Economics'!$A$7:$A$1000,$C44,'Oxford Economics'!$B$7:$B$1000,Settings!$B$29)-SUMIFS(INDEX('Oxford Economics'!$A$7:$AZ$1000,0,IFERROR(MATCH(E$5,'Oxford Economics'!$A$6:$AZ$6,0),MATCH(E$5&amp;"",'Oxford Economics'!$A$6:$AZ$6,0))),'Oxford Economics'!$A$7:$A$1000,$C44,'Oxford Economics'!$B$7:$B$1000,Settings!$B$30)),(SUMIFS(INDEX('Oxford Economics'!$A$7:$AZ$1000,0,IFERROR(MATCH(E$5,'Oxford Economics'!$A$6:$AZ$6,0),MATCH(E$5&amp;"",'Oxford Economics'!$A$6:$AZ$6,0))),'Oxford Economics'!$A$7:$A$1000,$C44,'Oxford Economics'!$B$7:$B$1000,Settings!$B$30)+SUMIFS(INDEX('Oxford Economics'!$A$7:$AZ$1000,0,IFERROR(MATCH(E$5,'Oxford Economics'!$A$6:$AZ$6,0),MATCH(E$5&amp;"",'Oxford Economics'!$A$6:$AZ$6,0))),'Oxford Economics'!$A$7:$A$1000,$C44,'Oxford Economics'!$B$7:$B$1000,Settings!$B$31)))),""))</f>
        <v/>
      </c>
      <c r="F44" s="41" t="str">
        <f aca="false">IF($A44="","",IFERROR(1/(1/IF($B44="Residential",(SUMIFS(INDEX('Oxford Economics'!$A$7:$AZ$1000,0,IFERROR(MATCH(F$5,'Oxford Economics'!$A$6:$AZ$6,0),MATCH(F$5&amp;"",'Oxford Economics'!$A$6:$AZ$6,0))),'Oxford Economics'!$A$7:$A$1000,$C44,'Oxford Economics'!$B$7:$B$1000,Settings!$B$29)-SUMIFS(INDEX('Oxford Economics'!$A$7:$AZ$1000,0,IFERROR(MATCH(F$5,'Oxford Economics'!$A$6:$AZ$6,0),MATCH(F$5&amp;"",'Oxford Economics'!$A$6:$AZ$6,0))),'Oxford Economics'!$A$7:$A$1000,$C44,'Oxford Economics'!$B$7:$B$1000,Settings!$B$30)),(SUMIFS(INDEX('Oxford Economics'!$A$7:$AZ$1000,0,IFERROR(MATCH(F$5,'Oxford Economics'!$A$6:$AZ$6,0),MATCH(F$5&amp;"",'Oxford Economics'!$A$6:$AZ$6,0))),'Oxford Economics'!$A$7:$A$1000,$C44,'Oxford Economics'!$B$7:$B$1000,Settings!$B$30)+SUMIFS(INDEX('Oxford Economics'!$A$7:$AZ$1000,0,IFERROR(MATCH(F$5,'Oxford Economics'!$A$6:$AZ$6,0),MATCH(F$5&amp;"",'Oxford Economics'!$A$6:$AZ$6,0))),'Oxford Economics'!$A$7:$A$1000,$C44,'Oxford Economics'!$B$7:$B$1000,Settings!$B$31)))),""))</f>
        <v/>
      </c>
      <c r="G44" s="41" t="str">
        <f aca="false">IF($A44="","",IFERROR(1/(1/IF($B44="Residential",(SUMIFS(INDEX('Oxford Economics'!$A$7:$AZ$1000,0,IFERROR(MATCH(G$5,'Oxford Economics'!$A$6:$AZ$6,0),MATCH(G$5&amp;"",'Oxford Economics'!$A$6:$AZ$6,0))),'Oxford Economics'!$A$7:$A$1000,$C44,'Oxford Economics'!$B$7:$B$1000,Settings!$B$29)-SUMIFS(INDEX('Oxford Economics'!$A$7:$AZ$1000,0,IFERROR(MATCH(G$5,'Oxford Economics'!$A$6:$AZ$6,0),MATCH(G$5&amp;"",'Oxford Economics'!$A$6:$AZ$6,0))),'Oxford Economics'!$A$7:$A$1000,$C44,'Oxford Economics'!$B$7:$B$1000,Settings!$B$30)),(SUMIFS(INDEX('Oxford Economics'!$A$7:$AZ$1000,0,IFERROR(MATCH(G$5,'Oxford Economics'!$A$6:$AZ$6,0),MATCH(G$5&amp;"",'Oxford Economics'!$A$6:$AZ$6,0))),'Oxford Economics'!$A$7:$A$1000,$C44,'Oxford Economics'!$B$7:$B$1000,Settings!$B$30)+SUMIFS(INDEX('Oxford Economics'!$A$7:$AZ$1000,0,IFERROR(MATCH(G$5,'Oxford Economics'!$A$6:$AZ$6,0),MATCH(G$5&amp;"",'Oxford Economics'!$A$6:$AZ$6,0))),'Oxford Economics'!$A$7:$A$1000,$C44,'Oxford Economics'!$B$7:$B$1000,Settings!$B$31)))),""))</f>
        <v/>
      </c>
      <c r="H44" s="41" t="str">
        <f aca="false">IF($A44="","",IFERROR(1/(1/IF($B44="Residential",(SUMIFS(INDEX('Oxford Economics'!$A$7:$AZ$1000,0,IFERROR(MATCH(H$5,'Oxford Economics'!$A$6:$AZ$6,0),MATCH(H$5&amp;"",'Oxford Economics'!$A$6:$AZ$6,0))),'Oxford Economics'!$A$7:$A$1000,$C44,'Oxford Economics'!$B$7:$B$1000,Settings!$B$29)-SUMIFS(INDEX('Oxford Economics'!$A$7:$AZ$1000,0,IFERROR(MATCH(H$5,'Oxford Economics'!$A$6:$AZ$6,0),MATCH(H$5&amp;"",'Oxford Economics'!$A$6:$AZ$6,0))),'Oxford Economics'!$A$7:$A$1000,$C44,'Oxford Economics'!$B$7:$B$1000,Settings!$B$30)),(SUMIFS(INDEX('Oxford Economics'!$A$7:$AZ$1000,0,IFERROR(MATCH(H$5,'Oxford Economics'!$A$6:$AZ$6,0),MATCH(H$5&amp;"",'Oxford Economics'!$A$6:$AZ$6,0))),'Oxford Economics'!$A$7:$A$1000,$C44,'Oxford Economics'!$B$7:$B$1000,Settings!$B$30)+SUMIFS(INDEX('Oxford Economics'!$A$7:$AZ$1000,0,IFERROR(MATCH(H$5,'Oxford Economics'!$A$6:$AZ$6,0),MATCH(H$5&amp;"",'Oxford Economics'!$A$6:$AZ$6,0))),'Oxford Economics'!$A$7:$A$1000,$C44,'Oxford Economics'!$B$7:$B$1000,Settings!$B$31)))),""))</f>
        <v/>
      </c>
      <c r="I44" s="41" t="str">
        <f aca="false">IF($A44="","",IFERROR(1/(1/IF($B44="Residential",(SUMIFS(INDEX('Oxford Economics'!$A$7:$AZ$1000,0,IFERROR(MATCH(I$5,'Oxford Economics'!$A$6:$AZ$6,0),MATCH(I$5&amp;"",'Oxford Economics'!$A$6:$AZ$6,0))),'Oxford Economics'!$A$7:$A$1000,$C44,'Oxford Economics'!$B$7:$B$1000,Settings!$B$29)-SUMIFS(INDEX('Oxford Economics'!$A$7:$AZ$1000,0,IFERROR(MATCH(I$5,'Oxford Economics'!$A$6:$AZ$6,0),MATCH(I$5&amp;"",'Oxford Economics'!$A$6:$AZ$6,0))),'Oxford Economics'!$A$7:$A$1000,$C44,'Oxford Economics'!$B$7:$B$1000,Settings!$B$30)),(SUMIFS(INDEX('Oxford Economics'!$A$7:$AZ$1000,0,IFERROR(MATCH(I$5,'Oxford Economics'!$A$6:$AZ$6,0),MATCH(I$5&amp;"",'Oxford Economics'!$A$6:$AZ$6,0))),'Oxford Economics'!$A$7:$A$1000,$C44,'Oxford Economics'!$B$7:$B$1000,Settings!$B$30)+SUMIFS(INDEX('Oxford Economics'!$A$7:$AZ$1000,0,IFERROR(MATCH(I$5,'Oxford Economics'!$A$6:$AZ$6,0),MATCH(I$5&amp;"",'Oxford Economics'!$A$6:$AZ$6,0))),'Oxford Economics'!$A$7:$A$1000,$C44,'Oxford Economics'!$B$7:$B$1000,Settings!$B$31)))),""))</f>
        <v/>
      </c>
      <c r="J44" s="41" t="str">
        <f aca="false">IF($A44="","",IFERROR(1/(1/IF($B44="Residential",(SUMIFS(INDEX('Oxford Economics'!$A$7:$AZ$1000,0,IFERROR(MATCH(J$5,'Oxford Economics'!$A$6:$AZ$6,0),MATCH(J$5&amp;"",'Oxford Economics'!$A$6:$AZ$6,0))),'Oxford Economics'!$A$7:$A$1000,$C44,'Oxford Economics'!$B$7:$B$1000,Settings!$B$29)-SUMIFS(INDEX('Oxford Economics'!$A$7:$AZ$1000,0,IFERROR(MATCH(J$5,'Oxford Economics'!$A$6:$AZ$6,0),MATCH(J$5&amp;"",'Oxford Economics'!$A$6:$AZ$6,0))),'Oxford Economics'!$A$7:$A$1000,$C44,'Oxford Economics'!$B$7:$B$1000,Settings!$B$30)),(SUMIFS(INDEX('Oxford Economics'!$A$7:$AZ$1000,0,IFERROR(MATCH(J$5,'Oxford Economics'!$A$6:$AZ$6,0),MATCH(J$5&amp;"",'Oxford Economics'!$A$6:$AZ$6,0))),'Oxford Economics'!$A$7:$A$1000,$C44,'Oxford Economics'!$B$7:$B$1000,Settings!$B$30)+SUMIFS(INDEX('Oxford Economics'!$A$7:$AZ$1000,0,IFERROR(MATCH(J$5,'Oxford Economics'!$A$6:$AZ$6,0),MATCH(J$5&amp;"",'Oxford Economics'!$A$6:$AZ$6,0))),'Oxford Economics'!$A$7:$A$1000,$C44,'Oxford Economics'!$B$7:$B$1000,Settings!$B$31)))),""))</f>
        <v/>
      </c>
      <c r="K44" s="41" t="str">
        <f aca="false">IF($A44="","",IFERROR(1/(1/IF($B44="Residential",(SUMIFS(INDEX('Oxford Economics'!$A$7:$AZ$1000,0,IFERROR(MATCH(K$5,'Oxford Economics'!$A$6:$AZ$6,0),MATCH(K$5&amp;"",'Oxford Economics'!$A$6:$AZ$6,0))),'Oxford Economics'!$A$7:$A$1000,$C44,'Oxford Economics'!$B$7:$B$1000,Settings!$B$29)-SUMIFS(INDEX('Oxford Economics'!$A$7:$AZ$1000,0,IFERROR(MATCH(K$5,'Oxford Economics'!$A$6:$AZ$6,0),MATCH(K$5&amp;"",'Oxford Economics'!$A$6:$AZ$6,0))),'Oxford Economics'!$A$7:$A$1000,$C44,'Oxford Economics'!$B$7:$B$1000,Settings!$B$30)),(SUMIFS(INDEX('Oxford Economics'!$A$7:$AZ$1000,0,IFERROR(MATCH(K$5,'Oxford Economics'!$A$6:$AZ$6,0),MATCH(K$5&amp;"",'Oxford Economics'!$A$6:$AZ$6,0))),'Oxford Economics'!$A$7:$A$1000,$C44,'Oxford Economics'!$B$7:$B$1000,Settings!$B$30)+SUMIFS(INDEX('Oxford Economics'!$A$7:$AZ$1000,0,IFERROR(MATCH(K$5,'Oxford Economics'!$A$6:$AZ$6,0),MATCH(K$5&amp;"",'Oxford Economics'!$A$6:$AZ$6,0))),'Oxford Economics'!$A$7:$A$1000,$C44,'Oxford Economics'!$B$7:$B$1000,Settings!$B$31)))),""))</f>
        <v/>
      </c>
      <c r="L44" s="41" t="str">
        <f aca="false">IF($A44="","",IFERROR(1/(1/IF($B44="Residential",(SUMIFS(INDEX('Oxford Economics'!$A$7:$AZ$1000,0,IFERROR(MATCH(L$5,'Oxford Economics'!$A$6:$AZ$6,0),MATCH(L$5&amp;"",'Oxford Economics'!$A$6:$AZ$6,0))),'Oxford Economics'!$A$7:$A$1000,$C44,'Oxford Economics'!$B$7:$B$1000,Settings!$B$29)-SUMIFS(INDEX('Oxford Economics'!$A$7:$AZ$1000,0,IFERROR(MATCH(L$5,'Oxford Economics'!$A$6:$AZ$6,0),MATCH(L$5&amp;"",'Oxford Economics'!$A$6:$AZ$6,0))),'Oxford Economics'!$A$7:$A$1000,$C44,'Oxford Economics'!$B$7:$B$1000,Settings!$B$30)),(SUMIFS(INDEX('Oxford Economics'!$A$7:$AZ$1000,0,IFERROR(MATCH(L$5,'Oxford Economics'!$A$6:$AZ$6,0),MATCH(L$5&amp;"",'Oxford Economics'!$A$6:$AZ$6,0))),'Oxford Economics'!$A$7:$A$1000,$C44,'Oxford Economics'!$B$7:$B$1000,Settings!$B$30)+SUMIFS(INDEX('Oxford Economics'!$A$7:$AZ$1000,0,IFERROR(MATCH(L$5,'Oxford Economics'!$A$6:$AZ$6,0),MATCH(L$5&amp;"",'Oxford Economics'!$A$6:$AZ$6,0))),'Oxford Economics'!$A$7:$A$1000,$C44,'Oxford Economics'!$B$7:$B$1000,Settings!$B$31)))),""))</f>
        <v/>
      </c>
      <c r="M44" s="41" t="str">
        <f aca="false">IF($A44="","",IFERROR(1/(1/IF($B44="Residential",(SUMIFS(INDEX('Oxford Economics'!$A$7:$AZ$1000,0,IFERROR(MATCH(M$5,'Oxford Economics'!$A$6:$AZ$6,0),MATCH(M$5&amp;"",'Oxford Economics'!$A$6:$AZ$6,0))),'Oxford Economics'!$A$7:$A$1000,$C44,'Oxford Economics'!$B$7:$B$1000,Settings!$B$29)-SUMIFS(INDEX('Oxford Economics'!$A$7:$AZ$1000,0,IFERROR(MATCH(M$5,'Oxford Economics'!$A$6:$AZ$6,0),MATCH(M$5&amp;"",'Oxford Economics'!$A$6:$AZ$6,0))),'Oxford Economics'!$A$7:$A$1000,$C44,'Oxford Economics'!$B$7:$B$1000,Settings!$B$30)),(SUMIFS(INDEX('Oxford Economics'!$A$7:$AZ$1000,0,IFERROR(MATCH(M$5,'Oxford Economics'!$A$6:$AZ$6,0),MATCH(M$5&amp;"",'Oxford Economics'!$A$6:$AZ$6,0))),'Oxford Economics'!$A$7:$A$1000,$C44,'Oxford Economics'!$B$7:$B$1000,Settings!$B$30)+SUMIFS(INDEX('Oxford Economics'!$A$7:$AZ$1000,0,IFERROR(MATCH(M$5,'Oxford Economics'!$A$6:$AZ$6,0),MATCH(M$5&amp;"",'Oxford Economics'!$A$6:$AZ$6,0))),'Oxford Economics'!$A$7:$A$1000,$C44,'Oxford Economics'!$B$7:$B$1000,Settings!$B$31)))),""))</f>
        <v/>
      </c>
      <c r="N44" s="41" t="str">
        <f aca="false">IF($A44="","",IFERROR(1/(1/IF($B44="Residential",(SUMIFS(INDEX('Oxford Economics'!$A$7:$AZ$1000,0,IFERROR(MATCH(N$5,'Oxford Economics'!$A$6:$AZ$6,0),MATCH(N$5&amp;"",'Oxford Economics'!$A$6:$AZ$6,0))),'Oxford Economics'!$A$7:$A$1000,$C44,'Oxford Economics'!$B$7:$B$1000,Settings!$B$29)-SUMIFS(INDEX('Oxford Economics'!$A$7:$AZ$1000,0,IFERROR(MATCH(N$5,'Oxford Economics'!$A$6:$AZ$6,0),MATCH(N$5&amp;"",'Oxford Economics'!$A$6:$AZ$6,0))),'Oxford Economics'!$A$7:$A$1000,$C44,'Oxford Economics'!$B$7:$B$1000,Settings!$B$30)),(SUMIFS(INDEX('Oxford Economics'!$A$7:$AZ$1000,0,IFERROR(MATCH(N$5,'Oxford Economics'!$A$6:$AZ$6,0),MATCH(N$5&amp;"",'Oxford Economics'!$A$6:$AZ$6,0))),'Oxford Economics'!$A$7:$A$1000,$C44,'Oxford Economics'!$B$7:$B$1000,Settings!$B$30)+SUMIFS(INDEX('Oxford Economics'!$A$7:$AZ$1000,0,IFERROR(MATCH(N$5,'Oxford Economics'!$A$6:$AZ$6,0),MATCH(N$5&amp;"",'Oxford Economics'!$A$6:$AZ$6,0))),'Oxford Economics'!$A$7:$A$1000,$C44,'Oxford Economics'!$B$7:$B$1000,Settings!$B$31)))),""))</f>
        <v/>
      </c>
      <c r="O44" s="41" t="str">
        <f aca="false">IF($A44="","",IFERROR(1/(1/IF($B44="Residential",(SUMIFS(INDEX('Oxford Economics'!$A$7:$AZ$1000,0,IFERROR(MATCH(O$5,'Oxford Economics'!$A$6:$AZ$6,0),MATCH(O$5&amp;"",'Oxford Economics'!$A$6:$AZ$6,0))),'Oxford Economics'!$A$7:$A$1000,$C44,'Oxford Economics'!$B$7:$B$1000,Settings!$B$29)-SUMIFS(INDEX('Oxford Economics'!$A$7:$AZ$1000,0,IFERROR(MATCH(O$5,'Oxford Economics'!$A$6:$AZ$6,0),MATCH(O$5&amp;"",'Oxford Economics'!$A$6:$AZ$6,0))),'Oxford Economics'!$A$7:$A$1000,$C44,'Oxford Economics'!$B$7:$B$1000,Settings!$B$30)),(SUMIFS(INDEX('Oxford Economics'!$A$7:$AZ$1000,0,IFERROR(MATCH(O$5,'Oxford Economics'!$A$6:$AZ$6,0),MATCH(O$5&amp;"",'Oxford Economics'!$A$6:$AZ$6,0))),'Oxford Economics'!$A$7:$A$1000,$C44,'Oxford Economics'!$B$7:$B$1000,Settings!$B$30)+SUMIFS(INDEX('Oxford Economics'!$A$7:$AZ$1000,0,IFERROR(MATCH(O$5,'Oxford Economics'!$A$6:$AZ$6,0),MATCH(O$5&amp;"",'Oxford Economics'!$A$6:$AZ$6,0))),'Oxford Economics'!$A$7:$A$1000,$C44,'Oxford Economics'!$B$7:$B$1000,Settings!$B$31)))),""))</f>
        <v/>
      </c>
    </row>
    <row r="45" customFormat="false" ht="15" hidden="false" customHeight="false" outlineLevel="0" collapsed="false">
      <c r="A45" s="40" t="str">
        <f aca="false">IF('Raw data'!$A45="","",'Raw data'!$A45)</f>
        <v/>
      </c>
      <c r="B45" s="40" t="str">
        <f aca="false">IF($A45="","",'Raw data'!$C45)</f>
        <v/>
      </c>
      <c r="C45" s="40" t="str">
        <f aca="false">IF($A45="","",IF('Raw data'!$D45="",$A45,'Raw data'!$D45))</f>
        <v/>
      </c>
      <c r="D45" s="41" t="str">
        <f aca="false">IF($A45="","",IFERROR(1/(1/IF($B45="Residential",(SUMIFS(INDEX('Oxford Economics'!$A$7:$AZ$1000,0,IFERROR(MATCH(D$5,'Oxford Economics'!$A$6:$AZ$6,0),MATCH(D$5&amp;"",'Oxford Economics'!$A$6:$AZ$6,0))),'Oxford Economics'!$A$7:$A$1000,$C45,'Oxford Economics'!$B$7:$B$1000,Settings!$B$29)-SUMIFS(INDEX('Oxford Economics'!$A$7:$AZ$1000,0,IFERROR(MATCH(D$5,'Oxford Economics'!$A$6:$AZ$6,0),MATCH(D$5&amp;"",'Oxford Economics'!$A$6:$AZ$6,0))),'Oxford Economics'!$A$7:$A$1000,$C45,'Oxford Economics'!$B$7:$B$1000,Settings!$B$30)),(SUMIFS(INDEX('Oxford Economics'!$A$7:$AZ$1000,0,IFERROR(MATCH(D$5,'Oxford Economics'!$A$6:$AZ$6,0),MATCH(D$5&amp;"",'Oxford Economics'!$A$6:$AZ$6,0))),'Oxford Economics'!$A$7:$A$1000,$C45,'Oxford Economics'!$B$7:$B$1000,Settings!$B$30)+SUMIFS(INDEX('Oxford Economics'!$A$7:$AZ$1000,0,IFERROR(MATCH(D$5,'Oxford Economics'!$A$6:$AZ$6,0),MATCH(D$5&amp;"",'Oxford Economics'!$A$6:$AZ$6,0))),'Oxford Economics'!$A$7:$A$1000,$C45,'Oxford Economics'!$B$7:$B$1000,Settings!$B$31)))),""))</f>
        <v/>
      </c>
      <c r="E45" s="41" t="str">
        <f aca="false">IF($A45="","",IFERROR(1/(1/IF($B45="Residential",(SUMIFS(INDEX('Oxford Economics'!$A$7:$AZ$1000,0,IFERROR(MATCH(E$5,'Oxford Economics'!$A$6:$AZ$6,0),MATCH(E$5&amp;"",'Oxford Economics'!$A$6:$AZ$6,0))),'Oxford Economics'!$A$7:$A$1000,$C45,'Oxford Economics'!$B$7:$B$1000,Settings!$B$29)-SUMIFS(INDEX('Oxford Economics'!$A$7:$AZ$1000,0,IFERROR(MATCH(E$5,'Oxford Economics'!$A$6:$AZ$6,0),MATCH(E$5&amp;"",'Oxford Economics'!$A$6:$AZ$6,0))),'Oxford Economics'!$A$7:$A$1000,$C45,'Oxford Economics'!$B$7:$B$1000,Settings!$B$30)),(SUMIFS(INDEX('Oxford Economics'!$A$7:$AZ$1000,0,IFERROR(MATCH(E$5,'Oxford Economics'!$A$6:$AZ$6,0),MATCH(E$5&amp;"",'Oxford Economics'!$A$6:$AZ$6,0))),'Oxford Economics'!$A$7:$A$1000,$C45,'Oxford Economics'!$B$7:$B$1000,Settings!$B$30)+SUMIFS(INDEX('Oxford Economics'!$A$7:$AZ$1000,0,IFERROR(MATCH(E$5,'Oxford Economics'!$A$6:$AZ$6,0),MATCH(E$5&amp;"",'Oxford Economics'!$A$6:$AZ$6,0))),'Oxford Economics'!$A$7:$A$1000,$C45,'Oxford Economics'!$B$7:$B$1000,Settings!$B$31)))),""))</f>
        <v/>
      </c>
      <c r="F45" s="41" t="str">
        <f aca="false">IF($A45="","",IFERROR(1/(1/IF($B45="Residential",(SUMIFS(INDEX('Oxford Economics'!$A$7:$AZ$1000,0,IFERROR(MATCH(F$5,'Oxford Economics'!$A$6:$AZ$6,0),MATCH(F$5&amp;"",'Oxford Economics'!$A$6:$AZ$6,0))),'Oxford Economics'!$A$7:$A$1000,$C45,'Oxford Economics'!$B$7:$B$1000,Settings!$B$29)-SUMIFS(INDEX('Oxford Economics'!$A$7:$AZ$1000,0,IFERROR(MATCH(F$5,'Oxford Economics'!$A$6:$AZ$6,0),MATCH(F$5&amp;"",'Oxford Economics'!$A$6:$AZ$6,0))),'Oxford Economics'!$A$7:$A$1000,$C45,'Oxford Economics'!$B$7:$B$1000,Settings!$B$30)),(SUMIFS(INDEX('Oxford Economics'!$A$7:$AZ$1000,0,IFERROR(MATCH(F$5,'Oxford Economics'!$A$6:$AZ$6,0),MATCH(F$5&amp;"",'Oxford Economics'!$A$6:$AZ$6,0))),'Oxford Economics'!$A$7:$A$1000,$C45,'Oxford Economics'!$B$7:$B$1000,Settings!$B$30)+SUMIFS(INDEX('Oxford Economics'!$A$7:$AZ$1000,0,IFERROR(MATCH(F$5,'Oxford Economics'!$A$6:$AZ$6,0),MATCH(F$5&amp;"",'Oxford Economics'!$A$6:$AZ$6,0))),'Oxford Economics'!$A$7:$A$1000,$C45,'Oxford Economics'!$B$7:$B$1000,Settings!$B$31)))),""))</f>
        <v/>
      </c>
      <c r="G45" s="41" t="str">
        <f aca="false">IF($A45="","",IFERROR(1/(1/IF($B45="Residential",(SUMIFS(INDEX('Oxford Economics'!$A$7:$AZ$1000,0,IFERROR(MATCH(G$5,'Oxford Economics'!$A$6:$AZ$6,0),MATCH(G$5&amp;"",'Oxford Economics'!$A$6:$AZ$6,0))),'Oxford Economics'!$A$7:$A$1000,$C45,'Oxford Economics'!$B$7:$B$1000,Settings!$B$29)-SUMIFS(INDEX('Oxford Economics'!$A$7:$AZ$1000,0,IFERROR(MATCH(G$5,'Oxford Economics'!$A$6:$AZ$6,0),MATCH(G$5&amp;"",'Oxford Economics'!$A$6:$AZ$6,0))),'Oxford Economics'!$A$7:$A$1000,$C45,'Oxford Economics'!$B$7:$B$1000,Settings!$B$30)),(SUMIFS(INDEX('Oxford Economics'!$A$7:$AZ$1000,0,IFERROR(MATCH(G$5,'Oxford Economics'!$A$6:$AZ$6,0),MATCH(G$5&amp;"",'Oxford Economics'!$A$6:$AZ$6,0))),'Oxford Economics'!$A$7:$A$1000,$C45,'Oxford Economics'!$B$7:$B$1000,Settings!$B$30)+SUMIFS(INDEX('Oxford Economics'!$A$7:$AZ$1000,0,IFERROR(MATCH(G$5,'Oxford Economics'!$A$6:$AZ$6,0),MATCH(G$5&amp;"",'Oxford Economics'!$A$6:$AZ$6,0))),'Oxford Economics'!$A$7:$A$1000,$C45,'Oxford Economics'!$B$7:$B$1000,Settings!$B$31)))),""))</f>
        <v/>
      </c>
      <c r="H45" s="41" t="str">
        <f aca="false">IF($A45="","",IFERROR(1/(1/IF($B45="Residential",(SUMIFS(INDEX('Oxford Economics'!$A$7:$AZ$1000,0,IFERROR(MATCH(H$5,'Oxford Economics'!$A$6:$AZ$6,0),MATCH(H$5&amp;"",'Oxford Economics'!$A$6:$AZ$6,0))),'Oxford Economics'!$A$7:$A$1000,$C45,'Oxford Economics'!$B$7:$B$1000,Settings!$B$29)-SUMIFS(INDEX('Oxford Economics'!$A$7:$AZ$1000,0,IFERROR(MATCH(H$5,'Oxford Economics'!$A$6:$AZ$6,0),MATCH(H$5&amp;"",'Oxford Economics'!$A$6:$AZ$6,0))),'Oxford Economics'!$A$7:$A$1000,$C45,'Oxford Economics'!$B$7:$B$1000,Settings!$B$30)),(SUMIFS(INDEX('Oxford Economics'!$A$7:$AZ$1000,0,IFERROR(MATCH(H$5,'Oxford Economics'!$A$6:$AZ$6,0),MATCH(H$5&amp;"",'Oxford Economics'!$A$6:$AZ$6,0))),'Oxford Economics'!$A$7:$A$1000,$C45,'Oxford Economics'!$B$7:$B$1000,Settings!$B$30)+SUMIFS(INDEX('Oxford Economics'!$A$7:$AZ$1000,0,IFERROR(MATCH(H$5,'Oxford Economics'!$A$6:$AZ$6,0),MATCH(H$5&amp;"",'Oxford Economics'!$A$6:$AZ$6,0))),'Oxford Economics'!$A$7:$A$1000,$C45,'Oxford Economics'!$B$7:$B$1000,Settings!$B$31)))),""))</f>
        <v/>
      </c>
      <c r="I45" s="41" t="str">
        <f aca="false">IF($A45="","",IFERROR(1/(1/IF($B45="Residential",(SUMIFS(INDEX('Oxford Economics'!$A$7:$AZ$1000,0,IFERROR(MATCH(I$5,'Oxford Economics'!$A$6:$AZ$6,0),MATCH(I$5&amp;"",'Oxford Economics'!$A$6:$AZ$6,0))),'Oxford Economics'!$A$7:$A$1000,$C45,'Oxford Economics'!$B$7:$B$1000,Settings!$B$29)-SUMIFS(INDEX('Oxford Economics'!$A$7:$AZ$1000,0,IFERROR(MATCH(I$5,'Oxford Economics'!$A$6:$AZ$6,0),MATCH(I$5&amp;"",'Oxford Economics'!$A$6:$AZ$6,0))),'Oxford Economics'!$A$7:$A$1000,$C45,'Oxford Economics'!$B$7:$B$1000,Settings!$B$30)),(SUMIFS(INDEX('Oxford Economics'!$A$7:$AZ$1000,0,IFERROR(MATCH(I$5,'Oxford Economics'!$A$6:$AZ$6,0),MATCH(I$5&amp;"",'Oxford Economics'!$A$6:$AZ$6,0))),'Oxford Economics'!$A$7:$A$1000,$C45,'Oxford Economics'!$B$7:$B$1000,Settings!$B$30)+SUMIFS(INDEX('Oxford Economics'!$A$7:$AZ$1000,0,IFERROR(MATCH(I$5,'Oxford Economics'!$A$6:$AZ$6,0),MATCH(I$5&amp;"",'Oxford Economics'!$A$6:$AZ$6,0))),'Oxford Economics'!$A$7:$A$1000,$C45,'Oxford Economics'!$B$7:$B$1000,Settings!$B$31)))),""))</f>
        <v/>
      </c>
      <c r="J45" s="41" t="str">
        <f aca="false">IF($A45="","",IFERROR(1/(1/IF($B45="Residential",(SUMIFS(INDEX('Oxford Economics'!$A$7:$AZ$1000,0,IFERROR(MATCH(J$5,'Oxford Economics'!$A$6:$AZ$6,0),MATCH(J$5&amp;"",'Oxford Economics'!$A$6:$AZ$6,0))),'Oxford Economics'!$A$7:$A$1000,$C45,'Oxford Economics'!$B$7:$B$1000,Settings!$B$29)-SUMIFS(INDEX('Oxford Economics'!$A$7:$AZ$1000,0,IFERROR(MATCH(J$5,'Oxford Economics'!$A$6:$AZ$6,0),MATCH(J$5&amp;"",'Oxford Economics'!$A$6:$AZ$6,0))),'Oxford Economics'!$A$7:$A$1000,$C45,'Oxford Economics'!$B$7:$B$1000,Settings!$B$30)),(SUMIFS(INDEX('Oxford Economics'!$A$7:$AZ$1000,0,IFERROR(MATCH(J$5,'Oxford Economics'!$A$6:$AZ$6,0),MATCH(J$5&amp;"",'Oxford Economics'!$A$6:$AZ$6,0))),'Oxford Economics'!$A$7:$A$1000,$C45,'Oxford Economics'!$B$7:$B$1000,Settings!$B$30)+SUMIFS(INDEX('Oxford Economics'!$A$7:$AZ$1000,0,IFERROR(MATCH(J$5,'Oxford Economics'!$A$6:$AZ$6,0),MATCH(J$5&amp;"",'Oxford Economics'!$A$6:$AZ$6,0))),'Oxford Economics'!$A$7:$A$1000,$C45,'Oxford Economics'!$B$7:$B$1000,Settings!$B$31)))),""))</f>
        <v/>
      </c>
      <c r="K45" s="41" t="str">
        <f aca="false">IF($A45="","",IFERROR(1/(1/IF($B45="Residential",(SUMIFS(INDEX('Oxford Economics'!$A$7:$AZ$1000,0,IFERROR(MATCH(K$5,'Oxford Economics'!$A$6:$AZ$6,0),MATCH(K$5&amp;"",'Oxford Economics'!$A$6:$AZ$6,0))),'Oxford Economics'!$A$7:$A$1000,$C45,'Oxford Economics'!$B$7:$B$1000,Settings!$B$29)-SUMIFS(INDEX('Oxford Economics'!$A$7:$AZ$1000,0,IFERROR(MATCH(K$5,'Oxford Economics'!$A$6:$AZ$6,0),MATCH(K$5&amp;"",'Oxford Economics'!$A$6:$AZ$6,0))),'Oxford Economics'!$A$7:$A$1000,$C45,'Oxford Economics'!$B$7:$B$1000,Settings!$B$30)),(SUMIFS(INDEX('Oxford Economics'!$A$7:$AZ$1000,0,IFERROR(MATCH(K$5,'Oxford Economics'!$A$6:$AZ$6,0),MATCH(K$5&amp;"",'Oxford Economics'!$A$6:$AZ$6,0))),'Oxford Economics'!$A$7:$A$1000,$C45,'Oxford Economics'!$B$7:$B$1000,Settings!$B$30)+SUMIFS(INDEX('Oxford Economics'!$A$7:$AZ$1000,0,IFERROR(MATCH(K$5,'Oxford Economics'!$A$6:$AZ$6,0),MATCH(K$5&amp;"",'Oxford Economics'!$A$6:$AZ$6,0))),'Oxford Economics'!$A$7:$A$1000,$C45,'Oxford Economics'!$B$7:$B$1000,Settings!$B$31)))),""))</f>
        <v/>
      </c>
      <c r="L45" s="41" t="str">
        <f aca="false">IF($A45="","",IFERROR(1/(1/IF($B45="Residential",(SUMIFS(INDEX('Oxford Economics'!$A$7:$AZ$1000,0,IFERROR(MATCH(L$5,'Oxford Economics'!$A$6:$AZ$6,0),MATCH(L$5&amp;"",'Oxford Economics'!$A$6:$AZ$6,0))),'Oxford Economics'!$A$7:$A$1000,$C45,'Oxford Economics'!$B$7:$B$1000,Settings!$B$29)-SUMIFS(INDEX('Oxford Economics'!$A$7:$AZ$1000,0,IFERROR(MATCH(L$5,'Oxford Economics'!$A$6:$AZ$6,0),MATCH(L$5&amp;"",'Oxford Economics'!$A$6:$AZ$6,0))),'Oxford Economics'!$A$7:$A$1000,$C45,'Oxford Economics'!$B$7:$B$1000,Settings!$B$30)),(SUMIFS(INDEX('Oxford Economics'!$A$7:$AZ$1000,0,IFERROR(MATCH(L$5,'Oxford Economics'!$A$6:$AZ$6,0),MATCH(L$5&amp;"",'Oxford Economics'!$A$6:$AZ$6,0))),'Oxford Economics'!$A$7:$A$1000,$C45,'Oxford Economics'!$B$7:$B$1000,Settings!$B$30)+SUMIFS(INDEX('Oxford Economics'!$A$7:$AZ$1000,0,IFERROR(MATCH(L$5,'Oxford Economics'!$A$6:$AZ$6,0),MATCH(L$5&amp;"",'Oxford Economics'!$A$6:$AZ$6,0))),'Oxford Economics'!$A$7:$A$1000,$C45,'Oxford Economics'!$B$7:$B$1000,Settings!$B$31)))),""))</f>
        <v/>
      </c>
      <c r="M45" s="41" t="str">
        <f aca="false">IF($A45="","",IFERROR(1/(1/IF($B45="Residential",(SUMIFS(INDEX('Oxford Economics'!$A$7:$AZ$1000,0,IFERROR(MATCH(M$5,'Oxford Economics'!$A$6:$AZ$6,0),MATCH(M$5&amp;"",'Oxford Economics'!$A$6:$AZ$6,0))),'Oxford Economics'!$A$7:$A$1000,$C45,'Oxford Economics'!$B$7:$B$1000,Settings!$B$29)-SUMIFS(INDEX('Oxford Economics'!$A$7:$AZ$1000,0,IFERROR(MATCH(M$5,'Oxford Economics'!$A$6:$AZ$6,0),MATCH(M$5&amp;"",'Oxford Economics'!$A$6:$AZ$6,0))),'Oxford Economics'!$A$7:$A$1000,$C45,'Oxford Economics'!$B$7:$B$1000,Settings!$B$30)),(SUMIFS(INDEX('Oxford Economics'!$A$7:$AZ$1000,0,IFERROR(MATCH(M$5,'Oxford Economics'!$A$6:$AZ$6,0),MATCH(M$5&amp;"",'Oxford Economics'!$A$6:$AZ$6,0))),'Oxford Economics'!$A$7:$A$1000,$C45,'Oxford Economics'!$B$7:$B$1000,Settings!$B$30)+SUMIFS(INDEX('Oxford Economics'!$A$7:$AZ$1000,0,IFERROR(MATCH(M$5,'Oxford Economics'!$A$6:$AZ$6,0),MATCH(M$5&amp;"",'Oxford Economics'!$A$6:$AZ$6,0))),'Oxford Economics'!$A$7:$A$1000,$C45,'Oxford Economics'!$B$7:$B$1000,Settings!$B$31)))),""))</f>
        <v/>
      </c>
      <c r="N45" s="41" t="str">
        <f aca="false">IF($A45="","",IFERROR(1/(1/IF($B45="Residential",(SUMIFS(INDEX('Oxford Economics'!$A$7:$AZ$1000,0,IFERROR(MATCH(N$5,'Oxford Economics'!$A$6:$AZ$6,0),MATCH(N$5&amp;"",'Oxford Economics'!$A$6:$AZ$6,0))),'Oxford Economics'!$A$7:$A$1000,$C45,'Oxford Economics'!$B$7:$B$1000,Settings!$B$29)-SUMIFS(INDEX('Oxford Economics'!$A$7:$AZ$1000,0,IFERROR(MATCH(N$5,'Oxford Economics'!$A$6:$AZ$6,0),MATCH(N$5&amp;"",'Oxford Economics'!$A$6:$AZ$6,0))),'Oxford Economics'!$A$7:$A$1000,$C45,'Oxford Economics'!$B$7:$B$1000,Settings!$B$30)),(SUMIFS(INDEX('Oxford Economics'!$A$7:$AZ$1000,0,IFERROR(MATCH(N$5,'Oxford Economics'!$A$6:$AZ$6,0),MATCH(N$5&amp;"",'Oxford Economics'!$A$6:$AZ$6,0))),'Oxford Economics'!$A$7:$A$1000,$C45,'Oxford Economics'!$B$7:$B$1000,Settings!$B$30)+SUMIFS(INDEX('Oxford Economics'!$A$7:$AZ$1000,0,IFERROR(MATCH(N$5,'Oxford Economics'!$A$6:$AZ$6,0),MATCH(N$5&amp;"",'Oxford Economics'!$A$6:$AZ$6,0))),'Oxford Economics'!$A$7:$A$1000,$C45,'Oxford Economics'!$B$7:$B$1000,Settings!$B$31)))),""))</f>
        <v/>
      </c>
      <c r="O45" s="41" t="str">
        <f aca="false">IF($A45="","",IFERROR(1/(1/IF($B45="Residential",(SUMIFS(INDEX('Oxford Economics'!$A$7:$AZ$1000,0,IFERROR(MATCH(O$5,'Oxford Economics'!$A$6:$AZ$6,0),MATCH(O$5&amp;"",'Oxford Economics'!$A$6:$AZ$6,0))),'Oxford Economics'!$A$7:$A$1000,$C45,'Oxford Economics'!$B$7:$B$1000,Settings!$B$29)-SUMIFS(INDEX('Oxford Economics'!$A$7:$AZ$1000,0,IFERROR(MATCH(O$5,'Oxford Economics'!$A$6:$AZ$6,0),MATCH(O$5&amp;"",'Oxford Economics'!$A$6:$AZ$6,0))),'Oxford Economics'!$A$7:$A$1000,$C45,'Oxford Economics'!$B$7:$B$1000,Settings!$B$30)),(SUMIFS(INDEX('Oxford Economics'!$A$7:$AZ$1000,0,IFERROR(MATCH(O$5,'Oxford Economics'!$A$6:$AZ$6,0),MATCH(O$5&amp;"",'Oxford Economics'!$A$6:$AZ$6,0))),'Oxford Economics'!$A$7:$A$1000,$C45,'Oxford Economics'!$B$7:$B$1000,Settings!$B$30)+SUMIFS(INDEX('Oxford Economics'!$A$7:$AZ$1000,0,IFERROR(MATCH(O$5,'Oxford Economics'!$A$6:$AZ$6,0),MATCH(O$5&amp;"",'Oxford Economics'!$A$6:$AZ$6,0))),'Oxford Economics'!$A$7:$A$1000,$C45,'Oxford Economics'!$B$7:$B$1000,Settings!$B$31)))),""))</f>
        <v/>
      </c>
    </row>
    <row r="46" customFormat="false" ht="15" hidden="false" customHeight="false" outlineLevel="0" collapsed="false">
      <c r="A46" s="40" t="str">
        <f aca="false">IF('Raw data'!$A46="","",'Raw data'!$A46)</f>
        <v/>
      </c>
      <c r="B46" s="40" t="str">
        <f aca="false">IF($A46="","",'Raw data'!$C46)</f>
        <v/>
      </c>
      <c r="C46" s="40" t="str">
        <f aca="false">IF($A46="","",IF('Raw data'!$D46="",$A46,'Raw data'!$D46))</f>
        <v/>
      </c>
      <c r="D46" s="41" t="str">
        <f aca="false">IF($A46="","",IFERROR(1/(1/IF($B46="Residential",(SUMIFS(INDEX('Oxford Economics'!$A$7:$AZ$1000,0,IFERROR(MATCH(D$5,'Oxford Economics'!$A$6:$AZ$6,0),MATCH(D$5&amp;"",'Oxford Economics'!$A$6:$AZ$6,0))),'Oxford Economics'!$A$7:$A$1000,$C46,'Oxford Economics'!$B$7:$B$1000,Settings!$B$29)-SUMIFS(INDEX('Oxford Economics'!$A$7:$AZ$1000,0,IFERROR(MATCH(D$5,'Oxford Economics'!$A$6:$AZ$6,0),MATCH(D$5&amp;"",'Oxford Economics'!$A$6:$AZ$6,0))),'Oxford Economics'!$A$7:$A$1000,$C46,'Oxford Economics'!$B$7:$B$1000,Settings!$B$30)),(SUMIFS(INDEX('Oxford Economics'!$A$7:$AZ$1000,0,IFERROR(MATCH(D$5,'Oxford Economics'!$A$6:$AZ$6,0),MATCH(D$5&amp;"",'Oxford Economics'!$A$6:$AZ$6,0))),'Oxford Economics'!$A$7:$A$1000,$C46,'Oxford Economics'!$B$7:$B$1000,Settings!$B$30)+SUMIFS(INDEX('Oxford Economics'!$A$7:$AZ$1000,0,IFERROR(MATCH(D$5,'Oxford Economics'!$A$6:$AZ$6,0),MATCH(D$5&amp;"",'Oxford Economics'!$A$6:$AZ$6,0))),'Oxford Economics'!$A$7:$A$1000,$C46,'Oxford Economics'!$B$7:$B$1000,Settings!$B$31)))),""))</f>
        <v/>
      </c>
      <c r="E46" s="41" t="str">
        <f aca="false">IF($A46="","",IFERROR(1/(1/IF($B46="Residential",(SUMIFS(INDEX('Oxford Economics'!$A$7:$AZ$1000,0,IFERROR(MATCH(E$5,'Oxford Economics'!$A$6:$AZ$6,0),MATCH(E$5&amp;"",'Oxford Economics'!$A$6:$AZ$6,0))),'Oxford Economics'!$A$7:$A$1000,$C46,'Oxford Economics'!$B$7:$B$1000,Settings!$B$29)-SUMIFS(INDEX('Oxford Economics'!$A$7:$AZ$1000,0,IFERROR(MATCH(E$5,'Oxford Economics'!$A$6:$AZ$6,0),MATCH(E$5&amp;"",'Oxford Economics'!$A$6:$AZ$6,0))),'Oxford Economics'!$A$7:$A$1000,$C46,'Oxford Economics'!$B$7:$B$1000,Settings!$B$30)),(SUMIFS(INDEX('Oxford Economics'!$A$7:$AZ$1000,0,IFERROR(MATCH(E$5,'Oxford Economics'!$A$6:$AZ$6,0),MATCH(E$5&amp;"",'Oxford Economics'!$A$6:$AZ$6,0))),'Oxford Economics'!$A$7:$A$1000,$C46,'Oxford Economics'!$B$7:$B$1000,Settings!$B$30)+SUMIFS(INDEX('Oxford Economics'!$A$7:$AZ$1000,0,IFERROR(MATCH(E$5,'Oxford Economics'!$A$6:$AZ$6,0),MATCH(E$5&amp;"",'Oxford Economics'!$A$6:$AZ$6,0))),'Oxford Economics'!$A$7:$A$1000,$C46,'Oxford Economics'!$B$7:$B$1000,Settings!$B$31)))),""))</f>
        <v/>
      </c>
      <c r="F46" s="41" t="str">
        <f aca="false">IF($A46="","",IFERROR(1/(1/IF($B46="Residential",(SUMIFS(INDEX('Oxford Economics'!$A$7:$AZ$1000,0,IFERROR(MATCH(F$5,'Oxford Economics'!$A$6:$AZ$6,0),MATCH(F$5&amp;"",'Oxford Economics'!$A$6:$AZ$6,0))),'Oxford Economics'!$A$7:$A$1000,$C46,'Oxford Economics'!$B$7:$B$1000,Settings!$B$29)-SUMIFS(INDEX('Oxford Economics'!$A$7:$AZ$1000,0,IFERROR(MATCH(F$5,'Oxford Economics'!$A$6:$AZ$6,0),MATCH(F$5&amp;"",'Oxford Economics'!$A$6:$AZ$6,0))),'Oxford Economics'!$A$7:$A$1000,$C46,'Oxford Economics'!$B$7:$B$1000,Settings!$B$30)),(SUMIFS(INDEX('Oxford Economics'!$A$7:$AZ$1000,0,IFERROR(MATCH(F$5,'Oxford Economics'!$A$6:$AZ$6,0),MATCH(F$5&amp;"",'Oxford Economics'!$A$6:$AZ$6,0))),'Oxford Economics'!$A$7:$A$1000,$C46,'Oxford Economics'!$B$7:$B$1000,Settings!$B$30)+SUMIFS(INDEX('Oxford Economics'!$A$7:$AZ$1000,0,IFERROR(MATCH(F$5,'Oxford Economics'!$A$6:$AZ$6,0),MATCH(F$5&amp;"",'Oxford Economics'!$A$6:$AZ$6,0))),'Oxford Economics'!$A$7:$A$1000,$C46,'Oxford Economics'!$B$7:$B$1000,Settings!$B$31)))),""))</f>
        <v/>
      </c>
      <c r="G46" s="41" t="str">
        <f aca="false">IF($A46="","",IFERROR(1/(1/IF($B46="Residential",(SUMIFS(INDEX('Oxford Economics'!$A$7:$AZ$1000,0,IFERROR(MATCH(G$5,'Oxford Economics'!$A$6:$AZ$6,0),MATCH(G$5&amp;"",'Oxford Economics'!$A$6:$AZ$6,0))),'Oxford Economics'!$A$7:$A$1000,$C46,'Oxford Economics'!$B$7:$B$1000,Settings!$B$29)-SUMIFS(INDEX('Oxford Economics'!$A$7:$AZ$1000,0,IFERROR(MATCH(G$5,'Oxford Economics'!$A$6:$AZ$6,0),MATCH(G$5&amp;"",'Oxford Economics'!$A$6:$AZ$6,0))),'Oxford Economics'!$A$7:$A$1000,$C46,'Oxford Economics'!$B$7:$B$1000,Settings!$B$30)),(SUMIFS(INDEX('Oxford Economics'!$A$7:$AZ$1000,0,IFERROR(MATCH(G$5,'Oxford Economics'!$A$6:$AZ$6,0),MATCH(G$5&amp;"",'Oxford Economics'!$A$6:$AZ$6,0))),'Oxford Economics'!$A$7:$A$1000,$C46,'Oxford Economics'!$B$7:$B$1000,Settings!$B$30)+SUMIFS(INDEX('Oxford Economics'!$A$7:$AZ$1000,0,IFERROR(MATCH(G$5,'Oxford Economics'!$A$6:$AZ$6,0),MATCH(G$5&amp;"",'Oxford Economics'!$A$6:$AZ$6,0))),'Oxford Economics'!$A$7:$A$1000,$C46,'Oxford Economics'!$B$7:$B$1000,Settings!$B$31)))),""))</f>
        <v/>
      </c>
      <c r="H46" s="41" t="str">
        <f aca="false">IF($A46="","",IFERROR(1/(1/IF($B46="Residential",(SUMIFS(INDEX('Oxford Economics'!$A$7:$AZ$1000,0,IFERROR(MATCH(H$5,'Oxford Economics'!$A$6:$AZ$6,0),MATCH(H$5&amp;"",'Oxford Economics'!$A$6:$AZ$6,0))),'Oxford Economics'!$A$7:$A$1000,$C46,'Oxford Economics'!$B$7:$B$1000,Settings!$B$29)-SUMIFS(INDEX('Oxford Economics'!$A$7:$AZ$1000,0,IFERROR(MATCH(H$5,'Oxford Economics'!$A$6:$AZ$6,0),MATCH(H$5&amp;"",'Oxford Economics'!$A$6:$AZ$6,0))),'Oxford Economics'!$A$7:$A$1000,$C46,'Oxford Economics'!$B$7:$B$1000,Settings!$B$30)),(SUMIFS(INDEX('Oxford Economics'!$A$7:$AZ$1000,0,IFERROR(MATCH(H$5,'Oxford Economics'!$A$6:$AZ$6,0),MATCH(H$5&amp;"",'Oxford Economics'!$A$6:$AZ$6,0))),'Oxford Economics'!$A$7:$A$1000,$C46,'Oxford Economics'!$B$7:$B$1000,Settings!$B$30)+SUMIFS(INDEX('Oxford Economics'!$A$7:$AZ$1000,0,IFERROR(MATCH(H$5,'Oxford Economics'!$A$6:$AZ$6,0),MATCH(H$5&amp;"",'Oxford Economics'!$A$6:$AZ$6,0))),'Oxford Economics'!$A$7:$A$1000,$C46,'Oxford Economics'!$B$7:$B$1000,Settings!$B$31)))),""))</f>
        <v/>
      </c>
      <c r="I46" s="41" t="str">
        <f aca="false">IF($A46="","",IFERROR(1/(1/IF($B46="Residential",(SUMIFS(INDEX('Oxford Economics'!$A$7:$AZ$1000,0,IFERROR(MATCH(I$5,'Oxford Economics'!$A$6:$AZ$6,0),MATCH(I$5&amp;"",'Oxford Economics'!$A$6:$AZ$6,0))),'Oxford Economics'!$A$7:$A$1000,$C46,'Oxford Economics'!$B$7:$B$1000,Settings!$B$29)-SUMIFS(INDEX('Oxford Economics'!$A$7:$AZ$1000,0,IFERROR(MATCH(I$5,'Oxford Economics'!$A$6:$AZ$6,0),MATCH(I$5&amp;"",'Oxford Economics'!$A$6:$AZ$6,0))),'Oxford Economics'!$A$7:$A$1000,$C46,'Oxford Economics'!$B$7:$B$1000,Settings!$B$30)),(SUMIFS(INDEX('Oxford Economics'!$A$7:$AZ$1000,0,IFERROR(MATCH(I$5,'Oxford Economics'!$A$6:$AZ$6,0),MATCH(I$5&amp;"",'Oxford Economics'!$A$6:$AZ$6,0))),'Oxford Economics'!$A$7:$A$1000,$C46,'Oxford Economics'!$B$7:$B$1000,Settings!$B$30)+SUMIFS(INDEX('Oxford Economics'!$A$7:$AZ$1000,0,IFERROR(MATCH(I$5,'Oxford Economics'!$A$6:$AZ$6,0),MATCH(I$5&amp;"",'Oxford Economics'!$A$6:$AZ$6,0))),'Oxford Economics'!$A$7:$A$1000,$C46,'Oxford Economics'!$B$7:$B$1000,Settings!$B$31)))),""))</f>
        <v/>
      </c>
      <c r="J46" s="41" t="str">
        <f aca="false">IF($A46="","",IFERROR(1/(1/IF($B46="Residential",(SUMIFS(INDEX('Oxford Economics'!$A$7:$AZ$1000,0,IFERROR(MATCH(J$5,'Oxford Economics'!$A$6:$AZ$6,0),MATCH(J$5&amp;"",'Oxford Economics'!$A$6:$AZ$6,0))),'Oxford Economics'!$A$7:$A$1000,$C46,'Oxford Economics'!$B$7:$B$1000,Settings!$B$29)-SUMIFS(INDEX('Oxford Economics'!$A$7:$AZ$1000,0,IFERROR(MATCH(J$5,'Oxford Economics'!$A$6:$AZ$6,0),MATCH(J$5&amp;"",'Oxford Economics'!$A$6:$AZ$6,0))),'Oxford Economics'!$A$7:$A$1000,$C46,'Oxford Economics'!$B$7:$B$1000,Settings!$B$30)),(SUMIFS(INDEX('Oxford Economics'!$A$7:$AZ$1000,0,IFERROR(MATCH(J$5,'Oxford Economics'!$A$6:$AZ$6,0),MATCH(J$5&amp;"",'Oxford Economics'!$A$6:$AZ$6,0))),'Oxford Economics'!$A$7:$A$1000,$C46,'Oxford Economics'!$B$7:$B$1000,Settings!$B$30)+SUMIFS(INDEX('Oxford Economics'!$A$7:$AZ$1000,0,IFERROR(MATCH(J$5,'Oxford Economics'!$A$6:$AZ$6,0),MATCH(J$5&amp;"",'Oxford Economics'!$A$6:$AZ$6,0))),'Oxford Economics'!$A$7:$A$1000,$C46,'Oxford Economics'!$B$7:$B$1000,Settings!$B$31)))),""))</f>
        <v/>
      </c>
      <c r="K46" s="41" t="str">
        <f aca="false">IF($A46="","",IFERROR(1/(1/IF($B46="Residential",(SUMIFS(INDEX('Oxford Economics'!$A$7:$AZ$1000,0,IFERROR(MATCH(K$5,'Oxford Economics'!$A$6:$AZ$6,0),MATCH(K$5&amp;"",'Oxford Economics'!$A$6:$AZ$6,0))),'Oxford Economics'!$A$7:$A$1000,$C46,'Oxford Economics'!$B$7:$B$1000,Settings!$B$29)-SUMIFS(INDEX('Oxford Economics'!$A$7:$AZ$1000,0,IFERROR(MATCH(K$5,'Oxford Economics'!$A$6:$AZ$6,0),MATCH(K$5&amp;"",'Oxford Economics'!$A$6:$AZ$6,0))),'Oxford Economics'!$A$7:$A$1000,$C46,'Oxford Economics'!$B$7:$B$1000,Settings!$B$30)),(SUMIFS(INDEX('Oxford Economics'!$A$7:$AZ$1000,0,IFERROR(MATCH(K$5,'Oxford Economics'!$A$6:$AZ$6,0),MATCH(K$5&amp;"",'Oxford Economics'!$A$6:$AZ$6,0))),'Oxford Economics'!$A$7:$A$1000,$C46,'Oxford Economics'!$B$7:$B$1000,Settings!$B$30)+SUMIFS(INDEX('Oxford Economics'!$A$7:$AZ$1000,0,IFERROR(MATCH(K$5,'Oxford Economics'!$A$6:$AZ$6,0),MATCH(K$5&amp;"",'Oxford Economics'!$A$6:$AZ$6,0))),'Oxford Economics'!$A$7:$A$1000,$C46,'Oxford Economics'!$B$7:$B$1000,Settings!$B$31)))),""))</f>
        <v/>
      </c>
      <c r="L46" s="41" t="str">
        <f aca="false">IF($A46="","",IFERROR(1/(1/IF($B46="Residential",(SUMIFS(INDEX('Oxford Economics'!$A$7:$AZ$1000,0,IFERROR(MATCH(L$5,'Oxford Economics'!$A$6:$AZ$6,0),MATCH(L$5&amp;"",'Oxford Economics'!$A$6:$AZ$6,0))),'Oxford Economics'!$A$7:$A$1000,$C46,'Oxford Economics'!$B$7:$B$1000,Settings!$B$29)-SUMIFS(INDEX('Oxford Economics'!$A$7:$AZ$1000,0,IFERROR(MATCH(L$5,'Oxford Economics'!$A$6:$AZ$6,0),MATCH(L$5&amp;"",'Oxford Economics'!$A$6:$AZ$6,0))),'Oxford Economics'!$A$7:$A$1000,$C46,'Oxford Economics'!$B$7:$B$1000,Settings!$B$30)),(SUMIFS(INDEX('Oxford Economics'!$A$7:$AZ$1000,0,IFERROR(MATCH(L$5,'Oxford Economics'!$A$6:$AZ$6,0),MATCH(L$5&amp;"",'Oxford Economics'!$A$6:$AZ$6,0))),'Oxford Economics'!$A$7:$A$1000,$C46,'Oxford Economics'!$B$7:$B$1000,Settings!$B$30)+SUMIFS(INDEX('Oxford Economics'!$A$7:$AZ$1000,0,IFERROR(MATCH(L$5,'Oxford Economics'!$A$6:$AZ$6,0),MATCH(L$5&amp;"",'Oxford Economics'!$A$6:$AZ$6,0))),'Oxford Economics'!$A$7:$A$1000,$C46,'Oxford Economics'!$B$7:$B$1000,Settings!$B$31)))),""))</f>
        <v/>
      </c>
      <c r="M46" s="41" t="str">
        <f aca="false">IF($A46="","",IFERROR(1/(1/IF($B46="Residential",(SUMIFS(INDEX('Oxford Economics'!$A$7:$AZ$1000,0,IFERROR(MATCH(M$5,'Oxford Economics'!$A$6:$AZ$6,0),MATCH(M$5&amp;"",'Oxford Economics'!$A$6:$AZ$6,0))),'Oxford Economics'!$A$7:$A$1000,$C46,'Oxford Economics'!$B$7:$B$1000,Settings!$B$29)-SUMIFS(INDEX('Oxford Economics'!$A$7:$AZ$1000,0,IFERROR(MATCH(M$5,'Oxford Economics'!$A$6:$AZ$6,0),MATCH(M$5&amp;"",'Oxford Economics'!$A$6:$AZ$6,0))),'Oxford Economics'!$A$7:$A$1000,$C46,'Oxford Economics'!$B$7:$B$1000,Settings!$B$30)),(SUMIFS(INDEX('Oxford Economics'!$A$7:$AZ$1000,0,IFERROR(MATCH(M$5,'Oxford Economics'!$A$6:$AZ$6,0),MATCH(M$5&amp;"",'Oxford Economics'!$A$6:$AZ$6,0))),'Oxford Economics'!$A$7:$A$1000,$C46,'Oxford Economics'!$B$7:$B$1000,Settings!$B$30)+SUMIFS(INDEX('Oxford Economics'!$A$7:$AZ$1000,0,IFERROR(MATCH(M$5,'Oxford Economics'!$A$6:$AZ$6,0),MATCH(M$5&amp;"",'Oxford Economics'!$A$6:$AZ$6,0))),'Oxford Economics'!$A$7:$A$1000,$C46,'Oxford Economics'!$B$7:$B$1000,Settings!$B$31)))),""))</f>
        <v/>
      </c>
      <c r="N46" s="41" t="str">
        <f aca="false">IF($A46="","",IFERROR(1/(1/IF($B46="Residential",(SUMIFS(INDEX('Oxford Economics'!$A$7:$AZ$1000,0,IFERROR(MATCH(N$5,'Oxford Economics'!$A$6:$AZ$6,0),MATCH(N$5&amp;"",'Oxford Economics'!$A$6:$AZ$6,0))),'Oxford Economics'!$A$7:$A$1000,$C46,'Oxford Economics'!$B$7:$B$1000,Settings!$B$29)-SUMIFS(INDEX('Oxford Economics'!$A$7:$AZ$1000,0,IFERROR(MATCH(N$5,'Oxford Economics'!$A$6:$AZ$6,0),MATCH(N$5&amp;"",'Oxford Economics'!$A$6:$AZ$6,0))),'Oxford Economics'!$A$7:$A$1000,$C46,'Oxford Economics'!$B$7:$B$1000,Settings!$B$30)),(SUMIFS(INDEX('Oxford Economics'!$A$7:$AZ$1000,0,IFERROR(MATCH(N$5,'Oxford Economics'!$A$6:$AZ$6,0),MATCH(N$5&amp;"",'Oxford Economics'!$A$6:$AZ$6,0))),'Oxford Economics'!$A$7:$A$1000,$C46,'Oxford Economics'!$B$7:$B$1000,Settings!$B$30)+SUMIFS(INDEX('Oxford Economics'!$A$7:$AZ$1000,0,IFERROR(MATCH(N$5,'Oxford Economics'!$A$6:$AZ$6,0),MATCH(N$5&amp;"",'Oxford Economics'!$A$6:$AZ$6,0))),'Oxford Economics'!$A$7:$A$1000,$C46,'Oxford Economics'!$B$7:$B$1000,Settings!$B$31)))),""))</f>
        <v/>
      </c>
      <c r="O46" s="41" t="str">
        <f aca="false">IF($A46="","",IFERROR(1/(1/IF($B46="Residential",(SUMIFS(INDEX('Oxford Economics'!$A$7:$AZ$1000,0,IFERROR(MATCH(O$5,'Oxford Economics'!$A$6:$AZ$6,0),MATCH(O$5&amp;"",'Oxford Economics'!$A$6:$AZ$6,0))),'Oxford Economics'!$A$7:$A$1000,$C46,'Oxford Economics'!$B$7:$B$1000,Settings!$B$29)-SUMIFS(INDEX('Oxford Economics'!$A$7:$AZ$1000,0,IFERROR(MATCH(O$5,'Oxford Economics'!$A$6:$AZ$6,0),MATCH(O$5&amp;"",'Oxford Economics'!$A$6:$AZ$6,0))),'Oxford Economics'!$A$7:$A$1000,$C46,'Oxford Economics'!$B$7:$B$1000,Settings!$B$30)),(SUMIFS(INDEX('Oxford Economics'!$A$7:$AZ$1000,0,IFERROR(MATCH(O$5,'Oxford Economics'!$A$6:$AZ$6,0),MATCH(O$5&amp;"",'Oxford Economics'!$A$6:$AZ$6,0))),'Oxford Economics'!$A$7:$A$1000,$C46,'Oxford Economics'!$B$7:$B$1000,Settings!$B$30)+SUMIFS(INDEX('Oxford Economics'!$A$7:$AZ$1000,0,IFERROR(MATCH(O$5,'Oxford Economics'!$A$6:$AZ$6,0),MATCH(O$5&amp;"",'Oxford Economics'!$A$6:$AZ$6,0))),'Oxford Economics'!$A$7:$A$1000,$C46,'Oxford Economics'!$B$7:$B$1000,Settings!$B$31)))),""))</f>
        <v/>
      </c>
    </row>
    <row r="47" customFormat="false" ht="15" hidden="false" customHeight="false" outlineLevel="0" collapsed="false">
      <c r="A47" s="40" t="str">
        <f aca="false">IF('Raw data'!$A47="","",'Raw data'!$A47)</f>
        <v/>
      </c>
      <c r="B47" s="40" t="str">
        <f aca="false">IF($A47="","",'Raw data'!$C47)</f>
        <v/>
      </c>
      <c r="C47" s="40" t="str">
        <f aca="false">IF($A47="","",IF('Raw data'!$D47="",$A47,'Raw data'!$D47))</f>
        <v/>
      </c>
      <c r="D47" s="41" t="str">
        <f aca="false">IF($A47="","",IFERROR(1/(1/IF($B47="Residential",(SUMIFS(INDEX('Oxford Economics'!$A$7:$AZ$1000,0,IFERROR(MATCH(D$5,'Oxford Economics'!$A$6:$AZ$6,0),MATCH(D$5&amp;"",'Oxford Economics'!$A$6:$AZ$6,0))),'Oxford Economics'!$A$7:$A$1000,$C47,'Oxford Economics'!$B$7:$B$1000,Settings!$B$29)-SUMIFS(INDEX('Oxford Economics'!$A$7:$AZ$1000,0,IFERROR(MATCH(D$5,'Oxford Economics'!$A$6:$AZ$6,0),MATCH(D$5&amp;"",'Oxford Economics'!$A$6:$AZ$6,0))),'Oxford Economics'!$A$7:$A$1000,$C47,'Oxford Economics'!$B$7:$B$1000,Settings!$B$30)),(SUMIFS(INDEX('Oxford Economics'!$A$7:$AZ$1000,0,IFERROR(MATCH(D$5,'Oxford Economics'!$A$6:$AZ$6,0),MATCH(D$5&amp;"",'Oxford Economics'!$A$6:$AZ$6,0))),'Oxford Economics'!$A$7:$A$1000,$C47,'Oxford Economics'!$B$7:$B$1000,Settings!$B$30)+SUMIFS(INDEX('Oxford Economics'!$A$7:$AZ$1000,0,IFERROR(MATCH(D$5,'Oxford Economics'!$A$6:$AZ$6,0),MATCH(D$5&amp;"",'Oxford Economics'!$A$6:$AZ$6,0))),'Oxford Economics'!$A$7:$A$1000,$C47,'Oxford Economics'!$B$7:$B$1000,Settings!$B$31)))),""))</f>
        <v/>
      </c>
      <c r="E47" s="41" t="str">
        <f aca="false">IF($A47="","",IFERROR(1/(1/IF($B47="Residential",(SUMIFS(INDEX('Oxford Economics'!$A$7:$AZ$1000,0,IFERROR(MATCH(E$5,'Oxford Economics'!$A$6:$AZ$6,0),MATCH(E$5&amp;"",'Oxford Economics'!$A$6:$AZ$6,0))),'Oxford Economics'!$A$7:$A$1000,$C47,'Oxford Economics'!$B$7:$B$1000,Settings!$B$29)-SUMIFS(INDEX('Oxford Economics'!$A$7:$AZ$1000,0,IFERROR(MATCH(E$5,'Oxford Economics'!$A$6:$AZ$6,0),MATCH(E$5&amp;"",'Oxford Economics'!$A$6:$AZ$6,0))),'Oxford Economics'!$A$7:$A$1000,$C47,'Oxford Economics'!$B$7:$B$1000,Settings!$B$30)),(SUMIFS(INDEX('Oxford Economics'!$A$7:$AZ$1000,0,IFERROR(MATCH(E$5,'Oxford Economics'!$A$6:$AZ$6,0),MATCH(E$5&amp;"",'Oxford Economics'!$A$6:$AZ$6,0))),'Oxford Economics'!$A$7:$A$1000,$C47,'Oxford Economics'!$B$7:$B$1000,Settings!$B$30)+SUMIFS(INDEX('Oxford Economics'!$A$7:$AZ$1000,0,IFERROR(MATCH(E$5,'Oxford Economics'!$A$6:$AZ$6,0),MATCH(E$5&amp;"",'Oxford Economics'!$A$6:$AZ$6,0))),'Oxford Economics'!$A$7:$A$1000,$C47,'Oxford Economics'!$B$7:$B$1000,Settings!$B$31)))),""))</f>
        <v/>
      </c>
      <c r="F47" s="41" t="str">
        <f aca="false">IF($A47="","",IFERROR(1/(1/IF($B47="Residential",(SUMIFS(INDEX('Oxford Economics'!$A$7:$AZ$1000,0,IFERROR(MATCH(F$5,'Oxford Economics'!$A$6:$AZ$6,0),MATCH(F$5&amp;"",'Oxford Economics'!$A$6:$AZ$6,0))),'Oxford Economics'!$A$7:$A$1000,$C47,'Oxford Economics'!$B$7:$B$1000,Settings!$B$29)-SUMIFS(INDEX('Oxford Economics'!$A$7:$AZ$1000,0,IFERROR(MATCH(F$5,'Oxford Economics'!$A$6:$AZ$6,0),MATCH(F$5&amp;"",'Oxford Economics'!$A$6:$AZ$6,0))),'Oxford Economics'!$A$7:$A$1000,$C47,'Oxford Economics'!$B$7:$B$1000,Settings!$B$30)),(SUMIFS(INDEX('Oxford Economics'!$A$7:$AZ$1000,0,IFERROR(MATCH(F$5,'Oxford Economics'!$A$6:$AZ$6,0),MATCH(F$5&amp;"",'Oxford Economics'!$A$6:$AZ$6,0))),'Oxford Economics'!$A$7:$A$1000,$C47,'Oxford Economics'!$B$7:$B$1000,Settings!$B$30)+SUMIFS(INDEX('Oxford Economics'!$A$7:$AZ$1000,0,IFERROR(MATCH(F$5,'Oxford Economics'!$A$6:$AZ$6,0),MATCH(F$5&amp;"",'Oxford Economics'!$A$6:$AZ$6,0))),'Oxford Economics'!$A$7:$A$1000,$C47,'Oxford Economics'!$B$7:$B$1000,Settings!$B$31)))),""))</f>
        <v/>
      </c>
      <c r="G47" s="41" t="str">
        <f aca="false">IF($A47="","",IFERROR(1/(1/IF($B47="Residential",(SUMIFS(INDEX('Oxford Economics'!$A$7:$AZ$1000,0,IFERROR(MATCH(G$5,'Oxford Economics'!$A$6:$AZ$6,0),MATCH(G$5&amp;"",'Oxford Economics'!$A$6:$AZ$6,0))),'Oxford Economics'!$A$7:$A$1000,$C47,'Oxford Economics'!$B$7:$B$1000,Settings!$B$29)-SUMIFS(INDEX('Oxford Economics'!$A$7:$AZ$1000,0,IFERROR(MATCH(G$5,'Oxford Economics'!$A$6:$AZ$6,0),MATCH(G$5&amp;"",'Oxford Economics'!$A$6:$AZ$6,0))),'Oxford Economics'!$A$7:$A$1000,$C47,'Oxford Economics'!$B$7:$B$1000,Settings!$B$30)),(SUMIFS(INDEX('Oxford Economics'!$A$7:$AZ$1000,0,IFERROR(MATCH(G$5,'Oxford Economics'!$A$6:$AZ$6,0),MATCH(G$5&amp;"",'Oxford Economics'!$A$6:$AZ$6,0))),'Oxford Economics'!$A$7:$A$1000,$C47,'Oxford Economics'!$B$7:$B$1000,Settings!$B$30)+SUMIFS(INDEX('Oxford Economics'!$A$7:$AZ$1000,0,IFERROR(MATCH(G$5,'Oxford Economics'!$A$6:$AZ$6,0),MATCH(G$5&amp;"",'Oxford Economics'!$A$6:$AZ$6,0))),'Oxford Economics'!$A$7:$A$1000,$C47,'Oxford Economics'!$B$7:$B$1000,Settings!$B$31)))),""))</f>
        <v/>
      </c>
      <c r="H47" s="41" t="str">
        <f aca="false">IF($A47="","",IFERROR(1/(1/IF($B47="Residential",(SUMIFS(INDEX('Oxford Economics'!$A$7:$AZ$1000,0,IFERROR(MATCH(H$5,'Oxford Economics'!$A$6:$AZ$6,0),MATCH(H$5&amp;"",'Oxford Economics'!$A$6:$AZ$6,0))),'Oxford Economics'!$A$7:$A$1000,$C47,'Oxford Economics'!$B$7:$B$1000,Settings!$B$29)-SUMIFS(INDEX('Oxford Economics'!$A$7:$AZ$1000,0,IFERROR(MATCH(H$5,'Oxford Economics'!$A$6:$AZ$6,0),MATCH(H$5&amp;"",'Oxford Economics'!$A$6:$AZ$6,0))),'Oxford Economics'!$A$7:$A$1000,$C47,'Oxford Economics'!$B$7:$B$1000,Settings!$B$30)),(SUMIFS(INDEX('Oxford Economics'!$A$7:$AZ$1000,0,IFERROR(MATCH(H$5,'Oxford Economics'!$A$6:$AZ$6,0),MATCH(H$5&amp;"",'Oxford Economics'!$A$6:$AZ$6,0))),'Oxford Economics'!$A$7:$A$1000,$C47,'Oxford Economics'!$B$7:$B$1000,Settings!$B$30)+SUMIFS(INDEX('Oxford Economics'!$A$7:$AZ$1000,0,IFERROR(MATCH(H$5,'Oxford Economics'!$A$6:$AZ$6,0),MATCH(H$5&amp;"",'Oxford Economics'!$A$6:$AZ$6,0))),'Oxford Economics'!$A$7:$A$1000,$C47,'Oxford Economics'!$B$7:$B$1000,Settings!$B$31)))),""))</f>
        <v/>
      </c>
      <c r="I47" s="41" t="str">
        <f aca="false">IF($A47="","",IFERROR(1/(1/IF($B47="Residential",(SUMIFS(INDEX('Oxford Economics'!$A$7:$AZ$1000,0,IFERROR(MATCH(I$5,'Oxford Economics'!$A$6:$AZ$6,0),MATCH(I$5&amp;"",'Oxford Economics'!$A$6:$AZ$6,0))),'Oxford Economics'!$A$7:$A$1000,$C47,'Oxford Economics'!$B$7:$B$1000,Settings!$B$29)-SUMIFS(INDEX('Oxford Economics'!$A$7:$AZ$1000,0,IFERROR(MATCH(I$5,'Oxford Economics'!$A$6:$AZ$6,0),MATCH(I$5&amp;"",'Oxford Economics'!$A$6:$AZ$6,0))),'Oxford Economics'!$A$7:$A$1000,$C47,'Oxford Economics'!$B$7:$B$1000,Settings!$B$30)),(SUMIFS(INDEX('Oxford Economics'!$A$7:$AZ$1000,0,IFERROR(MATCH(I$5,'Oxford Economics'!$A$6:$AZ$6,0),MATCH(I$5&amp;"",'Oxford Economics'!$A$6:$AZ$6,0))),'Oxford Economics'!$A$7:$A$1000,$C47,'Oxford Economics'!$B$7:$B$1000,Settings!$B$30)+SUMIFS(INDEX('Oxford Economics'!$A$7:$AZ$1000,0,IFERROR(MATCH(I$5,'Oxford Economics'!$A$6:$AZ$6,0),MATCH(I$5&amp;"",'Oxford Economics'!$A$6:$AZ$6,0))),'Oxford Economics'!$A$7:$A$1000,$C47,'Oxford Economics'!$B$7:$B$1000,Settings!$B$31)))),""))</f>
        <v/>
      </c>
      <c r="J47" s="41" t="str">
        <f aca="false">IF($A47="","",IFERROR(1/(1/IF($B47="Residential",(SUMIFS(INDEX('Oxford Economics'!$A$7:$AZ$1000,0,IFERROR(MATCH(J$5,'Oxford Economics'!$A$6:$AZ$6,0),MATCH(J$5&amp;"",'Oxford Economics'!$A$6:$AZ$6,0))),'Oxford Economics'!$A$7:$A$1000,$C47,'Oxford Economics'!$B$7:$B$1000,Settings!$B$29)-SUMIFS(INDEX('Oxford Economics'!$A$7:$AZ$1000,0,IFERROR(MATCH(J$5,'Oxford Economics'!$A$6:$AZ$6,0),MATCH(J$5&amp;"",'Oxford Economics'!$A$6:$AZ$6,0))),'Oxford Economics'!$A$7:$A$1000,$C47,'Oxford Economics'!$B$7:$B$1000,Settings!$B$30)),(SUMIFS(INDEX('Oxford Economics'!$A$7:$AZ$1000,0,IFERROR(MATCH(J$5,'Oxford Economics'!$A$6:$AZ$6,0),MATCH(J$5&amp;"",'Oxford Economics'!$A$6:$AZ$6,0))),'Oxford Economics'!$A$7:$A$1000,$C47,'Oxford Economics'!$B$7:$B$1000,Settings!$B$30)+SUMIFS(INDEX('Oxford Economics'!$A$7:$AZ$1000,0,IFERROR(MATCH(J$5,'Oxford Economics'!$A$6:$AZ$6,0),MATCH(J$5&amp;"",'Oxford Economics'!$A$6:$AZ$6,0))),'Oxford Economics'!$A$7:$A$1000,$C47,'Oxford Economics'!$B$7:$B$1000,Settings!$B$31)))),""))</f>
        <v/>
      </c>
      <c r="K47" s="41" t="str">
        <f aca="false">IF($A47="","",IFERROR(1/(1/IF($B47="Residential",(SUMIFS(INDEX('Oxford Economics'!$A$7:$AZ$1000,0,IFERROR(MATCH(K$5,'Oxford Economics'!$A$6:$AZ$6,0),MATCH(K$5&amp;"",'Oxford Economics'!$A$6:$AZ$6,0))),'Oxford Economics'!$A$7:$A$1000,$C47,'Oxford Economics'!$B$7:$B$1000,Settings!$B$29)-SUMIFS(INDEX('Oxford Economics'!$A$7:$AZ$1000,0,IFERROR(MATCH(K$5,'Oxford Economics'!$A$6:$AZ$6,0),MATCH(K$5&amp;"",'Oxford Economics'!$A$6:$AZ$6,0))),'Oxford Economics'!$A$7:$A$1000,$C47,'Oxford Economics'!$B$7:$B$1000,Settings!$B$30)),(SUMIFS(INDEX('Oxford Economics'!$A$7:$AZ$1000,0,IFERROR(MATCH(K$5,'Oxford Economics'!$A$6:$AZ$6,0),MATCH(K$5&amp;"",'Oxford Economics'!$A$6:$AZ$6,0))),'Oxford Economics'!$A$7:$A$1000,$C47,'Oxford Economics'!$B$7:$B$1000,Settings!$B$30)+SUMIFS(INDEX('Oxford Economics'!$A$7:$AZ$1000,0,IFERROR(MATCH(K$5,'Oxford Economics'!$A$6:$AZ$6,0),MATCH(K$5&amp;"",'Oxford Economics'!$A$6:$AZ$6,0))),'Oxford Economics'!$A$7:$A$1000,$C47,'Oxford Economics'!$B$7:$B$1000,Settings!$B$31)))),""))</f>
        <v/>
      </c>
      <c r="L47" s="41" t="str">
        <f aca="false">IF($A47="","",IFERROR(1/(1/IF($B47="Residential",(SUMIFS(INDEX('Oxford Economics'!$A$7:$AZ$1000,0,IFERROR(MATCH(L$5,'Oxford Economics'!$A$6:$AZ$6,0),MATCH(L$5&amp;"",'Oxford Economics'!$A$6:$AZ$6,0))),'Oxford Economics'!$A$7:$A$1000,$C47,'Oxford Economics'!$B$7:$B$1000,Settings!$B$29)-SUMIFS(INDEX('Oxford Economics'!$A$7:$AZ$1000,0,IFERROR(MATCH(L$5,'Oxford Economics'!$A$6:$AZ$6,0),MATCH(L$5&amp;"",'Oxford Economics'!$A$6:$AZ$6,0))),'Oxford Economics'!$A$7:$A$1000,$C47,'Oxford Economics'!$B$7:$B$1000,Settings!$B$30)),(SUMIFS(INDEX('Oxford Economics'!$A$7:$AZ$1000,0,IFERROR(MATCH(L$5,'Oxford Economics'!$A$6:$AZ$6,0),MATCH(L$5&amp;"",'Oxford Economics'!$A$6:$AZ$6,0))),'Oxford Economics'!$A$7:$A$1000,$C47,'Oxford Economics'!$B$7:$B$1000,Settings!$B$30)+SUMIFS(INDEX('Oxford Economics'!$A$7:$AZ$1000,0,IFERROR(MATCH(L$5,'Oxford Economics'!$A$6:$AZ$6,0),MATCH(L$5&amp;"",'Oxford Economics'!$A$6:$AZ$6,0))),'Oxford Economics'!$A$7:$A$1000,$C47,'Oxford Economics'!$B$7:$B$1000,Settings!$B$31)))),""))</f>
        <v/>
      </c>
      <c r="M47" s="41" t="str">
        <f aca="false">IF($A47="","",IFERROR(1/(1/IF($B47="Residential",(SUMIFS(INDEX('Oxford Economics'!$A$7:$AZ$1000,0,IFERROR(MATCH(M$5,'Oxford Economics'!$A$6:$AZ$6,0),MATCH(M$5&amp;"",'Oxford Economics'!$A$6:$AZ$6,0))),'Oxford Economics'!$A$7:$A$1000,$C47,'Oxford Economics'!$B$7:$B$1000,Settings!$B$29)-SUMIFS(INDEX('Oxford Economics'!$A$7:$AZ$1000,0,IFERROR(MATCH(M$5,'Oxford Economics'!$A$6:$AZ$6,0),MATCH(M$5&amp;"",'Oxford Economics'!$A$6:$AZ$6,0))),'Oxford Economics'!$A$7:$A$1000,$C47,'Oxford Economics'!$B$7:$B$1000,Settings!$B$30)),(SUMIFS(INDEX('Oxford Economics'!$A$7:$AZ$1000,0,IFERROR(MATCH(M$5,'Oxford Economics'!$A$6:$AZ$6,0),MATCH(M$5&amp;"",'Oxford Economics'!$A$6:$AZ$6,0))),'Oxford Economics'!$A$7:$A$1000,$C47,'Oxford Economics'!$B$7:$B$1000,Settings!$B$30)+SUMIFS(INDEX('Oxford Economics'!$A$7:$AZ$1000,0,IFERROR(MATCH(M$5,'Oxford Economics'!$A$6:$AZ$6,0),MATCH(M$5&amp;"",'Oxford Economics'!$A$6:$AZ$6,0))),'Oxford Economics'!$A$7:$A$1000,$C47,'Oxford Economics'!$B$7:$B$1000,Settings!$B$31)))),""))</f>
        <v/>
      </c>
      <c r="N47" s="41" t="str">
        <f aca="false">IF($A47="","",IFERROR(1/(1/IF($B47="Residential",(SUMIFS(INDEX('Oxford Economics'!$A$7:$AZ$1000,0,IFERROR(MATCH(N$5,'Oxford Economics'!$A$6:$AZ$6,0),MATCH(N$5&amp;"",'Oxford Economics'!$A$6:$AZ$6,0))),'Oxford Economics'!$A$7:$A$1000,$C47,'Oxford Economics'!$B$7:$B$1000,Settings!$B$29)-SUMIFS(INDEX('Oxford Economics'!$A$7:$AZ$1000,0,IFERROR(MATCH(N$5,'Oxford Economics'!$A$6:$AZ$6,0),MATCH(N$5&amp;"",'Oxford Economics'!$A$6:$AZ$6,0))),'Oxford Economics'!$A$7:$A$1000,$C47,'Oxford Economics'!$B$7:$B$1000,Settings!$B$30)),(SUMIFS(INDEX('Oxford Economics'!$A$7:$AZ$1000,0,IFERROR(MATCH(N$5,'Oxford Economics'!$A$6:$AZ$6,0),MATCH(N$5&amp;"",'Oxford Economics'!$A$6:$AZ$6,0))),'Oxford Economics'!$A$7:$A$1000,$C47,'Oxford Economics'!$B$7:$B$1000,Settings!$B$30)+SUMIFS(INDEX('Oxford Economics'!$A$7:$AZ$1000,0,IFERROR(MATCH(N$5,'Oxford Economics'!$A$6:$AZ$6,0),MATCH(N$5&amp;"",'Oxford Economics'!$A$6:$AZ$6,0))),'Oxford Economics'!$A$7:$A$1000,$C47,'Oxford Economics'!$B$7:$B$1000,Settings!$B$31)))),""))</f>
        <v/>
      </c>
      <c r="O47" s="41" t="str">
        <f aca="false">IF($A47="","",IFERROR(1/(1/IF($B47="Residential",(SUMIFS(INDEX('Oxford Economics'!$A$7:$AZ$1000,0,IFERROR(MATCH(O$5,'Oxford Economics'!$A$6:$AZ$6,0),MATCH(O$5&amp;"",'Oxford Economics'!$A$6:$AZ$6,0))),'Oxford Economics'!$A$7:$A$1000,$C47,'Oxford Economics'!$B$7:$B$1000,Settings!$B$29)-SUMIFS(INDEX('Oxford Economics'!$A$7:$AZ$1000,0,IFERROR(MATCH(O$5,'Oxford Economics'!$A$6:$AZ$6,0),MATCH(O$5&amp;"",'Oxford Economics'!$A$6:$AZ$6,0))),'Oxford Economics'!$A$7:$A$1000,$C47,'Oxford Economics'!$B$7:$B$1000,Settings!$B$30)),(SUMIFS(INDEX('Oxford Economics'!$A$7:$AZ$1000,0,IFERROR(MATCH(O$5,'Oxford Economics'!$A$6:$AZ$6,0),MATCH(O$5&amp;"",'Oxford Economics'!$A$6:$AZ$6,0))),'Oxford Economics'!$A$7:$A$1000,$C47,'Oxford Economics'!$B$7:$B$1000,Settings!$B$30)+SUMIFS(INDEX('Oxford Economics'!$A$7:$AZ$1000,0,IFERROR(MATCH(O$5,'Oxford Economics'!$A$6:$AZ$6,0),MATCH(O$5&amp;"",'Oxford Economics'!$A$6:$AZ$6,0))),'Oxford Economics'!$A$7:$A$1000,$C47,'Oxford Economics'!$B$7:$B$1000,Settings!$B$31)))),""))</f>
        <v/>
      </c>
    </row>
    <row r="48" customFormat="false" ht="15" hidden="false" customHeight="false" outlineLevel="0" collapsed="false">
      <c r="A48" s="40" t="str">
        <f aca="false">IF('Raw data'!$A48="","",'Raw data'!$A48)</f>
        <v/>
      </c>
      <c r="B48" s="40" t="str">
        <f aca="false">IF($A48="","",'Raw data'!$C48)</f>
        <v/>
      </c>
      <c r="C48" s="40" t="str">
        <f aca="false">IF($A48="","",IF('Raw data'!$D48="",$A48,'Raw data'!$D48))</f>
        <v/>
      </c>
      <c r="D48" s="41" t="str">
        <f aca="false">IF($A48="","",IFERROR(1/(1/IF($B48="Residential",(SUMIFS(INDEX('Oxford Economics'!$A$7:$AZ$1000,0,IFERROR(MATCH(D$5,'Oxford Economics'!$A$6:$AZ$6,0),MATCH(D$5&amp;"",'Oxford Economics'!$A$6:$AZ$6,0))),'Oxford Economics'!$A$7:$A$1000,$C48,'Oxford Economics'!$B$7:$B$1000,Settings!$B$29)-SUMIFS(INDEX('Oxford Economics'!$A$7:$AZ$1000,0,IFERROR(MATCH(D$5,'Oxford Economics'!$A$6:$AZ$6,0),MATCH(D$5&amp;"",'Oxford Economics'!$A$6:$AZ$6,0))),'Oxford Economics'!$A$7:$A$1000,$C48,'Oxford Economics'!$B$7:$B$1000,Settings!$B$30)),(SUMIFS(INDEX('Oxford Economics'!$A$7:$AZ$1000,0,IFERROR(MATCH(D$5,'Oxford Economics'!$A$6:$AZ$6,0),MATCH(D$5&amp;"",'Oxford Economics'!$A$6:$AZ$6,0))),'Oxford Economics'!$A$7:$A$1000,$C48,'Oxford Economics'!$B$7:$B$1000,Settings!$B$30)+SUMIFS(INDEX('Oxford Economics'!$A$7:$AZ$1000,0,IFERROR(MATCH(D$5,'Oxford Economics'!$A$6:$AZ$6,0),MATCH(D$5&amp;"",'Oxford Economics'!$A$6:$AZ$6,0))),'Oxford Economics'!$A$7:$A$1000,$C48,'Oxford Economics'!$B$7:$B$1000,Settings!$B$31)))),""))</f>
        <v/>
      </c>
      <c r="E48" s="41" t="str">
        <f aca="false">IF($A48="","",IFERROR(1/(1/IF($B48="Residential",(SUMIFS(INDEX('Oxford Economics'!$A$7:$AZ$1000,0,IFERROR(MATCH(E$5,'Oxford Economics'!$A$6:$AZ$6,0),MATCH(E$5&amp;"",'Oxford Economics'!$A$6:$AZ$6,0))),'Oxford Economics'!$A$7:$A$1000,$C48,'Oxford Economics'!$B$7:$B$1000,Settings!$B$29)-SUMIFS(INDEX('Oxford Economics'!$A$7:$AZ$1000,0,IFERROR(MATCH(E$5,'Oxford Economics'!$A$6:$AZ$6,0),MATCH(E$5&amp;"",'Oxford Economics'!$A$6:$AZ$6,0))),'Oxford Economics'!$A$7:$A$1000,$C48,'Oxford Economics'!$B$7:$B$1000,Settings!$B$30)),(SUMIFS(INDEX('Oxford Economics'!$A$7:$AZ$1000,0,IFERROR(MATCH(E$5,'Oxford Economics'!$A$6:$AZ$6,0),MATCH(E$5&amp;"",'Oxford Economics'!$A$6:$AZ$6,0))),'Oxford Economics'!$A$7:$A$1000,$C48,'Oxford Economics'!$B$7:$B$1000,Settings!$B$30)+SUMIFS(INDEX('Oxford Economics'!$A$7:$AZ$1000,0,IFERROR(MATCH(E$5,'Oxford Economics'!$A$6:$AZ$6,0),MATCH(E$5&amp;"",'Oxford Economics'!$A$6:$AZ$6,0))),'Oxford Economics'!$A$7:$A$1000,$C48,'Oxford Economics'!$B$7:$B$1000,Settings!$B$31)))),""))</f>
        <v/>
      </c>
      <c r="F48" s="41" t="str">
        <f aca="false">IF($A48="","",IFERROR(1/(1/IF($B48="Residential",(SUMIFS(INDEX('Oxford Economics'!$A$7:$AZ$1000,0,IFERROR(MATCH(F$5,'Oxford Economics'!$A$6:$AZ$6,0),MATCH(F$5&amp;"",'Oxford Economics'!$A$6:$AZ$6,0))),'Oxford Economics'!$A$7:$A$1000,$C48,'Oxford Economics'!$B$7:$B$1000,Settings!$B$29)-SUMIFS(INDEX('Oxford Economics'!$A$7:$AZ$1000,0,IFERROR(MATCH(F$5,'Oxford Economics'!$A$6:$AZ$6,0),MATCH(F$5&amp;"",'Oxford Economics'!$A$6:$AZ$6,0))),'Oxford Economics'!$A$7:$A$1000,$C48,'Oxford Economics'!$B$7:$B$1000,Settings!$B$30)),(SUMIFS(INDEX('Oxford Economics'!$A$7:$AZ$1000,0,IFERROR(MATCH(F$5,'Oxford Economics'!$A$6:$AZ$6,0),MATCH(F$5&amp;"",'Oxford Economics'!$A$6:$AZ$6,0))),'Oxford Economics'!$A$7:$A$1000,$C48,'Oxford Economics'!$B$7:$B$1000,Settings!$B$30)+SUMIFS(INDEX('Oxford Economics'!$A$7:$AZ$1000,0,IFERROR(MATCH(F$5,'Oxford Economics'!$A$6:$AZ$6,0),MATCH(F$5&amp;"",'Oxford Economics'!$A$6:$AZ$6,0))),'Oxford Economics'!$A$7:$A$1000,$C48,'Oxford Economics'!$B$7:$B$1000,Settings!$B$31)))),""))</f>
        <v/>
      </c>
      <c r="G48" s="41" t="str">
        <f aca="false">IF($A48="","",IFERROR(1/(1/IF($B48="Residential",(SUMIFS(INDEX('Oxford Economics'!$A$7:$AZ$1000,0,IFERROR(MATCH(G$5,'Oxford Economics'!$A$6:$AZ$6,0),MATCH(G$5&amp;"",'Oxford Economics'!$A$6:$AZ$6,0))),'Oxford Economics'!$A$7:$A$1000,$C48,'Oxford Economics'!$B$7:$B$1000,Settings!$B$29)-SUMIFS(INDEX('Oxford Economics'!$A$7:$AZ$1000,0,IFERROR(MATCH(G$5,'Oxford Economics'!$A$6:$AZ$6,0),MATCH(G$5&amp;"",'Oxford Economics'!$A$6:$AZ$6,0))),'Oxford Economics'!$A$7:$A$1000,$C48,'Oxford Economics'!$B$7:$B$1000,Settings!$B$30)),(SUMIFS(INDEX('Oxford Economics'!$A$7:$AZ$1000,0,IFERROR(MATCH(G$5,'Oxford Economics'!$A$6:$AZ$6,0),MATCH(G$5&amp;"",'Oxford Economics'!$A$6:$AZ$6,0))),'Oxford Economics'!$A$7:$A$1000,$C48,'Oxford Economics'!$B$7:$B$1000,Settings!$B$30)+SUMIFS(INDEX('Oxford Economics'!$A$7:$AZ$1000,0,IFERROR(MATCH(G$5,'Oxford Economics'!$A$6:$AZ$6,0),MATCH(G$5&amp;"",'Oxford Economics'!$A$6:$AZ$6,0))),'Oxford Economics'!$A$7:$A$1000,$C48,'Oxford Economics'!$B$7:$B$1000,Settings!$B$31)))),""))</f>
        <v/>
      </c>
      <c r="H48" s="41" t="str">
        <f aca="false">IF($A48="","",IFERROR(1/(1/IF($B48="Residential",(SUMIFS(INDEX('Oxford Economics'!$A$7:$AZ$1000,0,IFERROR(MATCH(H$5,'Oxford Economics'!$A$6:$AZ$6,0),MATCH(H$5&amp;"",'Oxford Economics'!$A$6:$AZ$6,0))),'Oxford Economics'!$A$7:$A$1000,$C48,'Oxford Economics'!$B$7:$B$1000,Settings!$B$29)-SUMIFS(INDEX('Oxford Economics'!$A$7:$AZ$1000,0,IFERROR(MATCH(H$5,'Oxford Economics'!$A$6:$AZ$6,0),MATCH(H$5&amp;"",'Oxford Economics'!$A$6:$AZ$6,0))),'Oxford Economics'!$A$7:$A$1000,$C48,'Oxford Economics'!$B$7:$B$1000,Settings!$B$30)),(SUMIFS(INDEX('Oxford Economics'!$A$7:$AZ$1000,0,IFERROR(MATCH(H$5,'Oxford Economics'!$A$6:$AZ$6,0),MATCH(H$5&amp;"",'Oxford Economics'!$A$6:$AZ$6,0))),'Oxford Economics'!$A$7:$A$1000,$C48,'Oxford Economics'!$B$7:$B$1000,Settings!$B$30)+SUMIFS(INDEX('Oxford Economics'!$A$7:$AZ$1000,0,IFERROR(MATCH(H$5,'Oxford Economics'!$A$6:$AZ$6,0),MATCH(H$5&amp;"",'Oxford Economics'!$A$6:$AZ$6,0))),'Oxford Economics'!$A$7:$A$1000,$C48,'Oxford Economics'!$B$7:$B$1000,Settings!$B$31)))),""))</f>
        <v/>
      </c>
      <c r="I48" s="41" t="str">
        <f aca="false">IF($A48="","",IFERROR(1/(1/IF($B48="Residential",(SUMIFS(INDEX('Oxford Economics'!$A$7:$AZ$1000,0,IFERROR(MATCH(I$5,'Oxford Economics'!$A$6:$AZ$6,0),MATCH(I$5&amp;"",'Oxford Economics'!$A$6:$AZ$6,0))),'Oxford Economics'!$A$7:$A$1000,$C48,'Oxford Economics'!$B$7:$B$1000,Settings!$B$29)-SUMIFS(INDEX('Oxford Economics'!$A$7:$AZ$1000,0,IFERROR(MATCH(I$5,'Oxford Economics'!$A$6:$AZ$6,0),MATCH(I$5&amp;"",'Oxford Economics'!$A$6:$AZ$6,0))),'Oxford Economics'!$A$7:$A$1000,$C48,'Oxford Economics'!$B$7:$B$1000,Settings!$B$30)),(SUMIFS(INDEX('Oxford Economics'!$A$7:$AZ$1000,0,IFERROR(MATCH(I$5,'Oxford Economics'!$A$6:$AZ$6,0),MATCH(I$5&amp;"",'Oxford Economics'!$A$6:$AZ$6,0))),'Oxford Economics'!$A$7:$A$1000,$C48,'Oxford Economics'!$B$7:$B$1000,Settings!$B$30)+SUMIFS(INDEX('Oxford Economics'!$A$7:$AZ$1000,0,IFERROR(MATCH(I$5,'Oxford Economics'!$A$6:$AZ$6,0),MATCH(I$5&amp;"",'Oxford Economics'!$A$6:$AZ$6,0))),'Oxford Economics'!$A$7:$A$1000,$C48,'Oxford Economics'!$B$7:$B$1000,Settings!$B$31)))),""))</f>
        <v/>
      </c>
      <c r="J48" s="41" t="str">
        <f aca="false">IF($A48="","",IFERROR(1/(1/IF($B48="Residential",(SUMIFS(INDEX('Oxford Economics'!$A$7:$AZ$1000,0,IFERROR(MATCH(J$5,'Oxford Economics'!$A$6:$AZ$6,0),MATCH(J$5&amp;"",'Oxford Economics'!$A$6:$AZ$6,0))),'Oxford Economics'!$A$7:$A$1000,$C48,'Oxford Economics'!$B$7:$B$1000,Settings!$B$29)-SUMIFS(INDEX('Oxford Economics'!$A$7:$AZ$1000,0,IFERROR(MATCH(J$5,'Oxford Economics'!$A$6:$AZ$6,0),MATCH(J$5&amp;"",'Oxford Economics'!$A$6:$AZ$6,0))),'Oxford Economics'!$A$7:$A$1000,$C48,'Oxford Economics'!$B$7:$B$1000,Settings!$B$30)),(SUMIFS(INDEX('Oxford Economics'!$A$7:$AZ$1000,0,IFERROR(MATCH(J$5,'Oxford Economics'!$A$6:$AZ$6,0),MATCH(J$5&amp;"",'Oxford Economics'!$A$6:$AZ$6,0))),'Oxford Economics'!$A$7:$A$1000,$C48,'Oxford Economics'!$B$7:$B$1000,Settings!$B$30)+SUMIFS(INDEX('Oxford Economics'!$A$7:$AZ$1000,0,IFERROR(MATCH(J$5,'Oxford Economics'!$A$6:$AZ$6,0),MATCH(J$5&amp;"",'Oxford Economics'!$A$6:$AZ$6,0))),'Oxford Economics'!$A$7:$A$1000,$C48,'Oxford Economics'!$B$7:$B$1000,Settings!$B$31)))),""))</f>
        <v/>
      </c>
      <c r="K48" s="41" t="str">
        <f aca="false">IF($A48="","",IFERROR(1/(1/IF($B48="Residential",(SUMIFS(INDEX('Oxford Economics'!$A$7:$AZ$1000,0,IFERROR(MATCH(K$5,'Oxford Economics'!$A$6:$AZ$6,0),MATCH(K$5&amp;"",'Oxford Economics'!$A$6:$AZ$6,0))),'Oxford Economics'!$A$7:$A$1000,$C48,'Oxford Economics'!$B$7:$B$1000,Settings!$B$29)-SUMIFS(INDEX('Oxford Economics'!$A$7:$AZ$1000,0,IFERROR(MATCH(K$5,'Oxford Economics'!$A$6:$AZ$6,0),MATCH(K$5&amp;"",'Oxford Economics'!$A$6:$AZ$6,0))),'Oxford Economics'!$A$7:$A$1000,$C48,'Oxford Economics'!$B$7:$B$1000,Settings!$B$30)),(SUMIFS(INDEX('Oxford Economics'!$A$7:$AZ$1000,0,IFERROR(MATCH(K$5,'Oxford Economics'!$A$6:$AZ$6,0),MATCH(K$5&amp;"",'Oxford Economics'!$A$6:$AZ$6,0))),'Oxford Economics'!$A$7:$A$1000,$C48,'Oxford Economics'!$B$7:$B$1000,Settings!$B$30)+SUMIFS(INDEX('Oxford Economics'!$A$7:$AZ$1000,0,IFERROR(MATCH(K$5,'Oxford Economics'!$A$6:$AZ$6,0),MATCH(K$5&amp;"",'Oxford Economics'!$A$6:$AZ$6,0))),'Oxford Economics'!$A$7:$A$1000,$C48,'Oxford Economics'!$B$7:$B$1000,Settings!$B$31)))),""))</f>
        <v/>
      </c>
      <c r="L48" s="41" t="str">
        <f aca="false">IF($A48="","",IFERROR(1/(1/IF($B48="Residential",(SUMIFS(INDEX('Oxford Economics'!$A$7:$AZ$1000,0,IFERROR(MATCH(L$5,'Oxford Economics'!$A$6:$AZ$6,0),MATCH(L$5&amp;"",'Oxford Economics'!$A$6:$AZ$6,0))),'Oxford Economics'!$A$7:$A$1000,$C48,'Oxford Economics'!$B$7:$B$1000,Settings!$B$29)-SUMIFS(INDEX('Oxford Economics'!$A$7:$AZ$1000,0,IFERROR(MATCH(L$5,'Oxford Economics'!$A$6:$AZ$6,0),MATCH(L$5&amp;"",'Oxford Economics'!$A$6:$AZ$6,0))),'Oxford Economics'!$A$7:$A$1000,$C48,'Oxford Economics'!$B$7:$B$1000,Settings!$B$30)),(SUMIFS(INDEX('Oxford Economics'!$A$7:$AZ$1000,0,IFERROR(MATCH(L$5,'Oxford Economics'!$A$6:$AZ$6,0),MATCH(L$5&amp;"",'Oxford Economics'!$A$6:$AZ$6,0))),'Oxford Economics'!$A$7:$A$1000,$C48,'Oxford Economics'!$B$7:$B$1000,Settings!$B$30)+SUMIFS(INDEX('Oxford Economics'!$A$7:$AZ$1000,0,IFERROR(MATCH(L$5,'Oxford Economics'!$A$6:$AZ$6,0),MATCH(L$5&amp;"",'Oxford Economics'!$A$6:$AZ$6,0))),'Oxford Economics'!$A$7:$A$1000,$C48,'Oxford Economics'!$B$7:$B$1000,Settings!$B$31)))),""))</f>
        <v/>
      </c>
      <c r="M48" s="41" t="str">
        <f aca="false">IF($A48="","",IFERROR(1/(1/IF($B48="Residential",(SUMIFS(INDEX('Oxford Economics'!$A$7:$AZ$1000,0,IFERROR(MATCH(M$5,'Oxford Economics'!$A$6:$AZ$6,0),MATCH(M$5&amp;"",'Oxford Economics'!$A$6:$AZ$6,0))),'Oxford Economics'!$A$7:$A$1000,$C48,'Oxford Economics'!$B$7:$B$1000,Settings!$B$29)-SUMIFS(INDEX('Oxford Economics'!$A$7:$AZ$1000,0,IFERROR(MATCH(M$5,'Oxford Economics'!$A$6:$AZ$6,0),MATCH(M$5&amp;"",'Oxford Economics'!$A$6:$AZ$6,0))),'Oxford Economics'!$A$7:$A$1000,$C48,'Oxford Economics'!$B$7:$B$1000,Settings!$B$30)),(SUMIFS(INDEX('Oxford Economics'!$A$7:$AZ$1000,0,IFERROR(MATCH(M$5,'Oxford Economics'!$A$6:$AZ$6,0),MATCH(M$5&amp;"",'Oxford Economics'!$A$6:$AZ$6,0))),'Oxford Economics'!$A$7:$A$1000,$C48,'Oxford Economics'!$B$7:$B$1000,Settings!$B$30)+SUMIFS(INDEX('Oxford Economics'!$A$7:$AZ$1000,0,IFERROR(MATCH(M$5,'Oxford Economics'!$A$6:$AZ$6,0),MATCH(M$5&amp;"",'Oxford Economics'!$A$6:$AZ$6,0))),'Oxford Economics'!$A$7:$A$1000,$C48,'Oxford Economics'!$B$7:$B$1000,Settings!$B$31)))),""))</f>
        <v/>
      </c>
      <c r="N48" s="41" t="str">
        <f aca="false">IF($A48="","",IFERROR(1/(1/IF($B48="Residential",(SUMIFS(INDEX('Oxford Economics'!$A$7:$AZ$1000,0,IFERROR(MATCH(N$5,'Oxford Economics'!$A$6:$AZ$6,0),MATCH(N$5&amp;"",'Oxford Economics'!$A$6:$AZ$6,0))),'Oxford Economics'!$A$7:$A$1000,$C48,'Oxford Economics'!$B$7:$B$1000,Settings!$B$29)-SUMIFS(INDEX('Oxford Economics'!$A$7:$AZ$1000,0,IFERROR(MATCH(N$5,'Oxford Economics'!$A$6:$AZ$6,0),MATCH(N$5&amp;"",'Oxford Economics'!$A$6:$AZ$6,0))),'Oxford Economics'!$A$7:$A$1000,$C48,'Oxford Economics'!$B$7:$B$1000,Settings!$B$30)),(SUMIFS(INDEX('Oxford Economics'!$A$7:$AZ$1000,0,IFERROR(MATCH(N$5,'Oxford Economics'!$A$6:$AZ$6,0),MATCH(N$5&amp;"",'Oxford Economics'!$A$6:$AZ$6,0))),'Oxford Economics'!$A$7:$A$1000,$C48,'Oxford Economics'!$B$7:$B$1000,Settings!$B$30)+SUMIFS(INDEX('Oxford Economics'!$A$7:$AZ$1000,0,IFERROR(MATCH(N$5,'Oxford Economics'!$A$6:$AZ$6,0),MATCH(N$5&amp;"",'Oxford Economics'!$A$6:$AZ$6,0))),'Oxford Economics'!$A$7:$A$1000,$C48,'Oxford Economics'!$B$7:$B$1000,Settings!$B$31)))),""))</f>
        <v/>
      </c>
      <c r="O48" s="41" t="str">
        <f aca="false">IF($A48="","",IFERROR(1/(1/IF($B48="Residential",(SUMIFS(INDEX('Oxford Economics'!$A$7:$AZ$1000,0,IFERROR(MATCH(O$5,'Oxford Economics'!$A$6:$AZ$6,0),MATCH(O$5&amp;"",'Oxford Economics'!$A$6:$AZ$6,0))),'Oxford Economics'!$A$7:$A$1000,$C48,'Oxford Economics'!$B$7:$B$1000,Settings!$B$29)-SUMIFS(INDEX('Oxford Economics'!$A$7:$AZ$1000,0,IFERROR(MATCH(O$5,'Oxford Economics'!$A$6:$AZ$6,0),MATCH(O$5&amp;"",'Oxford Economics'!$A$6:$AZ$6,0))),'Oxford Economics'!$A$7:$A$1000,$C48,'Oxford Economics'!$B$7:$B$1000,Settings!$B$30)),(SUMIFS(INDEX('Oxford Economics'!$A$7:$AZ$1000,0,IFERROR(MATCH(O$5,'Oxford Economics'!$A$6:$AZ$6,0),MATCH(O$5&amp;"",'Oxford Economics'!$A$6:$AZ$6,0))),'Oxford Economics'!$A$7:$A$1000,$C48,'Oxford Economics'!$B$7:$B$1000,Settings!$B$30)+SUMIFS(INDEX('Oxford Economics'!$A$7:$AZ$1000,0,IFERROR(MATCH(O$5,'Oxford Economics'!$A$6:$AZ$6,0),MATCH(O$5&amp;"",'Oxford Economics'!$A$6:$AZ$6,0))),'Oxford Economics'!$A$7:$A$1000,$C48,'Oxford Economics'!$B$7:$B$1000,Settings!$B$31)))),""))</f>
        <v/>
      </c>
    </row>
    <row r="49" customFormat="false" ht="15" hidden="false" customHeight="false" outlineLevel="0" collapsed="false">
      <c r="A49" s="40" t="str">
        <f aca="false">IF('Raw data'!$A49="","",'Raw data'!$A49)</f>
        <v/>
      </c>
      <c r="B49" s="40" t="str">
        <f aca="false">IF($A49="","",'Raw data'!$C49)</f>
        <v/>
      </c>
      <c r="C49" s="40" t="str">
        <f aca="false">IF($A49="","",IF('Raw data'!$D49="",$A49,'Raw data'!$D49))</f>
        <v/>
      </c>
      <c r="D49" s="41" t="str">
        <f aca="false">IF($A49="","",IFERROR(1/(1/IF($B49="Residential",(SUMIFS(INDEX('Oxford Economics'!$A$7:$AZ$1000,0,IFERROR(MATCH(D$5,'Oxford Economics'!$A$6:$AZ$6,0),MATCH(D$5&amp;"",'Oxford Economics'!$A$6:$AZ$6,0))),'Oxford Economics'!$A$7:$A$1000,$C49,'Oxford Economics'!$B$7:$B$1000,Settings!$B$29)-SUMIFS(INDEX('Oxford Economics'!$A$7:$AZ$1000,0,IFERROR(MATCH(D$5,'Oxford Economics'!$A$6:$AZ$6,0),MATCH(D$5&amp;"",'Oxford Economics'!$A$6:$AZ$6,0))),'Oxford Economics'!$A$7:$A$1000,$C49,'Oxford Economics'!$B$7:$B$1000,Settings!$B$30)),(SUMIFS(INDEX('Oxford Economics'!$A$7:$AZ$1000,0,IFERROR(MATCH(D$5,'Oxford Economics'!$A$6:$AZ$6,0),MATCH(D$5&amp;"",'Oxford Economics'!$A$6:$AZ$6,0))),'Oxford Economics'!$A$7:$A$1000,$C49,'Oxford Economics'!$B$7:$B$1000,Settings!$B$30)+SUMIFS(INDEX('Oxford Economics'!$A$7:$AZ$1000,0,IFERROR(MATCH(D$5,'Oxford Economics'!$A$6:$AZ$6,0),MATCH(D$5&amp;"",'Oxford Economics'!$A$6:$AZ$6,0))),'Oxford Economics'!$A$7:$A$1000,$C49,'Oxford Economics'!$B$7:$B$1000,Settings!$B$31)))),""))</f>
        <v/>
      </c>
      <c r="E49" s="41" t="str">
        <f aca="false">IF($A49="","",IFERROR(1/(1/IF($B49="Residential",(SUMIFS(INDEX('Oxford Economics'!$A$7:$AZ$1000,0,IFERROR(MATCH(E$5,'Oxford Economics'!$A$6:$AZ$6,0),MATCH(E$5&amp;"",'Oxford Economics'!$A$6:$AZ$6,0))),'Oxford Economics'!$A$7:$A$1000,$C49,'Oxford Economics'!$B$7:$B$1000,Settings!$B$29)-SUMIFS(INDEX('Oxford Economics'!$A$7:$AZ$1000,0,IFERROR(MATCH(E$5,'Oxford Economics'!$A$6:$AZ$6,0),MATCH(E$5&amp;"",'Oxford Economics'!$A$6:$AZ$6,0))),'Oxford Economics'!$A$7:$A$1000,$C49,'Oxford Economics'!$B$7:$B$1000,Settings!$B$30)),(SUMIFS(INDEX('Oxford Economics'!$A$7:$AZ$1000,0,IFERROR(MATCH(E$5,'Oxford Economics'!$A$6:$AZ$6,0),MATCH(E$5&amp;"",'Oxford Economics'!$A$6:$AZ$6,0))),'Oxford Economics'!$A$7:$A$1000,$C49,'Oxford Economics'!$B$7:$B$1000,Settings!$B$30)+SUMIFS(INDEX('Oxford Economics'!$A$7:$AZ$1000,0,IFERROR(MATCH(E$5,'Oxford Economics'!$A$6:$AZ$6,0),MATCH(E$5&amp;"",'Oxford Economics'!$A$6:$AZ$6,0))),'Oxford Economics'!$A$7:$A$1000,$C49,'Oxford Economics'!$B$7:$B$1000,Settings!$B$31)))),""))</f>
        <v/>
      </c>
      <c r="F49" s="41" t="str">
        <f aca="false">IF($A49="","",IFERROR(1/(1/IF($B49="Residential",(SUMIFS(INDEX('Oxford Economics'!$A$7:$AZ$1000,0,IFERROR(MATCH(F$5,'Oxford Economics'!$A$6:$AZ$6,0),MATCH(F$5&amp;"",'Oxford Economics'!$A$6:$AZ$6,0))),'Oxford Economics'!$A$7:$A$1000,$C49,'Oxford Economics'!$B$7:$B$1000,Settings!$B$29)-SUMIFS(INDEX('Oxford Economics'!$A$7:$AZ$1000,0,IFERROR(MATCH(F$5,'Oxford Economics'!$A$6:$AZ$6,0),MATCH(F$5&amp;"",'Oxford Economics'!$A$6:$AZ$6,0))),'Oxford Economics'!$A$7:$A$1000,$C49,'Oxford Economics'!$B$7:$B$1000,Settings!$B$30)),(SUMIFS(INDEX('Oxford Economics'!$A$7:$AZ$1000,0,IFERROR(MATCH(F$5,'Oxford Economics'!$A$6:$AZ$6,0),MATCH(F$5&amp;"",'Oxford Economics'!$A$6:$AZ$6,0))),'Oxford Economics'!$A$7:$A$1000,$C49,'Oxford Economics'!$B$7:$B$1000,Settings!$B$30)+SUMIFS(INDEX('Oxford Economics'!$A$7:$AZ$1000,0,IFERROR(MATCH(F$5,'Oxford Economics'!$A$6:$AZ$6,0),MATCH(F$5&amp;"",'Oxford Economics'!$A$6:$AZ$6,0))),'Oxford Economics'!$A$7:$A$1000,$C49,'Oxford Economics'!$B$7:$B$1000,Settings!$B$31)))),""))</f>
        <v/>
      </c>
      <c r="G49" s="41" t="str">
        <f aca="false">IF($A49="","",IFERROR(1/(1/IF($B49="Residential",(SUMIFS(INDEX('Oxford Economics'!$A$7:$AZ$1000,0,IFERROR(MATCH(G$5,'Oxford Economics'!$A$6:$AZ$6,0),MATCH(G$5&amp;"",'Oxford Economics'!$A$6:$AZ$6,0))),'Oxford Economics'!$A$7:$A$1000,$C49,'Oxford Economics'!$B$7:$B$1000,Settings!$B$29)-SUMIFS(INDEX('Oxford Economics'!$A$7:$AZ$1000,0,IFERROR(MATCH(G$5,'Oxford Economics'!$A$6:$AZ$6,0),MATCH(G$5&amp;"",'Oxford Economics'!$A$6:$AZ$6,0))),'Oxford Economics'!$A$7:$A$1000,$C49,'Oxford Economics'!$B$7:$B$1000,Settings!$B$30)),(SUMIFS(INDEX('Oxford Economics'!$A$7:$AZ$1000,0,IFERROR(MATCH(G$5,'Oxford Economics'!$A$6:$AZ$6,0),MATCH(G$5&amp;"",'Oxford Economics'!$A$6:$AZ$6,0))),'Oxford Economics'!$A$7:$A$1000,$C49,'Oxford Economics'!$B$7:$B$1000,Settings!$B$30)+SUMIFS(INDEX('Oxford Economics'!$A$7:$AZ$1000,0,IFERROR(MATCH(G$5,'Oxford Economics'!$A$6:$AZ$6,0),MATCH(G$5&amp;"",'Oxford Economics'!$A$6:$AZ$6,0))),'Oxford Economics'!$A$7:$A$1000,$C49,'Oxford Economics'!$B$7:$B$1000,Settings!$B$31)))),""))</f>
        <v/>
      </c>
      <c r="H49" s="41" t="str">
        <f aca="false">IF($A49="","",IFERROR(1/(1/IF($B49="Residential",(SUMIFS(INDEX('Oxford Economics'!$A$7:$AZ$1000,0,IFERROR(MATCH(H$5,'Oxford Economics'!$A$6:$AZ$6,0),MATCH(H$5&amp;"",'Oxford Economics'!$A$6:$AZ$6,0))),'Oxford Economics'!$A$7:$A$1000,$C49,'Oxford Economics'!$B$7:$B$1000,Settings!$B$29)-SUMIFS(INDEX('Oxford Economics'!$A$7:$AZ$1000,0,IFERROR(MATCH(H$5,'Oxford Economics'!$A$6:$AZ$6,0),MATCH(H$5&amp;"",'Oxford Economics'!$A$6:$AZ$6,0))),'Oxford Economics'!$A$7:$A$1000,$C49,'Oxford Economics'!$B$7:$B$1000,Settings!$B$30)),(SUMIFS(INDEX('Oxford Economics'!$A$7:$AZ$1000,0,IFERROR(MATCH(H$5,'Oxford Economics'!$A$6:$AZ$6,0),MATCH(H$5&amp;"",'Oxford Economics'!$A$6:$AZ$6,0))),'Oxford Economics'!$A$7:$A$1000,$C49,'Oxford Economics'!$B$7:$B$1000,Settings!$B$30)+SUMIFS(INDEX('Oxford Economics'!$A$7:$AZ$1000,0,IFERROR(MATCH(H$5,'Oxford Economics'!$A$6:$AZ$6,0),MATCH(H$5&amp;"",'Oxford Economics'!$A$6:$AZ$6,0))),'Oxford Economics'!$A$7:$A$1000,$C49,'Oxford Economics'!$B$7:$B$1000,Settings!$B$31)))),""))</f>
        <v/>
      </c>
      <c r="I49" s="41" t="str">
        <f aca="false">IF($A49="","",IFERROR(1/(1/IF($B49="Residential",(SUMIFS(INDEX('Oxford Economics'!$A$7:$AZ$1000,0,IFERROR(MATCH(I$5,'Oxford Economics'!$A$6:$AZ$6,0),MATCH(I$5&amp;"",'Oxford Economics'!$A$6:$AZ$6,0))),'Oxford Economics'!$A$7:$A$1000,$C49,'Oxford Economics'!$B$7:$B$1000,Settings!$B$29)-SUMIFS(INDEX('Oxford Economics'!$A$7:$AZ$1000,0,IFERROR(MATCH(I$5,'Oxford Economics'!$A$6:$AZ$6,0),MATCH(I$5&amp;"",'Oxford Economics'!$A$6:$AZ$6,0))),'Oxford Economics'!$A$7:$A$1000,$C49,'Oxford Economics'!$B$7:$B$1000,Settings!$B$30)),(SUMIFS(INDEX('Oxford Economics'!$A$7:$AZ$1000,0,IFERROR(MATCH(I$5,'Oxford Economics'!$A$6:$AZ$6,0),MATCH(I$5&amp;"",'Oxford Economics'!$A$6:$AZ$6,0))),'Oxford Economics'!$A$7:$A$1000,$C49,'Oxford Economics'!$B$7:$B$1000,Settings!$B$30)+SUMIFS(INDEX('Oxford Economics'!$A$7:$AZ$1000,0,IFERROR(MATCH(I$5,'Oxford Economics'!$A$6:$AZ$6,0),MATCH(I$5&amp;"",'Oxford Economics'!$A$6:$AZ$6,0))),'Oxford Economics'!$A$7:$A$1000,$C49,'Oxford Economics'!$B$7:$B$1000,Settings!$B$31)))),""))</f>
        <v/>
      </c>
      <c r="J49" s="41" t="str">
        <f aca="false">IF($A49="","",IFERROR(1/(1/IF($B49="Residential",(SUMIFS(INDEX('Oxford Economics'!$A$7:$AZ$1000,0,IFERROR(MATCH(J$5,'Oxford Economics'!$A$6:$AZ$6,0),MATCH(J$5&amp;"",'Oxford Economics'!$A$6:$AZ$6,0))),'Oxford Economics'!$A$7:$A$1000,$C49,'Oxford Economics'!$B$7:$B$1000,Settings!$B$29)-SUMIFS(INDEX('Oxford Economics'!$A$7:$AZ$1000,0,IFERROR(MATCH(J$5,'Oxford Economics'!$A$6:$AZ$6,0),MATCH(J$5&amp;"",'Oxford Economics'!$A$6:$AZ$6,0))),'Oxford Economics'!$A$7:$A$1000,$C49,'Oxford Economics'!$B$7:$B$1000,Settings!$B$30)),(SUMIFS(INDEX('Oxford Economics'!$A$7:$AZ$1000,0,IFERROR(MATCH(J$5,'Oxford Economics'!$A$6:$AZ$6,0),MATCH(J$5&amp;"",'Oxford Economics'!$A$6:$AZ$6,0))),'Oxford Economics'!$A$7:$A$1000,$C49,'Oxford Economics'!$B$7:$B$1000,Settings!$B$30)+SUMIFS(INDEX('Oxford Economics'!$A$7:$AZ$1000,0,IFERROR(MATCH(J$5,'Oxford Economics'!$A$6:$AZ$6,0),MATCH(J$5&amp;"",'Oxford Economics'!$A$6:$AZ$6,0))),'Oxford Economics'!$A$7:$A$1000,$C49,'Oxford Economics'!$B$7:$B$1000,Settings!$B$31)))),""))</f>
        <v/>
      </c>
      <c r="K49" s="41" t="str">
        <f aca="false">IF($A49="","",IFERROR(1/(1/IF($B49="Residential",(SUMIFS(INDEX('Oxford Economics'!$A$7:$AZ$1000,0,IFERROR(MATCH(K$5,'Oxford Economics'!$A$6:$AZ$6,0),MATCH(K$5&amp;"",'Oxford Economics'!$A$6:$AZ$6,0))),'Oxford Economics'!$A$7:$A$1000,$C49,'Oxford Economics'!$B$7:$B$1000,Settings!$B$29)-SUMIFS(INDEX('Oxford Economics'!$A$7:$AZ$1000,0,IFERROR(MATCH(K$5,'Oxford Economics'!$A$6:$AZ$6,0),MATCH(K$5&amp;"",'Oxford Economics'!$A$6:$AZ$6,0))),'Oxford Economics'!$A$7:$A$1000,$C49,'Oxford Economics'!$B$7:$B$1000,Settings!$B$30)),(SUMIFS(INDEX('Oxford Economics'!$A$7:$AZ$1000,0,IFERROR(MATCH(K$5,'Oxford Economics'!$A$6:$AZ$6,0),MATCH(K$5&amp;"",'Oxford Economics'!$A$6:$AZ$6,0))),'Oxford Economics'!$A$7:$A$1000,$C49,'Oxford Economics'!$B$7:$B$1000,Settings!$B$30)+SUMIFS(INDEX('Oxford Economics'!$A$7:$AZ$1000,0,IFERROR(MATCH(K$5,'Oxford Economics'!$A$6:$AZ$6,0),MATCH(K$5&amp;"",'Oxford Economics'!$A$6:$AZ$6,0))),'Oxford Economics'!$A$7:$A$1000,$C49,'Oxford Economics'!$B$7:$B$1000,Settings!$B$31)))),""))</f>
        <v/>
      </c>
      <c r="L49" s="41" t="str">
        <f aca="false">IF($A49="","",IFERROR(1/(1/IF($B49="Residential",(SUMIFS(INDEX('Oxford Economics'!$A$7:$AZ$1000,0,IFERROR(MATCH(L$5,'Oxford Economics'!$A$6:$AZ$6,0),MATCH(L$5&amp;"",'Oxford Economics'!$A$6:$AZ$6,0))),'Oxford Economics'!$A$7:$A$1000,$C49,'Oxford Economics'!$B$7:$B$1000,Settings!$B$29)-SUMIFS(INDEX('Oxford Economics'!$A$7:$AZ$1000,0,IFERROR(MATCH(L$5,'Oxford Economics'!$A$6:$AZ$6,0),MATCH(L$5&amp;"",'Oxford Economics'!$A$6:$AZ$6,0))),'Oxford Economics'!$A$7:$A$1000,$C49,'Oxford Economics'!$B$7:$B$1000,Settings!$B$30)),(SUMIFS(INDEX('Oxford Economics'!$A$7:$AZ$1000,0,IFERROR(MATCH(L$5,'Oxford Economics'!$A$6:$AZ$6,0),MATCH(L$5&amp;"",'Oxford Economics'!$A$6:$AZ$6,0))),'Oxford Economics'!$A$7:$A$1000,$C49,'Oxford Economics'!$B$7:$B$1000,Settings!$B$30)+SUMIFS(INDEX('Oxford Economics'!$A$7:$AZ$1000,0,IFERROR(MATCH(L$5,'Oxford Economics'!$A$6:$AZ$6,0),MATCH(L$5&amp;"",'Oxford Economics'!$A$6:$AZ$6,0))),'Oxford Economics'!$A$7:$A$1000,$C49,'Oxford Economics'!$B$7:$B$1000,Settings!$B$31)))),""))</f>
        <v/>
      </c>
      <c r="M49" s="41" t="str">
        <f aca="false">IF($A49="","",IFERROR(1/(1/IF($B49="Residential",(SUMIFS(INDEX('Oxford Economics'!$A$7:$AZ$1000,0,IFERROR(MATCH(M$5,'Oxford Economics'!$A$6:$AZ$6,0),MATCH(M$5&amp;"",'Oxford Economics'!$A$6:$AZ$6,0))),'Oxford Economics'!$A$7:$A$1000,$C49,'Oxford Economics'!$B$7:$B$1000,Settings!$B$29)-SUMIFS(INDEX('Oxford Economics'!$A$7:$AZ$1000,0,IFERROR(MATCH(M$5,'Oxford Economics'!$A$6:$AZ$6,0),MATCH(M$5&amp;"",'Oxford Economics'!$A$6:$AZ$6,0))),'Oxford Economics'!$A$7:$A$1000,$C49,'Oxford Economics'!$B$7:$B$1000,Settings!$B$30)),(SUMIFS(INDEX('Oxford Economics'!$A$7:$AZ$1000,0,IFERROR(MATCH(M$5,'Oxford Economics'!$A$6:$AZ$6,0),MATCH(M$5&amp;"",'Oxford Economics'!$A$6:$AZ$6,0))),'Oxford Economics'!$A$7:$A$1000,$C49,'Oxford Economics'!$B$7:$B$1000,Settings!$B$30)+SUMIFS(INDEX('Oxford Economics'!$A$7:$AZ$1000,0,IFERROR(MATCH(M$5,'Oxford Economics'!$A$6:$AZ$6,0),MATCH(M$5&amp;"",'Oxford Economics'!$A$6:$AZ$6,0))),'Oxford Economics'!$A$7:$A$1000,$C49,'Oxford Economics'!$B$7:$B$1000,Settings!$B$31)))),""))</f>
        <v/>
      </c>
      <c r="N49" s="41" t="str">
        <f aca="false">IF($A49="","",IFERROR(1/(1/IF($B49="Residential",(SUMIFS(INDEX('Oxford Economics'!$A$7:$AZ$1000,0,IFERROR(MATCH(N$5,'Oxford Economics'!$A$6:$AZ$6,0),MATCH(N$5&amp;"",'Oxford Economics'!$A$6:$AZ$6,0))),'Oxford Economics'!$A$7:$A$1000,$C49,'Oxford Economics'!$B$7:$B$1000,Settings!$B$29)-SUMIFS(INDEX('Oxford Economics'!$A$7:$AZ$1000,0,IFERROR(MATCH(N$5,'Oxford Economics'!$A$6:$AZ$6,0),MATCH(N$5&amp;"",'Oxford Economics'!$A$6:$AZ$6,0))),'Oxford Economics'!$A$7:$A$1000,$C49,'Oxford Economics'!$B$7:$B$1000,Settings!$B$30)),(SUMIFS(INDEX('Oxford Economics'!$A$7:$AZ$1000,0,IFERROR(MATCH(N$5,'Oxford Economics'!$A$6:$AZ$6,0),MATCH(N$5&amp;"",'Oxford Economics'!$A$6:$AZ$6,0))),'Oxford Economics'!$A$7:$A$1000,$C49,'Oxford Economics'!$B$7:$B$1000,Settings!$B$30)+SUMIFS(INDEX('Oxford Economics'!$A$7:$AZ$1000,0,IFERROR(MATCH(N$5,'Oxford Economics'!$A$6:$AZ$6,0),MATCH(N$5&amp;"",'Oxford Economics'!$A$6:$AZ$6,0))),'Oxford Economics'!$A$7:$A$1000,$C49,'Oxford Economics'!$B$7:$B$1000,Settings!$B$31)))),""))</f>
        <v/>
      </c>
      <c r="O49" s="41" t="str">
        <f aca="false">IF($A49="","",IFERROR(1/(1/IF($B49="Residential",(SUMIFS(INDEX('Oxford Economics'!$A$7:$AZ$1000,0,IFERROR(MATCH(O$5,'Oxford Economics'!$A$6:$AZ$6,0),MATCH(O$5&amp;"",'Oxford Economics'!$A$6:$AZ$6,0))),'Oxford Economics'!$A$7:$A$1000,$C49,'Oxford Economics'!$B$7:$B$1000,Settings!$B$29)-SUMIFS(INDEX('Oxford Economics'!$A$7:$AZ$1000,0,IFERROR(MATCH(O$5,'Oxford Economics'!$A$6:$AZ$6,0),MATCH(O$5&amp;"",'Oxford Economics'!$A$6:$AZ$6,0))),'Oxford Economics'!$A$7:$A$1000,$C49,'Oxford Economics'!$B$7:$B$1000,Settings!$B$30)),(SUMIFS(INDEX('Oxford Economics'!$A$7:$AZ$1000,0,IFERROR(MATCH(O$5,'Oxford Economics'!$A$6:$AZ$6,0),MATCH(O$5&amp;"",'Oxford Economics'!$A$6:$AZ$6,0))),'Oxford Economics'!$A$7:$A$1000,$C49,'Oxford Economics'!$B$7:$B$1000,Settings!$B$30)+SUMIFS(INDEX('Oxford Economics'!$A$7:$AZ$1000,0,IFERROR(MATCH(O$5,'Oxford Economics'!$A$6:$AZ$6,0),MATCH(O$5&amp;"",'Oxford Economics'!$A$6:$AZ$6,0))),'Oxford Economics'!$A$7:$A$1000,$C49,'Oxford Economics'!$B$7:$B$1000,Settings!$B$31)))),""))</f>
        <v/>
      </c>
    </row>
    <row r="50" customFormat="false" ht="15" hidden="false" customHeight="false" outlineLevel="0" collapsed="false">
      <c r="A50" s="40" t="str">
        <f aca="false">IF('Raw data'!$A50="","",'Raw data'!$A50)</f>
        <v/>
      </c>
      <c r="B50" s="40" t="str">
        <f aca="false">IF($A50="","",'Raw data'!$C50)</f>
        <v/>
      </c>
      <c r="C50" s="40" t="str">
        <f aca="false">IF($A50="","",IF('Raw data'!$D50="",$A50,'Raw data'!$D50))</f>
        <v/>
      </c>
      <c r="D50" s="41" t="str">
        <f aca="false">IF($A50="","",IFERROR(1/(1/IF($B50="Residential",(SUMIFS(INDEX('Oxford Economics'!$A$7:$AZ$1000,0,IFERROR(MATCH(D$5,'Oxford Economics'!$A$6:$AZ$6,0),MATCH(D$5&amp;"",'Oxford Economics'!$A$6:$AZ$6,0))),'Oxford Economics'!$A$7:$A$1000,$C50,'Oxford Economics'!$B$7:$B$1000,Settings!$B$29)-SUMIFS(INDEX('Oxford Economics'!$A$7:$AZ$1000,0,IFERROR(MATCH(D$5,'Oxford Economics'!$A$6:$AZ$6,0),MATCH(D$5&amp;"",'Oxford Economics'!$A$6:$AZ$6,0))),'Oxford Economics'!$A$7:$A$1000,$C50,'Oxford Economics'!$B$7:$B$1000,Settings!$B$30)),(SUMIFS(INDEX('Oxford Economics'!$A$7:$AZ$1000,0,IFERROR(MATCH(D$5,'Oxford Economics'!$A$6:$AZ$6,0),MATCH(D$5&amp;"",'Oxford Economics'!$A$6:$AZ$6,0))),'Oxford Economics'!$A$7:$A$1000,$C50,'Oxford Economics'!$B$7:$B$1000,Settings!$B$30)+SUMIFS(INDEX('Oxford Economics'!$A$7:$AZ$1000,0,IFERROR(MATCH(D$5,'Oxford Economics'!$A$6:$AZ$6,0),MATCH(D$5&amp;"",'Oxford Economics'!$A$6:$AZ$6,0))),'Oxford Economics'!$A$7:$A$1000,$C50,'Oxford Economics'!$B$7:$B$1000,Settings!$B$31)))),""))</f>
        <v/>
      </c>
      <c r="E50" s="41" t="str">
        <f aca="false">IF($A50="","",IFERROR(1/(1/IF($B50="Residential",(SUMIFS(INDEX('Oxford Economics'!$A$7:$AZ$1000,0,IFERROR(MATCH(E$5,'Oxford Economics'!$A$6:$AZ$6,0),MATCH(E$5&amp;"",'Oxford Economics'!$A$6:$AZ$6,0))),'Oxford Economics'!$A$7:$A$1000,$C50,'Oxford Economics'!$B$7:$B$1000,Settings!$B$29)-SUMIFS(INDEX('Oxford Economics'!$A$7:$AZ$1000,0,IFERROR(MATCH(E$5,'Oxford Economics'!$A$6:$AZ$6,0),MATCH(E$5&amp;"",'Oxford Economics'!$A$6:$AZ$6,0))),'Oxford Economics'!$A$7:$A$1000,$C50,'Oxford Economics'!$B$7:$B$1000,Settings!$B$30)),(SUMIFS(INDEX('Oxford Economics'!$A$7:$AZ$1000,0,IFERROR(MATCH(E$5,'Oxford Economics'!$A$6:$AZ$6,0),MATCH(E$5&amp;"",'Oxford Economics'!$A$6:$AZ$6,0))),'Oxford Economics'!$A$7:$A$1000,$C50,'Oxford Economics'!$B$7:$B$1000,Settings!$B$30)+SUMIFS(INDEX('Oxford Economics'!$A$7:$AZ$1000,0,IFERROR(MATCH(E$5,'Oxford Economics'!$A$6:$AZ$6,0),MATCH(E$5&amp;"",'Oxford Economics'!$A$6:$AZ$6,0))),'Oxford Economics'!$A$7:$A$1000,$C50,'Oxford Economics'!$B$7:$B$1000,Settings!$B$31)))),""))</f>
        <v/>
      </c>
      <c r="F50" s="41" t="str">
        <f aca="false">IF($A50="","",IFERROR(1/(1/IF($B50="Residential",(SUMIFS(INDEX('Oxford Economics'!$A$7:$AZ$1000,0,IFERROR(MATCH(F$5,'Oxford Economics'!$A$6:$AZ$6,0),MATCH(F$5&amp;"",'Oxford Economics'!$A$6:$AZ$6,0))),'Oxford Economics'!$A$7:$A$1000,$C50,'Oxford Economics'!$B$7:$B$1000,Settings!$B$29)-SUMIFS(INDEX('Oxford Economics'!$A$7:$AZ$1000,0,IFERROR(MATCH(F$5,'Oxford Economics'!$A$6:$AZ$6,0),MATCH(F$5&amp;"",'Oxford Economics'!$A$6:$AZ$6,0))),'Oxford Economics'!$A$7:$A$1000,$C50,'Oxford Economics'!$B$7:$B$1000,Settings!$B$30)),(SUMIFS(INDEX('Oxford Economics'!$A$7:$AZ$1000,0,IFERROR(MATCH(F$5,'Oxford Economics'!$A$6:$AZ$6,0),MATCH(F$5&amp;"",'Oxford Economics'!$A$6:$AZ$6,0))),'Oxford Economics'!$A$7:$A$1000,$C50,'Oxford Economics'!$B$7:$B$1000,Settings!$B$30)+SUMIFS(INDEX('Oxford Economics'!$A$7:$AZ$1000,0,IFERROR(MATCH(F$5,'Oxford Economics'!$A$6:$AZ$6,0),MATCH(F$5&amp;"",'Oxford Economics'!$A$6:$AZ$6,0))),'Oxford Economics'!$A$7:$A$1000,$C50,'Oxford Economics'!$B$7:$B$1000,Settings!$B$31)))),""))</f>
        <v/>
      </c>
      <c r="G50" s="41" t="str">
        <f aca="false">IF($A50="","",IFERROR(1/(1/IF($B50="Residential",(SUMIFS(INDEX('Oxford Economics'!$A$7:$AZ$1000,0,IFERROR(MATCH(G$5,'Oxford Economics'!$A$6:$AZ$6,0),MATCH(G$5&amp;"",'Oxford Economics'!$A$6:$AZ$6,0))),'Oxford Economics'!$A$7:$A$1000,$C50,'Oxford Economics'!$B$7:$B$1000,Settings!$B$29)-SUMIFS(INDEX('Oxford Economics'!$A$7:$AZ$1000,0,IFERROR(MATCH(G$5,'Oxford Economics'!$A$6:$AZ$6,0),MATCH(G$5&amp;"",'Oxford Economics'!$A$6:$AZ$6,0))),'Oxford Economics'!$A$7:$A$1000,$C50,'Oxford Economics'!$B$7:$B$1000,Settings!$B$30)),(SUMIFS(INDEX('Oxford Economics'!$A$7:$AZ$1000,0,IFERROR(MATCH(G$5,'Oxford Economics'!$A$6:$AZ$6,0),MATCH(G$5&amp;"",'Oxford Economics'!$A$6:$AZ$6,0))),'Oxford Economics'!$A$7:$A$1000,$C50,'Oxford Economics'!$B$7:$B$1000,Settings!$B$30)+SUMIFS(INDEX('Oxford Economics'!$A$7:$AZ$1000,0,IFERROR(MATCH(G$5,'Oxford Economics'!$A$6:$AZ$6,0),MATCH(G$5&amp;"",'Oxford Economics'!$A$6:$AZ$6,0))),'Oxford Economics'!$A$7:$A$1000,$C50,'Oxford Economics'!$B$7:$B$1000,Settings!$B$31)))),""))</f>
        <v/>
      </c>
      <c r="H50" s="41" t="str">
        <f aca="false">IF($A50="","",IFERROR(1/(1/IF($B50="Residential",(SUMIFS(INDEX('Oxford Economics'!$A$7:$AZ$1000,0,IFERROR(MATCH(H$5,'Oxford Economics'!$A$6:$AZ$6,0),MATCH(H$5&amp;"",'Oxford Economics'!$A$6:$AZ$6,0))),'Oxford Economics'!$A$7:$A$1000,$C50,'Oxford Economics'!$B$7:$B$1000,Settings!$B$29)-SUMIFS(INDEX('Oxford Economics'!$A$7:$AZ$1000,0,IFERROR(MATCH(H$5,'Oxford Economics'!$A$6:$AZ$6,0),MATCH(H$5&amp;"",'Oxford Economics'!$A$6:$AZ$6,0))),'Oxford Economics'!$A$7:$A$1000,$C50,'Oxford Economics'!$B$7:$B$1000,Settings!$B$30)),(SUMIFS(INDEX('Oxford Economics'!$A$7:$AZ$1000,0,IFERROR(MATCH(H$5,'Oxford Economics'!$A$6:$AZ$6,0),MATCH(H$5&amp;"",'Oxford Economics'!$A$6:$AZ$6,0))),'Oxford Economics'!$A$7:$A$1000,$C50,'Oxford Economics'!$B$7:$B$1000,Settings!$B$30)+SUMIFS(INDEX('Oxford Economics'!$A$7:$AZ$1000,0,IFERROR(MATCH(H$5,'Oxford Economics'!$A$6:$AZ$6,0),MATCH(H$5&amp;"",'Oxford Economics'!$A$6:$AZ$6,0))),'Oxford Economics'!$A$7:$A$1000,$C50,'Oxford Economics'!$B$7:$B$1000,Settings!$B$31)))),""))</f>
        <v/>
      </c>
      <c r="I50" s="41" t="str">
        <f aca="false">IF($A50="","",IFERROR(1/(1/IF($B50="Residential",(SUMIFS(INDEX('Oxford Economics'!$A$7:$AZ$1000,0,IFERROR(MATCH(I$5,'Oxford Economics'!$A$6:$AZ$6,0),MATCH(I$5&amp;"",'Oxford Economics'!$A$6:$AZ$6,0))),'Oxford Economics'!$A$7:$A$1000,$C50,'Oxford Economics'!$B$7:$B$1000,Settings!$B$29)-SUMIFS(INDEX('Oxford Economics'!$A$7:$AZ$1000,0,IFERROR(MATCH(I$5,'Oxford Economics'!$A$6:$AZ$6,0),MATCH(I$5&amp;"",'Oxford Economics'!$A$6:$AZ$6,0))),'Oxford Economics'!$A$7:$A$1000,$C50,'Oxford Economics'!$B$7:$B$1000,Settings!$B$30)),(SUMIFS(INDEX('Oxford Economics'!$A$7:$AZ$1000,0,IFERROR(MATCH(I$5,'Oxford Economics'!$A$6:$AZ$6,0),MATCH(I$5&amp;"",'Oxford Economics'!$A$6:$AZ$6,0))),'Oxford Economics'!$A$7:$A$1000,$C50,'Oxford Economics'!$B$7:$B$1000,Settings!$B$30)+SUMIFS(INDEX('Oxford Economics'!$A$7:$AZ$1000,0,IFERROR(MATCH(I$5,'Oxford Economics'!$A$6:$AZ$6,0),MATCH(I$5&amp;"",'Oxford Economics'!$A$6:$AZ$6,0))),'Oxford Economics'!$A$7:$A$1000,$C50,'Oxford Economics'!$B$7:$B$1000,Settings!$B$31)))),""))</f>
        <v/>
      </c>
      <c r="J50" s="41" t="str">
        <f aca="false">IF($A50="","",IFERROR(1/(1/IF($B50="Residential",(SUMIFS(INDEX('Oxford Economics'!$A$7:$AZ$1000,0,IFERROR(MATCH(J$5,'Oxford Economics'!$A$6:$AZ$6,0),MATCH(J$5&amp;"",'Oxford Economics'!$A$6:$AZ$6,0))),'Oxford Economics'!$A$7:$A$1000,$C50,'Oxford Economics'!$B$7:$B$1000,Settings!$B$29)-SUMIFS(INDEX('Oxford Economics'!$A$7:$AZ$1000,0,IFERROR(MATCH(J$5,'Oxford Economics'!$A$6:$AZ$6,0),MATCH(J$5&amp;"",'Oxford Economics'!$A$6:$AZ$6,0))),'Oxford Economics'!$A$7:$A$1000,$C50,'Oxford Economics'!$B$7:$B$1000,Settings!$B$30)),(SUMIFS(INDEX('Oxford Economics'!$A$7:$AZ$1000,0,IFERROR(MATCH(J$5,'Oxford Economics'!$A$6:$AZ$6,0),MATCH(J$5&amp;"",'Oxford Economics'!$A$6:$AZ$6,0))),'Oxford Economics'!$A$7:$A$1000,$C50,'Oxford Economics'!$B$7:$B$1000,Settings!$B$30)+SUMIFS(INDEX('Oxford Economics'!$A$7:$AZ$1000,0,IFERROR(MATCH(J$5,'Oxford Economics'!$A$6:$AZ$6,0),MATCH(J$5&amp;"",'Oxford Economics'!$A$6:$AZ$6,0))),'Oxford Economics'!$A$7:$A$1000,$C50,'Oxford Economics'!$B$7:$B$1000,Settings!$B$31)))),""))</f>
        <v/>
      </c>
      <c r="K50" s="41" t="str">
        <f aca="false">IF($A50="","",IFERROR(1/(1/IF($B50="Residential",(SUMIFS(INDEX('Oxford Economics'!$A$7:$AZ$1000,0,IFERROR(MATCH(K$5,'Oxford Economics'!$A$6:$AZ$6,0),MATCH(K$5&amp;"",'Oxford Economics'!$A$6:$AZ$6,0))),'Oxford Economics'!$A$7:$A$1000,$C50,'Oxford Economics'!$B$7:$B$1000,Settings!$B$29)-SUMIFS(INDEX('Oxford Economics'!$A$7:$AZ$1000,0,IFERROR(MATCH(K$5,'Oxford Economics'!$A$6:$AZ$6,0),MATCH(K$5&amp;"",'Oxford Economics'!$A$6:$AZ$6,0))),'Oxford Economics'!$A$7:$A$1000,$C50,'Oxford Economics'!$B$7:$B$1000,Settings!$B$30)),(SUMIFS(INDEX('Oxford Economics'!$A$7:$AZ$1000,0,IFERROR(MATCH(K$5,'Oxford Economics'!$A$6:$AZ$6,0),MATCH(K$5&amp;"",'Oxford Economics'!$A$6:$AZ$6,0))),'Oxford Economics'!$A$7:$A$1000,$C50,'Oxford Economics'!$B$7:$B$1000,Settings!$B$30)+SUMIFS(INDEX('Oxford Economics'!$A$7:$AZ$1000,0,IFERROR(MATCH(K$5,'Oxford Economics'!$A$6:$AZ$6,0),MATCH(K$5&amp;"",'Oxford Economics'!$A$6:$AZ$6,0))),'Oxford Economics'!$A$7:$A$1000,$C50,'Oxford Economics'!$B$7:$B$1000,Settings!$B$31)))),""))</f>
        <v/>
      </c>
      <c r="L50" s="41" t="str">
        <f aca="false">IF($A50="","",IFERROR(1/(1/IF($B50="Residential",(SUMIFS(INDEX('Oxford Economics'!$A$7:$AZ$1000,0,IFERROR(MATCH(L$5,'Oxford Economics'!$A$6:$AZ$6,0),MATCH(L$5&amp;"",'Oxford Economics'!$A$6:$AZ$6,0))),'Oxford Economics'!$A$7:$A$1000,$C50,'Oxford Economics'!$B$7:$B$1000,Settings!$B$29)-SUMIFS(INDEX('Oxford Economics'!$A$7:$AZ$1000,0,IFERROR(MATCH(L$5,'Oxford Economics'!$A$6:$AZ$6,0),MATCH(L$5&amp;"",'Oxford Economics'!$A$6:$AZ$6,0))),'Oxford Economics'!$A$7:$A$1000,$C50,'Oxford Economics'!$B$7:$B$1000,Settings!$B$30)),(SUMIFS(INDEX('Oxford Economics'!$A$7:$AZ$1000,0,IFERROR(MATCH(L$5,'Oxford Economics'!$A$6:$AZ$6,0),MATCH(L$5&amp;"",'Oxford Economics'!$A$6:$AZ$6,0))),'Oxford Economics'!$A$7:$A$1000,$C50,'Oxford Economics'!$B$7:$B$1000,Settings!$B$30)+SUMIFS(INDEX('Oxford Economics'!$A$7:$AZ$1000,0,IFERROR(MATCH(L$5,'Oxford Economics'!$A$6:$AZ$6,0),MATCH(L$5&amp;"",'Oxford Economics'!$A$6:$AZ$6,0))),'Oxford Economics'!$A$7:$A$1000,$C50,'Oxford Economics'!$B$7:$B$1000,Settings!$B$31)))),""))</f>
        <v/>
      </c>
      <c r="M50" s="41" t="str">
        <f aca="false">IF($A50="","",IFERROR(1/(1/IF($B50="Residential",(SUMIFS(INDEX('Oxford Economics'!$A$7:$AZ$1000,0,IFERROR(MATCH(M$5,'Oxford Economics'!$A$6:$AZ$6,0),MATCH(M$5&amp;"",'Oxford Economics'!$A$6:$AZ$6,0))),'Oxford Economics'!$A$7:$A$1000,$C50,'Oxford Economics'!$B$7:$B$1000,Settings!$B$29)-SUMIFS(INDEX('Oxford Economics'!$A$7:$AZ$1000,0,IFERROR(MATCH(M$5,'Oxford Economics'!$A$6:$AZ$6,0),MATCH(M$5&amp;"",'Oxford Economics'!$A$6:$AZ$6,0))),'Oxford Economics'!$A$7:$A$1000,$C50,'Oxford Economics'!$B$7:$B$1000,Settings!$B$30)),(SUMIFS(INDEX('Oxford Economics'!$A$7:$AZ$1000,0,IFERROR(MATCH(M$5,'Oxford Economics'!$A$6:$AZ$6,0),MATCH(M$5&amp;"",'Oxford Economics'!$A$6:$AZ$6,0))),'Oxford Economics'!$A$7:$A$1000,$C50,'Oxford Economics'!$B$7:$B$1000,Settings!$B$30)+SUMIFS(INDEX('Oxford Economics'!$A$7:$AZ$1000,0,IFERROR(MATCH(M$5,'Oxford Economics'!$A$6:$AZ$6,0),MATCH(M$5&amp;"",'Oxford Economics'!$A$6:$AZ$6,0))),'Oxford Economics'!$A$7:$A$1000,$C50,'Oxford Economics'!$B$7:$B$1000,Settings!$B$31)))),""))</f>
        <v/>
      </c>
      <c r="N50" s="41" t="str">
        <f aca="false">IF($A50="","",IFERROR(1/(1/IF($B50="Residential",(SUMIFS(INDEX('Oxford Economics'!$A$7:$AZ$1000,0,IFERROR(MATCH(N$5,'Oxford Economics'!$A$6:$AZ$6,0),MATCH(N$5&amp;"",'Oxford Economics'!$A$6:$AZ$6,0))),'Oxford Economics'!$A$7:$A$1000,$C50,'Oxford Economics'!$B$7:$B$1000,Settings!$B$29)-SUMIFS(INDEX('Oxford Economics'!$A$7:$AZ$1000,0,IFERROR(MATCH(N$5,'Oxford Economics'!$A$6:$AZ$6,0),MATCH(N$5&amp;"",'Oxford Economics'!$A$6:$AZ$6,0))),'Oxford Economics'!$A$7:$A$1000,$C50,'Oxford Economics'!$B$7:$B$1000,Settings!$B$30)),(SUMIFS(INDEX('Oxford Economics'!$A$7:$AZ$1000,0,IFERROR(MATCH(N$5,'Oxford Economics'!$A$6:$AZ$6,0),MATCH(N$5&amp;"",'Oxford Economics'!$A$6:$AZ$6,0))),'Oxford Economics'!$A$7:$A$1000,$C50,'Oxford Economics'!$B$7:$B$1000,Settings!$B$30)+SUMIFS(INDEX('Oxford Economics'!$A$7:$AZ$1000,0,IFERROR(MATCH(N$5,'Oxford Economics'!$A$6:$AZ$6,0),MATCH(N$5&amp;"",'Oxford Economics'!$A$6:$AZ$6,0))),'Oxford Economics'!$A$7:$A$1000,$C50,'Oxford Economics'!$B$7:$B$1000,Settings!$B$31)))),""))</f>
        <v/>
      </c>
      <c r="O50" s="41" t="str">
        <f aca="false">IF($A50="","",IFERROR(1/(1/IF($B50="Residential",(SUMIFS(INDEX('Oxford Economics'!$A$7:$AZ$1000,0,IFERROR(MATCH(O$5,'Oxford Economics'!$A$6:$AZ$6,0),MATCH(O$5&amp;"",'Oxford Economics'!$A$6:$AZ$6,0))),'Oxford Economics'!$A$7:$A$1000,$C50,'Oxford Economics'!$B$7:$B$1000,Settings!$B$29)-SUMIFS(INDEX('Oxford Economics'!$A$7:$AZ$1000,0,IFERROR(MATCH(O$5,'Oxford Economics'!$A$6:$AZ$6,0),MATCH(O$5&amp;"",'Oxford Economics'!$A$6:$AZ$6,0))),'Oxford Economics'!$A$7:$A$1000,$C50,'Oxford Economics'!$B$7:$B$1000,Settings!$B$30)),(SUMIFS(INDEX('Oxford Economics'!$A$7:$AZ$1000,0,IFERROR(MATCH(O$5,'Oxford Economics'!$A$6:$AZ$6,0),MATCH(O$5&amp;"",'Oxford Economics'!$A$6:$AZ$6,0))),'Oxford Economics'!$A$7:$A$1000,$C50,'Oxford Economics'!$B$7:$B$1000,Settings!$B$30)+SUMIFS(INDEX('Oxford Economics'!$A$7:$AZ$1000,0,IFERROR(MATCH(O$5,'Oxford Economics'!$A$6:$AZ$6,0),MATCH(O$5&amp;"",'Oxford Economics'!$A$6:$AZ$6,0))),'Oxford Economics'!$A$7:$A$1000,$C50,'Oxford Economics'!$B$7:$B$1000,Settings!$B$31)))),""))</f>
        <v/>
      </c>
    </row>
    <row r="51" customFormat="false" ht="15" hidden="false" customHeight="false" outlineLevel="0" collapsed="false">
      <c r="A51" s="40" t="str">
        <f aca="false">IF('Raw data'!$A51="","",'Raw data'!$A51)</f>
        <v/>
      </c>
      <c r="B51" s="40" t="str">
        <f aca="false">IF($A51="","",'Raw data'!$C51)</f>
        <v/>
      </c>
      <c r="C51" s="40" t="str">
        <f aca="false">IF($A51="","",IF('Raw data'!$D51="",$A51,'Raw data'!$D51))</f>
        <v/>
      </c>
      <c r="D51" s="41" t="str">
        <f aca="false">IF($A51="","",IFERROR(1/(1/IF($B51="Residential",(SUMIFS(INDEX('Oxford Economics'!$A$7:$AZ$1000,0,IFERROR(MATCH(D$5,'Oxford Economics'!$A$6:$AZ$6,0),MATCH(D$5&amp;"",'Oxford Economics'!$A$6:$AZ$6,0))),'Oxford Economics'!$A$7:$A$1000,$C51,'Oxford Economics'!$B$7:$B$1000,Settings!$B$29)-SUMIFS(INDEX('Oxford Economics'!$A$7:$AZ$1000,0,IFERROR(MATCH(D$5,'Oxford Economics'!$A$6:$AZ$6,0),MATCH(D$5&amp;"",'Oxford Economics'!$A$6:$AZ$6,0))),'Oxford Economics'!$A$7:$A$1000,$C51,'Oxford Economics'!$B$7:$B$1000,Settings!$B$30)),(SUMIFS(INDEX('Oxford Economics'!$A$7:$AZ$1000,0,IFERROR(MATCH(D$5,'Oxford Economics'!$A$6:$AZ$6,0),MATCH(D$5&amp;"",'Oxford Economics'!$A$6:$AZ$6,0))),'Oxford Economics'!$A$7:$A$1000,$C51,'Oxford Economics'!$B$7:$B$1000,Settings!$B$30)+SUMIFS(INDEX('Oxford Economics'!$A$7:$AZ$1000,0,IFERROR(MATCH(D$5,'Oxford Economics'!$A$6:$AZ$6,0),MATCH(D$5&amp;"",'Oxford Economics'!$A$6:$AZ$6,0))),'Oxford Economics'!$A$7:$A$1000,$C51,'Oxford Economics'!$B$7:$B$1000,Settings!$B$31)))),""))</f>
        <v/>
      </c>
      <c r="E51" s="41" t="str">
        <f aca="false">IF($A51="","",IFERROR(1/(1/IF($B51="Residential",(SUMIFS(INDEX('Oxford Economics'!$A$7:$AZ$1000,0,IFERROR(MATCH(E$5,'Oxford Economics'!$A$6:$AZ$6,0),MATCH(E$5&amp;"",'Oxford Economics'!$A$6:$AZ$6,0))),'Oxford Economics'!$A$7:$A$1000,$C51,'Oxford Economics'!$B$7:$B$1000,Settings!$B$29)-SUMIFS(INDEX('Oxford Economics'!$A$7:$AZ$1000,0,IFERROR(MATCH(E$5,'Oxford Economics'!$A$6:$AZ$6,0),MATCH(E$5&amp;"",'Oxford Economics'!$A$6:$AZ$6,0))),'Oxford Economics'!$A$7:$A$1000,$C51,'Oxford Economics'!$B$7:$B$1000,Settings!$B$30)),(SUMIFS(INDEX('Oxford Economics'!$A$7:$AZ$1000,0,IFERROR(MATCH(E$5,'Oxford Economics'!$A$6:$AZ$6,0),MATCH(E$5&amp;"",'Oxford Economics'!$A$6:$AZ$6,0))),'Oxford Economics'!$A$7:$A$1000,$C51,'Oxford Economics'!$B$7:$B$1000,Settings!$B$30)+SUMIFS(INDEX('Oxford Economics'!$A$7:$AZ$1000,0,IFERROR(MATCH(E$5,'Oxford Economics'!$A$6:$AZ$6,0),MATCH(E$5&amp;"",'Oxford Economics'!$A$6:$AZ$6,0))),'Oxford Economics'!$A$7:$A$1000,$C51,'Oxford Economics'!$B$7:$B$1000,Settings!$B$31)))),""))</f>
        <v/>
      </c>
      <c r="F51" s="41" t="str">
        <f aca="false">IF($A51="","",IFERROR(1/(1/IF($B51="Residential",(SUMIFS(INDEX('Oxford Economics'!$A$7:$AZ$1000,0,IFERROR(MATCH(F$5,'Oxford Economics'!$A$6:$AZ$6,0),MATCH(F$5&amp;"",'Oxford Economics'!$A$6:$AZ$6,0))),'Oxford Economics'!$A$7:$A$1000,$C51,'Oxford Economics'!$B$7:$B$1000,Settings!$B$29)-SUMIFS(INDEX('Oxford Economics'!$A$7:$AZ$1000,0,IFERROR(MATCH(F$5,'Oxford Economics'!$A$6:$AZ$6,0),MATCH(F$5&amp;"",'Oxford Economics'!$A$6:$AZ$6,0))),'Oxford Economics'!$A$7:$A$1000,$C51,'Oxford Economics'!$B$7:$B$1000,Settings!$B$30)),(SUMIFS(INDEX('Oxford Economics'!$A$7:$AZ$1000,0,IFERROR(MATCH(F$5,'Oxford Economics'!$A$6:$AZ$6,0),MATCH(F$5&amp;"",'Oxford Economics'!$A$6:$AZ$6,0))),'Oxford Economics'!$A$7:$A$1000,$C51,'Oxford Economics'!$B$7:$B$1000,Settings!$B$30)+SUMIFS(INDEX('Oxford Economics'!$A$7:$AZ$1000,0,IFERROR(MATCH(F$5,'Oxford Economics'!$A$6:$AZ$6,0),MATCH(F$5&amp;"",'Oxford Economics'!$A$6:$AZ$6,0))),'Oxford Economics'!$A$7:$A$1000,$C51,'Oxford Economics'!$B$7:$B$1000,Settings!$B$31)))),""))</f>
        <v/>
      </c>
      <c r="G51" s="41" t="str">
        <f aca="false">IF($A51="","",IFERROR(1/(1/IF($B51="Residential",(SUMIFS(INDEX('Oxford Economics'!$A$7:$AZ$1000,0,IFERROR(MATCH(G$5,'Oxford Economics'!$A$6:$AZ$6,0),MATCH(G$5&amp;"",'Oxford Economics'!$A$6:$AZ$6,0))),'Oxford Economics'!$A$7:$A$1000,$C51,'Oxford Economics'!$B$7:$B$1000,Settings!$B$29)-SUMIFS(INDEX('Oxford Economics'!$A$7:$AZ$1000,0,IFERROR(MATCH(G$5,'Oxford Economics'!$A$6:$AZ$6,0),MATCH(G$5&amp;"",'Oxford Economics'!$A$6:$AZ$6,0))),'Oxford Economics'!$A$7:$A$1000,$C51,'Oxford Economics'!$B$7:$B$1000,Settings!$B$30)),(SUMIFS(INDEX('Oxford Economics'!$A$7:$AZ$1000,0,IFERROR(MATCH(G$5,'Oxford Economics'!$A$6:$AZ$6,0),MATCH(G$5&amp;"",'Oxford Economics'!$A$6:$AZ$6,0))),'Oxford Economics'!$A$7:$A$1000,$C51,'Oxford Economics'!$B$7:$B$1000,Settings!$B$30)+SUMIFS(INDEX('Oxford Economics'!$A$7:$AZ$1000,0,IFERROR(MATCH(G$5,'Oxford Economics'!$A$6:$AZ$6,0),MATCH(G$5&amp;"",'Oxford Economics'!$A$6:$AZ$6,0))),'Oxford Economics'!$A$7:$A$1000,$C51,'Oxford Economics'!$B$7:$B$1000,Settings!$B$31)))),""))</f>
        <v/>
      </c>
      <c r="H51" s="41" t="str">
        <f aca="false">IF($A51="","",IFERROR(1/(1/IF($B51="Residential",(SUMIFS(INDEX('Oxford Economics'!$A$7:$AZ$1000,0,IFERROR(MATCH(H$5,'Oxford Economics'!$A$6:$AZ$6,0),MATCH(H$5&amp;"",'Oxford Economics'!$A$6:$AZ$6,0))),'Oxford Economics'!$A$7:$A$1000,$C51,'Oxford Economics'!$B$7:$B$1000,Settings!$B$29)-SUMIFS(INDEX('Oxford Economics'!$A$7:$AZ$1000,0,IFERROR(MATCH(H$5,'Oxford Economics'!$A$6:$AZ$6,0),MATCH(H$5&amp;"",'Oxford Economics'!$A$6:$AZ$6,0))),'Oxford Economics'!$A$7:$A$1000,$C51,'Oxford Economics'!$B$7:$B$1000,Settings!$B$30)),(SUMIFS(INDEX('Oxford Economics'!$A$7:$AZ$1000,0,IFERROR(MATCH(H$5,'Oxford Economics'!$A$6:$AZ$6,0),MATCH(H$5&amp;"",'Oxford Economics'!$A$6:$AZ$6,0))),'Oxford Economics'!$A$7:$A$1000,$C51,'Oxford Economics'!$B$7:$B$1000,Settings!$B$30)+SUMIFS(INDEX('Oxford Economics'!$A$7:$AZ$1000,0,IFERROR(MATCH(H$5,'Oxford Economics'!$A$6:$AZ$6,0),MATCH(H$5&amp;"",'Oxford Economics'!$A$6:$AZ$6,0))),'Oxford Economics'!$A$7:$A$1000,$C51,'Oxford Economics'!$B$7:$B$1000,Settings!$B$31)))),""))</f>
        <v/>
      </c>
      <c r="I51" s="41" t="str">
        <f aca="false">IF($A51="","",IFERROR(1/(1/IF($B51="Residential",(SUMIFS(INDEX('Oxford Economics'!$A$7:$AZ$1000,0,IFERROR(MATCH(I$5,'Oxford Economics'!$A$6:$AZ$6,0),MATCH(I$5&amp;"",'Oxford Economics'!$A$6:$AZ$6,0))),'Oxford Economics'!$A$7:$A$1000,$C51,'Oxford Economics'!$B$7:$B$1000,Settings!$B$29)-SUMIFS(INDEX('Oxford Economics'!$A$7:$AZ$1000,0,IFERROR(MATCH(I$5,'Oxford Economics'!$A$6:$AZ$6,0),MATCH(I$5&amp;"",'Oxford Economics'!$A$6:$AZ$6,0))),'Oxford Economics'!$A$7:$A$1000,$C51,'Oxford Economics'!$B$7:$B$1000,Settings!$B$30)),(SUMIFS(INDEX('Oxford Economics'!$A$7:$AZ$1000,0,IFERROR(MATCH(I$5,'Oxford Economics'!$A$6:$AZ$6,0),MATCH(I$5&amp;"",'Oxford Economics'!$A$6:$AZ$6,0))),'Oxford Economics'!$A$7:$A$1000,$C51,'Oxford Economics'!$B$7:$B$1000,Settings!$B$30)+SUMIFS(INDEX('Oxford Economics'!$A$7:$AZ$1000,0,IFERROR(MATCH(I$5,'Oxford Economics'!$A$6:$AZ$6,0),MATCH(I$5&amp;"",'Oxford Economics'!$A$6:$AZ$6,0))),'Oxford Economics'!$A$7:$A$1000,$C51,'Oxford Economics'!$B$7:$B$1000,Settings!$B$31)))),""))</f>
        <v/>
      </c>
      <c r="J51" s="41" t="str">
        <f aca="false">IF($A51="","",IFERROR(1/(1/IF($B51="Residential",(SUMIFS(INDEX('Oxford Economics'!$A$7:$AZ$1000,0,IFERROR(MATCH(J$5,'Oxford Economics'!$A$6:$AZ$6,0),MATCH(J$5&amp;"",'Oxford Economics'!$A$6:$AZ$6,0))),'Oxford Economics'!$A$7:$A$1000,$C51,'Oxford Economics'!$B$7:$B$1000,Settings!$B$29)-SUMIFS(INDEX('Oxford Economics'!$A$7:$AZ$1000,0,IFERROR(MATCH(J$5,'Oxford Economics'!$A$6:$AZ$6,0),MATCH(J$5&amp;"",'Oxford Economics'!$A$6:$AZ$6,0))),'Oxford Economics'!$A$7:$A$1000,$C51,'Oxford Economics'!$B$7:$B$1000,Settings!$B$30)),(SUMIFS(INDEX('Oxford Economics'!$A$7:$AZ$1000,0,IFERROR(MATCH(J$5,'Oxford Economics'!$A$6:$AZ$6,0),MATCH(J$5&amp;"",'Oxford Economics'!$A$6:$AZ$6,0))),'Oxford Economics'!$A$7:$A$1000,$C51,'Oxford Economics'!$B$7:$B$1000,Settings!$B$30)+SUMIFS(INDEX('Oxford Economics'!$A$7:$AZ$1000,0,IFERROR(MATCH(J$5,'Oxford Economics'!$A$6:$AZ$6,0),MATCH(J$5&amp;"",'Oxford Economics'!$A$6:$AZ$6,0))),'Oxford Economics'!$A$7:$A$1000,$C51,'Oxford Economics'!$B$7:$B$1000,Settings!$B$31)))),""))</f>
        <v/>
      </c>
      <c r="K51" s="41" t="str">
        <f aca="false">IF($A51="","",IFERROR(1/(1/IF($B51="Residential",(SUMIFS(INDEX('Oxford Economics'!$A$7:$AZ$1000,0,IFERROR(MATCH(K$5,'Oxford Economics'!$A$6:$AZ$6,0),MATCH(K$5&amp;"",'Oxford Economics'!$A$6:$AZ$6,0))),'Oxford Economics'!$A$7:$A$1000,$C51,'Oxford Economics'!$B$7:$B$1000,Settings!$B$29)-SUMIFS(INDEX('Oxford Economics'!$A$7:$AZ$1000,0,IFERROR(MATCH(K$5,'Oxford Economics'!$A$6:$AZ$6,0),MATCH(K$5&amp;"",'Oxford Economics'!$A$6:$AZ$6,0))),'Oxford Economics'!$A$7:$A$1000,$C51,'Oxford Economics'!$B$7:$B$1000,Settings!$B$30)),(SUMIFS(INDEX('Oxford Economics'!$A$7:$AZ$1000,0,IFERROR(MATCH(K$5,'Oxford Economics'!$A$6:$AZ$6,0),MATCH(K$5&amp;"",'Oxford Economics'!$A$6:$AZ$6,0))),'Oxford Economics'!$A$7:$A$1000,$C51,'Oxford Economics'!$B$7:$B$1000,Settings!$B$30)+SUMIFS(INDEX('Oxford Economics'!$A$7:$AZ$1000,0,IFERROR(MATCH(K$5,'Oxford Economics'!$A$6:$AZ$6,0),MATCH(K$5&amp;"",'Oxford Economics'!$A$6:$AZ$6,0))),'Oxford Economics'!$A$7:$A$1000,$C51,'Oxford Economics'!$B$7:$B$1000,Settings!$B$31)))),""))</f>
        <v/>
      </c>
      <c r="L51" s="41" t="str">
        <f aca="false">IF($A51="","",IFERROR(1/(1/IF($B51="Residential",(SUMIFS(INDEX('Oxford Economics'!$A$7:$AZ$1000,0,IFERROR(MATCH(L$5,'Oxford Economics'!$A$6:$AZ$6,0),MATCH(L$5&amp;"",'Oxford Economics'!$A$6:$AZ$6,0))),'Oxford Economics'!$A$7:$A$1000,$C51,'Oxford Economics'!$B$7:$B$1000,Settings!$B$29)-SUMIFS(INDEX('Oxford Economics'!$A$7:$AZ$1000,0,IFERROR(MATCH(L$5,'Oxford Economics'!$A$6:$AZ$6,0),MATCH(L$5&amp;"",'Oxford Economics'!$A$6:$AZ$6,0))),'Oxford Economics'!$A$7:$A$1000,$C51,'Oxford Economics'!$B$7:$B$1000,Settings!$B$30)),(SUMIFS(INDEX('Oxford Economics'!$A$7:$AZ$1000,0,IFERROR(MATCH(L$5,'Oxford Economics'!$A$6:$AZ$6,0),MATCH(L$5&amp;"",'Oxford Economics'!$A$6:$AZ$6,0))),'Oxford Economics'!$A$7:$A$1000,$C51,'Oxford Economics'!$B$7:$B$1000,Settings!$B$30)+SUMIFS(INDEX('Oxford Economics'!$A$7:$AZ$1000,0,IFERROR(MATCH(L$5,'Oxford Economics'!$A$6:$AZ$6,0),MATCH(L$5&amp;"",'Oxford Economics'!$A$6:$AZ$6,0))),'Oxford Economics'!$A$7:$A$1000,$C51,'Oxford Economics'!$B$7:$B$1000,Settings!$B$31)))),""))</f>
        <v/>
      </c>
      <c r="M51" s="41" t="str">
        <f aca="false">IF($A51="","",IFERROR(1/(1/IF($B51="Residential",(SUMIFS(INDEX('Oxford Economics'!$A$7:$AZ$1000,0,IFERROR(MATCH(M$5,'Oxford Economics'!$A$6:$AZ$6,0),MATCH(M$5&amp;"",'Oxford Economics'!$A$6:$AZ$6,0))),'Oxford Economics'!$A$7:$A$1000,$C51,'Oxford Economics'!$B$7:$B$1000,Settings!$B$29)-SUMIFS(INDEX('Oxford Economics'!$A$7:$AZ$1000,0,IFERROR(MATCH(M$5,'Oxford Economics'!$A$6:$AZ$6,0),MATCH(M$5&amp;"",'Oxford Economics'!$A$6:$AZ$6,0))),'Oxford Economics'!$A$7:$A$1000,$C51,'Oxford Economics'!$B$7:$B$1000,Settings!$B$30)),(SUMIFS(INDEX('Oxford Economics'!$A$7:$AZ$1000,0,IFERROR(MATCH(M$5,'Oxford Economics'!$A$6:$AZ$6,0),MATCH(M$5&amp;"",'Oxford Economics'!$A$6:$AZ$6,0))),'Oxford Economics'!$A$7:$A$1000,$C51,'Oxford Economics'!$B$7:$B$1000,Settings!$B$30)+SUMIFS(INDEX('Oxford Economics'!$A$7:$AZ$1000,0,IFERROR(MATCH(M$5,'Oxford Economics'!$A$6:$AZ$6,0),MATCH(M$5&amp;"",'Oxford Economics'!$A$6:$AZ$6,0))),'Oxford Economics'!$A$7:$A$1000,$C51,'Oxford Economics'!$B$7:$B$1000,Settings!$B$31)))),""))</f>
        <v/>
      </c>
      <c r="N51" s="41" t="str">
        <f aca="false">IF($A51="","",IFERROR(1/(1/IF($B51="Residential",(SUMIFS(INDEX('Oxford Economics'!$A$7:$AZ$1000,0,IFERROR(MATCH(N$5,'Oxford Economics'!$A$6:$AZ$6,0),MATCH(N$5&amp;"",'Oxford Economics'!$A$6:$AZ$6,0))),'Oxford Economics'!$A$7:$A$1000,$C51,'Oxford Economics'!$B$7:$B$1000,Settings!$B$29)-SUMIFS(INDEX('Oxford Economics'!$A$7:$AZ$1000,0,IFERROR(MATCH(N$5,'Oxford Economics'!$A$6:$AZ$6,0),MATCH(N$5&amp;"",'Oxford Economics'!$A$6:$AZ$6,0))),'Oxford Economics'!$A$7:$A$1000,$C51,'Oxford Economics'!$B$7:$B$1000,Settings!$B$30)),(SUMIFS(INDEX('Oxford Economics'!$A$7:$AZ$1000,0,IFERROR(MATCH(N$5,'Oxford Economics'!$A$6:$AZ$6,0),MATCH(N$5&amp;"",'Oxford Economics'!$A$6:$AZ$6,0))),'Oxford Economics'!$A$7:$A$1000,$C51,'Oxford Economics'!$B$7:$B$1000,Settings!$B$30)+SUMIFS(INDEX('Oxford Economics'!$A$7:$AZ$1000,0,IFERROR(MATCH(N$5,'Oxford Economics'!$A$6:$AZ$6,0),MATCH(N$5&amp;"",'Oxford Economics'!$A$6:$AZ$6,0))),'Oxford Economics'!$A$7:$A$1000,$C51,'Oxford Economics'!$B$7:$B$1000,Settings!$B$31)))),""))</f>
        <v/>
      </c>
      <c r="O51" s="41" t="str">
        <f aca="false">IF($A51="","",IFERROR(1/(1/IF($B51="Residential",(SUMIFS(INDEX('Oxford Economics'!$A$7:$AZ$1000,0,IFERROR(MATCH(O$5,'Oxford Economics'!$A$6:$AZ$6,0),MATCH(O$5&amp;"",'Oxford Economics'!$A$6:$AZ$6,0))),'Oxford Economics'!$A$7:$A$1000,$C51,'Oxford Economics'!$B$7:$B$1000,Settings!$B$29)-SUMIFS(INDEX('Oxford Economics'!$A$7:$AZ$1000,0,IFERROR(MATCH(O$5,'Oxford Economics'!$A$6:$AZ$6,0),MATCH(O$5&amp;"",'Oxford Economics'!$A$6:$AZ$6,0))),'Oxford Economics'!$A$7:$A$1000,$C51,'Oxford Economics'!$B$7:$B$1000,Settings!$B$30)),(SUMIFS(INDEX('Oxford Economics'!$A$7:$AZ$1000,0,IFERROR(MATCH(O$5,'Oxford Economics'!$A$6:$AZ$6,0),MATCH(O$5&amp;"",'Oxford Economics'!$A$6:$AZ$6,0))),'Oxford Economics'!$A$7:$A$1000,$C51,'Oxford Economics'!$B$7:$B$1000,Settings!$B$30)+SUMIFS(INDEX('Oxford Economics'!$A$7:$AZ$1000,0,IFERROR(MATCH(O$5,'Oxford Economics'!$A$6:$AZ$6,0),MATCH(O$5&amp;"",'Oxford Economics'!$A$6:$AZ$6,0))),'Oxford Economics'!$A$7:$A$1000,$C51,'Oxford Economics'!$B$7:$B$1000,Settings!$B$31)))),""))</f>
        <v/>
      </c>
    </row>
    <row r="52" customFormat="false" ht="15" hidden="false" customHeight="false" outlineLevel="0" collapsed="false">
      <c r="A52" s="40" t="str">
        <f aca="false">IF('Raw data'!$A52="","",'Raw data'!$A52)</f>
        <v/>
      </c>
      <c r="B52" s="40" t="str">
        <f aca="false">IF($A52="","",'Raw data'!$C52)</f>
        <v/>
      </c>
      <c r="C52" s="40" t="str">
        <f aca="false">IF($A52="","",IF('Raw data'!$D52="",$A52,'Raw data'!$D52))</f>
        <v/>
      </c>
      <c r="D52" s="41" t="str">
        <f aca="false">IF($A52="","",IFERROR(1/(1/IF($B52="Residential",(SUMIFS(INDEX('Oxford Economics'!$A$7:$AZ$1000,0,IFERROR(MATCH(D$5,'Oxford Economics'!$A$6:$AZ$6,0),MATCH(D$5&amp;"",'Oxford Economics'!$A$6:$AZ$6,0))),'Oxford Economics'!$A$7:$A$1000,$C52,'Oxford Economics'!$B$7:$B$1000,Settings!$B$29)-SUMIFS(INDEX('Oxford Economics'!$A$7:$AZ$1000,0,IFERROR(MATCH(D$5,'Oxford Economics'!$A$6:$AZ$6,0),MATCH(D$5&amp;"",'Oxford Economics'!$A$6:$AZ$6,0))),'Oxford Economics'!$A$7:$A$1000,$C52,'Oxford Economics'!$B$7:$B$1000,Settings!$B$30)),(SUMIFS(INDEX('Oxford Economics'!$A$7:$AZ$1000,0,IFERROR(MATCH(D$5,'Oxford Economics'!$A$6:$AZ$6,0),MATCH(D$5&amp;"",'Oxford Economics'!$A$6:$AZ$6,0))),'Oxford Economics'!$A$7:$A$1000,$C52,'Oxford Economics'!$B$7:$B$1000,Settings!$B$30)+SUMIFS(INDEX('Oxford Economics'!$A$7:$AZ$1000,0,IFERROR(MATCH(D$5,'Oxford Economics'!$A$6:$AZ$6,0),MATCH(D$5&amp;"",'Oxford Economics'!$A$6:$AZ$6,0))),'Oxford Economics'!$A$7:$A$1000,$C52,'Oxford Economics'!$B$7:$B$1000,Settings!$B$31)))),""))</f>
        <v/>
      </c>
      <c r="E52" s="41" t="str">
        <f aca="false">IF($A52="","",IFERROR(1/(1/IF($B52="Residential",(SUMIFS(INDEX('Oxford Economics'!$A$7:$AZ$1000,0,IFERROR(MATCH(E$5,'Oxford Economics'!$A$6:$AZ$6,0),MATCH(E$5&amp;"",'Oxford Economics'!$A$6:$AZ$6,0))),'Oxford Economics'!$A$7:$A$1000,$C52,'Oxford Economics'!$B$7:$B$1000,Settings!$B$29)-SUMIFS(INDEX('Oxford Economics'!$A$7:$AZ$1000,0,IFERROR(MATCH(E$5,'Oxford Economics'!$A$6:$AZ$6,0),MATCH(E$5&amp;"",'Oxford Economics'!$A$6:$AZ$6,0))),'Oxford Economics'!$A$7:$A$1000,$C52,'Oxford Economics'!$B$7:$B$1000,Settings!$B$30)),(SUMIFS(INDEX('Oxford Economics'!$A$7:$AZ$1000,0,IFERROR(MATCH(E$5,'Oxford Economics'!$A$6:$AZ$6,0),MATCH(E$5&amp;"",'Oxford Economics'!$A$6:$AZ$6,0))),'Oxford Economics'!$A$7:$A$1000,$C52,'Oxford Economics'!$B$7:$B$1000,Settings!$B$30)+SUMIFS(INDEX('Oxford Economics'!$A$7:$AZ$1000,0,IFERROR(MATCH(E$5,'Oxford Economics'!$A$6:$AZ$6,0),MATCH(E$5&amp;"",'Oxford Economics'!$A$6:$AZ$6,0))),'Oxford Economics'!$A$7:$A$1000,$C52,'Oxford Economics'!$B$7:$B$1000,Settings!$B$31)))),""))</f>
        <v/>
      </c>
      <c r="F52" s="41" t="str">
        <f aca="false">IF($A52="","",IFERROR(1/(1/IF($B52="Residential",(SUMIFS(INDEX('Oxford Economics'!$A$7:$AZ$1000,0,IFERROR(MATCH(F$5,'Oxford Economics'!$A$6:$AZ$6,0),MATCH(F$5&amp;"",'Oxford Economics'!$A$6:$AZ$6,0))),'Oxford Economics'!$A$7:$A$1000,$C52,'Oxford Economics'!$B$7:$B$1000,Settings!$B$29)-SUMIFS(INDEX('Oxford Economics'!$A$7:$AZ$1000,0,IFERROR(MATCH(F$5,'Oxford Economics'!$A$6:$AZ$6,0),MATCH(F$5&amp;"",'Oxford Economics'!$A$6:$AZ$6,0))),'Oxford Economics'!$A$7:$A$1000,$C52,'Oxford Economics'!$B$7:$B$1000,Settings!$B$30)),(SUMIFS(INDEX('Oxford Economics'!$A$7:$AZ$1000,0,IFERROR(MATCH(F$5,'Oxford Economics'!$A$6:$AZ$6,0),MATCH(F$5&amp;"",'Oxford Economics'!$A$6:$AZ$6,0))),'Oxford Economics'!$A$7:$A$1000,$C52,'Oxford Economics'!$B$7:$B$1000,Settings!$B$30)+SUMIFS(INDEX('Oxford Economics'!$A$7:$AZ$1000,0,IFERROR(MATCH(F$5,'Oxford Economics'!$A$6:$AZ$6,0),MATCH(F$5&amp;"",'Oxford Economics'!$A$6:$AZ$6,0))),'Oxford Economics'!$A$7:$A$1000,$C52,'Oxford Economics'!$B$7:$B$1000,Settings!$B$31)))),""))</f>
        <v/>
      </c>
      <c r="G52" s="41" t="str">
        <f aca="false">IF($A52="","",IFERROR(1/(1/IF($B52="Residential",(SUMIFS(INDEX('Oxford Economics'!$A$7:$AZ$1000,0,IFERROR(MATCH(G$5,'Oxford Economics'!$A$6:$AZ$6,0),MATCH(G$5&amp;"",'Oxford Economics'!$A$6:$AZ$6,0))),'Oxford Economics'!$A$7:$A$1000,$C52,'Oxford Economics'!$B$7:$B$1000,Settings!$B$29)-SUMIFS(INDEX('Oxford Economics'!$A$7:$AZ$1000,0,IFERROR(MATCH(G$5,'Oxford Economics'!$A$6:$AZ$6,0),MATCH(G$5&amp;"",'Oxford Economics'!$A$6:$AZ$6,0))),'Oxford Economics'!$A$7:$A$1000,$C52,'Oxford Economics'!$B$7:$B$1000,Settings!$B$30)),(SUMIFS(INDEX('Oxford Economics'!$A$7:$AZ$1000,0,IFERROR(MATCH(G$5,'Oxford Economics'!$A$6:$AZ$6,0),MATCH(G$5&amp;"",'Oxford Economics'!$A$6:$AZ$6,0))),'Oxford Economics'!$A$7:$A$1000,$C52,'Oxford Economics'!$B$7:$B$1000,Settings!$B$30)+SUMIFS(INDEX('Oxford Economics'!$A$7:$AZ$1000,0,IFERROR(MATCH(G$5,'Oxford Economics'!$A$6:$AZ$6,0),MATCH(G$5&amp;"",'Oxford Economics'!$A$6:$AZ$6,0))),'Oxford Economics'!$A$7:$A$1000,$C52,'Oxford Economics'!$B$7:$B$1000,Settings!$B$31)))),""))</f>
        <v/>
      </c>
      <c r="H52" s="41" t="str">
        <f aca="false">IF($A52="","",IFERROR(1/(1/IF($B52="Residential",(SUMIFS(INDEX('Oxford Economics'!$A$7:$AZ$1000,0,IFERROR(MATCH(H$5,'Oxford Economics'!$A$6:$AZ$6,0),MATCH(H$5&amp;"",'Oxford Economics'!$A$6:$AZ$6,0))),'Oxford Economics'!$A$7:$A$1000,$C52,'Oxford Economics'!$B$7:$B$1000,Settings!$B$29)-SUMIFS(INDEX('Oxford Economics'!$A$7:$AZ$1000,0,IFERROR(MATCH(H$5,'Oxford Economics'!$A$6:$AZ$6,0),MATCH(H$5&amp;"",'Oxford Economics'!$A$6:$AZ$6,0))),'Oxford Economics'!$A$7:$A$1000,$C52,'Oxford Economics'!$B$7:$B$1000,Settings!$B$30)),(SUMIFS(INDEX('Oxford Economics'!$A$7:$AZ$1000,0,IFERROR(MATCH(H$5,'Oxford Economics'!$A$6:$AZ$6,0),MATCH(H$5&amp;"",'Oxford Economics'!$A$6:$AZ$6,0))),'Oxford Economics'!$A$7:$A$1000,$C52,'Oxford Economics'!$B$7:$B$1000,Settings!$B$30)+SUMIFS(INDEX('Oxford Economics'!$A$7:$AZ$1000,0,IFERROR(MATCH(H$5,'Oxford Economics'!$A$6:$AZ$6,0),MATCH(H$5&amp;"",'Oxford Economics'!$A$6:$AZ$6,0))),'Oxford Economics'!$A$7:$A$1000,$C52,'Oxford Economics'!$B$7:$B$1000,Settings!$B$31)))),""))</f>
        <v/>
      </c>
      <c r="I52" s="41" t="str">
        <f aca="false">IF($A52="","",IFERROR(1/(1/IF($B52="Residential",(SUMIFS(INDEX('Oxford Economics'!$A$7:$AZ$1000,0,IFERROR(MATCH(I$5,'Oxford Economics'!$A$6:$AZ$6,0),MATCH(I$5&amp;"",'Oxford Economics'!$A$6:$AZ$6,0))),'Oxford Economics'!$A$7:$A$1000,$C52,'Oxford Economics'!$B$7:$B$1000,Settings!$B$29)-SUMIFS(INDEX('Oxford Economics'!$A$7:$AZ$1000,0,IFERROR(MATCH(I$5,'Oxford Economics'!$A$6:$AZ$6,0),MATCH(I$5&amp;"",'Oxford Economics'!$A$6:$AZ$6,0))),'Oxford Economics'!$A$7:$A$1000,$C52,'Oxford Economics'!$B$7:$B$1000,Settings!$B$30)),(SUMIFS(INDEX('Oxford Economics'!$A$7:$AZ$1000,0,IFERROR(MATCH(I$5,'Oxford Economics'!$A$6:$AZ$6,0),MATCH(I$5&amp;"",'Oxford Economics'!$A$6:$AZ$6,0))),'Oxford Economics'!$A$7:$A$1000,$C52,'Oxford Economics'!$B$7:$B$1000,Settings!$B$30)+SUMIFS(INDEX('Oxford Economics'!$A$7:$AZ$1000,0,IFERROR(MATCH(I$5,'Oxford Economics'!$A$6:$AZ$6,0),MATCH(I$5&amp;"",'Oxford Economics'!$A$6:$AZ$6,0))),'Oxford Economics'!$A$7:$A$1000,$C52,'Oxford Economics'!$B$7:$B$1000,Settings!$B$31)))),""))</f>
        <v/>
      </c>
      <c r="J52" s="41" t="str">
        <f aca="false">IF($A52="","",IFERROR(1/(1/IF($B52="Residential",(SUMIFS(INDEX('Oxford Economics'!$A$7:$AZ$1000,0,IFERROR(MATCH(J$5,'Oxford Economics'!$A$6:$AZ$6,0),MATCH(J$5&amp;"",'Oxford Economics'!$A$6:$AZ$6,0))),'Oxford Economics'!$A$7:$A$1000,$C52,'Oxford Economics'!$B$7:$B$1000,Settings!$B$29)-SUMIFS(INDEX('Oxford Economics'!$A$7:$AZ$1000,0,IFERROR(MATCH(J$5,'Oxford Economics'!$A$6:$AZ$6,0),MATCH(J$5&amp;"",'Oxford Economics'!$A$6:$AZ$6,0))),'Oxford Economics'!$A$7:$A$1000,$C52,'Oxford Economics'!$B$7:$B$1000,Settings!$B$30)),(SUMIFS(INDEX('Oxford Economics'!$A$7:$AZ$1000,0,IFERROR(MATCH(J$5,'Oxford Economics'!$A$6:$AZ$6,0),MATCH(J$5&amp;"",'Oxford Economics'!$A$6:$AZ$6,0))),'Oxford Economics'!$A$7:$A$1000,$C52,'Oxford Economics'!$B$7:$B$1000,Settings!$B$30)+SUMIFS(INDEX('Oxford Economics'!$A$7:$AZ$1000,0,IFERROR(MATCH(J$5,'Oxford Economics'!$A$6:$AZ$6,0),MATCH(J$5&amp;"",'Oxford Economics'!$A$6:$AZ$6,0))),'Oxford Economics'!$A$7:$A$1000,$C52,'Oxford Economics'!$B$7:$B$1000,Settings!$B$31)))),""))</f>
        <v/>
      </c>
      <c r="K52" s="41" t="str">
        <f aca="false">IF($A52="","",IFERROR(1/(1/IF($B52="Residential",(SUMIFS(INDEX('Oxford Economics'!$A$7:$AZ$1000,0,IFERROR(MATCH(K$5,'Oxford Economics'!$A$6:$AZ$6,0),MATCH(K$5&amp;"",'Oxford Economics'!$A$6:$AZ$6,0))),'Oxford Economics'!$A$7:$A$1000,$C52,'Oxford Economics'!$B$7:$B$1000,Settings!$B$29)-SUMIFS(INDEX('Oxford Economics'!$A$7:$AZ$1000,0,IFERROR(MATCH(K$5,'Oxford Economics'!$A$6:$AZ$6,0),MATCH(K$5&amp;"",'Oxford Economics'!$A$6:$AZ$6,0))),'Oxford Economics'!$A$7:$A$1000,$C52,'Oxford Economics'!$B$7:$B$1000,Settings!$B$30)),(SUMIFS(INDEX('Oxford Economics'!$A$7:$AZ$1000,0,IFERROR(MATCH(K$5,'Oxford Economics'!$A$6:$AZ$6,0),MATCH(K$5&amp;"",'Oxford Economics'!$A$6:$AZ$6,0))),'Oxford Economics'!$A$7:$A$1000,$C52,'Oxford Economics'!$B$7:$B$1000,Settings!$B$30)+SUMIFS(INDEX('Oxford Economics'!$A$7:$AZ$1000,0,IFERROR(MATCH(K$5,'Oxford Economics'!$A$6:$AZ$6,0),MATCH(K$5&amp;"",'Oxford Economics'!$A$6:$AZ$6,0))),'Oxford Economics'!$A$7:$A$1000,$C52,'Oxford Economics'!$B$7:$B$1000,Settings!$B$31)))),""))</f>
        <v/>
      </c>
      <c r="L52" s="41" t="str">
        <f aca="false">IF($A52="","",IFERROR(1/(1/IF($B52="Residential",(SUMIFS(INDEX('Oxford Economics'!$A$7:$AZ$1000,0,IFERROR(MATCH(L$5,'Oxford Economics'!$A$6:$AZ$6,0),MATCH(L$5&amp;"",'Oxford Economics'!$A$6:$AZ$6,0))),'Oxford Economics'!$A$7:$A$1000,$C52,'Oxford Economics'!$B$7:$B$1000,Settings!$B$29)-SUMIFS(INDEX('Oxford Economics'!$A$7:$AZ$1000,0,IFERROR(MATCH(L$5,'Oxford Economics'!$A$6:$AZ$6,0),MATCH(L$5&amp;"",'Oxford Economics'!$A$6:$AZ$6,0))),'Oxford Economics'!$A$7:$A$1000,$C52,'Oxford Economics'!$B$7:$B$1000,Settings!$B$30)),(SUMIFS(INDEX('Oxford Economics'!$A$7:$AZ$1000,0,IFERROR(MATCH(L$5,'Oxford Economics'!$A$6:$AZ$6,0),MATCH(L$5&amp;"",'Oxford Economics'!$A$6:$AZ$6,0))),'Oxford Economics'!$A$7:$A$1000,$C52,'Oxford Economics'!$B$7:$B$1000,Settings!$B$30)+SUMIFS(INDEX('Oxford Economics'!$A$7:$AZ$1000,0,IFERROR(MATCH(L$5,'Oxford Economics'!$A$6:$AZ$6,0),MATCH(L$5&amp;"",'Oxford Economics'!$A$6:$AZ$6,0))),'Oxford Economics'!$A$7:$A$1000,$C52,'Oxford Economics'!$B$7:$B$1000,Settings!$B$31)))),""))</f>
        <v/>
      </c>
      <c r="M52" s="41" t="str">
        <f aca="false">IF($A52="","",IFERROR(1/(1/IF($B52="Residential",(SUMIFS(INDEX('Oxford Economics'!$A$7:$AZ$1000,0,IFERROR(MATCH(M$5,'Oxford Economics'!$A$6:$AZ$6,0),MATCH(M$5&amp;"",'Oxford Economics'!$A$6:$AZ$6,0))),'Oxford Economics'!$A$7:$A$1000,$C52,'Oxford Economics'!$B$7:$B$1000,Settings!$B$29)-SUMIFS(INDEX('Oxford Economics'!$A$7:$AZ$1000,0,IFERROR(MATCH(M$5,'Oxford Economics'!$A$6:$AZ$6,0),MATCH(M$5&amp;"",'Oxford Economics'!$A$6:$AZ$6,0))),'Oxford Economics'!$A$7:$A$1000,$C52,'Oxford Economics'!$B$7:$B$1000,Settings!$B$30)),(SUMIFS(INDEX('Oxford Economics'!$A$7:$AZ$1000,0,IFERROR(MATCH(M$5,'Oxford Economics'!$A$6:$AZ$6,0),MATCH(M$5&amp;"",'Oxford Economics'!$A$6:$AZ$6,0))),'Oxford Economics'!$A$7:$A$1000,$C52,'Oxford Economics'!$B$7:$B$1000,Settings!$B$30)+SUMIFS(INDEX('Oxford Economics'!$A$7:$AZ$1000,0,IFERROR(MATCH(M$5,'Oxford Economics'!$A$6:$AZ$6,0),MATCH(M$5&amp;"",'Oxford Economics'!$A$6:$AZ$6,0))),'Oxford Economics'!$A$7:$A$1000,$C52,'Oxford Economics'!$B$7:$B$1000,Settings!$B$31)))),""))</f>
        <v/>
      </c>
      <c r="N52" s="41" t="str">
        <f aca="false">IF($A52="","",IFERROR(1/(1/IF($B52="Residential",(SUMIFS(INDEX('Oxford Economics'!$A$7:$AZ$1000,0,IFERROR(MATCH(N$5,'Oxford Economics'!$A$6:$AZ$6,0),MATCH(N$5&amp;"",'Oxford Economics'!$A$6:$AZ$6,0))),'Oxford Economics'!$A$7:$A$1000,$C52,'Oxford Economics'!$B$7:$B$1000,Settings!$B$29)-SUMIFS(INDEX('Oxford Economics'!$A$7:$AZ$1000,0,IFERROR(MATCH(N$5,'Oxford Economics'!$A$6:$AZ$6,0),MATCH(N$5&amp;"",'Oxford Economics'!$A$6:$AZ$6,0))),'Oxford Economics'!$A$7:$A$1000,$C52,'Oxford Economics'!$B$7:$B$1000,Settings!$B$30)),(SUMIFS(INDEX('Oxford Economics'!$A$7:$AZ$1000,0,IFERROR(MATCH(N$5,'Oxford Economics'!$A$6:$AZ$6,0),MATCH(N$5&amp;"",'Oxford Economics'!$A$6:$AZ$6,0))),'Oxford Economics'!$A$7:$A$1000,$C52,'Oxford Economics'!$B$7:$B$1000,Settings!$B$30)+SUMIFS(INDEX('Oxford Economics'!$A$7:$AZ$1000,0,IFERROR(MATCH(N$5,'Oxford Economics'!$A$6:$AZ$6,0),MATCH(N$5&amp;"",'Oxford Economics'!$A$6:$AZ$6,0))),'Oxford Economics'!$A$7:$A$1000,$C52,'Oxford Economics'!$B$7:$B$1000,Settings!$B$31)))),""))</f>
        <v/>
      </c>
      <c r="O52" s="41" t="str">
        <f aca="false">IF($A52="","",IFERROR(1/(1/IF($B52="Residential",(SUMIFS(INDEX('Oxford Economics'!$A$7:$AZ$1000,0,IFERROR(MATCH(O$5,'Oxford Economics'!$A$6:$AZ$6,0),MATCH(O$5&amp;"",'Oxford Economics'!$A$6:$AZ$6,0))),'Oxford Economics'!$A$7:$A$1000,$C52,'Oxford Economics'!$B$7:$B$1000,Settings!$B$29)-SUMIFS(INDEX('Oxford Economics'!$A$7:$AZ$1000,0,IFERROR(MATCH(O$5,'Oxford Economics'!$A$6:$AZ$6,0),MATCH(O$5&amp;"",'Oxford Economics'!$A$6:$AZ$6,0))),'Oxford Economics'!$A$7:$A$1000,$C52,'Oxford Economics'!$B$7:$B$1000,Settings!$B$30)),(SUMIFS(INDEX('Oxford Economics'!$A$7:$AZ$1000,0,IFERROR(MATCH(O$5,'Oxford Economics'!$A$6:$AZ$6,0),MATCH(O$5&amp;"",'Oxford Economics'!$A$6:$AZ$6,0))),'Oxford Economics'!$A$7:$A$1000,$C52,'Oxford Economics'!$B$7:$B$1000,Settings!$B$30)+SUMIFS(INDEX('Oxford Economics'!$A$7:$AZ$1000,0,IFERROR(MATCH(O$5,'Oxford Economics'!$A$6:$AZ$6,0),MATCH(O$5&amp;"",'Oxford Economics'!$A$6:$AZ$6,0))),'Oxford Economics'!$A$7:$A$1000,$C52,'Oxford Economics'!$B$7:$B$1000,Settings!$B$31)))),""))</f>
        <v/>
      </c>
    </row>
    <row r="53" customFormat="false" ht="15" hidden="false" customHeight="false" outlineLevel="0" collapsed="false">
      <c r="A53" s="40" t="str">
        <f aca="false">IF('Raw data'!$A53="","",'Raw data'!$A53)</f>
        <v/>
      </c>
      <c r="B53" s="40" t="str">
        <f aca="false">IF($A53="","",'Raw data'!$C53)</f>
        <v/>
      </c>
      <c r="C53" s="40" t="str">
        <f aca="false">IF($A53="","",IF('Raw data'!$D53="",$A53,'Raw data'!$D53))</f>
        <v/>
      </c>
      <c r="D53" s="41" t="str">
        <f aca="false">IF($A53="","",IFERROR(1/(1/IF($B53="Residential",(SUMIFS(INDEX('Oxford Economics'!$A$7:$AZ$1000,0,IFERROR(MATCH(D$5,'Oxford Economics'!$A$6:$AZ$6,0),MATCH(D$5&amp;"",'Oxford Economics'!$A$6:$AZ$6,0))),'Oxford Economics'!$A$7:$A$1000,$C53,'Oxford Economics'!$B$7:$B$1000,Settings!$B$29)-SUMIFS(INDEX('Oxford Economics'!$A$7:$AZ$1000,0,IFERROR(MATCH(D$5,'Oxford Economics'!$A$6:$AZ$6,0),MATCH(D$5&amp;"",'Oxford Economics'!$A$6:$AZ$6,0))),'Oxford Economics'!$A$7:$A$1000,$C53,'Oxford Economics'!$B$7:$B$1000,Settings!$B$30)),(SUMIFS(INDEX('Oxford Economics'!$A$7:$AZ$1000,0,IFERROR(MATCH(D$5,'Oxford Economics'!$A$6:$AZ$6,0),MATCH(D$5&amp;"",'Oxford Economics'!$A$6:$AZ$6,0))),'Oxford Economics'!$A$7:$A$1000,$C53,'Oxford Economics'!$B$7:$B$1000,Settings!$B$30)+SUMIFS(INDEX('Oxford Economics'!$A$7:$AZ$1000,0,IFERROR(MATCH(D$5,'Oxford Economics'!$A$6:$AZ$6,0),MATCH(D$5&amp;"",'Oxford Economics'!$A$6:$AZ$6,0))),'Oxford Economics'!$A$7:$A$1000,$C53,'Oxford Economics'!$B$7:$B$1000,Settings!$B$31)))),""))</f>
        <v/>
      </c>
      <c r="E53" s="41" t="str">
        <f aca="false">IF($A53="","",IFERROR(1/(1/IF($B53="Residential",(SUMIFS(INDEX('Oxford Economics'!$A$7:$AZ$1000,0,IFERROR(MATCH(E$5,'Oxford Economics'!$A$6:$AZ$6,0),MATCH(E$5&amp;"",'Oxford Economics'!$A$6:$AZ$6,0))),'Oxford Economics'!$A$7:$A$1000,$C53,'Oxford Economics'!$B$7:$B$1000,Settings!$B$29)-SUMIFS(INDEX('Oxford Economics'!$A$7:$AZ$1000,0,IFERROR(MATCH(E$5,'Oxford Economics'!$A$6:$AZ$6,0),MATCH(E$5&amp;"",'Oxford Economics'!$A$6:$AZ$6,0))),'Oxford Economics'!$A$7:$A$1000,$C53,'Oxford Economics'!$B$7:$B$1000,Settings!$B$30)),(SUMIFS(INDEX('Oxford Economics'!$A$7:$AZ$1000,0,IFERROR(MATCH(E$5,'Oxford Economics'!$A$6:$AZ$6,0),MATCH(E$5&amp;"",'Oxford Economics'!$A$6:$AZ$6,0))),'Oxford Economics'!$A$7:$A$1000,$C53,'Oxford Economics'!$B$7:$B$1000,Settings!$B$30)+SUMIFS(INDEX('Oxford Economics'!$A$7:$AZ$1000,0,IFERROR(MATCH(E$5,'Oxford Economics'!$A$6:$AZ$6,0),MATCH(E$5&amp;"",'Oxford Economics'!$A$6:$AZ$6,0))),'Oxford Economics'!$A$7:$A$1000,$C53,'Oxford Economics'!$B$7:$B$1000,Settings!$B$31)))),""))</f>
        <v/>
      </c>
      <c r="F53" s="41" t="str">
        <f aca="false">IF($A53="","",IFERROR(1/(1/IF($B53="Residential",(SUMIFS(INDEX('Oxford Economics'!$A$7:$AZ$1000,0,IFERROR(MATCH(F$5,'Oxford Economics'!$A$6:$AZ$6,0),MATCH(F$5&amp;"",'Oxford Economics'!$A$6:$AZ$6,0))),'Oxford Economics'!$A$7:$A$1000,$C53,'Oxford Economics'!$B$7:$B$1000,Settings!$B$29)-SUMIFS(INDEX('Oxford Economics'!$A$7:$AZ$1000,0,IFERROR(MATCH(F$5,'Oxford Economics'!$A$6:$AZ$6,0),MATCH(F$5&amp;"",'Oxford Economics'!$A$6:$AZ$6,0))),'Oxford Economics'!$A$7:$A$1000,$C53,'Oxford Economics'!$B$7:$B$1000,Settings!$B$30)),(SUMIFS(INDEX('Oxford Economics'!$A$7:$AZ$1000,0,IFERROR(MATCH(F$5,'Oxford Economics'!$A$6:$AZ$6,0),MATCH(F$5&amp;"",'Oxford Economics'!$A$6:$AZ$6,0))),'Oxford Economics'!$A$7:$A$1000,$C53,'Oxford Economics'!$B$7:$B$1000,Settings!$B$30)+SUMIFS(INDEX('Oxford Economics'!$A$7:$AZ$1000,0,IFERROR(MATCH(F$5,'Oxford Economics'!$A$6:$AZ$6,0),MATCH(F$5&amp;"",'Oxford Economics'!$A$6:$AZ$6,0))),'Oxford Economics'!$A$7:$A$1000,$C53,'Oxford Economics'!$B$7:$B$1000,Settings!$B$31)))),""))</f>
        <v/>
      </c>
      <c r="G53" s="41" t="str">
        <f aca="false">IF($A53="","",IFERROR(1/(1/IF($B53="Residential",(SUMIFS(INDEX('Oxford Economics'!$A$7:$AZ$1000,0,IFERROR(MATCH(G$5,'Oxford Economics'!$A$6:$AZ$6,0),MATCH(G$5&amp;"",'Oxford Economics'!$A$6:$AZ$6,0))),'Oxford Economics'!$A$7:$A$1000,$C53,'Oxford Economics'!$B$7:$B$1000,Settings!$B$29)-SUMIFS(INDEX('Oxford Economics'!$A$7:$AZ$1000,0,IFERROR(MATCH(G$5,'Oxford Economics'!$A$6:$AZ$6,0),MATCH(G$5&amp;"",'Oxford Economics'!$A$6:$AZ$6,0))),'Oxford Economics'!$A$7:$A$1000,$C53,'Oxford Economics'!$B$7:$B$1000,Settings!$B$30)),(SUMIFS(INDEX('Oxford Economics'!$A$7:$AZ$1000,0,IFERROR(MATCH(G$5,'Oxford Economics'!$A$6:$AZ$6,0),MATCH(G$5&amp;"",'Oxford Economics'!$A$6:$AZ$6,0))),'Oxford Economics'!$A$7:$A$1000,$C53,'Oxford Economics'!$B$7:$B$1000,Settings!$B$30)+SUMIFS(INDEX('Oxford Economics'!$A$7:$AZ$1000,0,IFERROR(MATCH(G$5,'Oxford Economics'!$A$6:$AZ$6,0),MATCH(G$5&amp;"",'Oxford Economics'!$A$6:$AZ$6,0))),'Oxford Economics'!$A$7:$A$1000,$C53,'Oxford Economics'!$B$7:$B$1000,Settings!$B$31)))),""))</f>
        <v/>
      </c>
      <c r="H53" s="41" t="str">
        <f aca="false">IF($A53="","",IFERROR(1/(1/IF($B53="Residential",(SUMIFS(INDEX('Oxford Economics'!$A$7:$AZ$1000,0,IFERROR(MATCH(H$5,'Oxford Economics'!$A$6:$AZ$6,0),MATCH(H$5&amp;"",'Oxford Economics'!$A$6:$AZ$6,0))),'Oxford Economics'!$A$7:$A$1000,$C53,'Oxford Economics'!$B$7:$B$1000,Settings!$B$29)-SUMIFS(INDEX('Oxford Economics'!$A$7:$AZ$1000,0,IFERROR(MATCH(H$5,'Oxford Economics'!$A$6:$AZ$6,0),MATCH(H$5&amp;"",'Oxford Economics'!$A$6:$AZ$6,0))),'Oxford Economics'!$A$7:$A$1000,$C53,'Oxford Economics'!$B$7:$B$1000,Settings!$B$30)),(SUMIFS(INDEX('Oxford Economics'!$A$7:$AZ$1000,0,IFERROR(MATCH(H$5,'Oxford Economics'!$A$6:$AZ$6,0),MATCH(H$5&amp;"",'Oxford Economics'!$A$6:$AZ$6,0))),'Oxford Economics'!$A$7:$A$1000,$C53,'Oxford Economics'!$B$7:$B$1000,Settings!$B$30)+SUMIFS(INDEX('Oxford Economics'!$A$7:$AZ$1000,0,IFERROR(MATCH(H$5,'Oxford Economics'!$A$6:$AZ$6,0),MATCH(H$5&amp;"",'Oxford Economics'!$A$6:$AZ$6,0))),'Oxford Economics'!$A$7:$A$1000,$C53,'Oxford Economics'!$B$7:$B$1000,Settings!$B$31)))),""))</f>
        <v/>
      </c>
      <c r="I53" s="41" t="str">
        <f aca="false">IF($A53="","",IFERROR(1/(1/IF($B53="Residential",(SUMIFS(INDEX('Oxford Economics'!$A$7:$AZ$1000,0,IFERROR(MATCH(I$5,'Oxford Economics'!$A$6:$AZ$6,0),MATCH(I$5&amp;"",'Oxford Economics'!$A$6:$AZ$6,0))),'Oxford Economics'!$A$7:$A$1000,$C53,'Oxford Economics'!$B$7:$B$1000,Settings!$B$29)-SUMIFS(INDEX('Oxford Economics'!$A$7:$AZ$1000,0,IFERROR(MATCH(I$5,'Oxford Economics'!$A$6:$AZ$6,0),MATCH(I$5&amp;"",'Oxford Economics'!$A$6:$AZ$6,0))),'Oxford Economics'!$A$7:$A$1000,$C53,'Oxford Economics'!$B$7:$B$1000,Settings!$B$30)),(SUMIFS(INDEX('Oxford Economics'!$A$7:$AZ$1000,0,IFERROR(MATCH(I$5,'Oxford Economics'!$A$6:$AZ$6,0),MATCH(I$5&amp;"",'Oxford Economics'!$A$6:$AZ$6,0))),'Oxford Economics'!$A$7:$A$1000,$C53,'Oxford Economics'!$B$7:$B$1000,Settings!$B$30)+SUMIFS(INDEX('Oxford Economics'!$A$7:$AZ$1000,0,IFERROR(MATCH(I$5,'Oxford Economics'!$A$6:$AZ$6,0),MATCH(I$5&amp;"",'Oxford Economics'!$A$6:$AZ$6,0))),'Oxford Economics'!$A$7:$A$1000,$C53,'Oxford Economics'!$B$7:$B$1000,Settings!$B$31)))),""))</f>
        <v/>
      </c>
      <c r="J53" s="41" t="str">
        <f aca="false">IF($A53="","",IFERROR(1/(1/IF($B53="Residential",(SUMIFS(INDEX('Oxford Economics'!$A$7:$AZ$1000,0,IFERROR(MATCH(J$5,'Oxford Economics'!$A$6:$AZ$6,0),MATCH(J$5&amp;"",'Oxford Economics'!$A$6:$AZ$6,0))),'Oxford Economics'!$A$7:$A$1000,$C53,'Oxford Economics'!$B$7:$B$1000,Settings!$B$29)-SUMIFS(INDEX('Oxford Economics'!$A$7:$AZ$1000,0,IFERROR(MATCH(J$5,'Oxford Economics'!$A$6:$AZ$6,0),MATCH(J$5&amp;"",'Oxford Economics'!$A$6:$AZ$6,0))),'Oxford Economics'!$A$7:$A$1000,$C53,'Oxford Economics'!$B$7:$B$1000,Settings!$B$30)),(SUMIFS(INDEX('Oxford Economics'!$A$7:$AZ$1000,0,IFERROR(MATCH(J$5,'Oxford Economics'!$A$6:$AZ$6,0),MATCH(J$5&amp;"",'Oxford Economics'!$A$6:$AZ$6,0))),'Oxford Economics'!$A$7:$A$1000,$C53,'Oxford Economics'!$B$7:$B$1000,Settings!$B$30)+SUMIFS(INDEX('Oxford Economics'!$A$7:$AZ$1000,0,IFERROR(MATCH(J$5,'Oxford Economics'!$A$6:$AZ$6,0),MATCH(J$5&amp;"",'Oxford Economics'!$A$6:$AZ$6,0))),'Oxford Economics'!$A$7:$A$1000,$C53,'Oxford Economics'!$B$7:$B$1000,Settings!$B$31)))),""))</f>
        <v/>
      </c>
      <c r="K53" s="41" t="str">
        <f aca="false">IF($A53="","",IFERROR(1/(1/IF($B53="Residential",(SUMIFS(INDEX('Oxford Economics'!$A$7:$AZ$1000,0,IFERROR(MATCH(K$5,'Oxford Economics'!$A$6:$AZ$6,0),MATCH(K$5&amp;"",'Oxford Economics'!$A$6:$AZ$6,0))),'Oxford Economics'!$A$7:$A$1000,$C53,'Oxford Economics'!$B$7:$B$1000,Settings!$B$29)-SUMIFS(INDEX('Oxford Economics'!$A$7:$AZ$1000,0,IFERROR(MATCH(K$5,'Oxford Economics'!$A$6:$AZ$6,0),MATCH(K$5&amp;"",'Oxford Economics'!$A$6:$AZ$6,0))),'Oxford Economics'!$A$7:$A$1000,$C53,'Oxford Economics'!$B$7:$B$1000,Settings!$B$30)),(SUMIFS(INDEX('Oxford Economics'!$A$7:$AZ$1000,0,IFERROR(MATCH(K$5,'Oxford Economics'!$A$6:$AZ$6,0),MATCH(K$5&amp;"",'Oxford Economics'!$A$6:$AZ$6,0))),'Oxford Economics'!$A$7:$A$1000,$C53,'Oxford Economics'!$B$7:$B$1000,Settings!$B$30)+SUMIFS(INDEX('Oxford Economics'!$A$7:$AZ$1000,0,IFERROR(MATCH(K$5,'Oxford Economics'!$A$6:$AZ$6,0),MATCH(K$5&amp;"",'Oxford Economics'!$A$6:$AZ$6,0))),'Oxford Economics'!$A$7:$A$1000,$C53,'Oxford Economics'!$B$7:$B$1000,Settings!$B$31)))),""))</f>
        <v/>
      </c>
      <c r="L53" s="41" t="str">
        <f aca="false">IF($A53="","",IFERROR(1/(1/IF($B53="Residential",(SUMIFS(INDEX('Oxford Economics'!$A$7:$AZ$1000,0,IFERROR(MATCH(L$5,'Oxford Economics'!$A$6:$AZ$6,0),MATCH(L$5&amp;"",'Oxford Economics'!$A$6:$AZ$6,0))),'Oxford Economics'!$A$7:$A$1000,$C53,'Oxford Economics'!$B$7:$B$1000,Settings!$B$29)-SUMIFS(INDEX('Oxford Economics'!$A$7:$AZ$1000,0,IFERROR(MATCH(L$5,'Oxford Economics'!$A$6:$AZ$6,0),MATCH(L$5&amp;"",'Oxford Economics'!$A$6:$AZ$6,0))),'Oxford Economics'!$A$7:$A$1000,$C53,'Oxford Economics'!$B$7:$B$1000,Settings!$B$30)),(SUMIFS(INDEX('Oxford Economics'!$A$7:$AZ$1000,0,IFERROR(MATCH(L$5,'Oxford Economics'!$A$6:$AZ$6,0),MATCH(L$5&amp;"",'Oxford Economics'!$A$6:$AZ$6,0))),'Oxford Economics'!$A$7:$A$1000,$C53,'Oxford Economics'!$B$7:$B$1000,Settings!$B$30)+SUMIFS(INDEX('Oxford Economics'!$A$7:$AZ$1000,0,IFERROR(MATCH(L$5,'Oxford Economics'!$A$6:$AZ$6,0),MATCH(L$5&amp;"",'Oxford Economics'!$A$6:$AZ$6,0))),'Oxford Economics'!$A$7:$A$1000,$C53,'Oxford Economics'!$B$7:$B$1000,Settings!$B$31)))),""))</f>
        <v/>
      </c>
      <c r="M53" s="41" t="str">
        <f aca="false">IF($A53="","",IFERROR(1/(1/IF($B53="Residential",(SUMIFS(INDEX('Oxford Economics'!$A$7:$AZ$1000,0,IFERROR(MATCH(M$5,'Oxford Economics'!$A$6:$AZ$6,0),MATCH(M$5&amp;"",'Oxford Economics'!$A$6:$AZ$6,0))),'Oxford Economics'!$A$7:$A$1000,$C53,'Oxford Economics'!$B$7:$B$1000,Settings!$B$29)-SUMIFS(INDEX('Oxford Economics'!$A$7:$AZ$1000,0,IFERROR(MATCH(M$5,'Oxford Economics'!$A$6:$AZ$6,0),MATCH(M$5&amp;"",'Oxford Economics'!$A$6:$AZ$6,0))),'Oxford Economics'!$A$7:$A$1000,$C53,'Oxford Economics'!$B$7:$B$1000,Settings!$B$30)),(SUMIFS(INDEX('Oxford Economics'!$A$7:$AZ$1000,0,IFERROR(MATCH(M$5,'Oxford Economics'!$A$6:$AZ$6,0),MATCH(M$5&amp;"",'Oxford Economics'!$A$6:$AZ$6,0))),'Oxford Economics'!$A$7:$A$1000,$C53,'Oxford Economics'!$B$7:$B$1000,Settings!$B$30)+SUMIFS(INDEX('Oxford Economics'!$A$7:$AZ$1000,0,IFERROR(MATCH(M$5,'Oxford Economics'!$A$6:$AZ$6,0),MATCH(M$5&amp;"",'Oxford Economics'!$A$6:$AZ$6,0))),'Oxford Economics'!$A$7:$A$1000,$C53,'Oxford Economics'!$B$7:$B$1000,Settings!$B$31)))),""))</f>
        <v/>
      </c>
      <c r="N53" s="41" t="str">
        <f aca="false">IF($A53="","",IFERROR(1/(1/IF($B53="Residential",(SUMIFS(INDEX('Oxford Economics'!$A$7:$AZ$1000,0,IFERROR(MATCH(N$5,'Oxford Economics'!$A$6:$AZ$6,0),MATCH(N$5&amp;"",'Oxford Economics'!$A$6:$AZ$6,0))),'Oxford Economics'!$A$7:$A$1000,$C53,'Oxford Economics'!$B$7:$B$1000,Settings!$B$29)-SUMIFS(INDEX('Oxford Economics'!$A$7:$AZ$1000,0,IFERROR(MATCH(N$5,'Oxford Economics'!$A$6:$AZ$6,0),MATCH(N$5&amp;"",'Oxford Economics'!$A$6:$AZ$6,0))),'Oxford Economics'!$A$7:$A$1000,$C53,'Oxford Economics'!$B$7:$B$1000,Settings!$B$30)),(SUMIFS(INDEX('Oxford Economics'!$A$7:$AZ$1000,0,IFERROR(MATCH(N$5,'Oxford Economics'!$A$6:$AZ$6,0),MATCH(N$5&amp;"",'Oxford Economics'!$A$6:$AZ$6,0))),'Oxford Economics'!$A$7:$A$1000,$C53,'Oxford Economics'!$B$7:$B$1000,Settings!$B$30)+SUMIFS(INDEX('Oxford Economics'!$A$7:$AZ$1000,0,IFERROR(MATCH(N$5,'Oxford Economics'!$A$6:$AZ$6,0),MATCH(N$5&amp;"",'Oxford Economics'!$A$6:$AZ$6,0))),'Oxford Economics'!$A$7:$A$1000,$C53,'Oxford Economics'!$B$7:$B$1000,Settings!$B$31)))),""))</f>
        <v/>
      </c>
      <c r="O53" s="41" t="str">
        <f aca="false">IF($A53="","",IFERROR(1/(1/IF($B53="Residential",(SUMIFS(INDEX('Oxford Economics'!$A$7:$AZ$1000,0,IFERROR(MATCH(O$5,'Oxford Economics'!$A$6:$AZ$6,0),MATCH(O$5&amp;"",'Oxford Economics'!$A$6:$AZ$6,0))),'Oxford Economics'!$A$7:$A$1000,$C53,'Oxford Economics'!$B$7:$B$1000,Settings!$B$29)-SUMIFS(INDEX('Oxford Economics'!$A$7:$AZ$1000,0,IFERROR(MATCH(O$5,'Oxford Economics'!$A$6:$AZ$6,0),MATCH(O$5&amp;"",'Oxford Economics'!$A$6:$AZ$6,0))),'Oxford Economics'!$A$7:$A$1000,$C53,'Oxford Economics'!$B$7:$B$1000,Settings!$B$30)),(SUMIFS(INDEX('Oxford Economics'!$A$7:$AZ$1000,0,IFERROR(MATCH(O$5,'Oxford Economics'!$A$6:$AZ$6,0),MATCH(O$5&amp;"",'Oxford Economics'!$A$6:$AZ$6,0))),'Oxford Economics'!$A$7:$A$1000,$C53,'Oxford Economics'!$B$7:$B$1000,Settings!$B$30)+SUMIFS(INDEX('Oxford Economics'!$A$7:$AZ$1000,0,IFERROR(MATCH(O$5,'Oxford Economics'!$A$6:$AZ$6,0),MATCH(O$5&amp;"",'Oxford Economics'!$A$6:$AZ$6,0))),'Oxford Economics'!$A$7:$A$1000,$C53,'Oxford Economics'!$B$7:$B$1000,Settings!$B$31)))),""))</f>
        <v/>
      </c>
    </row>
    <row r="54" customFormat="false" ht="15" hidden="false" customHeight="false" outlineLevel="0" collapsed="false">
      <c r="A54" s="40" t="str">
        <f aca="false">IF('Raw data'!$A54="","",'Raw data'!$A54)</f>
        <v/>
      </c>
      <c r="B54" s="40" t="str">
        <f aca="false">IF($A54="","",'Raw data'!$C54)</f>
        <v/>
      </c>
      <c r="C54" s="40" t="str">
        <f aca="false">IF($A54="","",IF('Raw data'!$D54="",$A54,'Raw data'!$D54))</f>
        <v/>
      </c>
      <c r="D54" s="41" t="str">
        <f aca="false">IF($A54="","",IFERROR(1/(1/IF($B54="Residential",(SUMIFS(INDEX('Oxford Economics'!$A$7:$AZ$1000,0,IFERROR(MATCH(D$5,'Oxford Economics'!$A$6:$AZ$6,0),MATCH(D$5&amp;"",'Oxford Economics'!$A$6:$AZ$6,0))),'Oxford Economics'!$A$7:$A$1000,$C54,'Oxford Economics'!$B$7:$B$1000,Settings!$B$29)-SUMIFS(INDEX('Oxford Economics'!$A$7:$AZ$1000,0,IFERROR(MATCH(D$5,'Oxford Economics'!$A$6:$AZ$6,0),MATCH(D$5&amp;"",'Oxford Economics'!$A$6:$AZ$6,0))),'Oxford Economics'!$A$7:$A$1000,$C54,'Oxford Economics'!$B$7:$B$1000,Settings!$B$30)),(SUMIFS(INDEX('Oxford Economics'!$A$7:$AZ$1000,0,IFERROR(MATCH(D$5,'Oxford Economics'!$A$6:$AZ$6,0),MATCH(D$5&amp;"",'Oxford Economics'!$A$6:$AZ$6,0))),'Oxford Economics'!$A$7:$A$1000,$C54,'Oxford Economics'!$B$7:$B$1000,Settings!$B$30)+SUMIFS(INDEX('Oxford Economics'!$A$7:$AZ$1000,0,IFERROR(MATCH(D$5,'Oxford Economics'!$A$6:$AZ$6,0),MATCH(D$5&amp;"",'Oxford Economics'!$A$6:$AZ$6,0))),'Oxford Economics'!$A$7:$A$1000,$C54,'Oxford Economics'!$B$7:$B$1000,Settings!$B$31)))),""))</f>
        <v/>
      </c>
      <c r="E54" s="41" t="str">
        <f aca="false">IF($A54="","",IFERROR(1/(1/IF($B54="Residential",(SUMIFS(INDEX('Oxford Economics'!$A$7:$AZ$1000,0,IFERROR(MATCH(E$5,'Oxford Economics'!$A$6:$AZ$6,0),MATCH(E$5&amp;"",'Oxford Economics'!$A$6:$AZ$6,0))),'Oxford Economics'!$A$7:$A$1000,$C54,'Oxford Economics'!$B$7:$B$1000,Settings!$B$29)-SUMIFS(INDEX('Oxford Economics'!$A$7:$AZ$1000,0,IFERROR(MATCH(E$5,'Oxford Economics'!$A$6:$AZ$6,0),MATCH(E$5&amp;"",'Oxford Economics'!$A$6:$AZ$6,0))),'Oxford Economics'!$A$7:$A$1000,$C54,'Oxford Economics'!$B$7:$B$1000,Settings!$B$30)),(SUMIFS(INDEX('Oxford Economics'!$A$7:$AZ$1000,0,IFERROR(MATCH(E$5,'Oxford Economics'!$A$6:$AZ$6,0),MATCH(E$5&amp;"",'Oxford Economics'!$A$6:$AZ$6,0))),'Oxford Economics'!$A$7:$A$1000,$C54,'Oxford Economics'!$B$7:$B$1000,Settings!$B$30)+SUMIFS(INDEX('Oxford Economics'!$A$7:$AZ$1000,0,IFERROR(MATCH(E$5,'Oxford Economics'!$A$6:$AZ$6,0),MATCH(E$5&amp;"",'Oxford Economics'!$A$6:$AZ$6,0))),'Oxford Economics'!$A$7:$A$1000,$C54,'Oxford Economics'!$B$7:$B$1000,Settings!$B$31)))),""))</f>
        <v/>
      </c>
      <c r="F54" s="41" t="str">
        <f aca="false">IF($A54="","",IFERROR(1/(1/IF($B54="Residential",(SUMIFS(INDEX('Oxford Economics'!$A$7:$AZ$1000,0,IFERROR(MATCH(F$5,'Oxford Economics'!$A$6:$AZ$6,0),MATCH(F$5&amp;"",'Oxford Economics'!$A$6:$AZ$6,0))),'Oxford Economics'!$A$7:$A$1000,$C54,'Oxford Economics'!$B$7:$B$1000,Settings!$B$29)-SUMIFS(INDEX('Oxford Economics'!$A$7:$AZ$1000,0,IFERROR(MATCH(F$5,'Oxford Economics'!$A$6:$AZ$6,0),MATCH(F$5&amp;"",'Oxford Economics'!$A$6:$AZ$6,0))),'Oxford Economics'!$A$7:$A$1000,$C54,'Oxford Economics'!$B$7:$B$1000,Settings!$B$30)),(SUMIFS(INDEX('Oxford Economics'!$A$7:$AZ$1000,0,IFERROR(MATCH(F$5,'Oxford Economics'!$A$6:$AZ$6,0),MATCH(F$5&amp;"",'Oxford Economics'!$A$6:$AZ$6,0))),'Oxford Economics'!$A$7:$A$1000,$C54,'Oxford Economics'!$B$7:$B$1000,Settings!$B$30)+SUMIFS(INDEX('Oxford Economics'!$A$7:$AZ$1000,0,IFERROR(MATCH(F$5,'Oxford Economics'!$A$6:$AZ$6,0),MATCH(F$5&amp;"",'Oxford Economics'!$A$6:$AZ$6,0))),'Oxford Economics'!$A$7:$A$1000,$C54,'Oxford Economics'!$B$7:$B$1000,Settings!$B$31)))),""))</f>
        <v/>
      </c>
      <c r="G54" s="41" t="str">
        <f aca="false">IF($A54="","",IFERROR(1/(1/IF($B54="Residential",(SUMIFS(INDEX('Oxford Economics'!$A$7:$AZ$1000,0,IFERROR(MATCH(G$5,'Oxford Economics'!$A$6:$AZ$6,0),MATCH(G$5&amp;"",'Oxford Economics'!$A$6:$AZ$6,0))),'Oxford Economics'!$A$7:$A$1000,$C54,'Oxford Economics'!$B$7:$B$1000,Settings!$B$29)-SUMIFS(INDEX('Oxford Economics'!$A$7:$AZ$1000,0,IFERROR(MATCH(G$5,'Oxford Economics'!$A$6:$AZ$6,0),MATCH(G$5&amp;"",'Oxford Economics'!$A$6:$AZ$6,0))),'Oxford Economics'!$A$7:$A$1000,$C54,'Oxford Economics'!$B$7:$B$1000,Settings!$B$30)),(SUMIFS(INDEX('Oxford Economics'!$A$7:$AZ$1000,0,IFERROR(MATCH(G$5,'Oxford Economics'!$A$6:$AZ$6,0),MATCH(G$5&amp;"",'Oxford Economics'!$A$6:$AZ$6,0))),'Oxford Economics'!$A$7:$A$1000,$C54,'Oxford Economics'!$B$7:$B$1000,Settings!$B$30)+SUMIFS(INDEX('Oxford Economics'!$A$7:$AZ$1000,0,IFERROR(MATCH(G$5,'Oxford Economics'!$A$6:$AZ$6,0),MATCH(G$5&amp;"",'Oxford Economics'!$A$6:$AZ$6,0))),'Oxford Economics'!$A$7:$A$1000,$C54,'Oxford Economics'!$B$7:$B$1000,Settings!$B$31)))),""))</f>
        <v/>
      </c>
      <c r="H54" s="41" t="str">
        <f aca="false">IF($A54="","",IFERROR(1/(1/IF($B54="Residential",(SUMIFS(INDEX('Oxford Economics'!$A$7:$AZ$1000,0,IFERROR(MATCH(H$5,'Oxford Economics'!$A$6:$AZ$6,0),MATCH(H$5&amp;"",'Oxford Economics'!$A$6:$AZ$6,0))),'Oxford Economics'!$A$7:$A$1000,$C54,'Oxford Economics'!$B$7:$B$1000,Settings!$B$29)-SUMIFS(INDEX('Oxford Economics'!$A$7:$AZ$1000,0,IFERROR(MATCH(H$5,'Oxford Economics'!$A$6:$AZ$6,0),MATCH(H$5&amp;"",'Oxford Economics'!$A$6:$AZ$6,0))),'Oxford Economics'!$A$7:$A$1000,$C54,'Oxford Economics'!$B$7:$B$1000,Settings!$B$30)),(SUMIFS(INDEX('Oxford Economics'!$A$7:$AZ$1000,0,IFERROR(MATCH(H$5,'Oxford Economics'!$A$6:$AZ$6,0),MATCH(H$5&amp;"",'Oxford Economics'!$A$6:$AZ$6,0))),'Oxford Economics'!$A$7:$A$1000,$C54,'Oxford Economics'!$B$7:$B$1000,Settings!$B$30)+SUMIFS(INDEX('Oxford Economics'!$A$7:$AZ$1000,0,IFERROR(MATCH(H$5,'Oxford Economics'!$A$6:$AZ$6,0),MATCH(H$5&amp;"",'Oxford Economics'!$A$6:$AZ$6,0))),'Oxford Economics'!$A$7:$A$1000,$C54,'Oxford Economics'!$B$7:$B$1000,Settings!$B$31)))),""))</f>
        <v/>
      </c>
      <c r="I54" s="41" t="str">
        <f aca="false">IF($A54="","",IFERROR(1/(1/IF($B54="Residential",(SUMIFS(INDEX('Oxford Economics'!$A$7:$AZ$1000,0,IFERROR(MATCH(I$5,'Oxford Economics'!$A$6:$AZ$6,0),MATCH(I$5&amp;"",'Oxford Economics'!$A$6:$AZ$6,0))),'Oxford Economics'!$A$7:$A$1000,$C54,'Oxford Economics'!$B$7:$B$1000,Settings!$B$29)-SUMIFS(INDEX('Oxford Economics'!$A$7:$AZ$1000,0,IFERROR(MATCH(I$5,'Oxford Economics'!$A$6:$AZ$6,0),MATCH(I$5&amp;"",'Oxford Economics'!$A$6:$AZ$6,0))),'Oxford Economics'!$A$7:$A$1000,$C54,'Oxford Economics'!$B$7:$B$1000,Settings!$B$30)),(SUMIFS(INDEX('Oxford Economics'!$A$7:$AZ$1000,0,IFERROR(MATCH(I$5,'Oxford Economics'!$A$6:$AZ$6,0),MATCH(I$5&amp;"",'Oxford Economics'!$A$6:$AZ$6,0))),'Oxford Economics'!$A$7:$A$1000,$C54,'Oxford Economics'!$B$7:$B$1000,Settings!$B$30)+SUMIFS(INDEX('Oxford Economics'!$A$7:$AZ$1000,0,IFERROR(MATCH(I$5,'Oxford Economics'!$A$6:$AZ$6,0),MATCH(I$5&amp;"",'Oxford Economics'!$A$6:$AZ$6,0))),'Oxford Economics'!$A$7:$A$1000,$C54,'Oxford Economics'!$B$7:$B$1000,Settings!$B$31)))),""))</f>
        <v/>
      </c>
      <c r="J54" s="41" t="str">
        <f aca="false">IF($A54="","",IFERROR(1/(1/IF($B54="Residential",(SUMIFS(INDEX('Oxford Economics'!$A$7:$AZ$1000,0,IFERROR(MATCH(J$5,'Oxford Economics'!$A$6:$AZ$6,0),MATCH(J$5&amp;"",'Oxford Economics'!$A$6:$AZ$6,0))),'Oxford Economics'!$A$7:$A$1000,$C54,'Oxford Economics'!$B$7:$B$1000,Settings!$B$29)-SUMIFS(INDEX('Oxford Economics'!$A$7:$AZ$1000,0,IFERROR(MATCH(J$5,'Oxford Economics'!$A$6:$AZ$6,0),MATCH(J$5&amp;"",'Oxford Economics'!$A$6:$AZ$6,0))),'Oxford Economics'!$A$7:$A$1000,$C54,'Oxford Economics'!$B$7:$B$1000,Settings!$B$30)),(SUMIFS(INDEX('Oxford Economics'!$A$7:$AZ$1000,0,IFERROR(MATCH(J$5,'Oxford Economics'!$A$6:$AZ$6,0),MATCH(J$5&amp;"",'Oxford Economics'!$A$6:$AZ$6,0))),'Oxford Economics'!$A$7:$A$1000,$C54,'Oxford Economics'!$B$7:$B$1000,Settings!$B$30)+SUMIFS(INDEX('Oxford Economics'!$A$7:$AZ$1000,0,IFERROR(MATCH(J$5,'Oxford Economics'!$A$6:$AZ$6,0),MATCH(J$5&amp;"",'Oxford Economics'!$A$6:$AZ$6,0))),'Oxford Economics'!$A$7:$A$1000,$C54,'Oxford Economics'!$B$7:$B$1000,Settings!$B$31)))),""))</f>
        <v/>
      </c>
      <c r="K54" s="41" t="str">
        <f aca="false">IF($A54="","",IFERROR(1/(1/IF($B54="Residential",(SUMIFS(INDEX('Oxford Economics'!$A$7:$AZ$1000,0,IFERROR(MATCH(K$5,'Oxford Economics'!$A$6:$AZ$6,0),MATCH(K$5&amp;"",'Oxford Economics'!$A$6:$AZ$6,0))),'Oxford Economics'!$A$7:$A$1000,$C54,'Oxford Economics'!$B$7:$B$1000,Settings!$B$29)-SUMIFS(INDEX('Oxford Economics'!$A$7:$AZ$1000,0,IFERROR(MATCH(K$5,'Oxford Economics'!$A$6:$AZ$6,0),MATCH(K$5&amp;"",'Oxford Economics'!$A$6:$AZ$6,0))),'Oxford Economics'!$A$7:$A$1000,$C54,'Oxford Economics'!$B$7:$B$1000,Settings!$B$30)),(SUMIFS(INDEX('Oxford Economics'!$A$7:$AZ$1000,0,IFERROR(MATCH(K$5,'Oxford Economics'!$A$6:$AZ$6,0),MATCH(K$5&amp;"",'Oxford Economics'!$A$6:$AZ$6,0))),'Oxford Economics'!$A$7:$A$1000,$C54,'Oxford Economics'!$B$7:$B$1000,Settings!$B$30)+SUMIFS(INDEX('Oxford Economics'!$A$7:$AZ$1000,0,IFERROR(MATCH(K$5,'Oxford Economics'!$A$6:$AZ$6,0),MATCH(K$5&amp;"",'Oxford Economics'!$A$6:$AZ$6,0))),'Oxford Economics'!$A$7:$A$1000,$C54,'Oxford Economics'!$B$7:$B$1000,Settings!$B$31)))),""))</f>
        <v/>
      </c>
      <c r="L54" s="41" t="str">
        <f aca="false">IF($A54="","",IFERROR(1/(1/IF($B54="Residential",(SUMIFS(INDEX('Oxford Economics'!$A$7:$AZ$1000,0,IFERROR(MATCH(L$5,'Oxford Economics'!$A$6:$AZ$6,0),MATCH(L$5&amp;"",'Oxford Economics'!$A$6:$AZ$6,0))),'Oxford Economics'!$A$7:$A$1000,$C54,'Oxford Economics'!$B$7:$B$1000,Settings!$B$29)-SUMIFS(INDEX('Oxford Economics'!$A$7:$AZ$1000,0,IFERROR(MATCH(L$5,'Oxford Economics'!$A$6:$AZ$6,0),MATCH(L$5&amp;"",'Oxford Economics'!$A$6:$AZ$6,0))),'Oxford Economics'!$A$7:$A$1000,$C54,'Oxford Economics'!$B$7:$B$1000,Settings!$B$30)),(SUMIFS(INDEX('Oxford Economics'!$A$7:$AZ$1000,0,IFERROR(MATCH(L$5,'Oxford Economics'!$A$6:$AZ$6,0),MATCH(L$5&amp;"",'Oxford Economics'!$A$6:$AZ$6,0))),'Oxford Economics'!$A$7:$A$1000,$C54,'Oxford Economics'!$B$7:$B$1000,Settings!$B$30)+SUMIFS(INDEX('Oxford Economics'!$A$7:$AZ$1000,0,IFERROR(MATCH(L$5,'Oxford Economics'!$A$6:$AZ$6,0),MATCH(L$5&amp;"",'Oxford Economics'!$A$6:$AZ$6,0))),'Oxford Economics'!$A$7:$A$1000,$C54,'Oxford Economics'!$B$7:$B$1000,Settings!$B$31)))),""))</f>
        <v/>
      </c>
      <c r="M54" s="41" t="str">
        <f aca="false">IF($A54="","",IFERROR(1/(1/IF($B54="Residential",(SUMIFS(INDEX('Oxford Economics'!$A$7:$AZ$1000,0,IFERROR(MATCH(M$5,'Oxford Economics'!$A$6:$AZ$6,0),MATCH(M$5&amp;"",'Oxford Economics'!$A$6:$AZ$6,0))),'Oxford Economics'!$A$7:$A$1000,$C54,'Oxford Economics'!$B$7:$B$1000,Settings!$B$29)-SUMIFS(INDEX('Oxford Economics'!$A$7:$AZ$1000,0,IFERROR(MATCH(M$5,'Oxford Economics'!$A$6:$AZ$6,0),MATCH(M$5&amp;"",'Oxford Economics'!$A$6:$AZ$6,0))),'Oxford Economics'!$A$7:$A$1000,$C54,'Oxford Economics'!$B$7:$B$1000,Settings!$B$30)),(SUMIFS(INDEX('Oxford Economics'!$A$7:$AZ$1000,0,IFERROR(MATCH(M$5,'Oxford Economics'!$A$6:$AZ$6,0),MATCH(M$5&amp;"",'Oxford Economics'!$A$6:$AZ$6,0))),'Oxford Economics'!$A$7:$A$1000,$C54,'Oxford Economics'!$B$7:$B$1000,Settings!$B$30)+SUMIFS(INDEX('Oxford Economics'!$A$7:$AZ$1000,0,IFERROR(MATCH(M$5,'Oxford Economics'!$A$6:$AZ$6,0),MATCH(M$5&amp;"",'Oxford Economics'!$A$6:$AZ$6,0))),'Oxford Economics'!$A$7:$A$1000,$C54,'Oxford Economics'!$B$7:$B$1000,Settings!$B$31)))),""))</f>
        <v/>
      </c>
      <c r="N54" s="41" t="str">
        <f aca="false">IF($A54="","",IFERROR(1/(1/IF($B54="Residential",(SUMIFS(INDEX('Oxford Economics'!$A$7:$AZ$1000,0,IFERROR(MATCH(N$5,'Oxford Economics'!$A$6:$AZ$6,0),MATCH(N$5&amp;"",'Oxford Economics'!$A$6:$AZ$6,0))),'Oxford Economics'!$A$7:$A$1000,$C54,'Oxford Economics'!$B$7:$B$1000,Settings!$B$29)-SUMIFS(INDEX('Oxford Economics'!$A$7:$AZ$1000,0,IFERROR(MATCH(N$5,'Oxford Economics'!$A$6:$AZ$6,0),MATCH(N$5&amp;"",'Oxford Economics'!$A$6:$AZ$6,0))),'Oxford Economics'!$A$7:$A$1000,$C54,'Oxford Economics'!$B$7:$B$1000,Settings!$B$30)),(SUMIFS(INDEX('Oxford Economics'!$A$7:$AZ$1000,0,IFERROR(MATCH(N$5,'Oxford Economics'!$A$6:$AZ$6,0),MATCH(N$5&amp;"",'Oxford Economics'!$A$6:$AZ$6,0))),'Oxford Economics'!$A$7:$A$1000,$C54,'Oxford Economics'!$B$7:$B$1000,Settings!$B$30)+SUMIFS(INDEX('Oxford Economics'!$A$7:$AZ$1000,0,IFERROR(MATCH(N$5,'Oxford Economics'!$A$6:$AZ$6,0),MATCH(N$5&amp;"",'Oxford Economics'!$A$6:$AZ$6,0))),'Oxford Economics'!$A$7:$A$1000,$C54,'Oxford Economics'!$B$7:$B$1000,Settings!$B$31)))),""))</f>
        <v/>
      </c>
      <c r="O54" s="41" t="str">
        <f aca="false">IF($A54="","",IFERROR(1/(1/IF($B54="Residential",(SUMIFS(INDEX('Oxford Economics'!$A$7:$AZ$1000,0,IFERROR(MATCH(O$5,'Oxford Economics'!$A$6:$AZ$6,0),MATCH(O$5&amp;"",'Oxford Economics'!$A$6:$AZ$6,0))),'Oxford Economics'!$A$7:$A$1000,$C54,'Oxford Economics'!$B$7:$B$1000,Settings!$B$29)-SUMIFS(INDEX('Oxford Economics'!$A$7:$AZ$1000,0,IFERROR(MATCH(O$5,'Oxford Economics'!$A$6:$AZ$6,0),MATCH(O$5&amp;"",'Oxford Economics'!$A$6:$AZ$6,0))),'Oxford Economics'!$A$7:$A$1000,$C54,'Oxford Economics'!$B$7:$B$1000,Settings!$B$30)),(SUMIFS(INDEX('Oxford Economics'!$A$7:$AZ$1000,0,IFERROR(MATCH(O$5,'Oxford Economics'!$A$6:$AZ$6,0),MATCH(O$5&amp;"",'Oxford Economics'!$A$6:$AZ$6,0))),'Oxford Economics'!$A$7:$A$1000,$C54,'Oxford Economics'!$B$7:$B$1000,Settings!$B$30)+SUMIFS(INDEX('Oxford Economics'!$A$7:$AZ$1000,0,IFERROR(MATCH(O$5,'Oxford Economics'!$A$6:$AZ$6,0),MATCH(O$5&amp;"",'Oxford Economics'!$A$6:$AZ$6,0))),'Oxford Economics'!$A$7:$A$1000,$C54,'Oxford Economics'!$B$7:$B$1000,Settings!$B$31)))),""))</f>
        <v/>
      </c>
    </row>
    <row r="55" customFormat="false" ht="15" hidden="false" customHeight="false" outlineLevel="0" collapsed="false">
      <c r="A55" s="40" t="str">
        <f aca="false">IF('Raw data'!$A55="","",'Raw data'!$A55)</f>
        <v/>
      </c>
      <c r="B55" s="40" t="str">
        <f aca="false">IF($A55="","",'Raw data'!$C55)</f>
        <v/>
      </c>
      <c r="C55" s="40" t="str">
        <f aca="false">IF($A55="","",IF('Raw data'!$D55="",$A55,'Raw data'!$D55))</f>
        <v/>
      </c>
      <c r="D55" s="41" t="str">
        <f aca="false">IF($A55="","",IFERROR(1/(1/IF($B55="Residential",(SUMIFS(INDEX('Oxford Economics'!$A$7:$AZ$1000,0,IFERROR(MATCH(D$5,'Oxford Economics'!$A$6:$AZ$6,0),MATCH(D$5&amp;"",'Oxford Economics'!$A$6:$AZ$6,0))),'Oxford Economics'!$A$7:$A$1000,$C55,'Oxford Economics'!$B$7:$B$1000,Settings!$B$29)-SUMIFS(INDEX('Oxford Economics'!$A$7:$AZ$1000,0,IFERROR(MATCH(D$5,'Oxford Economics'!$A$6:$AZ$6,0),MATCH(D$5&amp;"",'Oxford Economics'!$A$6:$AZ$6,0))),'Oxford Economics'!$A$7:$A$1000,$C55,'Oxford Economics'!$B$7:$B$1000,Settings!$B$30)),(SUMIFS(INDEX('Oxford Economics'!$A$7:$AZ$1000,0,IFERROR(MATCH(D$5,'Oxford Economics'!$A$6:$AZ$6,0),MATCH(D$5&amp;"",'Oxford Economics'!$A$6:$AZ$6,0))),'Oxford Economics'!$A$7:$A$1000,$C55,'Oxford Economics'!$B$7:$B$1000,Settings!$B$30)+SUMIFS(INDEX('Oxford Economics'!$A$7:$AZ$1000,0,IFERROR(MATCH(D$5,'Oxford Economics'!$A$6:$AZ$6,0),MATCH(D$5&amp;"",'Oxford Economics'!$A$6:$AZ$6,0))),'Oxford Economics'!$A$7:$A$1000,$C55,'Oxford Economics'!$B$7:$B$1000,Settings!$B$31)))),""))</f>
        <v/>
      </c>
      <c r="E55" s="41" t="str">
        <f aca="false">IF($A55="","",IFERROR(1/(1/IF($B55="Residential",(SUMIFS(INDEX('Oxford Economics'!$A$7:$AZ$1000,0,IFERROR(MATCH(E$5,'Oxford Economics'!$A$6:$AZ$6,0),MATCH(E$5&amp;"",'Oxford Economics'!$A$6:$AZ$6,0))),'Oxford Economics'!$A$7:$A$1000,$C55,'Oxford Economics'!$B$7:$B$1000,Settings!$B$29)-SUMIFS(INDEX('Oxford Economics'!$A$7:$AZ$1000,0,IFERROR(MATCH(E$5,'Oxford Economics'!$A$6:$AZ$6,0),MATCH(E$5&amp;"",'Oxford Economics'!$A$6:$AZ$6,0))),'Oxford Economics'!$A$7:$A$1000,$C55,'Oxford Economics'!$B$7:$B$1000,Settings!$B$30)),(SUMIFS(INDEX('Oxford Economics'!$A$7:$AZ$1000,0,IFERROR(MATCH(E$5,'Oxford Economics'!$A$6:$AZ$6,0),MATCH(E$5&amp;"",'Oxford Economics'!$A$6:$AZ$6,0))),'Oxford Economics'!$A$7:$A$1000,$C55,'Oxford Economics'!$B$7:$B$1000,Settings!$B$30)+SUMIFS(INDEX('Oxford Economics'!$A$7:$AZ$1000,0,IFERROR(MATCH(E$5,'Oxford Economics'!$A$6:$AZ$6,0),MATCH(E$5&amp;"",'Oxford Economics'!$A$6:$AZ$6,0))),'Oxford Economics'!$A$7:$A$1000,$C55,'Oxford Economics'!$B$7:$B$1000,Settings!$B$31)))),""))</f>
        <v/>
      </c>
      <c r="F55" s="41" t="str">
        <f aca="false">IF($A55="","",IFERROR(1/(1/IF($B55="Residential",(SUMIFS(INDEX('Oxford Economics'!$A$7:$AZ$1000,0,IFERROR(MATCH(F$5,'Oxford Economics'!$A$6:$AZ$6,0),MATCH(F$5&amp;"",'Oxford Economics'!$A$6:$AZ$6,0))),'Oxford Economics'!$A$7:$A$1000,$C55,'Oxford Economics'!$B$7:$B$1000,Settings!$B$29)-SUMIFS(INDEX('Oxford Economics'!$A$7:$AZ$1000,0,IFERROR(MATCH(F$5,'Oxford Economics'!$A$6:$AZ$6,0),MATCH(F$5&amp;"",'Oxford Economics'!$A$6:$AZ$6,0))),'Oxford Economics'!$A$7:$A$1000,$C55,'Oxford Economics'!$B$7:$B$1000,Settings!$B$30)),(SUMIFS(INDEX('Oxford Economics'!$A$7:$AZ$1000,0,IFERROR(MATCH(F$5,'Oxford Economics'!$A$6:$AZ$6,0),MATCH(F$5&amp;"",'Oxford Economics'!$A$6:$AZ$6,0))),'Oxford Economics'!$A$7:$A$1000,$C55,'Oxford Economics'!$B$7:$B$1000,Settings!$B$30)+SUMIFS(INDEX('Oxford Economics'!$A$7:$AZ$1000,0,IFERROR(MATCH(F$5,'Oxford Economics'!$A$6:$AZ$6,0),MATCH(F$5&amp;"",'Oxford Economics'!$A$6:$AZ$6,0))),'Oxford Economics'!$A$7:$A$1000,$C55,'Oxford Economics'!$B$7:$B$1000,Settings!$B$31)))),""))</f>
        <v/>
      </c>
      <c r="G55" s="41" t="str">
        <f aca="false">IF($A55="","",IFERROR(1/(1/IF($B55="Residential",(SUMIFS(INDEX('Oxford Economics'!$A$7:$AZ$1000,0,IFERROR(MATCH(G$5,'Oxford Economics'!$A$6:$AZ$6,0),MATCH(G$5&amp;"",'Oxford Economics'!$A$6:$AZ$6,0))),'Oxford Economics'!$A$7:$A$1000,$C55,'Oxford Economics'!$B$7:$B$1000,Settings!$B$29)-SUMIFS(INDEX('Oxford Economics'!$A$7:$AZ$1000,0,IFERROR(MATCH(G$5,'Oxford Economics'!$A$6:$AZ$6,0),MATCH(G$5&amp;"",'Oxford Economics'!$A$6:$AZ$6,0))),'Oxford Economics'!$A$7:$A$1000,$C55,'Oxford Economics'!$B$7:$B$1000,Settings!$B$30)),(SUMIFS(INDEX('Oxford Economics'!$A$7:$AZ$1000,0,IFERROR(MATCH(G$5,'Oxford Economics'!$A$6:$AZ$6,0),MATCH(G$5&amp;"",'Oxford Economics'!$A$6:$AZ$6,0))),'Oxford Economics'!$A$7:$A$1000,$C55,'Oxford Economics'!$B$7:$B$1000,Settings!$B$30)+SUMIFS(INDEX('Oxford Economics'!$A$7:$AZ$1000,0,IFERROR(MATCH(G$5,'Oxford Economics'!$A$6:$AZ$6,0),MATCH(G$5&amp;"",'Oxford Economics'!$A$6:$AZ$6,0))),'Oxford Economics'!$A$7:$A$1000,$C55,'Oxford Economics'!$B$7:$B$1000,Settings!$B$31)))),""))</f>
        <v/>
      </c>
      <c r="H55" s="41" t="str">
        <f aca="false">IF($A55="","",IFERROR(1/(1/IF($B55="Residential",(SUMIFS(INDEX('Oxford Economics'!$A$7:$AZ$1000,0,IFERROR(MATCH(H$5,'Oxford Economics'!$A$6:$AZ$6,0),MATCH(H$5&amp;"",'Oxford Economics'!$A$6:$AZ$6,0))),'Oxford Economics'!$A$7:$A$1000,$C55,'Oxford Economics'!$B$7:$B$1000,Settings!$B$29)-SUMIFS(INDEX('Oxford Economics'!$A$7:$AZ$1000,0,IFERROR(MATCH(H$5,'Oxford Economics'!$A$6:$AZ$6,0),MATCH(H$5&amp;"",'Oxford Economics'!$A$6:$AZ$6,0))),'Oxford Economics'!$A$7:$A$1000,$C55,'Oxford Economics'!$B$7:$B$1000,Settings!$B$30)),(SUMIFS(INDEX('Oxford Economics'!$A$7:$AZ$1000,0,IFERROR(MATCH(H$5,'Oxford Economics'!$A$6:$AZ$6,0),MATCH(H$5&amp;"",'Oxford Economics'!$A$6:$AZ$6,0))),'Oxford Economics'!$A$7:$A$1000,$C55,'Oxford Economics'!$B$7:$B$1000,Settings!$B$30)+SUMIFS(INDEX('Oxford Economics'!$A$7:$AZ$1000,0,IFERROR(MATCH(H$5,'Oxford Economics'!$A$6:$AZ$6,0),MATCH(H$5&amp;"",'Oxford Economics'!$A$6:$AZ$6,0))),'Oxford Economics'!$A$7:$A$1000,$C55,'Oxford Economics'!$B$7:$B$1000,Settings!$B$31)))),""))</f>
        <v/>
      </c>
      <c r="I55" s="41" t="str">
        <f aca="false">IF($A55="","",IFERROR(1/(1/IF($B55="Residential",(SUMIFS(INDEX('Oxford Economics'!$A$7:$AZ$1000,0,IFERROR(MATCH(I$5,'Oxford Economics'!$A$6:$AZ$6,0),MATCH(I$5&amp;"",'Oxford Economics'!$A$6:$AZ$6,0))),'Oxford Economics'!$A$7:$A$1000,$C55,'Oxford Economics'!$B$7:$B$1000,Settings!$B$29)-SUMIFS(INDEX('Oxford Economics'!$A$7:$AZ$1000,0,IFERROR(MATCH(I$5,'Oxford Economics'!$A$6:$AZ$6,0),MATCH(I$5&amp;"",'Oxford Economics'!$A$6:$AZ$6,0))),'Oxford Economics'!$A$7:$A$1000,$C55,'Oxford Economics'!$B$7:$B$1000,Settings!$B$30)),(SUMIFS(INDEX('Oxford Economics'!$A$7:$AZ$1000,0,IFERROR(MATCH(I$5,'Oxford Economics'!$A$6:$AZ$6,0),MATCH(I$5&amp;"",'Oxford Economics'!$A$6:$AZ$6,0))),'Oxford Economics'!$A$7:$A$1000,$C55,'Oxford Economics'!$B$7:$B$1000,Settings!$B$30)+SUMIFS(INDEX('Oxford Economics'!$A$7:$AZ$1000,0,IFERROR(MATCH(I$5,'Oxford Economics'!$A$6:$AZ$6,0),MATCH(I$5&amp;"",'Oxford Economics'!$A$6:$AZ$6,0))),'Oxford Economics'!$A$7:$A$1000,$C55,'Oxford Economics'!$B$7:$B$1000,Settings!$B$31)))),""))</f>
        <v/>
      </c>
      <c r="J55" s="41" t="str">
        <f aca="false">IF($A55="","",IFERROR(1/(1/IF($B55="Residential",(SUMIFS(INDEX('Oxford Economics'!$A$7:$AZ$1000,0,IFERROR(MATCH(J$5,'Oxford Economics'!$A$6:$AZ$6,0),MATCH(J$5&amp;"",'Oxford Economics'!$A$6:$AZ$6,0))),'Oxford Economics'!$A$7:$A$1000,$C55,'Oxford Economics'!$B$7:$B$1000,Settings!$B$29)-SUMIFS(INDEX('Oxford Economics'!$A$7:$AZ$1000,0,IFERROR(MATCH(J$5,'Oxford Economics'!$A$6:$AZ$6,0),MATCH(J$5&amp;"",'Oxford Economics'!$A$6:$AZ$6,0))),'Oxford Economics'!$A$7:$A$1000,$C55,'Oxford Economics'!$B$7:$B$1000,Settings!$B$30)),(SUMIFS(INDEX('Oxford Economics'!$A$7:$AZ$1000,0,IFERROR(MATCH(J$5,'Oxford Economics'!$A$6:$AZ$6,0),MATCH(J$5&amp;"",'Oxford Economics'!$A$6:$AZ$6,0))),'Oxford Economics'!$A$7:$A$1000,$C55,'Oxford Economics'!$B$7:$B$1000,Settings!$B$30)+SUMIFS(INDEX('Oxford Economics'!$A$7:$AZ$1000,0,IFERROR(MATCH(J$5,'Oxford Economics'!$A$6:$AZ$6,0),MATCH(J$5&amp;"",'Oxford Economics'!$A$6:$AZ$6,0))),'Oxford Economics'!$A$7:$A$1000,$C55,'Oxford Economics'!$B$7:$B$1000,Settings!$B$31)))),""))</f>
        <v/>
      </c>
      <c r="K55" s="41" t="str">
        <f aca="false">IF($A55="","",IFERROR(1/(1/IF($B55="Residential",(SUMIFS(INDEX('Oxford Economics'!$A$7:$AZ$1000,0,IFERROR(MATCH(K$5,'Oxford Economics'!$A$6:$AZ$6,0),MATCH(K$5&amp;"",'Oxford Economics'!$A$6:$AZ$6,0))),'Oxford Economics'!$A$7:$A$1000,$C55,'Oxford Economics'!$B$7:$B$1000,Settings!$B$29)-SUMIFS(INDEX('Oxford Economics'!$A$7:$AZ$1000,0,IFERROR(MATCH(K$5,'Oxford Economics'!$A$6:$AZ$6,0),MATCH(K$5&amp;"",'Oxford Economics'!$A$6:$AZ$6,0))),'Oxford Economics'!$A$7:$A$1000,$C55,'Oxford Economics'!$B$7:$B$1000,Settings!$B$30)),(SUMIFS(INDEX('Oxford Economics'!$A$7:$AZ$1000,0,IFERROR(MATCH(K$5,'Oxford Economics'!$A$6:$AZ$6,0),MATCH(K$5&amp;"",'Oxford Economics'!$A$6:$AZ$6,0))),'Oxford Economics'!$A$7:$A$1000,$C55,'Oxford Economics'!$B$7:$B$1000,Settings!$B$30)+SUMIFS(INDEX('Oxford Economics'!$A$7:$AZ$1000,0,IFERROR(MATCH(K$5,'Oxford Economics'!$A$6:$AZ$6,0),MATCH(K$5&amp;"",'Oxford Economics'!$A$6:$AZ$6,0))),'Oxford Economics'!$A$7:$A$1000,$C55,'Oxford Economics'!$B$7:$B$1000,Settings!$B$31)))),""))</f>
        <v/>
      </c>
      <c r="L55" s="41" t="str">
        <f aca="false">IF($A55="","",IFERROR(1/(1/IF($B55="Residential",(SUMIFS(INDEX('Oxford Economics'!$A$7:$AZ$1000,0,IFERROR(MATCH(L$5,'Oxford Economics'!$A$6:$AZ$6,0),MATCH(L$5&amp;"",'Oxford Economics'!$A$6:$AZ$6,0))),'Oxford Economics'!$A$7:$A$1000,$C55,'Oxford Economics'!$B$7:$B$1000,Settings!$B$29)-SUMIFS(INDEX('Oxford Economics'!$A$7:$AZ$1000,0,IFERROR(MATCH(L$5,'Oxford Economics'!$A$6:$AZ$6,0),MATCH(L$5&amp;"",'Oxford Economics'!$A$6:$AZ$6,0))),'Oxford Economics'!$A$7:$A$1000,$C55,'Oxford Economics'!$B$7:$B$1000,Settings!$B$30)),(SUMIFS(INDEX('Oxford Economics'!$A$7:$AZ$1000,0,IFERROR(MATCH(L$5,'Oxford Economics'!$A$6:$AZ$6,0),MATCH(L$5&amp;"",'Oxford Economics'!$A$6:$AZ$6,0))),'Oxford Economics'!$A$7:$A$1000,$C55,'Oxford Economics'!$B$7:$B$1000,Settings!$B$30)+SUMIFS(INDEX('Oxford Economics'!$A$7:$AZ$1000,0,IFERROR(MATCH(L$5,'Oxford Economics'!$A$6:$AZ$6,0),MATCH(L$5&amp;"",'Oxford Economics'!$A$6:$AZ$6,0))),'Oxford Economics'!$A$7:$A$1000,$C55,'Oxford Economics'!$B$7:$B$1000,Settings!$B$31)))),""))</f>
        <v/>
      </c>
      <c r="M55" s="41" t="str">
        <f aca="false">IF($A55="","",IFERROR(1/(1/IF($B55="Residential",(SUMIFS(INDEX('Oxford Economics'!$A$7:$AZ$1000,0,IFERROR(MATCH(M$5,'Oxford Economics'!$A$6:$AZ$6,0),MATCH(M$5&amp;"",'Oxford Economics'!$A$6:$AZ$6,0))),'Oxford Economics'!$A$7:$A$1000,$C55,'Oxford Economics'!$B$7:$B$1000,Settings!$B$29)-SUMIFS(INDEX('Oxford Economics'!$A$7:$AZ$1000,0,IFERROR(MATCH(M$5,'Oxford Economics'!$A$6:$AZ$6,0),MATCH(M$5&amp;"",'Oxford Economics'!$A$6:$AZ$6,0))),'Oxford Economics'!$A$7:$A$1000,$C55,'Oxford Economics'!$B$7:$B$1000,Settings!$B$30)),(SUMIFS(INDEX('Oxford Economics'!$A$7:$AZ$1000,0,IFERROR(MATCH(M$5,'Oxford Economics'!$A$6:$AZ$6,0),MATCH(M$5&amp;"",'Oxford Economics'!$A$6:$AZ$6,0))),'Oxford Economics'!$A$7:$A$1000,$C55,'Oxford Economics'!$B$7:$B$1000,Settings!$B$30)+SUMIFS(INDEX('Oxford Economics'!$A$7:$AZ$1000,0,IFERROR(MATCH(M$5,'Oxford Economics'!$A$6:$AZ$6,0),MATCH(M$5&amp;"",'Oxford Economics'!$A$6:$AZ$6,0))),'Oxford Economics'!$A$7:$A$1000,$C55,'Oxford Economics'!$B$7:$B$1000,Settings!$B$31)))),""))</f>
        <v/>
      </c>
      <c r="N55" s="41" t="str">
        <f aca="false">IF($A55="","",IFERROR(1/(1/IF($B55="Residential",(SUMIFS(INDEX('Oxford Economics'!$A$7:$AZ$1000,0,IFERROR(MATCH(N$5,'Oxford Economics'!$A$6:$AZ$6,0),MATCH(N$5&amp;"",'Oxford Economics'!$A$6:$AZ$6,0))),'Oxford Economics'!$A$7:$A$1000,$C55,'Oxford Economics'!$B$7:$B$1000,Settings!$B$29)-SUMIFS(INDEX('Oxford Economics'!$A$7:$AZ$1000,0,IFERROR(MATCH(N$5,'Oxford Economics'!$A$6:$AZ$6,0),MATCH(N$5&amp;"",'Oxford Economics'!$A$6:$AZ$6,0))),'Oxford Economics'!$A$7:$A$1000,$C55,'Oxford Economics'!$B$7:$B$1000,Settings!$B$30)),(SUMIFS(INDEX('Oxford Economics'!$A$7:$AZ$1000,0,IFERROR(MATCH(N$5,'Oxford Economics'!$A$6:$AZ$6,0),MATCH(N$5&amp;"",'Oxford Economics'!$A$6:$AZ$6,0))),'Oxford Economics'!$A$7:$A$1000,$C55,'Oxford Economics'!$B$7:$B$1000,Settings!$B$30)+SUMIFS(INDEX('Oxford Economics'!$A$7:$AZ$1000,0,IFERROR(MATCH(N$5,'Oxford Economics'!$A$6:$AZ$6,0),MATCH(N$5&amp;"",'Oxford Economics'!$A$6:$AZ$6,0))),'Oxford Economics'!$A$7:$A$1000,$C55,'Oxford Economics'!$B$7:$B$1000,Settings!$B$31)))),""))</f>
        <v/>
      </c>
      <c r="O55" s="41" t="str">
        <f aca="false">IF($A55="","",IFERROR(1/(1/IF($B55="Residential",(SUMIFS(INDEX('Oxford Economics'!$A$7:$AZ$1000,0,IFERROR(MATCH(O$5,'Oxford Economics'!$A$6:$AZ$6,0),MATCH(O$5&amp;"",'Oxford Economics'!$A$6:$AZ$6,0))),'Oxford Economics'!$A$7:$A$1000,$C55,'Oxford Economics'!$B$7:$B$1000,Settings!$B$29)-SUMIFS(INDEX('Oxford Economics'!$A$7:$AZ$1000,0,IFERROR(MATCH(O$5,'Oxford Economics'!$A$6:$AZ$6,0),MATCH(O$5&amp;"",'Oxford Economics'!$A$6:$AZ$6,0))),'Oxford Economics'!$A$7:$A$1000,$C55,'Oxford Economics'!$B$7:$B$1000,Settings!$B$30)),(SUMIFS(INDEX('Oxford Economics'!$A$7:$AZ$1000,0,IFERROR(MATCH(O$5,'Oxford Economics'!$A$6:$AZ$6,0),MATCH(O$5&amp;"",'Oxford Economics'!$A$6:$AZ$6,0))),'Oxford Economics'!$A$7:$A$1000,$C55,'Oxford Economics'!$B$7:$B$1000,Settings!$B$30)+SUMIFS(INDEX('Oxford Economics'!$A$7:$AZ$1000,0,IFERROR(MATCH(O$5,'Oxford Economics'!$A$6:$AZ$6,0),MATCH(O$5&amp;"",'Oxford Economics'!$A$6:$AZ$6,0))),'Oxford Economics'!$A$7:$A$1000,$C55,'Oxford Economics'!$B$7:$B$1000,Settings!$B$31)))),""))</f>
        <v/>
      </c>
    </row>
    <row r="56" customFormat="false" ht="15" hidden="false" customHeight="false" outlineLevel="0" collapsed="false">
      <c r="A56" s="40" t="str">
        <f aca="false">IF('Raw data'!$A56="","",'Raw data'!$A56)</f>
        <v/>
      </c>
      <c r="B56" s="40" t="str">
        <f aca="false">IF($A56="","",'Raw data'!$C56)</f>
        <v/>
      </c>
      <c r="C56" s="40" t="str">
        <f aca="false">IF($A56="","",IF('Raw data'!$D56="",$A56,'Raw data'!$D56))</f>
        <v/>
      </c>
      <c r="D56" s="41" t="str">
        <f aca="false">IF($A56="","",IFERROR(1/(1/IF($B56="Residential",(SUMIFS(INDEX('Oxford Economics'!$A$7:$AZ$1000,0,IFERROR(MATCH(D$5,'Oxford Economics'!$A$6:$AZ$6,0),MATCH(D$5&amp;"",'Oxford Economics'!$A$6:$AZ$6,0))),'Oxford Economics'!$A$7:$A$1000,$C56,'Oxford Economics'!$B$7:$B$1000,Settings!$B$29)-SUMIFS(INDEX('Oxford Economics'!$A$7:$AZ$1000,0,IFERROR(MATCH(D$5,'Oxford Economics'!$A$6:$AZ$6,0),MATCH(D$5&amp;"",'Oxford Economics'!$A$6:$AZ$6,0))),'Oxford Economics'!$A$7:$A$1000,$C56,'Oxford Economics'!$B$7:$B$1000,Settings!$B$30)),(SUMIFS(INDEX('Oxford Economics'!$A$7:$AZ$1000,0,IFERROR(MATCH(D$5,'Oxford Economics'!$A$6:$AZ$6,0),MATCH(D$5&amp;"",'Oxford Economics'!$A$6:$AZ$6,0))),'Oxford Economics'!$A$7:$A$1000,$C56,'Oxford Economics'!$B$7:$B$1000,Settings!$B$30)+SUMIFS(INDEX('Oxford Economics'!$A$7:$AZ$1000,0,IFERROR(MATCH(D$5,'Oxford Economics'!$A$6:$AZ$6,0),MATCH(D$5&amp;"",'Oxford Economics'!$A$6:$AZ$6,0))),'Oxford Economics'!$A$7:$A$1000,$C56,'Oxford Economics'!$B$7:$B$1000,Settings!$B$31)))),""))</f>
        <v/>
      </c>
      <c r="E56" s="41" t="str">
        <f aca="false">IF($A56="","",IFERROR(1/(1/IF($B56="Residential",(SUMIFS(INDEX('Oxford Economics'!$A$7:$AZ$1000,0,IFERROR(MATCH(E$5,'Oxford Economics'!$A$6:$AZ$6,0),MATCH(E$5&amp;"",'Oxford Economics'!$A$6:$AZ$6,0))),'Oxford Economics'!$A$7:$A$1000,$C56,'Oxford Economics'!$B$7:$B$1000,Settings!$B$29)-SUMIFS(INDEX('Oxford Economics'!$A$7:$AZ$1000,0,IFERROR(MATCH(E$5,'Oxford Economics'!$A$6:$AZ$6,0),MATCH(E$5&amp;"",'Oxford Economics'!$A$6:$AZ$6,0))),'Oxford Economics'!$A$7:$A$1000,$C56,'Oxford Economics'!$B$7:$B$1000,Settings!$B$30)),(SUMIFS(INDEX('Oxford Economics'!$A$7:$AZ$1000,0,IFERROR(MATCH(E$5,'Oxford Economics'!$A$6:$AZ$6,0),MATCH(E$5&amp;"",'Oxford Economics'!$A$6:$AZ$6,0))),'Oxford Economics'!$A$7:$A$1000,$C56,'Oxford Economics'!$B$7:$B$1000,Settings!$B$30)+SUMIFS(INDEX('Oxford Economics'!$A$7:$AZ$1000,0,IFERROR(MATCH(E$5,'Oxford Economics'!$A$6:$AZ$6,0),MATCH(E$5&amp;"",'Oxford Economics'!$A$6:$AZ$6,0))),'Oxford Economics'!$A$7:$A$1000,$C56,'Oxford Economics'!$B$7:$B$1000,Settings!$B$31)))),""))</f>
        <v/>
      </c>
      <c r="F56" s="41" t="str">
        <f aca="false">IF($A56="","",IFERROR(1/(1/IF($B56="Residential",(SUMIFS(INDEX('Oxford Economics'!$A$7:$AZ$1000,0,IFERROR(MATCH(F$5,'Oxford Economics'!$A$6:$AZ$6,0),MATCH(F$5&amp;"",'Oxford Economics'!$A$6:$AZ$6,0))),'Oxford Economics'!$A$7:$A$1000,$C56,'Oxford Economics'!$B$7:$B$1000,Settings!$B$29)-SUMIFS(INDEX('Oxford Economics'!$A$7:$AZ$1000,0,IFERROR(MATCH(F$5,'Oxford Economics'!$A$6:$AZ$6,0),MATCH(F$5&amp;"",'Oxford Economics'!$A$6:$AZ$6,0))),'Oxford Economics'!$A$7:$A$1000,$C56,'Oxford Economics'!$B$7:$B$1000,Settings!$B$30)),(SUMIFS(INDEX('Oxford Economics'!$A$7:$AZ$1000,0,IFERROR(MATCH(F$5,'Oxford Economics'!$A$6:$AZ$6,0),MATCH(F$5&amp;"",'Oxford Economics'!$A$6:$AZ$6,0))),'Oxford Economics'!$A$7:$A$1000,$C56,'Oxford Economics'!$B$7:$B$1000,Settings!$B$30)+SUMIFS(INDEX('Oxford Economics'!$A$7:$AZ$1000,0,IFERROR(MATCH(F$5,'Oxford Economics'!$A$6:$AZ$6,0),MATCH(F$5&amp;"",'Oxford Economics'!$A$6:$AZ$6,0))),'Oxford Economics'!$A$7:$A$1000,$C56,'Oxford Economics'!$B$7:$B$1000,Settings!$B$31)))),""))</f>
        <v/>
      </c>
      <c r="G56" s="41" t="str">
        <f aca="false">IF($A56="","",IFERROR(1/(1/IF($B56="Residential",(SUMIFS(INDEX('Oxford Economics'!$A$7:$AZ$1000,0,IFERROR(MATCH(G$5,'Oxford Economics'!$A$6:$AZ$6,0),MATCH(G$5&amp;"",'Oxford Economics'!$A$6:$AZ$6,0))),'Oxford Economics'!$A$7:$A$1000,$C56,'Oxford Economics'!$B$7:$B$1000,Settings!$B$29)-SUMIFS(INDEX('Oxford Economics'!$A$7:$AZ$1000,0,IFERROR(MATCH(G$5,'Oxford Economics'!$A$6:$AZ$6,0),MATCH(G$5&amp;"",'Oxford Economics'!$A$6:$AZ$6,0))),'Oxford Economics'!$A$7:$A$1000,$C56,'Oxford Economics'!$B$7:$B$1000,Settings!$B$30)),(SUMIFS(INDEX('Oxford Economics'!$A$7:$AZ$1000,0,IFERROR(MATCH(G$5,'Oxford Economics'!$A$6:$AZ$6,0),MATCH(G$5&amp;"",'Oxford Economics'!$A$6:$AZ$6,0))),'Oxford Economics'!$A$7:$A$1000,$C56,'Oxford Economics'!$B$7:$B$1000,Settings!$B$30)+SUMIFS(INDEX('Oxford Economics'!$A$7:$AZ$1000,0,IFERROR(MATCH(G$5,'Oxford Economics'!$A$6:$AZ$6,0),MATCH(G$5&amp;"",'Oxford Economics'!$A$6:$AZ$6,0))),'Oxford Economics'!$A$7:$A$1000,$C56,'Oxford Economics'!$B$7:$B$1000,Settings!$B$31)))),""))</f>
        <v/>
      </c>
      <c r="H56" s="41" t="str">
        <f aca="false">IF($A56="","",IFERROR(1/(1/IF($B56="Residential",(SUMIFS(INDEX('Oxford Economics'!$A$7:$AZ$1000,0,IFERROR(MATCH(H$5,'Oxford Economics'!$A$6:$AZ$6,0),MATCH(H$5&amp;"",'Oxford Economics'!$A$6:$AZ$6,0))),'Oxford Economics'!$A$7:$A$1000,$C56,'Oxford Economics'!$B$7:$B$1000,Settings!$B$29)-SUMIFS(INDEX('Oxford Economics'!$A$7:$AZ$1000,0,IFERROR(MATCH(H$5,'Oxford Economics'!$A$6:$AZ$6,0),MATCH(H$5&amp;"",'Oxford Economics'!$A$6:$AZ$6,0))),'Oxford Economics'!$A$7:$A$1000,$C56,'Oxford Economics'!$B$7:$B$1000,Settings!$B$30)),(SUMIFS(INDEX('Oxford Economics'!$A$7:$AZ$1000,0,IFERROR(MATCH(H$5,'Oxford Economics'!$A$6:$AZ$6,0),MATCH(H$5&amp;"",'Oxford Economics'!$A$6:$AZ$6,0))),'Oxford Economics'!$A$7:$A$1000,$C56,'Oxford Economics'!$B$7:$B$1000,Settings!$B$30)+SUMIFS(INDEX('Oxford Economics'!$A$7:$AZ$1000,0,IFERROR(MATCH(H$5,'Oxford Economics'!$A$6:$AZ$6,0),MATCH(H$5&amp;"",'Oxford Economics'!$A$6:$AZ$6,0))),'Oxford Economics'!$A$7:$A$1000,$C56,'Oxford Economics'!$B$7:$B$1000,Settings!$B$31)))),""))</f>
        <v/>
      </c>
      <c r="I56" s="41" t="str">
        <f aca="false">IF($A56="","",IFERROR(1/(1/IF($B56="Residential",(SUMIFS(INDEX('Oxford Economics'!$A$7:$AZ$1000,0,IFERROR(MATCH(I$5,'Oxford Economics'!$A$6:$AZ$6,0),MATCH(I$5&amp;"",'Oxford Economics'!$A$6:$AZ$6,0))),'Oxford Economics'!$A$7:$A$1000,$C56,'Oxford Economics'!$B$7:$B$1000,Settings!$B$29)-SUMIFS(INDEX('Oxford Economics'!$A$7:$AZ$1000,0,IFERROR(MATCH(I$5,'Oxford Economics'!$A$6:$AZ$6,0),MATCH(I$5&amp;"",'Oxford Economics'!$A$6:$AZ$6,0))),'Oxford Economics'!$A$7:$A$1000,$C56,'Oxford Economics'!$B$7:$B$1000,Settings!$B$30)),(SUMIFS(INDEX('Oxford Economics'!$A$7:$AZ$1000,0,IFERROR(MATCH(I$5,'Oxford Economics'!$A$6:$AZ$6,0),MATCH(I$5&amp;"",'Oxford Economics'!$A$6:$AZ$6,0))),'Oxford Economics'!$A$7:$A$1000,$C56,'Oxford Economics'!$B$7:$B$1000,Settings!$B$30)+SUMIFS(INDEX('Oxford Economics'!$A$7:$AZ$1000,0,IFERROR(MATCH(I$5,'Oxford Economics'!$A$6:$AZ$6,0),MATCH(I$5&amp;"",'Oxford Economics'!$A$6:$AZ$6,0))),'Oxford Economics'!$A$7:$A$1000,$C56,'Oxford Economics'!$B$7:$B$1000,Settings!$B$31)))),""))</f>
        <v/>
      </c>
      <c r="J56" s="41" t="str">
        <f aca="false">IF($A56="","",IFERROR(1/(1/IF($B56="Residential",(SUMIFS(INDEX('Oxford Economics'!$A$7:$AZ$1000,0,IFERROR(MATCH(J$5,'Oxford Economics'!$A$6:$AZ$6,0),MATCH(J$5&amp;"",'Oxford Economics'!$A$6:$AZ$6,0))),'Oxford Economics'!$A$7:$A$1000,$C56,'Oxford Economics'!$B$7:$B$1000,Settings!$B$29)-SUMIFS(INDEX('Oxford Economics'!$A$7:$AZ$1000,0,IFERROR(MATCH(J$5,'Oxford Economics'!$A$6:$AZ$6,0),MATCH(J$5&amp;"",'Oxford Economics'!$A$6:$AZ$6,0))),'Oxford Economics'!$A$7:$A$1000,$C56,'Oxford Economics'!$B$7:$B$1000,Settings!$B$30)),(SUMIFS(INDEX('Oxford Economics'!$A$7:$AZ$1000,0,IFERROR(MATCH(J$5,'Oxford Economics'!$A$6:$AZ$6,0),MATCH(J$5&amp;"",'Oxford Economics'!$A$6:$AZ$6,0))),'Oxford Economics'!$A$7:$A$1000,$C56,'Oxford Economics'!$B$7:$B$1000,Settings!$B$30)+SUMIFS(INDEX('Oxford Economics'!$A$7:$AZ$1000,0,IFERROR(MATCH(J$5,'Oxford Economics'!$A$6:$AZ$6,0),MATCH(J$5&amp;"",'Oxford Economics'!$A$6:$AZ$6,0))),'Oxford Economics'!$A$7:$A$1000,$C56,'Oxford Economics'!$B$7:$B$1000,Settings!$B$31)))),""))</f>
        <v/>
      </c>
      <c r="K56" s="41" t="str">
        <f aca="false">IF($A56="","",IFERROR(1/(1/IF($B56="Residential",(SUMIFS(INDEX('Oxford Economics'!$A$7:$AZ$1000,0,IFERROR(MATCH(K$5,'Oxford Economics'!$A$6:$AZ$6,0),MATCH(K$5&amp;"",'Oxford Economics'!$A$6:$AZ$6,0))),'Oxford Economics'!$A$7:$A$1000,$C56,'Oxford Economics'!$B$7:$B$1000,Settings!$B$29)-SUMIFS(INDEX('Oxford Economics'!$A$7:$AZ$1000,0,IFERROR(MATCH(K$5,'Oxford Economics'!$A$6:$AZ$6,0),MATCH(K$5&amp;"",'Oxford Economics'!$A$6:$AZ$6,0))),'Oxford Economics'!$A$7:$A$1000,$C56,'Oxford Economics'!$B$7:$B$1000,Settings!$B$30)),(SUMIFS(INDEX('Oxford Economics'!$A$7:$AZ$1000,0,IFERROR(MATCH(K$5,'Oxford Economics'!$A$6:$AZ$6,0),MATCH(K$5&amp;"",'Oxford Economics'!$A$6:$AZ$6,0))),'Oxford Economics'!$A$7:$A$1000,$C56,'Oxford Economics'!$B$7:$B$1000,Settings!$B$30)+SUMIFS(INDEX('Oxford Economics'!$A$7:$AZ$1000,0,IFERROR(MATCH(K$5,'Oxford Economics'!$A$6:$AZ$6,0),MATCH(K$5&amp;"",'Oxford Economics'!$A$6:$AZ$6,0))),'Oxford Economics'!$A$7:$A$1000,$C56,'Oxford Economics'!$B$7:$B$1000,Settings!$B$31)))),""))</f>
        <v/>
      </c>
      <c r="L56" s="41" t="str">
        <f aca="false">IF($A56="","",IFERROR(1/(1/IF($B56="Residential",(SUMIFS(INDEX('Oxford Economics'!$A$7:$AZ$1000,0,IFERROR(MATCH(L$5,'Oxford Economics'!$A$6:$AZ$6,0),MATCH(L$5&amp;"",'Oxford Economics'!$A$6:$AZ$6,0))),'Oxford Economics'!$A$7:$A$1000,$C56,'Oxford Economics'!$B$7:$B$1000,Settings!$B$29)-SUMIFS(INDEX('Oxford Economics'!$A$7:$AZ$1000,0,IFERROR(MATCH(L$5,'Oxford Economics'!$A$6:$AZ$6,0),MATCH(L$5&amp;"",'Oxford Economics'!$A$6:$AZ$6,0))),'Oxford Economics'!$A$7:$A$1000,$C56,'Oxford Economics'!$B$7:$B$1000,Settings!$B$30)),(SUMIFS(INDEX('Oxford Economics'!$A$7:$AZ$1000,0,IFERROR(MATCH(L$5,'Oxford Economics'!$A$6:$AZ$6,0),MATCH(L$5&amp;"",'Oxford Economics'!$A$6:$AZ$6,0))),'Oxford Economics'!$A$7:$A$1000,$C56,'Oxford Economics'!$B$7:$B$1000,Settings!$B$30)+SUMIFS(INDEX('Oxford Economics'!$A$7:$AZ$1000,0,IFERROR(MATCH(L$5,'Oxford Economics'!$A$6:$AZ$6,0),MATCH(L$5&amp;"",'Oxford Economics'!$A$6:$AZ$6,0))),'Oxford Economics'!$A$7:$A$1000,$C56,'Oxford Economics'!$B$7:$B$1000,Settings!$B$31)))),""))</f>
        <v/>
      </c>
      <c r="M56" s="41" t="str">
        <f aca="false">IF($A56="","",IFERROR(1/(1/IF($B56="Residential",(SUMIFS(INDEX('Oxford Economics'!$A$7:$AZ$1000,0,IFERROR(MATCH(M$5,'Oxford Economics'!$A$6:$AZ$6,0),MATCH(M$5&amp;"",'Oxford Economics'!$A$6:$AZ$6,0))),'Oxford Economics'!$A$7:$A$1000,$C56,'Oxford Economics'!$B$7:$B$1000,Settings!$B$29)-SUMIFS(INDEX('Oxford Economics'!$A$7:$AZ$1000,0,IFERROR(MATCH(M$5,'Oxford Economics'!$A$6:$AZ$6,0),MATCH(M$5&amp;"",'Oxford Economics'!$A$6:$AZ$6,0))),'Oxford Economics'!$A$7:$A$1000,$C56,'Oxford Economics'!$B$7:$B$1000,Settings!$B$30)),(SUMIFS(INDEX('Oxford Economics'!$A$7:$AZ$1000,0,IFERROR(MATCH(M$5,'Oxford Economics'!$A$6:$AZ$6,0),MATCH(M$5&amp;"",'Oxford Economics'!$A$6:$AZ$6,0))),'Oxford Economics'!$A$7:$A$1000,$C56,'Oxford Economics'!$B$7:$B$1000,Settings!$B$30)+SUMIFS(INDEX('Oxford Economics'!$A$7:$AZ$1000,0,IFERROR(MATCH(M$5,'Oxford Economics'!$A$6:$AZ$6,0),MATCH(M$5&amp;"",'Oxford Economics'!$A$6:$AZ$6,0))),'Oxford Economics'!$A$7:$A$1000,$C56,'Oxford Economics'!$B$7:$B$1000,Settings!$B$31)))),""))</f>
        <v/>
      </c>
      <c r="N56" s="41" t="str">
        <f aca="false">IF($A56="","",IFERROR(1/(1/IF($B56="Residential",(SUMIFS(INDEX('Oxford Economics'!$A$7:$AZ$1000,0,IFERROR(MATCH(N$5,'Oxford Economics'!$A$6:$AZ$6,0),MATCH(N$5&amp;"",'Oxford Economics'!$A$6:$AZ$6,0))),'Oxford Economics'!$A$7:$A$1000,$C56,'Oxford Economics'!$B$7:$B$1000,Settings!$B$29)-SUMIFS(INDEX('Oxford Economics'!$A$7:$AZ$1000,0,IFERROR(MATCH(N$5,'Oxford Economics'!$A$6:$AZ$6,0),MATCH(N$5&amp;"",'Oxford Economics'!$A$6:$AZ$6,0))),'Oxford Economics'!$A$7:$A$1000,$C56,'Oxford Economics'!$B$7:$B$1000,Settings!$B$30)),(SUMIFS(INDEX('Oxford Economics'!$A$7:$AZ$1000,0,IFERROR(MATCH(N$5,'Oxford Economics'!$A$6:$AZ$6,0),MATCH(N$5&amp;"",'Oxford Economics'!$A$6:$AZ$6,0))),'Oxford Economics'!$A$7:$A$1000,$C56,'Oxford Economics'!$B$7:$B$1000,Settings!$B$30)+SUMIFS(INDEX('Oxford Economics'!$A$7:$AZ$1000,0,IFERROR(MATCH(N$5,'Oxford Economics'!$A$6:$AZ$6,0),MATCH(N$5&amp;"",'Oxford Economics'!$A$6:$AZ$6,0))),'Oxford Economics'!$A$7:$A$1000,$C56,'Oxford Economics'!$B$7:$B$1000,Settings!$B$31)))),""))</f>
        <v/>
      </c>
      <c r="O56" s="41" t="str">
        <f aca="false">IF($A56="","",IFERROR(1/(1/IF($B56="Residential",(SUMIFS(INDEX('Oxford Economics'!$A$7:$AZ$1000,0,IFERROR(MATCH(O$5,'Oxford Economics'!$A$6:$AZ$6,0),MATCH(O$5&amp;"",'Oxford Economics'!$A$6:$AZ$6,0))),'Oxford Economics'!$A$7:$A$1000,$C56,'Oxford Economics'!$B$7:$B$1000,Settings!$B$29)-SUMIFS(INDEX('Oxford Economics'!$A$7:$AZ$1000,0,IFERROR(MATCH(O$5,'Oxford Economics'!$A$6:$AZ$6,0),MATCH(O$5&amp;"",'Oxford Economics'!$A$6:$AZ$6,0))),'Oxford Economics'!$A$7:$A$1000,$C56,'Oxford Economics'!$B$7:$B$1000,Settings!$B$30)),(SUMIFS(INDEX('Oxford Economics'!$A$7:$AZ$1000,0,IFERROR(MATCH(O$5,'Oxford Economics'!$A$6:$AZ$6,0),MATCH(O$5&amp;"",'Oxford Economics'!$A$6:$AZ$6,0))),'Oxford Economics'!$A$7:$A$1000,$C56,'Oxford Economics'!$B$7:$B$1000,Settings!$B$30)+SUMIFS(INDEX('Oxford Economics'!$A$7:$AZ$1000,0,IFERROR(MATCH(O$5,'Oxford Economics'!$A$6:$AZ$6,0),MATCH(O$5&amp;"",'Oxford Economics'!$A$6:$AZ$6,0))),'Oxford Economics'!$A$7:$A$1000,$C56,'Oxford Economics'!$B$7:$B$1000,Settings!$B$31)))),""))</f>
        <v/>
      </c>
    </row>
    <row r="57" customFormat="false" ht="15" hidden="false" customHeight="false" outlineLevel="0" collapsed="false">
      <c r="A57" s="40" t="str">
        <f aca="false">IF('Raw data'!$A57="","",'Raw data'!$A57)</f>
        <v/>
      </c>
      <c r="B57" s="40" t="str">
        <f aca="false">IF($A57="","",'Raw data'!$C57)</f>
        <v/>
      </c>
      <c r="C57" s="40" t="str">
        <f aca="false">IF($A57="","",IF('Raw data'!$D57="",$A57,'Raw data'!$D57))</f>
        <v/>
      </c>
      <c r="D57" s="41" t="str">
        <f aca="false">IF($A57="","",IFERROR(1/(1/IF($B57="Residential",(SUMIFS(INDEX('Oxford Economics'!$A$7:$AZ$1000,0,IFERROR(MATCH(D$5,'Oxford Economics'!$A$6:$AZ$6,0),MATCH(D$5&amp;"",'Oxford Economics'!$A$6:$AZ$6,0))),'Oxford Economics'!$A$7:$A$1000,$C57,'Oxford Economics'!$B$7:$B$1000,Settings!$B$29)-SUMIFS(INDEX('Oxford Economics'!$A$7:$AZ$1000,0,IFERROR(MATCH(D$5,'Oxford Economics'!$A$6:$AZ$6,0),MATCH(D$5&amp;"",'Oxford Economics'!$A$6:$AZ$6,0))),'Oxford Economics'!$A$7:$A$1000,$C57,'Oxford Economics'!$B$7:$B$1000,Settings!$B$30)),(SUMIFS(INDEX('Oxford Economics'!$A$7:$AZ$1000,0,IFERROR(MATCH(D$5,'Oxford Economics'!$A$6:$AZ$6,0),MATCH(D$5&amp;"",'Oxford Economics'!$A$6:$AZ$6,0))),'Oxford Economics'!$A$7:$A$1000,$C57,'Oxford Economics'!$B$7:$B$1000,Settings!$B$30)+SUMIFS(INDEX('Oxford Economics'!$A$7:$AZ$1000,0,IFERROR(MATCH(D$5,'Oxford Economics'!$A$6:$AZ$6,0),MATCH(D$5&amp;"",'Oxford Economics'!$A$6:$AZ$6,0))),'Oxford Economics'!$A$7:$A$1000,$C57,'Oxford Economics'!$B$7:$B$1000,Settings!$B$31)))),""))</f>
        <v/>
      </c>
      <c r="E57" s="41" t="str">
        <f aca="false">IF($A57="","",IFERROR(1/(1/IF($B57="Residential",(SUMIFS(INDEX('Oxford Economics'!$A$7:$AZ$1000,0,IFERROR(MATCH(E$5,'Oxford Economics'!$A$6:$AZ$6,0),MATCH(E$5&amp;"",'Oxford Economics'!$A$6:$AZ$6,0))),'Oxford Economics'!$A$7:$A$1000,$C57,'Oxford Economics'!$B$7:$B$1000,Settings!$B$29)-SUMIFS(INDEX('Oxford Economics'!$A$7:$AZ$1000,0,IFERROR(MATCH(E$5,'Oxford Economics'!$A$6:$AZ$6,0),MATCH(E$5&amp;"",'Oxford Economics'!$A$6:$AZ$6,0))),'Oxford Economics'!$A$7:$A$1000,$C57,'Oxford Economics'!$B$7:$B$1000,Settings!$B$30)),(SUMIFS(INDEX('Oxford Economics'!$A$7:$AZ$1000,0,IFERROR(MATCH(E$5,'Oxford Economics'!$A$6:$AZ$6,0),MATCH(E$5&amp;"",'Oxford Economics'!$A$6:$AZ$6,0))),'Oxford Economics'!$A$7:$A$1000,$C57,'Oxford Economics'!$B$7:$B$1000,Settings!$B$30)+SUMIFS(INDEX('Oxford Economics'!$A$7:$AZ$1000,0,IFERROR(MATCH(E$5,'Oxford Economics'!$A$6:$AZ$6,0),MATCH(E$5&amp;"",'Oxford Economics'!$A$6:$AZ$6,0))),'Oxford Economics'!$A$7:$A$1000,$C57,'Oxford Economics'!$B$7:$B$1000,Settings!$B$31)))),""))</f>
        <v/>
      </c>
      <c r="F57" s="41" t="str">
        <f aca="false">IF($A57="","",IFERROR(1/(1/IF($B57="Residential",(SUMIFS(INDEX('Oxford Economics'!$A$7:$AZ$1000,0,IFERROR(MATCH(F$5,'Oxford Economics'!$A$6:$AZ$6,0),MATCH(F$5&amp;"",'Oxford Economics'!$A$6:$AZ$6,0))),'Oxford Economics'!$A$7:$A$1000,$C57,'Oxford Economics'!$B$7:$B$1000,Settings!$B$29)-SUMIFS(INDEX('Oxford Economics'!$A$7:$AZ$1000,0,IFERROR(MATCH(F$5,'Oxford Economics'!$A$6:$AZ$6,0),MATCH(F$5&amp;"",'Oxford Economics'!$A$6:$AZ$6,0))),'Oxford Economics'!$A$7:$A$1000,$C57,'Oxford Economics'!$B$7:$B$1000,Settings!$B$30)),(SUMIFS(INDEX('Oxford Economics'!$A$7:$AZ$1000,0,IFERROR(MATCH(F$5,'Oxford Economics'!$A$6:$AZ$6,0),MATCH(F$5&amp;"",'Oxford Economics'!$A$6:$AZ$6,0))),'Oxford Economics'!$A$7:$A$1000,$C57,'Oxford Economics'!$B$7:$B$1000,Settings!$B$30)+SUMIFS(INDEX('Oxford Economics'!$A$7:$AZ$1000,0,IFERROR(MATCH(F$5,'Oxford Economics'!$A$6:$AZ$6,0),MATCH(F$5&amp;"",'Oxford Economics'!$A$6:$AZ$6,0))),'Oxford Economics'!$A$7:$A$1000,$C57,'Oxford Economics'!$B$7:$B$1000,Settings!$B$31)))),""))</f>
        <v/>
      </c>
      <c r="G57" s="41" t="str">
        <f aca="false">IF($A57="","",IFERROR(1/(1/IF($B57="Residential",(SUMIFS(INDEX('Oxford Economics'!$A$7:$AZ$1000,0,IFERROR(MATCH(G$5,'Oxford Economics'!$A$6:$AZ$6,0),MATCH(G$5&amp;"",'Oxford Economics'!$A$6:$AZ$6,0))),'Oxford Economics'!$A$7:$A$1000,$C57,'Oxford Economics'!$B$7:$B$1000,Settings!$B$29)-SUMIFS(INDEX('Oxford Economics'!$A$7:$AZ$1000,0,IFERROR(MATCH(G$5,'Oxford Economics'!$A$6:$AZ$6,0),MATCH(G$5&amp;"",'Oxford Economics'!$A$6:$AZ$6,0))),'Oxford Economics'!$A$7:$A$1000,$C57,'Oxford Economics'!$B$7:$B$1000,Settings!$B$30)),(SUMIFS(INDEX('Oxford Economics'!$A$7:$AZ$1000,0,IFERROR(MATCH(G$5,'Oxford Economics'!$A$6:$AZ$6,0),MATCH(G$5&amp;"",'Oxford Economics'!$A$6:$AZ$6,0))),'Oxford Economics'!$A$7:$A$1000,$C57,'Oxford Economics'!$B$7:$B$1000,Settings!$B$30)+SUMIFS(INDEX('Oxford Economics'!$A$7:$AZ$1000,0,IFERROR(MATCH(G$5,'Oxford Economics'!$A$6:$AZ$6,0),MATCH(G$5&amp;"",'Oxford Economics'!$A$6:$AZ$6,0))),'Oxford Economics'!$A$7:$A$1000,$C57,'Oxford Economics'!$B$7:$B$1000,Settings!$B$31)))),""))</f>
        <v/>
      </c>
      <c r="H57" s="41" t="str">
        <f aca="false">IF($A57="","",IFERROR(1/(1/IF($B57="Residential",(SUMIFS(INDEX('Oxford Economics'!$A$7:$AZ$1000,0,IFERROR(MATCH(H$5,'Oxford Economics'!$A$6:$AZ$6,0),MATCH(H$5&amp;"",'Oxford Economics'!$A$6:$AZ$6,0))),'Oxford Economics'!$A$7:$A$1000,$C57,'Oxford Economics'!$B$7:$B$1000,Settings!$B$29)-SUMIFS(INDEX('Oxford Economics'!$A$7:$AZ$1000,0,IFERROR(MATCH(H$5,'Oxford Economics'!$A$6:$AZ$6,0),MATCH(H$5&amp;"",'Oxford Economics'!$A$6:$AZ$6,0))),'Oxford Economics'!$A$7:$A$1000,$C57,'Oxford Economics'!$B$7:$B$1000,Settings!$B$30)),(SUMIFS(INDEX('Oxford Economics'!$A$7:$AZ$1000,0,IFERROR(MATCH(H$5,'Oxford Economics'!$A$6:$AZ$6,0),MATCH(H$5&amp;"",'Oxford Economics'!$A$6:$AZ$6,0))),'Oxford Economics'!$A$7:$A$1000,$C57,'Oxford Economics'!$B$7:$B$1000,Settings!$B$30)+SUMIFS(INDEX('Oxford Economics'!$A$7:$AZ$1000,0,IFERROR(MATCH(H$5,'Oxford Economics'!$A$6:$AZ$6,0),MATCH(H$5&amp;"",'Oxford Economics'!$A$6:$AZ$6,0))),'Oxford Economics'!$A$7:$A$1000,$C57,'Oxford Economics'!$B$7:$B$1000,Settings!$B$31)))),""))</f>
        <v/>
      </c>
      <c r="I57" s="41" t="str">
        <f aca="false">IF($A57="","",IFERROR(1/(1/IF($B57="Residential",(SUMIFS(INDEX('Oxford Economics'!$A$7:$AZ$1000,0,IFERROR(MATCH(I$5,'Oxford Economics'!$A$6:$AZ$6,0),MATCH(I$5&amp;"",'Oxford Economics'!$A$6:$AZ$6,0))),'Oxford Economics'!$A$7:$A$1000,$C57,'Oxford Economics'!$B$7:$B$1000,Settings!$B$29)-SUMIFS(INDEX('Oxford Economics'!$A$7:$AZ$1000,0,IFERROR(MATCH(I$5,'Oxford Economics'!$A$6:$AZ$6,0),MATCH(I$5&amp;"",'Oxford Economics'!$A$6:$AZ$6,0))),'Oxford Economics'!$A$7:$A$1000,$C57,'Oxford Economics'!$B$7:$B$1000,Settings!$B$30)),(SUMIFS(INDEX('Oxford Economics'!$A$7:$AZ$1000,0,IFERROR(MATCH(I$5,'Oxford Economics'!$A$6:$AZ$6,0),MATCH(I$5&amp;"",'Oxford Economics'!$A$6:$AZ$6,0))),'Oxford Economics'!$A$7:$A$1000,$C57,'Oxford Economics'!$B$7:$B$1000,Settings!$B$30)+SUMIFS(INDEX('Oxford Economics'!$A$7:$AZ$1000,0,IFERROR(MATCH(I$5,'Oxford Economics'!$A$6:$AZ$6,0),MATCH(I$5&amp;"",'Oxford Economics'!$A$6:$AZ$6,0))),'Oxford Economics'!$A$7:$A$1000,$C57,'Oxford Economics'!$B$7:$B$1000,Settings!$B$31)))),""))</f>
        <v/>
      </c>
      <c r="J57" s="41" t="str">
        <f aca="false">IF($A57="","",IFERROR(1/(1/IF($B57="Residential",(SUMIFS(INDEX('Oxford Economics'!$A$7:$AZ$1000,0,IFERROR(MATCH(J$5,'Oxford Economics'!$A$6:$AZ$6,0),MATCH(J$5&amp;"",'Oxford Economics'!$A$6:$AZ$6,0))),'Oxford Economics'!$A$7:$A$1000,$C57,'Oxford Economics'!$B$7:$B$1000,Settings!$B$29)-SUMIFS(INDEX('Oxford Economics'!$A$7:$AZ$1000,0,IFERROR(MATCH(J$5,'Oxford Economics'!$A$6:$AZ$6,0),MATCH(J$5&amp;"",'Oxford Economics'!$A$6:$AZ$6,0))),'Oxford Economics'!$A$7:$A$1000,$C57,'Oxford Economics'!$B$7:$B$1000,Settings!$B$30)),(SUMIFS(INDEX('Oxford Economics'!$A$7:$AZ$1000,0,IFERROR(MATCH(J$5,'Oxford Economics'!$A$6:$AZ$6,0),MATCH(J$5&amp;"",'Oxford Economics'!$A$6:$AZ$6,0))),'Oxford Economics'!$A$7:$A$1000,$C57,'Oxford Economics'!$B$7:$B$1000,Settings!$B$30)+SUMIFS(INDEX('Oxford Economics'!$A$7:$AZ$1000,0,IFERROR(MATCH(J$5,'Oxford Economics'!$A$6:$AZ$6,0),MATCH(J$5&amp;"",'Oxford Economics'!$A$6:$AZ$6,0))),'Oxford Economics'!$A$7:$A$1000,$C57,'Oxford Economics'!$B$7:$B$1000,Settings!$B$31)))),""))</f>
        <v/>
      </c>
      <c r="K57" s="41" t="str">
        <f aca="false">IF($A57="","",IFERROR(1/(1/IF($B57="Residential",(SUMIFS(INDEX('Oxford Economics'!$A$7:$AZ$1000,0,IFERROR(MATCH(K$5,'Oxford Economics'!$A$6:$AZ$6,0),MATCH(K$5&amp;"",'Oxford Economics'!$A$6:$AZ$6,0))),'Oxford Economics'!$A$7:$A$1000,$C57,'Oxford Economics'!$B$7:$B$1000,Settings!$B$29)-SUMIFS(INDEX('Oxford Economics'!$A$7:$AZ$1000,0,IFERROR(MATCH(K$5,'Oxford Economics'!$A$6:$AZ$6,0),MATCH(K$5&amp;"",'Oxford Economics'!$A$6:$AZ$6,0))),'Oxford Economics'!$A$7:$A$1000,$C57,'Oxford Economics'!$B$7:$B$1000,Settings!$B$30)),(SUMIFS(INDEX('Oxford Economics'!$A$7:$AZ$1000,0,IFERROR(MATCH(K$5,'Oxford Economics'!$A$6:$AZ$6,0),MATCH(K$5&amp;"",'Oxford Economics'!$A$6:$AZ$6,0))),'Oxford Economics'!$A$7:$A$1000,$C57,'Oxford Economics'!$B$7:$B$1000,Settings!$B$30)+SUMIFS(INDEX('Oxford Economics'!$A$7:$AZ$1000,0,IFERROR(MATCH(K$5,'Oxford Economics'!$A$6:$AZ$6,0),MATCH(K$5&amp;"",'Oxford Economics'!$A$6:$AZ$6,0))),'Oxford Economics'!$A$7:$A$1000,$C57,'Oxford Economics'!$B$7:$B$1000,Settings!$B$31)))),""))</f>
        <v/>
      </c>
      <c r="L57" s="41" t="str">
        <f aca="false">IF($A57="","",IFERROR(1/(1/IF($B57="Residential",(SUMIFS(INDEX('Oxford Economics'!$A$7:$AZ$1000,0,IFERROR(MATCH(L$5,'Oxford Economics'!$A$6:$AZ$6,0),MATCH(L$5&amp;"",'Oxford Economics'!$A$6:$AZ$6,0))),'Oxford Economics'!$A$7:$A$1000,$C57,'Oxford Economics'!$B$7:$B$1000,Settings!$B$29)-SUMIFS(INDEX('Oxford Economics'!$A$7:$AZ$1000,0,IFERROR(MATCH(L$5,'Oxford Economics'!$A$6:$AZ$6,0),MATCH(L$5&amp;"",'Oxford Economics'!$A$6:$AZ$6,0))),'Oxford Economics'!$A$7:$A$1000,$C57,'Oxford Economics'!$B$7:$B$1000,Settings!$B$30)),(SUMIFS(INDEX('Oxford Economics'!$A$7:$AZ$1000,0,IFERROR(MATCH(L$5,'Oxford Economics'!$A$6:$AZ$6,0),MATCH(L$5&amp;"",'Oxford Economics'!$A$6:$AZ$6,0))),'Oxford Economics'!$A$7:$A$1000,$C57,'Oxford Economics'!$B$7:$B$1000,Settings!$B$30)+SUMIFS(INDEX('Oxford Economics'!$A$7:$AZ$1000,0,IFERROR(MATCH(L$5,'Oxford Economics'!$A$6:$AZ$6,0),MATCH(L$5&amp;"",'Oxford Economics'!$A$6:$AZ$6,0))),'Oxford Economics'!$A$7:$A$1000,$C57,'Oxford Economics'!$B$7:$B$1000,Settings!$B$31)))),""))</f>
        <v/>
      </c>
      <c r="M57" s="41" t="str">
        <f aca="false">IF($A57="","",IFERROR(1/(1/IF($B57="Residential",(SUMIFS(INDEX('Oxford Economics'!$A$7:$AZ$1000,0,IFERROR(MATCH(M$5,'Oxford Economics'!$A$6:$AZ$6,0),MATCH(M$5&amp;"",'Oxford Economics'!$A$6:$AZ$6,0))),'Oxford Economics'!$A$7:$A$1000,$C57,'Oxford Economics'!$B$7:$B$1000,Settings!$B$29)-SUMIFS(INDEX('Oxford Economics'!$A$7:$AZ$1000,0,IFERROR(MATCH(M$5,'Oxford Economics'!$A$6:$AZ$6,0),MATCH(M$5&amp;"",'Oxford Economics'!$A$6:$AZ$6,0))),'Oxford Economics'!$A$7:$A$1000,$C57,'Oxford Economics'!$B$7:$B$1000,Settings!$B$30)),(SUMIFS(INDEX('Oxford Economics'!$A$7:$AZ$1000,0,IFERROR(MATCH(M$5,'Oxford Economics'!$A$6:$AZ$6,0),MATCH(M$5&amp;"",'Oxford Economics'!$A$6:$AZ$6,0))),'Oxford Economics'!$A$7:$A$1000,$C57,'Oxford Economics'!$B$7:$B$1000,Settings!$B$30)+SUMIFS(INDEX('Oxford Economics'!$A$7:$AZ$1000,0,IFERROR(MATCH(M$5,'Oxford Economics'!$A$6:$AZ$6,0),MATCH(M$5&amp;"",'Oxford Economics'!$A$6:$AZ$6,0))),'Oxford Economics'!$A$7:$A$1000,$C57,'Oxford Economics'!$B$7:$B$1000,Settings!$B$31)))),""))</f>
        <v/>
      </c>
      <c r="N57" s="41" t="str">
        <f aca="false">IF($A57="","",IFERROR(1/(1/IF($B57="Residential",(SUMIFS(INDEX('Oxford Economics'!$A$7:$AZ$1000,0,IFERROR(MATCH(N$5,'Oxford Economics'!$A$6:$AZ$6,0),MATCH(N$5&amp;"",'Oxford Economics'!$A$6:$AZ$6,0))),'Oxford Economics'!$A$7:$A$1000,$C57,'Oxford Economics'!$B$7:$B$1000,Settings!$B$29)-SUMIFS(INDEX('Oxford Economics'!$A$7:$AZ$1000,0,IFERROR(MATCH(N$5,'Oxford Economics'!$A$6:$AZ$6,0),MATCH(N$5&amp;"",'Oxford Economics'!$A$6:$AZ$6,0))),'Oxford Economics'!$A$7:$A$1000,$C57,'Oxford Economics'!$B$7:$B$1000,Settings!$B$30)),(SUMIFS(INDEX('Oxford Economics'!$A$7:$AZ$1000,0,IFERROR(MATCH(N$5,'Oxford Economics'!$A$6:$AZ$6,0),MATCH(N$5&amp;"",'Oxford Economics'!$A$6:$AZ$6,0))),'Oxford Economics'!$A$7:$A$1000,$C57,'Oxford Economics'!$B$7:$B$1000,Settings!$B$30)+SUMIFS(INDEX('Oxford Economics'!$A$7:$AZ$1000,0,IFERROR(MATCH(N$5,'Oxford Economics'!$A$6:$AZ$6,0),MATCH(N$5&amp;"",'Oxford Economics'!$A$6:$AZ$6,0))),'Oxford Economics'!$A$7:$A$1000,$C57,'Oxford Economics'!$B$7:$B$1000,Settings!$B$31)))),""))</f>
        <v/>
      </c>
      <c r="O57" s="41" t="str">
        <f aca="false">IF($A57="","",IFERROR(1/(1/IF($B57="Residential",(SUMIFS(INDEX('Oxford Economics'!$A$7:$AZ$1000,0,IFERROR(MATCH(O$5,'Oxford Economics'!$A$6:$AZ$6,0),MATCH(O$5&amp;"",'Oxford Economics'!$A$6:$AZ$6,0))),'Oxford Economics'!$A$7:$A$1000,$C57,'Oxford Economics'!$B$7:$B$1000,Settings!$B$29)-SUMIFS(INDEX('Oxford Economics'!$A$7:$AZ$1000,0,IFERROR(MATCH(O$5,'Oxford Economics'!$A$6:$AZ$6,0),MATCH(O$5&amp;"",'Oxford Economics'!$A$6:$AZ$6,0))),'Oxford Economics'!$A$7:$A$1000,$C57,'Oxford Economics'!$B$7:$B$1000,Settings!$B$30)),(SUMIFS(INDEX('Oxford Economics'!$A$7:$AZ$1000,0,IFERROR(MATCH(O$5,'Oxford Economics'!$A$6:$AZ$6,0),MATCH(O$5&amp;"",'Oxford Economics'!$A$6:$AZ$6,0))),'Oxford Economics'!$A$7:$A$1000,$C57,'Oxford Economics'!$B$7:$B$1000,Settings!$B$30)+SUMIFS(INDEX('Oxford Economics'!$A$7:$AZ$1000,0,IFERROR(MATCH(O$5,'Oxford Economics'!$A$6:$AZ$6,0),MATCH(O$5&amp;"",'Oxford Economics'!$A$6:$AZ$6,0))),'Oxford Economics'!$A$7:$A$1000,$C57,'Oxford Economics'!$B$7:$B$1000,Settings!$B$31)))),""))</f>
        <v/>
      </c>
    </row>
    <row r="58" customFormat="false" ht="15" hidden="false" customHeight="false" outlineLevel="0" collapsed="false">
      <c r="A58" s="40" t="str">
        <f aca="false">IF('Raw data'!$A58="","",'Raw data'!$A58)</f>
        <v/>
      </c>
      <c r="B58" s="40" t="str">
        <f aca="false">IF($A58="","",'Raw data'!$C58)</f>
        <v/>
      </c>
      <c r="C58" s="40" t="str">
        <f aca="false">IF($A58="","",IF('Raw data'!$D58="",$A58,'Raw data'!$D58))</f>
        <v/>
      </c>
      <c r="D58" s="41" t="str">
        <f aca="false">IF($A58="","",IFERROR(1/(1/IF($B58="Residential",(SUMIFS(INDEX('Oxford Economics'!$A$7:$AZ$1000,0,IFERROR(MATCH(D$5,'Oxford Economics'!$A$6:$AZ$6,0),MATCH(D$5&amp;"",'Oxford Economics'!$A$6:$AZ$6,0))),'Oxford Economics'!$A$7:$A$1000,$C58,'Oxford Economics'!$B$7:$B$1000,Settings!$B$29)-SUMIFS(INDEX('Oxford Economics'!$A$7:$AZ$1000,0,IFERROR(MATCH(D$5,'Oxford Economics'!$A$6:$AZ$6,0),MATCH(D$5&amp;"",'Oxford Economics'!$A$6:$AZ$6,0))),'Oxford Economics'!$A$7:$A$1000,$C58,'Oxford Economics'!$B$7:$B$1000,Settings!$B$30)),(SUMIFS(INDEX('Oxford Economics'!$A$7:$AZ$1000,0,IFERROR(MATCH(D$5,'Oxford Economics'!$A$6:$AZ$6,0),MATCH(D$5&amp;"",'Oxford Economics'!$A$6:$AZ$6,0))),'Oxford Economics'!$A$7:$A$1000,$C58,'Oxford Economics'!$B$7:$B$1000,Settings!$B$30)+SUMIFS(INDEX('Oxford Economics'!$A$7:$AZ$1000,0,IFERROR(MATCH(D$5,'Oxford Economics'!$A$6:$AZ$6,0),MATCH(D$5&amp;"",'Oxford Economics'!$A$6:$AZ$6,0))),'Oxford Economics'!$A$7:$A$1000,$C58,'Oxford Economics'!$B$7:$B$1000,Settings!$B$31)))),""))</f>
        <v/>
      </c>
      <c r="E58" s="41" t="str">
        <f aca="false">IF($A58="","",IFERROR(1/(1/IF($B58="Residential",(SUMIFS(INDEX('Oxford Economics'!$A$7:$AZ$1000,0,IFERROR(MATCH(E$5,'Oxford Economics'!$A$6:$AZ$6,0),MATCH(E$5&amp;"",'Oxford Economics'!$A$6:$AZ$6,0))),'Oxford Economics'!$A$7:$A$1000,$C58,'Oxford Economics'!$B$7:$B$1000,Settings!$B$29)-SUMIFS(INDEX('Oxford Economics'!$A$7:$AZ$1000,0,IFERROR(MATCH(E$5,'Oxford Economics'!$A$6:$AZ$6,0),MATCH(E$5&amp;"",'Oxford Economics'!$A$6:$AZ$6,0))),'Oxford Economics'!$A$7:$A$1000,$C58,'Oxford Economics'!$B$7:$B$1000,Settings!$B$30)),(SUMIFS(INDEX('Oxford Economics'!$A$7:$AZ$1000,0,IFERROR(MATCH(E$5,'Oxford Economics'!$A$6:$AZ$6,0),MATCH(E$5&amp;"",'Oxford Economics'!$A$6:$AZ$6,0))),'Oxford Economics'!$A$7:$A$1000,$C58,'Oxford Economics'!$B$7:$B$1000,Settings!$B$30)+SUMIFS(INDEX('Oxford Economics'!$A$7:$AZ$1000,0,IFERROR(MATCH(E$5,'Oxford Economics'!$A$6:$AZ$6,0),MATCH(E$5&amp;"",'Oxford Economics'!$A$6:$AZ$6,0))),'Oxford Economics'!$A$7:$A$1000,$C58,'Oxford Economics'!$B$7:$B$1000,Settings!$B$31)))),""))</f>
        <v/>
      </c>
      <c r="F58" s="41" t="str">
        <f aca="false">IF($A58="","",IFERROR(1/(1/IF($B58="Residential",(SUMIFS(INDEX('Oxford Economics'!$A$7:$AZ$1000,0,IFERROR(MATCH(F$5,'Oxford Economics'!$A$6:$AZ$6,0),MATCH(F$5&amp;"",'Oxford Economics'!$A$6:$AZ$6,0))),'Oxford Economics'!$A$7:$A$1000,$C58,'Oxford Economics'!$B$7:$B$1000,Settings!$B$29)-SUMIFS(INDEX('Oxford Economics'!$A$7:$AZ$1000,0,IFERROR(MATCH(F$5,'Oxford Economics'!$A$6:$AZ$6,0),MATCH(F$5&amp;"",'Oxford Economics'!$A$6:$AZ$6,0))),'Oxford Economics'!$A$7:$A$1000,$C58,'Oxford Economics'!$B$7:$B$1000,Settings!$B$30)),(SUMIFS(INDEX('Oxford Economics'!$A$7:$AZ$1000,0,IFERROR(MATCH(F$5,'Oxford Economics'!$A$6:$AZ$6,0),MATCH(F$5&amp;"",'Oxford Economics'!$A$6:$AZ$6,0))),'Oxford Economics'!$A$7:$A$1000,$C58,'Oxford Economics'!$B$7:$B$1000,Settings!$B$30)+SUMIFS(INDEX('Oxford Economics'!$A$7:$AZ$1000,0,IFERROR(MATCH(F$5,'Oxford Economics'!$A$6:$AZ$6,0),MATCH(F$5&amp;"",'Oxford Economics'!$A$6:$AZ$6,0))),'Oxford Economics'!$A$7:$A$1000,$C58,'Oxford Economics'!$B$7:$B$1000,Settings!$B$31)))),""))</f>
        <v/>
      </c>
      <c r="G58" s="41" t="str">
        <f aca="false">IF($A58="","",IFERROR(1/(1/IF($B58="Residential",(SUMIFS(INDEX('Oxford Economics'!$A$7:$AZ$1000,0,IFERROR(MATCH(G$5,'Oxford Economics'!$A$6:$AZ$6,0),MATCH(G$5&amp;"",'Oxford Economics'!$A$6:$AZ$6,0))),'Oxford Economics'!$A$7:$A$1000,$C58,'Oxford Economics'!$B$7:$B$1000,Settings!$B$29)-SUMIFS(INDEX('Oxford Economics'!$A$7:$AZ$1000,0,IFERROR(MATCH(G$5,'Oxford Economics'!$A$6:$AZ$6,0),MATCH(G$5&amp;"",'Oxford Economics'!$A$6:$AZ$6,0))),'Oxford Economics'!$A$7:$A$1000,$C58,'Oxford Economics'!$B$7:$B$1000,Settings!$B$30)),(SUMIFS(INDEX('Oxford Economics'!$A$7:$AZ$1000,0,IFERROR(MATCH(G$5,'Oxford Economics'!$A$6:$AZ$6,0),MATCH(G$5&amp;"",'Oxford Economics'!$A$6:$AZ$6,0))),'Oxford Economics'!$A$7:$A$1000,$C58,'Oxford Economics'!$B$7:$B$1000,Settings!$B$30)+SUMIFS(INDEX('Oxford Economics'!$A$7:$AZ$1000,0,IFERROR(MATCH(G$5,'Oxford Economics'!$A$6:$AZ$6,0),MATCH(G$5&amp;"",'Oxford Economics'!$A$6:$AZ$6,0))),'Oxford Economics'!$A$7:$A$1000,$C58,'Oxford Economics'!$B$7:$B$1000,Settings!$B$31)))),""))</f>
        <v/>
      </c>
      <c r="H58" s="41" t="str">
        <f aca="false">IF($A58="","",IFERROR(1/(1/IF($B58="Residential",(SUMIFS(INDEX('Oxford Economics'!$A$7:$AZ$1000,0,IFERROR(MATCH(H$5,'Oxford Economics'!$A$6:$AZ$6,0),MATCH(H$5&amp;"",'Oxford Economics'!$A$6:$AZ$6,0))),'Oxford Economics'!$A$7:$A$1000,$C58,'Oxford Economics'!$B$7:$B$1000,Settings!$B$29)-SUMIFS(INDEX('Oxford Economics'!$A$7:$AZ$1000,0,IFERROR(MATCH(H$5,'Oxford Economics'!$A$6:$AZ$6,0),MATCH(H$5&amp;"",'Oxford Economics'!$A$6:$AZ$6,0))),'Oxford Economics'!$A$7:$A$1000,$C58,'Oxford Economics'!$B$7:$B$1000,Settings!$B$30)),(SUMIFS(INDEX('Oxford Economics'!$A$7:$AZ$1000,0,IFERROR(MATCH(H$5,'Oxford Economics'!$A$6:$AZ$6,0),MATCH(H$5&amp;"",'Oxford Economics'!$A$6:$AZ$6,0))),'Oxford Economics'!$A$7:$A$1000,$C58,'Oxford Economics'!$B$7:$B$1000,Settings!$B$30)+SUMIFS(INDEX('Oxford Economics'!$A$7:$AZ$1000,0,IFERROR(MATCH(H$5,'Oxford Economics'!$A$6:$AZ$6,0),MATCH(H$5&amp;"",'Oxford Economics'!$A$6:$AZ$6,0))),'Oxford Economics'!$A$7:$A$1000,$C58,'Oxford Economics'!$B$7:$B$1000,Settings!$B$31)))),""))</f>
        <v/>
      </c>
      <c r="I58" s="41" t="str">
        <f aca="false">IF($A58="","",IFERROR(1/(1/IF($B58="Residential",(SUMIFS(INDEX('Oxford Economics'!$A$7:$AZ$1000,0,IFERROR(MATCH(I$5,'Oxford Economics'!$A$6:$AZ$6,0),MATCH(I$5&amp;"",'Oxford Economics'!$A$6:$AZ$6,0))),'Oxford Economics'!$A$7:$A$1000,$C58,'Oxford Economics'!$B$7:$B$1000,Settings!$B$29)-SUMIFS(INDEX('Oxford Economics'!$A$7:$AZ$1000,0,IFERROR(MATCH(I$5,'Oxford Economics'!$A$6:$AZ$6,0),MATCH(I$5&amp;"",'Oxford Economics'!$A$6:$AZ$6,0))),'Oxford Economics'!$A$7:$A$1000,$C58,'Oxford Economics'!$B$7:$B$1000,Settings!$B$30)),(SUMIFS(INDEX('Oxford Economics'!$A$7:$AZ$1000,0,IFERROR(MATCH(I$5,'Oxford Economics'!$A$6:$AZ$6,0),MATCH(I$5&amp;"",'Oxford Economics'!$A$6:$AZ$6,0))),'Oxford Economics'!$A$7:$A$1000,$C58,'Oxford Economics'!$B$7:$B$1000,Settings!$B$30)+SUMIFS(INDEX('Oxford Economics'!$A$7:$AZ$1000,0,IFERROR(MATCH(I$5,'Oxford Economics'!$A$6:$AZ$6,0),MATCH(I$5&amp;"",'Oxford Economics'!$A$6:$AZ$6,0))),'Oxford Economics'!$A$7:$A$1000,$C58,'Oxford Economics'!$B$7:$B$1000,Settings!$B$31)))),""))</f>
        <v/>
      </c>
      <c r="J58" s="41" t="str">
        <f aca="false">IF($A58="","",IFERROR(1/(1/IF($B58="Residential",(SUMIFS(INDEX('Oxford Economics'!$A$7:$AZ$1000,0,IFERROR(MATCH(J$5,'Oxford Economics'!$A$6:$AZ$6,0),MATCH(J$5&amp;"",'Oxford Economics'!$A$6:$AZ$6,0))),'Oxford Economics'!$A$7:$A$1000,$C58,'Oxford Economics'!$B$7:$B$1000,Settings!$B$29)-SUMIFS(INDEX('Oxford Economics'!$A$7:$AZ$1000,0,IFERROR(MATCH(J$5,'Oxford Economics'!$A$6:$AZ$6,0),MATCH(J$5&amp;"",'Oxford Economics'!$A$6:$AZ$6,0))),'Oxford Economics'!$A$7:$A$1000,$C58,'Oxford Economics'!$B$7:$B$1000,Settings!$B$30)),(SUMIFS(INDEX('Oxford Economics'!$A$7:$AZ$1000,0,IFERROR(MATCH(J$5,'Oxford Economics'!$A$6:$AZ$6,0),MATCH(J$5&amp;"",'Oxford Economics'!$A$6:$AZ$6,0))),'Oxford Economics'!$A$7:$A$1000,$C58,'Oxford Economics'!$B$7:$B$1000,Settings!$B$30)+SUMIFS(INDEX('Oxford Economics'!$A$7:$AZ$1000,0,IFERROR(MATCH(J$5,'Oxford Economics'!$A$6:$AZ$6,0),MATCH(J$5&amp;"",'Oxford Economics'!$A$6:$AZ$6,0))),'Oxford Economics'!$A$7:$A$1000,$C58,'Oxford Economics'!$B$7:$B$1000,Settings!$B$31)))),""))</f>
        <v/>
      </c>
      <c r="K58" s="41" t="str">
        <f aca="false">IF($A58="","",IFERROR(1/(1/IF($B58="Residential",(SUMIFS(INDEX('Oxford Economics'!$A$7:$AZ$1000,0,IFERROR(MATCH(K$5,'Oxford Economics'!$A$6:$AZ$6,0),MATCH(K$5&amp;"",'Oxford Economics'!$A$6:$AZ$6,0))),'Oxford Economics'!$A$7:$A$1000,$C58,'Oxford Economics'!$B$7:$B$1000,Settings!$B$29)-SUMIFS(INDEX('Oxford Economics'!$A$7:$AZ$1000,0,IFERROR(MATCH(K$5,'Oxford Economics'!$A$6:$AZ$6,0),MATCH(K$5&amp;"",'Oxford Economics'!$A$6:$AZ$6,0))),'Oxford Economics'!$A$7:$A$1000,$C58,'Oxford Economics'!$B$7:$B$1000,Settings!$B$30)),(SUMIFS(INDEX('Oxford Economics'!$A$7:$AZ$1000,0,IFERROR(MATCH(K$5,'Oxford Economics'!$A$6:$AZ$6,0),MATCH(K$5&amp;"",'Oxford Economics'!$A$6:$AZ$6,0))),'Oxford Economics'!$A$7:$A$1000,$C58,'Oxford Economics'!$B$7:$B$1000,Settings!$B$30)+SUMIFS(INDEX('Oxford Economics'!$A$7:$AZ$1000,0,IFERROR(MATCH(K$5,'Oxford Economics'!$A$6:$AZ$6,0),MATCH(K$5&amp;"",'Oxford Economics'!$A$6:$AZ$6,0))),'Oxford Economics'!$A$7:$A$1000,$C58,'Oxford Economics'!$B$7:$B$1000,Settings!$B$31)))),""))</f>
        <v/>
      </c>
      <c r="L58" s="41" t="str">
        <f aca="false">IF($A58="","",IFERROR(1/(1/IF($B58="Residential",(SUMIFS(INDEX('Oxford Economics'!$A$7:$AZ$1000,0,IFERROR(MATCH(L$5,'Oxford Economics'!$A$6:$AZ$6,0),MATCH(L$5&amp;"",'Oxford Economics'!$A$6:$AZ$6,0))),'Oxford Economics'!$A$7:$A$1000,$C58,'Oxford Economics'!$B$7:$B$1000,Settings!$B$29)-SUMIFS(INDEX('Oxford Economics'!$A$7:$AZ$1000,0,IFERROR(MATCH(L$5,'Oxford Economics'!$A$6:$AZ$6,0),MATCH(L$5&amp;"",'Oxford Economics'!$A$6:$AZ$6,0))),'Oxford Economics'!$A$7:$A$1000,$C58,'Oxford Economics'!$B$7:$B$1000,Settings!$B$30)),(SUMIFS(INDEX('Oxford Economics'!$A$7:$AZ$1000,0,IFERROR(MATCH(L$5,'Oxford Economics'!$A$6:$AZ$6,0),MATCH(L$5&amp;"",'Oxford Economics'!$A$6:$AZ$6,0))),'Oxford Economics'!$A$7:$A$1000,$C58,'Oxford Economics'!$B$7:$B$1000,Settings!$B$30)+SUMIFS(INDEX('Oxford Economics'!$A$7:$AZ$1000,0,IFERROR(MATCH(L$5,'Oxford Economics'!$A$6:$AZ$6,0),MATCH(L$5&amp;"",'Oxford Economics'!$A$6:$AZ$6,0))),'Oxford Economics'!$A$7:$A$1000,$C58,'Oxford Economics'!$B$7:$B$1000,Settings!$B$31)))),""))</f>
        <v/>
      </c>
      <c r="M58" s="41" t="str">
        <f aca="false">IF($A58="","",IFERROR(1/(1/IF($B58="Residential",(SUMIFS(INDEX('Oxford Economics'!$A$7:$AZ$1000,0,IFERROR(MATCH(M$5,'Oxford Economics'!$A$6:$AZ$6,0),MATCH(M$5&amp;"",'Oxford Economics'!$A$6:$AZ$6,0))),'Oxford Economics'!$A$7:$A$1000,$C58,'Oxford Economics'!$B$7:$B$1000,Settings!$B$29)-SUMIFS(INDEX('Oxford Economics'!$A$7:$AZ$1000,0,IFERROR(MATCH(M$5,'Oxford Economics'!$A$6:$AZ$6,0),MATCH(M$5&amp;"",'Oxford Economics'!$A$6:$AZ$6,0))),'Oxford Economics'!$A$7:$A$1000,$C58,'Oxford Economics'!$B$7:$B$1000,Settings!$B$30)),(SUMIFS(INDEX('Oxford Economics'!$A$7:$AZ$1000,0,IFERROR(MATCH(M$5,'Oxford Economics'!$A$6:$AZ$6,0),MATCH(M$5&amp;"",'Oxford Economics'!$A$6:$AZ$6,0))),'Oxford Economics'!$A$7:$A$1000,$C58,'Oxford Economics'!$B$7:$B$1000,Settings!$B$30)+SUMIFS(INDEX('Oxford Economics'!$A$7:$AZ$1000,0,IFERROR(MATCH(M$5,'Oxford Economics'!$A$6:$AZ$6,0),MATCH(M$5&amp;"",'Oxford Economics'!$A$6:$AZ$6,0))),'Oxford Economics'!$A$7:$A$1000,$C58,'Oxford Economics'!$B$7:$B$1000,Settings!$B$31)))),""))</f>
        <v/>
      </c>
      <c r="N58" s="41" t="str">
        <f aca="false">IF($A58="","",IFERROR(1/(1/IF($B58="Residential",(SUMIFS(INDEX('Oxford Economics'!$A$7:$AZ$1000,0,IFERROR(MATCH(N$5,'Oxford Economics'!$A$6:$AZ$6,0),MATCH(N$5&amp;"",'Oxford Economics'!$A$6:$AZ$6,0))),'Oxford Economics'!$A$7:$A$1000,$C58,'Oxford Economics'!$B$7:$B$1000,Settings!$B$29)-SUMIFS(INDEX('Oxford Economics'!$A$7:$AZ$1000,0,IFERROR(MATCH(N$5,'Oxford Economics'!$A$6:$AZ$6,0),MATCH(N$5&amp;"",'Oxford Economics'!$A$6:$AZ$6,0))),'Oxford Economics'!$A$7:$A$1000,$C58,'Oxford Economics'!$B$7:$B$1000,Settings!$B$30)),(SUMIFS(INDEX('Oxford Economics'!$A$7:$AZ$1000,0,IFERROR(MATCH(N$5,'Oxford Economics'!$A$6:$AZ$6,0),MATCH(N$5&amp;"",'Oxford Economics'!$A$6:$AZ$6,0))),'Oxford Economics'!$A$7:$A$1000,$C58,'Oxford Economics'!$B$7:$B$1000,Settings!$B$30)+SUMIFS(INDEX('Oxford Economics'!$A$7:$AZ$1000,0,IFERROR(MATCH(N$5,'Oxford Economics'!$A$6:$AZ$6,0),MATCH(N$5&amp;"",'Oxford Economics'!$A$6:$AZ$6,0))),'Oxford Economics'!$A$7:$A$1000,$C58,'Oxford Economics'!$B$7:$B$1000,Settings!$B$31)))),""))</f>
        <v/>
      </c>
      <c r="O58" s="41" t="str">
        <f aca="false">IF($A58="","",IFERROR(1/(1/IF($B58="Residential",(SUMIFS(INDEX('Oxford Economics'!$A$7:$AZ$1000,0,IFERROR(MATCH(O$5,'Oxford Economics'!$A$6:$AZ$6,0),MATCH(O$5&amp;"",'Oxford Economics'!$A$6:$AZ$6,0))),'Oxford Economics'!$A$7:$A$1000,$C58,'Oxford Economics'!$B$7:$B$1000,Settings!$B$29)-SUMIFS(INDEX('Oxford Economics'!$A$7:$AZ$1000,0,IFERROR(MATCH(O$5,'Oxford Economics'!$A$6:$AZ$6,0),MATCH(O$5&amp;"",'Oxford Economics'!$A$6:$AZ$6,0))),'Oxford Economics'!$A$7:$A$1000,$C58,'Oxford Economics'!$B$7:$B$1000,Settings!$B$30)),(SUMIFS(INDEX('Oxford Economics'!$A$7:$AZ$1000,0,IFERROR(MATCH(O$5,'Oxford Economics'!$A$6:$AZ$6,0),MATCH(O$5&amp;"",'Oxford Economics'!$A$6:$AZ$6,0))),'Oxford Economics'!$A$7:$A$1000,$C58,'Oxford Economics'!$B$7:$B$1000,Settings!$B$30)+SUMIFS(INDEX('Oxford Economics'!$A$7:$AZ$1000,0,IFERROR(MATCH(O$5,'Oxford Economics'!$A$6:$AZ$6,0),MATCH(O$5&amp;"",'Oxford Economics'!$A$6:$AZ$6,0))),'Oxford Economics'!$A$7:$A$1000,$C58,'Oxford Economics'!$B$7:$B$1000,Settings!$B$31)))),""))</f>
        <v/>
      </c>
    </row>
    <row r="59" customFormat="false" ht="15" hidden="false" customHeight="false" outlineLevel="0" collapsed="false">
      <c r="A59" s="40" t="str">
        <f aca="false">IF('Raw data'!$A59="","",'Raw data'!$A59)</f>
        <v/>
      </c>
      <c r="B59" s="40" t="str">
        <f aca="false">IF($A59="","",'Raw data'!$C59)</f>
        <v/>
      </c>
      <c r="C59" s="40" t="str">
        <f aca="false">IF($A59="","",IF('Raw data'!$D59="",$A59,'Raw data'!$D59))</f>
        <v/>
      </c>
      <c r="D59" s="41" t="str">
        <f aca="false">IF($A59="","",IFERROR(1/(1/IF($B59="Residential",(SUMIFS(INDEX('Oxford Economics'!$A$7:$AZ$1000,0,IFERROR(MATCH(D$5,'Oxford Economics'!$A$6:$AZ$6,0),MATCH(D$5&amp;"",'Oxford Economics'!$A$6:$AZ$6,0))),'Oxford Economics'!$A$7:$A$1000,$C59,'Oxford Economics'!$B$7:$B$1000,Settings!$B$29)-SUMIFS(INDEX('Oxford Economics'!$A$7:$AZ$1000,0,IFERROR(MATCH(D$5,'Oxford Economics'!$A$6:$AZ$6,0),MATCH(D$5&amp;"",'Oxford Economics'!$A$6:$AZ$6,0))),'Oxford Economics'!$A$7:$A$1000,$C59,'Oxford Economics'!$B$7:$B$1000,Settings!$B$30)),(SUMIFS(INDEX('Oxford Economics'!$A$7:$AZ$1000,0,IFERROR(MATCH(D$5,'Oxford Economics'!$A$6:$AZ$6,0),MATCH(D$5&amp;"",'Oxford Economics'!$A$6:$AZ$6,0))),'Oxford Economics'!$A$7:$A$1000,$C59,'Oxford Economics'!$B$7:$B$1000,Settings!$B$30)+SUMIFS(INDEX('Oxford Economics'!$A$7:$AZ$1000,0,IFERROR(MATCH(D$5,'Oxford Economics'!$A$6:$AZ$6,0),MATCH(D$5&amp;"",'Oxford Economics'!$A$6:$AZ$6,0))),'Oxford Economics'!$A$7:$A$1000,$C59,'Oxford Economics'!$B$7:$B$1000,Settings!$B$31)))),""))</f>
        <v/>
      </c>
      <c r="E59" s="41" t="str">
        <f aca="false">IF($A59="","",IFERROR(1/(1/IF($B59="Residential",(SUMIFS(INDEX('Oxford Economics'!$A$7:$AZ$1000,0,IFERROR(MATCH(E$5,'Oxford Economics'!$A$6:$AZ$6,0),MATCH(E$5&amp;"",'Oxford Economics'!$A$6:$AZ$6,0))),'Oxford Economics'!$A$7:$A$1000,$C59,'Oxford Economics'!$B$7:$B$1000,Settings!$B$29)-SUMIFS(INDEX('Oxford Economics'!$A$7:$AZ$1000,0,IFERROR(MATCH(E$5,'Oxford Economics'!$A$6:$AZ$6,0),MATCH(E$5&amp;"",'Oxford Economics'!$A$6:$AZ$6,0))),'Oxford Economics'!$A$7:$A$1000,$C59,'Oxford Economics'!$B$7:$B$1000,Settings!$B$30)),(SUMIFS(INDEX('Oxford Economics'!$A$7:$AZ$1000,0,IFERROR(MATCH(E$5,'Oxford Economics'!$A$6:$AZ$6,0),MATCH(E$5&amp;"",'Oxford Economics'!$A$6:$AZ$6,0))),'Oxford Economics'!$A$7:$A$1000,$C59,'Oxford Economics'!$B$7:$B$1000,Settings!$B$30)+SUMIFS(INDEX('Oxford Economics'!$A$7:$AZ$1000,0,IFERROR(MATCH(E$5,'Oxford Economics'!$A$6:$AZ$6,0),MATCH(E$5&amp;"",'Oxford Economics'!$A$6:$AZ$6,0))),'Oxford Economics'!$A$7:$A$1000,$C59,'Oxford Economics'!$B$7:$B$1000,Settings!$B$31)))),""))</f>
        <v/>
      </c>
      <c r="F59" s="41" t="str">
        <f aca="false">IF($A59="","",IFERROR(1/(1/IF($B59="Residential",(SUMIFS(INDEX('Oxford Economics'!$A$7:$AZ$1000,0,IFERROR(MATCH(F$5,'Oxford Economics'!$A$6:$AZ$6,0),MATCH(F$5&amp;"",'Oxford Economics'!$A$6:$AZ$6,0))),'Oxford Economics'!$A$7:$A$1000,$C59,'Oxford Economics'!$B$7:$B$1000,Settings!$B$29)-SUMIFS(INDEX('Oxford Economics'!$A$7:$AZ$1000,0,IFERROR(MATCH(F$5,'Oxford Economics'!$A$6:$AZ$6,0),MATCH(F$5&amp;"",'Oxford Economics'!$A$6:$AZ$6,0))),'Oxford Economics'!$A$7:$A$1000,$C59,'Oxford Economics'!$B$7:$B$1000,Settings!$B$30)),(SUMIFS(INDEX('Oxford Economics'!$A$7:$AZ$1000,0,IFERROR(MATCH(F$5,'Oxford Economics'!$A$6:$AZ$6,0),MATCH(F$5&amp;"",'Oxford Economics'!$A$6:$AZ$6,0))),'Oxford Economics'!$A$7:$A$1000,$C59,'Oxford Economics'!$B$7:$B$1000,Settings!$B$30)+SUMIFS(INDEX('Oxford Economics'!$A$7:$AZ$1000,0,IFERROR(MATCH(F$5,'Oxford Economics'!$A$6:$AZ$6,0),MATCH(F$5&amp;"",'Oxford Economics'!$A$6:$AZ$6,0))),'Oxford Economics'!$A$7:$A$1000,$C59,'Oxford Economics'!$B$7:$B$1000,Settings!$B$31)))),""))</f>
        <v/>
      </c>
      <c r="G59" s="41" t="str">
        <f aca="false">IF($A59="","",IFERROR(1/(1/IF($B59="Residential",(SUMIFS(INDEX('Oxford Economics'!$A$7:$AZ$1000,0,IFERROR(MATCH(G$5,'Oxford Economics'!$A$6:$AZ$6,0),MATCH(G$5&amp;"",'Oxford Economics'!$A$6:$AZ$6,0))),'Oxford Economics'!$A$7:$A$1000,$C59,'Oxford Economics'!$B$7:$B$1000,Settings!$B$29)-SUMIFS(INDEX('Oxford Economics'!$A$7:$AZ$1000,0,IFERROR(MATCH(G$5,'Oxford Economics'!$A$6:$AZ$6,0),MATCH(G$5&amp;"",'Oxford Economics'!$A$6:$AZ$6,0))),'Oxford Economics'!$A$7:$A$1000,$C59,'Oxford Economics'!$B$7:$B$1000,Settings!$B$30)),(SUMIFS(INDEX('Oxford Economics'!$A$7:$AZ$1000,0,IFERROR(MATCH(G$5,'Oxford Economics'!$A$6:$AZ$6,0),MATCH(G$5&amp;"",'Oxford Economics'!$A$6:$AZ$6,0))),'Oxford Economics'!$A$7:$A$1000,$C59,'Oxford Economics'!$B$7:$B$1000,Settings!$B$30)+SUMIFS(INDEX('Oxford Economics'!$A$7:$AZ$1000,0,IFERROR(MATCH(G$5,'Oxford Economics'!$A$6:$AZ$6,0),MATCH(G$5&amp;"",'Oxford Economics'!$A$6:$AZ$6,0))),'Oxford Economics'!$A$7:$A$1000,$C59,'Oxford Economics'!$B$7:$B$1000,Settings!$B$31)))),""))</f>
        <v/>
      </c>
      <c r="H59" s="41" t="str">
        <f aca="false">IF($A59="","",IFERROR(1/(1/IF($B59="Residential",(SUMIFS(INDEX('Oxford Economics'!$A$7:$AZ$1000,0,IFERROR(MATCH(H$5,'Oxford Economics'!$A$6:$AZ$6,0),MATCH(H$5&amp;"",'Oxford Economics'!$A$6:$AZ$6,0))),'Oxford Economics'!$A$7:$A$1000,$C59,'Oxford Economics'!$B$7:$B$1000,Settings!$B$29)-SUMIFS(INDEX('Oxford Economics'!$A$7:$AZ$1000,0,IFERROR(MATCH(H$5,'Oxford Economics'!$A$6:$AZ$6,0),MATCH(H$5&amp;"",'Oxford Economics'!$A$6:$AZ$6,0))),'Oxford Economics'!$A$7:$A$1000,$C59,'Oxford Economics'!$B$7:$B$1000,Settings!$B$30)),(SUMIFS(INDEX('Oxford Economics'!$A$7:$AZ$1000,0,IFERROR(MATCH(H$5,'Oxford Economics'!$A$6:$AZ$6,0),MATCH(H$5&amp;"",'Oxford Economics'!$A$6:$AZ$6,0))),'Oxford Economics'!$A$7:$A$1000,$C59,'Oxford Economics'!$B$7:$B$1000,Settings!$B$30)+SUMIFS(INDEX('Oxford Economics'!$A$7:$AZ$1000,0,IFERROR(MATCH(H$5,'Oxford Economics'!$A$6:$AZ$6,0),MATCH(H$5&amp;"",'Oxford Economics'!$A$6:$AZ$6,0))),'Oxford Economics'!$A$7:$A$1000,$C59,'Oxford Economics'!$B$7:$B$1000,Settings!$B$31)))),""))</f>
        <v/>
      </c>
      <c r="I59" s="41" t="str">
        <f aca="false">IF($A59="","",IFERROR(1/(1/IF($B59="Residential",(SUMIFS(INDEX('Oxford Economics'!$A$7:$AZ$1000,0,IFERROR(MATCH(I$5,'Oxford Economics'!$A$6:$AZ$6,0),MATCH(I$5&amp;"",'Oxford Economics'!$A$6:$AZ$6,0))),'Oxford Economics'!$A$7:$A$1000,$C59,'Oxford Economics'!$B$7:$B$1000,Settings!$B$29)-SUMIFS(INDEX('Oxford Economics'!$A$7:$AZ$1000,0,IFERROR(MATCH(I$5,'Oxford Economics'!$A$6:$AZ$6,0),MATCH(I$5&amp;"",'Oxford Economics'!$A$6:$AZ$6,0))),'Oxford Economics'!$A$7:$A$1000,$C59,'Oxford Economics'!$B$7:$B$1000,Settings!$B$30)),(SUMIFS(INDEX('Oxford Economics'!$A$7:$AZ$1000,0,IFERROR(MATCH(I$5,'Oxford Economics'!$A$6:$AZ$6,0),MATCH(I$5&amp;"",'Oxford Economics'!$A$6:$AZ$6,0))),'Oxford Economics'!$A$7:$A$1000,$C59,'Oxford Economics'!$B$7:$B$1000,Settings!$B$30)+SUMIFS(INDEX('Oxford Economics'!$A$7:$AZ$1000,0,IFERROR(MATCH(I$5,'Oxford Economics'!$A$6:$AZ$6,0),MATCH(I$5&amp;"",'Oxford Economics'!$A$6:$AZ$6,0))),'Oxford Economics'!$A$7:$A$1000,$C59,'Oxford Economics'!$B$7:$B$1000,Settings!$B$31)))),""))</f>
        <v/>
      </c>
      <c r="J59" s="41" t="str">
        <f aca="false">IF($A59="","",IFERROR(1/(1/IF($B59="Residential",(SUMIFS(INDEX('Oxford Economics'!$A$7:$AZ$1000,0,IFERROR(MATCH(J$5,'Oxford Economics'!$A$6:$AZ$6,0),MATCH(J$5&amp;"",'Oxford Economics'!$A$6:$AZ$6,0))),'Oxford Economics'!$A$7:$A$1000,$C59,'Oxford Economics'!$B$7:$B$1000,Settings!$B$29)-SUMIFS(INDEX('Oxford Economics'!$A$7:$AZ$1000,0,IFERROR(MATCH(J$5,'Oxford Economics'!$A$6:$AZ$6,0),MATCH(J$5&amp;"",'Oxford Economics'!$A$6:$AZ$6,0))),'Oxford Economics'!$A$7:$A$1000,$C59,'Oxford Economics'!$B$7:$B$1000,Settings!$B$30)),(SUMIFS(INDEX('Oxford Economics'!$A$7:$AZ$1000,0,IFERROR(MATCH(J$5,'Oxford Economics'!$A$6:$AZ$6,0),MATCH(J$5&amp;"",'Oxford Economics'!$A$6:$AZ$6,0))),'Oxford Economics'!$A$7:$A$1000,$C59,'Oxford Economics'!$B$7:$B$1000,Settings!$B$30)+SUMIFS(INDEX('Oxford Economics'!$A$7:$AZ$1000,0,IFERROR(MATCH(J$5,'Oxford Economics'!$A$6:$AZ$6,0),MATCH(J$5&amp;"",'Oxford Economics'!$A$6:$AZ$6,0))),'Oxford Economics'!$A$7:$A$1000,$C59,'Oxford Economics'!$B$7:$B$1000,Settings!$B$31)))),""))</f>
        <v/>
      </c>
      <c r="K59" s="41" t="str">
        <f aca="false">IF($A59="","",IFERROR(1/(1/IF($B59="Residential",(SUMIFS(INDEX('Oxford Economics'!$A$7:$AZ$1000,0,IFERROR(MATCH(K$5,'Oxford Economics'!$A$6:$AZ$6,0),MATCH(K$5&amp;"",'Oxford Economics'!$A$6:$AZ$6,0))),'Oxford Economics'!$A$7:$A$1000,$C59,'Oxford Economics'!$B$7:$B$1000,Settings!$B$29)-SUMIFS(INDEX('Oxford Economics'!$A$7:$AZ$1000,0,IFERROR(MATCH(K$5,'Oxford Economics'!$A$6:$AZ$6,0),MATCH(K$5&amp;"",'Oxford Economics'!$A$6:$AZ$6,0))),'Oxford Economics'!$A$7:$A$1000,$C59,'Oxford Economics'!$B$7:$B$1000,Settings!$B$30)),(SUMIFS(INDEX('Oxford Economics'!$A$7:$AZ$1000,0,IFERROR(MATCH(K$5,'Oxford Economics'!$A$6:$AZ$6,0),MATCH(K$5&amp;"",'Oxford Economics'!$A$6:$AZ$6,0))),'Oxford Economics'!$A$7:$A$1000,$C59,'Oxford Economics'!$B$7:$B$1000,Settings!$B$30)+SUMIFS(INDEX('Oxford Economics'!$A$7:$AZ$1000,0,IFERROR(MATCH(K$5,'Oxford Economics'!$A$6:$AZ$6,0),MATCH(K$5&amp;"",'Oxford Economics'!$A$6:$AZ$6,0))),'Oxford Economics'!$A$7:$A$1000,$C59,'Oxford Economics'!$B$7:$B$1000,Settings!$B$31)))),""))</f>
        <v/>
      </c>
      <c r="L59" s="41" t="str">
        <f aca="false">IF($A59="","",IFERROR(1/(1/IF($B59="Residential",(SUMIFS(INDEX('Oxford Economics'!$A$7:$AZ$1000,0,IFERROR(MATCH(L$5,'Oxford Economics'!$A$6:$AZ$6,0),MATCH(L$5&amp;"",'Oxford Economics'!$A$6:$AZ$6,0))),'Oxford Economics'!$A$7:$A$1000,$C59,'Oxford Economics'!$B$7:$B$1000,Settings!$B$29)-SUMIFS(INDEX('Oxford Economics'!$A$7:$AZ$1000,0,IFERROR(MATCH(L$5,'Oxford Economics'!$A$6:$AZ$6,0),MATCH(L$5&amp;"",'Oxford Economics'!$A$6:$AZ$6,0))),'Oxford Economics'!$A$7:$A$1000,$C59,'Oxford Economics'!$B$7:$B$1000,Settings!$B$30)),(SUMIFS(INDEX('Oxford Economics'!$A$7:$AZ$1000,0,IFERROR(MATCH(L$5,'Oxford Economics'!$A$6:$AZ$6,0),MATCH(L$5&amp;"",'Oxford Economics'!$A$6:$AZ$6,0))),'Oxford Economics'!$A$7:$A$1000,$C59,'Oxford Economics'!$B$7:$B$1000,Settings!$B$30)+SUMIFS(INDEX('Oxford Economics'!$A$7:$AZ$1000,0,IFERROR(MATCH(L$5,'Oxford Economics'!$A$6:$AZ$6,0),MATCH(L$5&amp;"",'Oxford Economics'!$A$6:$AZ$6,0))),'Oxford Economics'!$A$7:$A$1000,$C59,'Oxford Economics'!$B$7:$B$1000,Settings!$B$31)))),""))</f>
        <v/>
      </c>
      <c r="M59" s="41" t="str">
        <f aca="false">IF($A59="","",IFERROR(1/(1/IF($B59="Residential",(SUMIFS(INDEX('Oxford Economics'!$A$7:$AZ$1000,0,IFERROR(MATCH(M$5,'Oxford Economics'!$A$6:$AZ$6,0),MATCH(M$5&amp;"",'Oxford Economics'!$A$6:$AZ$6,0))),'Oxford Economics'!$A$7:$A$1000,$C59,'Oxford Economics'!$B$7:$B$1000,Settings!$B$29)-SUMIFS(INDEX('Oxford Economics'!$A$7:$AZ$1000,0,IFERROR(MATCH(M$5,'Oxford Economics'!$A$6:$AZ$6,0),MATCH(M$5&amp;"",'Oxford Economics'!$A$6:$AZ$6,0))),'Oxford Economics'!$A$7:$A$1000,$C59,'Oxford Economics'!$B$7:$B$1000,Settings!$B$30)),(SUMIFS(INDEX('Oxford Economics'!$A$7:$AZ$1000,0,IFERROR(MATCH(M$5,'Oxford Economics'!$A$6:$AZ$6,0),MATCH(M$5&amp;"",'Oxford Economics'!$A$6:$AZ$6,0))),'Oxford Economics'!$A$7:$A$1000,$C59,'Oxford Economics'!$B$7:$B$1000,Settings!$B$30)+SUMIFS(INDEX('Oxford Economics'!$A$7:$AZ$1000,0,IFERROR(MATCH(M$5,'Oxford Economics'!$A$6:$AZ$6,0),MATCH(M$5&amp;"",'Oxford Economics'!$A$6:$AZ$6,0))),'Oxford Economics'!$A$7:$A$1000,$C59,'Oxford Economics'!$B$7:$B$1000,Settings!$B$31)))),""))</f>
        <v/>
      </c>
      <c r="N59" s="41" t="str">
        <f aca="false">IF($A59="","",IFERROR(1/(1/IF($B59="Residential",(SUMIFS(INDEX('Oxford Economics'!$A$7:$AZ$1000,0,IFERROR(MATCH(N$5,'Oxford Economics'!$A$6:$AZ$6,0),MATCH(N$5&amp;"",'Oxford Economics'!$A$6:$AZ$6,0))),'Oxford Economics'!$A$7:$A$1000,$C59,'Oxford Economics'!$B$7:$B$1000,Settings!$B$29)-SUMIFS(INDEX('Oxford Economics'!$A$7:$AZ$1000,0,IFERROR(MATCH(N$5,'Oxford Economics'!$A$6:$AZ$6,0),MATCH(N$5&amp;"",'Oxford Economics'!$A$6:$AZ$6,0))),'Oxford Economics'!$A$7:$A$1000,$C59,'Oxford Economics'!$B$7:$B$1000,Settings!$B$30)),(SUMIFS(INDEX('Oxford Economics'!$A$7:$AZ$1000,0,IFERROR(MATCH(N$5,'Oxford Economics'!$A$6:$AZ$6,0),MATCH(N$5&amp;"",'Oxford Economics'!$A$6:$AZ$6,0))),'Oxford Economics'!$A$7:$A$1000,$C59,'Oxford Economics'!$B$7:$B$1000,Settings!$B$30)+SUMIFS(INDEX('Oxford Economics'!$A$7:$AZ$1000,0,IFERROR(MATCH(N$5,'Oxford Economics'!$A$6:$AZ$6,0),MATCH(N$5&amp;"",'Oxford Economics'!$A$6:$AZ$6,0))),'Oxford Economics'!$A$7:$A$1000,$C59,'Oxford Economics'!$B$7:$B$1000,Settings!$B$31)))),""))</f>
        <v/>
      </c>
      <c r="O59" s="41" t="str">
        <f aca="false">IF($A59="","",IFERROR(1/(1/IF($B59="Residential",(SUMIFS(INDEX('Oxford Economics'!$A$7:$AZ$1000,0,IFERROR(MATCH(O$5,'Oxford Economics'!$A$6:$AZ$6,0),MATCH(O$5&amp;"",'Oxford Economics'!$A$6:$AZ$6,0))),'Oxford Economics'!$A$7:$A$1000,$C59,'Oxford Economics'!$B$7:$B$1000,Settings!$B$29)-SUMIFS(INDEX('Oxford Economics'!$A$7:$AZ$1000,0,IFERROR(MATCH(O$5,'Oxford Economics'!$A$6:$AZ$6,0),MATCH(O$5&amp;"",'Oxford Economics'!$A$6:$AZ$6,0))),'Oxford Economics'!$A$7:$A$1000,$C59,'Oxford Economics'!$B$7:$B$1000,Settings!$B$30)),(SUMIFS(INDEX('Oxford Economics'!$A$7:$AZ$1000,0,IFERROR(MATCH(O$5,'Oxford Economics'!$A$6:$AZ$6,0),MATCH(O$5&amp;"",'Oxford Economics'!$A$6:$AZ$6,0))),'Oxford Economics'!$A$7:$A$1000,$C59,'Oxford Economics'!$B$7:$B$1000,Settings!$B$30)+SUMIFS(INDEX('Oxford Economics'!$A$7:$AZ$1000,0,IFERROR(MATCH(O$5,'Oxford Economics'!$A$6:$AZ$6,0),MATCH(O$5&amp;"",'Oxford Economics'!$A$6:$AZ$6,0))),'Oxford Economics'!$A$7:$A$1000,$C59,'Oxford Economics'!$B$7:$B$1000,Settings!$B$31)))),""))</f>
        <v/>
      </c>
    </row>
    <row r="60" customFormat="false" ht="15" hidden="false" customHeight="false" outlineLevel="0" collapsed="false">
      <c r="A60" s="40" t="str">
        <f aca="false">IF('Raw data'!$A60="","",'Raw data'!$A60)</f>
        <v/>
      </c>
      <c r="B60" s="40" t="str">
        <f aca="false">IF($A60="","",'Raw data'!$C60)</f>
        <v/>
      </c>
      <c r="C60" s="40" t="str">
        <f aca="false">IF($A60="","",IF('Raw data'!$D60="",$A60,'Raw data'!$D60))</f>
        <v/>
      </c>
      <c r="D60" s="41" t="str">
        <f aca="false">IF($A60="","",IFERROR(1/(1/IF($B60="Residential",(SUMIFS(INDEX('Oxford Economics'!$A$7:$AZ$1000,0,IFERROR(MATCH(D$5,'Oxford Economics'!$A$6:$AZ$6,0),MATCH(D$5&amp;"",'Oxford Economics'!$A$6:$AZ$6,0))),'Oxford Economics'!$A$7:$A$1000,$C60,'Oxford Economics'!$B$7:$B$1000,Settings!$B$29)-SUMIFS(INDEX('Oxford Economics'!$A$7:$AZ$1000,0,IFERROR(MATCH(D$5,'Oxford Economics'!$A$6:$AZ$6,0),MATCH(D$5&amp;"",'Oxford Economics'!$A$6:$AZ$6,0))),'Oxford Economics'!$A$7:$A$1000,$C60,'Oxford Economics'!$B$7:$B$1000,Settings!$B$30)),(SUMIFS(INDEX('Oxford Economics'!$A$7:$AZ$1000,0,IFERROR(MATCH(D$5,'Oxford Economics'!$A$6:$AZ$6,0),MATCH(D$5&amp;"",'Oxford Economics'!$A$6:$AZ$6,0))),'Oxford Economics'!$A$7:$A$1000,$C60,'Oxford Economics'!$B$7:$B$1000,Settings!$B$30)+SUMIFS(INDEX('Oxford Economics'!$A$7:$AZ$1000,0,IFERROR(MATCH(D$5,'Oxford Economics'!$A$6:$AZ$6,0),MATCH(D$5&amp;"",'Oxford Economics'!$A$6:$AZ$6,0))),'Oxford Economics'!$A$7:$A$1000,$C60,'Oxford Economics'!$B$7:$B$1000,Settings!$B$31)))),""))</f>
        <v/>
      </c>
      <c r="E60" s="41" t="str">
        <f aca="false">IF($A60="","",IFERROR(1/(1/IF($B60="Residential",(SUMIFS(INDEX('Oxford Economics'!$A$7:$AZ$1000,0,IFERROR(MATCH(E$5,'Oxford Economics'!$A$6:$AZ$6,0),MATCH(E$5&amp;"",'Oxford Economics'!$A$6:$AZ$6,0))),'Oxford Economics'!$A$7:$A$1000,$C60,'Oxford Economics'!$B$7:$B$1000,Settings!$B$29)-SUMIFS(INDEX('Oxford Economics'!$A$7:$AZ$1000,0,IFERROR(MATCH(E$5,'Oxford Economics'!$A$6:$AZ$6,0),MATCH(E$5&amp;"",'Oxford Economics'!$A$6:$AZ$6,0))),'Oxford Economics'!$A$7:$A$1000,$C60,'Oxford Economics'!$B$7:$B$1000,Settings!$B$30)),(SUMIFS(INDEX('Oxford Economics'!$A$7:$AZ$1000,0,IFERROR(MATCH(E$5,'Oxford Economics'!$A$6:$AZ$6,0),MATCH(E$5&amp;"",'Oxford Economics'!$A$6:$AZ$6,0))),'Oxford Economics'!$A$7:$A$1000,$C60,'Oxford Economics'!$B$7:$B$1000,Settings!$B$30)+SUMIFS(INDEX('Oxford Economics'!$A$7:$AZ$1000,0,IFERROR(MATCH(E$5,'Oxford Economics'!$A$6:$AZ$6,0),MATCH(E$5&amp;"",'Oxford Economics'!$A$6:$AZ$6,0))),'Oxford Economics'!$A$7:$A$1000,$C60,'Oxford Economics'!$B$7:$B$1000,Settings!$B$31)))),""))</f>
        <v/>
      </c>
      <c r="F60" s="41" t="str">
        <f aca="false">IF($A60="","",IFERROR(1/(1/IF($B60="Residential",(SUMIFS(INDEX('Oxford Economics'!$A$7:$AZ$1000,0,IFERROR(MATCH(F$5,'Oxford Economics'!$A$6:$AZ$6,0),MATCH(F$5&amp;"",'Oxford Economics'!$A$6:$AZ$6,0))),'Oxford Economics'!$A$7:$A$1000,$C60,'Oxford Economics'!$B$7:$B$1000,Settings!$B$29)-SUMIFS(INDEX('Oxford Economics'!$A$7:$AZ$1000,0,IFERROR(MATCH(F$5,'Oxford Economics'!$A$6:$AZ$6,0),MATCH(F$5&amp;"",'Oxford Economics'!$A$6:$AZ$6,0))),'Oxford Economics'!$A$7:$A$1000,$C60,'Oxford Economics'!$B$7:$B$1000,Settings!$B$30)),(SUMIFS(INDEX('Oxford Economics'!$A$7:$AZ$1000,0,IFERROR(MATCH(F$5,'Oxford Economics'!$A$6:$AZ$6,0),MATCH(F$5&amp;"",'Oxford Economics'!$A$6:$AZ$6,0))),'Oxford Economics'!$A$7:$A$1000,$C60,'Oxford Economics'!$B$7:$B$1000,Settings!$B$30)+SUMIFS(INDEX('Oxford Economics'!$A$7:$AZ$1000,0,IFERROR(MATCH(F$5,'Oxford Economics'!$A$6:$AZ$6,0),MATCH(F$5&amp;"",'Oxford Economics'!$A$6:$AZ$6,0))),'Oxford Economics'!$A$7:$A$1000,$C60,'Oxford Economics'!$B$7:$B$1000,Settings!$B$31)))),""))</f>
        <v/>
      </c>
      <c r="G60" s="41" t="str">
        <f aca="false">IF($A60="","",IFERROR(1/(1/IF($B60="Residential",(SUMIFS(INDEX('Oxford Economics'!$A$7:$AZ$1000,0,IFERROR(MATCH(G$5,'Oxford Economics'!$A$6:$AZ$6,0),MATCH(G$5&amp;"",'Oxford Economics'!$A$6:$AZ$6,0))),'Oxford Economics'!$A$7:$A$1000,$C60,'Oxford Economics'!$B$7:$B$1000,Settings!$B$29)-SUMIFS(INDEX('Oxford Economics'!$A$7:$AZ$1000,0,IFERROR(MATCH(G$5,'Oxford Economics'!$A$6:$AZ$6,0),MATCH(G$5&amp;"",'Oxford Economics'!$A$6:$AZ$6,0))),'Oxford Economics'!$A$7:$A$1000,$C60,'Oxford Economics'!$B$7:$B$1000,Settings!$B$30)),(SUMIFS(INDEX('Oxford Economics'!$A$7:$AZ$1000,0,IFERROR(MATCH(G$5,'Oxford Economics'!$A$6:$AZ$6,0),MATCH(G$5&amp;"",'Oxford Economics'!$A$6:$AZ$6,0))),'Oxford Economics'!$A$7:$A$1000,$C60,'Oxford Economics'!$B$7:$B$1000,Settings!$B$30)+SUMIFS(INDEX('Oxford Economics'!$A$7:$AZ$1000,0,IFERROR(MATCH(G$5,'Oxford Economics'!$A$6:$AZ$6,0),MATCH(G$5&amp;"",'Oxford Economics'!$A$6:$AZ$6,0))),'Oxford Economics'!$A$7:$A$1000,$C60,'Oxford Economics'!$B$7:$B$1000,Settings!$B$31)))),""))</f>
        <v/>
      </c>
      <c r="H60" s="41" t="str">
        <f aca="false">IF($A60="","",IFERROR(1/(1/IF($B60="Residential",(SUMIFS(INDEX('Oxford Economics'!$A$7:$AZ$1000,0,IFERROR(MATCH(H$5,'Oxford Economics'!$A$6:$AZ$6,0),MATCH(H$5&amp;"",'Oxford Economics'!$A$6:$AZ$6,0))),'Oxford Economics'!$A$7:$A$1000,$C60,'Oxford Economics'!$B$7:$B$1000,Settings!$B$29)-SUMIFS(INDEX('Oxford Economics'!$A$7:$AZ$1000,0,IFERROR(MATCH(H$5,'Oxford Economics'!$A$6:$AZ$6,0),MATCH(H$5&amp;"",'Oxford Economics'!$A$6:$AZ$6,0))),'Oxford Economics'!$A$7:$A$1000,$C60,'Oxford Economics'!$B$7:$B$1000,Settings!$B$30)),(SUMIFS(INDEX('Oxford Economics'!$A$7:$AZ$1000,0,IFERROR(MATCH(H$5,'Oxford Economics'!$A$6:$AZ$6,0),MATCH(H$5&amp;"",'Oxford Economics'!$A$6:$AZ$6,0))),'Oxford Economics'!$A$7:$A$1000,$C60,'Oxford Economics'!$B$7:$B$1000,Settings!$B$30)+SUMIFS(INDEX('Oxford Economics'!$A$7:$AZ$1000,0,IFERROR(MATCH(H$5,'Oxford Economics'!$A$6:$AZ$6,0),MATCH(H$5&amp;"",'Oxford Economics'!$A$6:$AZ$6,0))),'Oxford Economics'!$A$7:$A$1000,$C60,'Oxford Economics'!$B$7:$B$1000,Settings!$B$31)))),""))</f>
        <v/>
      </c>
      <c r="I60" s="41" t="str">
        <f aca="false">IF($A60="","",IFERROR(1/(1/IF($B60="Residential",(SUMIFS(INDEX('Oxford Economics'!$A$7:$AZ$1000,0,IFERROR(MATCH(I$5,'Oxford Economics'!$A$6:$AZ$6,0),MATCH(I$5&amp;"",'Oxford Economics'!$A$6:$AZ$6,0))),'Oxford Economics'!$A$7:$A$1000,$C60,'Oxford Economics'!$B$7:$B$1000,Settings!$B$29)-SUMIFS(INDEX('Oxford Economics'!$A$7:$AZ$1000,0,IFERROR(MATCH(I$5,'Oxford Economics'!$A$6:$AZ$6,0),MATCH(I$5&amp;"",'Oxford Economics'!$A$6:$AZ$6,0))),'Oxford Economics'!$A$7:$A$1000,$C60,'Oxford Economics'!$B$7:$B$1000,Settings!$B$30)),(SUMIFS(INDEX('Oxford Economics'!$A$7:$AZ$1000,0,IFERROR(MATCH(I$5,'Oxford Economics'!$A$6:$AZ$6,0),MATCH(I$5&amp;"",'Oxford Economics'!$A$6:$AZ$6,0))),'Oxford Economics'!$A$7:$A$1000,$C60,'Oxford Economics'!$B$7:$B$1000,Settings!$B$30)+SUMIFS(INDEX('Oxford Economics'!$A$7:$AZ$1000,0,IFERROR(MATCH(I$5,'Oxford Economics'!$A$6:$AZ$6,0),MATCH(I$5&amp;"",'Oxford Economics'!$A$6:$AZ$6,0))),'Oxford Economics'!$A$7:$A$1000,$C60,'Oxford Economics'!$B$7:$B$1000,Settings!$B$31)))),""))</f>
        <v/>
      </c>
      <c r="J60" s="41" t="str">
        <f aca="false">IF($A60="","",IFERROR(1/(1/IF($B60="Residential",(SUMIFS(INDEX('Oxford Economics'!$A$7:$AZ$1000,0,IFERROR(MATCH(J$5,'Oxford Economics'!$A$6:$AZ$6,0),MATCH(J$5&amp;"",'Oxford Economics'!$A$6:$AZ$6,0))),'Oxford Economics'!$A$7:$A$1000,$C60,'Oxford Economics'!$B$7:$B$1000,Settings!$B$29)-SUMIFS(INDEX('Oxford Economics'!$A$7:$AZ$1000,0,IFERROR(MATCH(J$5,'Oxford Economics'!$A$6:$AZ$6,0),MATCH(J$5&amp;"",'Oxford Economics'!$A$6:$AZ$6,0))),'Oxford Economics'!$A$7:$A$1000,$C60,'Oxford Economics'!$B$7:$B$1000,Settings!$B$30)),(SUMIFS(INDEX('Oxford Economics'!$A$7:$AZ$1000,0,IFERROR(MATCH(J$5,'Oxford Economics'!$A$6:$AZ$6,0),MATCH(J$5&amp;"",'Oxford Economics'!$A$6:$AZ$6,0))),'Oxford Economics'!$A$7:$A$1000,$C60,'Oxford Economics'!$B$7:$B$1000,Settings!$B$30)+SUMIFS(INDEX('Oxford Economics'!$A$7:$AZ$1000,0,IFERROR(MATCH(J$5,'Oxford Economics'!$A$6:$AZ$6,0),MATCH(J$5&amp;"",'Oxford Economics'!$A$6:$AZ$6,0))),'Oxford Economics'!$A$7:$A$1000,$C60,'Oxford Economics'!$B$7:$B$1000,Settings!$B$31)))),""))</f>
        <v/>
      </c>
      <c r="K60" s="41" t="str">
        <f aca="false">IF($A60="","",IFERROR(1/(1/IF($B60="Residential",(SUMIFS(INDEX('Oxford Economics'!$A$7:$AZ$1000,0,IFERROR(MATCH(K$5,'Oxford Economics'!$A$6:$AZ$6,0),MATCH(K$5&amp;"",'Oxford Economics'!$A$6:$AZ$6,0))),'Oxford Economics'!$A$7:$A$1000,$C60,'Oxford Economics'!$B$7:$B$1000,Settings!$B$29)-SUMIFS(INDEX('Oxford Economics'!$A$7:$AZ$1000,0,IFERROR(MATCH(K$5,'Oxford Economics'!$A$6:$AZ$6,0),MATCH(K$5&amp;"",'Oxford Economics'!$A$6:$AZ$6,0))),'Oxford Economics'!$A$7:$A$1000,$C60,'Oxford Economics'!$B$7:$B$1000,Settings!$B$30)),(SUMIFS(INDEX('Oxford Economics'!$A$7:$AZ$1000,0,IFERROR(MATCH(K$5,'Oxford Economics'!$A$6:$AZ$6,0),MATCH(K$5&amp;"",'Oxford Economics'!$A$6:$AZ$6,0))),'Oxford Economics'!$A$7:$A$1000,$C60,'Oxford Economics'!$B$7:$B$1000,Settings!$B$30)+SUMIFS(INDEX('Oxford Economics'!$A$7:$AZ$1000,0,IFERROR(MATCH(K$5,'Oxford Economics'!$A$6:$AZ$6,0),MATCH(K$5&amp;"",'Oxford Economics'!$A$6:$AZ$6,0))),'Oxford Economics'!$A$7:$A$1000,$C60,'Oxford Economics'!$B$7:$B$1000,Settings!$B$31)))),""))</f>
        <v/>
      </c>
      <c r="L60" s="41" t="str">
        <f aca="false">IF($A60="","",IFERROR(1/(1/IF($B60="Residential",(SUMIFS(INDEX('Oxford Economics'!$A$7:$AZ$1000,0,IFERROR(MATCH(L$5,'Oxford Economics'!$A$6:$AZ$6,0),MATCH(L$5&amp;"",'Oxford Economics'!$A$6:$AZ$6,0))),'Oxford Economics'!$A$7:$A$1000,$C60,'Oxford Economics'!$B$7:$B$1000,Settings!$B$29)-SUMIFS(INDEX('Oxford Economics'!$A$7:$AZ$1000,0,IFERROR(MATCH(L$5,'Oxford Economics'!$A$6:$AZ$6,0),MATCH(L$5&amp;"",'Oxford Economics'!$A$6:$AZ$6,0))),'Oxford Economics'!$A$7:$A$1000,$C60,'Oxford Economics'!$B$7:$B$1000,Settings!$B$30)),(SUMIFS(INDEX('Oxford Economics'!$A$7:$AZ$1000,0,IFERROR(MATCH(L$5,'Oxford Economics'!$A$6:$AZ$6,0),MATCH(L$5&amp;"",'Oxford Economics'!$A$6:$AZ$6,0))),'Oxford Economics'!$A$7:$A$1000,$C60,'Oxford Economics'!$B$7:$B$1000,Settings!$B$30)+SUMIFS(INDEX('Oxford Economics'!$A$7:$AZ$1000,0,IFERROR(MATCH(L$5,'Oxford Economics'!$A$6:$AZ$6,0),MATCH(L$5&amp;"",'Oxford Economics'!$A$6:$AZ$6,0))),'Oxford Economics'!$A$7:$A$1000,$C60,'Oxford Economics'!$B$7:$B$1000,Settings!$B$31)))),""))</f>
        <v/>
      </c>
      <c r="M60" s="41" t="str">
        <f aca="false">IF($A60="","",IFERROR(1/(1/IF($B60="Residential",(SUMIFS(INDEX('Oxford Economics'!$A$7:$AZ$1000,0,IFERROR(MATCH(M$5,'Oxford Economics'!$A$6:$AZ$6,0),MATCH(M$5&amp;"",'Oxford Economics'!$A$6:$AZ$6,0))),'Oxford Economics'!$A$7:$A$1000,$C60,'Oxford Economics'!$B$7:$B$1000,Settings!$B$29)-SUMIFS(INDEX('Oxford Economics'!$A$7:$AZ$1000,0,IFERROR(MATCH(M$5,'Oxford Economics'!$A$6:$AZ$6,0),MATCH(M$5&amp;"",'Oxford Economics'!$A$6:$AZ$6,0))),'Oxford Economics'!$A$7:$A$1000,$C60,'Oxford Economics'!$B$7:$B$1000,Settings!$B$30)),(SUMIFS(INDEX('Oxford Economics'!$A$7:$AZ$1000,0,IFERROR(MATCH(M$5,'Oxford Economics'!$A$6:$AZ$6,0),MATCH(M$5&amp;"",'Oxford Economics'!$A$6:$AZ$6,0))),'Oxford Economics'!$A$7:$A$1000,$C60,'Oxford Economics'!$B$7:$B$1000,Settings!$B$30)+SUMIFS(INDEX('Oxford Economics'!$A$7:$AZ$1000,0,IFERROR(MATCH(M$5,'Oxford Economics'!$A$6:$AZ$6,0),MATCH(M$5&amp;"",'Oxford Economics'!$A$6:$AZ$6,0))),'Oxford Economics'!$A$7:$A$1000,$C60,'Oxford Economics'!$B$7:$B$1000,Settings!$B$31)))),""))</f>
        <v/>
      </c>
      <c r="N60" s="41" t="str">
        <f aca="false">IF($A60="","",IFERROR(1/(1/IF($B60="Residential",(SUMIFS(INDEX('Oxford Economics'!$A$7:$AZ$1000,0,IFERROR(MATCH(N$5,'Oxford Economics'!$A$6:$AZ$6,0),MATCH(N$5&amp;"",'Oxford Economics'!$A$6:$AZ$6,0))),'Oxford Economics'!$A$7:$A$1000,$C60,'Oxford Economics'!$B$7:$B$1000,Settings!$B$29)-SUMIFS(INDEX('Oxford Economics'!$A$7:$AZ$1000,0,IFERROR(MATCH(N$5,'Oxford Economics'!$A$6:$AZ$6,0),MATCH(N$5&amp;"",'Oxford Economics'!$A$6:$AZ$6,0))),'Oxford Economics'!$A$7:$A$1000,$C60,'Oxford Economics'!$B$7:$B$1000,Settings!$B$30)),(SUMIFS(INDEX('Oxford Economics'!$A$7:$AZ$1000,0,IFERROR(MATCH(N$5,'Oxford Economics'!$A$6:$AZ$6,0),MATCH(N$5&amp;"",'Oxford Economics'!$A$6:$AZ$6,0))),'Oxford Economics'!$A$7:$A$1000,$C60,'Oxford Economics'!$B$7:$B$1000,Settings!$B$30)+SUMIFS(INDEX('Oxford Economics'!$A$7:$AZ$1000,0,IFERROR(MATCH(N$5,'Oxford Economics'!$A$6:$AZ$6,0),MATCH(N$5&amp;"",'Oxford Economics'!$A$6:$AZ$6,0))),'Oxford Economics'!$A$7:$A$1000,$C60,'Oxford Economics'!$B$7:$B$1000,Settings!$B$31)))),""))</f>
        <v/>
      </c>
      <c r="O60" s="41" t="str">
        <f aca="false">IF($A60="","",IFERROR(1/(1/IF($B60="Residential",(SUMIFS(INDEX('Oxford Economics'!$A$7:$AZ$1000,0,IFERROR(MATCH(O$5,'Oxford Economics'!$A$6:$AZ$6,0),MATCH(O$5&amp;"",'Oxford Economics'!$A$6:$AZ$6,0))),'Oxford Economics'!$A$7:$A$1000,$C60,'Oxford Economics'!$B$7:$B$1000,Settings!$B$29)-SUMIFS(INDEX('Oxford Economics'!$A$7:$AZ$1000,0,IFERROR(MATCH(O$5,'Oxford Economics'!$A$6:$AZ$6,0),MATCH(O$5&amp;"",'Oxford Economics'!$A$6:$AZ$6,0))),'Oxford Economics'!$A$7:$A$1000,$C60,'Oxford Economics'!$B$7:$B$1000,Settings!$B$30)),(SUMIFS(INDEX('Oxford Economics'!$A$7:$AZ$1000,0,IFERROR(MATCH(O$5,'Oxford Economics'!$A$6:$AZ$6,0),MATCH(O$5&amp;"",'Oxford Economics'!$A$6:$AZ$6,0))),'Oxford Economics'!$A$7:$A$1000,$C60,'Oxford Economics'!$B$7:$B$1000,Settings!$B$30)+SUMIFS(INDEX('Oxford Economics'!$A$7:$AZ$1000,0,IFERROR(MATCH(O$5,'Oxford Economics'!$A$6:$AZ$6,0),MATCH(O$5&amp;"",'Oxford Economics'!$A$6:$AZ$6,0))),'Oxford Economics'!$A$7:$A$1000,$C60,'Oxford Economics'!$B$7:$B$1000,Settings!$B$31)))),""))</f>
        <v/>
      </c>
    </row>
    <row r="61" customFormat="false" ht="15" hidden="false" customHeight="false" outlineLevel="0" collapsed="false">
      <c r="A61" s="40" t="str">
        <f aca="false">IF('Raw data'!$A61="","",'Raw data'!$A61)</f>
        <v/>
      </c>
      <c r="B61" s="40" t="str">
        <f aca="false">IF($A61="","",'Raw data'!$C61)</f>
        <v/>
      </c>
      <c r="C61" s="40" t="str">
        <f aca="false">IF($A61="","",IF('Raw data'!$D61="",$A61,'Raw data'!$D61))</f>
        <v/>
      </c>
      <c r="D61" s="41" t="str">
        <f aca="false">IF($A61="","",IFERROR(1/(1/IF($B61="Residential",(SUMIFS(INDEX('Oxford Economics'!$A$7:$AZ$1000,0,IFERROR(MATCH(D$5,'Oxford Economics'!$A$6:$AZ$6,0),MATCH(D$5&amp;"",'Oxford Economics'!$A$6:$AZ$6,0))),'Oxford Economics'!$A$7:$A$1000,$C61,'Oxford Economics'!$B$7:$B$1000,Settings!$B$29)-SUMIFS(INDEX('Oxford Economics'!$A$7:$AZ$1000,0,IFERROR(MATCH(D$5,'Oxford Economics'!$A$6:$AZ$6,0),MATCH(D$5&amp;"",'Oxford Economics'!$A$6:$AZ$6,0))),'Oxford Economics'!$A$7:$A$1000,$C61,'Oxford Economics'!$B$7:$B$1000,Settings!$B$30)),(SUMIFS(INDEX('Oxford Economics'!$A$7:$AZ$1000,0,IFERROR(MATCH(D$5,'Oxford Economics'!$A$6:$AZ$6,0),MATCH(D$5&amp;"",'Oxford Economics'!$A$6:$AZ$6,0))),'Oxford Economics'!$A$7:$A$1000,$C61,'Oxford Economics'!$B$7:$B$1000,Settings!$B$30)+SUMIFS(INDEX('Oxford Economics'!$A$7:$AZ$1000,0,IFERROR(MATCH(D$5,'Oxford Economics'!$A$6:$AZ$6,0),MATCH(D$5&amp;"",'Oxford Economics'!$A$6:$AZ$6,0))),'Oxford Economics'!$A$7:$A$1000,$C61,'Oxford Economics'!$B$7:$B$1000,Settings!$B$31)))),""))</f>
        <v/>
      </c>
      <c r="E61" s="41" t="str">
        <f aca="false">IF($A61="","",IFERROR(1/(1/IF($B61="Residential",(SUMIFS(INDEX('Oxford Economics'!$A$7:$AZ$1000,0,IFERROR(MATCH(E$5,'Oxford Economics'!$A$6:$AZ$6,0),MATCH(E$5&amp;"",'Oxford Economics'!$A$6:$AZ$6,0))),'Oxford Economics'!$A$7:$A$1000,$C61,'Oxford Economics'!$B$7:$B$1000,Settings!$B$29)-SUMIFS(INDEX('Oxford Economics'!$A$7:$AZ$1000,0,IFERROR(MATCH(E$5,'Oxford Economics'!$A$6:$AZ$6,0),MATCH(E$5&amp;"",'Oxford Economics'!$A$6:$AZ$6,0))),'Oxford Economics'!$A$7:$A$1000,$C61,'Oxford Economics'!$B$7:$B$1000,Settings!$B$30)),(SUMIFS(INDEX('Oxford Economics'!$A$7:$AZ$1000,0,IFERROR(MATCH(E$5,'Oxford Economics'!$A$6:$AZ$6,0),MATCH(E$5&amp;"",'Oxford Economics'!$A$6:$AZ$6,0))),'Oxford Economics'!$A$7:$A$1000,$C61,'Oxford Economics'!$B$7:$B$1000,Settings!$B$30)+SUMIFS(INDEX('Oxford Economics'!$A$7:$AZ$1000,0,IFERROR(MATCH(E$5,'Oxford Economics'!$A$6:$AZ$6,0),MATCH(E$5&amp;"",'Oxford Economics'!$A$6:$AZ$6,0))),'Oxford Economics'!$A$7:$A$1000,$C61,'Oxford Economics'!$B$7:$B$1000,Settings!$B$31)))),""))</f>
        <v/>
      </c>
      <c r="F61" s="41" t="str">
        <f aca="false">IF($A61="","",IFERROR(1/(1/IF($B61="Residential",(SUMIFS(INDEX('Oxford Economics'!$A$7:$AZ$1000,0,IFERROR(MATCH(F$5,'Oxford Economics'!$A$6:$AZ$6,0),MATCH(F$5&amp;"",'Oxford Economics'!$A$6:$AZ$6,0))),'Oxford Economics'!$A$7:$A$1000,$C61,'Oxford Economics'!$B$7:$B$1000,Settings!$B$29)-SUMIFS(INDEX('Oxford Economics'!$A$7:$AZ$1000,0,IFERROR(MATCH(F$5,'Oxford Economics'!$A$6:$AZ$6,0),MATCH(F$5&amp;"",'Oxford Economics'!$A$6:$AZ$6,0))),'Oxford Economics'!$A$7:$A$1000,$C61,'Oxford Economics'!$B$7:$B$1000,Settings!$B$30)),(SUMIFS(INDEX('Oxford Economics'!$A$7:$AZ$1000,0,IFERROR(MATCH(F$5,'Oxford Economics'!$A$6:$AZ$6,0),MATCH(F$5&amp;"",'Oxford Economics'!$A$6:$AZ$6,0))),'Oxford Economics'!$A$7:$A$1000,$C61,'Oxford Economics'!$B$7:$B$1000,Settings!$B$30)+SUMIFS(INDEX('Oxford Economics'!$A$7:$AZ$1000,0,IFERROR(MATCH(F$5,'Oxford Economics'!$A$6:$AZ$6,0),MATCH(F$5&amp;"",'Oxford Economics'!$A$6:$AZ$6,0))),'Oxford Economics'!$A$7:$A$1000,$C61,'Oxford Economics'!$B$7:$B$1000,Settings!$B$31)))),""))</f>
        <v/>
      </c>
      <c r="G61" s="41" t="str">
        <f aca="false">IF($A61="","",IFERROR(1/(1/IF($B61="Residential",(SUMIFS(INDEX('Oxford Economics'!$A$7:$AZ$1000,0,IFERROR(MATCH(G$5,'Oxford Economics'!$A$6:$AZ$6,0),MATCH(G$5&amp;"",'Oxford Economics'!$A$6:$AZ$6,0))),'Oxford Economics'!$A$7:$A$1000,$C61,'Oxford Economics'!$B$7:$B$1000,Settings!$B$29)-SUMIFS(INDEX('Oxford Economics'!$A$7:$AZ$1000,0,IFERROR(MATCH(G$5,'Oxford Economics'!$A$6:$AZ$6,0),MATCH(G$5&amp;"",'Oxford Economics'!$A$6:$AZ$6,0))),'Oxford Economics'!$A$7:$A$1000,$C61,'Oxford Economics'!$B$7:$B$1000,Settings!$B$30)),(SUMIFS(INDEX('Oxford Economics'!$A$7:$AZ$1000,0,IFERROR(MATCH(G$5,'Oxford Economics'!$A$6:$AZ$6,0),MATCH(G$5&amp;"",'Oxford Economics'!$A$6:$AZ$6,0))),'Oxford Economics'!$A$7:$A$1000,$C61,'Oxford Economics'!$B$7:$B$1000,Settings!$B$30)+SUMIFS(INDEX('Oxford Economics'!$A$7:$AZ$1000,0,IFERROR(MATCH(G$5,'Oxford Economics'!$A$6:$AZ$6,0),MATCH(G$5&amp;"",'Oxford Economics'!$A$6:$AZ$6,0))),'Oxford Economics'!$A$7:$A$1000,$C61,'Oxford Economics'!$B$7:$B$1000,Settings!$B$31)))),""))</f>
        <v/>
      </c>
      <c r="H61" s="41" t="str">
        <f aca="false">IF($A61="","",IFERROR(1/(1/IF($B61="Residential",(SUMIFS(INDEX('Oxford Economics'!$A$7:$AZ$1000,0,IFERROR(MATCH(H$5,'Oxford Economics'!$A$6:$AZ$6,0),MATCH(H$5&amp;"",'Oxford Economics'!$A$6:$AZ$6,0))),'Oxford Economics'!$A$7:$A$1000,$C61,'Oxford Economics'!$B$7:$B$1000,Settings!$B$29)-SUMIFS(INDEX('Oxford Economics'!$A$7:$AZ$1000,0,IFERROR(MATCH(H$5,'Oxford Economics'!$A$6:$AZ$6,0),MATCH(H$5&amp;"",'Oxford Economics'!$A$6:$AZ$6,0))),'Oxford Economics'!$A$7:$A$1000,$C61,'Oxford Economics'!$B$7:$B$1000,Settings!$B$30)),(SUMIFS(INDEX('Oxford Economics'!$A$7:$AZ$1000,0,IFERROR(MATCH(H$5,'Oxford Economics'!$A$6:$AZ$6,0),MATCH(H$5&amp;"",'Oxford Economics'!$A$6:$AZ$6,0))),'Oxford Economics'!$A$7:$A$1000,$C61,'Oxford Economics'!$B$7:$B$1000,Settings!$B$30)+SUMIFS(INDEX('Oxford Economics'!$A$7:$AZ$1000,0,IFERROR(MATCH(H$5,'Oxford Economics'!$A$6:$AZ$6,0),MATCH(H$5&amp;"",'Oxford Economics'!$A$6:$AZ$6,0))),'Oxford Economics'!$A$7:$A$1000,$C61,'Oxford Economics'!$B$7:$B$1000,Settings!$B$31)))),""))</f>
        <v/>
      </c>
      <c r="I61" s="41" t="str">
        <f aca="false">IF($A61="","",IFERROR(1/(1/IF($B61="Residential",(SUMIFS(INDEX('Oxford Economics'!$A$7:$AZ$1000,0,IFERROR(MATCH(I$5,'Oxford Economics'!$A$6:$AZ$6,0),MATCH(I$5&amp;"",'Oxford Economics'!$A$6:$AZ$6,0))),'Oxford Economics'!$A$7:$A$1000,$C61,'Oxford Economics'!$B$7:$B$1000,Settings!$B$29)-SUMIFS(INDEX('Oxford Economics'!$A$7:$AZ$1000,0,IFERROR(MATCH(I$5,'Oxford Economics'!$A$6:$AZ$6,0),MATCH(I$5&amp;"",'Oxford Economics'!$A$6:$AZ$6,0))),'Oxford Economics'!$A$7:$A$1000,$C61,'Oxford Economics'!$B$7:$B$1000,Settings!$B$30)),(SUMIFS(INDEX('Oxford Economics'!$A$7:$AZ$1000,0,IFERROR(MATCH(I$5,'Oxford Economics'!$A$6:$AZ$6,0),MATCH(I$5&amp;"",'Oxford Economics'!$A$6:$AZ$6,0))),'Oxford Economics'!$A$7:$A$1000,$C61,'Oxford Economics'!$B$7:$B$1000,Settings!$B$30)+SUMIFS(INDEX('Oxford Economics'!$A$7:$AZ$1000,0,IFERROR(MATCH(I$5,'Oxford Economics'!$A$6:$AZ$6,0),MATCH(I$5&amp;"",'Oxford Economics'!$A$6:$AZ$6,0))),'Oxford Economics'!$A$7:$A$1000,$C61,'Oxford Economics'!$B$7:$B$1000,Settings!$B$31)))),""))</f>
        <v/>
      </c>
      <c r="J61" s="41" t="str">
        <f aca="false">IF($A61="","",IFERROR(1/(1/IF($B61="Residential",(SUMIFS(INDEX('Oxford Economics'!$A$7:$AZ$1000,0,IFERROR(MATCH(J$5,'Oxford Economics'!$A$6:$AZ$6,0),MATCH(J$5&amp;"",'Oxford Economics'!$A$6:$AZ$6,0))),'Oxford Economics'!$A$7:$A$1000,$C61,'Oxford Economics'!$B$7:$B$1000,Settings!$B$29)-SUMIFS(INDEX('Oxford Economics'!$A$7:$AZ$1000,0,IFERROR(MATCH(J$5,'Oxford Economics'!$A$6:$AZ$6,0),MATCH(J$5&amp;"",'Oxford Economics'!$A$6:$AZ$6,0))),'Oxford Economics'!$A$7:$A$1000,$C61,'Oxford Economics'!$B$7:$B$1000,Settings!$B$30)),(SUMIFS(INDEX('Oxford Economics'!$A$7:$AZ$1000,0,IFERROR(MATCH(J$5,'Oxford Economics'!$A$6:$AZ$6,0),MATCH(J$5&amp;"",'Oxford Economics'!$A$6:$AZ$6,0))),'Oxford Economics'!$A$7:$A$1000,$C61,'Oxford Economics'!$B$7:$B$1000,Settings!$B$30)+SUMIFS(INDEX('Oxford Economics'!$A$7:$AZ$1000,0,IFERROR(MATCH(J$5,'Oxford Economics'!$A$6:$AZ$6,0),MATCH(J$5&amp;"",'Oxford Economics'!$A$6:$AZ$6,0))),'Oxford Economics'!$A$7:$A$1000,$C61,'Oxford Economics'!$B$7:$B$1000,Settings!$B$31)))),""))</f>
        <v/>
      </c>
      <c r="K61" s="41" t="str">
        <f aca="false">IF($A61="","",IFERROR(1/(1/IF($B61="Residential",(SUMIFS(INDEX('Oxford Economics'!$A$7:$AZ$1000,0,IFERROR(MATCH(K$5,'Oxford Economics'!$A$6:$AZ$6,0),MATCH(K$5&amp;"",'Oxford Economics'!$A$6:$AZ$6,0))),'Oxford Economics'!$A$7:$A$1000,$C61,'Oxford Economics'!$B$7:$B$1000,Settings!$B$29)-SUMIFS(INDEX('Oxford Economics'!$A$7:$AZ$1000,0,IFERROR(MATCH(K$5,'Oxford Economics'!$A$6:$AZ$6,0),MATCH(K$5&amp;"",'Oxford Economics'!$A$6:$AZ$6,0))),'Oxford Economics'!$A$7:$A$1000,$C61,'Oxford Economics'!$B$7:$B$1000,Settings!$B$30)),(SUMIFS(INDEX('Oxford Economics'!$A$7:$AZ$1000,0,IFERROR(MATCH(K$5,'Oxford Economics'!$A$6:$AZ$6,0),MATCH(K$5&amp;"",'Oxford Economics'!$A$6:$AZ$6,0))),'Oxford Economics'!$A$7:$A$1000,$C61,'Oxford Economics'!$B$7:$B$1000,Settings!$B$30)+SUMIFS(INDEX('Oxford Economics'!$A$7:$AZ$1000,0,IFERROR(MATCH(K$5,'Oxford Economics'!$A$6:$AZ$6,0),MATCH(K$5&amp;"",'Oxford Economics'!$A$6:$AZ$6,0))),'Oxford Economics'!$A$7:$A$1000,$C61,'Oxford Economics'!$B$7:$B$1000,Settings!$B$31)))),""))</f>
        <v/>
      </c>
      <c r="L61" s="41" t="str">
        <f aca="false">IF($A61="","",IFERROR(1/(1/IF($B61="Residential",(SUMIFS(INDEX('Oxford Economics'!$A$7:$AZ$1000,0,IFERROR(MATCH(L$5,'Oxford Economics'!$A$6:$AZ$6,0),MATCH(L$5&amp;"",'Oxford Economics'!$A$6:$AZ$6,0))),'Oxford Economics'!$A$7:$A$1000,$C61,'Oxford Economics'!$B$7:$B$1000,Settings!$B$29)-SUMIFS(INDEX('Oxford Economics'!$A$7:$AZ$1000,0,IFERROR(MATCH(L$5,'Oxford Economics'!$A$6:$AZ$6,0),MATCH(L$5&amp;"",'Oxford Economics'!$A$6:$AZ$6,0))),'Oxford Economics'!$A$7:$A$1000,$C61,'Oxford Economics'!$B$7:$B$1000,Settings!$B$30)),(SUMIFS(INDEX('Oxford Economics'!$A$7:$AZ$1000,0,IFERROR(MATCH(L$5,'Oxford Economics'!$A$6:$AZ$6,0),MATCH(L$5&amp;"",'Oxford Economics'!$A$6:$AZ$6,0))),'Oxford Economics'!$A$7:$A$1000,$C61,'Oxford Economics'!$B$7:$B$1000,Settings!$B$30)+SUMIFS(INDEX('Oxford Economics'!$A$7:$AZ$1000,0,IFERROR(MATCH(L$5,'Oxford Economics'!$A$6:$AZ$6,0),MATCH(L$5&amp;"",'Oxford Economics'!$A$6:$AZ$6,0))),'Oxford Economics'!$A$7:$A$1000,$C61,'Oxford Economics'!$B$7:$B$1000,Settings!$B$31)))),""))</f>
        <v/>
      </c>
      <c r="M61" s="41" t="str">
        <f aca="false">IF($A61="","",IFERROR(1/(1/IF($B61="Residential",(SUMIFS(INDEX('Oxford Economics'!$A$7:$AZ$1000,0,IFERROR(MATCH(M$5,'Oxford Economics'!$A$6:$AZ$6,0),MATCH(M$5&amp;"",'Oxford Economics'!$A$6:$AZ$6,0))),'Oxford Economics'!$A$7:$A$1000,$C61,'Oxford Economics'!$B$7:$B$1000,Settings!$B$29)-SUMIFS(INDEX('Oxford Economics'!$A$7:$AZ$1000,0,IFERROR(MATCH(M$5,'Oxford Economics'!$A$6:$AZ$6,0),MATCH(M$5&amp;"",'Oxford Economics'!$A$6:$AZ$6,0))),'Oxford Economics'!$A$7:$A$1000,$C61,'Oxford Economics'!$B$7:$B$1000,Settings!$B$30)),(SUMIFS(INDEX('Oxford Economics'!$A$7:$AZ$1000,0,IFERROR(MATCH(M$5,'Oxford Economics'!$A$6:$AZ$6,0),MATCH(M$5&amp;"",'Oxford Economics'!$A$6:$AZ$6,0))),'Oxford Economics'!$A$7:$A$1000,$C61,'Oxford Economics'!$B$7:$B$1000,Settings!$B$30)+SUMIFS(INDEX('Oxford Economics'!$A$7:$AZ$1000,0,IFERROR(MATCH(M$5,'Oxford Economics'!$A$6:$AZ$6,0),MATCH(M$5&amp;"",'Oxford Economics'!$A$6:$AZ$6,0))),'Oxford Economics'!$A$7:$A$1000,$C61,'Oxford Economics'!$B$7:$B$1000,Settings!$B$31)))),""))</f>
        <v/>
      </c>
      <c r="N61" s="41" t="str">
        <f aca="false">IF($A61="","",IFERROR(1/(1/IF($B61="Residential",(SUMIFS(INDEX('Oxford Economics'!$A$7:$AZ$1000,0,IFERROR(MATCH(N$5,'Oxford Economics'!$A$6:$AZ$6,0),MATCH(N$5&amp;"",'Oxford Economics'!$A$6:$AZ$6,0))),'Oxford Economics'!$A$7:$A$1000,$C61,'Oxford Economics'!$B$7:$B$1000,Settings!$B$29)-SUMIFS(INDEX('Oxford Economics'!$A$7:$AZ$1000,0,IFERROR(MATCH(N$5,'Oxford Economics'!$A$6:$AZ$6,0),MATCH(N$5&amp;"",'Oxford Economics'!$A$6:$AZ$6,0))),'Oxford Economics'!$A$7:$A$1000,$C61,'Oxford Economics'!$B$7:$B$1000,Settings!$B$30)),(SUMIFS(INDEX('Oxford Economics'!$A$7:$AZ$1000,0,IFERROR(MATCH(N$5,'Oxford Economics'!$A$6:$AZ$6,0),MATCH(N$5&amp;"",'Oxford Economics'!$A$6:$AZ$6,0))),'Oxford Economics'!$A$7:$A$1000,$C61,'Oxford Economics'!$B$7:$B$1000,Settings!$B$30)+SUMIFS(INDEX('Oxford Economics'!$A$7:$AZ$1000,0,IFERROR(MATCH(N$5,'Oxford Economics'!$A$6:$AZ$6,0),MATCH(N$5&amp;"",'Oxford Economics'!$A$6:$AZ$6,0))),'Oxford Economics'!$A$7:$A$1000,$C61,'Oxford Economics'!$B$7:$B$1000,Settings!$B$31)))),""))</f>
        <v/>
      </c>
      <c r="O61" s="41" t="str">
        <f aca="false">IF($A61="","",IFERROR(1/(1/IF($B61="Residential",(SUMIFS(INDEX('Oxford Economics'!$A$7:$AZ$1000,0,IFERROR(MATCH(O$5,'Oxford Economics'!$A$6:$AZ$6,0),MATCH(O$5&amp;"",'Oxford Economics'!$A$6:$AZ$6,0))),'Oxford Economics'!$A$7:$A$1000,$C61,'Oxford Economics'!$B$7:$B$1000,Settings!$B$29)-SUMIFS(INDEX('Oxford Economics'!$A$7:$AZ$1000,0,IFERROR(MATCH(O$5,'Oxford Economics'!$A$6:$AZ$6,0),MATCH(O$5&amp;"",'Oxford Economics'!$A$6:$AZ$6,0))),'Oxford Economics'!$A$7:$A$1000,$C61,'Oxford Economics'!$B$7:$B$1000,Settings!$B$30)),(SUMIFS(INDEX('Oxford Economics'!$A$7:$AZ$1000,0,IFERROR(MATCH(O$5,'Oxford Economics'!$A$6:$AZ$6,0),MATCH(O$5&amp;"",'Oxford Economics'!$A$6:$AZ$6,0))),'Oxford Economics'!$A$7:$A$1000,$C61,'Oxford Economics'!$B$7:$B$1000,Settings!$B$30)+SUMIFS(INDEX('Oxford Economics'!$A$7:$AZ$1000,0,IFERROR(MATCH(O$5,'Oxford Economics'!$A$6:$AZ$6,0),MATCH(O$5&amp;"",'Oxford Economics'!$A$6:$AZ$6,0))),'Oxford Economics'!$A$7:$A$1000,$C61,'Oxford Economics'!$B$7:$B$1000,Settings!$B$31)))),""))</f>
        <v/>
      </c>
    </row>
    <row r="62" customFormat="false" ht="15" hidden="false" customHeight="false" outlineLevel="0" collapsed="false">
      <c r="A62" s="40" t="str">
        <f aca="false">IF('Raw data'!$A62="","",'Raw data'!$A62)</f>
        <v/>
      </c>
      <c r="B62" s="40" t="str">
        <f aca="false">IF($A62="","",'Raw data'!$C62)</f>
        <v/>
      </c>
      <c r="C62" s="40" t="str">
        <f aca="false">IF($A62="","",IF('Raw data'!$D62="",$A62,'Raw data'!$D62))</f>
        <v/>
      </c>
      <c r="D62" s="41" t="str">
        <f aca="false">IF($A62="","",IFERROR(1/(1/IF($B62="Residential",(SUMIFS(INDEX('Oxford Economics'!$A$7:$AZ$1000,0,IFERROR(MATCH(D$5,'Oxford Economics'!$A$6:$AZ$6,0),MATCH(D$5&amp;"",'Oxford Economics'!$A$6:$AZ$6,0))),'Oxford Economics'!$A$7:$A$1000,$C62,'Oxford Economics'!$B$7:$B$1000,Settings!$B$29)-SUMIFS(INDEX('Oxford Economics'!$A$7:$AZ$1000,0,IFERROR(MATCH(D$5,'Oxford Economics'!$A$6:$AZ$6,0),MATCH(D$5&amp;"",'Oxford Economics'!$A$6:$AZ$6,0))),'Oxford Economics'!$A$7:$A$1000,$C62,'Oxford Economics'!$B$7:$B$1000,Settings!$B$30)),(SUMIFS(INDEX('Oxford Economics'!$A$7:$AZ$1000,0,IFERROR(MATCH(D$5,'Oxford Economics'!$A$6:$AZ$6,0),MATCH(D$5&amp;"",'Oxford Economics'!$A$6:$AZ$6,0))),'Oxford Economics'!$A$7:$A$1000,$C62,'Oxford Economics'!$B$7:$B$1000,Settings!$B$30)+SUMIFS(INDEX('Oxford Economics'!$A$7:$AZ$1000,0,IFERROR(MATCH(D$5,'Oxford Economics'!$A$6:$AZ$6,0),MATCH(D$5&amp;"",'Oxford Economics'!$A$6:$AZ$6,0))),'Oxford Economics'!$A$7:$A$1000,$C62,'Oxford Economics'!$B$7:$B$1000,Settings!$B$31)))),""))</f>
        <v/>
      </c>
      <c r="E62" s="41" t="str">
        <f aca="false">IF($A62="","",IFERROR(1/(1/IF($B62="Residential",(SUMIFS(INDEX('Oxford Economics'!$A$7:$AZ$1000,0,IFERROR(MATCH(E$5,'Oxford Economics'!$A$6:$AZ$6,0),MATCH(E$5&amp;"",'Oxford Economics'!$A$6:$AZ$6,0))),'Oxford Economics'!$A$7:$A$1000,$C62,'Oxford Economics'!$B$7:$B$1000,Settings!$B$29)-SUMIFS(INDEX('Oxford Economics'!$A$7:$AZ$1000,0,IFERROR(MATCH(E$5,'Oxford Economics'!$A$6:$AZ$6,0),MATCH(E$5&amp;"",'Oxford Economics'!$A$6:$AZ$6,0))),'Oxford Economics'!$A$7:$A$1000,$C62,'Oxford Economics'!$B$7:$B$1000,Settings!$B$30)),(SUMIFS(INDEX('Oxford Economics'!$A$7:$AZ$1000,0,IFERROR(MATCH(E$5,'Oxford Economics'!$A$6:$AZ$6,0),MATCH(E$5&amp;"",'Oxford Economics'!$A$6:$AZ$6,0))),'Oxford Economics'!$A$7:$A$1000,$C62,'Oxford Economics'!$B$7:$B$1000,Settings!$B$30)+SUMIFS(INDEX('Oxford Economics'!$A$7:$AZ$1000,0,IFERROR(MATCH(E$5,'Oxford Economics'!$A$6:$AZ$6,0),MATCH(E$5&amp;"",'Oxford Economics'!$A$6:$AZ$6,0))),'Oxford Economics'!$A$7:$A$1000,$C62,'Oxford Economics'!$B$7:$B$1000,Settings!$B$31)))),""))</f>
        <v/>
      </c>
      <c r="F62" s="41" t="str">
        <f aca="false">IF($A62="","",IFERROR(1/(1/IF($B62="Residential",(SUMIFS(INDEX('Oxford Economics'!$A$7:$AZ$1000,0,IFERROR(MATCH(F$5,'Oxford Economics'!$A$6:$AZ$6,0),MATCH(F$5&amp;"",'Oxford Economics'!$A$6:$AZ$6,0))),'Oxford Economics'!$A$7:$A$1000,$C62,'Oxford Economics'!$B$7:$B$1000,Settings!$B$29)-SUMIFS(INDEX('Oxford Economics'!$A$7:$AZ$1000,0,IFERROR(MATCH(F$5,'Oxford Economics'!$A$6:$AZ$6,0),MATCH(F$5&amp;"",'Oxford Economics'!$A$6:$AZ$6,0))),'Oxford Economics'!$A$7:$A$1000,$C62,'Oxford Economics'!$B$7:$B$1000,Settings!$B$30)),(SUMIFS(INDEX('Oxford Economics'!$A$7:$AZ$1000,0,IFERROR(MATCH(F$5,'Oxford Economics'!$A$6:$AZ$6,0),MATCH(F$5&amp;"",'Oxford Economics'!$A$6:$AZ$6,0))),'Oxford Economics'!$A$7:$A$1000,$C62,'Oxford Economics'!$B$7:$B$1000,Settings!$B$30)+SUMIFS(INDEX('Oxford Economics'!$A$7:$AZ$1000,0,IFERROR(MATCH(F$5,'Oxford Economics'!$A$6:$AZ$6,0),MATCH(F$5&amp;"",'Oxford Economics'!$A$6:$AZ$6,0))),'Oxford Economics'!$A$7:$A$1000,$C62,'Oxford Economics'!$B$7:$B$1000,Settings!$B$31)))),""))</f>
        <v/>
      </c>
      <c r="G62" s="41" t="str">
        <f aca="false">IF($A62="","",IFERROR(1/(1/IF($B62="Residential",(SUMIFS(INDEX('Oxford Economics'!$A$7:$AZ$1000,0,IFERROR(MATCH(G$5,'Oxford Economics'!$A$6:$AZ$6,0),MATCH(G$5&amp;"",'Oxford Economics'!$A$6:$AZ$6,0))),'Oxford Economics'!$A$7:$A$1000,$C62,'Oxford Economics'!$B$7:$B$1000,Settings!$B$29)-SUMIFS(INDEX('Oxford Economics'!$A$7:$AZ$1000,0,IFERROR(MATCH(G$5,'Oxford Economics'!$A$6:$AZ$6,0),MATCH(G$5&amp;"",'Oxford Economics'!$A$6:$AZ$6,0))),'Oxford Economics'!$A$7:$A$1000,$C62,'Oxford Economics'!$B$7:$B$1000,Settings!$B$30)),(SUMIFS(INDEX('Oxford Economics'!$A$7:$AZ$1000,0,IFERROR(MATCH(G$5,'Oxford Economics'!$A$6:$AZ$6,0),MATCH(G$5&amp;"",'Oxford Economics'!$A$6:$AZ$6,0))),'Oxford Economics'!$A$7:$A$1000,$C62,'Oxford Economics'!$B$7:$B$1000,Settings!$B$30)+SUMIFS(INDEX('Oxford Economics'!$A$7:$AZ$1000,0,IFERROR(MATCH(G$5,'Oxford Economics'!$A$6:$AZ$6,0),MATCH(G$5&amp;"",'Oxford Economics'!$A$6:$AZ$6,0))),'Oxford Economics'!$A$7:$A$1000,$C62,'Oxford Economics'!$B$7:$B$1000,Settings!$B$31)))),""))</f>
        <v/>
      </c>
      <c r="H62" s="41" t="str">
        <f aca="false">IF($A62="","",IFERROR(1/(1/IF($B62="Residential",(SUMIFS(INDEX('Oxford Economics'!$A$7:$AZ$1000,0,IFERROR(MATCH(H$5,'Oxford Economics'!$A$6:$AZ$6,0),MATCH(H$5&amp;"",'Oxford Economics'!$A$6:$AZ$6,0))),'Oxford Economics'!$A$7:$A$1000,$C62,'Oxford Economics'!$B$7:$B$1000,Settings!$B$29)-SUMIFS(INDEX('Oxford Economics'!$A$7:$AZ$1000,0,IFERROR(MATCH(H$5,'Oxford Economics'!$A$6:$AZ$6,0),MATCH(H$5&amp;"",'Oxford Economics'!$A$6:$AZ$6,0))),'Oxford Economics'!$A$7:$A$1000,$C62,'Oxford Economics'!$B$7:$B$1000,Settings!$B$30)),(SUMIFS(INDEX('Oxford Economics'!$A$7:$AZ$1000,0,IFERROR(MATCH(H$5,'Oxford Economics'!$A$6:$AZ$6,0),MATCH(H$5&amp;"",'Oxford Economics'!$A$6:$AZ$6,0))),'Oxford Economics'!$A$7:$A$1000,$C62,'Oxford Economics'!$B$7:$B$1000,Settings!$B$30)+SUMIFS(INDEX('Oxford Economics'!$A$7:$AZ$1000,0,IFERROR(MATCH(H$5,'Oxford Economics'!$A$6:$AZ$6,0),MATCH(H$5&amp;"",'Oxford Economics'!$A$6:$AZ$6,0))),'Oxford Economics'!$A$7:$A$1000,$C62,'Oxford Economics'!$B$7:$B$1000,Settings!$B$31)))),""))</f>
        <v/>
      </c>
      <c r="I62" s="41" t="str">
        <f aca="false">IF($A62="","",IFERROR(1/(1/IF($B62="Residential",(SUMIFS(INDEX('Oxford Economics'!$A$7:$AZ$1000,0,IFERROR(MATCH(I$5,'Oxford Economics'!$A$6:$AZ$6,0),MATCH(I$5&amp;"",'Oxford Economics'!$A$6:$AZ$6,0))),'Oxford Economics'!$A$7:$A$1000,$C62,'Oxford Economics'!$B$7:$B$1000,Settings!$B$29)-SUMIFS(INDEX('Oxford Economics'!$A$7:$AZ$1000,0,IFERROR(MATCH(I$5,'Oxford Economics'!$A$6:$AZ$6,0),MATCH(I$5&amp;"",'Oxford Economics'!$A$6:$AZ$6,0))),'Oxford Economics'!$A$7:$A$1000,$C62,'Oxford Economics'!$B$7:$B$1000,Settings!$B$30)),(SUMIFS(INDEX('Oxford Economics'!$A$7:$AZ$1000,0,IFERROR(MATCH(I$5,'Oxford Economics'!$A$6:$AZ$6,0),MATCH(I$5&amp;"",'Oxford Economics'!$A$6:$AZ$6,0))),'Oxford Economics'!$A$7:$A$1000,$C62,'Oxford Economics'!$B$7:$B$1000,Settings!$B$30)+SUMIFS(INDEX('Oxford Economics'!$A$7:$AZ$1000,0,IFERROR(MATCH(I$5,'Oxford Economics'!$A$6:$AZ$6,0),MATCH(I$5&amp;"",'Oxford Economics'!$A$6:$AZ$6,0))),'Oxford Economics'!$A$7:$A$1000,$C62,'Oxford Economics'!$B$7:$B$1000,Settings!$B$31)))),""))</f>
        <v/>
      </c>
      <c r="J62" s="41" t="str">
        <f aca="false">IF($A62="","",IFERROR(1/(1/IF($B62="Residential",(SUMIFS(INDEX('Oxford Economics'!$A$7:$AZ$1000,0,IFERROR(MATCH(J$5,'Oxford Economics'!$A$6:$AZ$6,0),MATCH(J$5&amp;"",'Oxford Economics'!$A$6:$AZ$6,0))),'Oxford Economics'!$A$7:$A$1000,$C62,'Oxford Economics'!$B$7:$B$1000,Settings!$B$29)-SUMIFS(INDEX('Oxford Economics'!$A$7:$AZ$1000,0,IFERROR(MATCH(J$5,'Oxford Economics'!$A$6:$AZ$6,0),MATCH(J$5&amp;"",'Oxford Economics'!$A$6:$AZ$6,0))),'Oxford Economics'!$A$7:$A$1000,$C62,'Oxford Economics'!$B$7:$B$1000,Settings!$B$30)),(SUMIFS(INDEX('Oxford Economics'!$A$7:$AZ$1000,0,IFERROR(MATCH(J$5,'Oxford Economics'!$A$6:$AZ$6,0),MATCH(J$5&amp;"",'Oxford Economics'!$A$6:$AZ$6,0))),'Oxford Economics'!$A$7:$A$1000,$C62,'Oxford Economics'!$B$7:$B$1000,Settings!$B$30)+SUMIFS(INDEX('Oxford Economics'!$A$7:$AZ$1000,0,IFERROR(MATCH(J$5,'Oxford Economics'!$A$6:$AZ$6,0),MATCH(J$5&amp;"",'Oxford Economics'!$A$6:$AZ$6,0))),'Oxford Economics'!$A$7:$A$1000,$C62,'Oxford Economics'!$B$7:$B$1000,Settings!$B$31)))),""))</f>
        <v/>
      </c>
      <c r="K62" s="41" t="str">
        <f aca="false">IF($A62="","",IFERROR(1/(1/IF($B62="Residential",(SUMIFS(INDEX('Oxford Economics'!$A$7:$AZ$1000,0,IFERROR(MATCH(K$5,'Oxford Economics'!$A$6:$AZ$6,0),MATCH(K$5&amp;"",'Oxford Economics'!$A$6:$AZ$6,0))),'Oxford Economics'!$A$7:$A$1000,$C62,'Oxford Economics'!$B$7:$B$1000,Settings!$B$29)-SUMIFS(INDEX('Oxford Economics'!$A$7:$AZ$1000,0,IFERROR(MATCH(K$5,'Oxford Economics'!$A$6:$AZ$6,0),MATCH(K$5&amp;"",'Oxford Economics'!$A$6:$AZ$6,0))),'Oxford Economics'!$A$7:$A$1000,$C62,'Oxford Economics'!$B$7:$B$1000,Settings!$B$30)),(SUMIFS(INDEX('Oxford Economics'!$A$7:$AZ$1000,0,IFERROR(MATCH(K$5,'Oxford Economics'!$A$6:$AZ$6,0),MATCH(K$5&amp;"",'Oxford Economics'!$A$6:$AZ$6,0))),'Oxford Economics'!$A$7:$A$1000,$C62,'Oxford Economics'!$B$7:$B$1000,Settings!$B$30)+SUMIFS(INDEX('Oxford Economics'!$A$7:$AZ$1000,0,IFERROR(MATCH(K$5,'Oxford Economics'!$A$6:$AZ$6,0),MATCH(K$5&amp;"",'Oxford Economics'!$A$6:$AZ$6,0))),'Oxford Economics'!$A$7:$A$1000,$C62,'Oxford Economics'!$B$7:$B$1000,Settings!$B$31)))),""))</f>
        <v/>
      </c>
      <c r="L62" s="41" t="str">
        <f aca="false">IF($A62="","",IFERROR(1/(1/IF($B62="Residential",(SUMIFS(INDEX('Oxford Economics'!$A$7:$AZ$1000,0,IFERROR(MATCH(L$5,'Oxford Economics'!$A$6:$AZ$6,0),MATCH(L$5&amp;"",'Oxford Economics'!$A$6:$AZ$6,0))),'Oxford Economics'!$A$7:$A$1000,$C62,'Oxford Economics'!$B$7:$B$1000,Settings!$B$29)-SUMIFS(INDEX('Oxford Economics'!$A$7:$AZ$1000,0,IFERROR(MATCH(L$5,'Oxford Economics'!$A$6:$AZ$6,0),MATCH(L$5&amp;"",'Oxford Economics'!$A$6:$AZ$6,0))),'Oxford Economics'!$A$7:$A$1000,$C62,'Oxford Economics'!$B$7:$B$1000,Settings!$B$30)),(SUMIFS(INDEX('Oxford Economics'!$A$7:$AZ$1000,0,IFERROR(MATCH(L$5,'Oxford Economics'!$A$6:$AZ$6,0),MATCH(L$5&amp;"",'Oxford Economics'!$A$6:$AZ$6,0))),'Oxford Economics'!$A$7:$A$1000,$C62,'Oxford Economics'!$B$7:$B$1000,Settings!$B$30)+SUMIFS(INDEX('Oxford Economics'!$A$7:$AZ$1000,0,IFERROR(MATCH(L$5,'Oxford Economics'!$A$6:$AZ$6,0),MATCH(L$5&amp;"",'Oxford Economics'!$A$6:$AZ$6,0))),'Oxford Economics'!$A$7:$A$1000,$C62,'Oxford Economics'!$B$7:$B$1000,Settings!$B$31)))),""))</f>
        <v/>
      </c>
      <c r="M62" s="41" t="str">
        <f aca="false">IF($A62="","",IFERROR(1/(1/IF($B62="Residential",(SUMIFS(INDEX('Oxford Economics'!$A$7:$AZ$1000,0,IFERROR(MATCH(M$5,'Oxford Economics'!$A$6:$AZ$6,0),MATCH(M$5&amp;"",'Oxford Economics'!$A$6:$AZ$6,0))),'Oxford Economics'!$A$7:$A$1000,$C62,'Oxford Economics'!$B$7:$B$1000,Settings!$B$29)-SUMIFS(INDEX('Oxford Economics'!$A$7:$AZ$1000,0,IFERROR(MATCH(M$5,'Oxford Economics'!$A$6:$AZ$6,0),MATCH(M$5&amp;"",'Oxford Economics'!$A$6:$AZ$6,0))),'Oxford Economics'!$A$7:$A$1000,$C62,'Oxford Economics'!$B$7:$B$1000,Settings!$B$30)),(SUMIFS(INDEX('Oxford Economics'!$A$7:$AZ$1000,0,IFERROR(MATCH(M$5,'Oxford Economics'!$A$6:$AZ$6,0),MATCH(M$5&amp;"",'Oxford Economics'!$A$6:$AZ$6,0))),'Oxford Economics'!$A$7:$A$1000,$C62,'Oxford Economics'!$B$7:$B$1000,Settings!$B$30)+SUMIFS(INDEX('Oxford Economics'!$A$7:$AZ$1000,0,IFERROR(MATCH(M$5,'Oxford Economics'!$A$6:$AZ$6,0),MATCH(M$5&amp;"",'Oxford Economics'!$A$6:$AZ$6,0))),'Oxford Economics'!$A$7:$A$1000,$C62,'Oxford Economics'!$B$7:$B$1000,Settings!$B$31)))),""))</f>
        <v/>
      </c>
      <c r="N62" s="41" t="str">
        <f aca="false">IF($A62="","",IFERROR(1/(1/IF($B62="Residential",(SUMIFS(INDEX('Oxford Economics'!$A$7:$AZ$1000,0,IFERROR(MATCH(N$5,'Oxford Economics'!$A$6:$AZ$6,0),MATCH(N$5&amp;"",'Oxford Economics'!$A$6:$AZ$6,0))),'Oxford Economics'!$A$7:$A$1000,$C62,'Oxford Economics'!$B$7:$B$1000,Settings!$B$29)-SUMIFS(INDEX('Oxford Economics'!$A$7:$AZ$1000,0,IFERROR(MATCH(N$5,'Oxford Economics'!$A$6:$AZ$6,0),MATCH(N$5&amp;"",'Oxford Economics'!$A$6:$AZ$6,0))),'Oxford Economics'!$A$7:$A$1000,$C62,'Oxford Economics'!$B$7:$B$1000,Settings!$B$30)),(SUMIFS(INDEX('Oxford Economics'!$A$7:$AZ$1000,0,IFERROR(MATCH(N$5,'Oxford Economics'!$A$6:$AZ$6,0),MATCH(N$5&amp;"",'Oxford Economics'!$A$6:$AZ$6,0))),'Oxford Economics'!$A$7:$A$1000,$C62,'Oxford Economics'!$B$7:$B$1000,Settings!$B$30)+SUMIFS(INDEX('Oxford Economics'!$A$7:$AZ$1000,0,IFERROR(MATCH(N$5,'Oxford Economics'!$A$6:$AZ$6,0),MATCH(N$5&amp;"",'Oxford Economics'!$A$6:$AZ$6,0))),'Oxford Economics'!$A$7:$A$1000,$C62,'Oxford Economics'!$B$7:$B$1000,Settings!$B$31)))),""))</f>
        <v/>
      </c>
      <c r="O62" s="41" t="str">
        <f aca="false">IF($A62="","",IFERROR(1/(1/IF($B62="Residential",(SUMIFS(INDEX('Oxford Economics'!$A$7:$AZ$1000,0,IFERROR(MATCH(O$5,'Oxford Economics'!$A$6:$AZ$6,0),MATCH(O$5&amp;"",'Oxford Economics'!$A$6:$AZ$6,0))),'Oxford Economics'!$A$7:$A$1000,$C62,'Oxford Economics'!$B$7:$B$1000,Settings!$B$29)-SUMIFS(INDEX('Oxford Economics'!$A$7:$AZ$1000,0,IFERROR(MATCH(O$5,'Oxford Economics'!$A$6:$AZ$6,0),MATCH(O$5&amp;"",'Oxford Economics'!$A$6:$AZ$6,0))),'Oxford Economics'!$A$7:$A$1000,$C62,'Oxford Economics'!$B$7:$B$1000,Settings!$B$30)),(SUMIFS(INDEX('Oxford Economics'!$A$7:$AZ$1000,0,IFERROR(MATCH(O$5,'Oxford Economics'!$A$6:$AZ$6,0),MATCH(O$5&amp;"",'Oxford Economics'!$A$6:$AZ$6,0))),'Oxford Economics'!$A$7:$A$1000,$C62,'Oxford Economics'!$B$7:$B$1000,Settings!$B$30)+SUMIFS(INDEX('Oxford Economics'!$A$7:$AZ$1000,0,IFERROR(MATCH(O$5,'Oxford Economics'!$A$6:$AZ$6,0),MATCH(O$5&amp;"",'Oxford Economics'!$A$6:$AZ$6,0))),'Oxford Economics'!$A$7:$A$1000,$C62,'Oxford Economics'!$B$7:$B$1000,Settings!$B$31)))),""))</f>
        <v/>
      </c>
    </row>
    <row r="63" customFormat="false" ht="15" hidden="false" customHeight="false" outlineLevel="0" collapsed="false">
      <c r="A63" s="40" t="str">
        <f aca="false">IF('Raw data'!$A63="","",'Raw data'!$A63)</f>
        <v/>
      </c>
      <c r="B63" s="40" t="str">
        <f aca="false">IF($A63="","",'Raw data'!$C63)</f>
        <v/>
      </c>
      <c r="C63" s="40" t="str">
        <f aca="false">IF($A63="","",IF('Raw data'!$D63="",$A63,'Raw data'!$D63))</f>
        <v/>
      </c>
      <c r="D63" s="41" t="str">
        <f aca="false">IF($A63="","",IFERROR(1/(1/IF($B63="Residential",(SUMIFS(INDEX('Oxford Economics'!$A$7:$AZ$1000,0,IFERROR(MATCH(D$5,'Oxford Economics'!$A$6:$AZ$6,0),MATCH(D$5&amp;"",'Oxford Economics'!$A$6:$AZ$6,0))),'Oxford Economics'!$A$7:$A$1000,$C63,'Oxford Economics'!$B$7:$B$1000,Settings!$B$29)-SUMIFS(INDEX('Oxford Economics'!$A$7:$AZ$1000,0,IFERROR(MATCH(D$5,'Oxford Economics'!$A$6:$AZ$6,0),MATCH(D$5&amp;"",'Oxford Economics'!$A$6:$AZ$6,0))),'Oxford Economics'!$A$7:$A$1000,$C63,'Oxford Economics'!$B$7:$B$1000,Settings!$B$30)),(SUMIFS(INDEX('Oxford Economics'!$A$7:$AZ$1000,0,IFERROR(MATCH(D$5,'Oxford Economics'!$A$6:$AZ$6,0),MATCH(D$5&amp;"",'Oxford Economics'!$A$6:$AZ$6,0))),'Oxford Economics'!$A$7:$A$1000,$C63,'Oxford Economics'!$B$7:$B$1000,Settings!$B$30)+SUMIFS(INDEX('Oxford Economics'!$A$7:$AZ$1000,0,IFERROR(MATCH(D$5,'Oxford Economics'!$A$6:$AZ$6,0),MATCH(D$5&amp;"",'Oxford Economics'!$A$6:$AZ$6,0))),'Oxford Economics'!$A$7:$A$1000,$C63,'Oxford Economics'!$B$7:$B$1000,Settings!$B$31)))),""))</f>
        <v/>
      </c>
      <c r="E63" s="41" t="str">
        <f aca="false">IF($A63="","",IFERROR(1/(1/IF($B63="Residential",(SUMIFS(INDEX('Oxford Economics'!$A$7:$AZ$1000,0,IFERROR(MATCH(E$5,'Oxford Economics'!$A$6:$AZ$6,0),MATCH(E$5&amp;"",'Oxford Economics'!$A$6:$AZ$6,0))),'Oxford Economics'!$A$7:$A$1000,$C63,'Oxford Economics'!$B$7:$B$1000,Settings!$B$29)-SUMIFS(INDEX('Oxford Economics'!$A$7:$AZ$1000,0,IFERROR(MATCH(E$5,'Oxford Economics'!$A$6:$AZ$6,0),MATCH(E$5&amp;"",'Oxford Economics'!$A$6:$AZ$6,0))),'Oxford Economics'!$A$7:$A$1000,$C63,'Oxford Economics'!$B$7:$B$1000,Settings!$B$30)),(SUMIFS(INDEX('Oxford Economics'!$A$7:$AZ$1000,0,IFERROR(MATCH(E$5,'Oxford Economics'!$A$6:$AZ$6,0),MATCH(E$5&amp;"",'Oxford Economics'!$A$6:$AZ$6,0))),'Oxford Economics'!$A$7:$A$1000,$C63,'Oxford Economics'!$B$7:$B$1000,Settings!$B$30)+SUMIFS(INDEX('Oxford Economics'!$A$7:$AZ$1000,0,IFERROR(MATCH(E$5,'Oxford Economics'!$A$6:$AZ$6,0),MATCH(E$5&amp;"",'Oxford Economics'!$A$6:$AZ$6,0))),'Oxford Economics'!$A$7:$A$1000,$C63,'Oxford Economics'!$B$7:$B$1000,Settings!$B$31)))),""))</f>
        <v/>
      </c>
      <c r="F63" s="41" t="str">
        <f aca="false">IF($A63="","",IFERROR(1/(1/IF($B63="Residential",(SUMIFS(INDEX('Oxford Economics'!$A$7:$AZ$1000,0,IFERROR(MATCH(F$5,'Oxford Economics'!$A$6:$AZ$6,0),MATCH(F$5&amp;"",'Oxford Economics'!$A$6:$AZ$6,0))),'Oxford Economics'!$A$7:$A$1000,$C63,'Oxford Economics'!$B$7:$B$1000,Settings!$B$29)-SUMIFS(INDEX('Oxford Economics'!$A$7:$AZ$1000,0,IFERROR(MATCH(F$5,'Oxford Economics'!$A$6:$AZ$6,0),MATCH(F$5&amp;"",'Oxford Economics'!$A$6:$AZ$6,0))),'Oxford Economics'!$A$7:$A$1000,$C63,'Oxford Economics'!$B$7:$B$1000,Settings!$B$30)),(SUMIFS(INDEX('Oxford Economics'!$A$7:$AZ$1000,0,IFERROR(MATCH(F$5,'Oxford Economics'!$A$6:$AZ$6,0),MATCH(F$5&amp;"",'Oxford Economics'!$A$6:$AZ$6,0))),'Oxford Economics'!$A$7:$A$1000,$C63,'Oxford Economics'!$B$7:$B$1000,Settings!$B$30)+SUMIFS(INDEX('Oxford Economics'!$A$7:$AZ$1000,0,IFERROR(MATCH(F$5,'Oxford Economics'!$A$6:$AZ$6,0),MATCH(F$5&amp;"",'Oxford Economics'!$A$6:$AZ$6,0))),'Oxford Economics'!$A$7:$A$1000,$C63,'Oxford Economics'!$B$7:$B$1000,Settings!$B$31)))),""))</f>
        <v/>
      </c>
      <c r="G63" s="41" t="str">
        <f aca="false">IF($A63="","",IFERROR(1/(1/IF($B63="Residential",(SUMIFS(INDEX('Oxford Economics'!$A$7:$AZ$1000,0,IFERROR(MATCH(G$5,'Oxford Economics'!$A$6:$AZ$6,0),MATCH(G$5&amp;"",'Oxford Economics'!$A$6:$AZ$6,0))),'Oxford Economics'!$A$7:$A$1000,$C63,'Oxford Economics'!$B$7:$B$1000,Settings!$B$29)-SUMIFS(INDEX('Oxford Economics'!$A$7:$AZ$1000,0,IFERROR(MATCH(G$5,'Oxford Economics'!$A$6:$AZ$6,0),MATCH(G$5&amp;"",'Oxford Economics'!$A$6:$AZ$6,0))),'Oxford Economics'!$A$7:$A$1000,$C63,'Oxford Economics'!$B$7:$B$1000,Settings!$B$30)),(SUMIFS(INDEX('Oxford Economics'!$A$7:$AZ$1000,0,IFERROR(MATCH(G$5,'Oxford Economics'!$A$6:$AZ$6,0),MATCH(G$5&amp;"",'Oxford Economics'!$A$6:$AZ$6,0))),'Oxford Economics'!$A$7:$A$1000,$C63,'Oxford Economics'!$B$7:$B$1000,Settings!$B$30)+SUMIFS(INDEX('Oxford Economics'!$A$7:$AZ$1000,0,IFERROR(MATCH(G$5,'Oxford Economics'!$A$6:$AZ$6,0),MATCH(G$5&amp;"",'Oxford Economics'!$A$6:$AZ$6,0))),'Oxford Economics'!$A$7:$A$1000,$C63,'Oxford Economics'!$B$7:$B$1000,Settings!$B$31)))),""))</f>
        <v/>
      </c>
      <c r="H63" s="41" t="str">
        <f aca="false">IF($A63="","",IFERROR(1/(1/IF($B63="Residential",(SUMIFS(INDEX('Oxford Economics'!$A$7:$AZ$1000,0,IFERROR(MATCH(H$5,'Oxford Economics'!$A$6:$AZ$6,0),MATCH(H$5&amp;"",'Oxford Economics'!$A$6:$AZ$6,0))),'Oxford Economics'!$A$7:$A$1000,$C63,'Oxford Economics'!$B$7:$B$1000,Settings!$B$29)-SUMIFS(INDEX('Oxford Economics'!$A$7:$AZ$1000,0,IFERROR(MATCH(H$5,'Oxford Economics'!$A$6:$AZ$6,0),MATCH(H$5&amp;"",'Oxford Economics'!$A$6:$AZ$6,0))),'Oxford Economics'!$A$7:$A$1000,$C63,'Oxford Economics'!$B$7:$B$1000,Settings!$B$30)),(SUMIFS(INDEX('Oxford Economics'!$A$7:$AZ$1000,0,IFERROR(MATCH(H$5,'Oxford Economics'!$A$6:$AZ$6,0),MATCH(H$5&amp;"",'Oxford Economics'!$A$6:$AZ$6,0))),'Oxford Economics'!$A$7:$A$1000,$C63,'Oxford Economics'!$B$7:$B$1000,Settings!$B$30)+SUMIFS(INDEX('Oxford Economics'!$A$7:$AZ$1000,0,IFERROR(MATCH(H$5,'Oxford Economics'!$A$6:$AZ$6,0),MATCH(H$5&amp;"",'Oxford Economics'!$A$6:$AZ$6,0))),'Oxford Economics'!$A$7:$A$1000,$C63,'Oxford Economics'!$B$7:$B$1000,Settings!$B$31)))),""))</f>
        <v/>
      </c>
      <c r="I63" s="41" t="str">
        <f aca="false">IF($A63="","",IFERROR(1/(1/IF($B63="Residential",(SUMIFS(INDEX('Oxford Economics'!$A$7:$AZ$1000,0,IFERROR(MATCH(I$5,'Oxford Economics'!$A$6:$AZ$6,0),MATCH(I$5&amp;"",'Oxford Economics'!$A$6:$AZ$6,0))),'Oxford Economics'!$A$7:$A$1000,$C63,'Oxford Economics'!$B$7:$B$1000,Settings!$B$29)-SUMIFS(INDEX('Oxford Economics'!$A$7:$AZ$1000,0,IFERROR(MATCH(I$5,'Oxford Economics'!$A$6:$AZ$6,0),MATCH(I$5&amp;"",'Oxford Economics'!$A$6:$AZ$6,0))),'Oxford Economics'!$A$7:$A$1000,$C63,'Oxford Economics'!$B$7:$B$1000,Settings!$B$30)),(SUMIFS(INDEX('Oxford Economics'!$A$7:$AZ$1000,0,IFERROR(MATCH(I$5,'Oxford Economics'!$A$6:$AZ$6,0),MATCH(I$5&amp;"",'Oxford Economics'!$A$6:$AZ$6,0))),'Oxford Economics'!$A$7:$A$1000,$C63,'Oxford Economics'!$B$7:$B$1000,Settings!$B$30)+SUMIFS(INDEX('Oxford Economics'!$A$7:$AZ$1000,0,IFERROR(MATCH(I$5,'Oxford Economics'!$A$6:$AZ$6,0),MATCH(I$5&amp;"",'Oxford Economics'!$A$6:$AZ$6,0))),'Oxford Economics'!$A$7:$A$1000,$C63,'Oxford Economics'!$B$7:$B$1000,Settings!$B$31)))),""))</f>
        <v/>
      </c>
      <c r="J63" s="41" t="str">
        <f aca="false">IF($A63="","",IFERROR(1/(1/IF($B63="Residential",(SUMIFS(INDEX('Oxford Economics'!$A$7:$AZ$1000,0,IFERROR(MATCH(J$5,'Oxford Economics'!$A$6:$AZ$6,0),MATCH(J$5&amp;"",'Oxford Economics'!$A$6:$AZ$6,0))),'Oxford Economics'!$A$7:$A$1000,$C63,'Oxford Economics'!$B$7:$B$1000,Settings!$B$29)-SUMIFS(INDEX('Oxford Economics'!$A$7:$AZ$1000,0,IFERROR(MATCH(J$5,'Oxford Economics'!$A$6:$AZ$6,0),MATCH(J$5&amp;"",'Oxford Economics'!$A$6:$AZ$6,0))),'Oxford Economics'!$A$7:$A$1000,$C63,'Oxford Economics'!$B$7:$B$1000,Settings!$B$30)),(SUMIFS(INDEX('Oxford Economics'!$A$7:$AZ$1000,0,IFERROR(MATCH(J$5,'Oxford Economics'!$A$6:$AZ$6,0),MATCH(J$5&amp;"",'Oxford Economics'!$A$6:$AZ$6,0))),'Oxford Economics'!$A$7:$A$1000,$C63,'Oxford Economics'!$B$7:$B$1000,Settings!$B$30)+SUMIFS(INDEX('Oxford Economics'!$A$7:$AZ$1000,0,IFERROR(MATCH(J$5,'Oxford Economics'!$A$6:$AZ$6,0),MATCH(J$5&amp;"",'Oxford Economics'!$A$6:$AZ$6,0))),'Oxford Economics'!$A$7:$A$1000,$C63,'Oxford Economics'!$B$7:$B$1000,Settings!$B$31)))),""))</f>
        <v/>
      </c>
      <c r="K63" s="41" t="str">
        <f aca="false">IF($A63="","",IFERROR(1/(1/IF($B63="Residential",(SUMIFS(INDEX('Oxford Economics'!$A$7:$AZ$1000,0,IFERROR(MATCH(K$5,'Oxford Economics'!$A$6:$AZ$6,0),MATCH(K$5&amp;"",'Oxford Economics'!$A$6:$AZ$6,0))),'Oxford Economics'!$A$7:$A$1000,$C63,'Oxford Economics'!$B$7:$B$1000,Settings!$B$29)-SUMIFS(INDEX('Oxford Economics'!$A$7:$AZ$1000,0,IFERROR(MATCH(K$5,'Oxford Economics'!$A$6:$AZ$6,0),MATCH(K$5&amp;"",'Oxford Economics'!$A$6:$AZ$6,0))),'Oxford Economics'!$A$7:$A$1000,$C63,'Oxford Economics'!$B$7:$B$1000,Settings!$B$30)),(SUMIFS(INDEX('Oxford Economics'!$A$7:$AZ$1000,0,IFERROR(MATCH(K$5,'Oxford Economics'!$A$6:$AZ$6,0),MATCH(K$5&amp;"",'Oxford Economics'!$A$6:$AZ$6,0))),'Oxford Economics'!$A$7:$A$1000,$C63,'Oxford Economics'!$B$7:$B$1000,Settings!$B$30)+SUMIFS(INDEX('Oxford Economics'!$A$7:$AZ$1000,0,IFERROR(MATCH(K$5,'Oxford Economics'!$A$6:$AZ$6,0),MATCH(K$5&amp;"",'Oxford Economics'!$A$6:$AZ$6,0))),'Oxford Economics'!$A$7:$A$1000,$C63,'Oxford Economics'!$B$7:$B$1000,Settings!$B$31)))),""))</f>
        <v/>
      </c>
      <c r="L63" s="41" t="str">
        <f aca="false">IF($A63="","",IFERROR(1/(1/IF($B63="Residential",(SUMIFS(INDEX('Oxford Economics'!$A$7:$AZ$1000,0,IFERROR(MATCH(L$5,'Oxford Economics'!$A$6:$AZ$6,0),MATCH(L$5&amp;"",'Oxford Economics'!$A$6:$AZ$6,0))),'Oxford Economics'!$A$7:$A$1000,$C63,'Oxford Economics'!$B$7:$B$1000,Settings!$B$29)-SUMIFS(INDEX('Oxford Economics'!$A$7:$AZ$1000,0,IFERROR(MATCH(L$5,'Oxford Economics'!$A$6:$AZ$6,0),MATCH(L$5&amp;"",'Oxford Economics'!$A$6:$AZ$6,0))),'Oxford Economics'!$A$7:$A$1000,$C63,'Oxford Economics'!$B$7:$B$1000,Settings!$B$30)),(SUMIFS(INDEX('Oxford Economics'!$A$7:$AZ$1000,0,IFERROR(MATCH(L$5,'Oxford Economics'!$A$6:$AZ$6,0),MATCH(L$5&amp;"",'Oxford Economics'!$A$6:$AZ$6,0))),'Oxford Economics'!$A$7:$A$1000,$C63,'Oxford Economics'!$B$7:$B$1000,Settings!$B$30)+SUMIFS(INDEX('Oxford Economics'!$A$7:$AZ$1000,0,IFERROR(MATCH(L$5,'Oxford Economics'!$A$6:$AZ$6,0),MATCH(L$5&amp;"",'Oxford Economics'!$A$6:$AZ$6,0))),'Oxford Economics'!$A$7:$A$1000,$C63,'Oxford Economics'!$B$7:$B$1000,Settings!$B$31)))),""))</f>
        <v/>
      </c>
      <c r="M63" s="41" t="str">
        <f aca="false">IF($A63="","",IFERROR(1/(1/IF($B63="Residential",(SUMIFS(INDEX('Oxford Economics'!$A$7:$AZ$1000,0,IFERROR(MATCH(M$5,'Oxford Economics'!$A$6:$AZ$6,0),MATCH(M$5&amp;"",'Oxford Economics'!$A$6:$AZ$6,0))),'Oxford Economics'!$A$7:$A$1000,$C63,'Oxford Economics'!$B$7:$B$1000,Settings!$B$29)-SUMIFS(INDEX('Oxford Economics'!$A$7:$AZ$1000,0,IFERROR(MATCH(M$5,'Oxford Economics'!$A$6:$AZ$6,0),MATCH(M$5&amp;"",'Oxford Economics'!$A$6:$AZ$6,0))),'Oxford Economics'!$A$7:$A$1000,$C63,'Oxford Economics'!$B$7:$B$1000,Settings!$B$30)),(SUMIFS(INDEX('Oxford Economics'!$A$7:$AZ$1000,0,IFERROR(MATCH(M$5,'Oxford Economics'!$A$6:$AZ$6,0),MATCH(M$5&amp;"",'Oxford Economics'!$A$6:$AZ$6,0))),'Oxford Economics'!$A$7:$A$1000,$C63,'Oxford Economics'!$B$7:$B$1000,Settings!$B$30)+SUMIFS(INDEX('Oxford Economics'!$A$7:$AZ$1000,0,IFERROR(MATCH(M$5,'Oxford Economics'!$A$6:$AZ$6,0),MATCH(M$5&amp;"",'Oxford Economics'!$A$6:$AZ$6,0))),'Oxford Economics'!$A$7:$A$1000,$C63,'Oxford Economics'!$B$7:$B$1000,Settings!$B$31)))),""))</f>
        <v/>
      </c>
      <c r="N63" s="41" t="str">
        <f aca="false">IF($A63="","",IFERROR(1/(1/IF($B63="Residential",(SUMIFS(INDEX('Oxford Economics'!$A$7:$AZ$1000,0,IFERROR(MATCH(N$5,'Oxford Economics'!$A$6:$AZ$6,0),MATCH(N$5&amp;"",'Oxford Economics'!$A$6:$AZ$6,0))),'Oxford Economics'!$A$7:$A$1000,$C63,'Oxford Economics'!$B$7:$B$1000,Settings!$B$29)-SUMIFS(INDEX('Oxford Economics'!$A$7:$AZ$1000,0,IFERROR(MATCH(N$5,'Oxford Economics'!$A$6:$AZ$6,0),MATCH(N$5&amp;"",'Oxford Economics'!$A$6:$AZ$6,0))),'Oxford Economics'!$A$7:$A$1000,$C63,'Oxford Economics'!$B$7:$B$1000,Settings!$B$30)),(SUMIFS(INDEX('Oxford Economics'!$A$7:$AZ$1000,0,IFERROR(MATCH(N$5,'Oxford Economics'!$A$6:$AZ$6,0),MATCH(N$5&amp;"",'Oxford Economics'!$A$6:$AZ$6,0))),'Oxford Economics'!$A$7:$A$1000,$C63,'Oxford Economics'!$B$7:$B$1000,Settings!$B$30)+SUMIFS(INDEX('Oxford Economics'!$A$7:$AZ$1000,0,IFERROR(MATCH(N$5,'Oxford Economics'!$A$6:$AZ$6,0),MATCH(N$5&amp;"",'Oxford Economics'!$A$6:$AZ$6,0))),'Oxford Economics'!$A$7:$A$1000,$C63,'Oxford Economics'!$B$7:$B$1000,Settings!$B$31)))),""))</f>
        <v/>
      </c>
      <c r="O63" s="41" t="str">
        <f aca="false">IF($A63="","",IFERROR(1/(1/IF($B63="Residential",(SUMIFS(INDEX('Oxford Economics'!$A$7:$AZ$1000,0,IFERROR(MATCH(O$5,'Oxford Economics'!$A$6:$AZ$6,0),MATCH(O$5&amp;"",'Oxford Economics'!$A$6:$AZ$6,0))),'Oxford Economics'!$A$7:$A$1000,$C63,'Oxford Economics'!$B$7:$B$1000,Settings!$B$29)-SUMIFS(INDEX('Oxford Economics'!$A$7:$AZ$1000,0,IFERROR(MATCH(O$5,'Oxford Economics'!$A$6:$AZ$6,0),MATCH(O$5&amp;"",'Oxford Economics'!$A$6:$AZ$6,0))),'Oxford Economics'!$A$7:$A$1000,$C63,'Oxford Economics'!$B$7:$B$1000,Settings!$B$30)),(SUMIFS(INDEX('Oxford Economics'!$A$7:$AZ$1000,0,IFERROR(MATCH(O$5,'Oxford Economics'!$A$6:$AZ$6,0),MATCH(O$5&amp;"",'Oxford Economics'!$A$6:$AZ$6,0))),'Oxford Economics'!$A$7:$A$1000,$C63,'Oxford Economics'!$B$7:$B$1000,Settings!$B$30)+SUMIFS(INDEX('Oxford Economics'!$A$7:$AZ$1000,0,IFERROR(MATCH(O$5,'Oxford Economics'!$A$6:$AZ$6,0),MATCH(O$5&amp;"",'Oxford Economics'!$A$6:$AZ$6,0))),'Oxford Economics'!$A$7:$A$1000,$C63,'Oxford Economics'!$B$7:$B$1000,Settings!$B$31)))),""))</f>
        <v/>
      </c>
    </row>
    <row r="64" customFormat="false" ht="15" hidden="false" customHeight="false" outlineLevel="0" collapsed="false">
      <c r="A64" s="40" t="str">
        <f aca="false">IF('Raw data'!$A64="","",'Raw data'!$A64)</f>
        <v/>
      </c>
      <c r="B64" s="40" t="str">
        <f aca="false">IF($A64="","",'Raw data'!$C64)</f>
        <v/>
      </c>
      <c r="C64" s="40" t="str">
        <f aca="false">IF($A64="","",IF('Raw data'!$D64="",$A64,'Raw data'!$D64))</f>
        <v/>
      </c>
      <c r="D64" s="41" t="str">
        <f aca="false">IF($A64="","",IFERROR(1/(1/IF($B64="Residential",(SUMIFS(INDEX('Oxford Economics'!$A$7:$AZ$1000,0,IFERROR(MATCH(D$5,'Oxford Economics'!$A$6:$AZ$6,0),MATCH(D$5&amp;"",'Oxford Economics'!$A$6:$AZ$6,0))),'Oxford Economics'!$A$7:$A$1000,$C64,'Oxford Economics'!$B$7:$B$1000,Settings!$B$29)-SUMIFS(INDEX('Oxford Economics'!$A$7:$AZ$1000,0,IFERROR(MATCH(D$5,'Oxford Economics'!$A$6:$AZ$6,0),MATCH(D$5&amp;"",'Oxford Economics'!$A$6:$AZ$6,0))),'Oxford Economics'!$A$7:$A$1000,$C64,'Oxford Economics'!$B$7:$B$1000,Settings!$B$30)),(SUMIFS(INDEX('Oxford Economics'!$A$7:$AZ$1000,0,IFERROR(MATCH(D$5,'Oxford Economics'!$A$6:$AZ$6,0),MATCH(D$5&amp;"",'Oxford Economics'!$A$6:$AZ$6,0))),'Oxford Economics'!$A$7:$A$1000,$C64,'Oxford Economics'!$B$7:$B$1000,Settings!$B$30)+SUMIFS(INDEX('Oxford Economics'!$A$7:$AZ$1000,0,IFERROR(MATCH(D$5,'Oxford Economics'!$A$6:$AZ$6,0),MATCH(D$5&amp;"",'Oxford Economics'!$A$6:$AZ$6,0))),'Oxford Economics'!$A$7:$A$1000,$C64,'Oxford Economics'!$B$7:$B$1000,Settings!$B$31)))),""))</f>
        <v/>
      </c>
      <c r="E64" s="41" t="str">
        <f aca="false">IF($A64="","",IFERROR(1/(1/IF($B64="Residential",(SUMIFS(INDEX('Oxford Economics'!$A$7:$AZ$1000,0,IFERROR(MATCH(E$5,'Oxford Economics'!$A$6:$AZ$6,0),MATCH(E$5&amp;"",'Oxford Economics'!$A$6:$AZ$6,0))),'Oxford Economics'!$A$7:$A$1000,$C64,'Oxford Economics'!$B$7:$B$1000,Settings!$B$29)-SUMIFS(INDEX('Oxford Economics'!$A$7:$AZ$1000,0,IFERROR(MATCH(E$5,'Oxford Economics'!$A$6:$AZ$6,0),MATCH(E$5&amp;"",'Oxford Economics'!$A$6:$AZ$6,0))),'Oxford Economics'!$A$7:$A$1000,$C64,'Oxford Economics'!$B$7:$B$1000,Settings!$B$30)),(SUMIFS(INDEX('Oxford Economics'!$A$7:$AZ$1000,0,IFERROR(MATCH(E$5,'Oxford Economics'!$A$6:$AZ$6,0),MATCH(E$5&amp;"",'Oxford Economics'!$A$6:$AZ$6,0))),'Oxford Economics'!$A$7:$A$1000,$C64,'Oxford Economics'!$B$7:$B$1000,Settings!$B$30)+SUMIFS(INDEX('Oxford Economics'!$A$7:$AZ$1000,0,IFERROR(MATCH(E$5,'Oxford Economics'!$A$6:$AZ$6,0),MATCH(E$5&amp;"",'Oxford Economics'!$A$6:$AZ$6,0))),'Oxford Economics'!$A$7:$A$1000,$C64,'Oxford Economics'!$B$7:$B$1000,Settings!$B$31)))),""))</f>
        <v/>
      </c>
      <c r="F64" s="41" t="str">
        <f aca="false">IF($A64="","",IFERROR(1/(1/IF($B64="Residential",(SUMIFS(INDEX('Oxford Economics'!$A$7:$AZ$1000,0,IFERROR(MATCH(F$5,'Oxford Economics'!$A$6:$AZ$6,0),MATCH(F$5&amp;"",'Oxford Economics'!$A$6:$AZ$6,0))),'Oxford Economics'!$A$7:$A$1000,$C64,'Oxford Economics'!$B$7:$B$1000,Settings!$B$29)-SUMIFS(INDEX('Oxford Economics'!$A$7:$AZ$1000,0,IFERROR(MATCH(F$5,'Oxford Economics'!$A$6:$AZ$6,0),MATCH(F$5&amp;"",'Oxford Economics'!$A$6:$AZ$6,0))),'Oxford Economics'!$A$7:$A$1000,$C64,'Oxford Economics'!$B$7:$B$1000,Settings!$B$30)),(SUMIFS(INDEX('Oxford Economics'!$A$7:$AZ$1000,0,IFERROR(MATCH(F$5,'Oxford Economics'!$A$6:$AZ$6,0),MATCH(F$5&amp;"",'Oxford Economics'!$A$6:$AZ$6,0))),'Oxford Economics'!$A$7:$A$1000,$C64,'Oxford Economics'!$B$7:$B$1000,Settings!$B$30)+SUMIFS(INDEX('Oxford Economics'!$A$7:$AZ$1000,0,IFERROR(MATCH(F$5,'Oxford Economics'!$A$6:$AZ$6,0),MATCH(F$5&amp;"",'Oxford Economics'!$A$6:$AZ$6,0))),'Oxford Economics'!$A$7:$A$1000,$C64,'Oxford Economics'!$B$7:$B$1000,Settings!$B$31)))),""))</f>
        <v/>
      </c>
      <c r="G64" s="41" t="str">
        <f aca="false">IF($A64="","",IFERROR(1/(1/IF($B64="Residential",(SUMIFS(INDEX('Oxford Economics'!$A$7:$AZ$1000,0,IFERROR(MATCH(G$5,'Oxford Economics'!$A$6:$AZ$6,0),MATCH(G$5&amp;"",'Oxford Economics'!$A$6:$AZ$6,0))),'Oxford Economics'!$A$7:$A$1000,$C64,'Oxford Economics'!$B$7:$B$1000,Settings!$B$29)-SUMIFS(INDEX('Oxford Economics'!$A$7:$AZ$1000,0,IFERROR(MATCH(G$5,'Oxford Economics'!$A$6:$AZ$6,0),MATCH(G$5&amp;"",'Oxford Economics'!$A$6:$AZ$6,0))),'Oxford Economics'!$A$7:$A$1000,$C64,'Oxford Economics'!$B$7:$B$1000,Settings!$B$30)),(SUMIFS(INDEX('Oxford Economics'!$A$7:$AZ$1000,0,IFERROR(MATCH(G$5,'Oxford Economics'!$A$6:$AZ$6,0),MATCH(G$5&amp;"",'Oxford Economics'!$A$6:$AZ$6,0))),'Oxford Economics'!$A$7:$A$1000,$C64,'Oxford Economics'!$B$7:$B$1000,Settings!$B$30)+SUMIFS(INDEX('Oxford Economics'!$A$7:$AZ$1000,0,IFERROR(MATCH(G$5,'Oxford Economics'!$A$6:$AZ$6,0),MATCH(G$5&amp;"",'Oxford Economics'!$A$6:$AZ$6,0))),'Oxford Economics'!$A$7:$A$1000,$C64,'Oxford Economics'!$B$7:$B$1000,Settings!$B$31)))),""))</f>
        <v/>
      </c>
      <c r="H64" s="41" t="str">
        <f aca="false">IF($A64="","",IFERROR(1/(1/IF($B64="Residential",(SUMIFS(INDEX('Oxford Economics'!$A$7:$AZ$1000,0,IFERROR(MATCH(H$5,'Oxford Economics'!$A$6:$AZ$6,0),MATCH(H$5&amp;"",'Oxford Economics'!$A$6:$AZ$6,0))),'Oxford Economics'!$A$7:$A$1000,$C64,'Oxford Economics'!$B$7:$B$1000,Settings!$B$29)-SUMIFS(INDEX('Oxford Economics'!$A$7:$AZ$1000,0,IFERROR(MATCH(H$5,'Oxford Economics'!$A$6:$AZ$6,0),MATCH(H$5&amp;"",'Oxford Economics'!$A$6:$AZ$6,0))),'Oxford Economics'!$A$7:$A$1000,$C64,'Oxford Economics'!$B$7:$B$1000,Settings!$B$30)),(SUMIFS(INDEX('Oxford Economics'!$A$7:$AZ$1000,0,IFERROR(MATCH(H$5,'Oxford Economics'!$A$6:$AZ$6,0),MATCH(H$5&amp;"",'Oxford Economics'!$A$6:$AZ$6,0))),'Oxford Economics'!$A$7:$A$1000,$C64,'Oxford Economics'!$B$7:$B$1000,Settings!$B$30)+SUMIFS(INDEX('Oxford Economics'!$A$7:$AZ$1000,0,IFERROR(MATCH(H$5,'Oxford Economics'!$A$6:$AZ$6,0),MATCH(H$5&amp;"",'Oxford Economics'!$A$6:$AZ$6,0))),'Oxford Economics'!$A$7:$A$1000,$C64,'Oxford Economics'!$B$7:$B$1000,Settings!$B$31)))),""))</f>
        <v/>
      </c>
      <c r="I64" s="41" t="str">
        <f aca="false">IF($A64="","",IFERROR(1/(1/IF($B64="Residential",(SUMIFS(INDEX('Oxford Economics'!$A$7:$AZ$1000,0,IFERROR(MATCH(I$5,'Oxford Economics'!$A$6:$AZ$6,0),MATCH(I$5&amp;"",'Oxford Economics'!$A$6:$AZ$6,0))),'Oxford Economics'!$A$7:$A$1000,$C64,'Oxford Economics'!$B$7:$B$1000,Settings!$B$29)-SUMIFS(INDEX('Oxford Economics'!$A$7:$AZ$1000,0,IFERROR(MATCH(I$5,'Oxford Economics'!$A$6:$AZ$6,0),MATCH(I$5&amp;"",'Oxford Economics'!$A$6:$AZ$6,0))),'Oxford Economics'!$A$7:$A$1000,$C64,'Oxford Economics'!$B$7:$B$1000,Settings!$B$30)),(SUMIFS(INDEX('Oxford Economics'!$A$7:$AZ$1000,0,IFERROR(MATCH(I$5,'Oxford Economics'!$A$6:$AZ$6,0),MATCH(I$5&amp;"",'Oxford Economics'!$A$6:$AZ$6,0))),'Oxford Economics'!$A$7:$A$1000,$C64,'Oxford Economics'!$B$7:$B$1000,Settings!$B$30)+SUMIFS(INDEX('Oxford Economics'!$A$7:$AZ$1000,0,IFERROR(MATCH(I$5,'Oxford Economics'!$A$6:$AZ$6,0),MATCH(I$5&amp;"",'Oxford Economics'!$A$6:$AZ$6,0))),'Oxford Economics'!$A$7:$A$1000,$C64,'Oxford Economics'!$B$7:$B$1000,Settings!$B$31)))),""))</f>
        <v/>
      </c>
      <c r="J64" s="41" t="str">
        <f aca="false">IF($A64="","",IFERROR(1/(1/IF($B64="Residential",(SUMIFS(INDEX('Oxford Economics'!$A$7:$AZ$1000,0,IFERROR(MATCH(J$5,'Oxford Economics'!$A$6:$AZ$6,0),MATCH(J$5&amp;"",'Oxford Economics'!$A$6:$AZ$6,0))),'Oxford Economics'!$A$7:$A$1000,$C64,'Oxford Economics'!$B$7:$B$1000,Settings!$B$29)-SUMIFS(INDEX('Oxford Economics'!$A$7:$AZ$1000,0,IFERROR(MATCH(J$5,'Oxford Economics'!$A$6:$AZ$6,0),MATCH(J$5&amp;"",'Oxford Economics'!$A$6:$AZ$6,0))),'Oxford Economics'!$A$7:$A$1000,$C64,'Oxford Economics'!$B$7:$B$1000,Settings!$B$30)),(SUMIFS(INDEX('Oxford Economics'!$A$7:$AZ$1000,0,IFERROR(MATCH(J$5,'Oxford Economics'!$A$6:$AZ$6,0),MATCH(J$5&amp;"",'Oxford Economics'!$A$6:$AZ$6,0))),'Oxford Economics'!$A$7:$A$1000,$C64,'Oxford Economics'!$B$7:$B$1000,Settings!$B$30)+SUMIFS(INDEX('Oxford Economics'!$A$7:$AZ$1000,0,IFERROR(MATCH(J$5,'Oxford Economics'!$A$6:$AZ$6,0),MATCH(J$5&amp;"",'Oxford Economics'!$A$6:$AZ$6,0))),'Oxford Economics'!$A$7:$A$1000,$C64,'Oxford Economics'!$B$7:$B$1000,Settings!$B$31)))),""))</f>
        <v/>
      </c>
      <c r="K64" s="41" t="str">
        <f aca="false">IF($A64="","",IFERROR(1/(1/IF($B64="Residential",(SUMIFS(INDEX('Oxford Economics'!$A$7:$AZ$1000,0,IFERROR(MATCH(K$5,'Oxford Economics'!$A$6:$AZ$6,0),MATCH(K$5&amp;"",'Oxford Economics'!$A$6:$AZ$6,0))),'Oxford Economics'!$A$7:$A$1000,$C64,'Oxford Economics'!$B$7:$B$1000,Settings!$B$29)-SUMIFS(INDEX('Oxford Economics'!$A$7:$AZ$1000,0,IFERROR(MATCH(K$5,'Oxford Economics'!$A$6:$AZ$6,0),MATCH(K$5&amp;"",'Oxford Economics'!$A$6:$AZ$6,0))),'Oxford Economics'!$A$7:$A$1000,$C64,'Oxford Economics'!$B$7:$B$1000,Settings!$B$30)),(SUMIFS(INDEX('Oxford Economics'!$A$7:$AZ$1000,0,IFERROR(MATCH(K$5,'Oxford Economics'!$A$6:$AZ$6,0),MATCH(K$5&amp;"",'Oxford Economics'!$A$6:$AZ$6,0))),'Oxford Economics'!$A$7:$A$1000,$C64,'Oxford Economics'!$B$7:$B$1000,Settings!$B$30)+SUMIFS(INDEX('Oxford Economics'!$A$7:$AZ$1000,0,IFERROR(MATCH(K$5,'Oxford Economics'!$A$6:$AZ$6,0),MATCH(K$5&amp;"",'Oxford Economics'!$A$6:$AZ$6,0))),'Oxford Economics'!$A$7:$A$1000,$C64,'Oxford Economics'!$B$7:$B$1000,Settings!$B$31)))),""))</f>
        <v/>
      </c>
      <c r="L64" s="41" t="str">
        <f aca="false">IF($A64="","",IFERROR(1/(1/IF($B64="Residential",(SUMIFS(INDEX('Oxford Economics'!$A$7:$AZ$1000,0,IFERROR(MATCH(L$5,'Oxford Economics'!$A$6:$AZ$6,0),MATCH(L$5&amp;"",'Oxford Economics'!$A$6:$AZ$6,0))),'Oxford Economics'!$A$7:$A$1000,$C64,'Oxford Economics'!$B$7:$B$1000,Settings!$B$29)-SUMIFS(INDEX('Oxford Economics'!$A$7:$AZ$1000,0,IFERROR(MATCH(L$5,'Oxford Economics'!$A$6:$AZ$6,0),MATCH(L$5&amp;"",'Oxford Economics'!$A$6:$AZ$6,0))),'Oxford Economics'!$A$7:$A$1000,$C64,'Oxford Economics'!$B$7:$B$1000,Settings!$B$30)),(SUMIFS(INDEX('Oxford Economics'!$A$7:$AZ$1000,0,IFERROR(MATCH(L$5,'Oxford Economics'!$A$6:$AZ$6,0),MATCH(L$5&amp;"",'Oxford Economics'!$A$6:$AZ$6,0))),'Oxford Economics'!$A$7:$A$1000,$C64,'Oxford Economics'!$B$7:$B$1000,Settings!$B$30)+SUMIFS(INDEX('Oxford Economics'!$A$7:$AZ$1000,0,IFERROR(MATCH(L$5,'Oxford Economics'!$A$6:$AZ$6,0),MATCH(L$5&amp;"",'Oxford Economics'!$A$6:$AZ$6,0))),'Oxford Economics'!$A$7:$A$1000,$C64,'Oxford Economics'!$B$7:$B$1000,Settings!$B$31)))),""))</f>
        <v/>
      </c>
      <c r="M64" s="41" t="str">
        <f aca="false">IF($A64="","",IFERROR(1/(1/IF($B64="Residential",(SUMIFS(INDEX('Oxford Economics'!$A$7:$AZ$1000,0,IFERROR(MATCH(M$5,'Oxford Economics'!$A$6:$AZ$6,0),MATCH(M$5&amp;"",'Oxford Economics'!$A$6:$AZ$6,0))),'Oxford Economics'!$A$7:$A$1000,$C64,'Oxford Economics'!$B$7:$B$1000,Settings!$B$29)-SUMIFS(INDEX('Oxford Economics'!$A$7:$AZ$1000,0,IFERROR(MATCH(M$5,'Oxford Economics'!$A$6:$AZ$6,0),MATCH(M$5&amp;"",'Oxford Economics'!$A$6:$AZ$6,0))),'Oxford Economics'!$A$7:$A$1000,$C64,'Oxford Economics'!$B$7:$B$1000,Settings!$B$30)),(SUMIFS(INDEX('Oxford Economics'!$A$7:$AZ$1000,0,IFERROR(MATCH(M$5,'Oxford Economics'!$A$6:$AZ$6,0),MATCH(M$5&amp;"",'Oxford Economics'!$A$6:$AZ$6,0))),'Oxford Economics'!$A$7:$A$1000,$C64,'Oxford Economics'!$B$7:$B$1000,Settings!$B$30)+SUMIFS(INDEX('Oxford Economics'!$A$7:$AZ$1000,0,IFERROR(MATCH(M$5,'Oxford Economics'!$A$6:$AZ$6,0),MATCH(M$5&amp;"",'Oxford Economics'!$A$6:$AZ$6,0))),'Oxford Economics'!$A$7:$A$1000,$C64,'Oxford Economics'!$B$7:$B$1000,Settings!$B$31)))),""))</f>
        <v/>
      </c>
      <c r="N64" s="41" t="str">
        <f aca="false">IF($A64="","",IFERROR(1/(1/IF($B64="Residential",(SUMIFS(INDEX('Oxford Economics'!$A$7:$AZ$1000,0,IFERROR(MATCH(N$5,'Oxford Economics'!$A$6:$AZ$6,0),MATCH(N$5&amp;"",'Oxford Economics'!$A$6:$AZ$6,0))),'Oxford Economics'!$A$7:$A$1000,$C64,'Oxford Economics'!$B$7:$B$1000,Settings!$B$29)-SUMIFS(INDEX('Oxford Economics'!$A$7:$AZ$1000,0,IFERROR(MATCH(N$5,'Oxford Economics'!$A$6:$AZ$6,0),MATCH(N$5&amp;"",'Oxford Economics'!$A$6:$AZ$6,0))),'Oxford Economics'!$A$7:$A$1000,$C64,'Oxford Economics'!$B$7:$B$1000,Settings!$B$30)),(SUMIFS(INDEX('Oxford Economics'!$A$7:$AZ$1000,0,IFERROR(MATCH(N$5,'Oxford Economics'!$A$6:$AZ$6,0),MATCH(N$5&amp;"",'Oxford Economics'!$A$6:$AZ$6,0))),'Oxford Economics'!$A$7:$A$1000,$C64,'Oxford Economics'!$B$7:$B$1000,Settings!$B$30)+SUMIFS(INDEX('Oxford Economics'!$A$7:$AZ$1000,0,IFERROR(MATCH(N$5,'Oxford Economics'!$A$6:$AZ$6,0),MATCH(N$5&amp;"",'Oxford Economics'!$A$6:$AZ$6,0))),'Oxford Economics'!$A$7:$A$1000,$C64,'Oxford Economics'!$B$7:$B$1000,Settings!$B$31)))),""))</f>
        <v/>
      </c>
      <c r="O64" s="41" t="str">
        <f aca="false">IF($A64="","",IFERROR(1/(1/IF($B64="Residential",(SUMIFS(INDEX('Oxford Economics'!$A$7:$AZ$1000,0,IFERROR(MATCH(O$5,'Oxford Economics'!$A$6:$AZ$6,0),MATCH(O$5&amp;"",'Oxford Economics'!$A$6:$AZ$6,0))),'Oxford Economics'!$A$7:$A$1000,$C64,'Oxford Economics'!$B$7:$B$1000,Settings!$B$29)-SUMIFS(INDEX('Oxford Economics'!$A$7:$AZ$1000,0,IFERROR(MATCH(O$5,'Oxford Economics'!$A$6:$AZ$6,0),MATCH(O$5&amp;"",'Oxford Economics'!$A$6:$AZ$6,0))),'Oxford Economics'!$A$7:$A$1000,$C64,'Oxford Economics'!$B$7:$B$1000,Settings!$B$30)),(SUMIFS(INDEX('Oxford Economics'!$A$7:$AZ$1000,0,IFERROR(MATCH(O$5,'Oxford Economics'!$A$6:$AZ$6,0),MATCH(O$5&amp;"",'Oxford Economics'!$A$6:$AZ$6,0))),'Oxford Economics'!$A$7:$A$1000,$C64,'Oxford Economics'!$B$7:$B$1000,Settings!$B$30)+SUMIFS(INDEX('Oxford Economics'!$A$7:$AZ$1000,0,IFERROR(MATCH(O$5,'Oxford Economics'!$A$6:$AZ$6,0),MATCH(O$5&amp;"",'Oxford Economics'!$A$6:$AZ$6,0))),'Oxford Economics'!$A$7:$A$1000,$C64,'Oxford Economics'!$B$7:$B$1000,Settings!$B$31)))),""))</f>
        <v/>
      </c>
    </row>
    <row r="65" customFormat="false" ht="15" hidden="false" customHeight="false" outlineLevel="0" collapsed="false">
      <c r="A65" s="40" t="str">
        <f aca="false">IF('Raw data'!$A65="","",'Raw data'!$A65)</f>
        <v/>
      </c>
      <c r="B65" s="40" t="str">
        <f aca="false">IF($A65="","",'Raw data'!$C65)</f>
        <v/>
      </c>
      <c r="C65" s="40" t="str">
        <f aca="false">IF($A65="","",IF('Raw data'!$D65="",$A65,'Raw data'!$D65))</f>
        <v/>
      </c>
      <c r="D65" s="41" t="str">
        <f aca="false">IF($A65="","",IFERROR(1/(1/IF($B65="Residential",(SUMIFS(INDEX('Oxford Economics'!$A$7:$AZ$1000,0,IFERROR(MATCH(D$5,'Oxford Economics'!$A$6:$AZ$6,0),MATCH(D$5&amp;"",'Oxford Economics'!$A$6:$AZ$6,0))),'Oxford Economics'!$A$7:$A$1000,$C65,'Oxford Economics'!$B$7:$B$1000,Settings!$B$29)-SUMIFS(INDEX('Oxford Economics'!$A$7:$AZ$1000,0,IFERROR(MATCH(D$5,'Oxford Economics'!$A$6:$AZ$6,0),MATCH(D$5&amp;"",'Oxford Economics'!$A$6:$AZ$6,0))),'Oxford Economics'!$A$7:$A$1000,$C65,'Oxford Economics'!$B$7:$B$1000,Settings!$B$30)),(SUMIFS(INDEX('Oxford Economics'!$A$7:$AZ$1000,0,IFERROR(MATCH(D$5,'Oxford Economics'!$A$6:$AZ$6,0),MATCH(D$5&amp;"",'Oxford Economics'!$A$6:$AZ$6,0))),'Oxford Economics'!$A$7:$A$1000,$C65,'Oxford Economics'!$B$7:$B$1000,Settings!$B$30)+SUMIFS(INDEX('Oxford Economics'!$A$7:$AZ$1000,0,IFERROR(MATCH(D$5,'Oxford Economics'!$A$6:$AZ$6,0),MATCH(D$5&amp;"",'Oxford Economics'!$A$6:$AZ$6,0))),'Oxford Economics'!$A$7:$A$1000,$C65,'Oxford Economics'!$B$7:$B$1000,Settings!$B$31)))),""))</f>
        <v/>
      </c>
      <c r="E65" s="41" t="str">
        <f aca="false">IF($A65="","",IFERROR(1/(1/IF($B65="Residential",(SUMIFS(INDEX('Oxford Economics'!$A$7:$AZ$1000,0,IFERROR(MATCH(E$5,'Oxford Economics'!$A$6:$AZ$6,0),MATCH(E$5&amp;"",'Oxford Economics'!$A$6:$AZ$6,0))),'Oxford Economics'!$A$7:$A$1000,$C65,'Oxford Economics'!$B$7:$B$1000,Settings!$B$29)-SUMIFS(INDEX('Oxford Economics'!$A$7:$AZ$1000,0,IFERROR(MATCH(E$5,'Oxford Economics'!$A$6:$AZ$6,0),MATCH(E$5&amp;"",'Oxford Economics'!$A$6:$AZ$6,0))),'Oxford Economics'!$A$7:$A$1000,$C65,'Oxford Economics'!$B$7:$B$1000,Settings!$B$30)),(SUMIFS(INDEX('Oxford Economics'!$A$7:$AZ$1000,0,IFERROR(MATCH(E$5,'Oxford Economics'!$A$6:$AZ$6,0),MATCH(E$5&amp;"",'Oxford Economics'!$A$6:$AZ$6,0))),'Oxford Economics'!$A$7:$A$1000,$C65,'Oxford Economics'!$B$7:$B$1000,Settings!$B$30)+SUMIFS(INDEX('Oxford Economics'!$A$7:$AZ$1000,0,IFERROR(MATCH(E$5,'Oxford Economics'!$A$6:$AZ$6,0),MATCH(E$5&amp;"",'Oxford Economics'!$A$6:$AZ$6,0))),'Oxford Economics'!$A$7:$A$1000,$C65,'Oxford Economics'!$B$7:$B$1000,Settings!$B$31)))),""))</f>
        <v/>
      </c>
      <c r="F65" s="41" t="str">
        <f aca="false">IF($A65="","",IFERROR(1/(1/IF($B65="Residential",(SUMIFS(INDEX('Oxford Economics'!$A$7:$AZ$1000,0,IFERROR(MATCH(F$5,'Oxford Economics'!$A$6:$AZ$6,0),MATCH(F$5&amp;"",'Oxford Economics'!$A$6:$AZ$6,0))),'Oxford Economics'!$A$7:$A$1000,$C65,'Oxford Economics'!$B$7:$B$1000,Settings!$B$29)-SUMIFS(INDEX('Oxford Economics'!$A$7:$AZ$1000,0,IFERROR(MATCH(F$5,'Oxford Economics'!$A$6:$AZ$6,0),MATCH(F$5&amp;"",'Oxford Economics'!$A$6:$AZ$6,0))),'Oxford Economics'!$A$7:$A$1000,$C65,'Oxford Economics'!$B$7:$B$1000,Settings!$B$30)),(SUMIFS(INDEX('Oxford Economics'!$A$7:$AZ$1000,0,IFERROR(MATCH(F$5,'Oxford Economics'!$A$6:$AZ$6,0),MATCH(F$5&amp;"",'Oxford Economics'!$A$6:$AZ$6,0))),'Oxford Economics'!$A$7:$A$1000,$C65,'Oxford Economics'!$B$7:$B$1000,Settings!$B$30)+SUMIFS(INDEX('Oxford Economics'!$A$7:$AZ$1000,0,IFERROR(MATCH(F$5,'Oxford Economics'!$A$6:$AZ$6,0),MATCH(F$5&amp;"",'Oxford Economics'!$A$6:$AZ$6,0))),'Oxford Economics'!$A$7:$A$1000,$C65,'Oxford Economics'!$B$7:$B$1000,Settings!$B$31)))),""))</f>
        <v/>
      </c>
      <c r="G65" s="41" t="str">
        <f aca="false">IF($A65="","",IFERROR(1/(1/IF($B65="Residential",(SUMIFS(INDEX('Oxford Economics'!$A$7:$AZ$1000,0,IFERROR(MATCH(G$5,'Oxford Economics'!$A$6:$AZ$6,0),MATCH(G$5&amp;"",'Oxford Economics'!$A$6:$AZ$6,0))),'Oxford Economics'!$A$7:$A$1000,$C65,'Oxford Economics'!$B$7:$B$1000,Settings!$B$29)-SUMIFS(INDEX('Oxford Economics'!$A$7:$AZ$1000,0,IFERROR(MATCH(G$5,'Oxford Economics'!$A$6:$AZ$6,0),MATCH(G$5&amp;"",'Oxford Economics'!$A$6:$AZ$6,0))),'Oxford Economics'!$A$7:$A$1000,$C65,'Oxford Economics'!$B$7:$B$1000,Settings!$B$30)),(SUMIFS(INDEX('Oxford Economics'!$A$7:$AZ$1000,0,IFERROR(MATCH(G$5,'Oxford Economics'!$A$6:$AZ$6,0),MATCH(G$5&amp;"",'Oxford Economics'!$A$6:$AZ$6,0))),'Oxford Economics'!$A$7:$A$1000,$C65,'Oxford Economics'!$B$7:$B$1000,Settings!$B$30)+SUMIFS(INDEX('Oxford Economics'!$A$7:$AZ$1000,0,IFERROR(MATCH(G$5,'Oxford Economics'!$A$6:$AZ$6,0),MATCH(G$5&amp;"",'Oxford Economics'!$A$6:$AZ$6,0))),'Oxford Economics'!$A$7:$A$1000,$C65,'Oxford Economics'!$B$7:$B$1000,Settings!$B$31)))),""))</f>
        <v/>
      </c>
      <c r="H65" s="41" t="str">
        <f aca="false">IF($A65="","",IFERROR(1/(1/IF($B65="Residential",(SUMIFS(INDEX('Oxford Economics'!$A$7:$AZ$1000,0,IFERROR(MATCH(H$5,'Oxford Economics'!$A$6:$AZ$6,0),MATCH(H$5&amp;"",'Oxford Economics'!$A$6:$AZ$6,0))),'Oxford Economics'!$A$7:$A$1000,$C65,'Oxford Economics'!$B$7:$B$1000,Settings!$B$29)-SUMIFS(INDEX('Oxford Economics'!$A$7:$AZ$1000,0,IFERROR(MATCH(H$5,'Oxford Economics'!$A$6:$AZ$6,0),MATCH(H$5&amp;"",'Oxford Economics'!$A$6:$AZ$6,0))),'Oxford Economics'!$A$7:$A$1000,$C65,'Oxford Economics'!$B$7:$B$1000,Settings!$B$30)),(SUMIFS(INDEX('Oxford Economics'!$A$7:$AZ$1000,0,IFERROR(MATCH(H$5,'Oxford Economics'!$A$6:$AZ$6,0),MATCH(H$5&amp;"",'Oxford Economics'!$A$6:$AZ$6,0))),'Oxford Economics'!$A$7:$A$1000,$C65,'Oxford Economics'!$B$7:$B$1000,Settings!$B$30)+SUMIFS(INDEX('Oxford Economics'!$A$7:$AZ$1000,0,IFERROR(MATCH(H$5,'Oxford Economics'!$A$6:$AZ$6,0),MATCH(H$5&amp;"",'Oxford Economics'!$A$6:$AZ$6,0))),'Oxford Economics'!$A$7:$A$1000,$C65,'Oxford Economics'!$B$7:$B$1000,Settings!$B$31)))),""))</f>
        <v/>
      </c>
      <c r="I65" s="41" t="str">
        <f aca="false">IF($A65="","",IFERROR(1/(1/IF($B65="Residential",(SUMIFS(INDEX('Oxford Economics'!$A$7:$AZ$1000,0,IFERROR(MATCH(I$5,'Oxford Economics'!$A$6:$AZ$6,0),MATCH(I$5&amp;"",'Oxford Economics'!$A$6:$AZ$6,0))),'Oxford Economics'!$A$7:$A$1000,$C65,'Oxford Economics'!$B$7:$B$1000,Settings!$B$29)-SUMIFS(INDEX('Oxford Economics'!$A$7:$AZ$1000,0,IFERROR(MATCH(I$5,'Oxford Economics'!$A$6:$AZ$6,0),MATCH(I$5&amp;"",'Oxford Economics'!$A$6:$AZ$6,0))),'Oxford Economics'!$A$7:$A$1000,$C65,'Oxford Economics'!$B$7:$B$1000,Settings!$B$30)),(SUMIFS(INDEX('Oxford Economics'!$A$7:$AZ$1000,0,IFERROR(MATCH(I$5,'Oxford Economics'!$A$6:$AZ$6,0),MATCH(I$5&amp;"",'Oxford Economics'!$A$6:$AZ$6,0))),'Oxford Economics'!$A$7:$A$1000,$C65,'Oxford Economics'!$B$7:$B$1000,Settings!$B$30)+SUMIFS(INDEX('Oxford Economics'!$A$7:$AZ$1000,0,IFERROR(MATCH(I$5,'Oxford Economics'!$A$6:$AZ$6,0),MATCH(I$5&amp;"",'Oxford Economics'!$A$6:$AZ$6,0))),'Oxford Economics'!$A$7:$A$1000,$C65,'Oxford Economics'!$B$7:$B$1000,Settings!$B$31)))),""))</f>
        <v/>
      </c>
      <c r="J65" s="41" t="str">
        <f aca="false">IF($A65="","",IFERROR(1/(1/IF($B65="Residential",(SUMIFS(INDEX('Oxford Economics'!$A$7:$AZ$1000,0,IFERROR(MATCH(J$5,'Oxford Economics'!$A$6:$AZ$6,0),MATCH(J$5&amp;"",'Oxford Economics'!$A$6:$AZ$6,0))),'Oxford Economics'!$A$7:$A$1000,$C65,'Oxford Economics'!$B$7:$B$1000,Settings!$B$29)-SUMIFS(INDEX('Oxford Economics'!$A$7:$AZ$1000,0,IFERROR(MATCH(J$5,'Oxford Economics'!$A$6:$AZ$6,0),MATCH(J$5&amp;"",'Oxford Economics'!$A$6:$AZ$6,0))),'Oxford Economics'!$A$7:$A$1000,$C65,'Oxford Economics'!$B$7:$B$1000,Settings!$B$30)),(SUMIFS(INDEX('Oxford Economics'!$A$7:$AZ$1000,0,IFERROR(MATCH(J$5,'Oxford Economics'!$A$6:$AZ$6,0),MATCH(J$5&amp;"",'Oxford Economics'!$A$6:$AZ$6,0))),'Oxford Economics'!$A$7:$A$1000,$C65,'Oxford Economics'!$B$7:$B$1000,Settings!$B$30)+SUMIFS(INDEX('Oxford Economics'!$A$7:$AZ$1000,0,IFERROR(MATCH(J$5,'Oxford Economics'!$A$6:$AZ$6,0),MATCH(J$5&amp;"",'Oxford Economics'!$A$6:$AZ$6,0))),'Oxford Economics'!$A$7:$A$1000,$C65,'Oxford Economics'!$B$7:$B$1000,Settings!$B$31)))),""))</f>
        <v/>
      </c>
      <c r="K65" s="41" t="str">
        <f aca="false">IF($A65="","",IFERROR(1/(1/IF($B65="Residential",(SUMIFS(INDEX('Oxford Economics'!$A$7:$AZ$1000,0,IFERROR(MATCH(K$5,'Oxford Economics'!$A$6:$AZ$6,0),MATCH(K$5&amp;"",'Oxford Economics'!$A$6:$AZ$6,0))),'Oxford Economics'!$A$7:$A$1000,$C65,'Oxford Economics'!$B$7:$B$1000,Settings!$B$29)-SUMIFS(INDEX('Oxford Economics'!$A$7:$AZ$1000,0,IFERROR(MATCH(K$5,'Oxford Economics'!$A$6:$AZ$6,0),MATCH(K$5&amp;"",'Oxford Economics'!$A$6:$AZ$6,0))),'Oxford Economics'!$A$7:$A$1000,$C65,'Oxford Economics'!$B$7:$B$1000,Settings!$B$30)),(SUMIFS(INDEX('Oxford Economics'!$A$7:$AZ$1000,0,IFERROR(MATCH(K$5,'Oxford Economics'!$A$6:$AZ$6,0),MATCH(K$5&amp;"",'Oxford Economics'!$A$6:$AZ$6,0))),'Oxford Economics'!$A$7:$A$1000,$C65,'Oxford Economics'!$B$7:$B$1000,Settings!$B$30)+SUMIFS(INDEX('Oxford Economics'!$A$7:$AZ$1000,0,IFERROR(MATCH(K$5,'Oxford Economics'!$A$6:$AZ$6,0),MATCH(K$5&amp;"",'Oxford Economics'!$A$6:$AZ$6,0))),'Oxford Economics'!$A$7:$A$1000,$C65,'Oxford Economics'!$B$7:$B$1000,Settings!$B$31)))),""))</f>
        <v/>
      </c>
      <c r="L65" s="41" t="str">
        <f aca="false">IF($A65="","",IFERROR(1/(1/IF($B65="Residential",(SUMIFS(INDEX('Oxford Economics'!$A$7:$AZ$1000,0,IFERROR(MATCH(L$5,'Oxford Economics'!$A$6:$AZ$6,0),MATCH(L$5&amp;"",'Oxford Economics'!$A$6:$AZ$6,0))),'Oxford Economics'!$A$7:$A$1000,$C65,'Oxford Economics'!$B$7:$B$1000,Settings!$B$29)-SUMIFS(INDEX('Oxford Economics'!$A$7:$AZ$1000,0,IFERROR(MATCH(L$5,'Oxford Economics'!$A$6:$AZ$6,0),MATCH(L$5&amp;"",'Oxford Economics'!$A$6:$AZ$6,0))),'Oxford Economics'!$A$7:$A$1000,$C65,'Oxford Economics'!$B$7:$B$1000,Settings!$B$30)),(SUMIFS(INDEX('Oxford Economics'!$A$7:$AZ$1000,0,IFERROR(MATCH(L$5,'Oxford Economics'!$A$6:$AZ$6,0),MATCH(L$5&amp;"",'Oxford Economics'!$A$6:$AZ$6,0))),'Oxford Economics'!$A$7:$A$1000,$C65,'Oxford Economics'!$B$7:$B$1000,Settings!$B$30)+SUMIFS(INDEX('Oxford Economics'!$A$7:$AZ$1000,0,IFERROR(MATCH(L$5,'Oxford Economics'!$A$6:$AZ$6,0),MATCH(L$5&amp;"",'Oxford Economics'!$A$6:$AZ$6,0))),'Oxford Economics'!$A$7:$A$1000,$C65,'Oxford Economics'!$B$7:$B$1000,Settings!$B$31)))),""))</f>
        <v/>
      </c>
      <c r="M65" s="41" t="str">
        <f aca="false">IF($A65="","",IFERROR(1/(1/IF($B65="Residential",(SUMIFS(INDEX('Oxford Economics'!$A$7:$AZ$1000,0,IFERROR(MATCH(M$5,'Oxford Economics'!$A$6:$AZ$6,0),MATCH(M$5&amp;"",'Oxford Economics'!$A$6:$AZ$6,0))),'Oxford Economics'!$A$7:$A$1000,$C65,'Oxford Economics'!$B$7:$B$1000,Settings!$B$29)-SUMIFS(INDEX('Oxford Economics'!$A$7:$AZ$1000,0,IFERROR(MATCH(M$5,'Oxford Economics'!$A$6:$AZ$6,0),MATCH(M$5&amp;"",'Oxford Economics'!$A$6:$AZ$6,0))),'Oxford Economics'!$A$7:$A$1000,$C65,'Oxford Economics'!$B$7:$B$1000,Settings!$B$30)),(SUMIFS(INDEX('Oxford Economics'!$A$7:$AZ$1000,0,IFERROR(MATCH(M$5,'Oxford Economics'!$A$6:$AZ$6,0),MATCH(M$5&amp;"",'Oxford Economics'!$A$6:$AZ$6,0))),'Oxford Economics'!$A$7:$A$1000,$C65,'Oxford Economics'!$B$7:$B$1000,Settings!$B$30)+SUMIFS(INDEX('Oxford Economics'!$A$7:$AZ$1000,0,IFERROR(MATCH(M$5,'Oxford Economics'!$A$6:$AZ$6,0),MATCH(M$5&amp;"",'Oxford Economics'!$A$6:$AZ$6,0))),'Oxford Economics'!$A$7:$A$1000,$C65,'Oxford Economics'!$B$7:$B$1000,Settings!$B$31)))),""))</f>
        <v/>
      </c>
      <c r="N65" s="41" t="str">
        <f aca="false">IF($A65="","",IFERROR(1/(1/IF($B65="Residential",(SUMIFS(INDEX('Oxford Economics'!$A$7:$AZ$1000,0,IFERROR(MATCH(N$5,'Oxford Economics'!$A$6:$AZ$6,0),MATCH(N$5&amp;"",'Oxford Economics'!$A$6:$AZ$6,0))),'Oxford Economics'!$A$7:$A$1000,$C65,'Oxford Economics'!$B$7:$B$1000,Settings!$B$29)-SUMIFS(INDEX('Oxford Economics'!$A$7:$AZ$1000,0,IFERROR(MATCH(N$5,'Oxford Economics'!$A$6:$AZ$6,0),MATCH(N$5&amp;"",'Oxford Economics'!$A$6:$AZ$6,0))),'Oxford Economics'!$A$7:$A$1000,$C65,'Oxford Economics'!$B$7:$B$1000,Settings!$B$30)),(SUMIFS(INDEX('Oxford Economics'!$A$7:$AZ$1000,0,IFERROR(MATCH(N$5,'Oxford Economics'!$A$6:$AZ$6,0),MATCH(N$5&amp;"",'Oxford Economics'!$A$6:$AZ$6,0))),'Oxford Economics'!$A$7:$A$1000,$C65,'Oxford Economics'!$B$7:$B$1000,Settings!$B$30)+SUMIFS(INDEX('Oxford Economics'!$A$7:$AZ$1000,0,IFERROR(MATCH(N$5,'Oxford Economics'!$A$6:$AZ$6,0),MATCH(N$5&amp;"",'Oxford Economics'!$A$6:$AZ$6,0))),'Oxford Economics'!$A$7:$A$1000,$C65,'Oxford Economics'!$B$7:$B$1000,Settings!$B$31)))),""))</f>
        <v/>
      </c>
      <c r="O65" s="41" t="str">
        <f aca="false">IF($A65="","",IFERROR(1/(1/IF($B65="Residential",(SUMIFS(INDEX('Oxford Economics'!$A$7:$AZ$1000,0,IFERROR(MATCH(O$5,'Oxford Economics'!$A$6:$AZ$6,0),MATCH(O$5&amp;"",'Oxford Economics'!$A$6:$AZ$6,0))),'Oxford Economics'!$A$7:$A$1000,$C65,'Oxford Economics'!$B$7:$B$1000,Settings!$B$29)-SUMIFS(INDEX('Oxford Economics'!$A$7:$AZ$1000,0,IFERROR(MATCH(O$5,'Oxford Economics'!$A$6:$AZ$6,0),MATCH(O$5&amp;"",'Oxford Economics'!$A$6:$AZ$6,0))),'Oxford Economics'!$A$7:$A$1000,$C65,'Oxford Economics'!$B$7:$B$1000,Settings!$B$30)),(SUMIFS(INDEX('Oxford Economics'!$A$7:$AZ$1000,0,IFERROR(MATCH(O$5,'Oxford Economics'!$A$6:$AZ$6,0),MATCH(O$5&amp;"",'Oxford Economics'!$A$6:$AZ$6,0))),'Oxford Economics'!$A$7:$A$1000,$C65,'Oxford Economics'!$B$7:$B$1000,Settings!$B$30)+SUMIFS(INDEX('Oxford Economics'!$A$7:$AZ$1000,0,IFERROR(MATCH(O$5,'Oxford Economics'!$A$6:$AZ$6,0),MATCH(O$5&amp;"",'Oxford Economics'!$A$6:$AZ$6,0))),'Oxford Economics'!$A$7:$A$1000,$C65,'Oxford Economics'!$B$7:$B$1000,Settings!$B$31)))),""))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9587"/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7" min="4" style="0" width="11"/>
    <col collapsed="false" customWidth="true" hidden="false" outlineLevel="0" max="8" min="8" style="0" width="52"/>
  </cols>
  <sheetData>
    <row r="1" customFormat="false" ht="27.75" hidden="false" customHeight="true" outlineLevel="0" collapsed="false">
      <c r="A1" s="1" t="s">
        <v>248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249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42" t="s">
        <v>250</v>
      </c>
      <c r="B4" s="42" t="s">
        <v>251</v>
      </c>
      <c r="C4" s="42" t="s">
        <v>252</v>
      </c>
      <c r="D4" s="42" t="s">
        <v>253</v>
      </c>
      <c r="E4" s="42" t="s">
        <v>254</v>
      </c>
      <c r="F4" s="42" t="s">
        <v>255</v>
      </c>
      <c r="G4" s="42" t="s">
        <v>256</v>
      </c>
      <c r="H4" s="42" t="s">
        <v>257</v>
      </c>
    </row>
    <row r="5" customFormat="false" ht="30" hidden="false" customHeight="true" outlineLevel="0" collapsed="false">
      <c r="A5" s="18" t="s">
        <v>63</v>
      </c>
      <c r="B5" s="43" t="s">
        <v>258</v>
      </c>
      <c r="C5" s="44" t="s">
        <v>259</v>
      </c>
      <c r="D5" s="36" t="n">
        <v>0.25</v>
      </c>
      <c r="E5" s="36" t="n">
        <v>0.3</v>
      </c>
      <c r="F5" s="36" t="n">
        <v>0.35</v>
      </c>
      <c r="G5" s="36" t="n">
        <v>0.4</v>
      </c>
      <c r="H5" s="21" t="s">
        <v>260</v>
      </c>
    </row>
    <row r="6" customFormat="false" ht="30" hidden="false" customHeight="true" outlineLevel="0" collapsed="false">
      <c r="A6" s="18" t="s">
        <v>66</v>
      </c>
      <c r="B6" s="43" t="s">
        <v>261</v>
      </c>
      <c r="C6" s="44" t="s">
        <v>262</v>
      </c>
      <c r="D6" s="36" t="n">
        <v>0.4</v>
      </c>
      <c r="E6" s="36" t="n">
        <v>0.5</v>
      </c>
      <c r="F6" s="36" t="n">
        <v>0.6</v>
      </c>
      <c r="G6" s="36" t="n">
        <v>0.7</v>
      </c>
      <c r="H6" s="21" t="s">
        <v>263</v>
      </c>
    </row>
    <row r="7" customFormat="false" ht="30" hidden="false" customHeight="true" outlineLevel="0" collapsed="false">
      <c r="A7" s="18" t="s">
        <v>74</v>
      </c>
      <c r="B7" s="43" t="s">
        <v>264</v>
      </c>
      <c r="C7" s="44" t="s">
        <v>259</v>
      </c>
      <c r="D7" s="36" t="n">
        <v>0.2</v>
      </c>
      <c r="E7" s="36" t="n">
        <v>0.4</v>
      </c>
      <c r="F7" s="36" t="n">
        <v>0.6</v>
      </c>
      <c r="G7" s="36" t="n">
        <v>0.8</v>
      </c>
      <c r="H7" s="21" t="s">
        <v>260</v>
      </c>
    </row>
    <row r="8" customFormat="false" ht="30" hidden="false" customHeight="true" outlineLevel="0" collapsed="false">
      <c r="A8" s="18" t="s">
        <v>76</v>
      </c>
      <c r="B8" s="43" t="s">
        <v>265</v>
      </c>
      <c r="C8" s="44" t="s">
        <v>259</v>
      </c>
      <c r="D8" s="36" t="n">
        <v>0.2</v>
      </c>
      <c r="E8" s="36" t="n">
        <v>0.4</v>
      </c>
      <c r="F8" s="36" t="n">
        <v>0.6</v>
      </c>
      <c r="G8" s="36" t="n">
        <v>0.8</v>
      </c>
      <c r="H8" s="21" t="s">
        <v>260</v>
      </c>
    </row>
    <row r="10" customFormat="false" ht="15" hidden="false" customHeight="false" outlineLevel="0" collapsed="false">
      <c r="A10" s="12" t="s">
        <v>266</v>
      </c>
    </row>
    <row r="11" customFormat="false" ht="15" hidden="false" customHeight="true" outlineLevel="0" collapsed="false">
      <c r="A11" s="6" t="s">
        <v>267</v>
      </c>
      <c r="B11" s="6"/>
      <c r="C11" s="6"/>
      <c r="D11" s="6"/>
      <c r="E11" s="6"/>
      <c r="F11" s="6"/>
      <c r="G11" s="6"/>
      <c r="H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</row>
    <row r="14" customFormat="false" ht="15" hidden="false" customHeight="false" outlineLevel="0" collapsed="false">
      <c r="A14" s="21" t="s">
        <v>268</v>
      </c>
    </row>
  </sheetData>
  <mergeCells count="1">
    <mergeCell ref="A11:H12"/>
  </mergeCells>
  <dataValidations count="1">
    <dataValidation allowBlank="false" errorStyle="stop" operator="between" showDropDown="false" showErrorMessage="false" showInputMessage="false" sqref="C5:C8" type="list">
      <formula1>"Higher is better,Lower is better"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Y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24" min="4" style="0" width="13"/>
    <col collapsed="false" customWidth="true" hidden="false" outlineLevel="0" max="25" min="25" style="0" width="34"/>
  </cols>
  <sheetData>
    <row r="1" customFormat="false" ht="27.75" hidden="false" customHeight="true" outlineLevel="0" collapsed="false">
      <c r="A1" s="1" t="s">
        <v>269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8" hidden="false" customHeight="true" outlineLevel="0" collapsed="false">
      <c r="A2" s="3" t="s">
        <v>270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1" t="s">
        <v>271</v>
      </c>
    </row>
    <row r="4" customFormat="false" ht="36" hidden="false" customHeight="true" outlineLevel="0" collapsed="false">
      <c r="A4" s="22" t="s">
        <v>214</v>
      </c>
      <c r="B4" s="22" t="s">
        <v>215</v>
      </c>
      <c r="C4" s="22" t="s">
        <v>216</v>
      </c>
      <c r="D4" s="22" t="str">
        <f aca="false">"Market size "&amp;(Settings!$B$7-1)</f>
        <v>Market size 2025</v>
      </c>
      <c r="E4" s="45" t="str">
        <f aca="false">"HFC sales "&amp;(Settings!$B$7-1)</f>
        <v>HFC sales 2025</v>
      </c>
      <c r="F4" s="22" t="str">
        <f aca="false">"Market CAGR "&amp;(Settings!$B$7-6)&amp;"-"&amp;(Settings!$B$7-1)&amp;" (%)"</f>
        <v>Market CAGR 2020-2025 (%)</v>
      </c>
      <c r="G4" s="22" t="str">
        <f aca="false">"Market growth "&amp;Settings!$B$7&amp;"E (%)"</f>
        <v>Market growth 2026E (%)</v>
      </c>
      <c r="H4" s="22" t="str">
        <f aca="false">"Market CAGR "&amp;Settings!$B$7&amp;"-"&amp;(Settings!$B$7+5)&amp;" (%)"</f>
        <v>Market CAGR 2026-2031 (%)</v>
      </c>
      <c r="I4" s="45" t="str">
        <f aca="false">"HFC CAGR "&amp;(Settings!$B$7-6)&amp;"-"&amp;(Settings!$B$7-1)&amp;" (%)"</f>
        <v>HFC CAGR 2020-2025 (%)</v>
      </c>
      <c r="J4" s="45" t="str">
        <f aca="false">"HFC growth "&amp;Settings!$B$7&amp;"F (%)"</f>
        <v>HFC growth 2026F (%)</v>
      </c>
      <c r="K4" s="45" t="str">
        <f aca="false">"HFC BP CAGR "&amp;Settings!$B$7&amp;"-"&amp;(Settings!$B$7+5)&amp;" (%)"</f>
        <v>HFC BP CAGR 2026-2031 (%)</v>
      </c>
      <c r="L4" s="45" t="str">
        <f aca="false">"HFC share "&amp;Settings!$B$7&amp;" (%)"</f>
        <v>HFC share 2026 (%)</v>
      </c>
      <c r="M4" s="45" t="str">
        <f aca="false">"HFC share "&amp;(Settings!$B$7-1)&amp;" (%)"</f>
        <v>HFC share 2025 (%)</v>
      </c>
      <c r="N4" s="22" t="s">
        <v>272</v>
      </c>
      <c r="O4" s="22" t="s">
        <v>273</v>
      </c>
      <c r="P4" s="22" t="s">
        <v>274</v>
      </c>
      <c r="Q4" s="22" t="s">
        <v>275</v>
      </c>
      <c r="R4" s="22" t="s">
        <v>276</v>
      </c>
      <c r="S4" s="22" t="str">
        <f aca="false">"Reno CAGR "&amp;(Settings!$B$7-6)&amp;"-"&amp;(Settings!$B$7-1)&amp;" (%)"</f>
        <v>Reno CAGR 2020-2025 (%)</v>
      </c>
      <c r="T4" s="22" t="str">
        <f aca="false">"Reno growth "&amp;Settings!$B$7&amp;"E (%)"</f>
        <v>Reno growth 2026E (%)</v>
      </c>
      <c r="U4" s="22" t="str">
        <f aca="false">"Reno CAGR "&amp;Settings!$B$7&amp;"-"&amp;(Settings!$B$7+5)&amp;" (%)"</f>
        <v>Reno CAGR 2026-2031 (%)</v>
      </c>
      <c r="V4" s="22" t="str">
        <f aca="false">"NB CAGR "&amp;(Settings!$B$7-6)&amp;"-"&amp;(Settings!$B$7-1)&amp;" (%)"</f>
        <v>NB CAGR 2020-2025 (%)</v>
      </c>
      <c r="W4" s="22" t="str">
        <f aca="false">"NB growth "&amp;Settings!$B$7&amp;"E (%)"</f>
        <v>NB growth 2026E (%)</v>
      </c>
      <c r="X4" s="22" t="str">
        <f aca="false">"NB CAGR "&amp;Settings!$B$7&amp;"-"&amp;(Settings!$B$7+5)&amp;" (%)"</f>
        <v>NB CAGR 2026-2031 (%)</v>
      </c>
      <c r="Y4" s="46" t="s">
        <v>277</v>
      </c>
    </row>
    <row r="5" customFormat="false" ht="15" hidden="false" customHeight="false" outlineLevel="0" collapsed="false">
      <c r="A5" s="47" t="s">
        <v>278</v>
      </c>
      <c r="B5" s="47" t="s">
        <v>279</v>
      </c>
      <c r="C5" s="47" t="s">
        <v>280</v>
      </c>
      <c r="D5" s="47" t="s">
        <v>281</v>
      </c>
      <c r="E5" s="47" t="s">
        <v>282</v>
      </c>
      <c r="F5" s="47" t="s">
        <v>283</v>
      </c>
      <c r="G5" s="47" t="s">
        <v>284</v>
      </c>
      <c r="H5" s="47" t="s">
        <v>285</v>
      </c>
      <c r="I5" s="47" t="s">
        <v>286</v>
      </c>
      <c r="J5" s="47" t="s">
        <v>287</v>
      </c>
      <c r="K5" s="47" t="s">
        <v>288</v>
      </c>
      <c r="L5" s="47" t="s">
        <v>289</v>
      </c>
      <c r="M5" s="47" t="s">
        <v>290</v>
      </c>
      <c r="N5" s="47" t="s">
        <v>291</v>
      </c>
      <c r="O5" s="47" t="s">
        <v>292</v>
      </c>
      <c r="P5" s="47" t="s">
        <v>293</v>
      </c>
      <c r="Q5" s="47" t="s">
        <v>294</v>
      </c>
      <c r="R5" s="47" t="s">
        <v>295</v>
      </c>
      <c r="S5" s="47" t="s">
        <v>296</v>
      </c>
      <c r="T5" s="47" t="s">
        <v>297</v>
      </c>
      <c r="U5" s="47" t="s">
        <v>298</v>
      </c>
      <c r="V5" s="47" t="s">
        <v>299</v>
      </c>
      <c r="W5" s="47" t="s">
        <v>300</v>
      </c>
      <c r="X5" s="47" t="s">
        <v>301</v>
      </c>
      <c r="Y5" s="15" t="s">
        <v>302</v>
      </c>
    </row>
    <row r="6" customFormat="false" ht="15" hidden="false" customHeight="false" outlineLevel="0" collapsed="false">
      <c r="A6" s="40" t="str">
        <f aca="false">IF(TRIM('Raw data'!A6)="","",TRIM('Raw data'!A6))</f>
        <v>Poland</v>
      </c>
      <c r="B6" s="40" t="str">
        <f aca="false">IF($A6="","",IF('Raw data'!B6="",UPPER(LEFT($A6,3)),'Raw data'!B6))</f>
        <v>PL</v>
      </c>
      <c r="C6" s="40" t="str">
        <f aca="false">IF($A6="","",'Raw data'!C6)</f>
        <v>Residential</v>
      </c>
      <c r="D6" s="41" t="n">
        <f aca="false">IF(OR($A6="",'Raw data'!E6=""),"",'Raw data'!E6)</f>
        <v>115</v>
      </c>
      <c r="E6" s="41" t="n">
        <f aca="false">IF(OR($A6="",'Raw data'!Q6=""),"",'Raw data'!Q6)</f>
        <v>5.8</v>
      </c>
      <c r="F6" s="48" t="str">
        <f aca="false">IF($A6="","",IF(ISNUMBER('Raw data'!G6),'Raw data'!G6*100,""))</f>
        <v/>
      </c>
      <c r="G6" s="48" t="n">
        <f aca="false">IF($A6="","",IF(ISNUMBER('Raw data'!H6),'Raw data'!H6*100,""))</f>
        <v>6.54305043526748</v>
      </c>
      <c r="H6" s="48" t="n">
        <f aca="false">IF($A6="","",IF(ISNUMBER('Raw data'!I6),'Raw data'!I6*100,""))</f>
        <v>2.25015243342799</v>
      </c>
      <c r="I6" s="48" t="n">
        <f aca="false">IF($A6="","",IF(ISNUMBER('Raw data'!R6),'Raw data'!R6*100,""))</f>
        <v>9</v>
      </c>
      <c r="J6" s="48" t="n">
        <f aca="false">IF($A6="","",IF(ISNUMBER('Raw data'!S6),'Raw data'!S6*100,""))</f>
        <v>8.5</v>
      </c>
      <c r="K6" s="48" t="n">
        <f aca="false">IF($A6="","",IF(ISNUMBER('Raw data'!T6),'Raw data'!T6*100,""))</f>
        <v>10</v>
      </c>
      <c r="L6" s="48" t="n">
        <f aca="false">IF($A6="","",IF('Raw data'!V6&lt;&gt;"",'Raw data'!V6*100,IF(AND(N('Raw data'!E6)&gt;0,'Raw data'!Q6&lt;&gt;""),'Raw data'!Q6*(1+N('Raw data'!S6))/('Raw data'!E6*(1+N('Raw data'!H6)))*100,"")))</f>
        <v>5.13611529863998</v>
      </c>
      <c r="M6" s="48" t="n">
        <f aca="false">IF($A6="","",IF('Raw data'!U6&lt;&gt;"",'Raw data'!U6*100,IF(AND(N('Raw data'!E6)&gt;0,'Raw data'!Q6&lt;&gt;""),'Raw data'!Q6/'Raw data'!E6*100,"")))</f>
        <v>5.04347826086957</v>
      </c>
      <c r="N6" s="49" t="n">
        <f aca="false">IF($A6="","",IF('Raw data'!AA6&lt;&gt;"",'Raw data'!AA6,IF('Raw data'!W6="","",IF('Scoring rules'!$C$5="Lower is better",5-COUNTIF('Scoring rules'!$D$5:$G$5,"&lt;="&amp;'Raw data'!W6),1+COUNTIF('Scoring rules'!$D$5:$G$5,"&lt;="&amp;'Raw data'!W6)))))</f>
        <v>3</v>
      </c>
      <c r="O6" s="49" t="n">
        <f aca="false">IF($A6="","",IF('Raw data'!AB6&lt;&gt;"",'Raw data'!AB6,IF('Raw data'!X6="","",IF('Scoring rules'!$C$6="Lower is better",5-COUNTIF('Scoring rules'!$D$6:$G$6,"&lt;="&amp;'Raw data'!X6),1+COUNTIF('Scoring rules'!$D$6:$G$6,"&lt;="&amp;'Raw data'!X6)))))</f>
        <v>3</v>
      </c>
      <c r="P6" s="49" t="n">
        <f aca="false">IF($A6="","",IF('Raw data'!AC6&lt;&gt;"",'Raw data'!AC6,IF('Raw data'!Y6="","",IF('Scoring rules'!$C$7="Lower is better",5-COUNTIF('Scoring rules'!$D$7:$G$7,"&lt;="&amp;'Raw data'!Y6),1+COUNTIF('Scoring rules'!$D$7:$G$7,"&lt;="&amp;'Raw data'!Y6)))))</f>
        <v>2</v>
      </c>
      <c r="Q6" s="49" t="n">
        <f aca="false">IF($A6="","",IF('Raw data'!AD6&lt;&gt;"",'Raw data'!AD6,IF('Raw data'!Z6="","",IF('Scoring rules'!$C$8="Lower is better",5-COUNTIF('Scoring rules'!$D$8:$G$8,"&lt;="&amp;'Raw data'!Z6),1+COUNTIF('Scoring rules'!$D$8:$G$8,"&lt;="&amp;'Raw data'!Z6)))))</f>
        <v>4</v>
      </c>
      <c r="R6" s="49" t="str">
        <f aca="false">IF($A6="","",IF(ISNUMBER('Raw data'!J6),'Raw data'!J6*100,""))</f>
        <v/>
      </c>
      <c r="S6" s="48" t="str">
        <f aca="false">IF($A6="","",IF(ISNUMBER('Raw data'!K6),'Raw data'!K6*100,""))</f>
        <v/>
      </c>
      <c r="T6" s="48" t="str">
        <f aca="false">IF($A6="","",IF(ISNUMBER('Raw data'!L6),'Raw data'!L6*100,""))</f>
        <v/>
      </c>
      <c r="U6" s="48" t="str">
        <f aca="false">IF($A6="","",IF(ISNUMBER('Raw data'!M6),'Raw data'!M6*100,""))</f>
        <v/>
      </c>
      <c r="V6" s="48" t="str">
        <f aca="false">IF($A6="","",IF(ISNUMBER('Raw data'!N6),'Raw data'!N6*100,""))</f>
        <v/>
      </c>
      <c r="W6" s="48" t="str">
        <f aca="false">IF($A6="","",IF(ISNUMBER('Raw data'!O6),'Raw data'!O6*100,""))</f>
        <v/>
      </c>
      <c r="X6" s="48" t="str">
        <f aca="false">IF($A6="","",IF(ISNUMBER('Raw data'!P6),'Raw data'!P6*100,""))</f>
        <v/>
      </c>
      <c r="Y6" s="50" t="str">
        <f aca="false">IF($A6="","",IF(AND(ISNUMBER('Raw data'!J6),ISNUMBER('Raw data'!H6),ISNUMBER('Raw data'!L6),ISNUMBER('Raw data'!O6)),ROUND(('Raw data'!J6*'Raw data'!L6+(1-'Raw data'!J6)*'Raw data'!O6-'Raw data'!H6)*100,1),""))</f>
        <v/>
      </c>
    </row>
    <row r="7" customFormat="false" ht="15" hidden="false" customHeight="false" outlineLevel="0" collapsed="false">
      <c r="A7" s="40" t="str">
        <f aca="false">IF(TRIM('Raw data'!A7)="","",TRIM('Raw data'!A7))</f>
        <v>Poland</v>
      </c>
      <c r="B7" s="40" t="str">
        <f aca="false">IF($A7="","",IF('Raw data'!B7="",UPPER(LEFT($A7,3)),'Raw data'!B7))</f>
        <v>PL</v>
      </c>
      <c r="C7" s="40" t="str">
        <f aca="false">IF($A7="","",'Raw data'!C7)</f>
        <v>Non-residential</v>
      </c>
      <c r="D7" s="41" t="n">
        <f aca="false">IF(OR($A7="",'Raw data'!E7=""),"",'Raw data'!E7)</f>
        <v>260</v>
      </c>
      <c r="E7" s="41" t="n">
        <f aca="false">IF(OR($A7="",'Raw data'!Q7=""),"",'Raw data'!Q7)</f>
        <v>9.9</v>
      </c>
      <c r="F7" s="48" t="str">
        <f aca="false">IF($A7="","",IF(ISNUMBER('Raw data'!G7),'Raw data'!G7*100,""))</f>
        <v/>
      </c>
      <c r="G7" s="48" t="n">
        <f aca="false">IF($A7="","",IF(ISNUMBER('Raw data'!H7),'Raw data'!H7*100,""))</f>
        <v>5.96591030402824</v>
      </c>
      <c r="H7" s="48" t="n">
        <f aca="false">IF($A7="","",IF(ISNUMBER('Raw data'!I7),'Raw data'!I7*100,""))</f>
        <v>2.34509164091186</v>
      </c>
      <c r="I7" s="48" t="n">
        <f aca="false">IF($A7="","",IF(ISNUMBER('Raw data'!R7),'Raw data'!R7*100,""))</f>
        <v>9.5</v>
      </c>
      <c r="J7" s="48" t="n">
        <f aca="false">IF($A7="","",IF(ISNUMBER('Raw data'!S7),'Raw data'!S7*100,""))</f>
        <v>9</v>
      </c>
      <c r="K7" s="48" t="n">
        <f aca="false">IF($A7="","",IF(ISNUMBER('Raw data'!T7),'Raw data'!T7*100,""))</f>
        <v>10.5</v>
      </c>
      <c r="L7" s="48" t="n">
        <f aca="false">IF($A7="","",IF('Raw data'!V7&lt;&gt;"",'Raw data'!V7*100,IF(AND(N('Raw data'!E7)&gt;0,'Raw data'!Q7&lt;&gt;""),'Raw data'!Q7*(1+N('Raw data'!S7))/('Raw data'!E7*(1+N('Raw data'!H7)))*100,"")))</f>
        <v>3.91671680399545</v>
      </c>
      <c r="M7" s="48" t="n">
        <f aca="false">IF($A7="","",IF('Raw data'!U7&lt;&gt;"",'Raw data'!U7*100,IF(AND(N('Raw data'!E7)&gt;0,'Raw data'!Q7&lt;&gt;""),'Raw data'!Q7/'Raw data'!E7*100,"")))</f>
        <v>3.80769230769231</v>
      </c>
      <c r="N7" s="49" t="n">
        <f aca="false">IF($A7="","",IF('Raw data'!AA7&lt;&gt;"",'Raw data'!AA7,IF('Raw data'!W7="","",IF('Scoring rules'!$C$5="Lower is better",5-COUNTIF('Scoring rules'!$D$5:$G$5,"&lt;="&amp;'Raw data'!W7),1+COUNTIF('Scoring rules'!$D$5:$G$5,"&lt;="&amp;'Raw data'!W7)))))</f>
        <v>3</v>
      </c>
      <c r="O7" s="49" t="n">
        <f aca="false">IF($A7="","",IF('Raw data'!AB7&lt;&gt;"",'Raw data'!AB7,IF('Raw data'!X7="","",IF('Scoring rules'!$C$6="Lower is better",5-COUNTIF('Scoring rules'!$D$6:$G$6,"&lt;="&amp;'Raw data'!X7),1+COUNTIF('Scoring rules'!$D$6:$G$6,"&lt;="&amp;'Raw data'!X7)))))</f>
        <v>3</v>
      </c>
      <c r="P7" s="49" t="n">
        <f aca="false">IF($A7="","",IF('Raw data'!AC7&lt;&gt;"",'Raw data'!AC7,IF('Raw data'!Y7="","",IF('Scoring rules'!$C$7="Lower is better",5-COUNTIF('Scoring rules'!$D$7:$G$7,"&lt;="&amp;'Raw data'!Y7),1+COUNTIF('Scoring rules'!$D$7:$G$7,"&lt;="&amp;'Raw data'!Y7)))))</f>
        <v>2</v>
      </c>
      <c r="Q7" s="49" t="n">
        <f aca="false">IF($A7="","",IF('Raw data'!AD7&lt;&gt;"",'Raw data'!AD7,IF('Raw data'!Z7="","",IF('Scoring rules'!$C$8="Lower is better",5-COUNTIF('Scoring rules'!$D$8:$G$8,"&lt;="&amp;'Raw data'!Z7),1+COUNTIF('Scoring rules'!$D$8:$G$8,"&lt;="&amp;'Raw data'!Z7)))))</f>
        <v>4</v>
      </c>
      <c r="R7" s="49" t="str">
        <f aca="false">IF($A7="","",IF(ISNUMBER('Raw data'!J7),'Raw data'!J7*100,""))</f>
        <v/>
      </c>
      <c r="S7" s="48" t="str">
        <f aca="false">IF($A7="","",IF(ISNUMBER('Raw data'!K7),'Raw data'!K7*100,""))</f>
        <v/>
      </c>
      <c r="T7" s="48" t="str">
        <f aca="false">IF($A7="","",IF(ISNUMBER('Raw data'!L7),'Raw data'!L7*100,""))</f>
        <v/>
      </c>
      <c r="U7" s="48" t="str">
        <f aca="false">IF($A7="","",IF(ISNUMBER('Raw data'!M7),'Raw data'!M7*100,""))</f>
        <v/>
      </c>
      <c r="V7" s="48" t="str">
        <f aca="false">IF($A7="","",IF(ISNUMBER('Raw data'!N7),'Raw data'!N7*100,""))</f>
        <v/>
      </c>
      <c r="W7" s="48" t="str">
        <f aca="false">IF($A7="","",IF(ISNUMBER('Raw data'!O7),'Raw data'!O7*100,""))</f>
        <v/>
      </c>
      <c r="X7" s="48" t="str">
        <f aca="false">IF($A7="","",IF(ISNUMBER('Raw data'!P7),'Raw data'!P7*100,""))</f>
        <v/>
      </c>
      <c r="Y7" s="50" t="str">
        <f aca="false">IF($A7="","",IF(AND(ISNUMBER('Raw data'!J7),ISNUMBER('Raw data'!H7),ISNUMBER('Raw data'!L7),ISNUMBER('Raw data'!O7)),ROUND(('Raw data'!J7*'Raw data'!L7+(1-'Raw data'!J7)*'Raw data'!O7-'Raw data'!H7)*100,1),""))</f>
        <v/>
      </c>
    </row>
    <row r="8" customFormat="false" ht="15" hidden="false" customHeight="false" outlineLevel="0" collapsed="false">
      <c r="A8" s="40" t="str">
        <f aca="false">IF(TRIM('Raw data'!A8)="","",TRIM('Raw data'!A8))</f>
        <v>Czech Republic</v>
      </c>
      <c r="B8" s="40" t="str">
        <f aca="false">IF($A8="","",IF('Raw data'!B8="",UPPER(LEFT($A8,3)),'Raw data'!B8))</f>
        <v>CZ</v>
      </c>
      <c r="C8" s="40" t="str">
        <f aca="false">IF($A8="","",'Raw data'!C8)</f>
        <v>Residential</v>
      </c>
      <c r="D8" s="41" t="n">
        <f aca="false">IF(OR($A8="",'Raw data'!E8=""),"",'Raw data'!E8)</f>
        <v>65</v>
      </c>
      <c r="E8" s="41" t="n">
        <f aca="false">IF(OR($A8="",'Raw data'!Q8=""),"",'Raw data'!Q8)</f>
        <v>3.9</v>
      </c>
      <c r="F8" s="48" t="str">
        <f aca="false">IF($A8="","",IF(ISNUMBER('Raw data'!G8),'Raw data'!G8*100,""))</f>
        <v/>
      </c>
      <c r="G8" s="48" t="n">
        <f aca="false">IF($A8="","",IF(ISNUMBER('Raw data'!H8),'Raw data'!H8*100,""))</f>
        <v>-1.68148143071557</v>
      </c>
      <c r="H8" s="48" t="n">
        <f aca="false">IF($A8="","",IF(ISNUMBER('Raw data'!I8),'Raw data'!I8*100,""))</f>
        <v>2.19043525508911</v>
      </c>
      <c r="I8" s="48" t="n">
        <f aca="false">IF($A8="","",IF(ISNUMBER('Raw data'!R8),'Raw data'!R8*100,""))</f>
        <v>6</v>
      </c>
      <c r="J8" s="48" t="n">
        <f aca="false">IF($A8="","",IF(ISNUMBER('Raw data'!S8),'Raw data'!S8*100,""))</f>
        <v>5</v>
      </c>
      <c r="K8" s="48" t="n">
        <f aca="false">IF($A8="","",IF(ISNUMBER('Raw data'!T8),'Raw data'!T8*100,""))</f>
        <v>7</v>
      </c>
      <c r="L8" s="48" t="n">
        <f aca="false">IF($A8="","",IF('Raw data'!V8&lt;&gt;"",'Raw data'!V8*100,IF(AND(N('Raw data'!E8)&gt;0,'Raw data'!Q8&lt;&gt;""),'Raw data'!Q8*(1+N('Raw data'!S8))/('Raw data'!E8*(1+N('Raw data'!H8)))*100,"")))</f>
        <v>6.40774504302608</v>
      </c>
      <c r="M8" s="48" t="n">
        <f aca="false">IF($A8="","",IF('Raw data'!U8&lt;&gt;"",'Raw data'!U8*100,IF(AND(N('Raw data'!E8)&gt;0,'Raw data'!Q8&lt;&gt;""),'Raw data'!Q8/'Raw data'!E8*100,"")))</f>
        <v>6</v>
      </c>
      <c r="N8" s="49" t="n">
        <f aca="false">IF($A8="","",IF('Raw data'!AA8&lt;&gt;"",'Raw data'!AA8,IF('Raw data'!W8="","",IF('Scoring rules'!$C$5="Lower is better",5-COUNTIF('Scoring rules'!$D$5:$G$5,"&lt;="&amp;'Raw data'!W8),1+COUNTIF('Scoring rules'!$D$5:$G$5,"&lt;="&amp;'Raw data'!W8)))))</f>
        <v>3</v>
      </c>
      <c r="O8" s="49" t="n">
        <f aca="false">IF($A8="","",IF('Raw data'!AB8&lt;&gt;"",'Raw data'!AB8,IF('Raw data'!X8="","",IF('Scoring rules'!$C$6="Lower is better",5-COUNTIF('Scoring rules'!$D$6:$G$6,"&lt;="&amp;'Raw data'!X8),1+COUNTIF('Scoring rules'!$D$6:$G$6,"&lt;="&amp;'Raw data'!X8)))))</f>
        <v>3</v>
      </c>
      <c r="P8" s="49" t="n">
        <f aca="false">IF($A8="","",IF('Raw data'!AC8&lt;&gt;"",'Raw data'!AC8,IF('Raw data'!Y8="","",IF('Scoring rules'!$C$7="Lower is better",5-COUNTIF('Scoring rules'!$D$7:$G$7,"&lt;="&amp;'Raw data'!Y8),1+COUNTIF('Scoring rules'!$D$7:$G$7,"&lt;="&amp;'Raw data'!Y8)))))</f>
        <v>3</v>
      </c>
      <c r="Q8" s="49" t="n">
        <f aca="false">IF($A8="","",IF('Raw data'!AD8&lt;&gt;"",'Raw data'!AD8,IF('Raw data'!Z8="","",IF('Scoring rules'!$C$8="Lower is better",5-COUNTIF('Scoring rules'!$D$8:$G$8,"&lt;="&amp;'Raw data'!Z8),1+COUNTIF('Scoring rules'!$D$8:$G$8,"&lt;="&amp;'Raw data'!Z8)))))</f>
        <v>3</v>
      </c>
      <c r="R8" s="49" t="str">
        <f aca="false">IF($A8="","",IF(ISNUMBER('Raw data'!J8),'Raw data'!J8*100,""))</f>
        <v/>
      </c>
      <c r="S8" s="48" t="str">
        <f aca="false">IF($A8="","",IF(ISNUMBER('Raw data'!K8),'Raw data'!K8*100,""))</f>
        <v/>
      </c>
      <c r="T8" s="48" t="str">
        <f aca="false">IF($A8="","",IF(ISNUMBER('Raw data'!L8),'Raw data'!L8*100,""))</f>
        <v/>
      </c>
      <c r="U8" s="48" t="str">
        <f aca="false">IF($A8="","",IF(ISNUMBER('Raw data'!M8),'Raw data'!M8*100,""))</f>
        <v/>
      </c>
      <c r="V8" s="48" t="str">
        <f aca="false">IF($A8="","",IF(ISNUMBER('Raw data'!N8),'Raw data'!N8*100,""))</f>
        <v/>
      </c>
      <c r="W8" s="48" t="str">
        <f aca="false">IF($A8="","",IF(ISNUMBER('Raw data'!O8),'Raw data'!O8*100,""))</f>
        <v/>
      </c>
      <c r="X8" s="48" t="str">
        <f aca="false">IF($A8="","",IF(ISNUMBER('Raw data'!P8),'Raw data'!P8*100,""))</f>
        <v/>
      </c>
      <c r="Y8" s="50" t="str">
        <f aca="false">IF($A8="","",IF(AND(ISNUMBER('Raw data'!J8),ISNUMBER('Raw data'!H8),ISNUMBER('Raw data'!L8),ISNUMBER('Raw data'!O8)),ROUND(('Raw data'!J8*'Raw data'!L8+(1-'Raw data'!J8)*'Raw data'!O8-'Raw data'!H8)*100,1),""))</f>
        <v/>
      </c>
    </row>
    <row r="9" customFormat="false" ht="15" hidden="false" customHeight="false" outlineLevel="0" collapsed="false">
      <c r="A9" s="40" t="str">
        <f aca="false">IF(TRIM('Raw data'!A9)="","",TRIM('Raw data'!A9))</f>
        <v>Czech Republic</v>
      </c>
      <c r="B9" s="40" t="str">
        <f aca="false">IF($A9="","",IF('Raw data'!B9="",UPPER(LEFT($A9,3)),'Raw data'!B9))</f>
        <v>CZ</v>
      </c>
      <c r="C9" s="40" t="str">
        <f aca="false">IF($A9="","",'Raw data'!C9)</f>
        <v>Non-residential</v>
      </c>
      <c r="D9" s="41" t="n">
        <f aca="false">IF(OR($A9="",'Raw data'!E9=""),"",'Raw data'!E9)</f>
        <v>85</v>
      </c>
      <c r="E9" s="41" t="n">
        <f aca="false">IF(OR($A9="",'Raw data'!Q9=""),"",'Raw data'!Q9)</f>
        <v>3.4</v>
      </c>
      <c r="F9" s="48" t="str">
        <f aca="false">IF($A9="","",IF(ISNUMBER('Raw data'!G9),'Raw data'!G9*100,""))</f>
        <v/>
      </c>
      <c r="G9" s="48" t="n">
        <f aca="false">IF($A9="","",IF(ISNUMBER('Raw data'!H9),'Raw data'!H9*100,""))</f>
        <v>5.11489582031921</v>
      </c>
      <c r="H9" s="48" t="n">
        <f aca="false">IF($A9="","",IF(ISNUMBER('Raw data'!I9),'Raw data'!I9*100,""))</f>
        <v>4.0003809024896</v>
      </c>
      <c r="I9" s="48" t="n">
        <f aca="false">IF($A9="","",IF(ISNUMBER('Raw data'!R9),'Raw data'!R9*100,""))</f>
        <v>6.5</v>
      </c>
      <c r="J9" s="48" t="n">
        <f aca="false">IF($A9="","",IF(ISNUMBER('Raw data'!S9),'Raw data'!S9*100,""))</f>
        <v>5.5</v>
      </c>
      <c r="K9" s="48" t="n">
        <f aca="false">IF($A9="","",IF(ISNUMBER('Raw data'!T9),'Raw data'!T9*100,""))</f>
        <v>7.5</v>
      </c>
      <c r="L9" s="48" t="n">
        <f aca="false">IF($A9="","",IF('Raw data'!V9&lt;&gt;"",'Raw data'!V9*100,IF(AND(N('Raw data'!E9)&gt;0,'Raw data'!Q9&lt;&gt;""),'Raw data'!Q9*(1+N('Raw data'!S9))/('Raw data'!E9*(1+N('Raw data'!H9)))*100,"")))</f>
        <v>4.01465459968068</v>
      </c>
      <c r="M9" s="48" t="n">
        <f aca="false">IF($A9="","",IF('Raw data'!U9&lt;&gt;"",'Raw data'!U9*100,IF(AND(N('Raw data'!E9)&gt;0,'Raw data'!Q9&lt;&gt;""),'Raw data'!Q9/'Raw data'!E9*100,"")))</f>
        <v>4</v>
      </c>
      <c r="N9" s="49" t="n">
        <f aca="false">IF($A9="","",IF('Raw data'!AA9&lt;&gt;"",'Raw data'!AA9,IF('Raw data'!W9="","",IF('Scoring rules'!$C$5="Lower is better",5-COUNTIF('Scoring rules'!$D$5:$G$5,"&lt;="&amp;'Raw data'!W9),1+COUNTIF('Scoring rules'!$D$5:$G$5,"&lt;="&amp;'Raw data'!W9)))))</f>
        <v>3</v>
      </c>
      <c r="O9" s="49" t="n">
        <f aca="false">IF($A9="","",IF('Raw data'!AB9&lt;&gt;"",'Raw data'!AB9,IF('Raw data'!X9="","",IF('Scoring rules'!$C$6="Lower is better",5-COUNTIF('Scoring rules'!$D$6:$G$6,"&lt;="&amp;'Raw data'!X9),1+COUNTIF('Scoring rules'!$D$6:$G$6,"&lt;="&amp;'Raw data'!X9)))))</f>
        <v>3</v>
      </c>
      <c r="P9" s="49" t="n">
        <f aca="false">IF($A9="","",IF('Raw data'!AC9&lt;&gt;"",'Raw data'!AC9,IF('Raw data'!Y9="","",IF('Scoring rules'!$C$7="Lower is better",5-COUNTIF('Scoring rules'!$D$7:$G$7,"&lt;="&amp;'Raw data'!Y9),1+COUNTIF('Scoring rules'!$D$7:$G$7,"&lt;="&amp;'Raw data'!Y9)))))</f>
        <v>3</v>
      </c>
      <c r="Q9" s="49" t="n">
        <f aca="false">IF($A9="","",IF('Raw data'!AD9&lt;&gt;"",'Raw data'!AD9,IF('Raw data'!Z9="","",IF('Scoring rules'!$C$8="Lower is better",5-COUNTIF('Scoring rules'!$D$8:$G$8,"&lt;="&amp;'Raw data'!Z9),1+COUNTIF('Scoring rules'!$D$8:$G$8,"&lt;="&amp;'Raw data'!Z9)))))</f>
        <v>3</v>
      </c>
      <c r="R9" s="49" t="str">
        <f aca="false">IF($A9="","",IF(ISNUMBER('Raw data'!J9),'Raw data'!J9*100,""))</f>
        <v/>
      </c>
      <c r="S9" s="48" t="str">
        <f aca="false">IF($A9="","",IF(ISNUMBER('Raw data'!K9),'Raw data'!K9*100,""))</f>
        <v/>
      </c>
      <c r="T9" s="48" t="str">
        <f aca="false">IF($A9="","",IF(ISNUMBER('Raw data'!L9),'Raw data'!L9*100,""))</f>
        <v/>
      </c>
      <c r="U9" s="48" t="str">
        <f aca="false">IF($A9="","",IF(ISNUMBER('Raw data'!M9),'Raw data'!M9*100,""))</f>
        <v/>
      </c>
      <c r="V9" s="48" t="str">
        <f aca="false">IF($A9="","",IF(ISNUMBER('Raw data'!N9),'Raw data'!N9*100,""))</f>
        <v/>
      </c>
      <c r="W9" s="48" t="str">
        <f aca="false">IF($A9="","",IF(ISNUMBER('Raw data'!O9),'Raw data'!O9*100,""))</f>
        <v/>
      </c>
      <c r="X9" s="48" t="str">
        <f aca="false">IF($A9="","",IF(ISNUMBER('Raw data'!P9),'Raw data'!P9*100,""))</f>
        <v/>
      </c>
      <c r="Y9" s="50" t="str">
        <f aca="false">IF($A9="","",IF(AND(ISNUMBER('Raw data'!J9),ISNUMBER('Raw data'!H9),ISNUMBER('Raw data'!L9),ISNUMBER('Raw data'!O9)),ROUND(('Raw data'!J9*'Raw data'!L9+(1-'Raw data'!J9)*'Raw data'!O9-'Raw data'!H9)*100,1),""))</f>
        <v/>
      </c>
    </row>
    <row r="10" customFormat="false" ht="15" hidden="false" customHeight="false" outlineLevel="0" collapsed="false">
      <c r="A10" s="40" t="str">
        <f aca="false">IF(TRIM('Raw data'!A10)="","",TRIM('Raw data'!A10))</f>
        <v>Hungary</v>
      </c>
      <c r="B10" s="40" t="str">
        <f aca="false">IF($A10="","",IF('Raw data'!B10="",UPPER(LEFT($A10,3)),'Raw data'!B10))</f>
        <v>HU</v>
      </c>
      <c r="C10" s="40" t="str">
        <f aca="false">IF($A10="","",'Raw data'!C10)</f>
        <v>Residential</v>
      </c>
      <c r="D10" s="41" t="n">
        <f aca="false">IF(OR($A10="",'Raw data'!E10=""),"",'Raw data'!E10)</f>
        <v>20</v>
      </c>
      <c r="E10" s="41" t="n">
        <f aca="false">IF(OR($A10="",'Raw data'!Q10=""),"",'Raw data'!Q10)</f>
        <v>0.8</v>
      </c>
      <c r="F10" s="48" t="str">
        <f aca="false">IF($A10="","",IF(ISNUMBER('Raw data'!G10),'Raw data'!G10*100,""))</f>
        <v/>
      </c>
      <c r="G10" s="48" t="n">
        <f aca="false">IF($A10="","",IF(ISNUMBER('Raw data'!H10),'Raw data'!H10*100,""))</f>
        <v>8.69124766466942</v>
      </c>
      <c r="H10" s="48" t="n">
        <f aca="false">IF($A10="","",IF(ISNUMBER('Raw data'!I10),'Raw data'!I10*100,""))</f>
        <v>0.646445760386927</v>
      </c>
      <c r="I10" s="48" t="n">
        <f aca="false">IF($A10="","",IF(ISNUMBER('Raw data'!R10),'Raw data'!R10*100,""))</f>
        <v>5</v>
      </c>
      <c r="J10" s="48" t="n">
        <f aca="false">IF($A10="","",IF(ISNUMBER('Raw data'!S10),'Raw data'!S10*100,""))</f>
        <v>3</v>
      </c>
      <c r="K10" s="48" t="n">
        <f aca="false">IF($A10="","",IF(ISNUMBER('Raw data'!T10),'Raw data'!T10*100,""))</f>
        <v>6</v>
      </c>
      <c r="L10" s="48" t="n">
        <f aca="false">IF($A10="","",IF('Raw data'!V10&lt;&gt;"",'Raw data'!V10*100,IF(AND(N('Raw data'!E10)&gt;0,'Raw data'!Q10&lt;&gt;""),'Raw data'!Q10*(1+N('Raw data'!S10))/('Raw data'!E10*(1+N('Raw data'!H10)))*100,"")))</f>
        <v>3.79055359886095</v>
      </c>
      <c r="M10" s="48" t="n">
        <f aca="false">IF($A10="","",IF('Raw data'!U10&lt;&gt;"",'Raw data'!U10*100,IF(AND(N('Raw data'!E10)&gt;0,'Raw data'!Q10&lt;&gt;""),'Raw data'!Q10/'Raw data'!E10*100,"")))</f>
        <v>4</v>
      </c>
      <c r="N10" s="49" t="n">
        <f aca="false">IF($A10="","",IF('Raw data'!AA10&lt;&gt;"",'Raw data'!AA10,IF('Raw data'!W10="","",IF('Scoring rules'!$C$5="Lower is better",5-COUNTIF('Scoring rules'!$D$5:$G$5,"&lt;="&amp;'Raw data'!W10),1+COUNTIF('Scoring rules'!$D$5:$G$5,"&lt;="&amp;'Raw data'!W10)))))</f>
        <v>2</v>
      </c>
      <c r="O10" s="49" t="n">
        <f aca="false">IF($A10="","",IF('Raw data'!AB10&lt;&gt;"",'Raw data'!AB10,IF('Raw data'!X10="","",IF('Scoring rules'!$C$6="Lower is better",5-COUNTIF('Scoring rules'!$D$6:$G$6,"&lt;="&amp;'Raw data'!X10),1+COUNTIF('Scoring rules'!$D$6:$G$6,"&lt;="&amp;'Raw data'!X10)))))</f>
        <v>3</v>
      </c>
      <c r="P10" s="49" t="n">
        <f aca="false">IF($A10="","",IF('Raw data'!AC10&lt;&gt;"",'Raw data'!AC10,IF('Raw data'!Y10="","",IF('Scoring rules'!$C$7="Lower is better",5-COUNTIF('Scoring rules'!$D$7:$G$7,"&lt;="&amp;'Raw data'!Y10),1+COUNTIF('Scoring rules'!$D$7:$G$7,"&lt;="&amp;'Raw data'!Y10)))))</f>
        <v>2</v>
      </c>
      <c r="Q10" s="49" t="n">
        <f aca="false">IF($A10="","",IF('Raw data'!AD10&lt;&gt;"",'Raw data'!AD10,IF('Raw data'!Z10="","",IF('Scoring rules'!$C$8="Lower is better",5-COUNTIF('Scoring rules'!$D$8:$G$8,"&lt;="&amp;'Raw data'!Z10),1+COUNTIF('Scoring rules'!$D$8:$G$8,"&lt;="&amp;'Raw data'!Z10)))))</f>
        <v>3</v>
      </c>
      <c r="R10" s="49" t="str">
        <f aca="false">IF($A10="","",IF(ISNUMBER('Raw data'!J10),'Raw data'!J10*100,""))</f>
        <v/>
      </c>
      <c r="S10" s="48" t="str">
        <f aca="false">IF($A10="","",IF(ISNUMBER('Raw data'!K10),'Raw data'!K10*100,""))</f>
        <v/>
      </c>
      <c r="T10" s="48" t="str">
        <f aca="false">IF($A10="","",IF(ISNUMBER('Raw data'!L10),'Raw data'!L10*100,""))</f>
        <v/>
      </c>
      <c r="U10" s="48" t="str">
        <f aca="false">IF($A10="","",IF(ISNUMBER('Raw data'!M10),'Raw data'!M10*100,""))</f>
        <v/>
      </c>
      <c r="V10" s="48" t="str">
        <f aca="false">IF($A10="","",IF(ISNUMBER('Raw data'!N10),'Raw data'!N10*100,""))</f>
        <v/>
      </c>
      <c r="W10" s="48" t="str">
        <f aca="false">IF($A10="","",IF(ISNUMBER('Raw data'!O10),'Raw data'!O10*100,""))</f>
        <v/>
      </c>
      <c r="X10" s="48" t="str">
        <f aca="false">IF($A10="","",IF(ISNUMBER('Raw data'!P10),'Raw data'!P10*100,""))</f>
        <v/>
      </c>
      <c r="Y10" s="50" t="str">
        <f aca="false">IF($A10="","",IF(AND(ISNUMBER('Raw data'!J10),ISNUMBER('Raw data'!H10),ISNUMBER('Raw data'!L10),ISNUMBER('Raw data'!O10)),ROUND(('Raw data'!J10*'Raw data'!L10+(1-'Raw data'!J10)*'Raw data'!O10-'Raw data'!H10)*100,1),""))</f>
        <v/>
      </c>
    </row>
    <row r="11" customFormat="false" ht="15" hidden="false" customHeight="false" outlineLevel="0" collapsed="false">
      <c r="A11" s="40" t="str">
        <f aca="false">IF(TRIM('Raw data'!A11)="","",TRIM('Raw data'!A11))</f>
        <v>Hungary</v>
      </c>
      <c r="B11" s="40" t="str">
        <f aca="false">IF($A11="","",IF('Raw data'!B11="",UPPER(LEFT($A11,3)),'Raw data'!B11))</f>
        <v>HU</v>
      </c>
      <c r="C11" s="40" t="str">
        <f aca="false">IF($A11="","",'Raw data'!C11)</f>
        <v>Non-residential</v>
      </c>
      <c r="D11" s="41" t="n">
        <f aca="false">IF(OR($A11="",'Raw data'!E11=""),"",'Raw data'!E11)</f>
        <v>40</v>
      </c>
      <c r="E11" s="41" t="n">
        <f aca="false">IF(OR($A11="",'Raw data'!Q11=""),"",'Raw data'!Q11)</f>
        <v>1.2</v>
      </c>
      <c r="F11" s="48" t="str">
        <f aca="false">IF($A11="","",IF(ISNUMBER('Raw data'!G11),'Raw data'!G11*100,""))</f>
        <v/>
      </c>
      <c r="G11" s="48" t="n">
        <f aca="false">IF($A11="","",IF(ISNUMBER('Raw data'!H11),'Raw data'!H11*100,""))</f>
        <v>11.6687091981567</v>
      </c>
      <c r="H11" s="48" t="n">
        <f aca="false">IF($A11="","",IF(ISNUMBER('Raw data'!I11),'Raw data'!I11*100,""))</f>
        <v>2.68757029860158</v>
      </c>
      <c r="I11" s="48" t="n">
        <f aca="false">IF($A11="","",IF(ISNUMBER('Raw data'!R11),'Raw data'!R11*100,""))</f>
        <v>5.5</v>
      </c>
      <c r="J11" s="48" t="n">
        <f aca="false">IF($A11="","",IF(ISNUMBER('Raw data'!S11),'Raw data'!S11*100,""))</f>
        <v>3.5</v>
      </c>
      <c r="K11" s="48" t="n">
        <f aca="false">IF($A11="","",IF(ISNUMBER('Raw data'!T11),'Raw data'!T11*100,""))</f>
        <v>6.5</v>
      </c>
      <c r="L11" s="48" t="n">
        <f aca="false">IF($A11="","",IF('Raw data'!V11&lt;&gt;"",'Raw data'!V11*100,IF(AND(N('Raw data'!E11)&gt;0,'Raw data'!Q11&lt;&gt;""),'Raw data'!Q11*(1+N('Raw data'!S11))/('Raw data'!E11*(1+N('Raw data'!H11)))*100,"")))</f>
        <v>2.78054615504703</v>
      </c>
      <c r="M11" s="48" t="n">
        <f aca="false">IF($A11="","",IF('Raw data'!U11&lt;&gt;"",'Raw data'!U11*100,IF(AND(N('Raw data'!E11)&gt;0,'Raw data'!Q11&lt;&gt;""),'Raw data'!Q11/'Raw data'!E11*100,"")))</f>
        <v>3</v>
      </c>
      <c r="N11" s="49" t="n">
        <f aca="false">IF($A11="","",IF('Raw data'!AA11&lt;&gt;"",'Raw data'!AA11,IF('Raw data'!W11="","",IF('Scoring rules'!$C$5="Lower is better",5-COUNTIF('Scoring rules'!$D$5:$G$5,"&lt;="&amp;'Raw data'!W11),1+COUNTIF('Scoring rules'!$D$5:$G$5,"&lt;="&amp;'Raw data'!W11)))))</f>
        <v>2</v>
      </c>
      <c r="O11" s="49" t="n">
        <f aca="false">IF($A11="","",IF('Raw data'!AB11&lt;&gt;"",'Raw data'!AB11,IF('Raw data'!X11="","",IF('Scoring rules'!$C$6="Lower is better",5-COUNTIF('Scoring rules'!$D$6:$G$6,"&lt;="&amp;'Raw data'!X11),1+COUNTIF('Scoring rules'!$D$6:$G$6,"&lt;="&amp;'Raw data'!X11)))))</f>
        <v>3</v>
      </c>
      <c r="P11" s="49" t="n">
        <f aca="false">IF($A11="","",IF('Raw data'!AC11&lt;&gt;"",'Raw data'!AC11,IF('Raw data'!Y11="","",IF('Scoring rules'!$C$7="Lower is better",5-COUNTIF('Scoring rules'!$D$7:$G$7,"&lt;="&amp;'Raw data'!Y11),1+COUNTIF('Scoring rules'!$D$7:$G$7,"&lt;="&amp;'Raw data'!Y11)))))</f>
        <v>2</v>
      </c>
      <c r="Q11" s="49" t="n">
        <f aca="false">IF($A11="","",IF('Raw data'!AD11&lt;&gt;"",'Raw data'!AD11,IF('Raw data'!Z11="","",IF('Scoring rules'!$C$8="Lower is better",5-COUNTIF('Scoring rules'!$D$8:$G$8,"&lt;="&amp;'Raw data'!Z11),1+COUNTIF('Scoring rules'!$D$8:$G$8,"&lt;="&amp;'Raw data'!Z11)))))</f>
        <v>3</v>
      </c>
      <c r="R11" s="49" t="str">
        <f aca="false">IF($A11="","",IF(ISNUMBER('Raw data'!J11),'Raw data'!J11*100,""))</f>
        <v/>
      </c>
      <c r="S11" s="48" t="str">
        <f aca="false">IF($A11="","",IF(ISNUMBER('Raw data'!K11),'Raw data'!K11*100,""))</f>
        <v/>
      </c>
      <c r="T11" s="48" t="str">
        <f aca="false">IF($A11="","",IF(ISNUMBER('Raw data'!L11),'Raw data'!L11*100,""))</f>
        <v/>
      </c>
      <c r="U11" s="48" t="str">
        <f aca="false">IF($A11="","",IF(ISNUMBER('Raw data'!M11),'Raw data'!M11*100,""))</f>
        <v/>
      </c>
      <c r="V11" s="48" t="str">
        <f aca="false">IF($A11="","",IF(ISNUMBER('Raw data'!N11),'Raw data'!N11*100,""))</f>
        <v/>
      </c>
      <c r="W11" s="48" t="str">
        <f aca="false">IF($A11="","",IF(ISNUMBER('Raw data'!O11),'Raw data'!O11*100,""))</f>
        <v/>
      </c>
      <c r="X11" s="48" t="str">
        <f aca="false">IF($A11="","",IF(ISNUMBER('Raw data'!P11),'Raw data'!P11*100,""))</f>
        <v/>
      </c>
      <c r="Y11" s="50" t="str">
        <f aca="false">IF($A11="","",IF(AND(ISNUMBER('Raw data'!J11),ISNUMBER('Raw data'!H11),ISNUMBER('Raw data'!L11),ISNUMBER('Raw data'!O11)),ROUND(('Raw data'!J11*'Raw data'!L11+(1-'Raw data'!J11)*'Raw data'!O11-'Raw data'!H11)*100,1),""))</f>
        <v/>
      </c>
    </row>
    <row r="12" customFormat="false" ht="15" hidden="false" customHeight="false" outlineLevel="0" collapsed="false">
      <c r="A12" s="40" t="str">
        <f aca="false">IF(TRIM('Raw data'!A12)="","",TRIM('Raw data'!A12))</f>
        <v>Netherlands</v>
      </c>
      <c r="B12" s="40" t="str">
        <f aca="false">IF($A12="","",IF('Raw data'!B12="",UPPER(LEFT($A12,3)),'Raw data'!B12))</f>
        <v>NL</v>
      </c>
      <c r="C12" s="40" t="str">
        <f aca="false">IF($A12="","",'Raw data'!C12)</f>
        <v>Residential</v>
      </c>
      <c r="D12" s="41" t="n">
        <f aca="false">IF(OR($A12="",'Raw data'!E12=""),"",'Raw data'!E12)</f>
        <v>320</v>
      </c>
      <c r="E12" s="41" t="n">
        <f aca="false">IF(OR($A12="",'Raw data'!Q12=""),"",'Raw data'!Q12)</f>
        <v>51.2</v>
      </c>
      <c r="F12" s="48" t="str">
        <f aca="false">IF($A12="","",IF(ISNUMBER('Raw data'!G12),'Raw data'!G12*100,""))</f>
        <v/>
      </c>
      <c r="G12" s="48" t="n">
        <f aca="false">IF($A12="","",IF(ISNUMBER('Raw data'!H12),'Raw data'!H12*100,""))</f>
        <v>1.31534409044378</v>
      </c>
      <c r="H12" s="48" t="n">
        <f aca="false">IF($A12="","",IF(ISNUMBER('Raw data'!I12),'Raw data'!I12*100,""))</f>
        <v>2.89869943856107</v>
      </c>
      <c r="I12" s="48" t="n">
        <f aca="false">IF($A12="","",IF(ISNUMBER('Raw data'!R12),'Raw data'!R12*100,""))</f>
        <v>3.5</v>
      </c>
      <c r="J12" s="48" t="n">
        <f aca="false">IF($A12="","",IF(ISNUMBER('Raw data'!S12),'Raw data'!S12*100,""))</f>
        <v>2</v>
      </c>
      <c r="K12" s="48" t="n">
        <f aca="false">IF($A12="","",IF(ISNUMBER('Raw data'!T12),'Raw data'!T12*100,""))</f>
        <v>3</v>
      </c>
      <c r="L12" s="48" t="n">
        <f aca="false">IF($A12="","",IF('Raw data'!V12&lt;&gt;"",'Raw data'!V12*100,IF(AND(N('Raw data'!E12)&gt;0,'Raw data'!Q12&lt;&gt;""),'Raw data'!Q12*(1+N('Raw data'!S12))/('Raw data'!E12*(1+N('Raw data'!H12)))*100,"")))</f>
        <v>16.1081227592054</v>
      </c>
      <c r="M12" s="48" t="n">
        <f aca="false">IF($A12="","",IF('Raw data'!U12&lt;&gt;"",'Raw data'!U12*100,IF(AND(N('Raw data'!E12)&gt;0,'Raw data'!Q12&lt;&gt;""),'Raw data'!Q12/'Raw data'!E12*100,"")))</f>
        <v>16</v>
      </c>
      <c r="N12" s="49" t="n">
        <f aca="false">IF($A12="","",IF('Raw data'!AA12&lt;&gt;"",'Raw data'!AA12,IF('Raw data'!W12="","",IF('Scoring rules'!$C$5="Lower is better",5-COUNTIF('Scoring rules'!$D$5:$G$5,"&lt;="&amp;'Raw data'!W12),1+COUNTIF('Scoring rules'!$D$5:$G$5,"&lt;="&amp;'Raw data'!W12)))))</f>
        <v>4</v>
      </c>
      <c r="O12" s="49" t="n">
        <f aca="false">IF($A12="","",IF('Raw data'!AB12&lt;&gt;"",'Raw data'!AB12,IF('Raw data'!X12="","",IF('Scoring rules'!$C$6="Lower is better",5-COUNTIF('Scoring rules'!$D$6:$G$6,"&lt;="&amp;'Raw data'!X12),1+COUNTIF('Scoring rules'!$D$6:$G$6,"&lt;="&amp;'Raw data'!X12)))))</f>
        <v>3</v>
      </c>
      <c r="P12" s="49" t="n">
        <f aca="false">IF($A12="","",IF('Raw data'!AC12&lt;&gt;"",'Raw data'!AC12,IF('Raw data'!Y12="","",IF('Scoring rules'!$C$7="Lower is better",5-COUNTIF('Scoring rules'!$D$7:$G$7,"&lt;="&amp;'Raw data'!Y12),1+COUNTIF('Scoring rules'!$D$7:$G$7,"&lt;="&amp;'Raw data'!Y12)))))</f>
        <v>5</v>
      </c>
      <c r="Q12" s="49" t="n">
        <f aca="false">IF($A12="","",IF('Raw data'!AD12&lt;&gt;"",'Raw data'!AD12,IF('Raw data'!Z12="","",IF('Scoring rules'!$C$8="Lower is better",5-COUNTIF('Scoring rules'!$D$8:$G$8,"&lt;="&amp;'Raw data'!Z12),1+COUNTIF('Scoring rules'!$D$8:$G$8,"&lt;="&amp;'Raw data'!Z12)))))</f>
        <v>4</v>
      </c>
      <c r="R12" s="49" t="str">
        <f aca="false">IF($A12="","",IF(ISNUMBER('Raw data'!J12),'Raw data'!J12*100,""))</f>
        <v/>
      </c>
      <c r="S12" s="48" t="str">
        <f aca="false">IF($A12="","",IF(ISNUMBER('Raw data'!K12),'Raw data'!K12*100,""))</f>
        <v/>
      </c>
      <c r="T12" s="48" t="str">
        <f aca="false">IF($A12="","",IF(ISNUMBER('Raw data'!L12),'Raw data'!L12*100,""))</f>
        <v/>
      </c>
      <c r="U12" s="48" t="str">
        <f aca="false">IF($A12="","",IF(ISNUMBER('Raw data'!M12),'Raw data'!M12*100,""))</f>
        <v/>
      </c>
      <c r="V12" s="48" t="str">
        <f aca="false">IF($A12="","",IF(ISNUMBER('Raw data'!N12),'Raw data'!N12*100,""))</f>
        <v/>
      </c>
      <c r="W12" s="48" t="str">
        <f aca="false">IF($A12="","",IF(ISNUMBER('Raw data'!O12),'Raw data'!O12*100,""))</f>
        <v/>
      </c>
      <c r="X12" s="48" t="str">
        <f aca="false">IF($A12="","",IF(ISNUMBER('Raw data'!P12),'Raw data'!P12*100,""))</f>
        <v/>
      </c>
      <c r="Y12" s="50" t="str">
        <f aca="false">IF($A12="","",IF(AND(ISNUMBER('Raw data'!J12),ISNUMBER('Raw data'!H12),ISNUMBER('Raw data'!L12),ISNUMBER('Raw data'!O12)),ROUND(('Raw data'!J12*'Raw data'!L12+(1-'Raw data'!J12)*'Raw data'!O12-'Raw data'!H12)*100,1),""))</f>
        <v/>
      </c>
    </row>
    <row r="13" customFormat="false" ht="15" hidden="false" customHeight="false" outlineLevel="0" collapsed="false">
      <c r="A13" s="40" t="str">
        <f aca="false">IF(TRIM('Raw data'!A13)="","",TRIM('Raw data'!A13))</f>
        <v>Netherlands</v>
      </c>
      <c r="B13" s="40" t="str">
        <f aca="false">IF($A13="","",IF('Raw data'!B13="",UPPER(LEFT($A13,3)),'Raw data'!B13))</f>
        <v>NL</v>
      </c>
      <c r="C13" s="40" t="str">
        <f aca="false">IF($A13="","",'Raw data'!C13)</f>
        <v>Non-residential</v>
      </c>
      <c r="D13" s="41" t="n">
        <f aca="false">IF(OR($A13="",'Raw data'!E13=""),"",'Raw data'!E13)</f>
        <v>270</v>
      </c>
      <c r="E13" s="41" t="n">
        <f aca="false">IF(OR($A13="",'Raw data'!Q13=""),"",'Raw data'!Q13)</f>
        <v>36.5</v>
      </c>
      <c r="F13" s="48" t="str">
        <f aca="false">IF($A13="","",IF(ISNUMBER('Raw data'!G13),'Raw data'!G13*100,""))</f>
        <v/>
      </c>
      <c r="G13" s="48" t="n">
        <f aca="false">IF($A13="","",IF(ISNUMBER('Raw data'!H13),'Raw data'!H13*100,""))</f>
        <v>2.67644600427213</v>
      </c>
      <c r="H13" s="48" t="n">
        <f aca="false">IF($A13="","",IF(ISNUMBER('Raw data'!I13),'Raw data'!I13*100,""))</f>
        <v>2.8914782250874</v>
      </c>
      <c r="I13" s="48" t="n">
        <f aca="false">IF($A13="","",IF(ISNUMBER('Raw data'!R13),'Raw data'!R13*100,""))</f>
        <v>4</v>
      </c>
      <c r="J13" s="48" t="n">
        <f aca="false">IF($A13="","",IF(ISNUMBER('Raw data'!S13),'Raw data'!S13*100,""))</f>
        <v>2.5</v>
      </c>
      <c r="K13" s="48" t="n">
        <f aca="false">IF($A13="","",IF(ISNUMBER('Raw data'!T13),'Raw data'!T13*100,""))</f>
        <v>3.5</v>
      </c>
      <c r="L13" s="48" t="n">
        <f aca="false">IF($A13="","",IF('Raw data'!V13&lt;&gt;"",'Raw data'!V13*100,IF(AND(N('Raw data'!E13)&gt;0,'Raw data'!Q13&lt;&gt;""),'Raw data'!Q13*(1+N('Raw data'!S13))/('Raw data'!E13*(1+N('Raw data'!H13)))*100,"")))</f>
        <v>13.4952874010705</v>
      </c>
      <c r="M13" s="48" t="n">
        <f aca="false">IF($A13="","",IF('Raw data'!U13&lt;&gt;"",'Raw data'!U13*100,IF(AND(N('Raw data'!E13)&gt;0,'Raw data'!Q13&lt;&gt;""),'Raw data'!Q13/'Raw data'!E13*100,"")))</f>
        <v>13.5185185185185</v>
      </c>
      <c r="N13" s="49" t="n">
        <f aca="false">IF($A13="","",IF('Raw data'!AA13&lt;&gt;"",'Raw data'!AA13,IF('Raw data'!W13="","",IF('Scoring rules'!$C$5="Lower is better",5-COUNTIF('Scoring rules'!$D$5:$G$5,"&lt;="&amp;'Raw data'!W13),1+COUNTIF('Scoring rules'!$D$5:$G$5,"&lt;="&amp;'Raw data'!W13)))))</f>
        <v>4</v>
      </c>
      <c r="O13" s="49" t="n">
        <f aca="false">IF($A13="","",IF('Raw data'!AB13&lt;&gt;"",'Raw data'!AB13,IF('Raw data'!X13="","",IF('Scoring rules'!$C$6="Lower is better",5-COUNTIF('Scoring rules'!$D$6:$G$6,"&lt;="&amp;'Raw data'!X13),1+COUNTIF('Scoring rules'!$D$6:$G$6,"&lt;="&amp;'Raw data'!X13)))))</f>
        <v>3</v>
      </c>
      <c r="P13" s="49" t="n">
        <f aca="false">IF($A13="","",IF('Raw data'!AC13&lt;&gt;"",'Raw data'!AC13,IF('Raw data'!Y13="","",IF('Scoring rules'!$C$7="Lower is better",5-COUNTIF('Scoring rules'!$D$7:$G$7,"&lt;="&amp;'Raw data'!Y13),1+COUNTIF('Scoring rules'!$D$7:$G$7,"&lt;="&amp;'Raw data'!Y13)))))</f>
        <v>5</v>
      </c>
      <c r="Q13" s="49" t="n">
        <f aca="false">IF($A13="","",IF('Raw data'!AD13&lt;&gt;"",'Raw data'!AD13,IF('Raw data'!Z13="","",IF('Scoring rules'!$C$8="Lower is better",5-COUNTIF('Scoring rules'!$D$8:$G$8,"&lt;="&amp;'Raw data'!Z13),1+COUNTIF('Scoring rules'!$D$8:$G$8,"&lt;="&amp;'Raw data'!Z13)))))</f>
        <v>4</v>
      </c>
      <c r="R13" s="49" t="str">
        <f aca="false">IF($A13="","",IF(ISNUMBER('Raw data'!J13),'Raw data'!J13*100,""))</f>
        <v/>
      </c>
      <c r="S13" s="48" t="str">
        <f aca="false">IF($A13="","",IF(ISNUMBER('Raw data'!K13),'Raw data'!K13*100,""))</f>
        <v/>
      </c>
      <c r="T13" s="48" t="str">
        <f aca="false">IF($A13="","",IF(ISNUMBER('Raw data'!L13),'Raw data'!L13*100,""))</f>
        <v/>
      </c>
      <c r="U13" s="48" t="str">
        <f aca="false">IF($A13="","",IF(ISNUMBER('Raw data'!M13),'Raw data'!M13*100,""))</f>
        <v/>
      </c>
      <c r="V13" s="48" t="str">
        <f aca="false">IF($A13="","",IF(ISNUMBER('Raw data'!N13),'Raw data'!N13*100,""))</f>
        <v/>
      </c>
      <c r="W13" s="48" t="str">
        <f aca="false">IF($A13="","",IF(ISNUMBER('Raw data'!O13),'Raw data'!O13*100,""))</f>
        <v/>
      </c>
      <c r="X13" s="48" t="str">
        <f aca="false">IF($A13="","",IF(ISNUMBER('Raw data'!P13),'Raw data'!P13*100,""))</f>
        <v/>
      </c>
      <c r="Y13" s="50" t="str">
        <f aca="false">IF($A13="","",IF(AND(ISNUMBER('Raw data'!J13),ISNUMBER('Raw data'!H13),ISNUMBER('Raw data'!L13),ISNUMBER('Raw data'!O13)),ROUND(('Raw data'!J13*'Raw data'!L13+(1-'Raw data'!J13)*'Raw data'!O13-'Raw data'!H13)*100,1),""))</f>
        <v/>
      </c>
    </row>
    <row r="14" customFormat="false" ht="15" hidden="false" customHeight="false" outlineLevel="0" collapsed="false">
      <c r="A14" s="40" t="str">
        <f aca="false">IF(TRIM('Raw data'!A14)="","",TRIM('Raw data'!A14))</f>
        <v>Sweden</v>
      </c>
      <c r="B14" s="40" t="str">
        <f aca="false">IF($A14="","",IF('Raw data'!B14="",UPPER(LEFT($A14,3)),'Raw data'!B14))</f>
        <v>SE</v>
      </c>
      <c r="C14" s="40" t="str">
        <f aca="false">IF($A14="","",'Raw data'!C14)</f>
        <v>Residential</v>
      </c>
      <c r="D14" s="41" t="n">
        <f aca="false">IF(OR($A14="",'Raw data'!E14=""),"",'Raw data'!E14)</f>
        <v>90</v>
      </c>
      <c r="E14" s="41" t="n">
        <f aca="false">IF(OR($A14="",'Raw data'!Q14=""),"",'Raw data'!Q14)</f>
        <v>6.3</v>
      </c>
      <c r="F14" s="48" t="str">
        <f aca="false">IF($A14="","",IF(ISNUMBER('Raw data'!G14),'Raw data'!G14*100,""))</f>
        <v/>
      </c>
      <c r="G14" s="48" t="n">
        <f aca="false">IF($A14="","",IF(ISNUMBER('Raw data'!H14),'Raw data'!H14*100,""))</f>
        <v>2.05347524531108</v>
      </c>
      <c r="H14" s="48" t="n">
        <f aca="false">IF($A14="","",IF(ISNUMBER('Raw data'!I14),'Raw data'!I14*100,""))</f>
        <v>2.57029280159691</v>
      </c>
      <c r="I14" s="48" t="n">
        <f aca="false">IF($A14="","",IF(ISNUMBER('Raw data'!R14),'Raw data'!R14*100,""))</f>
        <v>1</v>
      </c>
      <c r="J14" s="48" t="n">
        <f aca="false">IF($A14="","",IF(ISNUMBER('Raw data'!S14),'Raw data'!S14*100,""))</f>
        <v>0</v>
      </c>
      <c r="K14" s="48" t="n">
        <f aca="false">IF($A14="","",IF(ISNUMBER('Raw data'!T14),'Raw data'!T14*100,""))</f>
        <v>3.5</v>
      </c>
      <c r="L14" s="48" t="n">
        <f aca="false">IF($A14="","",IF('Raw data'!V14&lt;&gt;"",'Raw data'!V14*100,IF(AND(N('Raw data'!E14)&gt;0,'Raw data'!Q14&lt;&gt;""),'Raw data'!Q14*(1+N('Raw data'!S14))/('Raw data'!E14*(1+N('Raw data'!H14)))*100,"")))</f>
        <v>6.85914907177217</v>
      </c>
      <c r="M14" s="48" t="n">
        <f aca="false">IF($A14="","",IF('Raw data'!U14&lt;&gt;"",'Raw data'!U14*100,IF(AND(N('Raw data'!E14)&gt;0,'Raw data'!Q14&lt;&gt;""),'Raw data'!Q14/'Raw data'!E14*100,"")))</f>
        <v>7</v>
      </c>
      <c r="N14" s="49" t="n">
        <f aca="false">IF($A14="","",IF('Raw data'!AA14&lt;&gt;"",'Raw data'!AA14,IF('Raw data'!W14="","",IF('Scoring rules'!$C$5="Lower is better",5-COUNTIF('Scoring rules'!$D$5:$G$5,"&lt;="&amp;'Raw data'!W14),1+COUNTIF('Scoring rules'!$D$5:$G$5,"&lt;="&amp;'Raw data'!W14)))))</f>
        <v>4</v>
      </c>
      <c r="O14" s="49" t="n">
        <f aca="false">IF($A14="","",IF('Raw data'!AB14&lt;&gt;"",'Raw data'!AB14,IF('Raw data'!X14="","",IF('Scoring rules'!$C$6="Lower is better",5-COUNTIF('Scoring rules'!$D$6:$G$6,"&lt;="&amp;'Raw data'!X14),1+COUNTIF('Scoring rules'!$D$6:$G$6,"&lt;="&amp;'Raw data'!X14)))))</f>
        <v>3</v>
      </c>
      <c r="P14" s="49" t="n">
        <f aca="false">IF($A14="","",IF('Raw data'!AC14&lt;&gt;"",'Raw data'!AC14,IF('Raw data'!Y14="","",IF('Scoring rules'!$C$7="Lower is better",5-COUNTIF('Scoring rules'!$D$7:$G$7,"&lt;="&amp;'Raw data'!Y14),1+COUNTIF('Scoring rules'!$D$7:$G$7,"&lt;="&amp;'Raw data'!Y14)))))</f>
        <v>3</v>
      </c>
      <c r="Q14" s="49" t="n">
        <f aca="false">IF($A14="","",IF('Raw data'!AD14&lt;&gt;"",'Raw data'!AD14,IF('Raw data'!Z14="","",IF('Scoring rules'!$C$8="Lower is better",5-COUNTIF('Scoring rules'!$D$8:$G$8,"&lt;="&amp;'Raw data'!Z14),1+COUNTIF('Scoring rules'!$D$8:$G$8,"&lt;="&amp;'Raw data'!Z14)))))</f>
        <v>3</v>
      </c>
      <c r="R14" s="49" t="str">
        <f aca="false">IF($A14="","",IF(ISNUMBER('Raw data'!J14),'Raw data'!J14*100,""))</f>
        <v/>
      </c>
      <c r="S14" s="48" t="str">
        <f aca="false">IF($A14="","",IF(ISNUMBER('Raw data'!K14),'Raw data'!K14*100,""))</f>
        <v/>
      </c>
      <c r="T14" s="48" t="str">
        <f aca="false">IF($A14="","",IF(ISNUMBER('Raw data'!L14),'Raw data'!L14*100,""))</f>
        <v/>
      </c>
      <c r="U14" s="48" t="str">
        <f aca="false">IF($A14="","",IF(ISNUMBER('Raw data'!M14),'Raw data'!M14*100,""))</f>
        <v/>
      </c>
      <c r="V14" s="48" t="str">
        <f aca="false">IF($A14="","",IF(ISNUMBER('Raw data'!N14),'Raw data'!N14*100,""))</f>
        <v/>
      </c>
      <c r="W14" s="48" t="str">
        <f aca="false">IF($A14="","",IF(ISNUMBER('Raw data'!O14),'Raw data'!O14*100,""))</f>
        <v/>
      </c>
      <c r="X14" s="48" t="str">
        <f aca="false">IF($A14="","",IF(ISNUMBER('Raw data'!P14),'Raw data'!P14*100,""))</f>
        <v/>
      </c>
      <c r="Y14" s="50" t="str">
        <f aca="false">IF($A14="","",IF(AND(ISNUMBER('Raw data'!J14),ISNUMBER('Raw data'!H14),ISNUMBER('Raw data'!L14),ISNUMBER('Raw data'!O14)),ROUND(('Raw data'!J14*'Raw data'!L14+(1-'Raw data'!J14)*'Raw data'!O14-'Raw data'!H14)*100,1),""))</f>
        <v/>
      </c>
    </row>
    <row r="15" customFormat="false" ht="15" hidden="false" customHeight="false" outlineLevel="0" collapsed="false">
      <c r="A15" s="40" t="str">
        <f aca="false">IF(TRIM('Raw data'!A15)="","",TRIM('Raw data'!A15))</f>
        <v>Sweden</v>
      </c>
      <c r="B15" s="40" t="str">
        <f aca="false">IF($A15="","",IF('Raw data'!B15="",UPPER(LEFT($A15,3)),'Raw data'!B15))</f>
        <v>SE</v>
      </c>
      <c r="C15" s="40" t="str">
        <f aca="false">IF($A15="","",'Raw data'!C15)</f>
        <v>Non-residential</v>
      </c>
      <c r="D15" s="41" t="n">
        <f aca="false">IF(OR($A15="",'Raw data'!E15=""),"",'Raw data'!E15)</f>
        <v>185</v>
      </c>
      <c r="E15" s="41" t="n">
        <f aca="false">IF(OR($A15="",'Raw data'!Q15=""),"",'Raw data'!Q15)</f>
        <v>10.2</v>
      </c>
      <c r="F15" s="48" t="str">
        <f aca="false">IF($A15="","",IF(ISNUMBER('Raw data'!G15),'Raw data'!G15*100,""))</f>
        <v/>
      </c>
      <c r="G15" s="48" t="n">
        <f aca="false">IF($A15="","",IF(ISNUMBER('Raw data'!H15),'Raw data'!H15*100,""))</f>
        <v>-0.653040108993575</v>
      </c>
      <c r="H15" s="48" t="n">
        <f aca="false">IF($A15="","",IF(ISNUMBER('Raw data'!I15),'Raw data'!I15*100,""))</f>
        <v>2.26991071956315</v>
      </c>
      <c r="I15" s="48" t="n">
        <f aca="false">IF($A15="","",IF(ISNUMBER('Raw data'!R15),'Raw data'!R15*100,""))</f>
        <v>1.5</v>
      </c>
      <c r="J15" s="48" t="n">
        <f aca="false">IF($A15="","",IF(ISNUMBER('Raw data'!S15),'Raw data'!S15*100,""))</f>
        <v>0.5</v>
      </c>
      <c r="K15" s="48" t="n">
        <f aca="false">IF($A15="","",IF(ISNUMBER('Raw data'!T15),'Raw data'!T15*100,""))</f>
        <v>4</v>
      </c>
      <c r="L15" s="48" t="n">
        <f aca="false">IF($A15="","",IF('Raw data'!V15&lt;&gt;"",'Raw data'!V15*100,IF(AND(N('Raw data'!E15)&gt;0,'Raw data'!Q15&lt;&gt;""),'Raw data'!Q15*(1+N('Raw data'!S15))/('Raw data'!E15*(1+N('Raw data'!H15)))*100,"")))</f>
        <v>5.57750442203788</v>
      </c>
      <c r="M15" s="48" t="n">
        <f aca="false">IF($A15="","",IF('Raw data'!U15&lt;&gt;"",'Raw data'!U15*100,IF(AND(N('Raw data'!E15)&gt;0,'Raw data'!Q15&lt;&gt;""),'Raw data'!Q15/'Raw data'!E15*100,"")))</f>
        <v>5.51351351351351</v>
      </c>
      <c r="N15" s="49" t="n">
        <f aca="false">IF($A15="","",IF('Raw data'!AA15&lt;&gt;"",'Raw data'!AA15,IF('Raw data'!W15="","",IF('Scoring rules'!$C$5="Lower is better",5-COUNTIF('Scoring rules'!$D$5:$G$5,"&lt;="&amp;'Raw data'!W15),1+COUNTIF('Scoring rules'!$D$5:$G$5,"&lt;="&amp;'Raw data'!W15)))))</f>
        <v>4</v>
      </c>
      <c r="O15" s="49" t="n">
        <f aca="false">IF($A15="","",IF('Raw data'!AB15&lt;&gt;"",'Raw data'!AB15,IF('Raw data'!X15="","",IF('Scoring rules'!$C$6="Lower is better",5-COUNTIF('Scoring rules'!$D$6:$G$6,"&lt;="&amp;'Raw data'!X15),1+COUNTIF('Scoring rules'!$D$6:$G$6,"&lt;="&amp;'Raw data'!X15)))))</f>
        <v>3</v>
      </c>
      <c r="P15" s="49" t="n">
        <f aca="false">IF($A15="","",IF('Raw data'!AC15&lt;&gt;"",'Raw data'!AC15,IF('Raw data'!Y15="","",IF('Scoring rules'!$C$7="Lower is better",5-COUNTIF('Scoring rules'!$D$7:$G$7,"&lt;="&amp;'Raw data'!Y15),1+COUNTIF('Scoring rules'!$D$7:$G$7,"&lt;="&amp;'Raw data'!Y15)))))</f>
        <v>3</v>
      </c>
      <c r="Q15" s="49" t="n">
        <f aca="false">IF($A15="","",IF('Raw data'!AD15&lt;&gt;"",'Raw data'!AD15,IF('Raw data'!Z15="","",IF('Scoring rules'!$C$8="Lower is better",5-COUNTIF('Scoring rules'!$D$8:$G$8,"&lt;="&amp;'Raw data'!Z15),1+COUNTIF('Scoring rules'!$D$8:$G$8,"&lt;="&amp;'Raw data'!Z15)))))</f>
        <v>3</v>
      </c>
      <c r="R15" s="49" t="str">
        <f aca="false">IF($A15="","",IF(ISNUMBER('Raw data'!J15),'Raw data'!J15*100,""))</f>
        <v/>
      </c>
      <c r="S15" s="48" t="str">
        <f aca="false">IF($A15="","",IF(ISNUMBER('Raw data'!K15),'Raw data'!K15*100,""))</f>
        <v/>
      </c>
      <c r="T15" s="48" t="str">
        <f aca="false">IF($A15="","",IF(ISNUMBER('Raw data'!L15),'Raw data'!L15*100,""))</f>
        <v/>
      </c>
      <c r="U15" s="48" t="str">
        <f aca="false">IF($A15="","",IF(ISNUMBER('Raw data'!M15),'Raw data'!M15*100,""))</f>
        <v/>
      </c>
      <c r="V15" s="48" t="str">
        <f aca="false">IF($A15="","",IF(ISNUMBER('Raw data'!N15),'Raw data'!N15*100,""))</f>
        <v/>
      </c>
      <c r="W15" s="48" t="str">
        <f aca="false">IF($A15="","",IF(ISNUMBER('Raw data'!O15),'Raw data'!O15*100,""))</f>
        <v/>
      </c>
      <c r="X15" s="48" t="str">
        <f aca="false">IF($A15="","",IF(ISNUMBER('Raw data'!P15),'Raw data'!P15*100,""))</f>
        <v/>
      </c>
      <c r="Y15" s="50" t="str">
        <f aca="false">IF($A15="","",IF(AND(ISNUMBER('Raw data'!J15),ISNUMBER('Raw data'!H15),ISNUMBER('Raw data'!L15),ISNUMBER('Raw data'!O15)),ROUND(('Raw data'!J15*'Raw data'!L15+(1-'Raw data'!J15)*'Raw data'!O15-'Raw data'!H15)*100,1),""))</f>
        <v/>
      </c>
    </row>
    <row r="16" customFormat="false" ht="15" hidden="false" customHeight="false" outlineLevel="0" collapsed="false">
      <c r="A16" s="40" t="str">
        <f aca="false">IF(TRIM('Raw data'!A16)="","",TRIM('Raw data'!A16))</f>
        <v>Norway</v>
      </c>
      <c r="B16" s="40" t="str">
        <f aca="false">IF($A16="","",IF('Raw data'!B16="",UPPER(LEFT($A16,3)),'Raw data'!B16))</f>
        <v>NO</v>
      </c>
      <c r="C16" s="40" t="str">
        <f aca="false">IF($A16="","",'Raw data'!C16)</f>
        <v>Residential</v>
      </c>
      <c r="D16" s="41" t="n">
        <f aca="false">IF(OR($A16="",'Raw data'!E16=""),"",'Raw data'!E16)</f>
        <v>50</v>
      </c>
      <c r="E16" s="41" t="n">
        <f aca="false">IF(OR($A16="",'Raw data'!Q16=""),"",'Raw data'!Q16)</f>
        <v>3.8</v>
      </c>
      <c r="F16" s="48" t="str">
        <f aca="false">IF($A16="","",IF(ISNUMBER('Raw data'!G16),'Raw data'!G16*100,""))</f>
        <v/>
      </c>
      <c r="G16" s="48" t="n">
        <f aca="false">IF($A16="","",IF(ISNUMBER('Raw data'!H16),'Raw data'!H16*100,""))</f>
        <v>-5.56125893658147</v>
      </c>
      <c r="H16" s="48" t="n">
        <f aca="false">IF($A16="","",IF(ISNUMBER('Raw data'!I16),'Raw data'!I16*100,""))</f>
        <v>2.86289921190619</v>
      </c>
      <c r="I16" s="48" t="n">
        <f aca="false">IF($A16="","",IF(ISNUMBER('Raw data'!R16),'Raw data'!R16*100,""))</f>
        <v>1.5</v>
      </c>
      <c r="J16" s="48" t="n">
        <f aca="false">IF($A16="","",IF(ISNUMBER('Raw data'!S16),'Raw data'!S16*100,""))</f>
        <v>0.5</v>
      </c>
      <c r="K16" s="48" t="n">
        <f aca="false">IF($A16="","",IF(ISNUMBER('Raw data'!T16),'Raw data'!T16*100,""))</f>
        <v>3</v>
      </c>
      <c r="L16" s="48" t="n">
        <f aca="false">IF($A16="","",IF('Raw data'!V16&lt;&gt;"",'Raw data'!V16*100,IF(AND(N('Raw data'!E16)&gt;0,'Raw data'!Q16&lt;&gt;""),'Raw data'!Q16*(1+N('Raw data'!S16))/('Raw data'!E16*(1+N('Raw data'!H16)))*100,"")))</f>
        <v>8.08778252864558</v>
      </c>
      <c r="M16" s="48" t="n">
        <f aca="false">IF($A16="","",IF('Raw data'!U16&lt;&gt;"",'Raw data'!U16*100,IF(AND(N('Raw data'!E16)&gt;0,'Raw data'!Q16&lt;&gt;""),'Raw data'!Q16/'Raw data'!E16*100,"")))</f>
        <v>7.6</v>
      </c>
      <c r="N16" s="49" t="n">
        <f aca="false">IF($A16="","",IF('Raw data'!AA16&lt;&gt;"",'Raw data'!AA16,IF('Raw data'!W16="","",IF('Scoring rules'!$C$5="Lower is better",5-COUNTIF('Scoring rules'!$D$5:$G$5,"&lt;="&amp;'Raw data'!W16),1+COUNTIF('Scoring rules'!$D$5:$G$5,"&lt;="&amp;'Raw data'!W16)))))</f>
        <v>4</v>
      </c>
      <c r="O16" s="49" t="n">
        <f aca="false">IF($A16="","",IF('Raw data'!AB16&lt;&gt;"",'Raw data'!AB16,IF('Raw data'!X16="","",IF('Scoring rules'!$C$6="Lower is better",5-COUNTIF('Scoring rules'!$D$6:$G$6,"&lt;="&amp;'Raw data'!X16),1+COUNTIF('Scoring rules'!$D$6:$G$6,"&lt;="&amp;'Raw data'!X16)))))</f>
        <v>3</v>
      </c>
      <c r="P16" s="49" t="n">
        <f aca="false">IF($A16="","",IF('Raw data'!AC16&lt;&gt;"",'Raw data'!AC16,IF('Raw data'!Y16="","",IF('Scoring rules'!$C$7="Lower is better",5-COUNTIF('Scoring rules'!$D$7:$G$7,"&lt;="&amp;'Raw data'!Y16),1+COUNTIF('Scoring rules'!$D$7:$G$7,"&lt;="&amp;'Raw data'!Y16)))))</f>
        <v>3</v>
      </c>
      <c r="Q16" s="49" t="n">
        <f aca="false">IF($A16="","",IF('Raw data'!AD16&lt;&gt;"",'Raw data'!AD16,IF('Raw data'!Z16="","",IF('Scoring rules'!$C$8="Lower is better",5-COUNTIF('Scoring rules'!$D$8:$G$8,"&lt;="&amp;'Raw data'!Z16),1+COUNTIF('Scoring rules'!$D$8:$G$8,"&lt;="&amp;'Raw data'!Z16)))))</f>
        <v>3</v>
      </c>
      <c r="R16" s="49" t="str">
        <f aca="false">IF($A16="","",IF(ISNUMBER('Raw data'!J16),'Raw data'!J16*100,""))</f>
        <v/>
      </c>
      <c r="S16" s="48" t="str">
        <f aca="false">IF($A16="","",IF(ISNUMBER('Raw data'!K16),'Raw data'!K16*100,""))</f>
        <v/>
      </c>
      <c r="T16" s="48" t="str">
        <f aca="false">IF($A16="","",IF(ISNUMBER('Raw data'!L16),'Raw data'!L16*100,""))</f>
        <v/>
      </c>
      <c r="U16" s="48" t="str">
        <f aca="false">IF($A16="","",IF(ISNUMBER('Raw data'!M16),'Raw data'!M16*100,""))</f>
        <v/>
      </c>
      <c r="V16" s="48" t="str">
        <f aca="false">IF($A16="","",IF(ISNUMBER('Raw data'!N16),'Raw data'!N16*100,""))</f>
        <v/>
      </c>
      <c r="W16" s="48" t="str">
        <f aca="false">IF($A16="","",IF(ISNUMBER('Raw data'!O16),'Raw data'!O16*100,""))</f>
        <v/>
      </c>
      <c r="X16" s="48" t="str">
        <f aca="false">IF($A16="","",IF(ISNUMBER('Raw data'!P16),'Raw data'!P16*100,""))</f>
        <v/>
      </c>
      <c r="Y16" s="50" t="str">
        <f aca="false">IF($A16="","",IF(AND(ISNUMBER('Raw data'!J16),ISNUMBER('Raw data'!H16),ISNUMBER('Raw data'!L16),ISNUMBER('Raw data'!O16)),ROUND(('Raw data'!J16*'Raw data'!L16+(1-'Raw data'!J16)*'Raw data'!O16-'Raw data'!H16)*100,1),""))</f>
        <v/>
      </c>
    </row>
    <row r="17" customFormat="false" ht="15" hidden="false" customHeight="false" outlineLevel="0" collapsed="false">
      <c r="A17" s="40" t="str">
        <f aca="false">IF(TRIM('Raw data'!A17)="","",TRIM('Raw data'!A17))</f>
        <v>Norway</v>
      </c>
      <c r="B17" s="40" t="str">
        <f aca="false">IF($A17="","",IF('Raw data'!B17="",UPPER(LEFT($A17,3)),'Raw data'!B17))</f>
        <v>NO</v>
      </c>
      <c r="C17" s="40" t="str">
        <f aca="false">IF($A17="","",'Raw data'!C17)</f>
        <v>Non-residential</v>
      </c>
      <c r="D17" s="41" t="n">
        <f aca="false">IF(OR($A17="",'Raw data'!E17=""),"",'Raw data'!E17)</f>
        <v>130</v>
      </c>
      <c r="E17" s="41" t="n">
        <f aca="false">IF(OR($A17="",'Raw data'!Q17=""),"",'Raw data'!Q17)</f>
        <v>7.2</v>
      </c>
      <c r="F17" s="48" t="str">
        <f aca="false">IF($A17="","",IF(ISNUMBER('Raw data'!G17),'Raw data'!G17*100,""))</f>
        <v/>
      </c>
      <c r="G17" s="48" t="n">
        <f aca="false">IF($A17="","",IF(ISNUMBER('Raw data'!H17),'Raw data'!H17*100,""))</f>
        <v>2.4344139735617</v>
      </c>
      <c r="H17" s="48" t="n">
        <f aca="false">IF($A17="","",IF(ISNUMBER('Raw data'!I17),'Raw data'!I17*100,""))</f>
        <v>2.23442411716492</v>
      </c>
      <c r="I17" s="48" t="n">
        <f aca="false">IF($A17="","",IF(ISNUMBER('Raw data'!R17),'Raw data'!R17*100,""))</f>
        <v>2</v>
      </c>
      <c r="J17" s="48" t="n">
        <f aca="false">IF($A17="","",IF(ISNUMBER('Raw data'!S17),'Raw data'!S17*100,""))</f>
        <v>1</v>
      </c>
      <c r="K17" s="48" t="n">
        <f aca="false">IF($A17="","",IF(ISNUMBER('Raw data'!T17),'Raw data'!T17*100,""))</f>
        <v>3.5</v>
      </c>
      <c r="L17" s="48" t="n">
        <f aca="false">IF($A17="","",IF('Raw data'!V17&lt;&gt;"",'Raw data'!V17*100,IF(AND(N('Raw data'!E17)&gt;0,'Raw data'!Q17&lt;&gt;""),'Raw data'!Q17*(1+N('Raw data'!S17))/('Raw data'!E17*(1+N('Raw data'!H17)))*100,"")))</f>
        <v>5.46090511660459</v>
      </c>
      <c r="M17" s="48" t="n">
        <f aca="false">IF($A17="","",IF('Raw data'!U17&lt;&gt;"",'Raw data'!U17*100,IF(AND(N('Raw data'!E17)&gt;0,'Raw data'!Q17&lt;&gt;""),'Raw data'!Q17/'Raw data'!E17*100,"")))</f>
        <v>5.53846153846154</v>
      </c>
      <c r="N17" s="49" t="n">
        <f aca="false">IF($A17="","",IF('Raw data'!AA17&lt;&gt;"",'Raw data'!AA17,IF('Raw data'!W17="","",IF('Scoring rules'!$C$5="Lower is better",5-COUNTIF('Scoring rules'!$D$5:$G$5,"&lt;="&amp;'Raw data'!W17),1+COUNTIF('Scoring rules'!$D$5:$G$5,"&lt;="&amp;'Raw data'!W17)))))</f>
        <v>4</v>
      </c>
      <c r="O17" s="49" t="n">
        <f aca="false">IF($A17="","",IF('Raw data'!AB17&lt;&gt;"",'Raw data'!AB17,IF('Raw data'!X17="","",IF('Scoring rules'!$C$6="Lower is better",5-COUNTIF('Scoring rules'!$D$6:$G$6,"&lt;="&amp;'Raw data'!X17),1+COUNTIF('Scoring rules'!$D$6:$G$6,"&lt;="&amp;'Raw data'!X17)))))</f>
        <v>3</v>
      </c>
      <c r="P17" s="49" t="n">
        <f aca="false">IF($A17="","",IF('Raw data'!AC17&lt;&gt;"",'Raw data'!AC17,IF('Raw data'!Y17="","",IF('Scoring rules'!$C$7="Lower is better",5-COUNTIF('Scoring rules'!$D$7:$G$7,"&lt;="&amp;'Raw data'!Y17),1+COUNTIF('Scoring rules'!$D$7:$G$7,"&lt;="&amp;'Raw data'!Y17)))))</f>
        <v>3</v>
      </c>
      <c r="Q17" s="49" t="n">
        <f aca="false">IF($A17="","",IF('Raw data'!AD17&lt;&gt;"",'Raw data'!AD17,IF('Raw data'!Z17="","",IF('Scoring rules'!$C$8="Lower is better",5-COUNTIF('Scoring rules'!$D$8:$G$8,"&lt;="&amp;'Raw data'!Z17),1+COUNTIF('Scoring rules'!$D$8:$G$8,"&lt;="&amp;'Raw data'!Z17)))))</f>
        <v>3</v>
      </c>
      <c r="R17" s="49" t="str">
        <f aca="false">IF($A17="","",IF(ISNUMBER('Raw data'!J17),'Raw data'!J17*100,""))</f>
        <v/>
      </c>
      <c r="S17" s="48" t="str">
        <f aca="false">IF($A17="","",IF(ISNUMBER('Raw data'!K17),'Raw data'!K17*100,""))</f>
        <v/>
      </c>
      <c r="T17" s="48" t="str">
        <f aca="false">IF($A17="","",IF(ISNUMBER('Raw data'!L17),'Raw data'!L17*100,""))</f>
        <v/>
      </c>
      <c r="U17" s="48" t="str">
        <f aca="false">IF($A17="","",IF(ISNUMBER('Raw data'!M17),'Raw data'!M17*100,""))</f>
        <v/>
      </c>
      <c r="V17" s="48" t="str">
        <f aca="false">IF($A17="","",IF(ISNUMBER('Raw data'!N17),'Raw data'!N17*100,""))</f>
        <v/>
      </c>
      <c r="W17" s="48" t="str">
        <f aca="false">IF($A17="","",IF(ISNUMBER('Raw data'!O17),'Raw data'!O17*100,""))</f>
        <v/>
      </c>
      <c r="X17" s="48" t="str">
        <f aca="false">IF($A17="","",IF(ISNUMBER('Raw data'!P17),'Raw data'!P17*100,""))</f>
        <v/>
      </c>
      <c r="Y17" s="50" t="str">
        <f aca="false">IF($A17="","",IF(AND(ISNUMBER('Raw data'!J17),ISNUMBER('Raw data'!H17),ISNUMBER('Raw data'!L17),ISNUMBER('Raw data'!O17)),ROUND(('Raw data'!J17*'Raw data'!L17+(1-'Raw data'!J17)*'Raw data'!O17-'Raw data'!H17)*100,1),""))</f>
        <v/>
      </c>
    </row>
    <row r="18" customFormat="false" ht="15" hidden="false" customHeight="false" outlineLevel="0" collapsed="false">
      <c r="A18" s="40" t="str">
        <f aca="false">IF(TRIM('Raw data'!A18)="","",TRIM('Raw data'!A18))</f>
        <v>Finland</v>
      </c>
      <c r="B18" s="40" t="str">
        <f aca="false">IF($A18="","",IF('Raw data'!B18="",UPPER(LEFT($A18,3)),'Raw data'!B18))</f>
        <v>FI</v>
      </c>
      <c r="C18" s="40" t="str">
        <f aca="false">IF($A18="","",'Raw data'!C18)</f>
        <v>Residential</v>
      </c>
      <c r="D18" s="41" t="n">
        <f aca="false">IF(OR($A18="",'Raw data'!E18=""),"",'Raw data'!E18)</f>
        <v>20</v>
      </c>
      <c r="E18" s="41" t="n">
        <f aca="false">IF(OR($A18="",'Raw data'!Q18=""),"",'Raw data'!Q18)</f>
        <v>1.3</v>
      </c>
      <c r="F18" s="48" t="str">
        <f aca="false">IF($A18="","",IF(ISNUMBER('Raw data'!G18),'Raw data'!G18*100,""))</f>
        <v/>
      </c>
      <c r="G18" s="48" t="n">
        <f aca="false">IF($A18="","",IF(ISNUMBER('Raw data'!H18),'Raw data'!H18*100,""))</f>
        <v>-2.96960673095102</v>
      </c>
      <c r="H18" s="48" t="n">
        <f aca="false">IF($A18="","",IF(ISNUMBER('Raw data'!I18),'Raw data'!I18*100,""))</f>
        <v>4.10512200429074</v>
      </c>
      <c r="I18" s="48" t="n">
        <f aca="false">IF($A18="","",IF(ISNUMBER('Raw data'!R18),'Raw data'!R18*100,""))</f>
        <v>0.5</v>
      </c>
      <c r="J18" s="48" t="n">
        <f aca="false">IF($A18="","",IF(ISNUMBER('Raw data'!S18),'Raw data'!S18*100,""))</f>
        <v>-0.5</v>
      </c>
      <c r="K18" s="48" t="n">
        <f aca="false">IF($A18="","",IF(ISNUMBER('Raw data'!T18),'Raw data'!T18*100,""))</f>
        <v>3</v>
      </c>
      <c r="L18" s="48" t="n">
        <f aca="false">IF($A18="","",IF('Raw data'!V18&lt;&gt;"",'Raw data'!V18*100,IF(AND(N('Raw data'!E18)&gt;0,'Raw data'!Q18&lt;&gt;""),'Raw data'!Q18*(1+N('Raw data'!S18))/('Raw data'!E18*(1+N('Raw data'!H18)))*100,"")))</f>
        <v>6.66543727393407</v>
      </c>
      <c r="M18" s="48" t="n">
        <f aca="false">IF($A18="","",IF('Raw data'!U18&lt;&gt;"",'Raw data'!U18*100,IF(AND(N('Raw data'!E18)&gt;0,'Raw data'!Q18&lt;&gt;""),'Raw data'!Q18/'Raw data'!E18*100,"")))</f>
        <v>6.5</v>
      </c>
      <c r="N18" s="49" t="n">
        <f aca="false">IF($A18="","",IF('Raw data'!AA18&lt;&gt;"",'Raw data'!AA18,IF('Raw data'!W18="","",IF('Scoring rules'!$C$5="Lower is better",5-COUNTIF('Scoring rules'!$D$5:$G$5,"&lt;="&amp;'Raw data'!W18),1+COUNTIF('Scoring rules'!$D$5:$G$5,"&lt;="&amp;'Raw data'!W18)))))</f>
        <v>4</v>
      </c>
      <c r="O18" s="49" t="n">
        <f aca="false">IF($A18="","",IF('Raw data'!AB18&lt;&gt;"",'Raw data'!AB18,IF('Raw data'!X18="","",IF('Scoring rules'!$C$6="Lower is better",5-COUNTIF('Scoring rules'!$D$6:$G$6,"&lt;="&amp;'Raw data'!X18),1+COUNTIF('Scoring rules'!$D$6:$G$6,"&lt;="&amp;'Raw data'!X18)))))</f>
        <v>3</v>
      </c>
      <c r="P18" s="49" t="n">
        <f aca="false">IF($A18="","",IF('Raw data'!AC18&lt;&gt;"",'Raw data'!AC18,IF('Raw data'!Y18="","",IF('Scoring rules'!$C$7="Lower is better",5-COUNTIF('Scoring rules'!$D$7:$G$7,"&lt;="&amp;'Raw data'!Y18),1+COUNTIF('Scoring rules'!$D$7:$G$7,"&lt;="&amp;'Raw data'!Y18)))))</f>
        <v>3</v>
      </c>
      <c r="Q18" s="49" t="n">
        <f aca="false">IF($A18="","",IF('Raw data'!AD18&lt;&gt;"",'Raw data'!AD18,IF('Raw data'!Z18="","",IF('Scoring rules'!$C$8="Lower is better",5-COUNTIF('Scoring rules'!$D$8:$G$8,"&lt;="&amp;'Raw data'!Z18),1+COUNTIF('Scoring rules'!$D$8:$G$8,"&lt;="&amp;'Raw data'!Z18)))))</f>
        <v>3</v>
      </c>
      <c r="R18" s="49" t="str">
        <f aca="false">IF($A18="","",IF(ISNUMBER('Raw data'!J18),'Raw data'!J18*100,""))</f>
        <v/>
      </c>
      <c r="S18" s="48" t="str">
        <f aca="false">IF($A18="","",IF(ISNUMBER('Raw data'!K18),'Raw data'!K18*100,""))</f>
        <v/>
      </c>
      <c r="T18" s="48" t="str">
        <f aca="false">IF($A18="","",IF(ISNUMBER('Raw data'!L18),'Raw data'!L18*100,""))</f>
        <v/>
      </c>
      <c r="U18" s="48" t="str">
        <f aca="false">IF($A18="","",IF(ISNUMBER('Raw data'!M18),'Raw data'!M18*100,""))</f>
        <v/>
      </c>
      <c r="V18" s="48" t="str">
        <f aca="false">IF($A18="","",IF(ISNUMBER('Raw data'!N18),'Raw data'!N18*100,""))</f>
        <v/>
      </c>
      <c r="W18" s="48" t="str">
        <f aca="false">IF($A18="","",IF(ISNUMBER('Raw data'!O18),'Raw data'!O18*100,""))</f>
        <v/>
      </c>
      <c r="X18" s="48" t="str">
        <f aca="false">IF($A18="","",IF(ISNUMBER('Raw data'!P18),'Raw data'!P18*100,""))</f>
        <v/>
      </c>
      <c r="Y18" s="50" t="str">
        <f aca="false">IF($A18="","",IF(AND(ISNUMBER('Raw data'!J18),ISNUMBER('Raw data'!H18),ISNUMBER('Raw data'!L18),ISNUMBER('Raw data'!O18)),ROUND(('Raw data'!J18*'Raw data'!L18+(1-'Raw data'!J18)*'Raw data'!O18-'Raw data'!H18)*100,1),""))</f>
        <v/>
      </c>
    </row>
    <row r="19" customFormat="false" ht="15" hidden="false" customHeight="false" outlineLevel="0" collapsed="false">
      <c r="A19" s="40" t="str">
        <f aca="false">IF(TRIM('Raw data'!A19)="","",TRIM('Raw data'!A19))</f>
        <v>Finland</v>
      </c>
      <c r="B19" s="40" t="str">
        <f aca="false">IF($A19="","",IF('Raw data'!B19="",UPPER(LEFT($A19,3)),'Raw data'!B19))</f>
        <v>FI</v>
      </c>
      <c r="C19" s="40" t="str">
        <f aca="false">IF($A19="","",'Raw data'!C19)</f>
        <v>Non-residential</v>
      </c>
      <c r="D19" s="41" t="n">
        <f aca="false">IF(OR($A19="",'Raw data'!E19=""),"",'Raw data'!E19)</f>
        <v>50</v>
      </c>
      <c r="E19" s="41" t="n">
        <f aca="false">IF(OR($A19="",'Raw data'!Q19=""),"",'Raw data'!Q19)</f>
        <v>2.5</v>
      </c>
      <c r="F19" s="48" t="str">
        <f aca="false">IF($A19="","",IF(ISNUMBER('Raw data'!G19),'Raw data'!G19*100,""))</f>
        <v/>
      </c>
      <c r="G19" s="48" t="n">
        <f aca="false">IF($A19="","",IF(ISNUMBER('Raw data'!H19),'Raw data'!H19*100,""))</f>
        <v>-0.852607342689382</v>
      </c>
      <c r="H19" s="48" t="n">
        <f aca="false">IF($A19="","",IF(ISNUMBER('Raw data'!I19),'Raw data'!I19*100,""))</f>
        <v>3.30537597407516</v>
      </c>
      <c r="I19" s="48" t="n">
        <f aca="false">IF($A19="","",IF(ISNUMBER('Raw data'!R19),'Raw data'!R19*100,""))</f>
        <v>1</v>
      </c>
      <c r="J19" s="48" t="n">
        <f aca="false">IF($A19="","",IF(ISNUMBER('Raw data'!S19),'Raw data'!S19*100,""))</f>
        <v>0</v>
      </c>
      <c r="K19" s="48" t="n">
        <f aca="false">IF($A19="","",IF(ISNUMBER('Raw data'!T19),'Raw data'!T19*100,""))</f>
        <v>3.5</v>
      </c>
      <c r="L19" s="48" t="n">
        <f aca="false">IF($A19="","",IF('Raw data'!V19&lt;&gt;"",'Raw data'!V19*100,IF(AND(N('Raw data'!E19)&gt;0,'Raw data'!Q19&lt;&gt;""),'Raw data'!Q19*(1+N('Raw data'!S19))/('Raw data'!E19*(1+N('Raw data'!H19)))*100,"")))</f>
        <v>5.04299696239297</v>
      </c>
      <c r="M19" s="48" t="n">
        <f aca="false">IF($A19="","",IF('Raw data'!U19&lt;&gt;"",'Raw data'!U19*100,IF(AND(N('Raw data'!E19)&gt;0,'Raw data'!Q19&lt;&gt;""),'Raw data'!Q19/'Raw data'!E19*100,"")))</f>
        <v>5</v>
      </c>
      <c r="N19" s="49" t="n">
        <f aca="false">IF($A19="","",IF('Raw data'!AA19&lt;&gt;"",'Raw data'!AA19,IF('Raw data'!W19="","",IF('Scoring rules'!$C$5="Lower is better",5-COUNTIF('Scoring rules'!$D$5:$G$5,"&lt;="&amp;'Raw data'!W19),1+COUNTIF('Scoring rules'!$D$5:$G$5,"&lt;="&amp;'Raw data'!W19)))))</f>
        <v>4</v>
      </c>
      <c r="O19" s="49" t="n">
        <f aca="false">IF($A19="","",IF('Raw data'!AB19&lt;&gt;"",'Raw data'!AB19,IF('Raw data'!X19="","",IF('Scoring rules'!$C$6="Lower is better",5-COUNTIF('Scoring rules'!$D$6:$G$6,"&lt;="&amp;'Raw data'!X19),1+COUNTIF('Scoring rules'!$D$6:$G$6,"&lt;="&amp;'Raw data'!X19)))))</f>
        <v>3</v>
      </c>
      <c r="P19" s="49" t="n">
        <f aca="false">IF($A19="","",IF('Raw data'!AC19&lt;&gt;"",'Raw data'!AC19,IF('Raw data'!Y19="","",IF('Scoring rules'!$C$7="Lower is better",5-COUNTIF('Scoring rules'!$D$7:$G$7,"&lt;="&amp;'Raw data'!Y19),1+COUNTIF('Scoring rules'!$D$7:$G$7,"&lt;="&amp;'Raw data'!Y19)))))</f>
        <v>3</v>
      </c>
      <c r="Q19" s="49" t="n">
        <f aca="false">IF($A19="","",IF('Raw data'!AD19&lt;&gt;"",'Raw data'!AD19,IF('Raw data'!Z19="","",IF('Scoring rules'!$C$8="Lower is better",5-COUNTIF('Scoring rules'!$D$8:$G$8,"&lt;="&amp;'Raw data'!Z19),1+COUNTIF('Scoring rules'!$D$8:$G$8,"&lt;="&amp;'Raw data'!Z19)))))</f>
        <v>3</v>
      </c>
      <c r="R19" s="49" t="str">
        <f aca="false">IF($A19="","",IF(ISNUMBER('Raw data'!J19),'Raw data'!J19*100,""))</f>
        <v/>
      </c>
      <c r="S19" s="48" t="str">
        <f aca="false">IF($A19="","",IF(ISNUMBER('Raw data'!K19),'Raw data'!K19*100,""))</f>
        <v/>
      </c>
      <c r="T19" s="48" t="str">
        <f aca="false">IF($A19="","",IF(ISNUMBER('Raw data'!L19),'Raw data'!L19*100,""))</f>
        <v/>
      </c>
      <c r="U19" s="48" t="str">
        <f aca="false">IF($A19="","",IF(ISNUMBER('Raw data'!M19),'Raw data'!M19*100,""))</f>
        <v/>
      </c>
      <c r="V19" s="48" t="str">
        <f aca="false">IF($A19="","",IF(ISNUMBER('Raw data'!N19),'Raw data'!N19*100,""))</f>
        <v/>
      </c>
      <c r="W19" s="48" t="str">
        <f aca="false">IF($A19="","",IF(ISNUMBER('Raw data'!O19),'Raw data'!O19*100,""))</f>
        <v/>
      </c>
      <c r="X19" s="48" t="str">
        <f aca="false">IF($A19="","",IF(ISNUMBER('Raw data'!P19),'Raw data'!P19*100,""))</f>
        <v/>
      </c>
      <c r="Y19" s="50" t="str">
        <f aca="false">IF($A19="","",IF(AND(ISNUMBER('Raw data'!J19),ISNUMBER('Raw data'!H19),ISNUMBER('Raw data'!L19),ISNUMBER('Raw data'!O19)),ROUND(('Raw data'!J19*'Raw data'!L19+(1-'Raw data'!J19)*'Raw data'!O19-'Raw data'!H19)*100,1),""))</f>
        <v/>
      </c>
    </row>
    <row r="20" customFormat="false" ht="15" hidden="false" customHeight="false" outlineLevel="0" collapsed="false">
      <c r="A20" s="40" t="str">
        <f aca="false">IF(TRIM('Raw data'!A20)="","",TRIM('Raw data'!A20))</f>
        <v>Denmark</v>
      </c>
      <c r="B20" s="40" t="str">
        <f aca="false">IF($A20="","",IF('Raw data'!B20="",UPPER(LEFT($A20,3)),'Raw data'!B20))</f>
        <v>DK</v>
      </c>
      <c r="C20" s="40" t="str">
        <f aca="false">IF($A20="","",'Raw data'!C20)</f>
        <v>Residential</v>
      </c>
      <c r="D20" s="41" t="n">
        <f aca="false">IF(OR($A20="",'Raw data'!E20=""),"",'Raw data'!E20)</f>
        <v>135</v>
      </c>
      <c r="E20" s="41" t="n">
        <f aca="false">IF(OR($A20="",'Raw data'!Q20=""),"",'Raw data'!Q20)</f>
        <v>10.8</v>
      </c>
      <c r="F20" s="48" t="str">
        <f aca="false">IF($A20="","",IF(ISNUMBER('Raw data'!G20),'Raw data'!G20*100,""))</f>
        <v/>
      </c>
      <c r="G20" s="48" t="n">
        <f aca="false">IF($A20="","",IF(ISNUMBER('Raw data'!H20),'Raw data'!H20*100,""))</f>
        <v>-5.30178436371698</v>
      </c>
      <c r="H20" s="48" t="n">
        <f aca="false">IF($A20="","",IF(ISNUMBER('Raw data'!I20),'Raw data'!I20*100,""))</f>
        <v>1.81504700923971</v>
      </c>
      <c r="I20" s="48" t="n">
        <f aca="false">IF($A20="","",IF(ISNUMBER('Raw data'!R20),'Raw data'!R20*100,""))</f>
        <v>2</v>
      </c>
      <c r="J20" s="48" t="n">
        <f aca="false">IF($A20="","",IF(ISNUMBER('Raw data'!S20),'Raw data'!S20*100,""))</f>
        <v>1</v>
      </c>
      <c r="K20" s="48" t="n">
        <f aca="false">IF($A20="","",IF(ISNUMBER('Raw data'!T20),'Raw data'!T20*100,""))</f>
        <v>3</v>
      </c>
      <c r="L20" s="48" t="n">
        <f aca="false">IF($A20="","",IF('Raw data'!V20&lt;&gt;"",'Raw data'!V20*100,IF(AND(N('Raw data'!E20)&gt;0,'Raw data'!Q20&lt;&gt;""),'Raw data'!Q20*(1+N('Raw data'!S20))/('Raw data'!E20*(1+N('Raw data'!H20)))*100,"")))</f>
        <v>8.53236773862104</v>
      </c>
      <c r="M20" s="48" t="n">
        <f aca="false">IF($A20="","",IF('Raw data'!U20&lt;&gt;"",'Raw data'!U20*100,IF(AND(N('Raw data'!E20)&gt;0,'Raw data'!Q20&lt;&gt;""),'Raw data'!Q20/'Raw data'!E20*100,"")))</f>
        <v>8</v>
      </c>
      <c r="N20" s="49" t="n">
        <f aca="false">IF($A20="","",IF('Raw data'!AA20&lt;&gt;"",'Raw data'!AA20,IF('Raw data'!W20="","",IF('Scoring rules'!$C$5="Lower is better",5-COUNTIF('Scoring rules'!$D$5:$G$5,"&lt;="&amp;'Raw data'!W20),1+COUNTIF('Scoring rules'!$D$5:$G$5,"&lt;="&amp;'Raw data'!W20)))))</f>
        <v>4</v>
      </c>
      <c r="O20" s="49" t="n">
        <f aca="false">IF($A20="","",IF('Raw data'!AB20&lt;&gt;"",'Raw data'!AB20,IF('Raw data'!X20="","",IF('Scoring rules'!$C$6="Lower is better",5-COUNTIF('Scoring rules'!$D$6:$G$6,"&lt;="&amp;'Raw data'!X20),1+COUNTIF('Scoring rules'!$D$6:$G$6,"&lt;="&amp;'Raw data'!X20)))))</f>
        <v>3</v>
      </c>
      <c r="P20" s="49" t="n">
        <f aca="false">IF($A20="","",IF('Raw data'!AC20&lt;&gt;"",'Raw data'!AC20,IF('Raw data'!Y20="","",IF('Scoring rules'!$C$7="Lower is better",5-COUNTIF('Scoring rules'!$D$7:$G$7,"&lt;="&amp;'Raw data'!Y20),1+COUNTIF('Scoring rules'!$D$7:$G$7,"&lt;="&amp;'Raw data'!Y20)))))</f>
        <v>3</v>
      </c>
      <c r="Q20" s="49" t="n">
        <f aca="false">IF($A20="","",IF('Raw data'!AD20&lt;&gt;"",'Raw data'!AD20,IF('Raw data'!Z20="","",IF('Scoring rules'!$C$8="Lower is better",5-COUNTIF('Scoring rules'!$D$8:$G$8,"&lt;="&amp;'Raw data'!Z20),1+COUNTIF('Scoring rules'!$D$8:$G$8,"&lt;="&amp;'Raw data'!Z20)))))</f>
        <v>3</v>
      </c>
      <c r="R20" s="49" t="str">
        <f aca="false">IF($A20="","",IF(ISNUMBER('Raw data'!J20),'Raw data'!J20*100,""))</f>
        <v/>
      </c>
      <c r="S20" s="48" t="str">
        <f aca="false">IF($A20="","",IF(ISNUMBER('Raw data'!K20),'Raw data'!K20*100,""))</f>
        <v/>
      </c>
      <c r="T20" s="48" t="str">
        <f aca="false">IF($A20="","",IF(ISNUMBER('Raw data'!L20),'Raw data'!L20*100,""))</f>
        <v/>
      </c>
      <c r="U20" s="48" t="str">
        <f aca="false">IF($A20="","",IF(ISNUMBER('Raw data'!M20),'Raw data'!M20*100,""))</f>
        <v/>
      </c>
      <c r="V20" s="48" t="str">
        <f aca="false">IF($A20="","",IF(ISNUMBER('Raw data'!N20),'Raw data'!N20*100,""))</f>
        <v/>
      </c>
      <c r="W20" s="48" t="str">
        <f aca="false">IF($A20="","",IF(ISNUMBER('Raw data'!O20),'Raw data'!O20*100,""))</f>
        <v/>
      </c>
      <c r="X20" s="48" t="str">
        <f aca="false">IF($A20="","",IF(ISNUMBER('Raw data'!P20),'Raw data'!P20*100,""))</f>
        <v/>
      </c>
      <c r="Y20" s="50" t="str">
        <f aca="false">IF($A20="","",IF(AND(ISNUMBER('Raw data'!J20),ISNUMBER('Raw data'!H20),ISNUMBER('Raw data'!L20),ISNUMBER('Raw data'!O20)),ROUND(('Raw data'!J20*'Raw data'!L20+(1-'Raw data'!J20)*'Raw data'!O20-'Raw data'!H20)*100,1),""))</f>
        <v/>
      </c>
    </row>
    <row r="21" customFormat="false" ht="15" hidden="false" customHeight="false" outlineLevel="0" collapsed="false">
      <c r="A21" s="40" t="str">
        <f aca="false">IF(TRIM('Raw data'!A21)="","",TRIM('Raw data'!A21))</f>
        <v>Denmark</v>
      </c>
      <c r="B21" s="40" t="str">
        <f aca="false">IF($A21="","",IF('Raw data'!B21="",UPPER(LEFT($A21,3)),'Raw data'!B21))</f>
        <v>DK</v>
      </c>
      <c r="C21" s="40" t="str">
        <f aca="false">IF($A21="","",'Raw data'!C21)</f>
        <v>Non-residential</v>
      </c>
      <c r="D21" s="41" t="n">
        <f aca="false">IF(OR($A21="",'Raw data'!E21=""),"",'Raw data'!E21)</f>
        <v>90</v>
      </c>
      <c r="E21" s="41" t="n">
        <f aca="false">IF(OR($A21="",'Raw data'!Q21=""),"",'Raw data'!Q21)</f>
        <v>5.4</v>
      </c>
      <c r="F21" s="48" t="str">
        <f aca="false">IF($A21="","",IF(ISNUMBER('Raw data'!G21),'Raw data'!G21*100,""))</f>
        <v/>
      </c>
      <c r="G21" s="48" t="n">
        <f aca="false">IF($A21="","",IF(ISNUMBER('Raw data'!H21),'Raw data'!H21*100,""))</f>
        <v>-4.07810038458334</v>
      </c>
      <c r="H21" s="48" t="n">
        <f aca="false">IF($A21="","",IF(ISNUMBER('Raw data'!I21),'Raw data'!I21*100,""))</f>
        <v>2.15699249092545</v>
      </c>
      <c r="I21" s="48" t="n">
        <f aca="false">IF($A21="","",IF(ISNUMBER('Raw data'!R21),'Raw data'!R21*100,""))</f>
        <v>2.5</v>
      </c>
      <c r="J21" s="48" t="n">
        <f aca="false">IF($A21="","",IF(ISNUMBER('Raw data'!S21),'Raw data'!S21*100,""))</f>
        <v>1.5</v>
      </c>
      <c r="K21" s="48" t="n">
        <f aca="false">IF($A21="","",IF(ISNUMBER('Raw data'!T21),'Raw data'!T21*100,""))</f>
        <v>3.5</v>
      </c>
      <c r="L21" s="48" t="n">
        <f aca="false">IF($A21="","",IF('Raw data'!V21&lt;&gt;"",'Raw data'!V21*100,IF(AND(N('Raw data'!E21)&gt;0,'Raw data'!Q21&lt;&gt;""),'Raw data'!Q21*(1+N('Raw data'!S21))/('Raw data'!E21*(1+N('Raw data'!H21)))*100,"")))</f>
        <v>6.3489151324326</v>
      </c>
      <c r="M21" s="48" t="n">
        <f aca="false">IF($A21="","",IF('Raw data'!U21&lt;&gt;"",'Raw data'!U21*100,IF(AND(N('Raw data'!E21)&gt;0,'Raw data'!Q21&lt;&gt;""),'Raw data'!Q21/'Raw data'!E21*100,"")))</f>
        <v>6</v>
      </c>
      <c r="N21" s="49" t="n">
        <f aca="false">IF($A21="","",IF('Raw data'!AA21&lt;&gt;"",'Raw data'!AA21,IF('Raw data'!W21="","",IF('Scoring rules'!$C$5="Lower is better",5-COUNTIF('Scoring rules'!$D$5:$G$5,"&lt;="&amp;'Raw data'!W21),1+COUNTIF('Scoring rules'!$D$5:$G$5,"&lt;="&amp;'Raw data'!W21)))))</f>
        <v>4</v>
      </c>
      <c r="O21" s="49" t="n">
        <f aca="false">IF($A21="","",IF('Raw data'!AB21&lt;&gt;"",'Raw data'!AB21,IF('Raw data'!X21="","",IF('Scoring rules'!$C$6="Lower is better",5-COUNTIF('Scoring rules'!$D$6:$G$6,"&lt;="&amp;'Raw data'!X21),1+COUNTIF('Scoring rules'!$D$6:$G$6,"&lt;="&amp;'Raw data'!X21)))))</f>
        <v>3</v>
      </c>
      <c r="P21" s="49" t="n">
        <f aca="false">IF($A21="","",IF('Raw data'!AC21&lt;&gt;"",'Raw data'!AC21,IF('Raw data'!Y21="","",IF('Scoring rules'!$C$7="Lower is better",5-COUNTIF('Scoring rules'!$D$7:$G$7,"&lt;="&amp;'Raw data'!Y21),1+COUNTIF('Scoring rules'!$D$7:$G$7,"&lt;="&amp;'Raw data'!Y21)))))</f>
        <v>3</v>
      </c>
      <c r="Q21" s="49" t="n">
        <f aca="false">IF($A21="","",IF('Raw data'!AD21&lt;&gt;"",'Raw data'!AD21,IF('Raw data'!Z21="","",IF('Scoring rules'!$C$8="Lower is better",5-COUNTIF('Scoring rules'!$D$8:$G$8,"&lt;="&amp;'Raw data'!Z21),1+COUNTIF('Scoring rules'!$D$8:$G$8,"&lt;="&amp;'Raw data'!Z21)))))</f>
        <v>3</v>
      </c>
      <c r="R21" s="49" t="str">
        <f aca="false">IF($A21="","",IF(ISNUMBER('Raw data'!J21),'Raw data'!J21*100,""))</f>
        <v/>
      </c>
      <c r="S21" s="48" t="str">
        <f aca="false">IF($A21="","",IF(ISNUMBER('Raw data'!K21),'Raw data'!K21*100,""))</f>
        <v/>
      </c>
      <c r="T21" s="48" t="str">
        <f aca="false">IF($A21="","",IF(ISNUMBER('Raw data'!L21),'Raw data'!L21*100,""))</f>
        <v/>
      </c>
      <c r="U21" s="48" t="str">
        <f aca="false">IF($A21="","",IF(ISNUMBER('Raw data'!M21),'Raw data'!M21*100,""))</f>
        <v/>
      </c>
      <c r="V21" s="48" t="str">
        <f aca="false">IF($A21="","",IF(ISNUMBER('Raw data'!N21),'Raw data'!N21*100,""))</f>
        <v/>
      </c>
      <c r="W21" s="48" t="str">
        <f aca="false">IF($A21="","",IF(ISNUMBER('Raw data'!O21),'Raw data'!O21*100,""))</f>
        <v/>
      </c>
      <c r="X21" s="48" t="str">
        <f aca="false">IF($A21="","",IF(ISNUMBER('Raw data'!P21),'Raw data'!P21*100,""))</f>
        <v/>
      </c>
      <c r="Y21" s="50" t="str">
        <f aca="false">IF($A21="","",IF(AND(ISNUMBER('Raw data'!J21),ISNUMBER('Raw data'!H21),ISNUMBER('Raw data'!L21),ISNUMBER('Raw data'!O21)),ROUND(('Raw data'!J21*'Raw data'!L21+(1-'Raw data'!J21)*'Raw data'!O21-'Raw data'!H21)*100,1),""))</f>
        <v/>
      </c>
    </row>
    <row r="22" customFormat="false" ht="15" hidden="false" customHeight="false" outlineLevel="0" collapsed="false">
      <c r="A22" s="40" t="str">
        <f aca="false">IF(TRIM('Raw data'!A22)="","",TRIM('Raw data'!A22))</f>
        <v>Germany</v>
      </c>
      <c r="B22" s="40" t="str">
        <f aca="false">IF($A22="","",IF('Raw data'!B22="",UPPER(LEFT($A22,3)),'Raw data'!B22))</f>
        <v>DE</v>
      </c>
      <c r="C22" s="40" t="str">
        <f aca="false">IF($A22="","",'Raw data'!C22)</f>
        <v>Residential</v>
      </c>
      <c r="D22" s="41" t="n">
        <f aca="false">IF(OR($A22="",'Raw data'!E22=""),"",'Raw data'!E22)</f>
        <v>1060</v>
      </c>
      <c r="E22" s="41" t="n">
        <f aca="false">IF(OR($A22="",'Raw data'!Q22=""),"",'Raw data'!Q22)</f>
        <v>63.6</v>
      </c>
      <c r="F22" s="48" t="str">
        <f aca="false">IF($A22="","",IF(ISNUMBER('Raw data'!G22),'Raw data'!G22*100,""))</f>
        <v/>
      </c>
      <c r="G22" s="48" t="n">
        <f aca="false">IF($A22="","",IF(ISNUMBER('Raw data'!H22),'Raw data'!H22*100,""))</f>
        <v>-0.566181299466151</v>
      </c>
      <c r="H22" s="48" t="n">
        <f aca="false">IF($A22="","",IF(ISNUMBER('Raw data'!I22),'Raw data'!I22*100,""))</f>
        <v>2.87275014397685</v>
      </c>
      <c r="I22" s="48" t="n">
        <f aca="false">IF($A22="","",IF(ISNUMBER('Raw data'!R22),'Raw data'!R22*100,""))</f>
        <v>2</v>
      </c>
      <c r="J22" s="48" t="n">
        <f aca="false">IF($A22="","",IF(ISNUMBER('Raw data'!S22),'Raw data'!S22*100,""))</f>
        <v>-2</v>
      </c>
      <c r="K22" s="48" t="n">
        <f aca="false">IF($A22="","",IF(ISNUMBER('Raw data'!T22),'Raw data'!T22*100,""))</f>
        <v>3</v>
      </c>
      <c r="L22" s="48" t="n">
        <f aca="false">IF($A22="","",IF('Raw data'!V22&lt;&gt;"",'Raw data'!V22*100,IF(AND(N('Raw data'!E22)&gt;0,'Raw data'!Q22&lt;&gt;""),'Raw data'!Q22*(1+N('Raw data'!S22))/('Raw data'!E22*(1+N('Raw data'!H22)))*100,"")))</f>
        <v>5.91348102370369</v>
      </c>
      <c r="M22" s="48" t="n">
        <f aca="false">IF($A22="","",IF('Raw data'!U22&lt;&gt;"",'Raw data'!U22*100,IF(AND(N('Raw data'!E22)&gt;0,'Raw data'!Q22&lt;&gt;""),'Raw data'!Q22/'Raw data'!E22*100,"")))</f>
        <v>6</v>
      </c>
      <c r="N22" s="49" t="n">
        <f aca="false">IF($A22="","",IF('Raw data'!AA22&lt;&gt;"",'Raw data'!AA22,IF('Raw data'!W22="","",IF('Scoring rules'!$C$5="Lower is better",5-COUNTIF('Scoring rules'!$D$5:$G$5,"&lt;="&amp;'Raw data'!W22),1+COUNTIF('Scoring rules'!$D$5:$G$5,"&lt;="&amp;'Raw data'!W22)))))</f>
        <v>3</v>
      </c>
      <c r="O22" s="49" t="n">
        <f aca="false">IF($A22="","",IF('Raw data'!AB22&lt;&gt;"",'Raw data'!AB22,IF('Raw data'!X22="","",IF('Scoring rules'!$C$6="Lower is better",5-COUNTIF('Scoring rules'!$D$6:$G$6,"&lt;="&amp;'Raw data'!X22),1+COUNTIF('Scoring rules'!$D$6:$G$6,"&lt;="&amp;'Raw data'!X22)))))</f>
        <v>2</v>
      </c>
      <c r="P22" s="49" t="n">
        <f aca="false">IF($A22="","",IF('Raw data'!AC22&lt;&gt;"",'Raw data'!AC22,IF('Raw data'!Y22="","",IF('Scoring rules'!$C$7="Lower is better",5-COUNTIF('Scoring rules'!$D$7:$G$7,"&lt;="&amp;'Raw data'!Y22),1+COUNTIF('Scoring rules'!$D$7:$G$7,"&lt;="&amp;'Raw data'!Y22)))))</f>
        <v>3</v>
      </c>
      <c r="Q22" s="49" t="n">
        <f aca="false">IF($A22="","",IF('Raw data'!AD22&lt;&gt;"",'Raw data'!AD22,IF('Raw data'!Z22="","",IF('Scoring rules'!$C$8="Lower is better",5-COUNTIF('Scoring rules'!$D$8:$G$8,"&lt;="&amp;'Raw data'!Z22),1+COUNTIF('Scoring rules'!$D$8:$G$8,"&lt;="&amp;'Raw data'!Z22)))))</f>
        <v>3</v>
      </c>
      <c r="R22" s="49" t="str">
        <f aca="false">IF($A22="","",IF(ISNUMBER('Raw data'!J22),'Raw data'!J22*100,""))</f>
        <v/>
      </c>
      <c r="S22" s="48" t="str">
        <f aca="false">IF($A22="","",IF(ISNUMBER('Raw data'!K22),'Raw data'!K22*100,""))</f>
        <v/>
      </c>
      <c r="T22" s="48" t="str">
        <f aca="false">IF($A22="","",IF(ISNUMBER('Raw data'!L22),'Raw data'!L22*100,""))</f>
        <v/>
      </c>
      <c r="U22" s="48" t="str">
        <f aca="false">IF($A22="","",IF(ISNUMBER('Raw data'!M22),'Raw data'!M22*100,""))</f>
        <v/>
      </c>
      <c r="V22" s="48" t="str">
        <f aca="false">IF($A22="","",IF(ISNUMBER('Raw data'!N22),'Raw data'!N22*100,""))</f>
        <v/>
      </c>
      <c r="W22" s="48" t="str">
        <f aca="false">IF($A22="","",IF(ISNUMBER('Raw data'!O22),'Raw data'!O22*100,""))</f>
        <v/>
      </c>
      <c r="X22" s="48" t="str">
        <f aca="false">IF($A22="","",IF(ISNUMBER('Raw data'!P22),'Raw data'!P22*100,""))</f>
        <v/>
      </c>
      <c r="Y22" s="50" t="str">
        <f aca="false">IF($A22="","",IF(AND(ISNUMBER('Raw data'!J22),ISNUMBER('Raw data'!H22),ISNUMBER('Raw data'!L22),ISNUMBER('Raw data'!O22)),ROUND(('Raw data'!J22*'Raw data'!L22+(1-'Raw data'!J22)*'Raw data'!O22-'Raw data'!H22)*100,1),""))</f>
        <v/>
      </c>
    </row>
    <row r="23" customFormat="false" ht="15" hidden="false" customHeight="false" outlineLevel="0" collapsed="false">
      <c r="A23" s="40" t="str">
        <f aca="false">IF(TRIM('Raw data'!A23)="","",TRIM('Raw data'!A23))</f>
        <v>Germany</v>
      </c>
      <c r="B23" s="40" t="str">
        <f aca="false">IF($A23="","",IF('Raw data'!B23="",UPPER(LEFT($A23,3)),'Raw data'!B23))</f>
        <v>DE</v>
      </c>
      <c r="C23" s="40" t="str">
        <f aca="false">IF($A23="","",'Raw data'!C23)</f>
        <v>Non-residential</v>
      </c>
      <c r="D23" s="41" t="n">
        <f aca="false">IF(OR($A23="",'Raw data'!E23=""),"",'Raw data'!E23)</f>
        <v>1195</v>
      </c>
      <c r="E23" s="41" t="n">
        <f aca="false">IF(OR($A23="",'Raw data'!Q23=""),"",'Raw data'!Q23)</f>
        <v>53.8</v>
      </c>
      <c r="F23" s="48" t="str">
        <f aca="false">IF($A23="","",IF(ISNUMBER('Raw data'!G23),'Raw data'!G23*100,""))</f>
        <v/>
      </c>
      <c r="G23" s="48" t="n">
        <f aca="false">IF($A23="","",IF(ISNUMBER('Raw data'!H23),'Raw data'!H23*100,""))</f>
        <v>2.36625333153164</v>
      </c>
      <c r="H23" s="48" t="n">
        <f aca="false">IF($A23="","",IF(ISNUMBER('Raw data'!I23),'Raw data'!I23*100,""))</f>
        <v>3.7263459931576</v>
      </c>
      <c r="I23" s="48" t="n">
        <f aca="false">IF($A23="","",IF(ISNUMBER('Raw data'!R23),'Raw data'!R23*100,""))</f>
        <v>2.5</v>
      </c>
      <c r="J23" s="48" t="n">
        <f aca="false">IF($A23="","",IF(ISNUMBER('Raw data'!S23),'Raw data'!S23*100,""))</f>
        <v>-1.5</v>
      </c>
      <c r="K23" s="48" t="n">
        <f aca="false">IF($A23="","",IF(ISNUMBER('Raw data'!T23),'Raw data'!T23*100,""))</f>
        <v>3.5</v>
      </c>
      <c r="L23" s="48" t="n">
        <f aca="false">IF($A23="","",IF('Raw data'!V23&lt;&gt;"",'Raw data'!V23*100,IF(AND(N('Raw data'!E23)&gt;0,'Raw data'!Q23&lt;&gt;""),'Raw data'!Q23*(1+N('Raw data'!S23))/('Raw data'!E23*(1+N('Raw data'!H23)))*100,"")))</f>
        <v>4.3320533135993</v>
      </c>
      <c r="M23" s="48" t="n">
        <f aca="false">IF($A23="","",IF('Raw data'!U23&lt;&gt;"",'Raw data'!U23*100,IF(AND(N('Raw data'!E23)&gt;0,'Raw data'!Q23&lt;&gt;""),'Raw data'!Q23/'Raw data'!E23*100,"")))</f>
        <v>4.50209205020921</v>
      </c>
      <c r="N23" s="49" t="n">
        <f aca="false">IF($A23="","",IF('Raw data'!AA23&lt;&gt;"",'Raw data'!AA23,IF('Raw data'!W23="","",IF('Scoring rules'!$C$5="Lower is better",5-COUNTIF('Scoring rules'!$D$5:$G$5,"&lt;="&amp;'Raw data'!W23),1+COUNTIF('Scoring rules'!$D$5:$G$5,"&lt;="&amp;'Raw data'!W23)))))</f>
        <v>3</v>
      </c>
      <c r="O23" s="49" t="n">
        <f aca="false">IF($A23="","",IF('Raw data'!AB23&lt;&gt;"",'Raw data'!AB23,IF('Raw data'!X23="","",IF('Scoring rules'!$C$6="Lower is better",5-COUNTIF('Scoring rules'!$D$6:$G$6,"&lt;="&amp;'Raw data'!X23),1+COUNTIF('Scoring rules'!$D$6:$G$6,"&lt;="&amp;'Raw data'!X23)))))</f>
        <v>2</v>
      </c>
      <c r="P23" s="49" t="n">
        <f aca="false">IF($A23="","",IF('Raw data'!AC23&lt;&gt;"",'Raw data'!AC23,IF('Raw data'!Y23="","",IF('Scoring rules'!$C$7="Lower is better",5-COUNTIF('Scoring rules'!$D$7:$G$7,"&lt;="&amp;'Raw data'!Y23),1+COUNTIF('Scoring rules'!$D$7:$G$7,"&lt;="&amp;'Raw data'!Y23)))))</f>
        <v>3</v>
      </c>
      <c r="Q23" s="49" t="n">
        <f aca="false">IF($A23="","",IF('Raw data'!AD23&lt;&gt;"",'Raw data'!AD23,IF('Raw data'!Z23="","",IF('Scoring rules'!$C$8="Lower is better",5-COUNTIF('Scoring rules'!$D$8:$G$8,"&lt;="&amp;'Raw data'!Z23),1+COUNTIF('Scoring rules'!$D$8:$G$8,"&lt;="&amp;'Raw data'!Z23)))))</f>
        <v>3</v>
      </c>
      <c r="R23" s="49" t="str">
        <f aca="false">IF($A23="","",IF(ISNUMBER('Raw data'!J23),'Raw data'!J23*100,""))</f>
        <v/>
      </c>
      <c r="S23" s="48" t="str">
        <f aca="false">IF($A23="","",IF(ISNUMBER('Raw data'!K23),'Raw data'!K23*100,""))</f>
        <v/>
      </c>
      <c r="T23" s="48" t="str">
        <f aca="false">IF($A23="","",IF(ISNUMBER('Raw data'!L23),'Raw data'!L23*100,""))</f>
        <v/>
      </c>
      <c r="U23" s="48" t="str">
        <f aca="false">IF($A23="","",IF(ISNUMBER('Raw data'!M23),'Raw data'!M23*100,""))</f>
        <v/>
      </c>
      <c r="V23" s="48" t="str">
        <f aca="false">IF($A23="","",IF(ISNUMBER('Raw data'!N23),'Raw data'!N23*100,""))</f>
        <v/>
      </c>
      <c r="W23" s="48" t="str">
        <f aca="false">IF($A23="","",IF(ISNUMBER('Raw data'!O23),'Raw data'!O23*100,""))</f>
        <v/>
      </c>
      <c r="X23" s="48" t="str">
        <f aca="false">IF($A23="","",IF(ISNUMBER('Raw data'!P23),'Raw data'!P23*100,""))</f>
        <v/>
      </c>
      <c r="Y23" s="50" t="str">
        <f aca="false">IF($A23="","",IF(AND(ISNUMBER('Raw data'!J23),ISNUMBER('Raw data'!H23),ISNUMBER('Raw data'!L23),ISNUMBER('Raw data'!O23)),ROUND(('Raw data'!J23*'Raw data'!L23+(1-'Raw data'!J23)*'Raw data'!O23-'Raw data'!H23)*100,1),""))</f>
        <v/>
      </c>
    </row>
    <row r="24" customFormat="false" ht="15" hidden="false" customHeight="false" outlineLevel="0" collapsed="false">
      <c r="A24" s="40" t="str">
        <f aca="false">IF(TRIM('Raw data'!A24)="","",TRIM('Raw data'!A24))</f>
        <v>Austria</v>
      </c>
      <c r="B24" s="40" t="str">
        <f aca="false">IF($A24="","",IF('Raw data'!B24="",UPPER(LEFT($A24,3)),'Raw data'!B24))</f>
        <v>AT</v>
      </c>
      <c r="C24" s="40" t="str">
        <f aca="false">IF($A24="","",'Raw data'!C24)</f>
        <v>Residential</v>
      </c>
      <c r="D24" s="41" t="n">
        <f aca="false">IF(OR($A24="",'Raw data'!E24=""),"",'Raw data'!E24)</f>
        <v>85</v>
      </c>
      <c r="E24" s="41" t="n">
        <f aca="false">IF(OR($A24="",'Raw data'!Q24=""),"",'Raw data'!Q24)</f>
        <v>6</v>
      </c>
      <c r="F24" s="48" t="str">
        <f aca="false">IF($A24="","",IF(ISNUMBER('Raw data'!G24),'Raw data'!G24*100,""))</f>
        <v/>
      </c>
      <c r="G24" s="48" t="n">
        <f aca="false">IF($A24="","",IF(ISNUMBER('Raw data'!H24),'Raw data'!H24*100,""))</f>
        <v>2.4982555708458</v>
      </c>
      <c r="H24" s="48" t="n">
        <f aca="false">IF($A24="","",IF(ISNUMBER('Raw data'!I24),'Raw data'!I24*100,""))</f>
        <v>3.73754977616738</v>
      </c>
      <c r="I24" s="48" t="n">
        <f aca="false">IF($A24="","",IF(ISNUMBER('Raw data'!R24),'Raw data'!R24*100,""))</f>
        <v>2</v>
      </c>
      <c r="J24" s="48" t="n">
        <f aca="false">IF($A24="","",IF(ISNUMBER('Raw data'!S24),'Raw data'!S24*100,""))</f>
        <v>-1</v>
      </c>
      <c r="K24" s="48" t="n">
        <f aca="false">IF($A24="","",IF(ISNUMBER('Raw data'!T24),'Raw data'!T24*100,""))</f>
        <v>2.5</v>
      </c>
      <c r="L24" s="48" t="n">
        <f aca="false">IF($A24="","",IF('Raw data'!V24&lt;&gt;"",'Raw data'!V24*100,IF(AND(N('Raw data'!E24)&gt;0,'Raw data'!Q24&lt;&gt;""),'Raw data'!Q24*(1+N('Raw data'!S24))/('Raw data'!E24*(1+N('Raw data'!H24)))*100,"")))</f>
        <v>6.817906563578</v>
      </c>
      <c r="M24" s="48" t="n">
        <f aca="false">IF($A24="","",IF('Raw data'!U24&lt;&gt;"",'Raw data'!U24*100,IF(AND(N('Raw data'!E24)&gt;0,'Raw data'!Q24&lt;&gt;""),'Raw data'!Q24/'Raw data'!E24*100,"")))</f>
        <v>7.05882352941176</v>
      </c>
      <c r="N24" s="49" t="n">
        <f aca="false">IF($A24="","",IF('Raw data'!AA24&lt;&gt;"",'Raw data'!AA24,IF('Raw data'!W24="","",IF('Scoring rules'!$C$5="Lower is better",5-COUNTIF('Scoring rules'!$D$5:$G$5,"&lt;="&amp;'Raw data'!W24),1+COUNTIF('Scoring rules'!$D$5:$G$5,"&lt;="&amp;'Raw data'!W24)))))</f>
        <v>4</v>
      </c>
      <c r="O24" s="49" t="n">
        <f aca="false">IF($A24="","",IF('Raw data'!AB24&lt;&gt;"",'Raw data'!AB24,IF('Raw data'!X24="","",IF('Scoring rules'!$C$6="Lower is better",5-COUNTIF('Scoring rules'!$D$6:$G$6,"&lt;="&amp;'Raw data'!X24),1+COUNTIF('Scoring rules'!$D$6:$G$6,"&lt;="&amp;'Raw data'!X24)))))</f>
        <v>3</v>
      </c>
      <c r="P24" s="49" t="n">
        <f aca="false">IF($A24="","",IF('Raw data'!AC24&lt;&gt;"",'Raw data'!AC24,IF('Raw data'!Y24="","",IF('Scoring rules'!$C$7="Lower is better",5-COUNTIF('Scoring rules'!$D$7:$G$7,"&lt;="&amp;'Raw data'!Y24),1+COUNTIF('Scoring rules'!$D$7:$G$7,"&lt;="&amp;'Raw data'!Y24)))))</f>
        <v>3</v>
      </c>
      <c r="Q24" s="49" t="n">
        <f aca="false">IF($A24="","",IF('Raw data'!AD24&lt;&gt;"",'Raw data'!AD24,IF('Raw data'!Z24="","",IF('Scoring rules'!$C$8="Lower is better",5-COUNTIF('Scoring rules'!$D$8:$G$8,"&lt;="&amp;'Raw data'!Z24),1+COUNTIF('Scoring rules'!$D$8:$G$8,"&lt;="&amp;'Raw data'!Z24)))))</f>
        <v>4</v>
      </c>
      <c r="R24" s="49" t="str">
        <f aca="false">IF($A24="","",IF(ISNUMBER('Raw data'!J24),'Raw data'!J24*100,""))</f>
        <v/>
      </c>
      <c r="S24" s="48" t="str">
        <f aca="false">IF($A24="","",IF(ISNUMBER('Raw data'!K24),'Raw data'!K24*100,""))</f>
        <v/>
      </c>
      <c r="T24" s="48" t="str">
        <f aca="false">IF($A24="","",IF(ISNUMBER('Raw data'!L24),'Raw data'!L24*100,""))</f>
        <v/>
      </c>
      <c r="U24" s="48" t="str">
        <f aca="false">IF($A24="","",IF(ISNUMBER('Raw data'!M24),'Raw data'!M24*100,""))</f>
        <v/>
      </c>
      <c r="V24" s="48" t="str">
        <f aca="false">IF($A24="","",IF(ISNUMBER('Raw data'!N24),'Raw data'!N24*100,""))</f>
        <v/>
      </c>
      <c r="W24" s="48" t="str">
        <f aca="false">IF($A24="","",IF(ISNUMBER('Raw data'!O24),'Raw data'!O24*100,""))</f>
        <v/>
      </c>
      <c r="X24" s="48" t="str">
        <f aca="false">IF($A24="","",IF(ISNUMBER('Raw data'!P24),'Raw data'!P24*100,""))</f>
        <v/>
      </c>
      <c r="Y24" s="50" t="str">
        <f aca="false">IF($A24="","",IF(AND(ISNUMBER('Raw data'!J24),ISNUMBER('Raw data'!H24),ISNUMBER('Raw data'!L24),ISNUMBER('Raw data'!O24)),ROUND(('Raw data'!J24*'Raw data'!L24+(1-'Raw data'!J24)*'Raw data'!O24-'Raw data'!H24)*100,1),""))</f>
        <v/>
      </c>
    </row>
    <row r="25" customFormat="false" ht="15" hidden="false" customHeight="false" outlineLevel="0" collapsed="false">
      <c r="A25" s="40" t="str">
        <f aca="false">IF(TRIM('Raw data'!A25)="","",TRIM('Raw data'!A25))</f>
        <v>Austria</v>
      </c>
      <c r="B25" s="40" t="str">
        <f aca="false">IF($A25="","",IF('Raw data'!B25="",UPPER(LEFT($A25,3)),'Raw data'!B25))</f>
        <v>AT</v>
      </c>
      <c r="C25" s="40" t="str">
        <f aca="false">IF($A25="","",'Raw data'!C25)</f>
        <v>Non-residential</v>
      </c>
      <c r="D25" s="41" t="n">
        <f aca="false">IF(OR($A25="",'Raw data'!E25=""),"",'Raw data'!E25)</f>
        <v>240</v>
      </c>
      <c r="E25" s="41" t="n">
        <f aca="false">IF(OR($A25="",'Raw data'!Q25=""),"",'Raw data'!Q25)</f>
        <v>12</v>
      </c>
      <c r="F25" s="48" t="str">
        <f aca="false">IF($A25="","",IF(ISNUMBER('Raw data'!G25),'Raw data'!G25*100,""))</f>
        <v/>
      </c>
      <c r="G25" s="48" t="n">
        <f aca="false">IF($A25="","",IF(ISNUMBER('Raw data'!H25),'Raw data'!H25*100,""))</f>
        <v>3.19045114339906</v>
      </c>
      <c r="H25" s="48" t="n">
        <f aca="false">IF($A25="","",IF(ISNUMBER('Raw data'!I25),'Raw data'!I25*100,""))</f>
        <v>2.57312661499052</v>
      </c>
      <c r="I25" s="48" t="n">
        <f aca="false">IF($A25="","",IF(ISNUMBER('Raw data'!R25),'Raw data'!R25*100,""))</f>
        <v>2.5</v>
      </c>
      <c r="J25" s="48" t="n">
        <f aca="false">IF($A25="","",IF(ISNUMBER('Raw data'!S25),'Raw data'!S25*100,""))</f>
        <v>-0.5</v>
      </c>
      <c r="K25" s="48" t="n">
        <f aca="false">IF($A25="","",IF(ISNUMBER('Raw data'!T25),'Raw data'!T25*100,""))</f>
        <v>3</v>
      </c>
      <c r="L25" s="48" t="n">
        <f aca="false">IF($A25="","",IF('Raw data'!V25&lt;&gt;"",'Raw data'!V25*100,IF(AND(N('Raw data'!E25)&gt;0,'Raw data'!Q25&lt;&gt;""),'Raw data'!Q25*(1+N('Raw data'!S25))/('Raw data'!E25*(1+N('Raw data'!H25)))*100,"")))</f>
        <v>4.82118252694377</v>
      </c>
      <c r="M25" s="48" t="n">
        <f aca="false">IF($A25="","",IF('Raw data'!U25&lt;&gt;"",'Raw data'!U25*100,IF(AND(N('Raw data'!E25)&gt;0,'Raw data'!Q25&lt;&gt;""),'Raw data'!Q25/'Raw data'!E25*100,"")))</f>
        <v>5</v>
      </c>
      <c r="N25" s="49" t="n">
        <f aca="false">IF($A25="","",IF('Raw data'!AA25&lt;&gt;"",'Raw data'!AA25,IF('Raw data'!W25="","",IF('Scoring rules'!$C$5="Lower is better",5-COUNTIF('Scoring rules'!$D$5:$G$5,"&lt;="&amp;'Raw data'!W25),1+COUNTIF('Scoring rules'!$D$5:$G$5,"&lt;="&amp;'Raw data'!W25)))))</f>
        <v>4</v>
      </c>
      <c r="O25" s="49" t="n">
        <f aca="false">IF($A25="","",IF('Raw data'!AB25&lt;&gt;"",'Raw data'!AB25,IF('Raw data'!X25="","",IF('Scoring rules'!$C$6="Lower is better",5-COUNTIF('Scoring rules'!$D$6:$G$6,"&lt;="&amp;'Raw data'!X25),1+COUNTIF('Scoring rules'!$D$6:$G$6,"&lt;="&amp;'Raw data'!X25)))))</f>
        <v>3</v>
      </c>
      <c r="P25" s="49" t="n">
        <f aca="false">IF($A25="","",IF('Raw data'!AC25&lt;&gt;"",'Raw data'!AC25,IF('Raw data'!Y25="","",IF('Scoring rules'!$C$7="Lower is better",5-COUNTIF('Scoring rules'!$D$7:$G$7,"&lt;="&amp;'Raw data'!Y25),1+COUNTIF('Scoring rules'!$D$7:$G$7,"&lt;="&amp;'Raw data'!Y25)))))</f>
        <v>3</v>
      </c>
      <c r="Q25" s="49" t="n">
        <f aca="false">IF($A25="","",IF('Raw data'!AD25&lt;&gt;"",'Raw data'!AD25,IF('Raw data'!Z25="","",IF('Scoring rules'!$C$8="Lower is better",5-COUNTIF('Scoring rules'!$D$8:$G$8,"&lt;="&amp;'Raw data'!Z25),1+COUNTIF('Scoring rules'!$D$8:$G$8,"&lt;="&amp;'Raw data'!Z25)))))</f>
        <v>4</v>
      </c>
      <c r="R25" s="49" t="str">
        <f aca="false">IF($A25="","",IF(ISNUMBER('Raw data'!J25),'Raw data'!J25*100,""))</f>
        <v/>
      </c>
      <c r="S25" s="48" t="str">
        <f aca="false">IF($A25="","",IF(ISNUMBER('Raw data'!K25),'Raw data'!K25*100,""))</f>
        <v/>
      </c>
      <c r="T25" s="48" t="str">
        <f aca="false">IF($A25="","",IF(ISNUMBER('Raw data'!L25),'Raw data'!L25*100,""))</f>
        <v/>
      </c>
      <c r="U25" s="48" t="str">
        <f aca="false">IF($A25="","",IF(ISNUMBER('Raw data'!M25),'Raw data'!M25*100,""))</f>
        <v/>
      </c>
      <c r="V25" s="48" t="str">
        <f aca="false">IF($A25="","",IF(ISNUMBER('Raw data'!N25),'Raw data'!N25*100,""))</f>
        <v/>
      </c>
      <c r="W25" s="48" t="str">
        <f aca="false">IF($A25="","",IF(ISNUMBER('Raw data'!O25),'Raw data'!O25*100,""))</f>
        <v/>
      </c>
      <c r="X25" s="48" t="str">
        <f aca="false">IF($A25="","",IF(ISNUMBER('Raw data'!P25),'Raw data'!P25*100,""))</f>
        <v/>
      </c>
      <c r="Y25" s="50" t="str">
        <f aca="false">IF($A25="","",IF(AND(ISNUMBER('Raw data'!J25),ISNUMBER('Raw data'!H25),ISNUMBER('Raw data'!L25),ISNUMBER('Raw data'!O25)),ROUND(('Raw data'!J25*'Raw data'!L25+(1-'Raw data'!J25)*'Raw data'!O25-'Raw data'!H25)*100,1),""))</f>
        <v/>
      </c>
    </row>
    <row r="26" customFormat="false" ht="15" hidden="false" customHeight="false" outlineLevel="0" collapsed="false">
      <c r="A26" s="40" t="str">
        <f aca="false">IF(TRIM('Raw data'!A26)="","",TRIM('Raw data'!A26))</f>
        <v>Switzerland</v>
      </c>
      <c r="B26" s="40" t="str">
        <f aca="false">IF($A26="","",IF('Raw data'!B26="",UPPER(LEFT($A26,3)),'Raw data'!B26))</f>
        <v>CH</v>
      </c>
      <c r="C26" s="40" t="str">
        <f aca="false">IF($A26="","",'Raw data'!C26)</f>
        <v>Residential</v>
      </c>
      <c r="D26" s="41" t="n">
        <f aca="false">IF(OR($A26="",'Raw data'!E26=""),"",'Raw data'!E26)</f>
        <v>75</v>
      </c>
      <c r="E26" s="41" t="n">
        <f aca="false">IF(OR($A26="",'Raw data'!Q26=""),"",'Raw data'!Q26)</f>
        <v>9</v>
      </c>
      <c r="F26" s="48" t="str">
        <f aca="false">IF($A26="","",IF(ISNUMBER('Raw data'!G26),'Raw data'!G26*100,""))</f>
        <v/>
      </c>
      <c r="G26" s="48" t="n">
        <f aca="false">IF($A26="","",IF(ISNUMBER('Raw data'!H26),'Raw data'!H26*100,""))</f>
        <v>-0.784659090072259</v>
      </c>
      <c r="H26" s="48" t="n">
        <f aca="false">IF($A26="","",IF(ISNUMBER('Raw data'!I26),'Raw data'!I26*100,""))</f>
        <v>1.43682805198966</v>
      </c>
      <c r="I26" s="48" t="n">
        <f aca="false">IF($A26="","",IF(ISNUMBER('Raw data'!R26),'Raw data'!R26*100,""))</f>
        <v>2.5</v>
      </c>
      <c r="J26" s="48" t="n">
        <f aca="false">IF($A26="","",IF(ISNUMBER('Raw data'!S26),'Raw data'!S26*100,""))</f>
        <v>1.5</v>
      </c>
      <c r="K26" s="48" t="n">
        <f aca="false">IF($A26="","",IF(ISNUMBER('Raw data'!T26),'Raw data'!T26*100,""))</f>
        <v>2</v>
      </c>
      <c r="L26" s="48" t="n">
        <f aca="false">IF($A26="","",IF('Raw data'!V26&lt;&gt;"",'Raw data'!V26*100,IF(AND(N('Raw data'!E26)&gt;0,'Raw data'!Q26&lt;&gt;""),'Raw data'!Q26*(1+N('Raw data'!S26))/('Raw data'!E26*(1+N('Raw data'!H26)))*100,"")))</f>
        <v>12.2763273182295</v>
      </c>
      <c r="M26" s="48" t="n">
        <f aca="false">IF($A26="","",IF('Raw data'!U26&lt;&gt;"",'Raw data'!U26*100,IF(AND(N('Raw data'!E26)&gt;0,'Raw data'!Q26&lt;&gt;""),'Raw data'!Q26/'Raw data'!E26*100,"")))</f>
        <v>12</v>
      </c>
      <c r="N26" s="49" t="n">
        <f aca="false">IF($A26="","",IF('Raw data'!AA26&lt;&gt;"",'Raw data'!AA26,IF('Raw data'!W26="","",IF('Scoring rules'!$C$5="Lower is better",5-COUNTIF('Scoring rules'!$D$5:$G$5,"&lt;="&amp;'Raw data'!W26),1+COUNTIF('Scoring rules'!$D$5:$G$5,"&lt;="&amp;'Raw data'!W26)))))</f>
        <v>5</v>
      </c>
      <c r="O26" s="49" t="n">
        <f aca="false">IF($A26="","",IF('Raw data'!AB26&lt;&gt;"",'Raw data'!AB26,IF('Raw data'!X26="","",IF('Scoring rules'!$C$6="Lower is better",5-COUNTIF('Scoring rules'!$D$6:$G$6,"&lt;="&amp;'Raw data'!X26),1+COUNTIF('Scoring rules'!$D$6:$G$6,"&lt;="&amp;'Raw data'!X26)))))</f>
        <v>4</v>
      </c>
      <c r="P26" s="49" t="n">
        <f aca="false">IF($A26="","",IF('Raw data'!AC26&lt;&gt;"",'Raw data'!AC26,IF('Raw data'!Y26="","",IF('Scoring rules'!$C$7="Lower is better",5-COUNTIF('Scoring rules'!$D$7:$G$7,"&lt;="&amp;'Raw data'!Y26),1+COUNTIF('Scoring rules'!$D$7:$G$7,"&lt;="&amp;'Raw data'!Y26)))))</f>
        <v>4</v>
      </c>
      <c r="Q26" s="49" t="n">
        <f aca="false">IF($A26="","",IF('Raw data'!AD26&lt;&gt;"",'Raw data'!AD26,IF('Raw data'!Z26="","",IF('Scoring rules'!$C$8="Lower is better",5-COUNTIF('Scoring rules'!$D$8:$G$8,"&lt;="&amp;'Raw data'!Z26),1+COUNTIF('Scoring rules'!$D$8:$G$8,"&lt;="&amp;'Raw data'!Z26)))))</f>
        <v>4</v>
      </c>
      <c r="R26" s="49" t="str">
        <f aca="false">IF($A26="","",IF(ISNUMBER('Raw data'!J26),'Raw data'!J26*100,""))</f>
        <v/>
      </c>
      <c r="S26" s="48" t="str">
        <f aca="false">IF($A26="","",IF(ISNUMBER('Raw data'!K26),'Raw data'!K26*100,""))</f>
        <v/>
      </c>
      <c r="T26" s="48" t="str">
        <f aca="false">IF($A26="","",IF(ISNUMBER('Raw data'!L26),'Raw data'!L26*100,""))</f>
        <v/>
      </c>
      <c r="U26" s="48" t="str">
        <f aca="false">IF($A26="","",IF(ISNUMBER('Raw data'!M26),'Raw data'!M26*100,""))</f>
        <v/>
      </c>
      <c r="V26" s="48" t="str">
        <f aca="false">IF($A26="","",IF(ISNUMBER('Raw data'!N26),'Raw data'!N26*100,""))</f>
        <v/>
      </c>
      <c r="W26" s="48" t="str">
        <f aca="false">IF($A26="","",IF(ISNUMBER('Raw data'!O26),'Raw data'!O26*100,""))</f>
        <v/>
      </c>
      <c r="X26" s="48" t="str">
        <f aca="false">IF($A26="","",IF(ISNUMBER('Raw data'!P26),'Raw data'!P26*100,""))</f>
        <v/>
      </c>
      <c r="Y26" s="50" t="str">
        <f aca="false">IF($A26="","",IF(AND(ISNUMBER('Raw data'!J26),ISNUMBER('Raw data'!H26),ISNUMBER('Raw data'!L26),ISNUMBER('Raw data'!O26)),ROUND(('Raw data'!J26*'Raw data'!L26+(1-'Raw data'!J26)*'Raw data'!O26-'Raw data'!H26)*100,1),""))</f>
        <v/>
      </c>
    </row>
    <row r="27" customFormat="false" ht="15" hidden="false" customHeight="false" outlineLevel="0" collapsed="false">
      <c r="A27" s="40" t="str">
        <f aca="false">IF(TRIM('Raw data'!A27)="","",TRIM('Raw data'!A27))</f>
        <v>Switzerland</v>
      </c>
      <c r="B27" s="40" t="str">
        <f aca="false">IF($A27="","",IF('Raw data'!B27="",UPPER(LEFT($A27,3)),'Raw data'!B27))</f>
        <v>CH</v>
      </c>
      <c r="C27" s="40" t="str">
        <f aca="false">IF($A27="","",'Raw data'!C27)</f>
        <v>Non-residential</v>
      </c>
      <c r="D27" s="41" t="n">
        <f aca="false">IF(OR($A27="",'Raw data'!E27=""),"",'Raw data'!E27)</f>
        <v>370</v>
      </c>
      <c r="E27" s="41" t="n">
        <f aca="false">IF(OR($A27="",'Raw data'!Q27=""),"",'Raw data'!Q27)</f>
        <v>37</v>
      </c>
      <c r="F27" s="48" t="str">
        <f aca="false">IF($A27="","",IF(ISNUMBER('Raw data'!G27),'Raw data'!G27*100,""))</f>
        <v/>
      </c>
      <c r="G27" s="48" t="n">
        <f aca="false">IF($A27="","",IF(ISNUMBER('Raw data'!H27),'Raw data'!H27*100,""))</f>
        <v>2.23934609082377</v>
      </c>
      <c r="H27" s="48" t="n">
        <f aca="false">IF($A27="","",IF(ISNUMBER('Raw data'!I27),'Raw data'!I27*100,""))</f>
        <v>2.87018050222472</v>
      </c>
      <c r="I27" s="48" t="n">
        <f aca="false">IF($A27="","",IF(ISNUMBER('Raw data'!R27),'Raw data'!R27*100,""))</f>
        <v>3</v>
      </c>
      <c r="J27" s="48" t="n">
        <f aca="false">IF($A27="","",IF(ISNUMBER('Raw data'!S27),'Raw data'!S27*100,""))</f>
        <v>2</v>
      </c>
      <c r="K27" s="48" t="n">
        <f aca="false">IF($A27="","",IF(ISNUMBER('Raw data'!T27),'Raw data'!T27*100,""))</f>
        <v>2.5</v>
      </c>
      <c r="L27" s="48" t="n">
        <f aca="false">IF($A27="","",IF('Raw data'!V27&lt;&gt;"",'Raw data'!V27*100,IF(AND(N('Raw data'!E27)&gt;0,'Raw data'!Q27&lt;&gt;""),'Raw data'!Q27*(1+N('Raw data'!S27))/('Raw data'!E27*(1+N('Raw data'!H27)))*100,"")))</f>
        <v>9.97658963012037</v>
      </c>
      <c r="M27" s="48" t="n">
        <f aca="false">IF($A27="","",IF('Raw data'!U27&lt;&gt;"",'Raw data'!U27*100,IF(AND(N('Raw data'!E27)&gt;0,'Raw data'!Q27&lt;&gt;""),'Raw data'!Q27/'Raw data'!E27*100,"")))</f>
        <v>10</v>
      </c>
      <c r="N27" s="49" t="n">
        <f aca="false">IF($A27="","",IF('Raw data'!AA27&lt;&gt;"",'Raw data'!AA27,IF('Raw data'!W27="","",IF('Scoring rules'!$C$5="Lower is better",5-COUNTIF('Scoring rules'!$D$5:$G$5,"&lt;="&amp;'Raw data'!W27),1+COUNTIF('Scoring rules'!$D$5:$G$5,"&lt;="&amp;'Raw data'!W27)))))</f>
        <v>5</v>
      </c>
      <c r="O27" s="49" t="n">
        <f aca="false">IF($A27="","",IF('Raw data'!AB27&lt;&gt;"",'Raw data'!AB27,IF('Raw data'!X27="","",IF('Scoring rules'!$C$6="Lower is better",5-COUNTIF('Scoring rules'!$D$6:$G$6,"&lt;="&amp;'Raw data'!X27),1+COUNTIF('Scoring rules'!$D$6:$G$6,"&lt;="&amp;'Raw data'!X27)))))</f>
        <v>4</v>
      </c>
      <c r="P27" s="49" t="n">
        <f aca="false">IF($A27="","",IF('Raw data'!AC27&lt;&gt;"",'Raw data'!AC27,IF('Raw data'!Y27="","",IF('Scoring rules'!$C$7="Lower is better",5-COUNTIF('Scoring rules'!$D$7:$G$7,"&lt;="&amp;'Raw data'!Y27),1+COUNTIF('Scoring rules'!$D$7:$G$7,"&lt;="&amp;'Raw data'!Y27)))))</f>
        <v>4</v>
      </c>
      <c r="Q27" s="49" t="n">
        <f aca="false">IF($A27="","",IF('Raw data'!AD27&lt;&gt;"",'Raw data'!AD27,IF('Raw data'!Z27="","",IF('Scoring rules'!$C$8="Lower is better",5-COUNTIF('Scoring rules'!$D$8:$G$8,"&lt;="&amp;'Raw data'!Z27),1+COUNTIF('Scoring rules'!$D$8:$G$8,"&lt;="&amp;'Raw data'!Z27)))))</f>
        <v>4</v>
      </c>
      <c r="R27" s="49" t="str">
        <f aca="false">IF($A27="","",IF(ISNUMBER('Raw data'!J27),'Raw data'!J27*100,""))</f>
        <v/>
      </c>
      <c r="S27" s="48" t="str">
        <f aca="false">IF($A27="","",IF(ISNUMBER('Raw data'!K27),'Raw data'!K27*100,""))</f>
        <v/>
      </c>
      <c r="T27" s="48" t="str">
        <f aca="false">IF($A27="","",IF(ISNUMBER('Raw data'!L27),'Raw data'!L27*100,""))</f>
        <v/>
      </c>
      <c r="U27" s="48" t="str">
        <f aca="false">IF($A27="","",IF(ISNUMBER('Raw data'!M27),'Raw data'!M27*100,""))</f>
        <v/>
      </c>
      <c r="V27" s="48" t="str">
        <f aca="false">IF($A27="","",IF(ISNUMBER('Raw data'!N27),'Raw data'!N27*100,""))</f>
        <v/>
      </c>
      <c r="W27" s="48" t="str">
        <f aca="false">IF($A27="","",IF(ISNUMBER('Raw data'!O27),'Raw data'!O27*100,""))</f>
        <v/>
      </c>
      <c r="X27" s="48" t="str">
        <f aca="false">IF($A27="","",IF(ISNUMBER('Raw data'!P27),'Raw data'!P27*100,""))</f>
        <v/>
      </c>
      <c r="Y27" s="50" t="str">
        <f aca="false">IF($A27="","",IF(AND(ISNUMBER('Raw data'!J27),ISNUMBER('Raw data'!H27),ISNUMBER('Raw data'!L27),ISNUMBER('Raw data'!O27)),ROUND(('Raw data'!J27*'Raw data'!L27+(1-'Raw data'!J27)*'Raw data'!O27-'Raw data'!H27)*100,1),""))</f>
        <v/>
      </c>
    </row>
    <row r="28" customFormat="false" ht="15" hidden="false" customHeight="false" outlineLevel="0" collapsed="false">
      <c r="A28" s="40" t="str">
        <f aca="false">IF(TRIM('Raw data'!A28)="","",TRIM('Raw data'!A28))</f>
        <v>United Kingdom</v>
      </c>
      <c r="B28" s="40" t="str">
        <f aca="false">IF($A28="","",IF('Raw data'!B28="",UPPER(LEFT($A28,3)),'Raw data'!B28))</f>
        <v>UK</v>
      </c>
      <c r="C28" s="40" t="str">
        <f aca="false">IF($A28="","",'Raw data'!C28)</f>
        <v>Residential</v>
      </c>
      <c r="D28" s="41" t="n">
        <f aca="false">IF(OR($A28="",'Raw data'!E28=""),"",'Raw data'!E28)</f>
        <v>1005</v>
      </c>
      <c r="E28" s="41" t="n">
        <f aca="false">IF(OR($A28="",'Raw data'!Q28=""),"",'Raw data'!Q28)</f>
        <v>32.2</v>
      </c>
      <c r="F28" s="48" t="str">
        <f aca="false">IF($A28="","",IF(ISNUMBER('Raw data'!G28),'Raw data'!G28*100,""))</f>
        <v/>
      </c>
      <c r="G28" s="48" t="n">
        <f aca="false">IF($A28="","",IF(ISNUMBER('Raw data'!H28),'Raw data'!H28*100,""))</f>
        <v>0.965306344790995</v>
      </c>
      <c r="H28" s="48" t="n">
        <f aca="false">IF($A28="","",IF(ISNUMBER('Raw data'!I28),'Raw data'!I28*100,""))</f>
        <v>4.23296205048194</v>
      </c>
      <c r="I28" s="48" t="n">
        <f aca="false">IF($A28="","",IF(ISNUMBER('Raw data'!R28),'Raw data'!R28*100,""))</f>
        <v>-1</v>
      </c>
      <c r="J28" s="48" t="n">
        <f aca="false">IF($A28="","",IF(ISNUMBER('Raw data'!S28),'Raw data'!S28*100,""))</f>
        <v>1.5</v>
      </c>
      <c r="K28" s="48" t="n">
        <f aca="false">IF($A28="","",IF(ISNUMBER('Raw data'!T28),'Raw data'!T28*100,""))</f>
        <v>2.5</v>
      </c>
      <c r="L28" s="48" t="n">
        <f aca="false">IF($A28="","",IF('Raw data'!V28&lt;&gt;"",'Raw data'!V28*100,IF(AND(N('Raw data'!E28)&gt;0,'Raw data'!Q28&lt;&gt;""),'Raw data'!Q28*(1+N('Raw data'!S28))/('Raw data'!E28*(1+N('Raw data'!H28)))*100,"")))</f>
        <v>3.22094778763855</v>
      </c>
      <c r="M28" s="48" t="n">
        <f aca="false">IF($A28="","",IF('Raw data'!U28&lt;&gt;"",'Raw data'!U28*100,IF(AND(N('Raw data'!E28)&gt;0,'Raw data'!Q28&lt;&gt;""),'Raw data'!Q28/'Raw data'!E28*100,"")))</f>
        <v>3.20398009950249</v>
      </c>
      <c r="N28" s="49" t="n">
        <f aca="false">IF($A28="","",IF('Raw data'!AA28&lt;&gt;"",'Raw data'!AA28,IF('Raw data'!W28="","",IF('Scoring rules'!$C$5="Lower is better",5-COUNTIF('Scoring rules'!$D$5:$G$5,"&lt;="&amp;'Raw data'!W28),1+COUNTIF('Scoring rules'!$D$5:$G$5,"&lt;="&amp;'Raw data'!W28)))))</f>
        <v>3</v>
      </c>
      <c r="O28" s="49" t="n">
        <f aca="false">IF($A28="","",IF('Raw data'!AB28&lt;&gt;"",'Raw data'!AB28,IF('Raw data'!X28="","",IF('Scoring rules'!$C$6="Lower is better",5-COUNTIF('Scoring rules'!$D$6:$G$6,"&lt;="&amp;'Raw data'!X28),1+COUNTIF('Scoring rules'!$D$6:$G$6,"&lt;="&amp;'Raw data'!X28)))))</f>
        <v>2</v>
      </c>
      <c r="P28" s="49" t="n">
        <f aca="false">IF($A28="","",IF('Raw data'!AC28&lt;&gt;"",'Raw data'!AC28,IF('Raw data'!Y28="","",IF('Scoring rules'!$C$7="Lower is better",5-COUNTIF('Scoring rules'!$D$7:$G$7,"&lt;="&amp;'Raw data'!Y28),1+COUNTIF('Scoring rules'!$D$7:$G$7,"&lt;="&amp;'Raw data'!Y28)))))</f>
        <v>2</v>
      </c>
      <c r="Q28" s="49" t="n">
        <f aca="false">IF($A28="","",IF('Raw data'!AD28&lt;&gt;"",'Raw data'!AD28,IF('Raw data'!Z28="","",IF('Scoring rules'!$C$8="Lower is better",5-COUNTIF('Scoring rules'!$D$8:$G$8,"&lt;="&amp;'Raw data'!Z28),1+COUNTIF('Scoring rules'!$D$8:$G$8,"&lt;="&amp;'Raw data'!Z28)))))</f>
        <v>3</v>
      </c>
      <c r="R28" s="49" t="str">
        <f aca="false">IF($A28="","",IF(ISNUMBER('Raw data'!J28),'Raw data'!J28*100,""))</f>
        <v/>
      </c>
      <c r="S28" s="48" t="str">
        <f aca="false">IF($A28="","",IF(ISNUMBER('Raw data'!K28),'Raw data'!K28*100,""))</f>
        <v/>
      </c>
      <c r="T28" s="48" t="str">
        <f aca="false">IF($A28="","",IF(ISNUMBER('Raw data'!L28),'Raw data'!L28*100,""))</f>
        <v/>
      </c>
      <c r="U28" s="48" t="str">
        <f aca="false">IF($A28="","",IF(ISNUMBER('Raw data'!M28),'Raw data'!M28*100,""))</f>
        <v/>
      </c>
      <c r="V28" s="48" t="str">
        <f aca="false">IF($A28="","",IF(ISNUMBER('Raw data'!N28),'Raw data'!N28*100,""))</f>
        <v/>
      </c>
      <c r="W28" s="48" t="str">
        <f aca="false">IF($A28="","",IF(ISNUMBER('Raw data'!O28),'Raw data'!O28*100,""))</f>
        <v/>
      </c>
      <c r="X28" s="48" t="str">
        <f aca="false">IF($A28="","",IF(ISNUMBER('Raw data'!P28),'Raw data'!P28*100,""))</f>
        <v/>
      </c>
      <c r="Y28" s="50" t="str">
        <f aca="false">IF($A28="","",IF(AND(ISNUMBER('Raw data'!J28),ISNUMBER('Raw data'!H28),ISNUMBER('Raw data'!L28),ISNUMBER('Raw data'!O28)),ROUND(('Raw data'!J28*'Raw data'!L28+(1-'Raw data'!J28)*'Raw data'!O28-'Raw data'!H28)*100,1),""))</f>
        <v/>
      </c>
    </row>
    <row r="29" customFormat="false" ht="15" hidden="false" customHeight="false" outlineLevel="0" collapsed="false">
      <c r="A29" s="40" t="str">
        <f aca="false">IF(TRIM('Raw data'!A29)="","",TRIM('Raw data'!A29))</f>
        <v>United Kingdom</v>
      </c>
      <c r="B29" s="40" t="str">
        <f aca="false">IF($A29="","",IF('Raw data'!B29="",UPPER(LEFT($A29,3)),'Raw data'!B29))</f>
        <v>UK</v>
      </c>
      <c r="C29" s="40" t="str">
        <f aca="false">IF($A29="","",'Raw data'!C29)</f>
        <v>Non-residential</v>
      </c>
      <c r="D29" s="41" t="n">
        <f aca="false">IF(OR($A29="",'Raw data'!E29=""),"",'Raw data'!E29)</f>
        <v>760</v>
      </c>
      <c r="E29" s="41" t="n">
        <f aca="false">IF(OR($A29="",'Raw data'!Q29=""),"",'Raw data'!Q29)</f>
        <v>21.3</v>
      </c>
      <c r="F29" s="48" t="str">
        <f aca="false">IF($A29="","",IF(ISNUMBER('Raw data'!G29),'Raw data'!G29*100,""))</f>
        <v/>
      </c>
      <c r="G29" s="48" t="n">
        <f aca="false">IF($A29="","",IF(ISNUMBER('Raw data'!H29),'Raw data'!H29*100,""))</f>
        <v>-0.535433690075537</v>
      </c>
      <c r="H29" s="48" t="n">
        <f aca="false">IF($A29="","",IF(ISNUMBER('Raw data'!I29),'Raw data'!I29*100,""))</f>
        <v>4.03468721186624</v>
      </c>
      <c r="I29" s="48" t="n">
        <f aca="false">IF($A29="","",IF(ISNUMBER('Raw data'!R29),'Raw data'!R29*100,""))</f>
        <v>-0.5</v>
      </c>
      <c r="J29" s="48" t="n">
        <f aca="false">IF($A29="","",IF(ISNUMBER('Raw data'!S29),'Raw data'!S29*100,""))</f>
        <v>2</v>
      </c>
      <c r="K29" s="48" t="n">
        <f aca="false">IF($A29="","",IF(ISNUMBER('Raw data'!T29),'Raw data'!T29*100,""))</f>
        <v>3</v>
      </c>
      <c r="L29" s="48" t="n">
        <f aca="false">IF($A29="","",IF('Raw data'!V29&lt;&gt;"",'Raw data'!V29*100,IF(AND(N('Raw data'!E29)&gt;0,'Raw data'!Q29&lt;&gt;""),'Raw data'!Q29*(1+N('Raw data'!S29))/('Raw data'!E29*(1+N('Raw data'!H29)))*100,"")))</f>
        <v>2.87407296546075</v>
      </c>
      <c r="M29" s="48" t="n">
        <f aca="false">IF($A29="","",IF('Raw data'!U29&lt;&gt;"",'Raw data'!U29*100,IF(AND(N('Raw data'!E29)&gt;0,'Raw data'!Q29&lt;&gt;""),'Raw data'!Q29/'Raw data'!E29*100,"")))</f>
        <v>2.80263157894737</v>
      </c>
      <c r="N29" s="49" t="n">
        <f aca="false">IF($A29="","",IF('Raw data'!AA29&lt;&gt;"",'Raw data'!AA29,IF('Raw data'!W29="","",IF('Scoring rules'!$C$5="Lower is better",5-COUNTIF('Scoring rules'!$D$5:$G$5,"&lt;="&amp;'Raw data'!W29),1+COUNTIF('Scoring rules'!$D$5:$G$5,"&lt;="&amp;'Raw data'!W29)))))</f>
        <v>3</v>
      </c>
      <c r="O29" s="49" t="n">
        <f aca="false">IF($A29="","",IF('Raw data'!AB29&lt;&gt;"",'Raw data'!AB29,IF('Raw data'!X29="","",IF('Scoring rules'!$C$6="Lower is better",5-COUNTIF('Scoring rules'!$D$6:$G$6,"&lt;="&amp;'Raw data'!X29),1+COUNTIF('Scoring rules'!$D$6:$G$6,"&lt;="&amp;'Raw data'!X29)))))</f>
        <v>2</v>
      </c>
      <c r="P29" s="49" t="n">
        <f aca="false">IF($A29="","",IF('Raw data'!AC29&lt;&gt;"",'Raw data'!AC29,IF('Raw data'!Y29="","",IF('Scoring rules'!$C$7="Lower is better",5-COUNTIF('Scoring rules'!$D$7:$G$7,"&lt;="&amp;'Raw data'!Y29),1+COUNTIF('Scoring rules'!$D$7:$G$7,"&lt;="&amp;'Raw data'!Y29)))))</f>
        <v>2</v>
      </c>
      <c r="Q29" s="49" t="n">
        <f aca="false">IF($A29="","",IF('Raw data'!AD29&lt;&gt;"",'Raw data'!AD29,IF('Raw data'!Z29="","",IF('Scoring rules'!$C$8="Lower is better",5-COUNTIF('Scoring rules'!$D$8:$G$8,"&lt;="&amp;'Raw data'!Z29),1+COUNTIF('Scoring rules'!$D$8:$G$8,"&lt;="&amp;'Raw data'!Z29)))))</f>
        <v>3</v>
      </c>
      <c r="R29" s="49" t="str">
        <f aca="false">IF($A29="","",IF(ISNUMBER('Raw data'!J29),'Raw data'!J29*100,""))</f>
        <v/>
      </c>
      <c r="S29" s="48" t="str">
        <f aca="false">IF($A29="","",IF(ISNUMBER('Raw data'!K29),'Raw data'!K29*100,""))</f>
        <v/>
      </c>
      <c r="T29" s="48" t="str">
        <f aca="false">IF($A29="","",IF(ISNUMBER('Raw data'!L29),'Raw data'!L29*100,""))</f>
        <v/>
      </c>
      <c r="U29" s="48" t="str">
        <f aca="false">IF($A29="","",IF(ISNUMBER('Raw data'!M29),'Raw data'!M29*100,""))</f>
        <v/>
      </c>
      <c r="V29" s="48" t="str">
        <f aca="false">IF($A29="","",IF(ISNUMBER('Raw data'!N29),'Raw data'!N29*100,""))</f>
        <v/>
      </c>
      <c r="W29" s="48" t="str">
        <f aca="false">IF($A29="","",IF(ISNUMBER('Raw data'!O29),'Raw data'!O29*100,""))</f>
        <v/>
      </c>
      <c r="X29" s="48" t="str">
        <f aca="false">IF($A29="","",IF(ISNUMBER('Raw data'!P29),'Raw data'!P29*100,""))</f>
        <v/>
      </c>
      <c r="Y29" s="50" t="str">
        <f aca="false">IF($A29="","",IF(AND(ISNUMBER('Raw data'!J29),ISNUMBER('Raw data'!H29),ISNUMBER('Raw data'!L29),ISNUMBER('Raw data'!O29)),ROUND(('Raw data'!J29*'Raw data'!L29+(1-'Raw data'!J29)*'Raw data'!O29-'Raw data'!H29)*100,1),""))</f>
        <v/>
      </c>
    </row>
    <row r="30" customFormat="false" ht="15" hidden="false" customHeight="false" outlineLevel="0" collapsed="false">
      <c r="A30" s="40" t="str">
        <f aca="false">IF(TRIM('Raw data'!A30)="","",TRIM('Raw data'!A30))</f>
        <v>France</v>
      </c>
      <c r="B30" s="40" t="str">
        <f aca="false">IF($A30="","",IF('Raw data'!B30="",UPPER(LEFT($A30,3)),'Raw data'!B30))</f>
        <v>FR</v>
      </c>
      <c r="C30" s="40" t="str">
        <f aca="false">IF($A30="","",'Raw data'!C30)</f>
        <v>Residential</v>
      </c>
      <c r="D30" s="41" t="n">
        <f aca="false">IF(OR($A30="",'Raw data'!E30=""),"",'Raw data'!E30)</f>
        <v>525</v>
      </c>
      <c r="E30" s="41" t="n">
        <f aca="false">IF(OR($A30="",'Raw data'!Q30=""),"",'Raw data'!Q30)</f>
        <v>94.5</v>
      </c>
      <c r="F30" s="48" t="str">
        <f aca="false">IF($A30="","",IF(ISNUMBER('Raw data'!G30),'Raw data'!G30*100,""))</f>
        <v/>
      </c>
      <c r="G30" s="48" t="n">
        <f aca="false">IF($A30="","",IF(ISNUMBER('Raw data'!H30),'Raw data'!H30*100,""))</f>
        <v>0.409121203024743</v>
      </c>
      <c r="H30" s="48" t="n">
        <f aca="false">IF($A30="","",IF(ISNUMBER('Raw data'!I30),'Raw data'!I30*100,""))</f>
        <v>1.91751631050843</v>
      </c>
      <c r="I30" s="48" t="n">
        <f aca="false">IF($A30="","",IF(ISNUMBER('Raw data'!R30),'Raw data'!R30*100,""))</f>
        <v>4</v>
      </c>
      <c r="J30" s="48" t="n">
        <f aca="false">IF($A30="","",IF(ISNUMBER('Raw data'!S30),'Raw data'!S30*100,""))</f>
        <v>1</v>
      </c>
      <c r="K30" s="48" t="n">
        <f aca="false">IF($A30="","",IF(ISNUMBER('Raw data'!T30),'Raw data'!T30*100,""))</f>
        <v>3.5</v>
      </c>
      <c r="L30" s="48" t="n">
        <f aca="false">IF($A30="","",IF('Raw data'!V30&lt;&gt;"",'Raw data'!V30*100,IF(AND(N('Raw data'!E30)&gt;0,'Raw data'!Q30&lt;&gt;""),'Raw data'!Q30*(1+N('Raw data'!S30))/('Raw data'!E30*(1+N('Raw data'!H30)))*100,"")))</f>
        <v>18.1059248225472</v>
      </c>
      <c r="M30" s="48" t="n">
        <f aca="false">IF($A30="","",IF('Raw data'!U30&lt;&gt;"",'Raw data'!U30*100,IF(AND(N('Raw data'!E30)&gt;0,'Raw data'!Q30&lt;&gt;""),'Raw data'!Q30/'Raw data'!E30*100,"")))</f>
        <v>18</v>
      </c>
      <c r="N30" s="49" t="n">
        <f aca="false">IF($A30="","",IF('Raw data'!AA30&lt;&gt;"",'Raw data'!AA30,IF('Raw data'!W30="","",IF('Scoring rules'!$C$5="Lower is better",5-COUNTIF('Scoring rules'!$D$5:$G$5,"&lt;="&amp;'Raw data'!W30),1+COUNTIF('Scoring rules'!$D$5:$G$5,"&lt;="&amp;'Raw data'!W30)))))</f>
        <v>4</v>
      </c>
      <c r="O30" s="49" t="n">
        <f aca="false">IF($A30="","",IF('Raw data'!AB30&lt;&gt;"",'Raw data'!AB30,IF('Raw data'!X30="","",IF('Scoring rules'!$C$6="Lower is better",5-COUNTIF('Scoring rules'!$D$6:$G$6,"&lt;="&amp;'Raw data'!X30),1+COUNTIF('Scoring rules'!$D$6:$G$6,"&lt;="&amp;'Raw data'!X30)))))</f>
        <v>3</v>
      </c>
      <c r="P30" s="49" t="n">
        <f aca="false">IF($A30="","",IF('Raw data'!AC30&lt;&gt;"",'Raw data'!AC30,IF('Raw data'!Y30="","",IF('Scoring rules'!$C$7="Lower is better",5-COUNTIF('Scoring rules'!$D$7:$G$7,"&lt;="&amp;'Raw data'!Y30),1+COUNTIF('Scoring rules'!$D$7:$G$7,"&lt;="&amp;'Raw data'!Y30)))))</f>
        <v>4</v>
      </c>
      <c r="Q30" s="49" t="n">
        <f aca="false">IF($A30="","",IF('Raw data'!AD30&lt;&gt;"",'Raw data'!AD30,IF('Raw data'!Z30="","",IF('Scoring rules'!$C$8="Lower is better",5-COUNTIF('Scoring rules'!$D$8:$G$8,"&lt;="&amp;'Raw data'!Z30),1+COUNTIF('Scoring rules'!$D$8:$G$8,"&lt;="&amp;'Raw data'!Z30)))))</f>
        <v>4</v>
      </c>
      <c r="R30" s="49" t="str">
        <f aca="false">IF($A30="","",IF(ISNUMBER('Raw data'!J30),'Raw data'!J30*100,""))</f>
        <v/>
      </c>
      <c r="S30" s="48" t="str">
        <f aca="false">IF($A30="","",IF(ISNUMBER('Raw data'!K30),'Raw data'!K30*100,""))</f>
        <v/>
      </c>
      <c r="T30" s="48" t="str">
        <f aca="false">IF($A30="","",IF(ISNUMBER('Raw data'!L30),'Raw data'!L30*100,""))</f>
        <v/>
      </c>
      <c r="U30" s="48" t="str">
        <f aca="false">IF($A30="","",IF(ISNUMBER('Raw data'!M30),'Raw data'!M30*100,""))</f>
        <v/>
      </c>
      <c r="V30" s="48" t="str">
        <f aca="false">IF($A30="","",IF(ISNUMBER('Raw data'!N30),'Raw data'!N30*100,""))</f>
        <v/>
      </c>
      <c r="W30" s="48" t="str">
        <f aca="false">IF($A30="","",IF(ISNUMBER('Raw data'!O30),'Raw data'!O30*100,""))</f>
        <v/>
      </c>
      <c r="X30" s="48" t="str">
        <f aca="false">IF($A30="","",IF(ISNUMBER('Raw data'!P30),'Raw data'!P30*100,""))</f>
        <v/>
      </c>
      <c r="Y30" s="50" t="str">
        <f aca="false">IF($A30="","",IF(AND(ISNUMBER('Raw data'!J30),ISNUMBER('Raw data'!H30),ISNUMBER('Raw data'!L30),ISNUMBER('Raw data'!O30)),ROUND(('Raw data'!J30*'Raw data'!L30+(1-'Raw data'!J30)*'Raw data'!O30-'Raw data'!H30)*100,1),""))</f>
        <v/>
      </c>
    </row>
    <row r="31" customFormat="false" ht="15" hidden="false" customHeight="false" outlineLevel="0" collapsed="false">
      <c r="A31" s="40" t="str">
        <f aca="false">IF(TRIM('Raw data'!A31)="","",TRIM('Raw data'!A31))</f>
        <v>France</v>
      </c>
      <c r="B31" s="40" t="str">
        <f aca="false">IF($A31="","",IF('Raw data'!B31="",UPPER(LEFT($A31,3)),'Raw data'!B31))</f>
        <v>FR</v>
      </c>
      <c r="C31" s="40" t="str">
        <f aca="false">IF($A31="","",'Raw data'!C31)</f>
        <v>Non-residential</v>
      </c>
      <c r="D31" s="41" t="n">
        <f aca="false">IF(OR($A31="",'Raw data'!E31=""),"",'Raw data'!E31)</f>
        <v>1025</v>
      </c>
      <c r="E31" s="41" t="n">
        <f aca="false">IF(OR($A31="",'Raw data'!Q31=""),"",'Raw data'!Q31)</f>
        <v>143.5</v>
      </c>
      <c r="F31" s="48" t="str">
        <f aca="false">IF($A31="","",IF(ISNUMBER('Raw data'!G31),'Raw data'!G31*100,""))</f>
        <v/>
      </c>
      <c r="G31" s="48" t="n">
        <f aca="false">IF($A31="","",IF(ISNUMBER('Raw data'!H31),'Raw data'!H31*100,""))</f>
        <v>1.04206708411749</v>
      </c>
      <c r="H31" s="48" t="n">
        <f aca="false">IF($A31="","",IF(ISNUMBER('Raw data'!I31),'Raw data'!I31*100,""))</f>
        <v>1.21628302898353</v>
      </c>
      <c r="I31" s="48" t="n">
        <f aca="false">IF($A31="","",IF(ISNUMBER('Raw data'!R31),'Raw data'!R31*100,""))</f>
        <v>4.5</v>
      </c>
      <c r="J31" s="48" t="n">
        <f aca="false">IF($A31="","",IF(ISNUMBER('Raw data'!S31),'Raw data'!S31*100,""))</f>
        <v>1.5</v>
      </c>
      <c r="K31" s="48" t="n">
        <f aca="false">IF($A31="","",IF(ISNUMBER('Raw data'!T31),'Raw data'!T31*100,""))</f>
        <v>4</v>
      </c>
      <c r="L31" s="48" t="n">
        <f aca="false">IF($A31="","",IF('Raw data'!V31&lt;&gt;"",'Raw data'!V31*100,IF(AND(N('Raw data'!E31)&gt;0,'Raw data'!Q31&lt;&gt;""),'Raw data'!Q31*(1+N('Raw data'!S31))/('Raw data'!E31*(1+N('Raw data'!H31)))*100,"")))</f>
        <v>14.0634494226748</v>
      </c>
      <c r="M31" s="48" t="n">
        <f aca="false">IF($A31="","",IF('Raw data'!U31&lt;&gt;"",'Raw data'!U31*100,IF(AND(N('Raw data'!E31)&gt;0,'Raw data'!Q31&lt;&gt;""),'Raw data'!Q31/'Raw data'!E31*100,"")))</f>
        <v>14</v>
      </c>
      <c r="N31" s="49" t="n">
        <f aca="false">IF($A31="","",IF('Raw data'!AA31&lt;&gt;"",'Raw data'!AA31,IF('Raw data'!W31="","",IF('Scoring rules'!$C$5="Lower is better",5-COUNTIF('Scoring rules'!$D$5:$G$5,"&lt;="&amp;'Raw data'!W31),1+COUNTIF('Scoring rules'!$D$5:$G$5,"&lt;="&amp;'Raw data'!W31)))))</f>
        <v>4</v>
      </c>
      <c r="O31" s="49" t="n">
        <f aca="false">IF($A31="","",IF('Raw data'!AB31&lt;&gt;"",'Raw data'!AB31,IF('Raw data'!X31="","",IF('Scoring rules'!$C$6="Lower is better",5-COUNTIF('Scoring rules'!$D$6:$G$6,"&lt;="&amp;'Raw data'!X31),1+COUNTIF('Scoring rules'!$D$6:$G$6,"&lt;="&amp;'Raw data'!X31)))))</f>
        <v>3</v>
      </c>
      <c r="P31" s="49" t="n">
        <f aca="false">IF($A31="","",IF('Raw data'!AC31&lt;&gt;"",'Raw data'!AC31,IF('Raw data'!Y31="","",IF('Scoring rules'!$C$7="Lower is better",5-COUNTIF('Scoring rules'!$D$7:$G$7,"&lt;="&amp;'Raw data'!Y31),1+COUNTIF('Scoring rules'!$D$7:$G$7,"&lt;="&amp;'Raw data'!Y31)))))</f>
        <v>4</v>
      </c>
      <c r="Q31" s="49" t="n">
        <f aca="false">IF($A31="","",IF('Raw data'!AD31&lt;&gt;"",'Raw data'!AD31,IF('Raw data'!Z31="","",IF('Scoring rules'!$C$8="Lower is better",5-COUNTIF('Scoring rules'!$D$8:$G$8,"&lt;="&amp;'Raw data'!Z31),1+COUNTIF('Scoring rules'!$D$8:$G$8,"&lt;="&amp;'Raw data'!Z31)))))</f>
        <v>4</v>
      </c>
      <c r="R31" s="49" t="str">
        <f aca="false">IF($A31="","",IF(ISNUMBER('Raw data'!J31),'Raw data'!J31*100,""))</f>
        <v/>
      </c>
      <c r="S31" s="48" t="str">
        <f aca="false">IF($A31="","",IF(ISNUMBER('Raw data'!K31),'Raw data'!K31*100,""))</f>
        <v/>
      </c>
      <c r="T31" s="48" t="str">
        <f aca="false">IF($A31="","",IF(ISNUMBER('Raw data'!L31),'Raw data'!L31*100,""))</f>
        <v/>
      </c>
      <c r="U31" s="48" t="str">
        <f aca="false">IF($A31="","",IF(ISNUMBER('Raw data'!M31),'Raw data'!M31*100,""))</f>
        <v/>
      </c>
      <c r="V31" s="48" t="str">
        <f aca="false">IF($A31="","",IF(ISNUMBER('Raw data'!N31),'Raw data'!N31*100,""))</f>
        <v/>
      </c>
      <c r="W31" s="48" t="str">
        <f aca="false">IF($A31="","",IF(ISNUMBER('Raw data'!O31),'Raw data'!O31*100,""))</f>
        <v/>
      </c>
      <c r="X31" s="48" t="str">
        <f aca="false">IF($A31="","",IF(ISNUMBER('Raw data'!P31),'Raw data'!P31*100,""))</f>
        <v/>
      </c>
      <c r="Y31" s="50" t="str">
        <f aca="false">IF($A31="","",IF(AND(ISNUMBER('Raw data'!J31),ISNUMBER('Raw data'!H31),ISNUMBER('Raw data'!L31),ISNUMBER('Raw data'!O31)),ROUND(('Raw data'!J31*'Raw data'!L31+(1-'Raw data'!J31)*'Raw data'!O31-'Raw data'!H31)*100,1),""))</f>
        <v/>
      </c>
    </row>
    <row r="32" customFormat="false" ht="15" hidden="false" customHeight="false" outlineLevel="0" collapsed="false">
      <c r="A32" s="40" t="str">
        <f aca="false">IF(TRIM('Raw data'!A32)="","",TRIM('Raw data'!A32))</f>
        <v>Italy</v>
      </c>
      <c r="B32" s="40" t="str">
        <f aca="false">IF($A32="","",IF('Raw data'!B32="",UPPER(LEFT($A32,3)),'Raw data'!B32))</f>
        <v>IT</v>
      </c>
      <c r="C32" s="40" t="str">
        <f aca="false">IF($A32="","",'Raw data'!C32)</f>
        <v>Residential</v>
      </c>
      <c r="D32" s="41" t="n">
        <f aca="false">IF(OR($A32="",'Raw data'!E32=""),"",'Raw data'!E32)</f>
        <v>300</v>
      </c>
      <c r="E32" s="41" t="n">
        <f aca="false">IF(OR($A32="",'Raw data'!Q32=""),"",'Raw data'!Q32)</f>
        <v>33</v>
      </c>
      <c r="F32" s="48" t="str">
        <f aca="false">IF($A32="","",IF(ISNUMBER('Raw data'!G32),'Raw data'!G32*100,""))</f>
        <v/>
      </c>
      <c r="G32" s="48" t="n">
        <f aca="false">IF($A32="","",IF(ISNUMBER('Raw data'!H32),'Raw data'!H32*100,""))</f>
        <v>-2.82238588500393</v>
      </c>
      <c r="H32" s="48" t="n">
        <f aca="false">IF($A32="","",IF(ISNUMBER('Raw data'!I32),'Raw data'!I32*100,""))</f>
        <v>-2.23923628785147</v>
      </c>
      <c r="I32" s="48" t="n">
        <f aca="false">IF($A32="","",IF(ISNUMBER('Raw data'!R32),'Raw data'!R32*100,""))</f>
        <v>3</v>
      </c>
      <c r="J32" s="48" t="n">
        <f aca="false">IF($A32="","",IF(ISNUMBER('Raw data'!S32),'Raw data'!S32*100,""))</f>
        <v>-3</v>
      </c>
      <c r="K32" s="48" t="n">
        <f aca="false">IF($A32="","",IF(ISNUMBER('Raw data'!T32),'Raw data'!T32*100,""))</f>
        <v>2</v>
      </c>
      <c r="L32" s="48" t="n">
        <f aca="false">IF($A32="","",IF('Raw data'!V32&lt;&gt;"",'Raw data'!V32*100,IF(AND(N('Raw data'!E32)&gt;0,'Raw data'!Q32&lt;&gt;""),'Raw data'!Q32*(1+N('Raw data'!S32))/('Raw data'!E32*(1+N('Raw data'!H32)))*100,"")))</f>
        <v>10.9798950068619</v>
      </c>
      <c r="M32" s="48" t="n">
        <f aca="false">IF($A32="","",IF('Raw data'!U32&lt;&gt;"",'Raw data'!U32*100,IF(AND(N('Raw data'!E32)&gt;0,'Raw data'!Q32&lt;&gt;""),'Raw data'!Q32/'Raw data'!E32*100,"")))</f>
        <v>11</v>
      </c>
      <c r="N32" s="49" t="n">
        <f aca="false">IF($A32="","",IF('Raw data'!AA32&lt;&gt;"",'Raw data'!AA32,IF('Raw data'!W32="","",IF('Scoring rules'!$C$5="Lower is better",5-COUNTIF('Scoring rules'!$D$5:$G$5,"&lt;="&amp;'Raw data'!W32),1+COUNTIF('Scoring rules'!$D$5:$G$5,"&lt;="&amp;'Raw data'!W32)))))</f>
        <v>3</v>
      </c>
      <c r="O32" s="49" t="n">
        <f aca="false">IF($A32="","",IF('Raw data'!AB32&lt;&gt;"",'Raw data'!AB32,IF('Raw data'!X32="","",IF('Scoring rules'!$C$6="Lower is better",5-COUNTIF('Scoring rules'!$D$6:$G$6,"&lt;="&amp;'Raw data'!X32),1+COUNTIF('Scoring rules'!$D$6:$G$6,"&lt;="&amp;'Raw data'!X32)))))</f>
        <v>3</v>
      </c>
      <c r="P32" s="49" t="n">
        <f aca="false">IF($A32="","",IF('Raw data'!AC32&lt;&gt;"",'Raw data'!AC32,IF('Raw data'!Y32="","",IF('Scoring rules'!$C$7="Lower is better",5-COUNTIF('Scoring rules'!$D$7:$G$7,"&lt;="&amp;'Raw data'!Y32),1+COUNTIF('Scoring rules'!$D$7:$G$7,"&lt;="&amp;'Raw data'!Y32)))))</f>
        <v>4</v>
      </c>
      <c r="Q32" s="49" t="n">
        <f aca="false">IF($A32="","",IF('Raw data'!AD32&lt;&gt;"",'Raw data'!AD32,IF('Raw data'!Z32="","",IF('Scoring rules'!$C$8="Lower is better",5-COUNTIF('Scoring rules'!$D$8:$G$8,"&lt;="&amp;'Raw data'!Z32),1+COUNTIF('Scoring rules'!$D$8:$G$8,"&lt;="&amp;'Raw data'!Z32)))))</f>
        <v>3</v>
      </c>
      <c r="R32" s="49" t="str">
        <f aca="false">IF($A32="","",IF(ISNUMBER('Raw data'!J32),'Raw data'!J32*100,""))</f>
        <v/>
      </c>
      <c r="S32" s="48" t="str">
        <f aca="false">IF($A32="","",IF(ISNUMBER('Raw data'!K32),'Raw data'!K32*100,""))</f>
        <v/>
      </c>
      <c r="T32" s="48" t="str">
        <f aca="false">IF($A32="","",IF(ISNUMBER('Raw data'!L32),'Raw data'!L32*100,""))</f>
        <v/>
      </c>
      <c r="U32" s="48" t="str">
        <f aca="false">IF($A32="","",IF(ISNUMBER('Raw data'!M32),'Raw data'!M32*100,""))</f>
        <v/>
      </c>
      <c r="V32" s="48" t="str">
        <f aca="false">IF($A32="","",IF(ISNUMBER('Raw data'!N32),'Raw data'!N32*100,""))</f>
        <v/>
      </c>
      <c r="W32" s="48" t="str">
        <f aca="false">IF($A32="","",IF(ISNUMBER('Raw data'!O32),'Raw data'!O32*100,""))</f>
        <v/>
      </c>
      <c r="X32" s="48" t="str">
        <f aca="false">IF($A32="","",IF(ISNUMBER('Raw data'!P32),'Raw data'!P32*100,""))</f>
        <v/>
      </c>
      <c r="Y32" s="50" t="str">
        <f aca="false">IF($A32="","",IF(AND(ISNUMBER('Raw data'!J32),ISNUMBER('Raw data'!H32),ISNUMBER('Raw data'!L32),ISNUMBER('Raw data'!O32)),ROUND(('Raw data'!J32*'Raw data'!L32+(1-'Raw data'!J32)*'Raw data'!O32-'Raw data'!H32)*100,1),""))</f>
        <v/>
      </c>
    </row>
    <row r="33" customFormat="false" ht="15" hidden="false" customHeight="false" outlineLevel="0" collapsed="false">
      <c r="A33" s="40" t="str">
        <f aca="false">IF(TRIM('Raw data'!A33)="","",TRIM('Raw data'!A33))</f>
        <v>Italy</v>
      </c>
      <c r="B33" s="40" t="str">
        <f aca="false">IF($A33="","",IF('Raw data'!B33="",UPPER(LEFT($A33,3)),'Raw data'!B33))</f>
        <v>IT</v>
      </c>
      <c r="C33" s="40" t="str">
        <f aca="false">IF($A33="","",'Raw data'!C33)</f>
        <v>Non-residential</v>
      </c>
      <c r="D33" s="41" t="n">
        <f aca="false">IF(OR($A33="",'Raw data'!E33=""),"",'Raw data'!E33)</f>
        <v>1030</v>
      </c>
      <c r="E33" s="41" t="n">
        <f aca="false">IF(OR($A33="",'Raw data'!Q33=""),"",'Raw data'!Q33)</f>
        <v>97.8</v>
      </c>
      <c r="F33" s="48" t="str">
        <f aca="false">IF($A33="","",IF(ISNUMBER('Raw data'!G33),'Raw data'!G33*100,""))</f>
        <v/>
      </c>
      <c r="G33" s="48" t="n">
        <f aca="false">IF($A33="","",IF(ISNUMBER('Raw data'!H33),'Raw data'!H33*100,""))</f>
        <v>0.170245475947572</v>
      </c>
      <c r="H33" s="48" t="n">
        <f aca="false">IF($A33="","",IF(ISNUMBER('Raw data'!I33),'Raw data'!I33*100,""))</f>
        <v>1.4115777056698</v>
      </c>
      <c r="I33" s="48" t="n">
        <f aca="false">IF($A33="","",IF(ISNUMBER('Raw data'!R33),'Raw data'!R33*100,""))</f>
        <v>3.5</v>
      </c>
      <c r="J33" s="48" t="n">
        <f aca="false">IF($A33="","",IF(ISNUMBER('Raw data'!S33),'Raw data'!S33*100,""))</f>
        <v>-2.5</v>
      </c>
      <c r="K33" s="48" t="n">
        <f aca="false">IF($A33="","",IF(ISNUMBER('Raw data'!T33),'Raw data'!T33*100,""))</f>
        <v>2.5</v>
      </c>
      <c r="L33" s="48" t="n">
        <f aca="false">IF($A33="","",IF('Raw data'!V33&lt;&gt;"",'Raw data'!V33*100,IF(AND(N('Raw data'!E33)&gt;0,'Raw data'!Q33&lt;&gt;""),'Raw data'!Q33*(1+N('Raw data'!S33))/('Raw data'!E33*(1+N('Raw data'!H33)))*100,"")))</f>
        <v>9.24203284748283</v>
      </c>
      <c r="M33" s="48" t="n">
        <f aca="false">IF($A33="","",IF('Raw data'!U33&lt;&gt;"",'Raw data'!U33*100,IF(AND(N('Raw data'!E33)&gt;0,'Raw data'!Q33&lt;&gt;""),'Raw data'!Q33/'Raw data'!E33*100,"")))</f>
        <v>9.49514563106796</v>
      </c>
      <c r="N33" s="49" t="n">
        <f aca="false">IF($A33="","",IF('Raw data'!AA33&lt;&gt;"",'Raw data'!AA33,IF('Raw data'!W33="","",IF('Scoring rules'!$C$5="Lower is better",5-COUNTIF('Scoring rules'!$D$5:$G$5,"&lt;="&amp;'Raw data'!W33),1+COUNTIF('Scoring rules'!$D$5:$G$5,"&lt;="&amp;'Raw data'!W33)))))</f>
        <v>3</v>
      </c>
      <c r="O33" s="49" t="n">
        <f aca="false">IF($A33="","",IF('Raw data'!AB33&lt;&gt;"",'Raw data'!AB33,IF('Raw data'!X33="","",IF('Scoring rules'!$C$6="Lower is better",5-COUNTIF('Scoring rules'!$D$6:$G$6,"&lt;="&amp;'Raw data'!X33),1+COUNTIF('Scoring rules'!$D$6:$G$6,"&lt;="&amp;'Raw data'!X33)))))</f>
        <v>3</v>
      </c>
      <c r="P33" s="49" t="n">
        <f aca="false">IF($A33="","",IF('Raw data'!AC33&lt;&gt;"",'Raw data'!AC33,IF('Raw data'!Y33="","",IF('Scoring rules'!$C$7="Lower is better",5-COUNTIF('Scoring rules'!$D$7:$G$7,"&lt;="&amp;'Raw data'!Y33),1+COUNTIF('Scoring rules'!$D$7:$G$7,"&lt;="&amp;'Raw data'!Y33)))))</f>
        <v>4</v>
      </c>
      <c r="Q33" s="49" t="n">
        <f aca="false">IF($A33="","",IF('Raw data'!AD33&lt;&gt;"",'Raw data'!AD33,IF('Raw data'!Z33="","",IF('Scoring rules'!$C$8="Lower is better",5-COUNTIF('Scoring rules'!$D$8:$G$8,"&lt;="&amp;'Raw data'!Z33),1+COUNTIF('Scoring rules'!$D$8:$G$8,"&lt;="&amp;'Raw data'!Z33)))))</f>
        <v>3</v>
      </c>
      <c r="R33" s="49" t="str">
        <f aca="false">IF($A33="","",IF(ISNUMBER('Raw data'!J33),'Raw data'!J33*100,""))</f>
        <v/>
      </c>
      <c r="S33" s="48" t="str">
        <f aca="false">IF($A33="","",IF(ISNUMBER('Raw data'!K33),'Raw data'!K33*100,""))</f>
        <v/>
      </c>
      <c r="T33" s="48" t="str">
        <f aca="false">IF($A33="","",IF(ISNUMBER('Raw data'!L33),'Raw data'!L33*100,""))</f>
        <v/>
      </c>
      <c r="U33" s="48" t="str">
        <f aca="false">IF($A33="","",IF(ISNUMBER('Raw data'!M33),'Raw data'!M33*100,""))</f>
        <v/>
      </c>
      <c r="V33" s="48" t="str">
        <f aca="false">IF($A33="","",IF(ISNUMBER('Raw data'!N33),'Raw data'!N33*100,""))</f>
        <v/>
      </c>
      <c r="W33" s="48" t="str">
        <f aca="false">IF($A33="","",IF(ISNUMBER('Raw data'!O33),'Raw data'!O33*100,""))</f>
        <v/>
      </c>
      <c r="X33" s="48" t="str">
        <f aca="false">IF($A33="","",IF(ISNUMBER('Raw data'!P33),'Raw data'!P33*100,""))</f>
        <v/>
      </c>
      <c r="Y33" s="50" t="str">
        <f aca="false">IF($A33="","",IF(AND(ISNUMBER('Raw data'!J33),ISNUMBER('Raw data'!H33),ISNUMBER('Raw data'!L33),ISNUMBER('Raw data'!O33)),ROUND(('Raw data'!J33*'Raw data'!L33+(1-'Raw data'!J33)*'Raw data'!O33-'Raw data'!H33)*100,1),""))</f>
        <v/>
      </c>
    </row>
    <row r="34" customFormat="false" ht="15" hidden="false" customHeight="false" outlineLevel="0" collapsed="false">
      <c r="A34" s="40" t="str">
        <f aca="false">IF(TRIM('Raw data'!A34)="","",TRIM('Raw data'!A34))</f>
        <v>Belgium</v>
      </c>
      <c r="B34" s="40" t="str">
        <f aca="false">IF($A34="","",IF('Raw data'!B34="",UPPER(LEFT($A34,3)),'Raw data'!B34))</f>
        <v>BE</v>
      </c>
      <c r="C34" s="40" t="str">
        <f aca="false">IF($A34="","",'Raw data'!C34)</f>
        <v>Residential</v>
      </c>
      <c r="D34" s="41" t="n">
        <f aca="false">IF(OR($A34="",'Raw data'!E34=""),"",'Raw data'!E34)</f>
        <v>115</v>
      </c>
      <c r="E34" s="41" t="n">
        <f aca="false">IF(OR($A34="",'Raw data'!Q34=""),"",'Raw data'!Q34)</f>
        <v>17.2</v>
      </c>
      <c r="F34" s="48" t="str">
        <f aca="false">IF($A34="","",IF(ISNUMBER('Raw data'!G34),'Raw data'!G34*100,""))</f>
        <v/>
      </c>
      <c r="G34" s="48" t="n">
        <f aca="false">IF($A34="","",IF(ISNUMBER('Raw data'!H34),'Raw data'!H34*100,""))</f>
        <v>-3.00660831381899</v>
      </c>
      <c r="H34" s="48" t="n">
        <f aca="false">IF($A34="","",IF(ISNUMBER('Raw data'!I34),'Raw data'!I34*100,""))</f>
        <v>2.28527700445107</v>
      </c>
      <c r="I34" s="48" t="n">
        <f aca="false">IF($A34="","",IF(ISNUMBER('Raw data'!R34),'Raw data'!R34*100,""))</f>
        <v>3</v>
      </c>
      <c r="J34" s="48" t="n">
        <f aca="false">IF($A34="","",IF(ISNUMBER('Raw data'!S34),'Raw data'!S34*100,""))</f>
        <v>2</v>
      </c>
      <c r="K34" s="48" t="n">
        <f aca="false">IF($A34="","",IF(ISNUMBER('Raw data'!T34),'Raw data'!T34*100,""))</f>
        <v>3.5</v>
      </c>
      <c r="L34" s="48" t="n">
        <f aca="false">IF($A34="","",IF('Raw data'!V34&lt;&gt;"",'Raw data'!V34*100,IF(AND(N('Raw data'!E34)&gt;0,'Raw data'!Q34&lt;&gt;""),'Raw data'!Q34*(1+N('Raw data'!S34))/('Raw data'!E34*(1+N('Raw data'!H34)))*100,"")))</f>
        <v>15.7285480059015</v>
      </c>
      <c r="M34" s="48" t="n">
        <f aca="false">IF($A34="","",IF('Raw data'!U34&lt;&gt;"",'Raw data'!U34*100,IF(AND(N('Raw data'!E34)&gt;0,'Raw data'!Q34&lt;&gt;""),'Raw data'!Q34/'Raw data'!E34*100,"")))</f>
        <v>14.9565217391304</v>
      </c>
      <c r="N34" s="49" t="n">
        <f aca="false">IF($A34="","",IF('Raw data'!AA34&lt;&gt;"",'Raw data'!AA34,IF('Raw data'!W34="","",IF('Scoring rules'!$C$5="Lower is better",5-COUNTIF('Scoring rules'!$D$5:$G$5,"&lt;="&amp;'Raw data'!W34),1+COUNTIF('Scoring rules'!$D$5:$G$5,"&lt;="&amp;'Raw data'!W34)))))</f>
        <v>4</v>
      </c>
      <c r="O34" s="49" t="n">
        <f aca="false">IF($A34="","",IF('Raw data'!AB34&lt;&gt;"",'Raw data'!AB34,IF('Raw data'!X34="","",IF('Scoring rules'!$C$6="Lower is better",5-COUNTIF('Scoring rules'!$D$6:$G$6,"&lt;="&amp;'Raw data'!X34),1+COUNTIF('Scoring rules'!$D$6:$G$6,"&lt;="&amp;'Raw data'!X34)))))</f>
        <v>3</v>
      </c>
      <c r="P34" s="49" t="n">
        <f aca="false">IF($A34="","",IF('Raw data'!AC34&lt;&gt;"",'Raw data'!AC34,IF('Raw data'!Y34="","",IF('Scoring rules'!$C$7="Lower is better",5-COUNTIF('Scoring rules'!$D$7:$G$7,"&lt;="&amp;'Raw data'!Y34),1+COUNTIF('Scoring rules'!$D$7:$G$7,"&lt;="&amp;'Raw data'!Y34)))))</f>
        <v>4</v>
      </c>
      <c r="Q34" s="49" t="n">
        <f aca="false">IF($A34="","",IF('Raw data'!AD34&lt;&gt;"",'Raw data'!AD34,IF('Raw data'!Z34="","",IF('Scoring rules'!$C$8="Lower is better",5-COUNTIF('Scoring rules'!$D$8:$G$8,"&lt;="&amp;'Raw data'!Z34),1+COUNTIF('Scoring rules'!$D$8:$G$8,"&lt;="&amp;'Raw data'!Z34)))))</f>
        <v>4</v>
      </c>
      <c r="R34" s="49" t="str">
        <f aca="false">IF($A34="","",IF(ISNUMBER('Raw data'!J34),'Raw data'!J34*100,""))</f>
        <v/>
      </c>
      <c r="S34" s="48" t="str">
        <f aca="false">IF($A34="","",IF(ISNUMBER('Raw data'!K34),'Raw data'!K34*100,""))</f>
        <v/>
      </c>
      <c r="T34" s="48" t="str">
        <f aca="false">IF($A34="","",IF(ISNUMBER('Raw data'!L34),'Raw data'!L34*100,""))</f>
        <v/>
      </c>
      <c r="U34" s="48" t="str">
        <f aca="false">IF($A34="","",IF(ISNUMBER('Raw data'!M34),'Raw data'!M34*100,""))</f>
        <v/>
      </c>
      <c r="V34" s="48" t="str">
        <f aca="false">IF($A34="","",IF(ISNUMBER('Raw data'!N34),'Raw data'!N34*100,""))</f>
        <v/>
      </c>
      <c r="W34" s="48" t="str">
        <f aca="false">IF($A34="","",IF(ISNUMBER('Raw data'!O34),'Raw data'!O34*100,""))</f>
        <v/>
      </c>
      <c r="X34" s="48" t="str">
        <f aca="false">IF($A34="","",IF(ISNUMBER('Raw data'!P34),'Raw data'!P34*100,""))</f>
        <v/>
      </c>
      <c r="Y34" s="50" t="str">
        <f aca="false">IF($A34="","",IF(AND(ISNUMBER('Raw data'!J34),ISNUMBER('Raw data'!H34),ISNUMBER('Raw data'!L34),ISNUMBER('Raw data'!O34)),ROUND(('Raw data'!J34*'Raw data'!L34+(1-'Raw data'!J34)*'Raw data'!O34-'Raw data'!H34)*100,1),""))</f>
        <v/>
      </c>
    </row>
    <row r="35" customFormat="false" ht="15" hidden="false" customHeight="false" outlineLevel="0" collapsed="false">
      <c r="A35" s="40" t="str">
        <f aca="false">IF(TRIM('Raw data'!A35)="","",TRIM('Raw data'!A35))</f>
        <v>Belgium</v>
      </c>
      <c r="B35" s="40" t="str">
        <f aca="false">IF($A35="","",IF('Raw data'!B35="",UPPER(LEFT($A35,3)),'Raw data'!B35))</f>
        <v>BE</v>
      </c>
      <c r="C35" s="40" t="str">
        <f aca="false">IF($A35="","",'Raw data'!C35)</f>
        <v>Non-residential</v>
      </c>
      <c r="D35" s="41" t="n">
        <f aca="false">IF(OR($A35="",'Raw data'!E35=""),"",'Raw data'!E35)</f>
        <v>215</v>
      </c>
      <c r="E35" s="41" t="n">
        <f aca="false">IF(OR($A35="",'Raw data'!Q35=""),"",'Raw data'!Q35)</f>
        <v>25.8</v>
      </c>
      <c r="F35" s="48" t="str">
        <f aca="false">IF($A35="","",IF(ISNUMBER('Raw data'!G35),'Raw data'!G35*100,""))</f>
        <v/>
      </c>
      <c r="G35" s="48" t="n">
        <f aca="false">IF($A35="","",IF(ISNUMBER('Raw data'!H35),'Raw data'!H35*100,""))</f>
        <v>1.81236646664318</v>
      </c>
      <c r="H35" s="48" t="n">
        <f aca="false">IF($A35="","",IF(ISNUMBER('Raw data'!I35),'Raw data'!I35*100,""))</f>
        <v>3.06406508930031</v>
      </c>
      <c r="I35" s="48" t="n">
        <f aca="false">IF($A35="","",IF(ISNUMBER('Raw data'!R35),'Raw data'!R35*100,""))</f>
        <v>3.5</v>
      </c>
      <c r="J35" s="48" t="n">
        <f aca="false">IF($A35="","",IF(ISNUMBER('Raw data'!S35),'Raw data'!S35*100,""))</f>
        <v>2.5</v>
      </c>
      <c r="K35" s="48" t="n">
        <f aca="false">IF($A35="","",IF(ISNUMBER('Raw data'!T35),'Raw data'!T35*100,""))</f>
        <v>4</v>
      </c>
      <c r="L35" s="48" t="n">
        <f aca="false">IF($A35="","",IF('Raw data'!V35&lt;&gt;"",'Raw data'!V35*100,IF(AND(N('Raw data'!E35)&gt;0,'Raw data'!Q35&lt;&gt;""),'Raw data'!Q35*(1+N('Raw data'!S35))/('Raw data'!E35*(1+N('Raw data'!H35)))*100,"")))</f>
        <v>12.0810471525872</v>
      </c>
      <c r="M35" s="48" t="n">
        <f aca="false">IF($A35="","",IF('Raw data'!U35&lt;&gt;"",'Raw data'!U35*100,IF(AND(N('Raw data'!E35)&gt;0,'Raw data'!Q35&lt;&gt;""),'Raw data'!Q35/'Raw data'!E35*100,"")))</f>
        <v>12</v>
      </c>
      <c r="N35" s="49" t="n">
        <f aca="false">IF($A35="","",IF('Raw data'!AA35&lt;&gt;"",'Raw data'!AA35,IF('Raw data'!W35="","",IF('Scoring rules'!$C$5="Lower is better",5-COUNTIF('Scoring rules'!$D$5:$G$5,"&lt;="&amp;'Raw data'!W35),1+COUNTIF('Scoring rules'!$D$5:$G$5,"&lt;="&amp;'Raw data'!W35)))))</f>
        <v>4</v>
      </c>
      <c r="O35" s="49" t="n">
        <f aca="false">IF($A35="","",IF('Raw data'!AB35&lt;&gt;"",'Raw data'!AB35,IF('Raw data'!X35="","",IF('Scoring rules'!$C$6="Lower is better",5-COUNTIF('Scoring rules'!$D$6:$G$6,"&lt;="&amp;'Raw data'!X35),1+COUNTIF('Scoring rules'!$D$6:$G$6,"&lt;="&amp;'Raw data'!X35)))))</f>
        <v>3</v>
      </c>
      <c r="P35" s="49" t="n">
        <f aca="false">IF($A35="","",IF('Raw data'!AC35&lt;&gt;"",'Raw data'!AC35,IF('Raw data'!Y35="","",IF('Scoring rules'!$C$7="Lower is better",5-COUNTIF('Scoring rules'!$D$7:$G$7,"&lt;="&amp;'Raw data'!Y35),1+COUNTIF('Scoring rules'!$D$7:$G$7,"&lt;="&amp;'Raw data'!Y35)))))</f>
        <v>4</v>
      </c>
      <c r="Q35" s="49" t="n">
        <f aca="false">IF($A35="","",IF('Raw data'!AD35&lt;&gt;"",'Raw data'!AD35,IF('Raw data'!Z35="","",IF('Scoring rules'!$C$8="Lower is better",5-COUNTIF('Scoring rules'!$D$8:$G$8,"&lt;="&amp;'Raw data'!Z35),1+COUNTIF('Scoring rules'!$D$8:$G$8,"&lt;="&amp;'Raw data'!Z35)))))</f>
        <v>4</v>
      </c>
      <c r="R35" s="49" t="str">
        <f aca="false">IF($A35="","",IF(ISNUMBER('Raw data'!J35),'Raw data'!J35*100,""))</f>
        <v/>
      </c>
      <c r="S35" s="48" t="str">
        <f aca="false">IF($A35="","",IF(ISNUMBER('Raw data'!K35),'Raw data'!K35*100,""))</f>
        <v/>
      </c>
      <c r="T35" s="48" t="str">
        <f aca="false">IF($A35="","",IF(ISNUMBER('Raw data'!L35),'Raw data'!L35*100,""))</f>
        <v/>
      </c>
      <c r="U35" s="48" t="str">
        <f aca="false">IF($A35="","",IF(ISNUMBER('Raw data'!M35),'Raw data'!M35*100,""))</f>
        <v/>
      </c>
      <c r="V35" s="48" t="str">
        <f aca="false">IF($A35="","",IF(ISNUMBER('Raw data'!N35),'Raw data'!N35*100,""))</f>
        <v/>
      </c>
      <c r="W35" s="48" t="str">
        <f aca="false">IF($A35="","",IF(ISNUMBER('Raw data'!O35),'Raw data'!O35*100,""))</f>
        <v/>
      </c>
      <c r="X35" s="48" t="str">
        <f aca="false">IF($A35="","",IF(ISNUMBER('Raw data'!P35),'Raw data'!P35*100,""))</f>
        <v/>
      </c>
      <c r="Y35" s="50" t="str">
        <f aca="false">IF($A35="","",IF(AND(ISNUMBER('Raw data'!J35),ISNUMBER('Raw data'!H35),ISNUMBER('Raw data'!L35),ISNUMBER('Raw data'!O35)),ROUND(('Raw data'!J35*'Raw data'!L35+(1-'Raw data'!J35)*'Raw data'!O35-'Raw data'!H35)*100,1),""))</f>
        <v/>
      </c>
    </row>
    <row r="36" customFormat="false" ht="15" hidden="false" customHeight="false" outlineLevel="0" collapsed="false">
      <c r="A36" s="40" t="str">
        <f aca="false">IF(TRIM('Raw data'!A36)="","",TRIM('Raw data'!A36))</f>
        <v>Spain</v>
      </c>
      <c r="B36" s="40" t="str">
        <f aca="false">IF($A36="","",IF('Raw data'!B36="",UPPER(LEFT($A36,3)),'Raw data'!B36))</f>
        <v>ES</v>
      </c>
      <c r="C36" s="40" t="str">
        <f aca="false">IF($A36="","",'Raw data'!C36)</f>
        <v>Residential</v>
      </c>
      <c r="D36" s="41" t="n">
        <f aca="false">IF(OR($A36="",'Raw data'!E36=""),"",'Raw data'!E36)</f>
        <v>215</v>
      </c>
      <c r="E36" s="41" t="n">
        <f aca="false">IF(OR($A36="",'Raw data'!Q36=""),"",'Raw data'!Q36)</f>
        <v>21.1</v>
      </c>
      <c r="F36" s="48" t="str">
        <f aca="false">IF($A36="","",IF(ISNUMBER('Raw data'!G36),'Raw data'!G36*100,""))</f>
        <v/>
      </c>
      <c r="G36" s="48" t="n">
        <f aca="false">IF($A36="","",IF(ISNUMBER('Raw data'!H36),'Raw data'!H36*100,""))</f>
        <v>1.76735501553753</v>
      </c>
      <c r="H36" s="48" t="n">
        <f aca="false">IF($A36="","",IF(ISNUMBER('Raw data'!I36),'Raw data'!I36*100,""))</f>
        <v>2.32440241373793</v>
      </c>
      <c r="I36" s="48" t="n">
        <f aca="false">IF($A36="","",IF(ISNUMBER('Raw data'!R36),'Raw data'!R36*100,""))</f>
        <v>7.5</v>
      </c>
      <c r="J36" s="48" t="n">
        <f aca="false">IF($A36="","",IF(ISNUMBER('Raw data'!S36),'Raw data'!S36*100,""))</f>
        <v>6</v>
      </c>
      <c r="K36" s="48" t="n">
        <f aca="false">IF($A36="","",IF(ISNUMBER('Raw data'!T36),'Raw data'!T36*100,""))</f>
        <v>8</v>
      </c>
      <c r="L36" s="48" t="n">
        <f aca="false">IF($A36="","",IF('Raw data'!V36&lt;&gt;"",'Raw data'!V36*100,IF(AND(N('Raw data'!E36)&gt;0,'Raw data'!Q36&lt;&gt;""),'Raw data'!Q36*(1+N('Raw data'!S36))/('Raw data'!E36*(1+N('Raw data'!H36)))*100,"")))</f>
        <v>10.2221293813583</v>
      </c>
      <c r="M36" s="48" t="n">
        <f aca="false">IF($A36="","",IF('Raw data'!U36&lt;&gt;"",'Raw data'!U36*100,IF(AND(N('Raw data'!E36)&gt;0,'Raw data'!Q36&lt;&gt;""),'Raw data'!Q36/'Raw data'!E36*100,"")))</f>
        <v>9.81395348837209</v>
      </c>
      <c r="N36" s="49" t="n">
        <f aca="false">IF($A36="","",IF('Raw data'!AA36&lt;&gt;"",'Raw data'!AA36,IF('Raw data'!W36="","",IF('Scoring rules'!$C$5="Lower is better",5-COUNTIF('Scoring rules'!$D$5:$G$5,"&lt;="&amp;'Raw data'!W36),1+COUNTIF('Scoring rules'!$D$5:$G$5,"&lt;="&amp;'Raw data'!W36)))))</f>
        <v>3</v>
      </c>
      <c r="O36" s="49" t="n">
        <f aca="false">IF($A36="","",IF('Raw data'!AB36&lt;&gt;"",'Raw data'!AB36,IF('Raw data'!X36="","",IF('Scoring rules'!$C$6="Lower is better",5-COUNTIF('Scoring rules'!$D$6:$G$6,"&lt;="&amp;'Raw data'!X36),1+COUNTIF('Scoring rules'!$D$6:$G$6,"&lt;="&amp;'Raw data'!X36)))))</f>
        <v>3</v>
      </c>
      <c r="P36" s="49" t="n">
        <f aca="false">IF($A36="","",IF('Raw data'!AC36&lt;&gt;"",'Raw data'!AC36,IF('Raw data'!Y36="","",IF('Scoring rules'!$C$7="Lower is better",5-COUNTIF('Scoring rules'!$D$7:$G$7,"&lt;="&amp;'Raw data'!Y36),1+COUNTIF('Scoring rules'!$D$7:$G$7,"&lt;="&amp;'Raw data'!Y36)))))</f>
        <v>3</v>
      </c>
      <c r="Q36" s="49" t="n">
        <f aca="false">IF($A36="","",IF('Raw data'!AD36&lt;&gt;"",'Raw data'!AD36,IF('Raw data'!Z36="","",IF('Scoring rules'!$C$8="Lower is better",5-COUNTIF('Scoring rules'!$D$8:$G$8,"&lt;="&amp;'Raw data'!Z36),1+COUNTIF('Scoring rules'!$D$8:$G$8,"&lt;="&amp;'Raw data'!Z36)))))</f>
        <v>4</v>
      </c>
      <c r="R36" s="49" t="str">
        <f aca="false">IF($A36="","",IF(ISNUMBER('Raw data'!J36),'Raw data'!J36*100,""))</f>
        <v/>
      </c>
      <c r="S36" s="48" t="str">
        <f aca="false">IF($A36="","",IF(ISNUMBER('Raw data'!K36),'Raw data'!K36*100,""))</f>
        <v/>
      </c>
      <c r="T36" s="48" t="str">
        <f aca="false">IF($A36="","",IF(ISNUMBER('Raw data'!L36),'Raw data'!L36*100,""))</f>
        <v/>
      </c>
      <c r="U36" s="48" t="str">
        <f aca="false">IF($A36="","",IF(ISNUMBER('Raw data'!M36),'Raw data'!M36*100,""))</f>
        <v/>
      </c>
      <c r="V36" s="48" t="str">
        <f aca="false">IF($A36="","",IF(ISNUMBER('Raw data'!N36),'Raw data'!N36*100,""))</f>
        <v/>
      </c>
      <c r="W36" s="48" t="str">
        <f aca="false">IF($A36="","",IF(ISNUMBER('Raw data'!O36),'Raw data'!O36*100,""))</f>
        <v/>
      </c>
      <c r="X36" s="48" t="str">
        <f aca="false">IF($A36="","",IF(ISNUMBER('Raw data'!P36),'Raw data'!P36*100,""))</f>
        <v/>
      </c>
      <c r="Y36" s="50" t="str">
        <f aca="false">IF($A36="","",IF(AND(ISNUMBER('Raw data'!J36),ISNUMBER('Raw data'!H36),ISNUMBER('Raw data'!L36),ISNUMBER('Raw data'!O36)),ROUND(('Raw data'!J36*'Raw data'!L36+(1-'Raw data'!J36)*'Raw data'!O36-'Raw data'!H36)*100,1),""))</f>
        <v/>
      </c>
    </row>
    <row r="37" customFormat="false" ht="15" hidden="false" customHeight="false" outlineLevel="0" collapsed="false">
      <c r="A37" s="40" t="str">
        <f aca="false">IF(TRIM('Raw data'!A37)="","",TRIM('Raw data'!A37))</f>
        <v>Spain</v>
      </c>
      <c r="B37" s="40" t="str">
        <f aca="false">IF($A37="","",IF('Raw data'!B37="",UPPER(LEFT($A37,3)),'Raw data'!B37))</f>
        <v>ES</v>
      </c>
      <c r="C37" s="40" t="str">
        <f aca="false">IF($A37="","",'Raw data'!C37)</f>
        <v>Non-residential</v>
      </c>
      <c r="D37" s="41" t="n">
        <f aca="false">IF(OR($A37="",'Raw data'!E37=""),"",'Raw data'!E37)</f>
        <v>945</v>
      </c>
      <c r="E37" s="41" t="n">
        <f aca="false">IF(OR($A37="",'Raw data'!Q37=""),"",'Raw data'!Q37)</f>
        <v>70.9</v>
      </c>
      <c r="F37" s="48" t="str">
        <f aca="false">IF($A37="","",IF(ISNUMBER('Raw data'!G37),'Raw data'!G37*100,""))</f>
        <v/>
      </c>
      <c r="G37" s="48" t="n">
        <f aca="false">IF($A37="","",IF(ISNUMBER('Raw data'!H37),'Raw data'!H37*100,""))</f>
        <v>6.67729204969962</v>
      </c>
      <c r="H37" s="48" t="n">
        <f aca="false">IF($A37="","",IF(ISNUMBER('Raw data'!I37),'Raw data'!I37*100,""))</f>
        <v>3.65555004416041</v>
      </c>
      <c r="I37" s="48" t="n">
        <f aca="false">IF($A37="","",IF(ISNUMBER('Raw data'!R37),'Raw data'!R37*100,""))</f>
        <v>8</v>
      </c>
      <c r="J37" s="48" t="n">
        <f aca="false">IF($A37="","",IF(ISNUMBER('Raw data'!S37),'Raw data'!S37*100,""))</f>
        <v>6.5</v>
      </c>
      <c r="K37" s="48" t="n">
        <f aca="false">IF($A37="","",IF(ISNUMBER('Raw data'!T37),'Raw data'!T37*100,""))</f>
        <v>8.5</v>
      </c>
      <c r="L37" s="48" t="n">
        <f aca="false">IF($A37="","",IF('Raw data'!V37&lt;&gt;"",'Raw data'!V37*100,IF(AND(N('Raw data'!E37)&gt;0,'Raw data'!Q37&lt;&gt;""),'Raw data'!Q37*(1+N('Raw data'!S37))/('Raw data'!E37*(1+N('Raw data'!H37)))*100,"")))</f>
        <v>7.49017650035105</v>
      </c>
      <c r="M37" s="48" t="n">
        <f aca="false">IF($A37="","",IF('Raw data'!U37&lt;&gt;"",'Raw data'!U37*100,IF(AND(N('Raw data'!E37)&gt;0,'Raw data'!Q37&lt;&gt;""),'Raw data'!Q37/'Raw data'!E37*100,"")))</f>
        <v>7.5026455026455</v>
      </c>
      <c r="N37" s="49" t="n">
        <f aca="false">IF($A37="","",IF('Raw data'!AA37&lt;&gt;"",'Raw data'!AA37,IF('Raw data'!W37="","",IF('Scoring rules'!$C$5="Lower is better",5-COUNTIF('Scoring rules'!$D$5:$G$5,"&lt;="&amp;'Raw data'!W37),1+COUNTIF('Scoring rules'!$D$5:$G$5,"&lt;="&amp;'Raw data'!W37)))))</f>
        <v>3</v>
      </c>
      <c r="O37" s="49" t="n">
        <f aca="false">IF($A37="","",IF('Raw data'!AB37&lt;&gt;"",'Raw data'!AB37,IF('Raw data'!X37="","",IF('Scoring rules'!$C$6="Lower is better",5-COUNTIF('Scoring rules'!$D$6:$G$6,"&lt;="&amp;'Raw data'!X37),1+COUNTIF('Scoring rules'!$D$6:$G$6,"&lt;="&amp;'Raw data'!X37)))))</f>
        <v>3</v>
      </c>
      <c r="P37" s="49" t="n">
        <f aca="false">IF($A37="","",IF('Raw data'!AC37&lt;&gt;"",'Raw data'!AC37,IF('Raw data'!Y37="","",IF('Scoring rules'!$C$7="Lower is better",5-COUNTIF('Scoring rules'!$D$7:$G$7,"&lt;="&amp;'Raw data'!Y37),1+COUNTIF('Scoring rules'!$D$7:$G$7,"&lt;="&amp;'Raw data'!Y37)))))</f>
        <v>3</v>
      </c>
      <c r="Q37" s="49" t="n">
        <f aca="false">IF($A37="","",IF('Raw data'!AD37&lt;&gt;"",'Raw data'!AD37,IF('Raw data'!Z37="","",IF('Scoring rules'!$C$8="Lower is better",5-COUNTIF('Scoring rules'!$D$8:$G$8,"&lt;="&amp;'Raw data'!Z37),1+COUNTIF('Scoring rules'!$D$8:$G$8,"&lt;="&amp;'Raw data'!Z37)))))</f>
        <v>4</v>
      </c>
      <c r="R37" s="49" t="str">
        <f aca="false">IF($A37="","",IF(ISNUMBER('Raw data'!J37),'Raw data'!J37*100,""))</f>
        <v/>
      </c>
      <c r="S37" s="48" t="str">
        <f aca="false">IF($A37="","",IF(ISNUMBER('Raw data'!K37),'Raw data'!K37*100,""))</f>
        <v/>
      </c>
      <c r="T37" s="48" t="str">
        <f aca="false">IF($A37="","",IF(ISNUMBER('Raw data'!L37),'Raw data'!L37*100,""))</f>
        <v/>
      </c>
      <c r="U37" s="48" t="str">
        <f aca="false">IF($A37="","",IF(ISNUMBER('Raw data'!M37),'Raw data'!M37*100,""))</f>
        <v/>
      </c>
      <c r="V37" s="48" t="str">
        <f aca="false">IF($A37="","",IF(ISNUMBER('Raw data'!N37),'Raw data'!N37*100,""))</f>
        <v/>
      </c>
      <c r="W37" s="48" t="str">
        <f aca="false">IF($A37="","",IF(ISNUMBER('Raw data'!O37),'Raw data'!O37*100,""))</f>
        <v/>
      </c>
      <c r="X37" s="48" t="str">
        <f aca="false">IF($A37="","",IF(ISNUMBER('Raw data'!P37),'Raw data'!P37*100,""))</f>
        <v/>
      </c>
      <c r="Y37" s="50" t="str">
        <f aca="false">IF($A37="","",IF(AND(ISNUMBER('Raw data'!J37),ISNUMBER('Raw data'!H37),ISNUMBER('Raw data'!L37),ISNUMBER('Raw data'!O37)),ROUND(('Raw data'!J37*'Raw data'!L37+(1-'Raw data'!J37)*'Raw data'!O37-'Raw data'!H37)*100,1),""))</f>
        <v/>
      </c>
    </row>
    <row r="38" customFormat="false" ht="15" hidden="false" customHeight="false" outlineLevel="0" collapsed="false">
      <c r="A38" s="40" t="str">
        <f aca="false">IF(TRIM('Raw data'!A38)="","",TRIM('Raw data'!A38))</f>
        <v>Portugal</v>
      </c>
      <c r="B38" s="40" t="str">
        <f aca="false">IF($A38="","",IF('Raw data'!B38="",UPPER(LEFT($A38,3)),'Raw data'!B38))</f>
        <v>PT</v>
      </c>
      <c r="C38" s="40" t="str">
        <f aca="false">IF($A38="","",'Raw data'!C38)</f>
        <v>Residential</v>
      </c>
      <c r="D38" s="41" t="n">
        <f aca="false">IF(OR($A38="",'Raw data'!E38=""),"",'Raw data'!E38)</f>
        <v>45</v>
      </c>
      <c r="E38" s="41" t="n">
        <f aca="false">IF(OR($A38="",'Raw data'!Q38=""),"",'Raw data'!Q38)</f>
        <v>3.6</v>
      </c>
      <c r="F38" s="48" t="str">
        <f aca="false">IF($A38="","",IF(ISNUMBER('Raw data'!G38),'Raw data'!G38*100,""))</f>
        <v/>
      </c>
      <c r="G38" s="48" t="n">
        <f aca="false">IF($A38="","",IF(ISNUMBER('Raw data'!H38),'Raw data'!H38*100,""))</f>
        <v>4.22738065562294</v>
      </c>
      <c r="H38" s="48" t="n">
        <f aca="false">IF($A38="","",IF(ISNUMBER('Raw data'!I38),'Raw data'!I38*100,""))</f>
        <v>0.194248928808927</v>
      </c>
      <c r="I38" s="48" t="n">
        <f aca="false">IF($A38="","",IF(ISNUMBER('Raw data'!R38),'Raw data'!R38*100,""))</f>
        <v>6.5</v>
      </c>
      <c r="J38" s="48" t="n">
        <f aca="false">IF($A38="","",IF(ISNUMBER('Raw data'!S38),'Raw data'!S38*100,""))</f>
        <v>5</v>
      </c>
      <c r="K38" s="48" t="n">
        <f aca="false">IF($A38="","",IF(ISNUMBER('Raw data'!T38),'Raw data'!T38*100,""))</f>
        <v>5</v>
      </c>
      <c r="L38" s="48" t="n">
        <f aca="false">IF($A38="","",IF('Raw data'!V38&lt;&gt;"",'Raw data'!V38*100,IF(AND(N('Raw data'!E38)&gt;0,'Raw data'!Q38&lt;&gt;""),'Raw data'!Q38*(1+N('Raw data'!S38))/('Raw data'!E38*(1+N('Raw data'!H38)))*100,"")))</f>
        <v>8.0593026008726</v>
      </c>
      <c r="M38" s="48" t="n">
        <f aca="false">IF($A38="","",IF('Raw data'!U38&lt;&gt;"",'Raw data'!U38*100,IF(AND(N('Raw data'!E38)&gt;0,'Raw data'!Q38&lt;&gt;""),'Raw data'!Q38/'Raw data'!E38*100,"")))</f>
        <v>8</v>
      </c>
      <c r="N38" s="49" t="n">
        <f aca="false">IF($A38="","",IF('Raw data'!AA38&lt;&gt;"",'Raw data'!AA38,IF('Raw data'!W38="","",IF('Scoring rules'!$C$5="Lower is better",5-COUNTIF('Scoring rules'!$D$5:$G$5,"&lt;="&amp;'Raw data'!W38),1+COUNTIF('Scoring rules'!$D$5:$G$5,"&lt;="&amp;'Raw data'!W38)))))</f>
        <v>3</v>
      </c>
      <c r="O38" s="49" t="n">
        <f aca="false">IF($A38="","",IF('Raw data'!AB38&lt;&gt;"",'Raw data'!AB38,IF('Raw data'!X38="","",IF('Scoring rules'!$C$6="Lower is better",5-COUNTIF('Scoring rules'!$D$6:$G$6,"&lt;="&amp;'Raw data'!X38),1+COUNTIF('Scoring rules'!$D$6:$G$6,"&lt;="&amp;'Raw data'!X38)))))</f>
        <v>3</v>
      </c>
      <c r="P38" s="49" t="n">
        <f aca="false">IF($A38="","",IF('Raw data'!AC38&lt;&gt;"",'Raw data'!AC38,IF('Raw data'!Y38="","",IF('Scoring rules'!$C$7="Lower is better",5-COUNTIF('Scoring rules'!$D$7:$G$7,"&lt;="&amp;'Raw data'!Y38),1+COUNTIF('Scoring rules'!$D$7:$G$7,"&lt;="&amp;'Raw data'!Y38)))))</f>
        <v>3</v>
      </c>
      <c r="Q38" s="49" t="n">
        <f aca="false">IF($A38="","",IF('Raw data'!AD38&lt;&gt;"",'Raw data'!AD38,IF('Raw data'!Z38="","",IF('Scoring rules'!$C$8="Lower is better",5-COUNTIF('Scoring rules'!$D$8:$G$8,"&lt;="&amp;'Raw data'!Z38),1+COUNTIF('Scoring rules'!$D$8:$G$8,"&lt;="&amp;'Raw data'!Z38)))))</f>
        <v>4</v>
      </c>
      <c r="R38" s="49" t="str">
        <f aca="false">IF($A38="","",IF(ISNUMBER('Raw data'!J38),'Raw data'!J38*100,""))</f>
        <v/>
      </c>
      <c r="S38" s="48" t="str">
        <f aca="false">IF($A38="","",IF(ISNUMBER('Raw data'!K38),'Raw data'!K38*100,""))</f>
        <v/>
      </c>
      <c r="T38" s="48" t="str">
        <f aca="false">IF($A38="","",IF(ISNUMBER('Raw data'!L38),'Raw data'!L38*100,""))</f>
        <v/>
      </c>
      <c r="U38" s="48" t="str">
        <f aca="false">IF($A38="","",IF(ISNUMBER('Raw data'!M38),'Raw data'!M38*100,""))</f>
        <v/>
      </c>
      <c r="V38" s="48" t="str">
        <f aca="false">IF($A38="","",IF(ISNUMBER('Raw data'!N38),'Raw data'!N38*100,""))</f>
        <v/>
      </c>
      <c r="W38" s="48" t="str">
        <f aca="false">IF($A38="","",IF(ISNUMBER('Raw data'!O38),'Raw data'!O38*100,""))</f>
        <v/>
      </c>
      <c r="X38" s="48" t="str">
        <f aca="false">IF($A38="","",IF(ISNUMBER('Raw data'!P38),'Raw data'!P38*100,""))</f>
        <v/>
      </c>
      <c r="Y38" s="50" t="str">
        <f aca="false">IF($A38="","",IF(AND(ISNUMBER('Raw data'!J38),ISNUMBER('Raw data'!H38),ISNUMBER('Raw data'!L38),ISNUMBER('Raw data'!O38)),ROUND(('Raw data'!J38*'Raw data'!L38+(1-'Raw data'!J38)*'Raw data'!O38-'Raw data'!H38)*100,1),""))</f>
        <v/>
      </c>
    </row>
    <row r="39" customFormat="false" ht="15" hidden="false" customHeight="false" outlineLevel="0" collapsed="false">
      <c r="A39" s="40" t="str">
        <f aca="false">IF(TRIM('Raw data'!A39)="","",TRIM('Raw data'!A39))</f>
        <v>Portugal</v>
      </c>
      <c r="B39" s="40" t="str">
        <f aca="false">IF($A39="","",IF('Raw data'!B39="",UPPER(LEFT($A39,3)),'Raw data'!B39))</f>
        <v>PT</v>
      </c>
      <c r="C39" s="40" t="str">
        <f aca="false">IF($A39="","",'Raw data'!C39)</f>
        <v>Non-residential</v>
      </c>
      <c r="D39" s="41" t="n">
        <f aca="false">IF(OR($A39="",'Raw data'!E39=""),"",'Raw data'!E39)</f>
        <v>95</v>
      </c>
      <c r="E39" s="41" t="n">
        <f aca="false">IF(OR($A39="",'Raw data'!Q39=""),"",'Raw data'!Q39)</f>
        <v>5.7</v>
      </c>
      <c r="F39" s="48" t="str">
        <f aca="false">IF($A39="","",IF(ISNUMBER('Raw data'!G39),'Raw data'!G39*100,""))</f>
        <v/>
      </c>
      <c r="G39" s="48" t="n">
        <f aca="false">IF($A39="","",IF(ISNUMBER('Raw data'!H39),'Raw data'!H39*100,""))</f>
        <v>8.45539194122689</v>
      </c>
      <c r="H39" s="48" t="n">
        <f aca="false">IF($A39="","",IF(ISNUMBER('Raw data'!I39),'Raw data'!I39*100,""))</f>
        <v>2.75274473643183</v>
      </c>
      <c r="I39" s="48" t="n">
        <f aca="false">IF($A39="","",IF(ISNUMBER('Raw data'!R39),'Raw data'!R39*100,""))</f>
        <v>7</v>
      </c>
      <c r="J39" s="48" t="n">
        <f aca="false">IF($A39="","",IF(ISNUMBER('Raw data'!S39),'Raw data'!S39*100,""))</f>
        <v>5.5</v>
      </c>
      <c r="K39" s="48" t="n">
        <f aca="false">IF($A39="","",IF(ISNUMBER('Raw data'!T39),'Raw data'!T39*100,""))</f>
        <v>5.5</v>
      </c>
      <c r="L39" s="48" t="n">
        <f aca="false">IF($A39="","",IF('Raw data'!V39&lt;&gt;"",'Raw data'!V39*100,IF(AND(N('Raw data'!E39)&gt;0,'Raw data'!Q39&lt;&gt;""),'Raw data'!Q39*(1+N('Raw data'!S39))/('Raw data'!E39*(1+N('Raw data'!H39)))*100,"")))</f>
        <v>5.83650096754092</v>
      </c>
      <c r="M39" s="48" t="n">
        <f aca="false">IF($A39="","",IF('Raw data'!U39&lt;&gt;"",'Raw data'!U39*100,IF(AND(N('Raw data'!E39)&gt;0,'Raw data'!Q39&lt;&gt;""),'Raw data'!Q39/'Raw data'!E39*100,"")))</f>
        <v>6</v>
      </c>
      <c r="N39" s="49" t="n">
        <f aca="false">IF($A39="","",IF('Raw data'!AA39&lt;&gt;"",'Raw data'!AA39,IF('Raw data'!W39="","",IF('Scoring rules'!$C$5="Lower is better",5-COUNTIF('Scoring rules'!$D$5:$G$5,"&lt;="&amp;'Raw data'!W39),1+COUNTIF('Scoring rules'!$D$5:$G$5,"&lt;="&amp;'Raw data'!W39)))))</f>
        <v>3</v>
      </c>
      <c r="O39" s="49" t="n">
        <f aca="false">IF($A39="","",IF('Raw data'!AB39&lt;&gt;"",'Raw data'!AB39,IF('Raw data'!X39="","",IF('Scoring rules'!$C$6="Lower is better",5-COUNTIF('Scoring rules'!$D$6:$G$6,"&lt;="&amp;'Raw data'!X39),1+COUNTIF('Scoring rules'!$D$6:$G$6,"&lt;="&amp;'Raw data'!X39)))))</f>
        <v>3</v>
      </c>
      <c r="P39" s="49" t="n">
        <f aca="false">IF($A39="","",IF('Raw data'!AC39&lt;&gt;"",'Raw data'!AC39,IF('Raw data'!Y39="","",IF('Scoring rules'!$C$7="Lower is better",5-COUNTIF('Scoring rules'!$D$7:$G$7,"&lt;="&amp;'Raw data'!Y39),1+COUNTIF('Scoring rules'!$D$7:$G$7,"&lt;="&amp;'Raw data'!Y39)))))</f>
        <v>3</v>
      </c>
      <c r="Q39" s="49" t="n">
        <f aca="false">IF($A39="","",IF('Raw data'!AD39&lt;&gt;"",'Raw data'!AD39,IF('Raw data'!Z39="","",IF('Scoring rules'!$C$8="Lower is better",5-COUNTIF('Scoring rules'!$D$8:$G$8,"&lt;="&amp;'Raw data'!Z39),1+COUNTIF('Scoring rules'!$D$8:$G$8,"&lt;="&amp;'Raw data'!Z39)))))</f>
        <v>4</v>
      </c>
      <c r="R39" s="49" t="str">
        <f aca="false">IF($A39="","",IF(ISNUMBER('Raw data'!J39),'Raw data'!J39*100,""))</f>
        <v/>
      </c>
      <c r="S39" s="48" t="str">
        <f aca="false">IF($A39="","",IF(ISNUMBER('Raw data'!K39),'Raw data'!K39*100,""))</f>
        <v/>
      </c>
      <c r="T39" s="48" t="str">
        <f aca="false">IF($A39="","",IF(ISNUMBER('Raw data'!L39),'Raw data'!L39*100,""))</f>
        <v/>
      </c>
      <c r="U39" s="48" t="str">
        <f aca="false">IF($A39="","",IF(ISNUMBER('Raw data'!M39),'Raw data'!M39*100,""))</f>
        <v/>
      </c>
      <c r="V39" s="48" t="str">
        <f aca="false">IF($A39="","",IF(ISNUMBER('Raw data'!N39),'Raw data'!N39*100,""))</f>
        <v/>
      </c>
      <c r="W39" s="48" t="str">
        <f aca="false">IF($A39="","",IF(ISNUMBER('Raw data'!O39),'Raw data'!O39*100,""))</f>
        <v/>
      </c>
      <c r="X39" s="48" t="str">
        <f aca="false">IF($A39="","",IF(ISNUMBER('Raw data'!P39),'Raw data'!P39*100,""))</f>
        <v/>
      </c>
      <c r="Y39" s="50" t="str">
        <f aca="false">IF($A39="","",IF(AND(ISNUMBER('Raw data'!J39),ISNUMBER('Raw data'!H39),ISNUMBER('Raw data'!L39),ISNUMBER('Raw data'!O39)),ROUND(('Raw data'!J39*'Raw data'!L39+(1-'Raw data'!J39)*'Raw data'!O39-'Raw data'!H39)*100,1),""))</f>
        <v/>
      </c>
    </row>
    <row r="40" customFormat="false" ht="15" hidden="false" customHeight="false" outlineLevel="0" collapsed="false">
      <c r="A40" s="40" t="str">
        <f aca="false">IF(TRIM('Raw data'!A40)="","",TRIM('Raw data'!A40))</f>
        <v/>
      </c>
      <c r="B40" s="40" t="str">
        <f aca="false">IF($A40="","",IF('Raw data'!B40="",UPPER(LEFT($A40,3)),'Raw data'!B40))</f>
        <v/>
      </c>
      <c r="C40" s="40" t="str">
        <f aca="false">IF($A40="","",'Raw data'!C40)</f>
        <v/>
      </c>
      <c r="D40" s="41" t="str">
        <f aca="false">IF(OR($A40="",'Raw data'!E40=""),"",'Raw data'!E40)</f>
        <v/>
      </c>
      <c r="E40" s="41" t="str">
        <f aca="false">IF(OR($A40="",'Raw data'!Q40=""),"",'Raw data'!Q40)</f>
        <v/>
      </c>
      <c r="F40" s="48" t="str">
        <f aca="false">IF($A40="","",IF(ISNUMBER('Raw data'!G40),'Raw data'!G40*100,""))</f>
        <v/>
      </c>
      <c r="G40" s="48" t="str">
        <f aca="false">IF($A40="","",IF(ISNUMBER('Raw data'!H40),'Raw data'!H40*100,""))</f>
        <v/>
      </c>
      <c r="H40" s="48" t="str">
        <f aca="false">IF($A40="","",IF(ISNUMBER('Raw data'!I40),'Raw data'!I40*100,""))</f>
        <v/>
      </c>
      <c r="I40" s="48" t="str">
        <f aca="false">IF($A40="","",IF(ISNUMBER('Raw data'!R40),'Raw data'!R40*100,""))</f>
        <v/>
      </c>
      <c r="J40" s="48" t="str">
        <f aca="false">IF($A40="","",IF(ISNUMBER('Raw data'!S40),'Raw data'!S40*100,""))</f>
        <v/>
      </c>
      <c r="K40" s="48" t="str">
        <f aca="false">IF($A40="","",IF(ISNUMBER('Raw data'!T40),'Raw data'!T40*100,""))</f>
        <v/>
      </c>
      <c r="L40" s="48" t="str">
        <f aca="false">IF($A40="","",IF('Raw data'!V40&lt;&gt;"",'Raw data'!V40*100,IF(AND(N('Raw data'!E40)&gt;0,'Raw data'!Q40&lt;&gt;""),'Raw data'!Q40*(1+N('Raw data'!S40))/('Raw data'!E40*(1+N('Raw data'!H40)))*100,"")))</f>
        <v/>
      </c>
      <c r="M40" s="48" t="str">
        <f aca="false">IF($A40="","",IF('Raw data'!U40&lt;&gt;"",'Raw data'!U40*100,IF(AND(N('Raw data'!E40)&gt;0,'Raw data'!Q40&lt;&gt;""),'Raw data'!Q40/'Raw data'!E40*100,"")))</f>
        <v/>
      </c>
      <c r="N40" s="49" t="str">
        <f aca="false">IF($A40="","",IF('Raw data'!AA40&lt;&gt;"",'Raw data'!AA40,IF('Raw data'!W40="","",IF('Scoring rules'!$C$5="Lower is better",5-COUNTIF('Scoring rules'!$D$5:$G$5,"&lt;="&amp;'Raw data'!W40),1+COUNTIF('Scoring rules'!$D$5:$G$5,"&lt;="&amp;'Raw data'!W40)))))</f>
        <v/>
      </c>
      <c r="O40" s="49" t="str">
        <f aca="false">IF($A40="","",IF('Raw data'!AB40&lt;&gt;"",'Raw data'!AB40,IF('Raw data'!X40="","",IF('Scoring rules'!$C$6="Lower is better",5-COUNTIF('Scoring rules'!$D$6:$G$6,"&lt;="&amp;'Raw data'!X40),1+COUNTIF('Scoring rules'!$D$6:$G$6,"&lt;="&amp;'Raw data'!X40)))))</f>
        <v/>
      </c>
      <c r="P40" s="49" t="str">
        <f aca="false">IF($A40="","",IF('Raw data'!AC40&lt;&gt;"",'Raw data'!AC40,IF('Raw data'!Y40="","",IF('Scoring rules'!$C$7="Lower is better",5-COUNTIF('Scoring rules'!$D$7:$G$7,"&lt;="&amp;'Raw data'!Y40),1+COUNTIF('Scoring rules'!$D$7:$G$7,"&lt;="&amp;'Raw data'!Y40)))))</f>
        <v/>
      </c>
      <c r="Q40" s="49" t="str">
        <f aca="false">IF($A40="","",IF('Raw data'!AD40&lt;&gt;"",'Raw data'!AD40,IF('Raw data'!Z40="","",IF('Scoring rules'!$C$8="Lower is better",5-COUNTIF('Scoring rules'!$D$8:$G$8,"&lt;="&amp;'Raw data'!Z40),1+COUNTIF('Scoring rules'!$D$8:$G$8,"&lt;="&amp;'Raw data'!Z40)))))</f>
        <v/>
      </c>
      <c r="R40" s="49" t="str">
        <f aca="false">IF($A40="","",IF(ISNUMBER('Raw data'!J40),'Raw data'!J40*100,""))</f>
        <v/>
      </c>
      <c r="S40" s="48" t="str">
        <f aca="false">IF($A40="","",IF(ISNUMBER('Raw data'!K40),'Raw data'!K40*100,""))</f>
        <v/>
      </c>
      <c r="T40" s="48" t="str">
        <f aca="false">IF($A40="","",IF(ISNUMBER('Raw data'!L40),'Raw data'!L40*100,""))</f>
        <v/>
      </c>
      <c r="U40" s="48" t="str">
        <f aca="false">IF($A40="","",IF(ISNUMBER('Raw data'!M40),'Raw data'!M40*100,""))</f>
        <v/>
      </c>
      <c r="V40" s="48" t="str">
        <f aca="false">IF($A40="","",IF(ISNUMBER('Raw data'!N40),'Raw data'!N40*100,""))</f>
        <v/>
      </c>
      <c r="W40" s="48" t="str">
        <f aca="false">IF($A40="","",IF(ISNUMBER('Raw data'!O40),'Raw data'!O40*100,""))</f>
        <v/>
      </c>
      <c r="X40" s="48" t="str">
        <f aca="false">IF($A40="","",IF(ISNUMBER('Raw data'!P40),'Raw data'!P40*100,""))</f>
        <v/>
      </c>
      <c r="Y40" s="50" t="str">
        <f aca="false">IF($A40="","",IF(AND(ISNUMBER('Raw data'!J40),ISNUMBER('Raw data'!H40),ISNUMBER('Raw data'!L40),ISNUMBER('Raw data'!O40)),ROUND(('Raw data'!J40*'Raw data'!L40+(1-'Raw data'!J40)*'Raw data'!O40-'Raw data'!H40)*100,1),""))</f>
        <v/>
      </c>
    </row>
    <row r="41" customFormat="false" ht="15" hidden="false" customHeight="false" outlineLevel="0" collapsed="false">
      <c r="A41" s="40" t="str">
        <f aca="false">IF(TRIM('Raw data'!A41)="","",TRIM('Raw data'!A41))</f>
        <v/>
      </c>
      <c r="B41" s="40" t="str">
        <f aca="false">IF($A41="","",IF('Raw data'!B41="",UPPER(LEFT($A41,3)),'Raw data'!B41))</f>
        <v/>
      </c>
      <c r="C41" s="40" t="str">
        <f aca="false">IF($A41="","",'Raw data'!C41)</f>
        <v/>
      </c>
      <c r="D41" s="41" t="str">
        <f aca="false">IF(OR($A41="",'Raw data'!E41=""),"",'Raw data'!E41)</f>
        <v/>
      </c>
      <c r="E41" s="41" t="str">
        <f aca="false">IF(OR($A41="",'Raw data'!Q41=""),"",'Raw data'!Q41)</f>
        <v/>
      </c>
      <c r="F41" s="48" t="str">
        <f aca="false">IF($A41="","",IF(ISNUMBER('Raw data'!G41),'Raw data'!G41*100,""))</f>
        <v/>
      </c>
      <c r="G41" s="48" t="str">
        <f aca="false">IF($A41="","",IF(ISNUMBER('Raw data'!H41),'Raw data'!H41*100,""))</f>
        <v/>
      </c>
      <c r="H41" s="48" t="str">
        <f aca="false">IF($A41="","",IF(ISNUMBER('Raw data'!I41),'Raw data'!I41*100,""))</f>
        <v/>
      </c>
      <c r="I41" s="48" t="str">
        <f aca="false">IF($A41="","",IF(ISNUMBER('Raw data'!R41),'Raw data'!R41*100,""))</f>
        <v/>
      </c>
      <c r="J41" s="48" t="str">
        <f aca="false">IF($A41="","",IF(ISNUMBER('Raw data'!S41),'Raw data'!S41*100,""))</f>
        <v/>
      </c>
      <c r="K41" s="48" t="str">
        <f aca="false">IF($A41="","",IF(ISNUMBER('Raw data'!T41),'Raw data'!T41*100,""))</f>
        <v/>
      </c>
      <c r="L41" s="48" t="str">
        <f aca="false">IF($A41="","",IF('Raw data'!V41&lt;&gt;"",'Raw data'!V41*100,IF(AND(N('Raw data'!E41)&gt;0,'Raw data'!Q41&lt;&gt;""),'Raw data'!Q41*(1+N('Raw data'!S41))/('Raw data'!E41*(1+N('Raw data'!H41)))*100,"")))</f>
        <v/>
      </c>
      <c r="M41" s="48" t="str">
        <f aca="false">IF($A41="","",IF('Raw data'!U41&lt;&gt;"",'Raw data'!U41*100,IF(AND(N('Raw data'!E41)&gt;0,'Raw data'!Q41&lt;&gt;""),'Raw data'!Q41/'Raw data'!E41*100,"")))</f>
        <v/>
      </c>
      <c r="N41" s="49" t="str">
        <f aca="false">IF($A41="","",IF('Raw data'!AA41&lt;&gt;"",'Raw data'!AA41,IF('Raw data'!W41="","",IF('Scoring rules'!$C$5="Lower is better",5-COUNTIF('Scoring rules'!$D$5:$G$5,"&lt;="&amp;'Raw data'!W41),1+COUNTIF('Scoring rules'!$D$5:$G$5,"&lt;="&amp;'Raw data'!W41)))))</f>
        <v/>
      </c>
      <c r="O41" s="49" t="str">
        <f aca="false">IF($A41="","",IF('Raw data'!AB41&lt;&gt;"",'Raw data'!AB41,IF('Raw data'!X41="","",IF('Scoring rules'!$C$6="Lower is better",5-COUNTIF('Scoring rules'!$D$6:$G$6,"&lt;="&amp;'Raw data'!X41),1+COUNTIF('Scoring rules'!$D$6:$G$6,"&lt;="&amp;'Raw data'!X41)))))</f>
        <v/>
      </c>
      <c r="P41" s="49" t="str">
        <f aca="false">IF($A41="","",IF('Raw data'!AC41&lt;&gt;"",'Raw data'!AC41,IF('Raw data'!Y41="","",IF('Scoring rules'!$C$7="Lower is better",5-COUNTIF('Scoring rules'!$D$7:$G$7,"&lt;="&amp;'Raw data'!Y41),1+COUNTIF('Scoring rules'!$D$7:$G$7,"&lt;="&amp;'Raw data'!Y41)))))</f>
        <v/>
      </c>
      <c r="Q41" s="49" t="str">
        <f aca="false">IF($A41="","",IF('Raw data'!AD41&lt;&gt;"",'Raw data'!AD41,IF('Raw data'!Z41="","",IF('Scoring rules'!$C$8="Lower is better",5-COUNTIF('Scoring rules'!$D$8:$G$8,"&lt;="&amp;'Raw data'!Z41),1+COUNTIF('Scoring rules'!$D$8:$G$8,"&lt;="&amp;'Raw data'!Z41)))))</f>
        <v/>
      </c>
      <c r="R41" s="49" t="str">
        <f aca="false">IF($A41="","",IF(ISNUMBER('Raw data'!J41),'Raw data'!J41*100,""))</f>
        <v/>
      </c>
      <c r="S41" s="48" t="str">
        <f aca="false">IF($A41="","",IF(ISNUMBER('Raw data'!K41),'Raw data'!K41*100,""))</f>
        <v/>
      </c>
      <c r="T41" s="48" t="str">
        <f aca="false">IF($A41="","",IF(ISNUMBER('Raw data'!L41),'Raw data'!L41*100,""))</f>
        <v/>
      </c>
      <c r="U41" s="48" t="str">
        <f aca="false">IF($A41="","",IF(ISNUMBER('Raw data'!M41),'Raw data'!M41*100,""))</f>
        <v/>
      </c>
      <c r="V41" s="48" t="str">
        <f aca="false">IF($A41="","",IF(ISNUMBER('Raw data'!N41),'Raw data'!N41*100,""))</f>
        <v/>
      </c>
      <c r="W41" s="48" t="str">
        <f aca="false">IF($A41="","",IF(ISNUMBER('Raw data'!O41),'Raw data'!O41*100,""))</f>
        <v/>
      </c>
      <c r="X41" s="48" t="str">
        <f aca="false">IF($A41="","",IF(ISNUMBER('Raw data'!P41),'Raw data'!P41*100,""))</f>
        <v/>
      </c>
      <c r="Y41" s="50" t="str">
        <f aca="false">IF($A41="","",IF(AND(ISNUMBER('Raw data'!J41),ISNUMBER('Raw data'!H41),ISNUMBER('Raw data'!L41),ISNUMBER('Raw data'!O41)),ROUND(('Raw data'!J41*'Raw data'!L41+(1-'Raw data'!J41)*'Raw data'!O41-'Raw data'!H41)*100,1),""))</f>
        <v/>
      </c>
    </row>
    <row r="42" customFormat="false" ht="15" hidden="false" customHeight="false" outlineLevel="0" collapsed="false">
      <c r="A42" s="40" t="str">
        <f aca="false">IF(TRIM('Raw data'!A42)="","",TRIM('Raw data'!A42))</f>
        <v/>
      </c>
      <c r="B42" s="40" t="str">
        <f aca="false">IF($A42="","",IF('Raw data'!B42="",UPPER(LEFT($A42,3)),'Raw data'!B42))</f>
        <v/>
      </c>
      <c r="C42" s="40" t="str">
        <f aca="false">IF($A42="","",'Raw data'!C42)</f>
        <v/>
      </c>
      <c r="D42" s="41" t="str">
        <f aca="false">IF(OR($A42="",'Raw data'!E42=""),"",'Raw data'!E42)</f>
        <v/>
      </c>
      <c r="E42" s="41" t="str">
        <f aca="false">IF(OR($A42="",'Raw data'!Q42=""),"",'Raw data'!Q42)</f>
        <v/>
      </c>
      <c r="F42" s="48" t="str">
        <f aca="false">IF($A42="","",IF(ISNUMBER('Raw data'!G42),'Raw data'!G42*100,""))</f>
        <v/>
      </c>
      <c r="G42" s="48" t="str">
        <f aca="false">IF($A42="","",IF(ISNUMBER('Raw data'!H42),'Raw data'!H42*100,""))</f>
        <v/>
      </c>
      <c r="H42" s="48" t="str">
        <f aca="false">IF($A42="","",IF(ISNUMBER('Raw data'!I42),'Raw data'!I42*100,""))</f>
        <v/>
      </c>
      <c r="I42" s="48" t="str">
        <f aca="false">IF($A42="","",IF(ISNUMBER('Raw data'!R42),'Raw data'!R42*100,""))</f>
        <v/>
      </c>
      <c r="J42" s="48" t="str">
        <f aca="false">IF($A42="","",IF(ISNUMBER('Raw data'!S42),'Raw data'!S42*100,""))</f>
        <v/>
      </c>
      <c r="K42" s="48" t="str">
        <f aca="false">IF($A42="","",IF(ISNUMBER('Raw data'!T42),'Raw data'!T42*100,""))</f>
        <v/>
      </c>
      <c r="L42" s="48" t="str">
        <f aca="false">IF($A42="","",IF('Raw data'!V42&lt;&gt;"",'Raw data'!V42*100,IF(AND(N('Raw data'!E42)&gt;0,'Raw data'!Q42&lt;&gt;""),'Raw data'!Q42*(1+N('Raw data'!S42))/('Raw data'!E42*(1+N('Raw data'!H42)))*100,"")))</f>
        <v/>
      </c>
      <c r="M42" s="48" t="str">
        <f aca="false">IF($A42="","",IF('Raw data'!U42&lt;&gt;"",'Raw data'!U42*100,IF(AND(N('Raw data'!E42)&gt;0,'Raw data'!Q42&lt;&gt;""),'Raw data'!Q42/'Raw data'!E42*100,"")))</f>
        <v/>
      </c>
      <c r="N42" s="49" t="str">
        <f aca="false">IF($A42="","",IF('Raw data'!AA42&lt;&gt;"",'Raw data'!AA42,IF('Raw data'!W42="","",IF('Scoring rules'!$C$5="Lower is better",5-COUNTIF('Scoring rules'!$D$5:$G$5,"&lt;="&amp;'Raw data'!W42),1+COUNTIF('Scoring rules'!$D$5:$G$5,"&lt;="&amp;'Raw data'!W42)))))</f>
        <v/>
      </c>
      <c r="O42" s="49" t="str">
        <f aca="false">IF($A42="","",IF('Raw data'!AB42&lt;&gt;"",'Raw data'!AB42,IF('Raw data'!X42="","",IF('Scoring rules'!$C$6="Lower is better",5-COUNTIF('Scoring rules'!$D$6:$G$6,"&lt;="&amp;'Raw data'!X42),1+COUNTIF('Scoring rules'!$D$6:$G$6,"&lt;="&amp;'Raw data'!X42)))))</f>
        <v/>
      </c>
      <c r="P42" s="49" t="str">
        <f aca="false">IF($A42="","",IF('Raw data'!AC42&lt;&gt;"",'Raw data'!AC42,IF('Raw data'!Y42="","",IF('Scoring rules'!$C$7="Lower is better",5-COUNTIF('Scoring rules'!$D$7:$G$7,"&lt;="&amp;'Raw data'!Y42),1+COUNTIF('Scoring rules'!$D$7:$G$7,"&lt;="&amp;'Raw data'!Y42)))))</f>
        <v/>
      </c>
      <c r="Q42" s="49" t="str">
        <f aca="false">IF($A42="","",IF('Raw data'!AD42&lt;&gt;"",'Raw data'!AD42,IF('Raw data'!Z42="","",IF('Scoring rules'!$C$8="Lower is better",5-COUNTIF('Scoring rules'!$D$8:$G$8,"&lt;="&amp;'Raw data'!Z42),1+COUNTIF('Scoring rules'!$D$8:$G$8,"&lt;="&amp;'Raw data'!Z42)))))</f>
        <v/>
      </c>
      <c r="R42" s="49" t="str">
        <f aca="false">IF($A42="","",IF(ISNUMBER('Raw data'!J42),'Raw data'!J42*100,""))</f>
        <v/>
      </c>
      <c r="S42" s="48" t="str">
        <f aca="false">IF($A42="","",IF(ISNUMBER('Raw data'!K42),'Raw data'!K42*100,""))</f>
        <v/>
      </c>
      <c r="T42" s="48" t="str">
        <f aca="false">IF($A42="","",IF(ISNUMBER('Raw data'!L42),'Raw data'!L42*100,""))</f>
        <v/>
      </c>
      <c r="U42" s="48" t="str">
        <f aca="false">IF($A42="","",IF(ISNUMBER('Raw data'!M42),'Raw data'!M42*100,""))</f>
        <v/>
      </c>
      <c r="V42" s="48" t="str">
        <f aca="false">IF($A42="","",IF(ISNUMBER('Raw data'!N42),'Raw data'!N42*100,""))</f>
        <v/>
      </c>
      <c r="W42" s="48" t="str">
        <f aca="false">IF($A42="","",IF(ISNUMBER('Raw data'!O42),'Raw data'!O42*100,""))</f>
        <v/>
      </c>
      <c r="X42" s="48" t="str">
        <f aca="false">IF($A42="","",IF(ISNUMBER('Raw data'!P42),'Raw data'!P42*100,""))</f>
        <v/>
      </c>
      <c r="Y42" s="50" t="str">
        <f aca="false">IF($A42="","",IF(AND(ISNUMBER('Raw data'!J42),ISNUMBER('Raw data'!H42),ISNUMBER('Raw data'!L42),ISNUMBER('Raw data'!O42)),ROUND(('Raw data'!J42*'Raw data'!L42+(1-'Raw data'!J42)*'Raw data'!O42-'Raw data'!H42)*100,1),""))</f>
        <v/>
      </c>
    </row>
    <row r="43" customFormat="false" ht="15" hidden="false" customHeight="false" outlineLevel="0" collapsed="false">
      <c r="A43" s="40" t="str">
        <f aca="false">IF(TRIM('Raw data'!A43)="","",TRIM('Raw data'!A43))</f>
        <v/>
      </c>
      <c r="B43" s="40" t="str">
        <f aca="false">IF($A43="","",IF('Raw data'!B43="",UPPER(LEFT($A43,3)),'Raw data'!B43))</f>
        <v/>
      </c>
      <c r="C43" s="40" t="str">
        <f aca="false">IF($A43="","",'Raw data'!C43)</f>
        <v/>
      </c>
      <c r="D43" s="41" t="str">
        <f aca="false">IF(OR($A43="",'Raw data'!E43=""),"",'Raw data'!E43)</f>
        <v/>
      </c>
      <c r="E43" s="41" t="str">
        <f aca="false">IF(OR($A43="",'Raw data'!Q43=""),"",'Raw data'!Q43)</f>
        <v/>
      </c>
      <c r="F43" s="48" t="str">
        <f aca="false">IF($A43="","",IF(ISNUMBER('Raw data'!G43),'Raw data'!G43*100,""))</f>
        <v/>
      </c>
      <c r="G43" s="48" t="str">
        <f aca="false">IF($A43="","",IF(ISNUMBER('Raw data'!H43),'Raw data'!H43*100,""))</f>
        <v/>
      </c>
      <c r="H43" s="48" t="str">
        <f aca="false">IF($A43="","",IF(ISNUMBER('Raw data'!I43),'Raw data'!I43*100,""))</f>
        <v/>
      </c>
      <c r="I43" s="48" t="str">
        <f aca="false">IF($A43="","",IF(ISNUMBER('Raw data'!R43),'Raw data'!R43*100,""))</f>
        <v/>
      </c>
      <c r="J43" s="48" t="str">
        <f aca="false">IF($A43="","",IF(ISNUMBER('Raw data'!S43),'Raw data'!S43*100,""))</f>
        <v/>
      </c>
      <c r="K43" s="48" t="str">
        <f aca="false">IF($A43="","",IF(ISNUMBER('Raw data'!T43),'Raw data'!T43*100,""))</f>
        <v/>
      </c>
      <c r="L43" s="48" t="str">
        <f aca="false">IF($A43="","",IF('Raw data'!V43&lt;&gt;"",'Raw data'!V43*100,IF(AND(N('Raw data'!E43)&gt;0,'Raw data'!Q43&lt;&gt;""),'Raw data'!Q43*(1+N('Raw data'!S43))/('Raw data'!E43*(1+N('Raw data'!H43)))*100,"")))</f>
        <v/>
      </c>
      <c r="M43" s="48" t="str">
        <f aca="false">IF($A43="","",IF('Raw data'!U43&lt;&gt;"",'Raw data'!U43*100,IF(AND(N('Raw data'!E43)&gt;0,'Raw data'!Q43&lt;&gt;""),'Raw data'!Q43/'Raw data'!E43*100,"")))</f>
        <v/>
      </c>
      <c r="N43" s="49" t="str">
        <f aca="false">IF($A43="","",IF('Raw data'!AA43&lt;&gt;"",'Raw data'!AA43,IF('Raw data'!W43="","",IF('Scoring rules'!$C$5="Lower is better",5-COUNTIF('Scoring rules'!$D$5:$G$5,"&lt;="&amp;'Raw data'!W43),1+COUNTIF('Scoring rules'!$D$5:$G$5,"&lt;="&amp;'Raw data'!W43)))))</f>
        <v/>
      </c>
      <c r="O43" s="49" t="str">
        <f aca="false">IF($A43="","",IF('Raw data'!AB43&lt;&gt;"",'Raw data'!AB43,IF('Raw data'!X43="","",IF('Scoring rules'!$C$6="Lower is better",5-COUNTIF('Scoring rules'!$D$6:$G$6,"&lt;="&amp;'Raw data'!X43),1+COUNTIF('Scoring rules'!$D$6:$G$6,"&lt;="&amp;'Raw data'!X43)))))</f>
        <v/>
      </c>
      <c r="P43" s="49" t="str">
        <f aca="false">IF($A43="","",IF('Raw data'!AC43&lt;&gt;"",'Raw data'!AC43,IF('Raw data'!Y43="","",IF('Scoring rules'!$C$7="Lower is better",5-COUNTIF('Scoring rules'!$D$7:$G$7,"&lt;="&amp;'Raw data'!Y43),1+COUNTIF('Scoring rules'!$D$7:$G$7,"&lt;="&amp;'Raw data'!Y43)))))</f>
        <v/>
      </c>
      <c r="Q43" s="49" t="str">
        <f aca="false">IF($A43="","",IF('Raw data'!AD43&lt;&gt;"",'Raw data'!AD43,IF('Raw data'!Z43="","",IF('Scoring rules'!$C$8="Lower is better",5-COUNTIF('Scoring rules'!$D$8:$G$8,"&lt;="&amp;'Raw data'!Z43),1+COUNTIF('Scoring rules'!$D$8:$G$8,"&lt;="&amp;'Raw data'!Z43)))))</f>
        <v/>
      </c>
      <c r="R43" s="49" t="str">
        <f aca="false">IF($A43="","",IF(ISNUMBER('Raw data'!J43),'Raw data'!J43*100,""))</f>
        <v/>
      </c>
      <c r="S43" s="48" t="str">
        <f aca="false">IF($A43="","",IF(ISNUMBER('Raw data'!K43),'Raw data'!K43*100,""))</f>
        <v/>
      </c>
      <c r="T43" s="48" t="str">
        <f aca="false">IF($A43="","",IF(ISNUMBER('Raw data'!L43),'Raw data'!L43*100,""))</f>
        <v/>
      </c>
      <c r="U43" s="48" t="str">
        <f aca="false">IF($A43="","",IF(ISNUMBER('Raw data'!M43),'Raw data'!M43*100,""))</f>
        <v/>
      </c>
      <c r="V43" s="48" t="str">
        <f aca="false">IF($A43="","",IF(ISNUMBER('Raw data'!N43),'Raw data'!N43*100,""))</f>
        <v/>
      </c>
      <c r="W43" s="48" t="str">
        <f aca="false">IF($A43="","",IF(ISNUMBER('Raw data'!O43),'Raw data'!O43*100,""))</f>
        <v/>
      </c>
      <c r="X43" s="48" t="str">
        <f aca="false">IF($A43="","",IF(ISNUMBER('Raw data'!P43),'Raw data'!P43*100,""))</f>
        <v/>
      </c>
      <c r="Y43" s="50" t="str">
        <f aca="false">IF($A43="","",IF(AND(ISNUMBER('Raw data'!J43),ISNUMBER('Raw data'!H43),ISNUMBER('Raw data'!L43),ISNUMBER('Raw data'!O43)),ROUND(('Raw data'!J43*'Raw data'!L43+(1-'Raw data'!J43)*'Raw data'!O43-'Raw data'!H43)*100,1),""))</f>
        <v/>
      </c>
    </row>
    <row r="44" customFormat="false" ht="15" hidden="false" customHeight="false" outlineLevel="0" collapsed="false">
      <c r="A44" s="40" t="str">
        <f aca="false">IF(TRIM('Raw data'!A44)="","",TRIM('Raw data'!A44))</f>
        <v/>
      </c>
      <c r="B44" s="40" t="str">
        <f aca="false">IF($A44="","",IF('Raw data'!B44="",UPPER(LEFT($A44,3)),'Raw data'!B44))</f>
        <v/>
      </c>
      <c r="C44" s="40" t="str">
        <f aca="false">IF($A44="","",'Raw data'!C44)</f>
        <v/>
      </c>
      <c r="D44" s="41" t="str">
        <f aca="false">IF(OR($A44="",'Raw data'!E44=""),"",'Raw data'!E44)</f>
        <v/>
      </c>
      <c r="E44" s="41" t="str">
        <f aca="false">IF(OR($A44="",'Raw data'!Q44=""),"",'Raw data'!Q44)</f>
        <v/>
      </c>
      <c r="F44" s="48" t="str">
        <f aca="false">IF($A44="","",IF(ISNUMBER('Raw data'!G44),'Raw data'!G44*100,""))</f>
        <v/>
      </c>
      <c r="G44" s="48" t="str">
        <f aca="false">IF($A44="","",IF(ISNUMBER('Raw data'!H44),'Raw data'!H44*100,""))</f>
        <v/>
      </c>
      <c r="H44" s="48" t="str">
        <f aca="false">IF($A44="","",IF(ISNUMBER('Raw data'!I44),'Raw data'!I44*100,""))</f>
        <v/>
      </c>
      <c r="I44" s="48" t="str">
        <f aca="false">IF($A44="","",IF(ISNUMBER('Raw data'!R44),'Raw data'!R44*100,""))</f>
        <v/>
      </c>
      <c r="J44" s="48" t="str">
        <f aca="false">IF($A44="","",IF(ISNUMBER('Raw data'!S44),'Raw data'!S44*100,""))</f>
        <v/>
      </c>
      <c r="K44" s="48" t="str">
        <f aca="false">IF($A44="","",IF(ISNUMBER('Raw data'!T44),'Raw data'!T44*100,""))</f>
        <v/>
      </c>
      <c r="L44" s="48" t="str">
        <f aca="false">IF($A44="","",IF('Raw data'!V44&lt;&gt;"",'Raw data'!V44*100,IF(AND(N('Raw data'!E44)&gt;0,'Raw data'!Q44&lt;&gt;""),'Raw data'!Q44*(1+N('Raw data'!S44))/('Raw data'!E44*(1+N('Raw data'!H44)))*100,"")))</f>
        <v/>
      </c>
      <c r="M44" s="48" t="str">
        <f aca="false">IF($A44="","",IF('Raw data'!U44&lt;&gt;"",'Raw data'!U44*100,IF(AND(N('Raw data'!E44)&gt;0,'Raw data'!Q44&lt;&gt;""),'Raw data'!Q44/'Raw data'!E44*100,"")))</f>
        <v/>
      </c>
      <c r="N44" s="49" t="str">
        <f aca="false">IF($A44="","",IF('Raw data'!AA44&lt;&gt;"",'Raw data'!AA44,IF('Raw data'!W44="","",IF('Scoring rules'!$C$5="Lower is better",5-COUNTIF('Scoring rules'!$D$5:$G$5,"&lt;="&amp;'Raw data'!W44),1+COUNTIF('Scoring rules'!$D$5:$G$5,"&lt;="&amp;'Raw data'!W44)))))</f>
        <v/>
      </c>
      <c r="O44" s="49" t="str">
        <f aca="false">IF($A44="","",IF('Raw data'!AB44&lt;&gt;"",'Raw data'!AB44,IF('Raw data'!X44="","",IF('Scoring rules'!$C$6="Lower is better",5-COUNTIF('Scoring rules'!$D$6:$G$6,"&lt;="&amp;'Raw data'!X44),1+COUNTIF('Scoring rules'!$D$6:$G$6,"&lt;="&amp;'Raw data'!X44)))))</f>
        <v/>
      </c>
      <c r="P44" s="49" t="str">
        <f aca="false">IF($A44="","",IF('Raw data'!AC44&lt;&gt;"",'Raw data'!AC44,IF('Raw data'!Y44="","",IF('Scoring rules'!$C$7="Lower is better",5-COUNTIF('Scoring rules'!$D$7:$G$7,"&lt;="&amp;'Raw data'!Y44),1+COUNTIF('Scoring rules'!$D$7:$G$7,"&lt;="&amp;'Raw data'!Y44)))))</f>
        <v/>
      </c>
      <c r="Q44" s="49" t="str">
        <f aca="false">IF($A44="","",IF('Raw data'!AD44&lt;&gt;"",'Raw data'!AD44,IF('Raw data'!Z44="","",IF('Scoring rules'!$C$8="Lower is better",5-COUNTIF('Scoring rules'!$D$8:$G$8,"&lt;="&amp;'Raw data'!Z44),1+COUNTIF('Scoring rules'!$D$8:$G$8,"&lt;="&amp;'Raw data'!Z44)))))</f>
        <v/>
      </c>
      <c r="R44" s="49" t="str">
        <f aca="false">IF($A44="","",IF(ISNUMBER('Raw data'!J44),'Raw data'!J44*100,""))</f>
        <v/>
      </c>
      <c r="S44" s="48" t="str">
        <f aca="false">IF($A44="","",IF(ISNUMBER('Raw data'!K44),'Raw data'!K44*100,""))</f>
        <v/>
      </c>
      <c r="T44" s="48" t="str">
        <f aca="false">IF($A44="","",IF(ISNUMBER('Raw data'!L44),'Raw data'!L44*100,""))</f>
        <v/>
      </c>
      <c r="U44" s="48" t="str">
        <f aca="false">IF($A44="","",IF(ISNUMBER('Raw data'!M44),'Raw data'!M44*100,""))</f>
        <v/>
      </c>
      <c r="V44" s="48" t="str">
        <f aca="false">IF($A44="","",IF(ISNUMBER('Raw data'!N44),'Raw data'!N44*100,""))</f>
        <v/>
      </c>
      <c r="W44" s="48" t="str">
        <f aca="false">IF($A44="","",IF(ISNUMBER('Raw data'!O44),'Raw data'!O44*100,""))</f>
        <v/>
      </c>
      <c r="X44" s="48" t="str">
        <f aca="false">IF($A44="","",IF(ISNUMBER('Raw data'!P44),'Raw data'!P44*100,""))</f>
        <v/>
      </c>
      <c r="Y44" s="50" t="str">
        <f aca="false">IF($A44="","",IF(AND(ISNUMBER('Raw data'!J44),ISNUMBER('Raw data'!H44),ISNUMBER('Raw data'!L44),ISNUMBER('Raw data'!O44)),ROUND(('Raw data'!J44*'Raw data'!L44+(1-'Raw data'!J44)*'Raw data'!O44-'Raw data'!H44)*100,1),""))</f>
        <v/>
      </c>
    </row>
    <row r="45" customFormat="false" ht="15" hidden="false" customHeight="false" outlineLevel="0" collapsed="false">
      <c r="A45" s="40" t="str">
        <f aca="false">IF(TRIM('Raw data'!A45)="","",TRIM('Raw data'!A45))</f>
        <v/>
      </c>
      <c r="B45" s="40" t="str">
        <f aca="false">IF($A45="","",IF('Raw data'!B45="",UPPER(LEFT($A45,3)),'Raw data'!B45))</f>
        <v/>
      </c>
      <c r="C45" s="40" t="str">
        <f aca="false">IF($A45="","",'Raw data'!C45)</f>
        <v/>
      </c>
      <c r="D45" s="41" t="str">
        <f aca="false">IF(OR($A45="",'Raw data'!E45=""),"",'Raw data'!E45)</f>
        <v/>
      </c>
      <c r="E45" s="41" t="str">
        <f aca="false">IF(OR($A45="",'Raw data'!Q45=""),"",'Raw data'!Q45)</f>
        <v/>
      </c>
      <c r="F45" s="48" t="str">
        <f aca="false">IF($A45="","",IF(ISNUMBER('Raw data'!G45),'Raw data'!G45*100,""))</f>
        <v/>
      </c>
      <c r="G45" s="48" t="str">
        <f aca="false">IF($A45="","",IF(ISNUMBER('Raw data'!H45),'Raw data'!H45*100,""))</f>
        <v/>
      </c>
      <c r="H45" s="48" t="str">
        <f aca="false">IF($A45="","",IF(ISNUMBER('Raw data'!I45),'Raw data'!I45*100,""))</f>
        <v/>
      </c>
      <c r="I45" s="48" t="str">
        <f aca="false">IF($A45="","",IF(ISNUMBER('Raw data'!R45),'Raw data'!R45*100,""))</f>
        <v/>
      </c>
      <c r="J45" s="48" t="str">
        <f aca="false">IF($A45="","",IF(ISNUMBER('Raw data'!S45),'Raw data'!S45*100,""))</f>
        <v/>
      </c>
      <c r="K45" s="48" t="str">
        <f aca="false">IF($A45="","",IF(ISNUMBER('Raw data'!T45),'Raw data'!T45*100,""))</f>
        <v/>
      </c>
      <c r="L45" s="48" t="str">
        <f aca="false">IF($A45="","",IF('Raw data'!V45&lt;&gt;"",'Raw data'!V45*100,IF(AND(N('Raw data'!E45)&gt;0,'Raw data'!Q45&lt;&gt;""),'Raw data'!Q45*(1+N('Raw data'!S45))/('Raw data'!E45*(1+N('Raw data'!H45)))*100,"")))</f>
        <v/>
      </c>
      <c r="M45" s="48" t="str">
        <f aca="false">IF($A45="","",IF('Raw data'!U45&lt;&gt;"",'Raw data'!U45*100,IF(AND(N('Raw data'!E45)&gt;0,'Raw data'!Q45&lt;&gt;""),'Raw data'!Q45/'Raw data'!E45*100,"")))</f>
        <v/>
      </c>
      <c r="N45" s="49" t="str">
        <f aca="false">IF($A45="","",IF('Raw data'!AA45&lt;&gt;"",'Raw data'!AA45,IF('Raw data'!W45="","",IF('Scoring rules'!$C$5="Lower is better",5-COUNTIF('Scoring rules'!$D$5:$G$5,"&lt;="&amp;'Raw data'!W45),1+COUNTIF('Scoring rules'!$D$5:$G$5,"&lt;="&amp;'Raw data'!W45)))))</f>
        <v/>
      </c>
      <c r="O45" s="49" t="str">
        <f aca="false">IF($A45="","",IF('Raw data'!AB45&lt;&gt;"",'Raw data'!AB45,IF('Raw data'!X45="","",IF('Scoring rules'!$C$6="Lower is better",5-COUNTIF('Scoring rules'!$D$6:$G$6,"&lt;="&amp;'Raw data'!X45),1+COUNTIF('Scoring rules'!$D$6:$G$6,"&lt;="&amp;'Raw data'!X45)))))</f>
        <v/>
      </c>
      <c r="P45" s="49" t="str">
        <f aca="false">IF($A45="","",IF('Raw data'!AC45&lt;&gt;"",'Raw data'!AC45,IF('Raw data'!Y45="","",IF('Scoring rules'!$C$7="Lower is better",5-COUNTIF('Scoring rules'!$D$7:$G$7,"&lt;="&amp;'Raw data'!Y45),1+COUNTIF('Scoring rules'!$D$7:$G$7,"&lt;="&amp;'Raw data'!Y45)))))</f>
        <v/>
      </c>
      <c r="Q45" s="49" t="str">
        <f aca="false">IF($A45="","",IF('Raw data'!AD45&lt;&gt;"",'Raw data'!AD45,IF('Raw data'!Z45="","",IF('Scoring rules'!$C$8="Lower is better",5-COUNTIF('Scoring rules'!$D$8:$G$8,"&lt;="&amp;'Raw data'!Z45),1+COUNTIF('Scoring rules'!$D$8:$G$8,"&lt;="&amp;'Raw data'!Z45)))))</f>
        <v/>
      </c>
      <c r="R45" s="49" t="str">
        <f aca="false">IF($A45="","",IF(ISNUMBER('Raw data'!J45),'Raw data'!J45*100,""))</f>
        <v/>
      </c>
      <c r="S45" s="48" t="str">
        <f aca="false">IF($A45="","",IF(ISNUMBER('Raw data'!K45),'Raw data'!K45*100,""))</f>
        <v/>
      </c>
      <c r="T45" s="48" t="str">
        <f aca="false">IF($A45="","",IF(ISNUMBER('Raw data'!L45),'Raw data'!L45*100,""))</f>
        <v/>
      </c>
      <c r="U45" s="48" t="str">
        <f aca="false">IF($A45="","",IF(ISNUMBER('Raw data'!M45),'Raw data'!M45*100,""))</f>
        <v/>
      </c>
      <c r="V45" s="48" t="str">
        <f aca="false">IF($A45="","",IF(ISNUMBER('Raw data'!N45),'Raw data'!N45*100,""))</f>
        <v/>
      </c>
      <c r="W45" s="48" t="str">
        <f aca="false">IF($A45="","",IF(ISNUMBER('Raw data'!O45),'Raw data'!O45*100,""))</f>
        <v/>
      </c>
      <c r="X45" s="48" t="str">
        <f aca="false">IF($A45="","",IF(ISNUMBER('Raw data'!P45),'Raw data'!P45*100,""))</f>
        <v/>
      </c>
      <c r="Y45" s="50" t="str">
        <f aca="false">IF($A45="","",IF(AND(ISNUMBER('Raw data'!J45),ISNUMBER('Raw data'!H45),ISNUMBER('Raw data'!L45),ISNUMBER('Raw data'!O45)),ROUND(('Raw data'!J45*'Raw data'!L45+(1-'Raw data'!J45)*'Raw data'!O45-'Raw data'!H45)*100,1),""))</f>
        <v/>
      </c>
    </row>
    <row r="46" customFormat="false" ht="15" hidden="false" customHeight="false" outlineLevel="0" collapsed="false">
      <c r="A46" s="40" t="str">
        <f aca="false">IF(TRIM('Raw data'!A46)="","",TRIM('Raw data'!A46))</f>
        <v/>
      </c>
      <c r="B46" s="40" t="str">
        <f aca="false">IF($A46="","",IF('Raw data'!B46="",UPPER(LEFT($A46,3)),'Raw data'!B46))</f>
        <v/>
      </c>
      <c r="C46" s="40" t="str">
        <f aca="false">IF($A46="","",'Raw data'!C46)</f>
        <v/>
      </c>
      <c r="D46" s="41" t="str">
        <f aca="false">IF(OR($A46="",'Raw data'!E46=""),"",'Raw data'!E46)</f>
        <v/>
      </c>
      <c r="E46" s="41" t="str">
        <f aca="false">IF(OR($A46="",'Raw data'!Q46=""),"",'Raw data'!Q46)</f>
        <v/>
      </c>
      <c r="F46" s="48" t="str">
        <f aca="false">IF($A46="","",IF(ISNUMBER('Raw data'!G46),'Raw data'!G46*100,""))</f>
        <v/>
      </c>
      <c r="G46" s="48" t="str">
        <f aca="false">IF($A46="","",IF(ISNUMBER('Raw data'!H46),'Raw data'!H46*100,""))</f>
        <v/>
      </c>
      <c r="H46" s="48" t="str">
        <f aca="false">IF($A46="","",IF(ISNUMBER('Raw data'!I46),'Raw data'!I46*100,""))</f>
        <v/>
      </c>
      <c r="I46" s="48" t="str">
        <f aca="false">IF($A46="","",IF(ISNUMBER('Raw data'!R46),'Raw data'!R46*100,""))</f>
        <v/>
      </c>
      <c r="J46" s="48" t="str">
        <f aca="false">IF($A46="","",IF(ISNUMBER('Raw data'!S46),'Raw data'!S46*100,""))</f>
        <v/>
      </c>
      <c r="K46" s="48" t="str">
        <f aca="false">IF($A46="","",IF(ISNUMBER('Raw data'!T46),'Raw data'!T46*100,""))</f>
        <v/>
      </c>
      <c r="L46" s="48" t="str">
        <f aca="false">IF($A46="","",IF('Raw data'!V46&lt;&gt;"",'Raw data'!V46*100,IF(AND(N('Raw data'!E46)&gt;0,'Raw data'!Q46&lt;&gt;""),'Raw data'!Q46*(1+N('Raw data'!S46))/('Raw data'!E46*(1+N('Raw data'!H46)))*100,"")))</f>
        <v/>
      </c>
      <c r="M46" s="48" t="str">
        <f aca="false">IF($A46="","",IF('Raw data'!U46&lt;&gt;"",'Raw data'!U46*100,IF(AND(N('Raw data'!E46)&gt;0,'Raw data'!Q46&lt;&gt;""),'Raw data'!Q46/'Raw data'!E46*100,"")))</f>
        <v/>
      </c>
      <c r="N46" s="49" t="str">
        <f aca="false">IF($A46="","",IF('Raw data'!AA46&lt;&gt;"",'Raw data'!AA46,IF('Raw data'!W46="","",IF('Scoring rules'!$C$5="Lower is better",5-COUNTIF('Scoring rules'!$D$5:$G$5,"&lt;="&amp;'Raw data'!W46),1+COUNTIF('Scoring rules'!$D$5:$G$5,"&lt;="&amp;'Raw data'!W46)))))</f>
        <v/>
      </c>
      <c r="O46" s="49" t="str">
        <f aca="false">IF($A46="","",IF('Raw data'!AB46&lt;&gt;"",'Raw data'!AB46,IF('Raw data'!X46="","",IF('Scoring rules'!$C$6="Lower is better",5-COUNTIF('Scoring rules'!$D$6:$G$6,"&lt;="&amp;'Raw data'!X46),1+COUNTIF('Scoring rules'!$D$6:$G$6,"&lt;="&amp;'Raw data'!X46)))))</f>
        <v/>
      </c>
      <c r="P46" s="49" t="str">
        <f aca="false">IF($A46="","",IF('Raw data'!AC46&lt;&gt;"",'Raw data'!AC46,IF('Raw data'!Y46="","",IF('Scoring rules'!$C$7="Lower is better",5-COUNTIF('Scoring rules'!$D$7:$G$7,"&lt;="&amp;'Raw data'!Y46),1+COUNTIF('Scoring rules'!$D$7:$G$7,"&lt;="&amp;'Raw data'!Y46)))))</f>
        <v/>
      </c>
      <c r="Q46" s="49" t="str">
        <f aca="false">IF($A46="","",IF('Raw data'!AD46&lt;&gt;"",'Raw data'!AD46,IF('Raw data'!Z46="","",IF('Scoring rules'!$C$8="Lower is better",5-COUNTIF('Scoring rules'!$D$8:$G$8,"&lt;="&amp;'Raw data'!Z46),1+COUNTIF('Scoring rules'!$D$8:$G$8,"&lt;="&amp;'Raw data'!Z46)))))</f>
        <v/>
      </c>
      <c r="R46" s="49" t="str">
        <f aca="false">IF($A46="","",IF(ISNUMBER('Raw data'!J46),'Raw data'!J46*100,""))</f>
        <v/>
      </c>
      <c r="S46" s="48" t="str">
        <f aca="false">IF($A46="","",IF(ISNUMBER('Raw data'!K46),'Raw data'!K46*100,""))</f>
        <v/>
      </c>
      <c r="T46" s="48" t="str">
        <f aca="false">IF($A46="","",IF(ISNUMBER('Raw data'!L46),'Raw data'!L46*100,""))</f>
        <v/>
      </c>
      <c r="U46" s="48" t="str">
        <f aca="false">IF($A46="","",IF(ISNUMBER('Raw data'!M46),'Raw data'!M46*100,""))</f>
        <v/>
      </c>
      <c r="V46" s="48" t="str">
        <f aca="false">IF($A46="","",IF(ISNUMBER('Raw data'!N46),'Raw data'!N46*100,""))</f>
        <v/>
      </c>
      <c r="W46" s="48" t="str">
        <f aca="false">IF($A46="","",IF(ISNUMBER('Raw data'!O46),'Raw data'!O46*100,""))</f>
        <v/>
      </c>
      <c r="X46" s="48" t="str">
        <f aca="false">IF($A46="","",IF(ISNUMBER('Raw data'!P46),'Raw data'!P46*100,""))</f>
        <v/>
      </c>
      <c r="Y46" s="50" t="str">
        <f aca="false">IF($A46="","",IF(AND(ISNUMBER('Raw data'!J46),ISNUMBER('Raw data'!H46),ISNUMBER('Raw data'!L46),ISNUMBER('Raw data'!O46)),ROUND(('Raw data'!J46*'Raw data'!L46+(1-'Raw data'!J46)*'Raw data'!O46-'Raw data'!H46)*100,1),""))</f>
        <v/>
      </c>
    </row>
    <row r="47" customFormat="false" ht="15" hidden="false" customHeight="false" outlineLevel="0" collapsed="false">
      <c r="A47" s="40" t="str">
        <f aca="false">IF(TRIM('Raw data'!A47)="","",TRIM('Raw data'!A47))</f>
        <v/>
      </c>
      <c r="B47" s="40" t="str">
        <f aca="false">IF($A47="","",IF('Raw data'!B47="",UPPER(LEFT($A47,3)),'Raw data'!B47))</f>
        <v/>
      </c>
      <c r="C47" s="40" t="str">
        <f aca="false">IF($A47="","",'Raw data'!C47)</f>
        <v/>
      </c>
      <c r="D47" s="41" t="str">
        <f aca="false">IF(OR($A47="",'Raw data'!E47=""),"",'Raw data'!E47)</f>
        <v/>
      </c>
      <c r="E47" s="41" t="str">
        <f aca="false">IF(OR($A47="",'Raw data'!Q47=""),"",'Raw data'!Q47)</f>
        <v/>
      </c>
      <c r="F47" s="48" t="str">
        <f aca="false">IF($A47="","",IF(ISNUMBER('Raw data'!G47),'Raw data'!G47*100,""))</f>
        <v/>
      </c>
      <c r="G47" s="48" t="str">
        <f aca="false">IF($A47="","",IF(ISNUMBER('Raw data'!H47),'Raw data'!H47*100,""))</f>
        <v/>
      </c>
      <c r="H47" s="48" t="str">
        <f aca="false">IF($A47="","",IF(ISNUMBER('Raw data'!I47),'Raw data'!I47*100,""))</f>
        <v/>
      </c>
      <c r="I47" s="48" t="str">
        <f aca="false">IF($A47="","",IF(ISNUMBER('Raw data'!R47),'Raw data'!R47*100,""))</f>
        <v/>
      </c>
      <c r="J47" s="48" t="str">
        <f aca="false">IF($A47="","",IF(ISNUMBER('Raw data'!S47),'Raw data'!S47*100,""))</f>
        <v/>
      </c>
      <c r="K47" s="48" t="str">
        <f aca="false">IF($A47="","",IF(ISNUMBER('Raw data'!T47),'Raw data'!T47*100,""))</f>
        <v/>
      </c>
      <c r="L47" s="48" t="str">
        <f aca="false">IF($A47="","",IF('Raw data'!V47&lt;&gt;"",'Raw data'!V47*100,IF(AND(N('Raw data'!E47)&gt;0,'Raw data'!Q47&lt;&gt;""),'Raw data'!Q47*(1+N('Raw data'!S47))/('Raw data'!E47*(1+N('Raw data'!H47)))*100,"")))</f>
        <v/>
      </c>
      <c r="M47" s="48" t="str">
        <f aca="false">IF($A47="","",IF('Raw data'!U47&lt;&gt;"",'Raw data'!U47*100,IF(AND(N('Raw data'!E47)&gt;0,'Raw data'!Q47&lt;&gt;""),'Raw data'!Q47/'Raw data'!E47*100,"")))</f>
        <v/>
      </c>
      <c r="N47" s="49" t="str">
        <f aca="false">IF($A47="","",IF('Raw data'!AA47&lt;&gt;"",'Raw data'!AA47,IF('Raw data'!W47="","",IF('Scoring rules'!$C$5="Lower is better",5-COUNTIF('Scoring rules'!$D$5:$G$5,"&lt;="&amp;'Raw data'!W47),1+COUNTIF('Scoring rules'!$D$5:$G$5,"&lt;="&amp;'Raw data'!W47)))))</f>
        <v/>
      </c>
      <c r="O47" s="49" t="str">
        <f aca="false">IF($A47="","",IF('Raw data'!AB47&lt;&gt;"",'Raw data'!AB47,IF('Raw data'!X47="","",IF('Scoring rules'!$C$6="Lower is better",5-COUNTIF('Scoring rules'!$D$6:$G$6,"&lt;="&amp;'Raw data'!X47),1+COUNTIF('Scoring rules'!$D$6:$G$6,"&lt;="&amp;'Raw data'!X47)))))</f>
        <v/>
      </c>
      <c r="P47" s="49" t="str">
        <f aca="false">IF($A47="","",IF('Raw data'!AC47&lt;&gt;"",'Raw data'!AC47,IF('Raw data'!Y47="","",IF('Scoring rules'!$C$7="Lower is better",5-COUNTIF('Scoring rules'!$D$7:$G$7,"&lt;="&amp;'Raw data'!Y47),1+COUNTIF('Scoring rules'!$D$7:$G$7,"&lt;="&amp;'Raw data'!Y47)))))</f>
        <v/>
      </c>
      <c r="Q47" s="49" t="str">
        <f aca="false">IF($A47="","",IF('Raw data'!AD47&lt;&gt;"",'Raw data'!AD47,IF('Raw data'!Z47="","",IF('Scoring rules'!$C$8="Lower is better",5-COUNTIF('Scoring rules'!$D$8:$G$8,"&lt;="&amp;'Raw data'!Z47),1+COUNTIF('Scoring rules'!$D$8:$G$8,"&lt;="&amp;'Raw data'!Z47)))))</f>
        <v/>
      </c>
      <c r="R47" s="49" t="str">
        <f aca="false">IF($A47="","",IF(ISNUMBER('Raw data'!J47),'Raw data'!J47*100,""))</f>
        <v/>
      </c>
      <c r="S47" s="48" t="str">
        <f aca="false">IF($A47="","",IF(ISNUMBER('Raw data'!K47),'Raw data'!K47*100,""))</f>
        <v/>
      </c>
      <c r="T47" s="48" t="str">
        <f aca="false">IF($A47="","",IF(ISNUMBER('Raw data'!L47),'Raw data'!L47*100,""))</f>
        <v/>
      </c>
      <c r="U47" s="48" t="str">
        <f aca="false">IF($A47="","",IF(ISNUMBER('Raw data'!M47),'Raw data'!M47*100,""))</f>
        <v/>
      </c>
      <c r="V47" s="48" t="str">
        <f aca="false">IF($A47="","",IF(ISNUMBER('Raw data'!N47),'Raw data'!N47*100,""))</f>
        <v/>
      </c>
      <c r="W47" s="48" t="str">
        <f aca="false">IF($A47="","",IF(ISNUMBER('Raw data'!O47),'Raw data'!O47*100,""))</f>
        <v/>
      </c>
      <c r="X47" s="48" t="str">
        <f aca="false">IF($A47="","",IF(ISNUMBER('Raw data'!P47),'Raw data'!P47*100,""))</f>
        <v/>
      </c>
      <c r="Y47" s="50" t="str">
        <f aca="false">IF($A47="","",IF(AND(ISNUMBER('Raw data'!J47),ISNUMBER('Raw data'!H47),ISNUMBER('Raw data'!L47),ISNUMBER('Raw data'!O47)),ROUND(('Raw data'!J47*'Raw data'!L47+(1-'Raw data'!J47)*'Raw data'!O47-'Raw data'!H47)*100,1),""))</f>
        <v/>
      </c>
    </row>
    <row r="48" customFormat="false" ht="15" hidden="false" customHeight="false" outlineLevel="0" collapsed="false">
      <c r="A48" s="40" t="str">
        <f aca="false">IF(TRIM('Raw data'!A48)="","",TRIM('Raw data'!A48))</f>
        <v/>
      </c>
      <c r="B48" s="40" t="str">
        <f aca="false">IF($A48="","",IF('Raw data'!B48="",UPPER(LEFT($A48,3)),'Raw data'!B48))</f>
        <v/>
      </c>
      <c r="C48" s="40" t="str">
        <f aca="false">IF($A48="","",'Raw data'!C48)</f>
        <v/>
      </c>
      <c r="D48" s="41" t="str">
        <f aca="false">IF(OR($A48="",'Raw data'!E48=""),"",'Raw data'!E48)</f>
        <v/>
      </c>
      <c r="E48" s="41" t="str">
        <f aca="false">IF(OR($A48="",'Raw data'!Q48=""),"",'Raw data'!Q48)</f>
        <v/>
      </c>
      <c r="F48" s="48" t="str">
        <f aca="false">IF($A48="","",IF(ISNUMBER('Raw data'!G48),'Raw data'!G48*100,""))</f>
        <v/>
      </c>
      <c r="G48" s="48" t="str">
        <f aca="false">IF($A48="","",IF(ISNUMBER('Raw data'!H48),'Raw data'!H48*100,""))</f>
        <v/>
      </c>
      <c r="H48" s="48" t="str">
        <f aca="false">IF($A48="","",IF(ISNUMBER('Raw data'!I48),'Raw data'!I48*100,""))</f>
        <v/>
      </c>
      <c r="I48" s="48" t="str">
        <f aca="false">IF($A48="","",IF(ISNUMBER('Raw data'!R48),'Raw data'!R48*100,""))</f>
        <v/>
      </c>
      <c r="J48" s="48" t="str">
        <f aca="false">IF($A48="","",IF(ISNUMBER('Raw data'!S48),'Raw data'!S48*100,""))</f>
        <v/>
      </c>
      <c r="K48" s="48" t="str">
        <f aca="false">IF($A48="","",IF(ISNUMBER('Raw data'!T48),'Raw data'!T48*100,""))</f>
        <v/>
      </c>
      <c r="L48" s="48" t="str">
        <f aca="false">IF($A48="","",IF('Raw data'!V48&lt;&gt;"",'Raw data'!V48*100,IF(AND(N('Raw data'!E48)&gt;0,'Raw data'!Q48&lt;&gt;""),'Raw data'!Q48*(1+N('Raw data'!S48))/('Raw data'!E48*(1+N('Raw data'!H48)))*100,"")))</f>
        <v/>
      </c>
      <c r="M48" s="48" t="str">
        <f aca="false">IF($A48="","",IF('Raw data'!U48&lt;&gt;"",'Raw data'!U48*100,IF(AND(N('Raw data'!E48)&gt;0,'Raw data'!Q48&lt;&gt;""),'Raw data'!Q48/'Raw data'!E48*100,"")))</f>
        <v/>
      </c>
      <c r="N48" s="49" t="str">
        <f aca="false">IF($A48="","",IF('Raw data'!AA48&lt;&gt;"",'Raw data'!AA48,IF('Raw data'!W48="","",IF('Scoring rules'!$C$5="Lower is better",5-COUNTIF('Scoring rules'!$D$5:$G$5,"&lt;="&amp;'Raw data'!W48),1+COUNTIF('Scoring rules'!$D$5:$G$5,"&lt;="&amp;'Raw data'!W48)))))</f>
        <v/>
      </c>
      <c r="O48" s="49" t="str">
        <f aca="false">IF($A48="","",IF('Raw data'!AB48&lt;&gt;"",'Raw data'!AB48,IF('Raw data'!X48="","",IF('Scoring rules'!$C$6="Lower is better",5-COUNTIF('Scoring rules'!$D$6:$G$6,"&lt;="&amp;'Raw data'!X48),1+COUNTIF('Scoring rules'!$D$6:$G$6,"&lt;="&amp;'Raw data'!X48)))))</f>
        <v/>
      </c>
      <c r="P48" s="49" t="str">
        <f aca="false">IF($A48="","",IF('Raw data'!AC48&lt;&gt;"",'Raw data'!AC48,IF('Raw data'!Y48="","",IF('Scoring rules'!$C$7="Lower is better",5-COUNTIF('Scoring rules'!$D$7:$G$7,"&lt;="&amp;'Raw data'!Y48),1+COUNTIF('Scoring rules'!$D$7:$G$7,"&lt;="&amp;'Raw data'!Y48)))))</f>
        <v/>
      </c>
      <c r="Q48" s="49" t="str">
        <f aca="false">IF($A48="","",IF('Raw data'!AD48&lt;&gt;"",'Raw data'!AD48,IF('Raw data'!Z48="","",IF('Scoring rules'!$C$8="Lower is better",5-COUNTIF('Scoring rules'!$D$8:$G$8,"&lt;="&amp;'Raw data'!Z48),1+COUNTIF('Scoring rules'!$D$8:$G$8,"&lt;="&amp;'Raw data'!Z48)))))</f>
        <v/>
      </c>
      <c r="R48" s="49" t="str">
        <f aca="false">IF($A48="","",IF(ISNUMBER('Raw data'!J48),'Raw data'!J48*100,""))</f>
        <v/>
      </c>
      <c r="S48" s="48" t="str">
        <f aca="false">IF($A48="","",IF(ISNUMBER('Raw data'!K48),'Raw data'!K48*100,""))</f>
        <v/>
      </c>
      <c r="T48" s="48" t="str">
        <f aca="false">IF($A48="","",IF(ISNUMBER('Raw data'!L48),'Raw data'!L48*100,""))</f>
        <v/>
      </c>
      <c r="U48" s="48" t="str">
        <f aca="false">IF($A48="","",IF(ISNUMBER('Raw data'!M48),'Raw data'!M48*100,""))</f>
        <v/>
      </c>
      <c r="V48" s="48" t="str">
        <f aca="false">IF($A48="","",IF(ISNUMBER('Raw data'!N48),'Raw data'!N48*100,""))</f>
        <v/>
      </c>
      <c r="W48" s="48" t="str">
        <f aca="false">IF($A48="","",IF(ISNUMBER('Raw data'!O48),'Raw data'!O48*100,""))</f>
        <v/>
      </c>
      <c r="X48" s="48" t="str">
        <f aca="false">IF($A48="","",IF(ISNUMBER('Raw data'!P48),'Raw data'!P48*100,""))</f>
        <v/>
      </c>
      <c r="Y48" s="50" t="str">
        <f aca="false">IF($A48="","",IF(AND(ISNUMBER('Raw data'!J48),ISNUMBER('Raw data'!H48),ISNUMBER('Raw data'!L48),ISNUMBER('Raw data'!O48)),ROUND(('Raw data'!J48*'Raw data'!L48+(1-'Raw data'!J48)*'Raw data'!O48-'Raw data'!H48)*100,1),""))</f>
        <v/>
      </c>
    </row>
    <row r="49" customFormat="false" ht="15" hidden="false" customHeight="false" outlineLevel="0" collapsed="false">
      <c r="A49" s="40" t="str">
        <f aca="false">IF(TRIM('Raw data'!A49)="","",TRIM('Raw data'!A49))</f>
        <v/>
      </c>
      <c r="B49" s="40" t="str">
        <f aca="false">IF($A49="","",IF('Raw data'!B49="",UPPER(LEFT($A49,3)),'Raw data'!B49))</f>
        <v/>
      </c>
      <c r="C49" s="40" t="str">
        <f aca="false">IF($A49="","",'Raw data'!C49)</f>
        <v/>
      </c>
      <c r="D49" s="41" t="str">
        <f aca="false">IF(OR($A49="",'Raw data'!E49=""),"",'Raw data'!E49)</f>
        <v/>
      </c>
      <c r="E49" s="41" t="str">
        <f aca="false">IF(OR($A49="",'Raw data'!Q49=""),"",'Raw data'!Q49)</f>
        <v/>
      </c>
      <c r="F49" s="48" t="str">
        <f aca="false">IF($A49="","",IF(ISNUMBER('Raw data'!G49),'Raw data'!G49*100,""))</f>
        <v/>
      </c>
      <c r="G49" s="48" t="str">
        <f aca="false">IF($A49="","",IF(ISNUMBER('Raw data'!H49),'Raw data'!H49*100,""))</f>
        <v/>
      </c>
      <c r="H49" s="48" t="str">
        <f aca="false">IF($A49="","",IF(ISNUMBER('Raw data'!I49),'Raw data'!I49*100,""))</f>
        <v/>
      </c>
      <c r="I49" s="48" t="str">
        <f aca="false">IF($A49="","",IF(ISNUMBER('Raw data'!R49),'Raw data'!R49*100,""))</f>
        <v/>
      </c>
      <c r="J49" s="48" t="str">
        <f aca="false">IF($A49="","",IF(ISNUMBER('Raw data'!S49),'Raw data'!S49*100,""))</f>
        <v/>
      </c>
      <c r="K49" s="48" t="str">
        <f aca="false">IF($A49="","",IF(ISNUMBER('Raw data'!T49),'Raw data'!T49*100,""))</f>
        <v/>
      </c>
      <c r="L49" s="48" t="str">
        <f aca="false">IF($A49="","",IF('Raw data'!V49&lt;&gt;"",'Raw data'!V49*100,IF(AND(N('Raw data'!E49)&gt;0,'Raw data'!Q49&lt;&gt;""),'Raw data'!Q49*(1+N('Raw data'!S49))/('Raw data'!E49*(1+N('Raw data'!H49)))*100,"")))</f>
        <v/>
      </c>
      <c r="M49" s="48" t="str">
        <f aca="false">IF($A49="","",IF('Raw data'!U49&lt;&gt;"",'Raw data'!U49*100,IF(AND(N('Raw data'!E49)&gt;0,'Raw data'!Q49&lt;&gt;""),'Raw data'!Q49/'Raw data'!E49*100,"")))</f>
        <v/>
      </c>
      <c r="N49" s="49" t="str">
        <f aca="false">IF($A49="","",IF('Raw data'!AA49&lt;&gt;"",'Raw data'!AA49,IF('Raw data'!W49="","",IF('Scoring rules'!$C$5="Lower is better",5-COUNTIF('Scoring rules'!$D$5:$G$5,"&lt;="&amp;'Raw data'!W49),1+COUNTIF('Scoring rules'!$D$5:$G$5,"&lt;="&amp;'Raw data'!W49)))))</f>
        <v/>
      </c>
      <c r="O49" s="49" t="str">
        <f aca="false">IF($A49="","",IF('Raw data'!AB49&lt;&gt;"",'Raw data'!AB49,IF('Raw data'!X49="","",IF('Scoring rules'!$C$6="Lower is better",5-COUNTIF('Scoring rules'!$D$6:$G$6,"&lt;="&amp;'Raw data'!X49),1+COUNTIF('Scoring rules'!$D$6:$G$6,"&lt;="&amp;'Raw data'!X49)))))</f>
        <v/>
      </c>
      <c r="P49" s="49" t="str">
        <f aca="false">IF($A49="","",IF('Raw data'!AC49&lt;&gt;"",'Raw data'!AC49,IF('Raw data'!Y49="","",IF('Scoring rules'!$C$7="Lower is better",5-COUNTIF('Scoring rules'!$D$7:$G$7,"&lt;="&amp;'Raw data'!Y49),1+COUNTIF('Scoring rules'!$D$7:$G$7,"&lt;="&amp;'Raw data'!Y49)))))</f>
        <v/>
      </c>
      <c r="Q49" s="49" t="str">
        <f aca="false">IF($A49="","",IF('Raw data'!AD49&lt;&gt;"",'Raw data'!AD49,IF('Raw data'!Z49="","",IF('Scoring rules'!$C$8="Lower is better",5-COUNTIF('Scoring rules'!$D$8:$G$8,"&lt;="&amp;'Raw data'!Z49),1+COUNTIF('Scoring rules'!$D$8:$G$8,"&lt;="&amp;'Raw data'!Z49)))))</f>
        <v/>
      </c>
      <c r="R49" s="49" t="str">
        <f aca="false">IF($A49="","",IF(ISNUMBER('Raw data'!J49),'Raw data'!J49*100,""))</f>
        <v/>
      </c>
      <c r="S49" s="48" t="str">
        <f aca="false">IF($A49="","",IF(ISNUMBER('Raw data'!K49),'Raw data'!K49*100,""))</f>
        <v/>
      </c>
      <c r="T49" s="48" t="str">
        <f aca="false">IF($A49="","",IF(ISNUMBER('Raw data'!L49),'Raw data'!L49*100,""))</f>
        <v/>
      </c>
      <c r="U49" s="48" t="str">
        <f aca="false">IF($A49="","",IF(ISNUMBER('Raw data'!M49),'Raw data'!M49*100,""))</f>
        <v/>
      </c>
      <c r="V49" s="48" t="str">
        <f aca="false">IF($A49="","",IF(ISNUMBER('Raw data'!N49),'Raw data'!N49*100,""))</f>
        <v/>
      </c>
      <c r="W49" s="48" t="str">
        <f aca="false">IF($A49="","",IF(ISNUMBER('Raw data'!O49),'Raw data'!O49*100,""))</f>
        <v/>
      </c>
      <c r="X49" s="48" t="str">
        <f aca="false">IF($A49="","",IF(ISNUMBER('Raw data'!P49),'Raw data'!P49*100,""))</f>
        <v/>
      </c>
      <c r="Y49" s="50" t="str">
        <f aca="false">IF($A49="","",IF(AND(ISNUMBER('Raw data'!J49),ISNUMBER('Raw data'!H49),ISNUMBER('Raw data'!L49),ISNUMBER('Raw data'!O49)),ROUND(('Raw data'!J49*'Raw data'!L49+(1-'Raw data'!J49)*'Raw data'!O49-'Raw data'!H49)*100,1),""))</f>
        <v/>
      </c>
    </row>
    <row r="50" customFormat="false" ht="15" hidden="false" customHeight="false" outlineLevel="0" collapsed="false">
      <c r="A50" s="40" t="str">
        <f aca="false">IF(TRIM('Raw data'!A50)="","",TRIM('Raw data'!A50))</f>
        <v/>
      </c>
      <c r="B50" s="40" t="str">
        <f aca="false">IF($A50="","",IF('Raw data'!B50="",UPPER(LEFT($A50,3)),'Raw data'!B50))</f>
        <v/>
      </c>
      <c r="C50" s="40" t="str">
        <f aca="false">IF($A50="","",'Raw data'!C50)</f>
        <v/>
      </c>
      <c r="D50" s="41" t="str">
        <f aca="false">IF(OR($A50="",'Raw data'!E50=""),"",'Raw data'!E50)</f>
        <v/>
      </c>
      <c r="E50" s="41" t="str">
        <f aca="false">IF(OR($A50="",'Raw data'!Q50=""),"",'Raw data'!Q50)</f>
        <v/>
      </c>
      <c r="F50" s="48" t="str">
        <f aca="false">IF($A50="","",IF(ISNUMBER('Raw data'!G50),'Raw data'!G50*100,""))</f>
        <v/>
      </c>
      <c r="G50" s="48" t="str">
        <f aca="false">IF($A50="","",IF(ISNUMBER('Raw data'!H50),'Raw data'!H50*100,""))</f>
        <v/>
      </c>
      <c r="H50" s="48" t="str">
        <f aca="false">IF($A50="","",IF(ISNUMBER('Raw data'!I50),'Raw data'!I50*100,""))</f>
        <v/>
      </c>
      <c r="I50" s="48" t="str">
        <f aca="false">IF($A50="","",IF(ISNUMBER('Raw data'!R50),'Raw data'!R50*100,""))</f>
        <v/>
      </c>
      <c r="J50" s="48" t="str">
        <f aca="false">IF($A50="","",IF(ISNUMBER('Raw data'!S50),'Raw data'!S50*100,""))</f>
        <v/>
      </c>
      <c r="K50" s="48" t="str">
        <f aca="false">IF($A50="","",IF(ISNUMBER('Raw data'!T50),'Raw data'!T50*100,""))</f>
        <v/>
      </c>
      <c r="L50" s="48" t="str">
        <f aca="false">IF($A50="","",IF('Raw data'!V50&lt;&gt;"",'Raw data'!V50*100,IF(AND(N('Raw data'!E50)&gt;0,'Raw data'!Q50&lt;&gt;""),'Raw data'!Q50*(1+N('Raw data'!S50))/('Raw data'!E50*(1+N('Raw data'!H50)))*100,"")))</f>
        <v/>
      </c>
      <c r="M50" s="48" t="str">
        <f aca="false">IF($A50="","",IF('Raw data'!U50&lt;&gt;"",'Raw data'!U50*100,IF(AND(N('Raw data'!E50)&gt;0,'Raw data'!Q50&lt;&gt;""),'Raw data'!Q50/'Raw data'!E50*100,"")))</f>
        <v/>
      </c>
      <c r="N50" s="49" t="str">
        <f aca="false">IF($A50="","",IF('Raw data'!AA50&lt;&gt;"",'Raw data'!AA50,IF('Raw data'!W50="","",IF('Scoring rules'!$C$5="Lower is better",5-COUNTIF('Scoring rules'!$D$5:$G$5,"&lt;="&amp;'Raw data'!W50),1+COUNTIF('Scoring rules'!$D$5:$G$5,"&lt;="&amp;'Raw data'!W50)))))</f>
        <v/>
      </c>
      <c r="O50" s="49" t="str">
        <f aca="false">IF($A50="","",IF('Raw data'!AB50&lt;&gt;"",'Raw data'!AB50,IF('Raw data'!X50="","",IF('Scoring rules'!$C$6="Lower is better",5-COUNTIF('Scoring rules'!$D$6:$G$6,"&lt;="&amp;'Raw data'!X50),1+COUNTIF('Scoring rules'!$D$6:$G$6,"&lt;="&amp;'Raw data'!X50)))))</f>
        <v/>
      </c>
      <c r="P50" s="49" t="str">
        <f aca="false">IF($A50="","",IF('Raw data'!AC50&lt;&gt;"",'Raw data'!AC50,IF('Raw data'!Y50="","",IF('Scoring rules'!$C$7="Lower is better",5-COUNTIF('Scoring rules'!$D$7:$G$7,"&lt;="&amp;'Raw data'!Y50),1+COUNTIF('Scoring rules'!$D$7:$G$7,"&lt;="&amp;'Raw data'!Y50)))))</f>
        <v/>
      </c>
      <c r="Q50" s="49" t="str">
        <f aca="false">IF($A50="","",IF('Raw data'!AD50&lt;&gt;"",'Raw data'!AD50,IF('Raw data'!Z50="","",IF('Scoring rules'!$C$8="Lower is better",5-COUNTIF('Scoring rules'!$D$8:$G$8,"&lt;="&amp;'Raw data'!Z50),1+COUNTIF('Scoring rules'!$D$8:$G$8,"&lt;="&amp;'Raw data'!Z50)))))</f>
        <v/>
      </c>
      <c r="R50" s="49" t="str">
        <f aca="false">IF($A50="","",IF(ISNUMBER('Raw data'!J50),'Raw data'!J50*100,""))</f>
        <v/>
      </c>
      <c r="S50" s="48" t="str">
        <f aca="false">IF($A50="","",IF(ISNUMBER('Raw data'!K50),'Raw data'!K50*100,""))</f>
        <v/>
      </c>
      <c r="T50" s="48" t="str">
        <f aca="false">IF($A50="","",IF(ISNUMBER('Raw data'!L50),'Raw data'!L50*100,""))</f>
        <v/>
      </c>
      <c r="U50" s="48" t="str">
        <f aca="false">IF($A50="","",IF(ISNUMBER('Raw data'!M50),'Raw data'!M50*100,""))</f>
        <v/>
      </c>
      <c r="V50" s="48" t="str">
        <f aca="false">IF($A50="","",IF(ISNUMBER('Raw data'!N50),'Raw data'!N50*100,""))</f>
        <v/>
      </c>
      <c r="W50" s="48" t="str">
        <f aca="false">IF($A50="","",IF(ISNUMBER('Raw data'!O50),'Raw data'!O50*100,""))</f>
        <v/>
      </c>
      <c r="X50" s="48" t="str">
        <f aca="false">IF($A50="","",IF(ISNUMBER('Raw data'!P50),'Raw data'!P50*100,""))</f>
        <v/>
      </c>
      <c r="Y50" s="50" t="str">
        <f aca="false">IF($A50="","",IF(AND(ISNUMBER('Raw data'!J50),ISNUMBER('Raw data'!H50),ISNUMBER('Raw data'!L50),ISNUMBER('Raw data'!O50)),ROUND(('Raw data'!J50*'Raw data'!L50+(1-'Raw data'!J50)*'Raw data'!O50-'Raw data'!H50)*100,1),""))</f>
        <v/>
      </c>
    </row>
    <row r="51" customFormat="false" ht="15" hidden="false" customHeight="false" outlineLevel="0" collapsed="false">
      <c r="A51" s="40" t="str">
        <f aca="false">IF(TRIM('Raw data'!A51)="","",TRIM('Raw data'!A51))</f>
        <v/>
      </c>
      <c r="B51" s="40" t="str">
        <f aca="false">IF($A51="","",IF('Raw data'!B51="",UPPER(LEFT($A51,3)),'Raw data'!B51))</f>
        <v/>
      </c>
      <c r="C51" s="40" t="str">
        <f aca="false">IF($A51="","",'Raw data'!C51)</f>
        <v/>
      </c>
      <c r="D51" s="41" t="str">
        <f aca="false">IF(OR($A51="",'Raw data'!E51=""),"",'Raw data'!E51)</f>
        <v/>
      </c>
      <c r="E51" s="41" t="str">
        <f aca="false">IF(OR($A51="",'Raw data'!Q51=""),"",'Raw data'!Q51)</f>
        <v/>
      </c>
      <c r="F51" s="48" t="str">
        <f aca="false">IF($A51="","",IF(ISNUMBER('Raw data'!G51),'Raw data'!G51*100,""))</f>
        <v/>
      </c>
      <c r="G51" s="48" t="str">
        <f aca="false">IF($A51="","",IF(ISNUMBER('Raw data'!H51),'Raw data'!H51*100,""))</f>
        <v/>
      </c>
      <c r="H51" s="48" t="str">
        <f aca="false">IF($A51="","",IF(ISNUMBER('Raw data'!I51),'Raw data'!I51*100,""))</f>
        <v/>
      </c>
      <c r="I51" s="48" t="str">
        <f aca="false">IF($A51="","",IF(ISNUMBER('Raw data'!R51),'Raw data'!R51*100,""))</f>
        <v/>
      </c>
      <c r="J51" s="48" t="str">
        <f aca="false">IF($A51="","",IF(ISNUMBER('Raw data'!S51),'Raw data'!S51*100,""))</f>
        <v/>
      </c>
      <c r="K51" s="48" t="str">
        <f aca="false">IF($A51="","",IF(ISNUMBER('Raw data'!T51),'Raw data'!T51*100,""))</f>
        <v/>
      </c>
      <c r="L51" s="48" t="str">
        <f aca="false">IF($A51="","",IF('Raw data'!V51&lt;&gt;"",'Raw data'!V51*100,IF(AND(N('Raw data'!E51)&gt;0,'Raw data'!Q51&lt;&gt;""),'Raw data'!Q51*(1+N('Raw data'!S51))/('Raw data'!E51*(1+N('Raw data'!H51)))*100,"")))</f>
        <v/>
      </c>
      <c r="M51" s="48" t="str">
        <f aca="false">IF($A51="","",IF('Raw data'!U51&lt;&gt;"",'Raw data'!U51*100,IF(AND(N('Raw data'!E51)&gt;0,'Raw data'!Q51&lt;&gt;""),'Raw data'!Q51/'Raw data'!E51*100,"")))</f>
        <v/>
      </c>
      <c r="N51" s="49" t="str">
        <f aca="false">IF($A51="","",IF('Raw data'!AA51&lt;&gt;"",'Raw data'!AA51,IF('Raw data'!W51="","",IF('Scoring rules'!$C$5="Lower is better",5-COUNTIF('Scoring rules'!$D$5:$G$5,"&lt;="&amp;'Raw data'!W51),1+COUNTIF('Scoring rules'!$D$5:$G$5,"&lt;="&amp;'Raw data'!W51)))))</f>
        <v/>
      </c>
      <c r="O51" s="49" t="str">
        <f aca="false">IF($A51="","",IF('Raw data'!AB51&lt;&gt;"",'Raw data'!AB51,IF('Raw data'!X51="","",IF('Scoring rules'!$C$6="Lower is better",5-COUNTIF('Scoring rules'!$D$6:$G$6,"&lt;="&amp;'Raw data'!X51),1+COUNTIF('Scoring rules'!$D$6:$G$6,"&lt;="&amp;'Raw data'!X51)))))</f>
        <v/>
      </c>
      <c r="P51" s="49" t="str">
        <f aca="false">IF($A51="","",IF('Raw data'!AC51&lt;&gt;"",'Raw data'!AC51,IF('Raw data'!Y51="","",IF('Scoring rules'!$C$7="Lower is better",5-COUNTIF('Scoring rules'!$D$7:$G$7,"&lt;="&amp;'Raw data'!Y51),1+COUNTIF('Scoring rules'!$D$7:$G$7,"&lt;="&amp;'Raw data'!Y51)))))</f>
        <v/>
      </c>
      <c r="Q51" s="49" t="str">
        <f aca="false">IF($A51="","",IF('Raw data'!AD51&lt;&gt;"",'Raw data'!AD51,IF('Raw data'!Z51="","",IF('Scoring rules'!$C$8="Lower is better",5-COUNTIF('Scoring rules'!$D$8:$G$8,"&lt;="&amp;'Raw data'!Z51),1+COUNTIF('Scoring rules'!$D$8:$G$8,"&lt;="&amp;'Raw data'!Z51)))))</f>
        <v/>
      </c>
      <c r="R51" s="49" t="str">
        <f aca="false">IF($A51="","",IF(ISNUMBER('Raw data'!J51),'Raw data'!J51*100,""))</f>
        <v/>
      </c>
      <c r="S51" s="48" t="str">
        <f aca="false">IF($A51="","",IF(ISNUMBER('Raw data'!K51),'Raw data'!K51*100,""))</f>
        <v/>
      </c>
      <c r="T51" s="48" t="str">
        <f aca="false">IF($A51="","",IF(ISNUMBER('Raw data'!L51),'Raw data'!L51*100,""))</f>
        <v/>
      </c>
      <c r="U51" s="48" t="str">
        <f aca="false">IF($A51="","",IF(ISNUMBER('Raw data'!M51),'Raw data'!M51*100,""))</f>
        <v/>
      </c>
      <c r="V51" s="48" t="str">
        <f aca="false">IF($A51="","",IF(ISNUMBER('Raw data'!N51),'Raw data'!N51*100,""))</f>
        <v/>
      </c>
      <c r="W51" s="48" t="str">
        <f aca="false">IF($A51="","",IF(ISNUMBER('Raw data'!O51),'Raw data'!O51*100,""))</f>
        <v/>
      </c>
      <c r="X51" s="48" t="str">
        <f aca="false">IF($A51="","",IF(ISNUMBER('Raw data'!P51),'Raw data'!P51*100,""))</f>
        <v/>
      </c>
      <c r="Y51" s="50" t="str">
        <f aca="false">IF($A51="","",IF(AND(ISNUMBER('Raw data'!J51),ISNUMBER('Raw data'!H51),ISNUMBER('Raw data'!L51),ISNUMBER('Raw data'!O51)),ROUND(('Raw data'!J51*'Raw data'!L51+(1-'Raw data'!J51)*'Raw data'!O51-'Raw data'!H51)*100,1),""))</f>
        <v/>
      </c>
    </row>
    <row r="52" customFormat="false" ht="15" hidden="false" customHeight="false" outlineLevel="0" collapsed="false">
      <c r="A52" s="40" t="str">
        <f aca="false">IF(TRIM('Raw data'!A52)="","",TRIM('Raw data'!A52))</f>
        <v/>
      </c>
      <c r="B52" s="40" t="str">
        <f aca="false">IF($A52="","",IF('Raw data'!B52="",UPPER(LEFT($A52,3)),'Raw data'!B52))</f>
        <v/>
      </c>
      <c r="C52" s="40" t="str">
        <f aca="false">IF($A52="","",'Raw data'!C52)</f>
        <v/>
      </c>
      <c r="D52" s="41" t="str">
        <f aca="false">IF(OR($A52="",'Raw data'!E52=""),"",'Raw data'!E52)</f>
        <v/>
      </c>
      <c r="E52" s="41" t="str">
        <f aca="false">IF(OR($A52="",'Raw data'!Q52=""),"",'Raw data'!Q52)</f>
        <v/>
      </c>
      <c r="F52" s="48" t="str">
        <f aca="false">IF($A52="","",IF(ISNUMBER('Raw data'!G52),'Raw data'!G52*100,""))</f>
        <v/>
      </c>
      <c r="G52" s="48" t="str">
        <f aca="false">IF($A52="","",IF(ISNUMBER('Raw data'!H52),'Raw data'!H52*100,""))</f>
        <v/>
      </c>
      <c r="H52" s="48" t="str">
        <f aca="false">IF($A52="","",IF(ISNUMBER('Raw data'!I52),'Raw data'!I52*100,""))</f>
        <v/>
      </c>
      <c r="I52" s="48" t="str">
        <f aca="false">IF($A52="","",IF(ISNUMBER('Raw data'!R52),'Raw data'!R52*100,""))</f>
        <v/>
      </c>
      <c r="J52" s="48" t="str">
        <f aca="false">IF($A52="","",IF(ISNUMBER('Raw data'!S52),'Raw data'!S52*100,""))</f>
        <v/>
      </c>
      <c r="K52" s="48" t="str">
        <f aca="false">IF($A52="","",IF(ISNUMBER('Raw data'!T52),'Raw data'!T52*100,""))</f>
        <v/>
      </c>
      <c r="L52" s="48" t="str">
        <f aca="false">IF($A52="","",IF('Raw data'!V52&lt;&gt;"",'Raw data'!V52*100,IF(AND(N('Raw data'!E52)&gt;0,'Raw data'!Q52&lt;&gt;""),'Raw data'!Q52*(1+N('Raw data'!S52))/('Raw data'!E52*(1+N('Raw data'!H52)))*100,"")))</f>
        <v/>
      </c>
      <c r="M52" s="48" t="str">
        <f aca="false">IF($A52="","",IF('Raw data'!U52&lt;&gt;"",'Raw data'!U52*100,IF(AND(N('Raw data'!E52)&gt;0,'Raw data'!Q52&lt;&gt;""),'Raw data'!Q52/'Raw data'!E52*100,"")))</f>
        <v/>
      </c>
      <c r="N52" s="49" t="str">
        <f aca="false">IF($A52="","",IF('Raw data'!AA52&lt;&gt;"",'Raw data'!AA52,IF('Raw data'!W52="","",IF('Scoring rules'!$C$5="Lower is better",5-COUNTIF('Scoring rules'!$D$5:$G$5,"&lt;="&amp;'Raw data'!W52),1+COUNTIF('Scoring rules'!$D$5:$G$5,"&lt;="&amp;'Raw data'!W52)))))</f>
        <v/>
      </c>
      <c r="O52" s="49" t="str">
        <f aca="false">IF($A52="","",IF('Raw data'!AB52&lt;&gt;"",'Raw data'!AB52,IF('Raw data'!X52="","",IF('Scoring rules'!$C$6="Lower is better",5-COUNTIF('Scoring rules'!$D$6:$G$6,"&lt;="&amp;'Raw data'!X52),1+COUNTIF('Scoring rules'!$D$6:$G$6,"&lt;="&amp;'Raw data'!X52)))))</f>
        <v/>
      </c>
      <c r="P52" s="49" t="str">
        <f aca="false">IF($A52="","",IF('Raw data'!AC52&lt;&gt;"",'Raw data'!AC52,IF('Raw data'!Y52="","",IF('Scoring rules'!$C$7="Lower is better",5-COUNTIF('Scoring rules'!$D$7:$G$7,"&lt;="&amp;'Raw data'!Y52),1+COUNTIF('Scoring rules'!$D$7:$G$7,"&lt;="&amp;'Raw data'!Y52)))))</f>
        <v/>
      </c>
      <c r="Q52" s="49" t="str">
        <f aca="false">IF($A52="","",IF('Raw data'!AD52&lt;&gt;"",'Raw data'!AD52,IF('Raw data'!Z52="","",IF('Scoring rules'!$C$8="Lower is better",5-COUNTIF('Scoring rules'!$D$8:$G$8,"&lt;="&amp;'Raw data'!Z52),1+COUNTIF('Scoring rules'!$D$8:$G$8,"&lt;="&amp;'Raw data'!Z52)))))</f>
        <v/>
      </c>
      <c r="R52" s="49" t="str">
        <f aca="false">IF($A52="","",IF(ISNUMBER('Raw data'!J52),'Raw data'!J52*100,""))</f>
        <v/>
      </c>
      <c r="S52" s="48" t="str">
        <f aca="false">IF($A52="","",IF(ISNUMBER('Raw data'!K52),'Raw data'!K52*100,""))</f>
        <v/>
      </c>
      <c r="T52" s="48" t="str">
        <f aca="false">IF($A52="","",IF(ISNUMBER('Raw data'!L52),'Raw data'!L52*100,""))</f>
        <v/>
      </c>
      <c r="U52" s="48" t="str">
        <f aca="false">IF($A52="","",IF(ISNUMBER('Raw data'!M52),'Raw data'!M52*100,""))</f>
        <v/>
      </c>
      <c r="V52" s="48" t="str">
        <f aca="false">IF($A52="","",IF(ISNUMBER('Raw data'!N52),'Raw data'!N52*100,""))</f>
        <v/>
      </c>
      <c r="W52" s="48" t="str">
        <f aca="false">IF($A52="","",IF(ISNUMBER('Raw data'!O52),'Raw data'!O52*100,""))</f>
        <v/>
      </c>
      <c r="X52" s="48" t="str">
        <f aca="false">IF($A52="","",IF(ISNUMBER('Raw data'!P52),'Raw data'!P52*100,""))</f>
        <v/>
      </c>
      <c r="Y52" s="50" t="str">
        <f aca="false">IF($A52="","",IF(AND(ISNUMBER('Raw data'!J52),ISNUMBER('Raw data'!H52),ISNUMBER('Raw data'!L52),ISNUMBER('Raw data'!O52)),ROUND(('Raw data'!J52*'Raw data'!L52+(1-'Raw data'!J52)*'Raw data'!O52-'Raw data'!H52)*100,1),""))</f>
        <v/>
      </c>
    </row>
    <row r="53" customFormat="false" ht="15" hidden="false" customHeight="false" outlineLevel="0" collapsed="false">
      <c r="A53" s="40" t="str">
        <f aca="false">IF(TRIM('Raw data'!A53)="","",TRIM('Raw data'!A53))</f>
        <v/>
      </c>
      <c r="B53" s="40" t="str">
        <f aca="false">IF($A53="","",IF('Raw data'!B53="",UPPER(LEFT($A53,3)),'Raw data'!B53))</f>
        <v/>
      </c>
      <c r="C53" s="40" t="str">
        <f aca="false">IF($A53="","",'Raw data'!C53)</f>
        <v/>
      </c>
      <c r="D53" s="41" t="str">
        <f aca="false">IF(OR($A53="",'Raw data'!E53=""),"",'Raw data'!E53)</f>
        <v/>
      </c>
      <c r="E53" s="41" t="str">
        <f aca="false">IF(OR($A53="",'Raw data'!Q53=""),"",'Raw data'!Q53)</f>
        <v/>
      </c>
      <c r="F53" s="48" t="str">
        <f aca="false">IF($A53="","",IF(ISNUMBER('Raw data'!G53),'Raw data'!G53*100,""))</f>
        <v/>
      </c>
      <c r="G53" s="48" t="str">
        <f aca="false">IF($A53="","",IF(ISNUMBER('Raw data'!H53),'Raw data'!H53*100,""))</f>
        <v/>
      </c>
      <c r="H53" s="48" t="str">
        <f aca="false">IF($A53="","",IF(ISNUMBER('Raw data'!I53),'Raw data'!I53*100,""))</f>
        <v/>
      </c>
      <c r="I53" s="48" t="str">
        <f aca="false">IF($A53="","",IF(ISNUMBER('Raw data'!R53),'Raw data'!R53*100,""))</f>
        <v/>
      </c>
      <c r="J53" s="48" t="str">
        <f aca="false">IF($A53="","",IF(ISNUMBER('Raw data'!S53),'Raw data'!S53*100,""))</f>
        <v/>
      </c>
      <c r="K53" s="48" t="str">
        <f aca="false">IF($A53="","",IF(ISNUMBER('Raw data'!T53),'Raw data'!T53*100,""))</f>
        <v/>
      </c>
      <c r="L53" s="48" t="str">
        <f aca="false">IF($A53="","",IF('Raw data'!V53&lt;&gt;"",'Raw data'!V53*100,IF(AND(N('Raw data'!E53)&gt;0,'Raw data'!Q53&lt;&gt;""),'Raw data'!Q53*(1+N('Raw data'!S53))/('Raw data'!E53*(1+N('Raw data'!H53)))*100,"")))</f>
        <v/>
      </c>
      <c r="M53" s="48" t="str">
        <f aca="false">IF($A53="","",IF('Raw data'!U53&lt;&gt;"",'Raw data'!U53*100,IF(AND(N('Raw data'!E53)&gt;0,'Raw data'!Q53&lt;&gt;""),'Raw data'!Q53/'Raw data'!E53*100,"")))</f>
        <v/>
      </c>
      <c r="N53" s="49" t="str">
        <f aca="false">IF($A53="","",IF('Raw data'!AA53&lt;&gt;"",'Raw data'!AA53,IF('Raw data'!W53="","",IF('Scoring rules'!$C$5="Lower is better",5-COUNTIF('Scoring rules'!$D$5:$G$5,"&lt;="&amp;'Raw data'!W53),1+COUNTIF('Scoring rules'!$D$5:$G$5,"&lt;="&amp;'Raw data'!W53)))))</f>
        <v/>
      </c>
      <c r="O53" s="49" t="str">
        <f aca="false">IF($A53="","",IF('Raw data'!AB53&lt;&gt;"",'Raw data'!AB53,IF('Raw data'!X53="","",IF('Scoring rules'!$C$6="Lower is better",5-COUNTIF('Scoring rules'!$D$6:$G$6,"&lt;="&amp;'Raw data'!X53),1+COUNTIF('Scoring rules'!$D$6:$G$6,"&lt;="&amp;'Raw data'!X53)))))</f>
        <v/>
      </c>
      <c r="P53" s="49" t="str">
        <f aca="false">IF($A53="","",IF('Raw data'!AC53&lt;&gt;"",'Raw data'!AC53,IF('Raw data'!Y53="","",IF('Scoring rules'!$C$7="Lower is better",5-COUNTIF('Scoring rules'!$D$7:$G$7,"&lt;="&amp;'Raw data'!Y53),1+COUNTIF('Scoring rules'!$D$7:$G$7,"&lt;="&amp;'Raw data'!Y53)))))</f>
        <v/>
      </c>
      <c r="Q53" s="49" t="str">
        <f aca="false">IF($A53="","",IF('Raw data'!AD53&lt;&gt;"",'Raw data'!AD53,IF('Raw data'!Z53="","",IF('Scoring rules'!$C$8="Lower is better",5-COUNTIF('Scoring rules'!$D$8:$G$8,"&lt;="&amp;'Raw data'!Z53),1+COUNTIF('Scoring rules'!$D$8:$G$8,"&lt;="&amp;'Raw data'!Z53)))))</f>
        <v/>
      </c>
      <c r="R53" s="49" t="str">
        <f aca="false">IF($A53="","",IF(ISNUMBER('Raw data'!J53),'Raw data'!J53*100,""))</f>
        <v/>
      </c>
      <c r="S53" s="48" t="str">
        <f aca="false">IF($A53="","",IF(ISNUMBER('Raw data'!K53),'Raw data'!K53*100,""))</f>
        <v/>
      </c>
      <c r="T53" s="48" t="str">
        <f aca="false">IF($A53="","",IF(ISNUMBER('Raw data'!L53),'Raw data'!L53*100,""))</f>
        <v/>
      </c>
      <c r="U53" s="48" t="str">
        <f aca="false">IF($A53="","",IF(ISNUMBER('Raw data'!M53),'Raw data'!M53*100,""))</f>
        <v/>
      </c>
      <c r="V53" s="48" t="str">
        <f aca="false">IF($A53="","",IF(ISNUMBER('Raw data'!N53),'Raw data'!N53*100,""))</f>
        <v/>
      </c>
      <c r="W53" s="48" t="str">
        <f aca="false">IF($A53="","",IF(ISNUMBER('Raw data'!O53),'Raw data'!O53*100,""))</f>
        <v/>
      </c>
      <c r="X53" s="48" t="str">
        <f aca="false">IF($A53="","",IF(ISNUMBER('Raw data'!P53),'Raw data'!P53*100,""))</f>
        <v/>
      </c>
      <c r="Y53" s="50" t="str">
        <f aca="false">IF($A53="","",IF(AND(ISNUMBER('Raw data'!J53),ISNUMBER('Raw data'!H53),ISNUMBER('Raw data'!L53),ISNUMBER('Raw data'!O53)),ROUND(('Raw data'!J53*'Raw data'!L53+(1-'Raw data'!J53)*'Raw data'!O53-'Raw data'!H53)*100,1),""))</f>
        <v/>
      </c>
    </row>
    <row r="54" customFormat="false" ht="15" hidden="false" customHeight="false" outlineLevel="0" collapsed="false">
      <c r="A54" s="40" t="str">
        <f aca="false">IF(TRIM('Raw data'!A54)="","",TRIM('Raw data'!A54))</f>
        <v/>
      </c>
      <c r="B54" s="40" t="str">
        <f aca="false">IF($A54="","",IF('Raw data'!B54="",UPPER(LEFT($A54,3)),'Raw data'!B54))</f>
        <v/>
      </c>
      <c r="C54" s="40" t="str">
        <f aca="false">IF($A54="","",'Raw data'!C54)</f>
        <v/>
      </c>
      <c r="D54" s="41" t="str">
        <f aca="false">IF(OR($A54="",'Raw data'!E54=""),"",'Raw data'!E54)</f>
        <v/>
      </c>
      <c r="E54" s="41" t="str">
        <f aca="false">IF(OR($A54="",'Raw data'!Q54=""),"",'Raw data'!Q54)</f>
        <v/>
      </c>
      <c r="F54" s="48" t="str">
        <f aca="false">IF($A54="","",IF(ISNUMBER('Raw data'!G54),'Raw data'!G54*100,""))</f>
        <v/>
      </c>
      <c r="G54" s="48" t="str">
        <f aca="false">IF($A54="","",IF(ISNUMBER('Raw data'!H54),'Raw data'!H54*100,""))</f>
        <v/>
      </c>
      <c r="H54" s="48" t="str">
        <f aca="false">IF($A54="","",IF(ISNUMBER('Raw data'!I54),'Raw data'!I54*100,""))</f>
        <v/>
      </c>
      <c r="I54" s="48" t="str">
        <f aca="false">IF($A54="","",IF(ISNUMBER('Raw data'!R54),'Raw data'!R54*100,""))</f>
        <v/>
      </c>
      <c r="J54" s="48" t="str">
        <f aca="false">IF($A54="","",IF(ISNUMBER('Raw data'!S54),'Raw data'!S54*100,""))</f>
        <v/>
      </c>
      <c r="K54" s="48" t="str">
        <f aca="false">IF($A54="","",IF(ISNUMBER('Raw data'!T54),'Raw data'!T54*100,""))</f>
        <v/>
      </c>
      <c r="L54" s="48" t="str">
        <f aca="false">IF($A54="","",IF('Raw data'!V54&lt;&gt;"",'Raw data'!V54*100,IF(AND(N('Raw data'!E54)&gt;0,'Raw data'!Q54&lt;&gt;""),'Raw data'!Q54*(1+N('Raw data'!S54))/('Raw data'!E54*(1+N('Raw data'!H54)))*100,"")))</f>
        <v/>
      </c>
      <c r="M54" s="48" t="str">
        <f aca="false">IF($A54="","",IF('Raw data'!U54&lt;&gt;"",'Raw data'!U54*100,IF(AND(N('Raw data'!E54)&gt;0,'Raw data'!Q54&lt;&gt;""),'Raw data'!Q54/'Raw data'!E54*100,"")))</f>
        <v/>
      </c>
      <c r="N54" s="49" t="str">
        <f aca="false">IF($A54="","",IF('Raw data'!AA54&lt;&gt;"",'Raw data'!AA54,IF('Raw data'!W54="","",IF('Scoring rules'!$C$5="Lower is better",5-COUNTIF('Scoring rules'!$D$5:$G$5,"&lt;="&amp;'Raw data'!W54),1+COUNTIF('Scoring rules'!$D$5:$G$5,"&lt;="&amp;'Raw data'!W54)))))</f>
        <v/>
      </c>
      <c r="O54" s="49" t="str">
        <f aca="false">IF($A54="","",IF('Raw data'!AB54&lt;&gt;"",'Raw data'!AB54,IF('Raw data'!X54="","",IF('Scoring rules'!$C$6="Lower is better",5-COUNTIF('Scoring rules'!$D$6:$G$6,"&lt;="&amp;'Raw data'!X54),1+COUNTIF('Scoring rules'!$D$6:$G$6,"&lt;="&amp;'Raw data'!X54)))))</f>
        <v/>
      </c>
      <c r="P54" s="49" t="str">
        <f aca="false">IF($A54="","",IF('Raw data'!AC54&lt;&gt;"",'Raw data'!AC54,IF('Raw data'!Y54="","",IF('Scoring rules'!$C$7="Lower is better",5-COUNTIF('Scoring rules'!$D$7:$G$7,"&lt;="&amp;'Raw data'!Y54),1+COUNTIF('Scoring rules'!$D$7:$G$7,"&lt;="&amp;'Raw data'!Y54)))))</f>
        <v/>
      </c>
      <c r="Q54" s="49" t="str">
        <f aca="false">IF($A54="","",IF('Raw data'!AD54&lt;&gt;"",'Raw data'!AD54,IF('Raw data'!Z54="","",IF('Scoring rules'!$C$8="Lower is better",5-COUNTIF('Scoring rules'!$D$8:$G$8,"&lt;="&amp;'Raw data'!Z54),1+COUNTIF('Scoring rules'!$D$8:$G$8,"&lt;="&amp;'Raw data'!Z54)))))</f>
        <v/>
      </c>
      <c r="R54" s="49" t="str">
        <f aca="false">IF($A54="","",IF(ISNUMBER('Raw data'!J54),'Raw data'!J54*100,""))</f>
        <v/>
      </c>
      <c r="S54" s="48" t="str">
        <f aca="false">IF($A54="","",IF(ISNUMBER('Raw data'!K54),'Raw data'!K54*100,""))</f>
        <v/>
      </c>
      <c r="T54" s="48" t="str">
        <f aca="false">IF($A54="","",IF(ISNUMBER('Raw data'!L54),'Raw data'!L54*100,""))</f>
        <v/>
      </c>
      <c r="U54" s="48" t="str">
        <f aca="false">IF($A54="","",IF(ISNUMBER('Raw data'!M54),'Raw data'!M54*100,""))</f>
        <v/>
      </c>
      <c r="V54" s="48" t="str">
        <f aca="false">IF($A54="","",IF(ISNUMBER('Raw data'!N54),'Raw data'!N54*100,""))</f>
        <v/>
      </c>
      <c r="W54" s="48" t="str">
        <f aca="false">IF($A54="","",IF(ISNUMBER('Raw data'!O54),'Raw data'!O54*100,""))</f>
        <v/>
      </c>
      <c r="X54" s="48" t="str">
        <f aca="false">IF($A54="","",IF(ISNUMBER('Raw data'!P54),'Raw data'!P54*100,""))</f>
        <v/>
      </c>
      <c r="Y54" s="50" t="str">
        <f aca="false">IF($A54="","",IF(AND(ISNUMBER('Raw data'!J54),ISNUMBER('Raw data'!H54),ISNUMBER('Raw data'!L54),ISNUMBER('Raw data'!O54)),ROUND(('Raw data'!J54*'Raw data'!L54+(1-'Raw data'!J54)*'Raw data'!O54-'Raw data'!H54)*100,1),""))</f>
        <v/>
      </c>
    </row>
    <row r="55" customFormat="false" ht="15" hidden="false" customHeight="false" outlineLevel="0" collapsed="false">
      <c r="A55" s="40" t="str">
        <f aca="false">IF(TRIM('Raw data'!A55)="","",TRIM('Raw data'!A55))</f>
        <v/>
      </c>
      <c r="B55" s="40" t="str">
        <f aca="false">IF($A55="","",IF('Raw data'!B55="",UPPER(LEFT($A55,3)),'Raw data'!B55))</f>
        <v/>
      </c>
      <c r="C55" s="40" t="str">
        <f aca="false">IF($A55="","",'Raw data'!C55)</f>
        <v/>
      </c>
      <c r="D55" s="41" t="str">
        <f aca="false">IF(OR($A55="",'Raw data'!E55=""),"",'Raw data'!E55)</f>
        <v/>
      </c>
      <c r="E55" s="41" t="str">
        <f aca="false">IF(OR($A55="",'Raw data'!Q55=""),"",'Raw data'!Q55)</f>
        <v/>
      </c>
      <c r="F55" s="48" t="str">
        <f aca="false">IF($A55="","",IF(ISNUMBER('Raw data'!G55),'Raw data'!G55*100,""))</f>
        <v/>
      </c>
      <c r="G55" s="48" t="str">
        <f aca="false">IF($A55="","",IF(ISNUMBER('Raw data'!H55),'Raw data'!H55*100,""))</f>
        <v/>
      </c>
      <c r="H55" s="48" t="str">
        <f aca="false">IF($A55="","",IF(ISNUMBER('Raw data'!I55),'Raw data'!I55*100,""))</f>
        <v/>
      </c>
      <c r="I55" s="48" t="str">
        <f aca="false">IF($A55="","",IF(ISNUMBER('Raw data'!R55),'Raw data'!R55*100,""))</f>
        <v/>
      </c>
      <c r="J55" s="48" t="str">
        <f aca="false">IF($A55="","",IF(ISNUMBER('Raw data'!S55),'Raw data'!S55*100,""))</f>
        <v/>
      </c>
      <c r="K55" s="48" t="str">
        <f aca="false">IF($A55="","",IF(ISNUMBER('Raw data'!T55),'Raw data'!T55*100,""))</f>
        <v/>
      </c>
      <c r="L55" s="48" t="str">
        <f aca="false">IF($A55="","",IF('Raw data'!V55&lt;&gt;"",'Raw data'!V55*100,IF(AND(N('Raw data'!E55)&gt;0,'Raw data'!Q55&lt;&gt;""),'Raw data'!Q55*(1+N('Raw data'!S55))/('Raw data'!E55*(1+N('Raw data'!H55)))*100,"")))</f>
        <v/>
      </c>
      <c r="M55" s="48" t="str">
        <f aca="false">IF($A55="","",IF('Raw data'!U55&lt;&gt;"",'Raw data'!U55*100,IF(AND(N('Raw data'!E55)&gt;0,'Raw data'!Q55&lt;&gt;""),'Raw data'!Q55/'Raw data'!E55*100,"")))</f>
        <v/>
      </c>
      <c r="N55" s="49" t="str">
        <f aca="false">IF($A55="","",IF('Raw data'!AA55&lt;&gt;"",'Raw data'!AA55,IF('Raw data'!W55="","",IF('Scoring rules'!$C$5="Lower is better",5-COUNTIF('Scoring rules'!$D$5:$G$5,"&lt;="&amp;'Raw data'!W55),1+COUNTIF('Scoring rules'!$D$5:$G$5,"&lt;="&amp;'Raw data'!W55)))))</f>
        <v/>
      </c>
      <c r="O55" s="49" t="str">
        <f aca="false">IF($A55="","",IF('Raw data'!AB55&lt;&gt;"",'Raw data'!AB55,IF('Raw data'!X55="","",IF('Scoring rules'!$C$6="Lower is better",5-COUNTIF('Scoring rules'!$D$6:$G$6,"&lt;="&amp;'Raw data'!X55),1+COUNTIF('Scoring rules'!$D$6:$G$6,"&lt;="&amp;'Raw data'!X55)))))</f>
        <v/>
      </c>
      <c r="P55" s="49" t="str">
        <f aca="false">IF($A55="","",IF('Raw data'!AC55&lt;&gt;"",'Raw data'!AC55,IF('Raw data'!Y55="","",IF('Scoring rules'!$C$7="Lower is better",5-COUNTIF('Scoring rules'!$D$7:$G$7,"&lt;="&amp;'Raw data'!Y55),1+COUNTIF('Scoring rules'!$D$7:$G$7,"&lt;="&amp;'Raw data'!Y55)))))</f>
        <v/>
      </c>
      <c r="Q55" s="49" t="str">
        <f aca="false">IF($A55="","",IF('Raw data'!AD55&lt;&gt;"",'Raw data'!AD55,IF('Raw data'!Z55="","",IF('Scoring rules'!$C$8="Lower is better",5-COUNTIF('Scoring rules'!$D$8:$G$8,"&lt;="&amp;'Raw data'!Z55),1+COUNTIF('Scoring rules'!$D$8:$G$8,"&lt;="&amp;'Raw data'!Z55)))))</f>
        <v/>
      </c>
      <c r="R55" s="49" t="str">
        <f aca="false">IF($A55="","",IF(ISNUMBER('Raw data'!J55),'Raw data'!J55*100,""))</f>
        <v/>
      </c>
      <c r="S55" s="48" t="str">
        <f aca="false">IF($A55="","",IF(ISNUMBER('Raw data'!K55),'Raw data'!K55*100,""))</f>
        <v/>
      </c>
      <c r="T55" s="48" t="str">
        <f aca="false">IF($A55="","",IF(ISNUMBER('Raw data'!L55),'Raw data'!L55*100,""))</f>
        <v/>
      </c>
      <c r="U55" s="48" t="str">
        <f aca="false">IF($A55="","",IF(ISNUMBER('Raw data'!M55),'Raw data'!M55*100,""))</f>
        <v/>
      </c>
      <c r="V55" s="48" t="str">
        <f aca="false">IF($A55="","",IF(ISNUMBER('Raw data'!N55),'Raw data'!N55*100,""))</f>
        <v/>
      </c>
      <c r="W55" s="48" t="str">
        <f aca="false">IF($A55="","",IF(ISNUMBER('Raw data'!O55),'Raw data'!O55*100,""))</f>
        <v/>
      </c>
      <c r="X55" s="48" t="str">
        <f aca="false">IF($A55="","",IF(ISNUMBER('Raw data'!P55),'Raw data'!P55*100,""))</f>
        <v/>
      </c>
      <c r="Y55" s="50" t="str">
        <f aca="false">IF($A55="","",IF(AND(ISNUMBER('Raw data'!J55),ISNUMBER('Raw data'!H55),ISNUMBER('Raw data'!L55),ISNUMBER('Raw data'!O55)),ROUND(('Raw data'!J55*'Raw data'!L55+(1-'Raw data'!J55)*'Raw data'!O55-'Raw data'!H55)*100,1),""))</f>
        <v/>
      </c>
    </row>
    <row r="56" customFormat="false" ht="15" hidden="false" customHeight="false" outlineLevel="0" collapsed="false">
      <c r="A56" s="40" t="str">
        <f aca="false">IF(TRIM('Raw data'!A56)="","",TRIM('Raw data'!A56))</f>
        <v/>
      </c>
      <c r="B56" s="40" t="str">
        <f aca="false">IF($A56="","",IF('Raw data'!B56="",UPPER(LEFT($A56,3)),'Raw data'!B56))</f>
        <v/>
      </c>
      <c r="C56" s="40" t="str">
        <f aca="false">IF($A56="","",'Raw data'!C56)</f>
        <v/>
      </c>
      <c r="D56" s="41" t="str">
        <f aca="false">IF(OR($A56="",'Raw data'!E56=""),"",'Raw data'!E56)</f>
        <v/>
      </c>
      <c r="E56" s="41" t="str">
        <f aca="false">IF(OR($A56="",'Raw data'!Q56=""),"",'Raw data'!Q56)</f>
        <v/>
      </c>
      <c r="F56" s="48" t="str">
        <f aca="false">IF($A56="","",IF(ISNUMBER('Raw data'!G56),'Raw data'!G56*100,""))</f>
        <v/>
      </c>
      <c r="G56" s="48" t="str">
        <f aca="false">IF($A56="","",IF(ISNUMBER('Raw data'!H56),'Raw data'!H56*100,""))</f>
        <v/>
      </c>
      <c r="H56" s="48" t="str">
        <f aca="false">IF($A56="","",IF(ISNUMBER('Raw data'!I56),'Raw data'!I56*100,""))</f>
        <v/>
      </c>
      <c r="I56" s="48" t="str">
        <f aca="false">IF($A56="","",IF(ISNUMBER('Raw data'!R56),'Raw data'!R56*100,""))</f>
        <v/>
      </c>
      <c r="J56" s="48" t="str">
        <f aca="false">IF($A56="","",IF(ISNUMBER('Raw data'!S56),'Raw data'!S56*100,""))</f>
        <v/>
      </c>
      <c r="K56" s="48" t="str">
        <f aca="false">IF($A56="","",IF(ISNUMBER('Raw data'!T56),'Raw data'!T56*100,""))</f>
        <v/>
      </c>
      <c r="L56" s="48" t="str">
        <f aca="false">IF($A56="","",IF('Raw data'!V56&lt;&gt;"",'Raw data'!V56*100,IF(AND(N('Raw data'!E56)&gt;0,'Raw data'!Q56&lt;&gt;""),'Raw data'!Q56*(1+N('Raw data'!S56))/('Raw data'!E56*(1+N('Raw data'!H56)))*100,"")))</f>
        <v/>
      </c>
      <c r="M56" s="48" t="str">
        <f aca="false">IF($A56="","",IF('Raw data'!U56&lt;&gt;"",'Raw data'!U56*100,IF(AND(N('Raw data'!E56)&gt;0,'Raw data'!Q56&lt;&gt;""),'Raw data'!Q56/'Raw data'!E56*100,"")))</f>
        <v/>
      </c>
      <c r="N56" s="49" t="str">
        <f aca="false">IF($A56="","",IF('Raw data'!AA56&lt;&gt;"",'Raw data'!AA56,IF('Raw data'!W56="","",IF('Scoring rules'!$C$5="Lower is better",5-COUNTIF('Scoring rules'!$D$5:$G$5,"&lt;="&amp;'Raw data'!W56),1+COUNTIF('Scoring rules'!$D$5:$G$5,"&lt;="&amp;'Raw data'!W56)))))</f>
        <v/>
      </c>
      <c r="O56" s="49" t="str">
        <f aca="false">IF($A56="","",IF('Raw data'!AB56&lt;&gt;"",'Raw data'!AB56,IF('Raw data'!X56="","",IF('Scoring rules'!$C$6="Lower is better",5-COUNTIF('Scoring rules'!$D$6:$G$6,"&lt;="&amp;'Raw data'!X56),1+COUNTIF('Scoring rules'!$D$6:$G$6,"&lt;="&amp;'Raw data'!X56)))))</f>
        <v/>
      </c>
      <c r="P56" s="49" t="str">
        <f aca="false">IF($A56="","",IF('Raw data'!AC56&lt;&gt;"",'Raw data'!AC56,IF('Raw data'!Y56="","",IF('Scoring rules'!$C$7="Lower is better",5-COUNTIF('Scoring rules'!$D$7:$G$7,"&lt;="&amp;'Raw data'!Y56),1+COUNTIF('Scoring rules'!$D$7:$G$7,"&lt;="&amp;'Raw data'!Y56)))))</f>
        <v/>
      </c>
      <c r="Q56" s="49" t="str">
        <f aca="false">IF($A56="","",IF('Raw data'!AD56&lt;&gt;"",'Raw data'!AD56,IF('Raw data'!Z56="","",IF('Scoring rules'!$C$8="Lower is better",5-COUNTIF('Scoring rules'!$D$8:$G$8,"&lt;="&amp;'Raw data'!Z56),1+COUNTIF('Scoring rules'!$D$8:$G$8,"&lt;="&amp;'Raw data'!Z56)))))</f>
        <v/>
      </c>
      <c r="R56" s="49" t="str">
        <f aca="false">IF($A56="","",IF(ISNUMBER('Raw data'!J56),'Raw data'!J56*100,""))</f>
        <v/>
      </c>
      <c r="S56" s="48" t="str">
        <f aca="false">IF($A56="","",IF(ISNUMBER('Raw data'!K56),'Raw data'!K56*100,""))</f>
        <v/>
      </c>
      <c r="T56" s="48" t="str">
        <f aca="false">IF($A56="","",IF(ISNUMBER('Raw data'!L56),'Raw data'!L56*100,""))</f>
        <v/>
      </c>
      <c r="U56" s="48" t="str">
        <f aca="false">IF($A56="","",IF(ISNUMBER('Raw data'!M56),'Raw data'!M56*100,""))</f>
        <v/>
      </c>
      <c r="V56" s="48" t="str">
        <f aca="false">IF($A56="","",IF(ISNUMBER('Raw data'!N56),'Raw data'!N56*100,""))</f>
        <v/>
      </c>
      <c r="W56" s="48" t="str">
        <f aca="false">IF($A56="","",IF(ISNUMBER('Raw data'!O56),'Raw data'!O56*100,""))</f>
        <v/>
      </c>
      <c r="X56" s="48" t="str">
        <f aca="false">IF($A56="","",IF(ISNUMBER('Raw data'!P56),'Raw data'!P56*100,""))</f>
        <v/>
      </c>
      <c r="Y56" s="50" t="str">
        <f aca="false">IF($A56="","",IF(AND(ISNUMBER('Raw data'!J56),ISNUMBER('Raw data'!H56),ISNUMBER('Raw data'!L56),ISNUMBER('Raw data'!O56)),ROUND(('Raw data'!J56*'Raw data'!L56+(1-'Raw data'!J56)*'Raw data'!O56-'Raw data'!H56)*100,1),""))</f>
        <v/>
      </c>
    </row>
    <row r="57" customFormat="false" ht="15" hidden="false" customHeight="false" outlineLevel="0" collapsed="false">
      <c r="A57" s="40" t="str">
        <f aca="false">IF(TRIM('Raw data'!A57)="","",TRIM('Raw data'!A57))</f>
        <v/>
      </c>
      <c r="B57" s="40" t="str">
        <f aca="false">IF($A57="","",IF('Raw data'!B57="",UPPER(LEFT($A57,3)),'Raw data'!B57))</f>
        <v/>
      </c>
      <c r="C57" s="40" t="str">
        <f aca="false">IF($A57="","",'Raw data'!C57)</f>
        <v/>
      </c>
      <c r="D57" s="41" t="str">
        <f aca="false">IF(OR($A57="",'Raw data'!E57=""),"",'Raw data'!E57)</f>
        <v/>
      </c>
      <c r="E57" s="41" t="str">
        <f aca="false">IF(OR($A57="",'Raw data'!Q57=""),"",'Raw data'!Q57)</f>
        <v/>
      </c>
      <c r="F57" s="48" t="str">
        <f aca="false">IF($A57="","",IF(ISNUMBER('Raw data'!G57),'Raw data'!G57*100,""))</f>
        <v/>
      </c>
      <c r="G57" s="48" t="str">
        <f aca="false">IF($A57="","",IF(ISNUMBER('Raw data'!H57),'Raw data'!H57*100,""))</f>
        <v/>
      </c>
      <c r="H57" s="48" t="str">
        <f aca="false">IF($A57="","",IF(ISNUMBER('Raw data'!I57),'Raw data'!I57*100,""))</f>
        <v/>
      </c>
      <c r="I57" s="48" t="str">
        <f aca="false">IF($A57="","",IF(ISNUMBER('Raw data'!R57),'Raw data'!R57*100,""))</f>
        <v/>
      </c>
      <c r="J57" s="48" t="str">
        <f aca="false">IF($A57="","",IF(ISNUMBER('Raw data'!S57),'Raw data'!S57*100,""))</f>
        <v/>
      </c>
      <c r="K57" s="48" t="str">
        <f aca="false">IF($A57="","",IF(ISNUMBER('Raw data'!T57),'Raw data'!T57*100,""))</f>
        <v/>
      </c>
      <c r="L57" s="48" t="str">
        <f aca="false">IF($A57="","",IF('Raw data'!V57&lt;&gt;"",'Raw data'!V57*100,IF(AND(N('Raw data'!E57)&gt;0,'Raw data'!Q57&lt;&gt;""),'Raw data'!Q57*(1+N('Raw data'!S57))/('Raw data'!E57*(1+N('Raw data'!H57)))*100,"")))</f>
        <v/>
      </c>
      <c r="M57" s="48" t="str">
        <f aca="false">IF($A57="","",IF('Raw data'!U57&lt;&gt;"",'Raw data'!U57*100,IF(AND(N('Raw data'!E57)&gt;0,'Raw data'!Q57&lt;&gt;""),'Raw data'!Q57/'Raw data'!E57*100,"")))</f>
        <v/>
      </c>
      <c r="N57" s="49" t="str">
        <f aca="false">IF($A57="","",IF('Raw data'!AA57&lt;&gt;"",'Raw data'!AA57,IF('Raw data'!W57="","",IF('Scoring rules'!$C$5="Lower is better",5-COUNTIF('Scoring rules'!$D$5:$G$5,"&lt;="&amp;'Raw data'!W57),1+COUNTIF('Scoring rules'!$D$5:$G$5,"&lt;="&amp;'Raw data'!W57)))))</f>
        <v/>
      </c>
      <c r="O57" s="49" t="str">
        <f aca="false">IF($A57="","",IF('Raw data'!AB57&lt;&gt;"",'Raw data'!AB57,IF('Raw data'!X57="","",IF('Scoring rules'!$C$6="Lower is better",5-COUNTIF('Scoring rules'!$D$6:$G$6,"&lt;="&amp;'Raw data'!X57),1+COUNTIF('Scoring rules'!$D$6:$G$6,"&lt;="&amp;'Raw data'!X57)))))</f>
        <v/>
      </c>
      <c r="P57" s="49" t="str">
        <f aca="false">IF($A57="","",IF('Raw data'!AC57&lt;&gt;"",'Raw data'!AC57,IF('Raw data'!Y57="","",IF('Scoring rules'!$C$7="Lower is better",5-COUNTIF('Scoring rules'!$D$7:$G$7,"&lt;="&amp;'Raw data'!Y57),1+COUNTIF('Scoring rules'!$D$7:$G$7,"&lt;="&amp;'Raw data'!Y57)))))</f>
        <v/>
      </c>
      <c r="Q57" s="49" t="str">
        <f aca="false">IF($A57="","",IF('Raw data'!AD57&lt;&gt;"",'Raw data'!AD57,IF('Raw data'!Z57="","",IF('Scoring rules'!$C$8="Lower is better",5-COUNTIF('Scoring rules'!$D$8:$G$8,"&lt;="&amp;'Raw data'!Z57),1+COUNTIF('Scoring rules'!$D$8:$G$8,"&lt;="&amp;'Raw data'!Z57)))))</f>
        <v/>
      </c>
      <c r="R57" s="49" t="str">
        <f aca="false">IF($A57="","",IF(ISNUMBER('Raw data'!J57),'Raw data'!J57*100,""))</f>
        <v/>
      </c>
      <c r="S57" s="48" t="str">
        <f aca="false">IF($A57="","",IF(ISNUMBER('Raw data'!K57),'Raw data'!K57*100,""))</f>
        <v/>
      </c>
      <c r="T57" s="48" t="str">
        <f aca="false">IF($A57="","",IF(ISNUMBER('Raw data'!L57),'Raw data'!L57*100,""))</f>
        <v/>
      </c>
      <c r="U57" s="48" t="str">
        <f aca="false">IF($A57="","",IF(ISNUMBER('Raw data'!M57),'Raw data'!M57*100,""))</f>
        <v/>
      </c>
      <c r="V57" s="48" t="str">
        <f aca="false">IF($A57="","",IF(ISNUMBER('Raw data'!N57),'Raw data'!N57*100,""))</f>
        <v/>
      </c>
      <c r="W57" s="48" t="str">
        <f aca="false">IF($A57="","",IF(ISNUMBER('Raw data'!O57),'Raw data'!O57*100,""))</f>
        <v/>
      </c>
      <c r="X57" s="48" t="str">
        <f aca="false">IF($A57="","",IF(ISNUMBER('Raw data'!P57),'Raw data'!P57*100,""))</f>
        <v/>
      </c>
      <c r="Y57" s="50" t="str">
        <f aca="false">IF($A57="","",IF(AND(ISNUMBER('Raw data'!J57),ISNUMBER('Raw data'!H57),ISNUMBER('Raw data'!L57),ISNUMBER('Raw data'!O57)),ROUND(('Raw data'!J57*'Raw data'!L57+(1-'Raw data'!J57)*'Raw data'!O57-'Raw data'!H57)*100,1),""))</f>
        <v/>
      </c>
    </row>
    <row r="58" customFormat="false" ht="15" hidden="false" customHeight="false" outlineLevel="0" collapsed="false">
      <c r="A58" s="40" t="str">
        <f aca="false">IF(TRIM('Raw data'!A58)="","",TRIM('Raw data'!A58))</f>
        <v/>
      </c>
      <c r="B58" s="40" t="str">
        <f aca="false">IF($A58="","",IF('Raw data'!B58="",UPPER(LEFT($A58,3)),'Raw data'!B58))</f>
        <v/>
      </c>
      <c r="C58" s="40" t="str">
        <f aca="false">IF($A58="","",'Raw data'!C58)</f>
        <v/>
      </c>
      <c r="D58" s="41" t="str">
        <f aca="false">IF(OR($A58="",'Raw data'!E58=""),"",'Raw data'!E58)</f>
        <v/>
      </c>
      <c r="E58" s="41" t="str">
        <f aca="false">IF(OR($A58="",'Raw data'!Q58=""),"",'Raw data'!Q58)</f>
        <v/>
      </c>
      <c r="F58" s="48" t="str">
        <f aca="false">IF($A58="","",IF(ISNUMBER('Raw data'!G58),'Raw data'!G58*100,""))</f>
        <v/>
      </c>
      <c r="G58" s="48" t="str">
        <f aca="false">IF($A58="","",IF(ISNUMBER('Raw data'!H58),'Raw data'!H58*100,""))</f>
        <v/>
      </c>
      <c r="H58" s="48" t="str">
        <f aca="false">IF($A58="","",IF(ISNUMBER('Raw data'!I58),'Raw data'!I58*100,""))</f>
        <v/>
      </c>
      <c r="I58" s="48" t="str">
        <f aca="false">IF($A58="","",IF(ISNUMBER('Raw data'!R58),'Raw data'!R58*100,""))</f>
        <v/>
      </c>
      <c r="J58" s="48" t="str">
        <f aca="false">IF($A58="","",IF(ISNUMBER('Raw data'!S58),'Raw data'!S58*100,""))</f>
        <v/>
      </c>
      <c r="K58" s="48" t="str">
        <f aca="false">IF($A58="","",IF(ISNUMBER('Raw data'!T58),'Raw data'!T58*100,""))</f>
        <v/>
      </c>
      <c r="L58" s="48" t="str">
        <f aca="false">IF($A58="","",IF('Raw data'!V58&lt;&gt;"",'Raw data'!V58*100,IF(AND(N('Raw data'!E58)&gt;0,'Raw data'!Q58&lt;&gt;""),'Raw data'!Q58*(1+N('Raw data'!S58))/('Raw data'!E58*(1+N('Raw data'!H58)))*100,"")))</f>
        <v/>
      </c>
      <c r="M58" s="48" t="str">
        <f aca="false">IF($A58="","",IF('Raw data'!U58&lt;&gt;"",'Raw data'!U58*100,IF(AND(N('Raw data'!E58)&gt;0,'Raw data'!Q58&lt;&gt;""),'Raw data'!Q58/'Raw data'!E58*100,"")))</f>
        <v/>
      </c>
      <c r="N58" s="49" t="str">
        <f aca="false">IF($A58="","",IF('Raw data'!AA58&lt;&gt;"",'Raw data'!AA58,IF('Raw data'!W58="","",IF('Scoring rules'!$C$5="Lower is better",5-COUNTIF('Scoring rules'!$D$5:$G$5,"&lt;="&amp;'Raw data'!W58),1+COUNTIF('Scoring rules'!$D$5:$G$5,"&lt;="&amp;'Raw data'!W58)))))</f>
        <v/>
      </c>
      <c r="O58" s="49" t="str">
        <f aca="false">IF($A58="","",IF('Raw data'!AB58&lt;&gt;"",'Raw data'!AB58,IF('Raw data'!X58="","",IF('Scoring rules'!$C$6="Lower is better",5-COUNTIF('Scoring rules'!$D$6:$G$6,"&lt;="&amp;'Raw data'!X58),1+COUNTIF('Scoring rules'!$D$6:$G$6,"&lt;="&amp;'Raw data'!X58)))))</f>
        <v/>
      </c>
      <c r="P58" s="49" t="str">
        <f aca="false">IF($A58="","",IF('Raw data'!AC58&lt;&gt;"",'Raw data'!AC58,IF('Raw data'!Y58="","",IF('Scoring rules'!$C$7="Lower is better",5-COUNTIF('Scoring rules'!$D$7:$G$7,"&lt;="&amp;'Raw data'!Y58),1+COUNTIF('Scoring rules'!$D$7:$G$7,"&lt;="&amp;'Raw data'!Y58)))))</f>
        <v/>
      </c>
      <c r="Q58" s="49" t="str">
        <f aca="false">IF($A58="","",IF('Raw data'!AD58&lt;&gt;"",'Raw data'!AD58,IF('Raw data'!Z58="","",IF('Scoring rules'!$C$8="Lower is better",5-COUNTIF('Scoring rules'!$D$8:$G$8,"&lt;="&amp;'Raw data'!Z58),1+COUNTIF('Scoring rules'!$D$8:$G$8,"&lt;="&amp;'Raw data'!Z58)))))</f>
        <v/>
      </c>
      <c r="R58" s="49" t="str">
        <f aca="false">IF($A58="","",IF(ISNUMBER('Raw data'!J58),'Raw data'!J58*100,""))</f>
        <v/>
      </c>
      <c r="S58" s="48" t="str">
        <f aca="false">IF($A58="","",IF(ISNUMBER('Raw data'!K58),'Raw data'!K58*100,""))</f>
        <v/>
      </c>
      <c r="T58" s="48" t="str">
        <f aca="false">IF($A58="","",IF(ISNUMBER('Raw data'!L58),'Raw data'!L58*100,""))</f>
        <v/>
      </c>
      <c r="U58" s="48" t="str">
        <f aca="false">IF($A58="","",IF(ISNUMBER('Raw data'!M58),'Raw data'!M58*100,""))</f>
        <v/>
      </c>
      <c r="V58" s="48" t="str">
        <f aca="false">IF($A58="","",IF(ISNUMBER('Raw data'!N58),'Raw data'!N58*100,""))</f>
        <v/>
      </c>
      <c r="W58" s="48" t="str">
        <f aca="false">IF($A58="","",IF(ISNUMBER('Raw data'!O58),'Raw data'!O58*100,""))</f>
        <v/>
      </c>
      <c r="X58" s="48" t="str">
        <f aca="false">IF($A58="","",IF(ISNUMBER('Raw data'!P58),'Raw data'!P58*100,""))</f>
        <v/>
      </c>
      <c r="Y58" s="50" t="str">
        <f aca="false">IF($A58="","",IF(AND(ISNUMBER('Raw data'!J58),ISNUMBER('Raw data'!H58),ISNUMBER('Raw data'!L58),ISNUMBER('Raw data'!O58)),ROUND(('Raw data'!J58*'Raw data'!L58+(1-'Raw data'!J58)*'Raw data'!O58-'Raw data'!H58)*100,1),""))</f>
        <v/>
      </c>
    </row>
    <row r="59" customFormat="false" ht="15" hidden="false" customHeight="false" outlineLevel="0" collapsed="false">
      <c r="A59" s="40" t="str">
        <f aca="false">IF(TRIM('Raw data'!A59)="","",TRIM('Raw data'!A59))</f>
        <v/>
      </c>
      <c r="B59" s="40" t="str">
        <f aca="false">IF($A59="","",IF('Raw data'!B59="",UPPER(LEFT($A59,3)),'Raw data'!B59))</f>
        <v/>
      </c>
      <c r="C59" s="40" t="str">
        <f aca="false">IF($A59="","",'Raw data'!C59)</f>
        <v/>
      </c>
      <c r="D59" s="41" t="str">
        <f aca="false">IF(OR($A59="",'Raw data'!E59=""),"",'Raw data'!E59)</f>
        <v/>
      </c>
      <c r="E59" s="41" t="str">
        <f aca="false">IF(OR($A59="",'Raw data'!Q59=""),"",'Raw data'!Q59)</f>
        <v/>
      </c>
      <c r="F59" s="48" t="str">
        <f aca="false">IF($A59="","",IF(ISNUMBER('Raw data'!G59),'Raw data'!G59*100,""))</f>
        <v/>
      </c>
      <c r="G59" s="48" t="str">
        <f aca="false">IF($A59="","",IF(ISNUMBER('Raw data'!H59),'Raw data'!H59*100,""))</f>
        <v/>
      </c>
      <c r="H59" s="48" t="str">
        <f aca="false">IF($A59="","",IF(ISNUMBER('Raw data'!I59),'Raw data'!I59*100,""))</f>
        <v/>
      </c>
      <c r="I59" s="48" t="str">
        <f aca="false">IF($A59="","",IF(ISNUMBER('Raw data'!R59),'Raw data'!R59*100,""))</f>
        <v/>
      </c>
      <c r="J59" s="48" t="str">
        <f aca="false">IF($A59="","",IF(ISNUMBER('Raw data'!S59),'Raw data'!S59*100,""))</f>
        <v/>
      </c>
      <c r="K59" s="48" t="str">
        <f aca="false">IF($A59="","",IF(ISNUMBER('Raw data'!T59),'Raw data'!T59*100,""))</f>
        <v/>
      </c>
      <c r="L59" s="48" t="str">
        <f aca="false">IF($A59="","",IF('Raw data'!V59&lt;&gt;"",'Raw data'!V59*100,IF(AND(N('Raw data'!E59)&gt;0,'Raw data'!Q59&lt;&gt;""),'Raw data'!Q59*(1+N('Raw data'!S59))/('Raw data'!E59*(1+N('Raw data'!H59)))*100,"")))</f>
        <v/>
      </c>
      <c r="M59" s="48" t="str">
        <f aca="false">IF($A59="","",IF('Raw data'!U59&lt;&gt;"",'Raw data'!U59*100,IF(AND(N('Raw data'!E59)&gt;0,'Raw data'!Q59&lt;&gt;""),'Raw data'!Q59/'Raw data'!E59*100,"")))</f>
        <v/>
      </c>
      <c r="N59" s="49" t="str">
        <f aca="false">IF($A59="","",IF('Raw data'!AA59&lt;&gt;"",'Raw data'!AA59,IF('Raw data'!W59="","",IF('Scoring rules'!$C$5="Lower is better",5-COUNTIF('Scoring rules'!$D$5:$G$5,"&lt;="&amp;'Raw data'!W59),1+COUNTIF('Scoring rules'!$D$5:$G$5,"&lt;="&amp;'Raw data'!W59)))))</f>
        <v/>
      </c>
      <c r="O59" s="49" t="str">
        <f aca="false">IF($A59="","",IF('Raw data'!AB59&lt;&gt;"",'Raw data'!AB59,IF('Raw data'!X59="","",IF('Scoring rules'!$C$6="Lower is better",5-COUNTIF('Scoring rules'!$D$6:$G$6,"&lt;="&amp;'Raw data'!X59),1+COUNTIF('Scoring rules'!$D$6:$G$6,"&lt;="&amp;'Raw data'!X59)))))</f>
        <v/>
      </c>
      <c r="P59" s="49" t="str">
        <f aca="false">IF($A59="","",IF('Raw data'!AC59&lt;&gt;"",'Raw data'!AC59,IF('Raw data'!Y59="","",IF('Scoring rules'!$C$7="Lower is better",5-COUNTIF('Scoring rules'!$D$7:$G$7,"&lt;="&amp;'Raw data'!Y59),1+COUNTIF('Scoring rules'!$D$7:$G$7,"&lt;="&amp;'Raw data'!Y59)))))</f>
        <v/>
      </c>
      <c r="Q59" s="49" t="str">
        <f aca="false">IF($A59="","",IF('Raw data'!AD59&lt;&gt;"",'Raw data'!AD59,IF('Raw data'!Z59="","",IF('Scoring rules'!$C$8="Lower is better",5-COUNTIF('Scoring rules'!$D$8:$G$8,"&lt;="&amp;'Raw data'!Z59),1+COUNTIF('Scoring rules'!$D$8:$G$8,"&lt;="&amp;'Raw data'!Z59)))))</f>
        <v/>
      </c>
      <c r="R59" s="49" t="str">
        <f aca="false">IF($A59="","",IF(ISNUMBER('Raw data'!J59),'Raw data'!J59*100,""))</f>
        <v/>
      </c>
      <c r="S59" s="48" t="str">
        <f aca="false">IF($A59="","",IF(ISNUMBER('Raw data'!K59),'Raw data'!K59*100,""))</f>
        <v/>
      </c>
      <c r="T59" s="48" t="str">
        <f aca="false">IF($A59="","",IF(ISNUMBER('Raw data'!L59),'Raw data'!L59*100,""))</f>
        <v/>
      </c>
      <c r="U59" s="48" t="str">
        <f aca="false">IF($A59="","",IF(ISNUMBER('Raw data'!M59),'Raw data'!M59*100,""))</f>
        <v/>
      </c>
      <c r="V59" s="48" t="str">
        <f aca="false">IF($A59="","",IF(ISNUMBER('Raw data'!N59),'Raw data'!N59*100,""))</f>
        <v/>
      </c>
      <c r="W59" s="48" t="str">
        <f aca="false">IF($A59="","",IF(ISNUMBER('Raw data'!O59),'Raw data'!O59*100,""))</f>
        <v/>
      </c>
      <c r="X59" s="48" t="str">
        <f aca="false">IF($A59="","",IF(ISNUMBER('Raw data'!P59),'Raw data'!P59*100,""))</f>
        <v/>
      </c>
      <c r="Y59" s="50" t="str">
        <f aca="false">IF($A59="","",IF(AND(ISNUMBER('Raw data'!J59),ISNUMBER('Raw data'!H59),ISNUMBER('Raw data'!L59),ISNUMBER('Raw data'!O59)),ROUND(('Raw data'!J59*'Raw data'!L59+(1-'Raw data'!J59)*'Raw data'!O59-'Raw data'!H59)*100,1),""))</f>
        <v/>
      </c>
    </row>
    <row r="60" customFormat="false" ht="15" hidden="false" customHeight="false" outlineLevel="0" collapsed="false">
      <c r="A60" s="40" t="str">
        <f aca="false">IF(TRIM('Raw data'!A60)="","",TRIM('Raw data'!A60))</f>
        <v/>
      </c>
      <c r="B60" s="40" t="str">
        <f aca="false">IF($A60="","",IF('Raw data'!B60="",UPPER(LEFT($A60,3)),'Raw data'!B60))</f>
        <v/>
      </c>
      <c r="C60" s="40" t="str">
        <f aca="false">IF($A60="","",'Raw data'!C60)</f>
        <v/>
      </c>
      <c r="D60" s="41" t="str">
        <f aca="false">IF(OR($A60="",'Raw data'!E60=""),"",'Raw data'!E60)</f>
        <v/>
      </c>
      <c r="E60" s="41" t="str">
        <f aca="false">IF(OR($A60="",'Raw data'!Q60=""),"",'Raw data'!Q60)</f>
        <v/>
      </c>
      <c r="F60" s="48" t="str">
        <f aca="false">IF($A60="","",IF(ISNUMBER('Raw data'!G60),'Raw data'!G60*100,""))</f>
        <v/>
      </c>
      <c r="G60" s="48" t="str">
        <f aca="false">IF($A60="","",IF(ISNUMBER('Raw data'!H60),'Raw data'!H60*100,""))</f>
        <v/>
      </c>
      <c r="H60" s="48" t="str">
        <f aca="false">IF($A60="","",IF(ISNUMBER('Raw data'!I60),'Raw data'!I60*100,""))</f>
        <v/>
      </c>
      <c r="I60" s="48" t="str">
        <f aca="false">IF($A60="","",IF(ISNUMBER('Raw data'!R60),'Raw data'!R60*100,""))</f>
        <v/>
      </c>
      <c r="J60" s="48" t="str">
        <f aca="false">IF($A60="","",IF(ISNUMBER('Raw data'!S60),'Raw data'!S60*100,""))</f>
        <v/>
      </c>
      <c r="K60" s="48" t="str">
        <f aca="false">IF($A60="","",IF(ISNUMBER('Raw data'!T60),'Raw data'!T60*100,""))</f>
        <v/>
      </c>
      <c r="L60" s="48" t="str">
        <f aca="false">IF($A60="","",IF('Raw data'!V60&lt;&gt;"",'Raw data'!V60*100,IF(AND(N('Raw data'!E60)&gt;0,'Raw data'!Q60&lt;&gt;""),'Raw data'!Q60*(1+N('Raw data'!S60))/('Raw data'!E60*(1+N('Raw data'!H60)))*100,"")))</f>
        <v/>
      </c>
      <c r="M60" s="48" t="str">
        <f aca="false">IF($A60="","",IF('Raw data'!U60&lt;&gt;"",'Raw data'!U60*100,IF(AND(N('Raw data'!E60)&gt;0,'Raw data'!Q60&lt;&gt;""),'Raw data'!Q60/'Raw data'!E60*100,"")))</f>
        <v/>
      </c>
      <c r="N60" s="49" t="str">
        <f aca="false">IF($A60="","",IF('Raw data'!AA60&lt;&gt;"",'Raw data'!AA60,IF('Raw data'!W60="","",IF('Scoring rules'!$C$5="Lower is better",5-COUNTIF('Scoring rules'!$D$5:$G$5,"&lt;="&amp;'Raw data'!W60),1+COUNTIF('Scoring rules'!$D$5:$G$5,"&lt;="&amp;'Raw data'!W60)))))</f>
        <v/>
      </c>
      <c r="O60" s="49" t="str">
        <f aca="false">IF($A60="","",IF('Raw data'!AB60&lt;&gt;"",'Raw data'!AB60,IF('Raw data'!X60="","",IF('Scoring rules'!$C$6="Lower is better",5-COUNTIF('Scoring rules'!$D$6:$G$6,"&lt;="&amp;'Raw data'!X60),1+COUNTIF('Scoring rules'!$D$6:$G$6,"&lt;="&amp;'Raw data'!X60)))))</f>
        <v/>
      </c>
      <c r="P60" s="49" t="str">
        <f aca="false">IF($A60="","",IF('Raw data'!AC60&lt;&gt;"",'Raw data'!AC60,IF('Raw data'!Y60="","",IF('Scoring rules'!$C$7="Lower is better",5-COUNTIF('Scoring rules'!$D$7:$G$7,"&lt;="&amp;'Raw data'!Y60),1+COUNTIF('Scoring rules'!$D$7:$G$7,"&lt;="&amp;'Raw data'!Y60)))))</f>
        <v/>
      </c>
      <c r="Q60" s="49" t="str">
        <f aca="false">IF($A60="","",IF('Raw data'!AD60&lt;&gt;"",'Raw data'!AD60,IF('Raw data'!Z60="","",IF('Scoring rules'!$C$8="Lower is better",5-COUNTIF('Scoring rules'!$D$8:$G$8,"&lt;="&amp;'Raw data'!Z60),1+COUNTIF('Scoring rules'!$D$8:$G$8,"&lt;="&amp;'Raw data'!Z60)))))</f>
        <v/>
      </c>
      <c r="R60" s="49" t="str">
        <f aca="false">IF($A60="","",IF(ISNUMBER('Raw data'!J60),'Raw data'!J60*100,""))</f>
        <v/>
      </c>
      <c r="S60" s="48" t="str">
        <f aca="false">IF($A60="","",IF(ISNUMBER('Raw data'!K60),'Raw data'!K60*100,""))</f>
        <v/>
      </c>
      <c r="T60" s="48" t="str">
        <f aca="false">IF($A60="","",IF(ISNUMBER('Raw data'!L60),'Raw data'!L60*100,""))</f>
        <v/>
      </c>
      <c r="U60" s="48" t="str">
        <f aca="false">IF($A60="","",IF(ISNUMBER('Raw data'!M60),'Raw data'!M60*100,""))</f>
        <v/>
      </c>
      <c r="V60" s="48" t="str">
        <f aca="false">IF($A60="","",IF(ISNUMBER('Raw data'!N60),'Raw data'!N60*100,""))</f>
        <v/>
      </c>
      <c r="W60" s="48" t="str">
        <f aca="false">IF($A60="","",IF(ISNUMBER('Raw data'!O60),'Raw data'!O60*100,""))</f>
        <v/>
      </c>
      <c r="X60" s="48" t="str">
        <f aca="false">IF($A60="","",IF(ISNUMBER('Raw data'!P60),'Raw data'!P60*100,""))</f>
        <v/>
      </c>
      <c r="Y60" s="50" t="str">
        <f aca="false">IF($A60="","",IF(AND(ISNUMBER('Raw data'!J60),ISNUMBER('Raw data'!H60),ISNUMBER('Raw data'!L60),ISNUMBER('Raw data'!O60)),ROUND(('Raw data'!J60*'Raw data'!L60+(1-'Raw data'!J60)*'Raw data'!O60-'Raw data'!H60)*100,1),""))</f>
        <v/>
      </c>
    </row>
    <row r="61" customFormat="false" ht="15" hidden="false" customHeight="false" outlineLevel="0" collapsed="false">
      <c r="A61" s="40" t="str">
        <f aca="false">IF(TRIM('Raw data'!A61)="","",TRIM('Raw data'!A61))</f>
        <v/>
      </c>
      <c r="B61" s="40" t="str">
        <f aca="false">IF($A61="","",IF('Raw data'!B61="",UPPER(LEFT($A61,3)),'Raw data'!B61))</f>
        <v/>
      </c>
      <c r="C61" s="40" t="str">
        <f aca="false">IF($A61="","",'Raw data'!C61)</f>
        <v/>
      </c>
      <c r="D61" s="41" t="str">
        <f aca="false">IF(OR($A61="",'Raw data'!E61=""),"",'Raw data'!E61)</f>
        <v/>
      </c>
      <c r="E61" s="41" t="str">
        <f aca="false">IF(OR($A61="",'Raw data'!Q61=""),"",'Raw data'!Q61)</f>
        <v/>
      </c>
      <c r="F61" s="48" t="str">
        <f aca="false">IF($A61="","",IF(ISNUMBER('Raw data'!G61),'Raw data'!G61*100,""))</f>
        <v/>
      </c>
      <c r="G61" s="48" t="str">
        <f aca="false">IF($A61="","",IF(ISNUMBER('Raw data'!H61),'Raw data'!H61*100,""))</f>
        <v/>
      </c>
      <c r="H61" s="48" t="str">
        <f aca="false">IF($A61="","",IF(ISNUMBER('Raw data'!I61),'Raw data'!I61*100,""))</f>
        <v/>
      </c>
      <c r="I61" s="48" t="str">
        <f aca="false">IF($A61="","",IF(ISNUMBER('Raw data'!R61),'Raw data'!R61*100,""))</f>
        <v/>
      </c>
      <c r="J61" s="48" t="str">
        <f aca="false">IF($A61="","",IF(ISNUMBER('Raw data'!S61),'Raw data'!S61*100,""))</f>
        <v/>
      </c>
      <c r="K61" s="48" t="str">
        <f aca="false">IF($A61="","",IF(ISNUMBER('Raw data'!T61),'Raw data'!T61*100,""))</f>
        <v/>
      </c>
      <c r="L61" s="48" t="str">
        <f aca="false">IF($A61="","",IF('Raw data'!V61&lt;&gt;"",'Raw data'!V61*100,IF(AND(N('Raw data'!E61)&gt;0,'Raw data'!Q61&lt;&gt;""),'Raw data'!Q61*(1+N('Raw data'!S61))/('Raw data'!E61*(1+N('Raw data'!H61)))*100,"")))</f>
        <v/>
      </c>
      <c r="M61" s="48" t="str">
        <f aca="false">IF($A61="","",IF('Raw data'!U61&lt;&gt;"",'Raw data'!U61*100,IF(AND(N('Raw data'!E61)&gt;0,'Raw data'!Q61&lt;&gt;""),'Raw data'!Q61/'Raw data'!E61*100,"")))</f>
        <v/>
      </c>
      <c r="N61" s="49" t="str">
        <f aca="false">IF($A61="","",IF('Raw data'!AA61&lt;&gt;"",'Raw data'!AA61,IF('Raw data'!W61="","",IF('Scoring rules'!$C$5="Lower is better",5-COUNTIF('Scoring rules'!$D$5:$G$5,"&lt;="&amp;'Raw data'!W61),1+COUNTIF('Scoring rules'!$D$5:$G$5,"&lt;="&amp;'Raw data'!W61)))))</f>
        <v/>
      </c>
      <c r="O61" s="49" t="str">
        <f aca="false">IF($A61="","",IF('Raw data'!AB61&lt;&gt;"",'Raw data'!AB61,IF('Raw data'!X61="","",IF('Scoring rules'!$C$6="Lower is better",5-COUNTIF('Scoring rules'!$D$6:$G$6,"&lt;="&amp;'Raw data'!X61),1+COUNTIF('Scoring rules'!$D$6:$G$6,"&lt;="&amp;'Raw data'!X61)))))</f>
        <v/>
      </c>
      <c r="P61" s="49" t="str">
        <f aca="false">IF($A61="","",IF('Raw data'!AC61&lt;&gt;"",'Raw data'!AC61,IF('Raw data'!Y61="","",IF('Scoring rules'!$C$7="Lower is better",5-COUNTIF('Scoring rules'!$D$7:$G$7,"&lt;="&amp;'Raw data'!Y61),1+COUNTIF('Scoring rules'!$D$7:$G$7,"&lt;="&amp;'Raw data'!Y61)))))</f>
        <v/>
      </c>
      <c r="Q61" s="49" t="str">
        <f aca="false">IF($A61="","",IF('Raw data'!AD61&lt;&gt;"",'Raw data'!AD61,IF('Raw data'!Z61="","",IF('Scoring rules'!$C$8="Lower is better",5-COUNTIF('Scoring rules'!$D$8:$G$8,"&lt;="&amp;'Raw data'!Z61),1+COUNTIF('Scoring rules'!$D$8:$G$8,"&lt;="&amp;'Raw data'!Z61)))))</f>
        <v/>
      </c>
      <c r="R61" s="49" t="str">
        <f aca="false">IF($A61="","",IF(ISNUMBER('Raw data'!J61),'Raw data'!J61*100,""))</f>
        <v/>
      </c>
      <c r="S61" s="48" t="str">
        <f aca="false">IF($A61="","",IF(ISNUMBER('Raw data'!K61),'Raw data'!K61*100,""))</f>
        <v/>
      </c>
      <c r="T61" s="48" t="str">
        <f aca="false">IF($A61="","",IF(ISNUMBER('Raw data'!L61),'Raw data'!L61*100,""))</f>
        <v/>
      </c>
      <c r="U61" s="48" t="str">
        <f aca="false">IF($A61="","",IF(ISNUMBER('Raw data'!M61),'Raw data'!M61*100,""))</f>
        <v/>
      </c>
      <c r="V61" s="48" t="str">
        <f aca="false">IF($A61="","",IF(ISNUMBER('Raw data'!N61),'Raw data'!N61*100,""))</f>
        <v/>
      </c>
      <c r="W61" s="48" t="str">
        <f aca="false">IF($A61="","",IF(ISNUMBER('Raw data'!O61),'Raw data'!O61*100,""))</f>
        <v/>
      </c>
      <c r="X61" s="48" t="str">
        <f aca="false">IF($A61="","",IF(ISNUMBER('Raw data'!P61),'Raw data'!P61*100,""))</f>
        <v/>
      </c>
      <c r="Y61" s="50" t="str">
        <f aca="false">IF($A61="","",IF(AND(ISNUMBER('Raw data'!J61),ISNUMBER('Raw data'!H61),ISNUMBER('Raw data'!L61),ISNUMBER('Raw data'!O61)),ROUND(('Raw data'!J61*'Raw data'!L61+(1-'Raw data'!J61)*'Raw data'!O61-'Raw data'!H61)*100,1),""))</f>
        <v/>
      </c>
    </row>
    <row r="62" customFormat="false" ht="15" hidden="false" customHeight="false" outlineLevel="0" collapsed="false">
      <c r="A62" s="40" t="str">
        <f aca="false">IF(TRIM('Raw data'!A62)="","",TRIM('Raw data'!A62))</f>
        <v/>
      </c>
      <c r="B62" s="40" t="str">
        <f aca="false">IF($A62="","",IF('Raw data'!B62="",UPPER(LEFT($A62,3)),'Raw data'!B62))</f>
        <v/>
      </c>
      <c r="C62" s="40" t="str">
        <f aca="false">IF($A62="","",'Raw data'!C62)</f>
        <v/>
      </c>
      <c r="D62" s="41" t="str">
        <f aca="false">IF(OR($A62="",'Raw data'!E62=""),"",'Raw data'!E62)</f>
        <v/>
      </c>
      <c r="E62" s="41" t="str">
        <f aca="false">IF(OR($A62="",'Raw data'!Q62=""),"",'Raw data'!Q62)</f>
        <v/>
      </c>
      <c r="F62" s="48" t="str">
        <f aca="false">IF($A62="","",IF(ISNUMBER('Raw data'!G62),'Raw data'!G62*100,""))</f>
        <v/>
      </c>
      <c r="G62" s="48" t="str">
        <f aca="false">IF($A62="","",IF(ISNUMBER('Raw data'!H62),'Raw data'!H62*100,""))</f>
        <v/>
      </c>
      <c r="H62" s="48" t="str">
        <f aca="false">IF($A62="","",IF(ISNUMBER('Raw data'!I62),'Raw data'!I62*100,""))</f>
        <v/>
      </c>
      <c r="I62" s="48" t="str">
        <f aca="false">IF($A62="","",IF(ISNUMBER('Raw data'!R62),'Raw data'!R62*100,""))</f>
        <v/>
      </c>
      <c r="J62" s="48" t="str">
        <f aca="false">IF($A62="","",IF(ISNUMBER('Raw data'!S62),'Raw data'!S62*100,""))</f>
        <v/>
      </c>
      <c r="K62" s="48" t="str">
        <f aca="false">IF($A62="","",IF(ISNUMBER('Raw data'!T62),'Raw data'!T62*100,""))</f>
        <v/>
      </c>
      <c r="L62" s="48" t="str">
        <f aca="false">IF($A62="","",IF('Raw data'!V62&lt;&gt;"",'Raw data'!V62*100,IF(AND(N('Raw data'!E62)&gt;0,'Raw data'!Q62&lt;&gt;""),'Raw data'!Q62*(1+N('Raw data'!S62))/('Raw data'!E62*(1+N('Raw data'!H62)))*100,"")))</f>
        <v/>
      </c>
      <c r="M62" s="48" t="str">
        <f aca="false">IF($A62="","",IF('Raw data'!U62&lt;&gt;"",'Raw data'!U62*100,IF(AND(N('Raw data'!E62)&gt;0,'Raw data'!Q62&lt;&gt;""),'Raw data'!Q62/'Raw data'!E62*100,"")))</f>
        <v/>
      </c>
      <c r="N62" s="49" t="str">
        <f aca="false">IF($A62="","",IF('Raw data'!AA62&lt;&gt;"",'Raw data'!AA62,IF('Raw data'!W62="","",IF('Scoring rules'!$C$5="Lower is better",5-COUNTIF('Scoring rules'!$D$5:$G$5,"&lt;="&amp;'Raw data'!W62),1+COUNTIF('Scoring rules'!$D$5:$G$5,"&lt;="&amp;'Raw data'!W62)))))</f>
        <v/>
      </c>
      <c r="O62" s="49" t="str">
        <f aca="false">IF($A62="","",IF('Raw data'!AB62&lt;&gt;"",'Raw data'!AB62,IF('Raw data'!X62="","",IF('Scoring rules'!$C$6="Lower is better",5-COUNTIF('Scoring rules'!$D$6:$G$6,"&lt;="&amp;'Raw data'!X62),1+COUNTIF('Scoring rules'!$D$6:$G$6,"&lt;="&amp;'Raw data'!X62)))))</f>
        <v/>
      </c>
      <c r="P62" s="49" t="str">
        <f aca="false">IF($A62="","",IF('Raw data'!AC62&lt;&gt;"",'Raw data'!AC62,IF('Raw data'!Y62="","",IF('Scoring rules'!$C$7="Lower is better",5-COUNTIF('Scoring rules'!$D$7:$G$7,"&lt;="&amp;'Raw data'!Y62),1+COUNTIF('Scoring rules'!$D$7:$G$7,"&lt;="&amp;'Raw data'!Y62)))))</f>
        <v/>
      </c>
      <c r="Q62" s="49" t="str">
        <f aca="false">IF($A62="","",IF('Raw data'!AD62&lt;&gt;"",'Raw data'!AD62,IF('Raw data'!Z62="","",IF('Scoring rules'!$C$8="Lower is better",5-COUNTIF('Scoring rules'!$D$8:$G$8,"&lt;="&amp;'Raw data'!Z62),1+COUNTIF('Scoring rules'!$D$8:$G$8,"&lt;="&amp;'Raw data'!Z62)))))</f>
        <v/>
      </c>
      <c r="R62" s="49" t="str">
        <f aca="false">IF($A62="","",IF(ISNUMBER('Raw data'!J62),'Raw data'!J62*100,""))</f>
        <v/>
      </c>
      <c r="S62" s="48" t="str">
        <f aca="false">IF($A62="","",IF(ISNUMBER('Raw data'!K62),'Raw data'!K62*100,""))</f>
        <v/>
      </c>
      <c r="T62" s="48" t="str">
        <f aca="false">IF($A62="","",IF(ISNUMBER('Raw data'!L62),'Raw data'!L62*100,""))</f>
        <v/>
      </c>
      <c r="U62" s="48" t="str">
        <f aca="false">IF($A62="","",IF(ISNUMBER('Raw data'!M62),'Raw data'!M62*100,""))</f>
        <v/>
      </c>
      <c r="V62" s="48" t="str">
        <f aca="false">IF($A62="","",IF(ISNUMBER('Raw data'!N62),'Raw data'!N62*100,""))</f>
        <v/>
      </c>
      <c r="W62" s="48" t="str">
        <f aca="false">IF($A62="","",IF(ISNUMBER('Raw data'!O62),'Raw data'!O62*100,""))</f>
        <v/>
      </c>
      <c r="X62" s="48" t="str">
        <f aca="false">IF($A62="","",IF(ISNUMBER('Raw data'!P62),'Raw data'!P62*100,""))</f>
        <v/>
      </c>
      <c r="Y62" s="50" t="str">
        <f aca="false">IF($A62="","",IF(AND(ISNUMBER('Raw data'!J62),ISNUMBER('Raw data'!H62),ISNUMBER('Raw data'!L62),ISNUMBER('Raw data'!O62)),ROUND(('Raw data'!J62*'Raw data'!L62+(1-'Raw data'!J62)*'Raw data'!O62-'Raw data'!H62)*100,1),""))</f>
        <v/>
      </c>
    </row>
    <row r="63" customFormat="false" ht="15" hidden="false" customHeight="false" outlineLevel="0" collapsed="false">
      <c r="A63" s="40" t="str">
        <f aca="false">IF(TRIM('Raw data'!A63)="","",TRIM('Raw data'!A63))</f>
        <v/>
      </c>
      <c r="B63" s="40" t="str">
        <f aca="false">IF($A63="","",IF('Raw data'!B63="",UPPER(LEFT($A63,3)),'Raw data'!B63))</f>
        <v/>
      </c>
      <c r="C63" s="40" t="str">
        <f aca="false">IF($A63="","",'Raw data'!C63)</f>
        <v/>
      </c>
      <c r="D63" s="41" t="str">
        <f aca="false">IF(OR($A63="",'Raw data'!E63=""),"",'Raw data'!E63)</f>
        <v/>
      </c>
      <c r="E63" s="41" t="str">
        <f aca="false">IF(OR($A63="",'Raw data'!Q63=""),"",'Raw data'!Q63)</f>
        <v/>
      </c>
      <c r="F63" s="48" t="str">
        <f aca="false">IF($A63="","",IF(ISNUMBER('Raw data'!G63),'Raw data'!G63*100,""))</f>
        <v/>
      </c>
      <c r="G63" s="48" t="str">
        <f aca="false">IF($A63="","",IF(ISNUMBER('Raw data'!H63),'Raw data'!H63*100,""))</f>
        <v/>
      </c>
      <c r="H63" s="48" t="str">
        <f aca="false">IF($A63="","",IF(ISNUMBER('Raw data'!I63),'Raw data'!I63*100,""))</f>
        <v/>
      </c>
      <c r="I63" s="48" t="str">
        <f aca="false">IF($A63="","",IF(ISNUMBER('Raw data'!R63),'Raw data'!R63*100,""))</f>
        <v/>
      </c>
      <c r="J63" s="48" t="str">
        <f aca="false">IF($A63="","",IF(ISNUMBER('Raw data'!S63),'Raw data'!S63*100,""))</f>
        <v/>
      </c>
      <c r="K63" s="48" t="str">
        <f aca="false">IF($A63="","",IF(ISNUMBER('Raw data'!T63),'Raw data'!T63*100,""))</f>
        <v/>
      </c>
      <c r="L63" s="48" t="str">
        <f aca="false">IF($A63="","",IF('Raw data'!V63&lt;&gt;"",'Raw data'!V63*100,IF(AND(N('Raw data'!E63)&gt;0,'Raw data'!Q63&lt;&gt;""),'Raw data'!Q63*(1+N('Raw data'!S63))/('Raw data'!E63*(1+N('Raw data'!H63)))*100,"")))</f>
        <v/>
      </c>
      <c r="M63" s="48" t="str">
        <f aca="false">IF($A63="","",IF('Raw data'!U63&lt;&gt;"",'Raw data'!U63*100,IF(AND(N('Raw data'!E63)&gt;0,'Raw data'!Q63&lt;&gt;""),'Raw data'!Q63/'Raw data'!E63*100,"")))</f>
        <v/>
      </c>
      <c r="N63" s="49" t="str">
        <f aca="false">IF($A63="","",IF('Raw data'!AA63&lt;&gt;"",'Raw data'!AA63,IF('Raw data'!W63="","",IF('Scoring rules'!$C$5="Lower is better",5-COUNTIF('Scoring rules'!$D$5:$G$5,"&lt;="&amp;'Raw data'!W63),1+COUNTIF('Scoring rules'!$D$5:$G$5,"&lt;="&amp;'Raw data'!W63)))))</f>
        <v/>
      </c>
      <c r="O63" s="49" t="str">
        <f aca="false">IF($A63="","",IF('Raw data'!AB63&lt;&gt;"",'Raw data'!AB63,IF('Raw data'!X63="","",IF('Scoring rules'!$C$6="Lower is better",5-COUNTIF('Scoring rules'!$D$6:$G$6,"&lt;="&amp;'Raw data'!X63),1+COUNTIF('Scoring rules'!$D$6:$G$6,"&lt;="&amp;'Raw data'!X63)))))</f>
        <v/>
      </c>
      <c r="P63" s="49" t="str">
        <f aca="false">IF($A63="","",IF('Raw data'!AC63&lt;&gt;"",'Raw data'!AC63,IF('Raw data'!Y63="","",IF('Scoring rules'!$C$7="Lower is better",5-COUNTIF('Scoring rules'!$D$7:$G$7,"&lt;="&amp;'Raw data'!Y63),1+COUNTIF('Scoring rules'!$D$7:$G$7,"&lt;="&amp;'Raw data'!Y63)))))</f>
        <v/>
      </c>
      <c r="Q63" s="49" t="str">
        <f aca="false">IF($A63="","",IF('Raw data'!AD63&lt;&gt;"",'Raw data'!AD63,IF('Raw data'!Z63="","",IF('Scoring rules'!$C$8="Lower is better",5-COUNTIF('Scoring rules'!$D$8:$G$8,"&lt;="&amp;'Raw data'!Z63),1+COUNTIF('Scoring rules'!$D$8:$G$8,"&lt;="&amp;'Raw data'!Z63)))))</f>
        <v/>
      </c>
      <c r="R63" s="49" t="str">
        <f aca="false">IF($A63="","",IF(ISNUMBER('Raw data'!J63),'Raw data'!J63*100,""))</f>
        <v/>
      </c>
      <c r="S63" s="48" t="str">
        <f aca="false">IF($A63="","",IF(ISNUMBER('Raw data'!K63),'Raw data'!K63*100,""))</f>
        <v/>
      </c>
      <c r="T63" s="48" t="str">
        <f aca="false">IF($A63="","",IF(ISNUMBER('Raw data'!L63),'Raw data'!L63*100,""))</f>
        <v/>
      </c>
      <c r="U63" s="48" t="str">
        <f aca="false">IF($A63="","",IF(ISNUMBER('Raw data'!M63),'Raw data'!M63*100,""))</f>
        <v/>
      </c>
      <c r="V63" s="48" t="str">
        <f aca="false">IF($A63="","",IF(ISNUMBER('Raw data'!N63),'Raw data'!N63*100,""))</f>
        <v/>
      </c>
      <c r="W63" s="48" t="str">
        <f aca="false">IF($A63="","",IF(ISNUMBER('Raw data'!O63),'Raw data'!O63*100,""))</f>
        <v/>
      </c>
      <c r="X63" s="48" t="str">
        <f aca="false">IF($A63="","",IF(ISNUMBER('Raw data'!P63),'Raw data'!P63*100,""))</f>
        <v/>
      </c>
      <c r="Y63" s="50" t="str">
        <f aca="false">IF($A63="","",IF(AND(ISNUMBER('Raw data'!J63),ISNUMBER('Raw data'!H63),ISNUMBER('Raw data'!L63),ISNUMBER('Raw data'!O63)),ROUND(('Raw data'!J63*'Raw data'!L63+(1-'Raw data'!J63)*'Raw data'!O63-'Raw data'!H63)*100,1),""))</f>
        <v/>
      </c>
    </row>
    <row r="64" customFormat="false" ht="15" hidden="false" customHeight="false" outlineLevel="0" collapsed="false">
      <c r="A64" s="40" t="str">
        <f aca="false">IF(TRIM('Raw data'!A64)="","",TRIM('Raw data'!A64))</f>
        <v/>
      </c>
      <c r="B64" s="40" t="str">
        <f aca="false">IF($A64="","",IF('Raw data'!B64="",UPPER(LEFT($A64,3)),'Raw data'!B64))</f>
        <v/>
      </c>
      <c r="C64" s="40" t="str">
        <f aca="false">IF($A64="","",'Raw data'!C64)</f>
        <v/>
      </c>
      <c r="D64" s="41" t="str">
        <f aca="false">IF(OR($A64="",'Raw data'!E64=""),"",'Raw data'!E64)</f>
        <v/>
      </c>
      <c r="E64" s="41" t="str">
        <f aca="false">IF(OR($A64="",'Raw data'!Q64=""),"",'Raw data'!Q64)</f>
        <v/>
      </c>
      <c r="F64" s="48" t="str">
        <f aca="false">IF($A64="","",IF(ISNUMBER('Raw data'!G64),'Raw data'!G64*100,""))</f>
        <v/>
      </c>
      <c r="G64" s="48" t="str">
        <f aca="false">IF($A64="","",IF(ISNUMBER('Raw data'!H64),'Raw data'!H64*100,""))</f>
        <v/>
      </c>
      <c r="H64" s="48" t="str">
        <f aca="false">IF($A64="","",IF(ISNUMBER('Raw data'!I64),'Raw data'!I64*100,""))</f>
        <v/>
      </c>
      <c r="I64" s="48" t="str">
        <f aca="false">IF($A64="","",IF(ISNUMBER('Raw data'!R64),'Raw data'!R64*100,""))</f>
        <v/>
      </c>
      <c r="J64" s="48" t="str">
        <f aca="false">IF($A64="","",IF(ISNUMBER('Raw data'!S64),'Raw data'!S64*100,""))</f>
        <v/>
      </c>
      <c r="K64" s="48" t="str">
        <f aca="false">IF($A64="","",IF(ISNUMBER('Raw data'!T64),'Raw data'!T64*100,""))</f>
        <v/>
      </c>
      <c r="L64" s="48" t="str">
        <f aca="false">IF($A64="","",IF('Raw data'!V64&lt;&gt;"",'Raw data'!V64*100,IF(AND(N('Raw data'!E64)&gt;0,'Raw data'!Q64&lt;&gt;""),'Raw data'!Q64*(1+N('Raw data'!S64))/('Raw data'!E64*(1+N('Raw data'!H64)))*100,"")))</f>
        <v/>
      </c>
      <c r="M64" s="48" t="str">
        <f aca="false">IF($A64="","",IF('Raw data'!U64&lt;&gt;"",'Raw data'!U64*100,IF(AND(N('Raw data'!E64)&gt;0,'Raw data'!Q64&lt;&gt;""),'Raw data'!Q64/'Raw data'!E64*100,"")))</f>
        <v/>
      </c>
      <c r="N64" s="49" t="str">
        <f aca="false">IF($A64="","",IF('Raw data'!AA64&lt;&gt;"",'Raw data'!AA64,IF('Raw data'!W64="","",IF('Scoring rules'!$C$5="Lower is better",5-COUNTIF('Scoring rules'!$D$5:$G$5,"&lt;="&amp;'Raw data'!W64),1+COUNTIF('Scoring rules'!$D$5:$G$5,"&lt;="&amp;'Raw data'!W64)))))</f>
        <v/>
      </c>
      <c r="O64" s="49" t="str">
        <f aca="false">IF($A64="","",IF('Raw data'!AB64&lt;&gt;"",'Raw data'!AB64,IF('Raw data'!X64="","",IF('Scoring rules'!$C$6="Lower is better",5-COUNTIF('Scoring rules'!$D$6:$G$6,"&lt;="&amp;'Raw data'!X64),1+COUNTIF('Scoring rules'!$D$6:$G$6,"&lt;="&amp;'Raw data'!X64)))))</f>
        <v/>
      </c>
      <c r="P64" s="49" t="str">
        <f aca="false">IF($A64="","",IF('Raw data'!AC64&lt;&gt;"",'Raw data'!AC64,IF('Raw data'!Y64="","",IF('Scoring rules'!$C$7="Lower is better",5-COUNTIF('Scoring rules'!$D$7:$G$7,"&lt;="&amp;'Raw data'!Y64),1+COUNTIF('Scoring rules'!$D$7:$G$7,"&lt;="&amp;'Raw data'!Y64)))))</f>
        <v/>
      </c>
      <c r="Q64" s="49" t="str">
        <f aca="false">IF($A64="","",IF('Raw data'!AD64&lt;&gt;"",'Raw data'!AD64,IF('Raw data'!Z64="","",IF('Scoring rules'!$C$8="Lower is better",5-COUNTIF('Scoring rules'!$D$8:$G$8,"&lt;="&amp;'Raw data'!Z64),1+COUNTIF('Scoring rules'!$D$8:$G$8,"&lt;="&amp;'Raw data'!Z64)))))</f>
        <v/>
      </c>
      <c r="R64" s="49" t="str">
        <f aca="false">IF($A64="","",IF(ISNUMBER('Raw data'!J64),'Raw data'!J64*100,""))</f>
        <v/>
      </c>
      <c r="S64" s="48" t="str">
        <f aca="false">IF($A64="","",IF(ISNUMBER('Raw data'!K64),'Raw data'!K64*100,""))</f>
        <v/>
      </c>
      <c r="T64" s="48" t="str">
        <f aca="false">IF($A64="","",IF(ISNUMBER('Raw data'!L64),'Raw data'!L64*100,""))</f>
        <v/>
      </c>
      <c r="U64" s="48" t="str">
        <f aca="false">IF($A64="","",IF(ISNUMBER('Raw data'!M64),'Raw data'!M64*100,""))</f>
        <v/>
      </c>
      <c r="V64" s="48" t="str">
        <f aca="false">IF($A64="","",IF(ISNUMBER('Raw data'!N64),'Raw data'!N64*100,""))</f>
        <v/>
      </c>
      <c r="W64" s="48" t="str">
        <f aca="false">IF($A64="","",IF(ISNUMBER('Raw data'!O64),'Raw data'!O64*100,""))</f>
        <v/>
      </c>
      <c r="X64" s="48" t="str">
        <f aca="false">IF($A64="","",IF(ISNUMBER('Raw data'!P64),'Raw data'!P64*100,""))</f>
        <v/>
      </c>
      <c r="Y64" s="50" t="str">
        <f aca="false">IF($A64="","",IF(AND(ISNUMBER('Raw data'!J64),ISNUMBER('Raw data'!H64),ISNUMBER('Raw data'!L64),ISNUMBER('Raw data'!O64)),ROUND(('Raw data'!J64*'Raw data'!L64+(1-'Raw data'!J64)*'Raw data'!O64-'Raw data'!H64)*100,1),""))</f>
        <v/>
      </c>
    </row>
    <row r="65" customFormat="false" ht="15" hidden="false" customHeight="false" outlineLevel="0" collapsed="false">
      <c r="A65" s="40" t="str">
        <f aca="false">IF(TRIM('Raw data'!A65)="","",TRIM('Raw data'!A65))</f>
        <v/>
      </c>
      <c r="B65" s="40" t="str">
        <f aca="false">IF($A65="","",IF('Raw data'!B65="",UPPER(LEFT($A65,3)),'Raw data'!B65))</f>
        <v/>
      </c>
      <c r="C65" s="40" t="str">
        <f aca="false">IF($A65="","",'Raw data'!C65)</f>
        <v/>
      </c>
      <c r="D65" s="41" t="str">
        <f aca="false">IF(OR($A65="",'Raw data'!E65=""),"",'Raw data'!E65)</f>
        <v/>
      </c>
      <c r="E65" s="41" t="str">
        <f aca="false">IF(OR($A65="",'Raw data'!Q65=""),"",'Raw data'!Q65)</f>
        <v/>
      </c>
      <c r="F65" s="48" t="str">
        <f aca="false">IF($A65="","",IF(ISNUMBER('Raw data'!G65),'Raw data'!G65*100,""))</f>
        <v/>
      </c>
      <c r="G65" s="48" t="str">
        <f aca="false">IF($A65="","",IF(ISNUMBER('Raw data'!H65),'Raw data'!H65*100,""))</f>
        <v/>
      </c>
      <c r="H65" s="48" t="str">
        <f aca="false">IF($A65="","",IF(ISNUMBER('Raw data'!I65),'Raw data'!I65*100,""))</f>
        <v/>
      </c>
      <c r="I65" s="48" t="str">
        <f aca="false">IF($A65="","",IF(ISNUMBER('Raw data'!R65),'Raw data'!R65*100,""))</f>
        <v/>
      </c>
      <c r="J65" s="48" t="str">
        <f aca="false">IF($A65="","",IF(ISNUMBER('Raw data'!S65),'Raw data'!S65*100,""))</f>
        <v/>
      </c>
      <c r="K65" s="48" t="str">
        <f aca="false">IF($A65="","",IF(ISNUMBER('Raw data'!T65),'Raw data'!T65*100,""))</f>
        <v/>
      </c>
      <c r="L65" s="48" t="str">
        <f aca="false">IF($A65="","",IF('Raw data'!V65&lt;&gt;"",'Raw data'!V65*100,IF(AND(N('Raw data'!E65)&gt;0,'Raw data'!Q65&lt;&gt;""),'Raw data'!Q65*(1+N('Raw data'!S65))/('Raw data'!E65*(1+N('Raw data'!H65)))*100,"")))</f>
        <v/>
      </c>
      <c r="M65" s="48" t="str">
        <f aca="false">IF($A65="","",IF('Raw data'!U65&lt;&gt;"",'Raw data'!U65*100,IF(AND(N('Raw data'!E65)&gt;0,'Raw data'!Q65&lt;&gt;""),'Raw data'!Q65/'Raw data'!E65*100,"")))</f>
        <v/>
      </c>
      <c r="N65" s="49" t="str">
        <f aca="false">IF($A65="","",IF('Raw data'!AA65&lt;&gt;"",'Raw data'!AA65,IF('Raw data'!W65="","",IF('Scoring rules'!$C$5="Lower is better",5-COUNTIF('Scoring rules'!$D$5:$G$5,"&lt;="&amp;'Raw data'!W65),1+COUNTIF('Scoring rules'!$D$5:$G$5,"&lt;="&amp;'Raw data'!W65)))))</f>
        <v/>
      </c>
      <c r="O65" s="49" t="str">
        <f aca="false">IF($A65="","",IF('Raw data'!AB65&lt;&gt;"",'Raw data'!AB65,IF('Raw data'!X65="","",IF('Scoring rules'!$C$6="Lower is better",5-COUNTIF('Scoring rules'!$D$6:$G$6,"&lt;="&amp;'Raw data'!X65),1+COUNTIF('Scoring rules'!$D$6:$G$6,"&lt;="&amp;'Raw data'!X65)))))</f>
        <v/>
      </c>
      <c r="P65" s="49" t="str">
        <f aca="false">IF($A65="","",IF('Raw data'!AC65&lt;&gt;"",'Raw data'!AC65,IF('Raw data'!Y65="","",IF('Scoring rules'!$C$7="Lower is better",5-COUNTIF('Scoring rules'!$D$7:$G$7,"&lt;="&amp;'Raw data'!Y65),1+COUNTIF('Scoring rules'!$D$7:$G$7,"&lt;="&amp;'Raw data'!Y65)))))</f>
        <v/>
      </c>
      <c r="Q65" s="49" t="str">
        <f aca="false">IF($A65="","",IF('Raw data'!AD65&lt;&gt;"",'Raw data'!AD65,IF('Raw data'!Z65="","",IF('Scoring rules'!$C$8="Lower is better",5-COUNTIF('Scoring rules'!$D$8:$G$8,"&lt;="&amp;'Raw data'!Z65),1+COUNTIF('Scoring rules'!$D$8:$G$8,"&lt;="&amp;'Raw data'!Z65)))))</f>
        <v/>
      </c>
      <c r="R65" s="49" t="str">
        <f aca="false">IF($A65="","",IF(ISNUMBER('Raw data'!J65),'Raw data'!J65*100,""))</f>
        <v/>
      </c>
      <c r="S65" s="48" t="str">
        <f aca="false">IF($A65="","",IF(ISNUMBER('Raw data'!K65),'Raw data'!K65*100,""))</f>
        <v/>
      </c>
      <c r="T65" s="48" t="str">
        <f aca="false">IF($A65="","",IF(ISNUMBER('Raw data'!L65),'Raw data'!L65*100,""))</f>
        <v/>
      </c>
      <c r="U65" s="48" t="str">
        <f aca="false">IF($A65="","",IF(ISNUMBER('Raw data'!M65),'Raw data'!M65*100,""))</f>
        <v/>
      </c>
      <c r="V65" s="48" t="str">
        <f aca="false">IF($A65="","",IF(ISNUMBER('Raw data'!N65),'Raw data'!N65*100,""))</f>
        <v/>
      </c>
      <c r="W65" s="48" t="str">
        <f aca="false">IF($A65="","",IF(ISNUMBER('Raw data'!O65),'Raw data'!O65*100,""))</f>
        <v/>
      </c>
      <c r="X65" s="48" t="str">
        <f aca="false">IF($A65="","",IF(ISNUMBER('Raw data'!P65),'Raw data'!P65*100,""))</f>
        <v/>
      </c>
      <c r="Y65" s="50" t="str">
        <f aca="false">IF($A65="","",IF(AND(ISNUMBER('Raw data'!J65),ISNUMBER('Raw data'!H65),ISNUMBER('Raw data'!L65),ISNUMBER('Raw data'!O65)),ROUND(('Raw data'!J65*'Raw data'!L65+(1-'Raw data'!J65)*'Raw data'!O65-'Raw data'!H65)*100,1),""))</f>
        <v/>
      </c>
    </row>
  </sheetData>
  <conditionalFormatting sqref="Y6:Y65">
    <cfRule type="expression" priority="2" aboveAverage="0" equalAverage="0" bottom="0" percent="0" rank="0" text="" dxfId="0">
      <formula>AND(ISNUMBER(Y6),ABS(Y6)&gt;0.5)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2026-10-09T11:21:03Z</dcterms:created>
  <dc:creator>openpyxl</dc:creator>
  <dc:description/>
  <dc:language>en-US</dc:language>
  <cp:lastModifiedBy/>
  <dcterms:modified xsi:type="dcterms:W3CDTF">2026-10-09T11:21:04Z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